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15525" windowHeight="7050" activeTab="1"/>
  </bookViews>
  <sheets>
    <sheet name="6.1Personnel List" sheetId="1" r:id="rId1"/>
    <sheet name="6.2 Staff Allocation" sheetId="2" r:id="rId2"/>
    <sheet name="SelectDept" sheetId="5" state="hidden" r:id="rId3"/>
    <sheet name="Level I_Departments" sheetId="4" state="hidden" r:id="rId4"/>
    <sheet name="Level IIandIII_Departments" sheetId="3" state="hidden" r:id="rId5"/>
  </sheets>
  <externalReferences>
    <externalReference r:id="rId6"/>
  </externalReferences>
  <definedNames>
    <definedName name="Drugs">#REF!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T99" i="2" l="1"/>
  <c r="E99" i="2"/>
  <c r="B99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100" i="2"/>
  <c r="DT98" i="2"/>
  <c r="E98" i="2"/>
  <c r="DT97" i="2"/>
  <c r="E97" i="2"/>
  <c r="DT96" i="2"/>
  <c r="E96" i="2"/>
  <c r="DT95" i="2"/>
  <c r="E95" i="2"/>
  <c r="DT94" i="2"/>
  <c r="E94" i="2"/>
  <c r="DT93" i="2"/>
  <c r="E93" i="2"/>
  <c r="DT92" i="2"/>
  <c r="E92" i="2"/>
  <c r="DT91" i="2"/>
  <c r="E91" i="2"/>
  <c r="DT90" i="2"/>
  <c r="E90" i="2"/>
  <c r="DT89" i="2"/>
  <c r="E89" i="2"/>
  <c r="DT88" i="2"/>
  <c r="E88" i="2"/>
  <c r="DT87" i="2"/>
  <c r="E87" i="2"/>
  <c r="DT86" i="2"/>
  <c r="E86" i="2"/>
  <c r="DT85" i="2"/>
  <c r="E85" i="2"/>
  <c r="DT84" i="2"/>
  <c r="E84" i="2"/>
  <c r="DT83" i="2"/>
  <c r="E83" i="2"/>
  <c r="DT82" i="2"/>
  <c r="E82" i="2"/>
  <c r="DT81" i="2"/>
  <c r="E81" i="2"/>
  <c r="DT80" i="2"/>
  <c r="E80" i="2"/>
  <c r="DT79" i="2"/>
  <c r="E79" i="2"/>
  <c r="DT78" i="2"/>
  <c r="E78" i="2"/>
  <c r="DT77" i="2"/>
  <c r="E77" i="2"/>
  <c r="DT76" i="2"/>
  <c r="E76" i="2"/>
  <c r="DT75" i="2"/>
  <c r="E75" i="2"/>
  <c r="DT74" i="2"/>
  <c r="E74" i="2"/>
  <c r="DT73" i="2"/>
  <c r="E73" i="2"/>
  <c r="DT72" i="2"/>
  <c r="E72" i="2"/>
  <c r="DT71" i="2"/>
  <c r="E71" i="2"/>
  <c r="DT70" i="2"/>
  <c r="E70" i="2"/>
  <c r="DT69" i="2"/>
  <c r="E69" i="2"/>
  <c r="DT68" i="2"/>
  <c r="E68" i="2"/>
  <c r="DT67" i="2"/>
  <c r="E67" i="2"/>
  <c r="DT66" i="2"/>
  <c r="E66" i="2"/>
  <c r="DT65" i="2"/>
  <c r="E65" i="2"/>
  <c r="DT64" i="2"/>
  <c r="E64" i="2"/>
  <c r="DT63" i="2"/>
  <c r="E63" i="2"/>
  <c r="DT62" i="2"/>
  <c r="E62" i="2"/>
  <c r="DT61" i="2"/>
  <c r="E61" i="2"/>
  <c r="DT60" i="2"/>
  <c r="E60" i="2"/>
  <c r="DT59" i="2"/>
  <c r="E59" i="2"/>
  <c r="DT58" i="2"/>
  <c r="E58" i="2"/>
  <c r="DT57" i="2"/>
  <c r="E57" i="2"/>
  <c r="DT56" i="2"/>
  <c r="E56" i="2"/>
  <c r="DT55" i="2"/>
  <c r="E55" i="2"/>
  <c r="DT54" i="2"/>
  <c r="E54" i="2"/>
  <c r="DT53" i="2"/>
  <c r="E53" i="2"/>
  <c r="DT52" i="2"/>
  <c r="E52" i="2"/>
  <c r="DT51" i="2"/>
  <c r="E51" i="2"/>
  <c r="DT50" i="2"/>
  <c r="E50" i="2"/>
  <c r="DT49" i="2"/>
  <c r="E49" i="2"/>
  <c r="DT48" i="2"/>
  <c r="E48" i="2"/>
  <c r="DT47" i="2"/>
  <c r="E47" i="2"/>
  <c r="DT46" i="2"/>
  <c r="E46" i="2"/>
  <c r="DT45" i="2"/>
  <c r="E45" i="2"/>
  <c r="DT44" i="2"/>
  <c r="E44" i="2"/>
  <c r="DT43" i="2"/>
  <c r="E43" i="2"/>
  <c r="DT42" i="2"/>
  <c r="E42" i="2"/>
  <c r="DT41" i="2"/>
  <c r="E41" i="2"/>
  <c r="DT100" i="2" l="1"/>
  <c r="E100" i="2"/>
  <c r="DT40" i="2"/>
  <c r="E40" i="2"/>
  <c r="DT39" i="2"/>
  <c r="E39" i="2"/>
  <c r="DT38" i="2"/>
  <c r="E38" i="2"/>
  <c r="DT37" i="2"/>
  <c r="E37" i="2"/>
  <c r="DT36" i="2"/>
  <c r="E36" i="2"/>
  <c r="DT35" i="2"/>
  <c r="E35" i="2"/>
  <c r="DT34" i="2"/>
  <c r="E34" i="2"/>
  <c r="DT33" i="2"/>
  <c r="E33" i="2"/>
  <c r="DT32" i="2"/>
  <c r="E32" i="2"/>
  <c r="DT31" i="2"/>
  <c r="E31" i="2"/>
  <c r="DT30" i="2"/>
  <c r="E30" i="2"/>
  <c r="DT29" i="2"/>
  <c r="E29" i="2"/>
  <c r="DT28" i="2"/>
  <c r="E28" i="2"/>
  <c r="DT27" i="2"/>
  <c r="E27" i="2"/>
  <c r="DT26" i="2"/>
  <c r="E26" i="2"/>
  <c r="DT25" i="2"/>
  <c r="E25" i="2"/>
  <c r="DT24" i="2"/>
  <c r="E24" i="2"/>
  <c r="DT23" i="2"/>
  <c r="DT22" i="2" l="1"/>
  <c r="E22" i="2"/>
  <c r="DT21" i="2"/>
  <c r="E21" i="2"/>
  <c r="DT20" i="2"/>
  <c r="E20" i="2"/>
  <c r="DT19" i="2"/>
  <c r="E19" i="2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2" i="5"/>
  <c r="A3" i="5"/>
  <c r="A4" i="5"/>
  <c r="A5" i="5"/>
  <c r="A6" i="5"/>
  <c r="A7" i="5"/>
  <c r="A8" i="5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DT18" i="2" l="1"/>
  <c r="DT17" i="2"/>
  <c r="DT16" i="2"/>
  <c r="DT15" i="2"/>
  <c r="DT14" i="2"/>
  <c r="E18" i="2"/>
  <c r="E17" i="2"/>
  <c r="E16" i="2"/>
  <c r="E15" i="2"/>
  <c r="E14" i="2"/>
  <c r="B18" i="2"/>
  <c r="B17" i="2"/>
  <c r="B16" i="2"/>
  <c r="B15" i="2"/>
  <c r="B14" i="2"/>
  <c r="B13" i="2"/>
  <c r="E13" i="2"/>
  <c r="DT13" i="2"/>
</calcChain>
</file>

<file path=xl/sharedStrings.xml><?xml version="1.0" encoding="utf-8"?>
<sst xmlns="http://schemas.openxmlformats.org/spreadsheetml/2006/main" count="920" uniqueCount="253">
  <si>
    <t>Name</t>
  </si>
  <si>
    <t>Department</t>
  </si>
  <si>
    <t>Personnel List</t>
  </si>
  <si>
    <t>Staff Time Allocation</t>
  </si>
  <si>
    <t>Percentages should sum across to 100%</t>
  </si>
  <si>
    <t>Delivery Room</t>
  </si>
  <si>
    <t>Dialysis Unit</t>
  </si>
  <si>
    <t>Position/Job Title</t>
  </si>
  <si>
    <r>
      <rPr>
        <b/>
        <sz val="11"/>
        <color theme="1"/>
        <rFont val="Arial Narrow"/>
        <family val="2"/>
      </rPr>
      <t xml:space="preserve">Objective: </t>
    </r>
    <r>
      <rPr>
        <sz val="11"/>
        <color theme="1"/>
        <rFont val="Arial Narrow"/>
        <family val="2"/>
      </rPr>
      <t>Obtain list of all personnel and staff for this hospital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</si>
  <si>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Human Resources manager</t>
    </r>
  </si>
  <si>
    <r>
      <rPr>
        <b/>
        <sz val="11"/>
        <color theme="1"/>
        <rFont val="Arial Narrow"/>
        <family val="2"/>
      </rPr>
      <t>Source Document:</t>
    </r>
    <r>
      <rPr>
        <sz val="11"/>
        <color theme="1"/>
        <rFont val="Arial Narrow"/>
        <family val="2"/>
      </rPr>
      <t xml:space="preserve"> HR report</t>
    </r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</si>
  <si>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Fill in table with list of </t>
    </r>
    <r>
      <rPr>
        <b/>
        <sz val="11"/>
        <color theme="1"/>
        <rFont val="Arial Narrow"/>
        <family val="2"/>
      </rPr>
      <t>all personnel (including contracted medical specialists and others). Please indicate the respective department</t>
    </r>
  </si>
  <si>
    <t>#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</si>
  <si>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Determine Staff time Allocation across departments/units and compute number of Full time staff in each department/unit</t>
    </r>
  </si>
  <si>
    <r>
      <rPr>
        <b/>
        <sz val="11"/>
        <color theme="1"/>
        <rFont val="Arial Narrow"/>
        <family val="2"/>
      </rPr>
      <t>Source Document</t>
    </r>
    <r>
      <rPr>
        <sz val="11"/>
        <color theme="1"/>
        <rFont val="Arial Narrow"/>
        <family val="2"/>
      </rPr>
      <t>: HR time schedule/logbook</t>
    </r>
  </si>
  <si>
    <t>FTE Status</t>
  </si>
  <si>
    <t>Employment Status
(Permanent, Contractual, JO)</t>
  </si>
  <si>
    <t>Grade 
(if applicable)</t>
  </si>
  <si>
    <t>FTE Status
 (FT =1 ; PT=0.5)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</si>
  <si>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</si>
  <si>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</si>
  <si>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</si>
  <si>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</si>
  <si>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</si>
  <si>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</si>
  <si>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</si>
  <si>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</si>
  <si>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</si>
  <si>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</si>
  <si>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</si>
  <si>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</si>
  <si>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</si>
  <si>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</si>
  <si>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</si>
  <si>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</si>
  <si>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</si>
  <si>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</si>
  <si>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Blood Bank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</si>
  <si>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</si>
  <si>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</si>
  <si>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</si>
  <si>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</si>
  <si>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</si>
  <si>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</si>
  <si>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</si>
  <si>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</si>
  <si>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</si>
  <si>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</si>
  <si>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</si>
  <si>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Dental</t>
  </si>
  <si>
    <t>Internal Medicine Ward</t>
  </si>
  <si>
    <t>Pediatric Ward</t>
  </si>
  <si>
    <t>Surgical Ward</t>
  </si>
  <si>
    <t>Ob/Gyne Ward</t>
  </si>
  <si>
    <t>Private Ward</t>
  </si>
  <si>
    <t>Neurosurgery Ward*</t>
  </si>
  <si>
    <t>Orthopedic Ward*</t>
  </si>
  <si>
    <t>Psychiatric Ward*</t>
  </si>
  <si>
    <t>ENT Ward*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</si>
  <si>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Fill in table with percentage of time of the staff (listed) allocated in a specific department</t>
    </r>
  </si>
  <si>
    <r>
      <rPr>
        <b/>
        <sz val="11"/>
        <color theme="1"/>
        <rFont val="Arial Narrow"/>
        <family val="2"/>
      </rPr>
      <t xml:space="preserve">Data collector: </t>
    </r>
    <r>
      <rPr>
        <sz val="11"/>
        <color theme="1"/>
        <rFont val="Arial Narrow"/>
        <family val="2"/>
      </rPr>
      <t>Human Resources Officer</t>
    </r>
  </si>
  <si>
    <t>IT Department</t>
  </si>
  <si>
    <t xml:space="preserve">Housekeeping </t>
  </si>
  <si>
    <t>Office of the Chief of Medical Professional Staff / Chief of Clinics</t>
  </si>
  <si>
    <t>Others</t>
  </si>
  <si>
    <t>Sterilization</t>
  </si>
  <si>
    <t>Laboratory</t>
  </si>
  <si>
    <t>Radiology / Diagnostic Imaging (CT Scan, MRI, ECG, Mammography, Endoscopy)</t>
  </si>
  <si>
    <t>Heart Station</t>
  </si>
  <si>
    <t>Physiotherapy / Rehabilitation</t>
  </si>
  <si>
    <t>Respiratory Unit</t>
  </si>
  <si>
    <t>Burn Unit</t>
  </si>
  <si>
    <t>Morgue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</si>
  <si>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</si>
  <si>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</si>
  <si>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</si>
  <si>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</si>
  <si>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</si>
  <si>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</si>
  <si>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</si>
  <si>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</si>
  <si>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</si>
  <si>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</si>
  <si>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Departments</t>
  </si>
  <si>
    <t>Housekeeping</t>
  </si>
  <si>
    <t>Outpatient Department (general)</t>
  </si>
  <si>
    <t xml:space="preserve">Diabetes </t>
  </si>
  <si>
    <t>Hypertension</t>
  </si>
  <si>
    <t>Total percentage of time=100%</t>
  </si>
  <si>
    <t># Personen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</si>
  <si>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</si>
  <si>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https://www.dbm.gov.ph/wp-content/uploads/Issuances/2013/Joint%20Circular%202013/DOH/Manual%20RSSGH_%203%20levels.pdf</t>
  </si>
  <si>
    <t>https://hfsrb.doh.gov.ph/images/Hospital/issuances/ao2012-0012.pdf</t>
  </si>
  <si>
    <t>References:</t>
  </si>
  <si>
    <t>Department Name / Unit</t>
  </si>
  <si>
    <t>Classification of Hospital Departments</t>
  </si>
  <si>
    <t>DEPARTMENT LIST</t>
  </si>
  <si>
    <t>Departments to select from</t>
  </si>
  <si>
    <t>Level II and III</t>
  </si>
  <si>
    <t>Time period covered:</t>
  </si>
  <si>
    <t>ANGELES, ANGELO</t>
  </si>
  <si>
    <t>STAFF NURSE</t>
  </si>
  <si>
    <t>BANAL, LORNA</t>
  </si>
  <si>
    <t>CHIEF NURSE</t>
  </si>
  <si>
    <t>BASCO, DIANE ROSE</t>
  </si>
  <si>
    <t>CHIEF PHARMACIST</t>
  </si>
  <si>
    <t>BRAZAN, AGNES</t>
  </si>
  <si>
    <t>CAMACHO, AVEJOY</t>
  </si>
  <si>
    <t>STAFF MEDTECH</t>
  </si>
  <si>
    <t>CAMARINO, MARY JANE</t>
  </si>
  <si>
    <t>CAPINPIN, REYMOND</t>
  </si>
  <si>
    <t>INSTITUTIONAL WORKERS</t>
  </si>
  <si>
    <t>CARPIO, ELENA</t>
  </si>
  <si>
    <t>PHARMACY AIDE</t>
  </si>
  <si>
    <t>CASIÑO, VICKY</t>
  </si>
  <si>
    <t>COOK</t>
  </si>
  <si>
    <t>CASTAÑEDA, EFREN</t>
  </si>
  <si>
    <t>PURCHASING OFFICER</t>
  </si>
  <si>
    <t>CASTAÑEDA, KIM ANTHONY</t>
  </si>
  <si>
    <t>CHIEF RADTECH</t>
  </si>
  <si>
    <t>CASTILLIO, CRYSTAL GAYLE</t>
  </si>
  <si>
    <t>ACCOUNTING CLERK</t>
  </si>
  <si>
    <t>CASTRO, LANIE</t>
  </si>
  <si>
    <t>PHILHEALTH OFFICER</t>
  </si>
  <si>
    <t>CONCEPCION, JAMES RODNEY</t>
  </si>
  <si>
    <t>NURSING AIDE</t>
  </si>
  <si>
    <t>CONCEPCION, KRIZELLE</t>
  </si>
  <si>
    <t>CUNANAN, DIANA</t>
  </si>
  <si>
    <t>HOUSEKEEPING</t>
  </si>
  <si>
    <t>DALUSONG, JEZZEL DIANE</t>
  </si>
  <si>
    <t>NURSING ASSISTANT</t>
  </si>
  <si>
    <t>DAYRIT, WILLIE</t>
  </si>
  <si>
    <t>RE USED TECHNICIAN</t>
  </si>
  <si>
    <t>DE ALA, JESSAMINE</t>
  </si>
  <si>
    <t>DE GUZMAN, MARICEL</t>
  </si>
  <si>
    <t>NUTRITRITIONIST/DIETICIAN</t>
  </si>
  <si>
    <t>DE GUZMAN, RICHELLE</t>
  </si>
  <si>
    <t>DEL ROSARIO, GRACE</t>
  </si>
  <si>
    <t>DOECADES, NELA</t>
  </si>
  <si>
    <t>INFORMATION PERSONNEL</t>
  </si>
  <si>
    <t>DUNGCA, MANILYN</t>
  </si>
  <si>
    <t>INVENTORY CLERK</t>
  </si>
  <si>
    <t>EMPONANO, NANCY</t>
  </si>
  <si>
    <t>ESPITA, MARA BIANCA</t>
  </si>
  <si>
    <t>HEAD   NURSE</t>
  </si>
  <si>
    <t>FERNANDO, CRISTINA</t>
  </si>
  <si>
    <t>FRANCISCO, IRA MAE</t>
  </si>
  <si>
    <t>FRANCO, JERVIN</t>
  </si>
  <si>
    <t>GALANG, CRISANTO</t>
  </si>
  <si>
    <t>GARCIA, RUBI ROSA</t>
  </si>
  <si>
    <t>MIDWIVES</t>
  </si>
  <si>
    <t>GARCIA, WILLIAM</t>
  </si>
  <si>
    <t>GONZALES, MARLENE</t>
  </si>
  <si>
    <t>LABORATORY AIDE</t>
  </si>
  <si>
    <t>GONZALES, SHARMAINE</t>
  </si>
  <si>
    <t>GUEVARRA, CECILE</t>
  </si>
  <si>
    <t>BILLER</t>
  </si>
  <si>
    <t>GUEVARRA, GILBERT</t>
  </si>
  <si>
    <t>LACBU, ROSSANA</t>
  </si>
  <si>
    <t>LIM, MARIEL</t>
  </si>
  <si>
    <t>LIM, RINA</t>
  </si>
  <si>
    <t>LAUNDRY PERSONNEL</t>
  </si>
  <si>
    <t>LUMBANG, LEALU</t>
  </si>
  <si>
    <t>LURIZ, ERNIE</t>
  </si>
  <si>
    <t>MACANILAO, ALDRIN</t>
  </si>
  <si>
    <t>MAGLANQUE, JASMINE</t>
  </si>
  <si>
    <t>STAFF RADTECH</t>
  </si>
  <si>
    <t>MAGTOTO, JENNIELYN</t>
  </si>
  <si>
    <t>MANALILI, JINGERLYN</t>
  </si>
  <si>
    <t>MANIEGO, RUBILYN</t>
  </si>
  <si>
    <t>ICN/TB DOTS/OPD NURSE</t>
  </si>
  <si>
    <t>MENDOZA, JEAN CRISTINE</t>
  </si>
  <si>
    <t>MESINA, RANALIE</t>
  </si>
  <si>
    <t>MIRANDA, VERONICA</t>
  </si>
  <si>
    <t>MONTER, LYN</t>
  </si>
  <si>
    <t>CASHIER</t>
  </si>
  <si>
    <t>NARZABAL JENNY LYN KRIS</t>
  </si>
  <si>
    <t>PHYSICAL THERAPY</t>
  </si>
  <si>
    <t>NG, KIMBERLY ANN</t>
  </si>
  <si>
    <t>PHARMACY</t>
  </si>
  <si>
    <t>NOGOY, LUDY</t>
  </si>
  <si>
    <t>ADMINISTRATIVE</t>
  </si>
  <si>
    <t>OCAMPO, JANETTE</t>
  </si>
  <si>
    <t>ORTEGA, ARIEL</t>
  </si>
  <si>
    <t>PANGAN, JEMMRY ROSE</t>
  </si>
  <si>
    <t>STAFF PHARMACIST</t>
  </si>
  <si>
    <t>PARAS, IMEE NELL</t>
  </si>
  <si>
    <t>PEDROLA, ROCHELLE</t>
  </si>
  <si>
    <t>PELAYO, CHELLO JOY</t>
  </si>
  <si>
    <t>CHIEF MEDICAL TECHNOLOGIST</t>
  </si>
  <si>
    <t>PEREZ JR., RENATO</t>
  </si>
  <si>
    <t>PINEDA, BRENA ROSE</t>
  </si>
  <si>
    <t>PINEDA, ELAINE JOY</t>
  </si>
  <si>
    <t>PINEDA, IAN CLOVER</t>
  </si>
  <si>
    <t>PINEDA, MARK PAULO</t>
  </si>
  <si>
    <t>PUYAT, JOHN AARON</t>
  </si>
  <si>
    <t>SSTAFF  RADTECH</t>
  </si>
  <si>
    <t>PUYAT, VIRGILIO III</t>
  </si>
  <si>
    <t>NURSE SUPERVISOR/HEAD NURSE</t>
  </si>
  <si>
    <t>PUYAT, VLADIMIR</t>
  </si>
  <si>
    <t>INFORMATION/MAINTENANCE SPERVISOR</t>
  </si>
  <si>
    <t>RIVERA, ANGELINE</t>
  </si>
  <si>
    <t>RUEGAS, LIEZEL</t>
  </si>
  <si>
    <t>SALAC, MARICEL</t>
  </si>
  <si>
    <t>SALVADOR, GEORGIE</t>
  </si>
  <si>
    <t>IT</t>
  </si>
  <si>
    <t>SAMSON, SHEILA</t>
  </si>
  <si>
    <t>MANAGEMENT</t>
  </si>
  <si>
    <t>SANTOS, ARIEL</t>
  </si>
  <si>
    <t>AMBULANCE DRIVER</t>
  </si>
  <si>
    <t>SANTOS, WILBERTO</t>
  </si>
  <si>
    <t>SOL, ANALYN</t>
  </si>
  <si>
    <t>LIASON/PHIC OFFICER</t>
  </si>
  <si>
    <t>TAGALAG, NELSON</t>
  </si>
  <si>
    <t>TIOPENGCO, BERNARD ANTHONY</t>
  </si>
  <si>
    <t>TOMAS, JEREMIAH</t>
  </si>
  <si>
    <t>TORRES, NIDA</t>
  </si>
  <si>
    <t>ASST. COOK</t>
  </si>
  <si>
    <t>TORRES, PAULA BLANCA</t>
  </si>
  <si>
    <t>TUAZON, JEMMA</t>
  </si>
  <si>
    <t>TUNGOL, JOFEL</t>
  </si>
  <si>
    <t>VASQUEZ, ROLYN</t>
  </si>
  <si>
    <t>VELASCO, JOSPEHINE</t>
  </si>
  <si>
    <t>VINUYA, AIZA</t>
  </si>
  <si>
    <t>YUMUL, ROMA ROSE</t>
  </si>
  <si>
    <t>ZAFRA, ANDRES</t>
  </si>
  <si>
    <t>ZAFRA, MAGDALENA</t>
  </si>
  <si>
    <t>Ancillary services/Support services -&gt; Operating Room / Aneasthesiology / PACU / Recovery Room</t>
  </si>
  <si>
    <t>Ancillary services/Support services -&gt; Others</t>
  </si>
  <si>
    <t>Ancillary services/Support services -&gt; Pharmacy</t>
  </si>
  <si>
    <t>Clinical/Medical services -&gt; Emergency Medicine Department</t>
  </si>
  <si>
    <t>Ancillary services/Support services -&gt; Laboratory</t>
  </si>
  <si>
    <t>Administrative/Overhead services -&gt; Housekeeping</t>
  </si>
  <si>
    <t>Ancillary services/Support services -&gt; Nutrition and Dietetics</t>
  </si>
  <si>
    <t>Administrative/Overhead services -&gt; Procurement</t>
  </si>
  <si>
    <t>Ancillary services/Support services -&gt; Radiology / Diagnostic Imaging (CT Scan, MRI, ECG, Mammography, Endoscopy)</t>
  </si>
  <si>
    <t>Administrative/Overhead services -&gt; Budget and Accounting</t>
  </si>
  <si>
    <t>Administrative/Overhead services -&gt; Billing and Claims</t>
  </si>
  <si>
    <t>Clinical/Medical services -&gt; Outpatient Department (general)</t>
  </si>
  <si>
    <t>Clinical/Medical services -&gt; Dialysis Unit</t>
  </si>
  <si>
    <t>Clinical/Medical services -&gt; Private Ward</t>
  </si>
  <si>
    <t>Administrative/Overhead services -&gt; Health Info Mgt (Admitting)</t>
  </si>
  <si>
    <t>Administrative/Overhead services -&gt; Central Supply Office</t>
  </si>
  <si>
    <t>Ancillary services/Support services -&gt; Laundry</t>
  </si>
  <si>
    <t>Clinical/Medical services -&gt; TB Dots</t>
  </si>
  <si>
    <t>Administrative/Overhead services -&gt; Cash Operations</t>
  </si>
  <si>
    <t>Ancillary services/Support services -&gt; Physiotherapy / Rehabilitation</t>
  </si>
  <si>
    <t>Administrative/Overhead services -&gt; Human Resource Management</t>
  </si>
  <si>
    <t>Administrative/Overhead services -&gt; Engineering and Facilities Management</t>
  </si>
  <si>
    <t>Administrative/Overhead services -&gt; IT Departments</t>
  </si>
  <si>
    <t>Administrative/Overhead services -&gt; Office of the Medical Center Chief</t>
  </si>
  <si>
    <t>Administrative/Overhead services -&gt; Others</t>
  </si>
  <si>
    <t>Permament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</si>
</sst>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33" x14ac:knownFonts="1"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i/>
      <sz val="10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1"/>
      <color rgb="FF000000"/>
      <name val="Calibri"/>
      <family val="2"/>
    </font>
    <font>
      <sz val="11"/>
      <color rgb="FF00000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b/>
      <sz val="11"/>
      <color rgb="FF000000"/>
      <name val="Arial Narrow"/>
      <family val="2"/>
    </font>
    <font>
      <b/>
      <i/>
      <sz val="11"/>
      <color indexed="12"/>
      <name val="Arial Narrow"/>
      <family val="2"/>
    </font>
    <font>
      <sz val="11"/>
      <color theme="1"/>
      <name val="Calibri"/>
      <family val="2"/>
      <scheme val="minor"/>
    </font>
    <font>
      <b/>
      <sz val="12"/>
      <color rgb="FF000000"/>
      <name val="Arial Narrow"/>
      <family val="2"/>
    </font>
    <font>
      <b/>
      <sz val="11"/>
      <color rgb="FF0070C0"/>
      <name val="Arial Narrow"/>
      <family val="2"/>
    </font>
    <font>
      <sz val="10"/>
      <color theme="1"/>
      <name val="Arial Narrow"/>
      <family val="2"/>
    </font>
    <font>
      <b/>
      <sz val="11"/>
      <name val="Calibri"/>
      <family val="2"/>
    </font>
    <font>
      <sz val="11"/>
      <color rgb="FF0070C0"/>
      <name val="Arial Narrow"/>
      <family val="2"/>
    </font>
    <font>
      <b/>
      <sz val="11"/>
      <color rgb="FFFF0000"/>
      <name val="Arial Narrow"/>
      <family val="2"/>
    </font>
    <font>
      <b/>
      <i/>
      <sz val="11"/>
      <color theme="1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0"/>
      <color rgb="FF0070C0"/>
      <name val="Arial Narrow"/>
      <family val="2"/>
    </font>
    <font>
      <b/>
      <sz val="10"/>
      <color rgb="FF0070C0"/>
      <name val="Arial Narrow"/>
      <family val="2"/>
    </font>
    <font>
      <b/>
      <sz val="11"/>
      <color theme="1"/>
      <name val="Calibri"/>
      <family val="2"/>
      <scheme val="minor"/>
    </font>
    <font>
      <u/>
      <sz val="11"/>
      <color rgb="FF0563C1"/>
      <name val="Calibri"/>
      <family val="2"/>
    </font>
    <font>
      <u/>
      <sz val="11"/>
      <color rgb="FF000000"/>
      <name val="Arial Narrow"/>
      <family val="2"/>
    </font>
    <font>
      <sz val="11"/>
      <color rgb="FF333333"/>
      <name val="Calibri"/>
      <family val="2"/>
    </font>
    <font>
      <sz val="11"/>
      <color rgb="FF0000FF"/>
      <name val="Calibri"/>
      <family val="2"/>
    </font>
    <font>
      <sz val="11"/>
      <color theme="4"/>
      <name val="Arial Narrow"/>
      <family val="2"/>
    </font>
    <font>
      <i/>
      <sz val="16"/>
      <color rgb="FFFF0000"/>
      <name val="Arial Narrow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8">
    <xf numFmtId="0" fontId="0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" fillId="0" borderId="0"/>
    <xf numFmtId="9" fontId="13" fillId="0" borderId="0" applyFont="0" applyFill="0" applyBorder="0" applyAlignment="0" applyProtection="0"/>
    <xf numFmtId="0" fontId="13" fillId="0" borderId="0"/>
  </cellStyleXfs>
  <cellXfs count="109">
    <xf numFmtId="0" fontId="0" fillId="0" borderId="0" xfId="0"/>
    <xf numFmtId="0" fontId="2" fillId="0" borderId="0" xfId="0" applyFont="1"/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2" fillId="0" borderId="1" xfId="0" applyFont="1" applyBorder="1"/>
    <xf numFmtId="0" fontId="5" fillId="0" borderId="0" xfId="1" applyFont="1" applyFill="1" applyBorder="1"/>
    <xf numFmtId="0" fontId="4" fillId="0" borderId="0" xfId="1" applyFont="1" applyFill="1" applyBorder="1"/>
    <xf numFmtId="0" fontId="5" fillId="0" borderId="0" xfId="1" applyFont="1" applyFill="1" applyBorder="1" applyProtection="1">
      <protection locked="0"/>
    </xf>
    <xf numFmtId="2" fontId="5" fillId="0" borderId="0" xfId="2" applyNumberFormat="1" applyFont="1" applyFill="1" applyBorder="1" applyProtection="1">
      <protection locked="0"/>
    </xf>
    <xf numFmtId="0" fontId="4" fillId="0" borderId="0" xfId="1" applyFont="1" applyFill="1" applyBorder="1" applyProtection="1"/>
    <xf numFmtId="2" fontId="5" fillId="0" borderId="0" xfId="2" applyNumberFormat="1" applyFont="1" applyFill="1" applyBorder="1" applyProtection="1"/>
    <xf numFmtId="2" fontId="5" fillId="0" borderId="0" xfId="1" applyNumberFormat="1" applyFont="1" applyFill="1" applyBorder="1"/>
    <xf numFmtId="2" fontId="5" fillId="0" borderId="0" xfId="1" applyNumberFormat="1" applyFont="1" applyFill="1" applyBorder="1" applyProtection="1">
      <protection locked="0"/>
    </xf>
    <xf numFmtId="0" fontId="2" fillId="0" borderId="0" xfId="0" applyFont="1"/>
    <xf numFmtId="0" fontId="2" fillId="0" borderId="0" xfId="0" applyFont="1" applyAlignment="1">
      <alignment vertical="top" wrapText="1"/>
    </xf>
    <xf numFmtId="0" fontId="2" fillId="0" borderId="0" xfId="0" applyFont="1" applyAlignment="1">
      <alignment vertical="center"/>
    </xf>
    <xf numFmtId="0" fontId="8" fillId="0" borderId="0" xfId="0" applyFont="1"/>
    <xf numFmtId="0" fontId="14" fillId="2" borderId="0" xfId="0" applyFont="1" applyFill="1"/>
    <xf numFmtId="0" fontId="8" fillId="2" borderId="0" xfId="0" applyFont="1" applyFill="1"/>
    <xf numFmtId="0" fontId="15" fillId="0" borderId="0" xfId="0" applyFont="1" applyAlignment="1" applyProtection="1">
      <alignment horizontal="center"/>
      <protection locked="0"/>
    </xf>
    <xf numFmtId="0" fontId="0" fillId="0" borderId="0" xfId="0" applyFont="1" applyAlignment="1"/>
    <xf numFmtId="0" fontId="16" fillId="0" borderId="0" xfId="0" applyFont="1" applyProtection="1"/>
    <xf numFmtId="0" fontId="16" fillId="0" borderId="0" xfId="0" applyFont="1"/>
    <xf numFmtId="0" fontId="16" fillId="0" borderId="0" xfId="0" applyFont="1" applyAlignment="1" applyProtection="1">
      <alignment horizontal="center" wrapText="1"/>
    </xf>
    <xf numFmtId="0" fontId="8" fillId="4" borderId="1" xfId="5" applyFont="1" applyFill="1" applyBorder="1" applyAlignment="1">
      <alignment horizontal="left" vertical="center" wrapText="1"/>
    </xf>
    <xf numFmtId="0" fontId="9" fillId="4" borderId="1" xfId="5" applyFont="1" applyFill="1" applyBorder="1" applyAlignment="1">
      <alignment horizontal="left" vertical="center" wrapText="1"/>
    </xf>
    <xf numFmtId="0" fontId="10" fillId="4" borderId="1" xfId="5" applyFont="1" applyFill="1" applyBorder="1" applyAlignment="1">
      <alignment horizontal="left" vertical="center" wrapText="1"/>
    </xf>
    <xf numFmtId="0" fontId="11" fillId="4" borderId="0" xfId="0" applyFont="1" applyFill="1" applyBorder="1" applyAlignment="1" applyProtection="1">
      <alignment horizontal="left" vertical="center"/>
    </xf>
    <xf numFmtId="0" fontId="20" fillId="0" borderId="0" xfId="0" applyFont="1" applyProtection="1"/>
    <xf numFmtId="0" fontId="3" fillId="0" borderId="0" xfId="0" applyFont="1" applyProtection="1"/>
    <xf numFmtId="0" fontId="2" fillId="4" borderId="7" xfId="0" applyFont="1" applyFill="1" applyBorder="1"/>
    <xf numFmtId="0" fontId="2" fillId="4" borderId="8" xfId="0" applyFont="1" applyFill="1" applyBorder="1"/>
    <xf numFmtId="0" fontId="2" fillId="4" borderId="9" xfId="0" applyFont="1" applyFill="1" applyBorder="1"/>
    <xf numFmtId="0" fontId="2" fillId="4" borderId="10" xfId="0" applyFont="1" applyFill="1" applyBorder="1"/>
    <xf numFmtId="0" fontId="2" fillId="4" borderId="0" xfId="0" applyFont="1" applyFill="1" applyBorder="1"/>
    <xf numFmtId="0" fontId="2" fillId="4" borderId="11" xfId="0" applyFont="1" applyFill="1" applyBorder="1"/>
    <xf numFmtId="0" fontId="2" fillId="4" borderId="12" xfId="0" applyFont="1" applyFill="1" applyBorder="1"/>
    <xf numFmtId="0" fontId="2" fillId="4" borderId="6" xfId="0" applyFont="1" applyFill="1" applyBorder="1"/>
    <xf numFmtId="0" fontId="2" fillId="4" borderId="13" xfId="0" applyFont="1" applyFill="1" applyBorder="1"/>
    <xf numFmtId="0" fontId="18" fillId="0" borderId="1" xfId="0" applyFont="1" applyBorder="1" applyProtection="1">
      <protection locked="0"/>
    </xf>
    <xf numFmtId="0" fontId="2" fillId="2" borderId="1" xfId="0" applyFont="1" applyFill="1" applyBorder="1" applyAlignment="1">
      <alignment vertical="center"/>
    </xf>
    <xf numFmtId="0" fontId="6" fillId="4" borderId="1" xfId="1" applyFont="1" applyFill="1" applyBorder="1" applyAlignment="1">
      <alignment vertical="top" wrapText="1"/>
    </xf>
    <xf numFmtId="9" fontId="18" fillId="5" borderId="5" xfId="6" applyFont="1" applyFill="1" applyBorder="1" applyProtection="1">
      <protection locked="0"/>
    </xf>
    <xf numFmtId="9" fontId="23" fillId="0" borderId="0" xfId="6" applyFont="1" applyAlignment="1" applyProtection="1">
      <alignment horizontal="center" wrapText="1"/>
    </xf>
    <xf numFmtId="9" fontId="18" fillId="0" borderId="0" xfId="6" applyFont="1"/>
    <xf numFmtId="9" fontId="24" fillId="0" borderId="1" xfId="6" applyFont="1" applyFill="1" applyBorder="1" applyAlignment="1">
      <alignment vertical="top" wrapText="1"/>
    </xf>
    <xf numFmtId="0" fontId="5" fillId="0" borderId="1" xfId="1" applyFont="1" applyFill="1" applyBorder="1"/>
    <xf numFmtId="0" fontId="2" fillId="3" borderId="1" xfId="0" applyFont="1" applyFill="1" applyBorder="1" applyAlignment="1">
      <alignment vertical="center"/>
    </xf>
    <xf numFmtId="0" fontId="12" fillId="3" borderId="1" xfId="1" applyFont="1" applyFill="1" applyBorder="1" applyAlignment="1">
      <alignment vertical="center"/>
    </xf>
    <xf numFmtId="0" fontId="9" fillId="3" borderId="1" xfId="1" applyFont="1" applyFill="1" applyBorder="1" applyAlignment="1">
      <alignment vertical="center"/>
    </xf>
    <xf numFmtId="0" fontId="6" fillId="4" borderId="1" xfId="1" applyFont="1" applyFill="1" applyBorder="1" applyAlignment="1">
      <alignment horizontal="left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left" vertical="center" wrapText="1"/>
    </xf>
    <xf numFmtId="0" fontId="7" fillId="0" borderId="0" xfId="5" applyFont="1" applyAlignment="1"/>
    <xf numFmtId="0" fontId="8" fillId="0" borderId="0" xfId="5" applyFont="1"/>
    <xf numFmtId="0" fontId="26" fillId="0" borderId="0" xfId="5" applyFont="1"/>
    <xf numFmtId="0" fontId="8" fillId="0" borderId="0" xfId="5" applyFont="1" applyAlignment="1"/>
    <xf numFmtId="0" fontId="8" fillId="0" borderId="0" xfId="5" applyFont="1" applyAlignment="1">
      <alignment horizontal="center" vertical="center"/>
    </xf>
    <xf numFmtId="0" fontId="8" fillId="0" borderId="14" xfId="5" applyFont="1" applyBorder="1"/>
    <xf numFmtId="0" fontId="8" fillId="0" borderId="15" xfId="5" applyFont="1" applyBorder="1" applyAlignment="1">
      <alignment vertical="center"/>
    </xf>
    <xf numFmtId="0" fontId="8" fillId="0" borderId="16" xfId="5" applyFont="1" applyBorder="1"/>
    <xf numFmtId="0" fontId="8" fillId="0" borderId="16" xfId="5" applyFont="1" applyBorder="1" applyAlignment="1"/>
    <xf numFmtId="0" fontId="10" fillId="0" borderId="16" xfId="5" applyFont="1" applyBorder="1" applyAlignment="1"/>
    <xf numFmtId="0" fontId="8" fillId="0" borderId="17" xfId="5" applyFont="1" applyBorder="1"/>
    <xf numFmtId="0" fontId="9" fillId="0" borderId="14" xfId="5" applyFont="1" applyBorder="1" applyAlignment="1"/>
    <xf numFmtId="0" fontId="8" fillId="0" borderId="17" xfId="5" applyFont="1" applyBorder="1" applyAlignment="1"/>
    <xf numFmtId="0" fontId="8" fillId="0" borderId="18" xfId="5" applyFont="1" applyBorder="1" applyAlignment="1"/>
    <xf numFmtId="0" fontId="8" fillId="0" borderId="19" xfId="5" applyFont="1" applyBorder="1" applyAlignment="1">
      <alignment vertical="center"/>
    </xf>
    <xf numFmtId="0" fontId="8" fillId="0" borderId="18" xfId="5" applyFont="1" applyBorder="1"/>
    <xf numFmtId="0" fontId="8" fillId="0" borderId="20" xfId="5" applyFont="1" applyBorder="1"/>
    <xf numFmtId="0" fontId="8" fillId="0" borderId="15" xfId="5" applyFont="1" applyBorder="1" applyAlignment="1">
      <alignment horizontal="center"/>
    </xf>
    <xf numFmtId="0" fontId="11" fillId="0" borderId="0" xfId="5" applyFont="1"/>
    <xf numFmtId="0" fontId="9" fillId="0" borderId="0" xfId="5" applyFont="1"/>
    <xf numFmtId="0" fontId="27" fillId="0" borderId="0" xfId="5" applyFont="1" applyAlignment="1"/>
    <xf numFmtId="0" fontId="8" fillId="0" borderId="21" xfId="5" applyFont="1" applyBorder="1" applyAlignment="1"/>
    <xf numFmtId="0" fontId="8" fillId="0" borderId="21" xfId="5" applyFont="1" applyBorder="1" applyAlignment="1">
      <alignment vertical="center"/>
    </xf>
    <xf numFmtId="0" fontId="9" fillId="0" borderId="21" xfId="5" applyFont="1" applyBorder="1" applyAlignment="1"/>
    <xf numFmtId="0" fontId="8" fillId="0" borderId="22" xfId="5" applyFont="1" applyBorder="1" applyAlignment="1"/>
    <xf numFmtId="0" fontId="8" fillId="0" borderId="23" xfId="5" applyFont="1" applyBorder="1" applyAlignment="1"/>
    <xf numFmtId="0" fontId="8" fillId="0" borderId="21" xfId="5" applyFont="1" applyBorder="1"/>
    <xf numFmtId="0" fontId="8" fillId="0" borderId="24" xfId="5" applyFont="1" applyBorder="1" applyAlignment="1"/>
    <xf numFmtId="0" fontId="8" fillId="0" borderId="25" xfId="5" applyFont="1" applyBorder="1" applyAlignment="1"/>
    <xf numFmtId="0" fontId="8" fillId="0" borderId="26" xfId="5" applyFont="1" applyBorder="1" applyAlignment="1"/>
    <xf numFmtId="0" fontId="11" fillId="0" borderId="0" xfId="5" applyFont="1" applyAlignment="1"/>
    <xf numFmtId="0" fontId="13" fillId="0" borderId="0" xfId="7"/>
    <xf numFmtId="0" fontId="25" fillId="0" borderId="0" xfId="7" applyFont="1"/>
    <xf numFmtId="0" fontId="3" fillId="4" borderId="10" xfId="0" applyFont="1" applyFill="1" applyBorder="1"/>
    <xf numFmtId="0" fontId="30" fillId="5" borderId="1" xfId="0" applyFont="1" applyFill="1" applyBorder="1" applyAlignment="1">
      <alignment horizontal="center"/>
    </xf>
    <xf numFmtId="0" fontId="31" fillId="0" borderId="0" xfId="1" applyFont="1" applyFill="1" applyBorder="1" applyAlignment="1">
      <alignment horizontal="left"/>
    </xf>
    <xf numFmtId="0" fontId="11" fillId="3" borderId="1" xfId="5" applyFont="1" applyFill="1" applyBorder="1" applyAlignment="1">
      <alignment horizontal="center" vertical="center" wrapText="1"/>
    </xf>
    <xf numFmtId="0" fontId="17" fillId="3" borderId="1" xfId="5" applyFont="1" applyFill="1" applyBorder="1" applyAlignment="1">
      <alignment wrapText="1"/>
    </xf>
    <xf numFmtId="0" fontId="2" fillId="4" borderId="7" xfId="0" applyFont="1" applyFill="1" applyBorder="1" applyAlignment="1">
      <alignment horizontal="left" wrapText="1"/>
    </xf>
    <xf numFmtId="0" fontId="2" fillId="4" borderId="8" xfId="0" applyFont="1" applyFill="1" applyBorder="1" applyAlignment="1">
      <alignment horizontal="left" wrapText="1"/>
    </xf>
    <xf numFmtId="0" fontId="2" fillId="4" borderId="9" xfId="0" applyFont="1" applyFill="1" applyBorder="1" applyAlignment="1">
      <alignment horizontal="left" wrapText="1"/>
    </xf>
    <xf numFmtId="0" fontId="2" fillId="4" borderId="12" xfId="0" applyFont="1" applyFill="1" applyBorder="1" applyAlignment="1">
      <alignment horizontal="left" wrapText="1"/>
    </xf>
    <xf numFmtId="0" fontId="2" fillId="4" borderId="6" xfId="0" applyFont="1" applyFill="1" applyBorder="1" applyAlignment="1">
      <alignment horizontal="left" wrapText="1"/>
    </xf>
    <xf numFmtId="0" fontId="2" fillId="4" borderId="13" xfId="0" applyFont="1" applyFill="1" applyBorder="1" applyAlignment="1">
      <alignment horizontal="left" wrapText="1"/>
    </xf>
    <xf numFmtId="0" fontId="8" fillId="3" borderId="2" xfId="5" applyFont="1" applyFill="1" applyBorder="1" applyAlignment="1">
      <alignment wrapText="1"/>
    </xf>
    <xf numFmtId="0" fontId="8" fillId="3" borderId="3" xfId="5" applyFont="1" applyFill="1" applyBorder="1" applyAlignment="1">
      <alignment wrapText="1"/>
    </xf>
    <xf numFmtId="0" fontId="8" fillId="3" borderId="4" xfId="5" applyFont="1" applyFill="1" applyBorder="1" applyAlignment="1">
      <alignment wrapText="1"/>
    </xf>
    <xf numFmtId="0" fontId="8" fillId="3" borderId="1" xfId="5" applyFont="1" applyFill="1" applyBorder="1" applyAlignment="1">
      <alignment wrapText="1"/>
    </xf>
    <xf numFmtId="0" fontId="10" fillId="3" borderId="1" xfId="5" applyFont="1" applyFill="1" applyBorder="1" applyAlignment="1">
      <alignment wrapText="1"/>
    </xf>
    <xf numFmtId="0" fontId="8" fillId="3" borderId="1" xfId="5" applyFont="1" applyFill="1" applyBorder="1" applyAlignment="1">
      <alignment horizontal="center" vertical="center" wrapText="1"/>
    </xf>
    <xf numFmtId="0" fontId="11" fillId="4" borderId="1" xfId="5" applyFont="1" applyFill="1" applyBorder="1" applyAlignment="1">
      <alignment horizontal="center" vertical="center" wrapText="1"/>
    </xf>
    <xf numFmtId="0" fontId="17" fillId="4" borderId="1" xfId="5" applyFont="1" applyFill="1" applyBorder="1" applyAlignment="1">
      <alignment wrapText="1"/>
    </xf>
    <xf numFmtId="0" fontId="32" fillId="0" borderId="1" xfId="0" applyFont="1" applyFill="1" applyBorder="1" applyAlignment="1" applyProtection="1">
      <alignment horizontal="left" vertical="center"/>
      <protection locked="0"/>
    </xf>
    <xf numFmtId="0" fontId="32" fillId="0" borderId="1" xfId="0" applyFont="1" applyFill="1" applyBorder="1" applyProtection="1">
      <protection locked="0"/>
    </xf>
    <xf numFmtId="0" fontId="23" fillId="0" borderId="27" xfId="0" applyFont="1" applyBorder="1" applyProtection="1">
      <protection locked="0"/>
    </xf>
    <xf numFmtId="0" fontId="2" fillId="0" borderId="1" xfId="0" applyFont="1" applyBorder="1" applyProtection="1">
      <protection locked="0"/>
    </xf>
  </cellXfs>
  <cellStyles count="8">
    <cellStyle name="Comma 2" xfId="4"/>
    <cellStyle name="Normal" xfId="0" builtinId="0"/>
    <cellStyle name="Normal 2" xfId="1"/>
    <cellStyle name="Normal 2 2" xfId="5"/>
    <cellStyle name="Normal 2 3" xfId="7"/>
    <cellStyle name="Percent" xfId="6" builtinId="5"/>
    <cellStyle name="Percent 2" xfId="2"/>
    <cellStyle name="Percent 4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1190625</xdr:colOff>
          <xdr:row>11</xdr:row>
          <xdr:rowOff>9525</xdr:rowOff>
        </xdr:to>
        <xdr:sp macro="" textlink="">
          <xdr:nvSpPr>
            <xdr:cNvPr id="1025" name="SelectI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1209675</xdr:colOff>
          <xdr:row>10</xdr:row>
          <xdr:rowOff>0</xdr:rowOff>
        </xdr:from>
        <xdr:to>
          <xdr:col>4</xdr:col>
          <xdr:colOff>714375</xdr:colOff>
          <xdr:row>11</xdr:row>
          <xdr:rowOff>9525</xdr:rowOff>
        </xdr:to>
        <xdr:sp macro="" textlink="">
          <xdr:nvSpPr>
            <xdr:cNvPr id="1026" name="SelectIIandIII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9525</xdr:rowOff>
        </xdr:from>
        <xdr:to>
          <xdr:col>1</xdr:col>
          <xdr:colOff>781050</xdr:colOff>
          <xdr:row>13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828675</xdr:colOff>
          <xdr:row>13</xdr:row>
          <xdr:rowOff>9525</xdr:rowOff>
        </xdr:from>
        <xdr:to>
          <xdr:col>1</xdr:col>
          <xdr:colOff>1552575</xdr:colOff>
          <xdr:row>13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6_Finance%20and%20Accounting%20costing%20%20form%202405201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0.1 Payroll"/>
      <sheetName val="10.2 Revenue&amp;Expenditure"/>
      <sheetName val="SelectDept"/>
      <sheetName val="Level I_Departments"/>
      <sheetName val="Level IIandIII_Departments"/>
    </sheetNames>
    <sheetDataSet>
      <sheetData sheetId="0" refreshError="1"/>
      <sheetData sheetId="1" refreshError="1"/>
      <sheetData sheetId="2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dbm.gov.ph/wp-content/uploads/Issuances/2013/Joint%20Circular%202013/DOH/Manual%20RSSGH_%203%20levels.pdf" TargetMode="External"/><Relationship Id="rId1" Type="http://schemas.openxmlformats.org/officeDocument/2006/relationships/hyperlink" Target="https://hfsrb.doh.gov.ph/images/Hospital/issuances/ao2012-0012.pdf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dbm.gov.ph/wp-content/uploads/Issuances/2013/Joint%20Circular%202013/DOH/Manual%20RSSGH_%203%20levels.pdf" TargetMode="External"/><Relationship Id="rId1" Type="http://schemas.openxmlformats.org/officeDocument/2006/relationships/hyperlink" Target="https://hfsrb.doh.gov.ph/images/Hospital/issuances/ao2012-0012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2:Y101"/>
  <sheetViews>
    <sheetView showGridLines="0" topLeftCell="A2" zoomScale="85" zoomScaleNormal="85" workbookViewId="0">
      <selection activeCell="I76" sqref="I76"/>
    </sheetView>
  </sheetViews>
  <sheetFormatPr defaultColWidth="8.7109375" defaultRowHeight="16.5" outlineLevelRow="1" x14ac:dyDescent="0.3"/>
  <cols>
    <col min="1" max="1" width="3.85546875" style="13" customWidth="1"/>
    <col min="2" max="2" width="25" style="1" customWidth="1"/>
    <col min="3" max="3" width="30" style="1" customWidth="1"/>
    <col min="4" max="4" width="22.140625" style="1" customWidth="1"/>
    <col min="5" max="5" width="12.42578125" style="1" customWidth="1"/>
    <col min="6" max="6" width="51.140625" style="1" bestFit="1" customWidth="1"/>
    <col min="7" max="7" width="24.5703125" style="1" customWidth="1"/>
    <col min="8" max="8" width="6.7109375" style="1" customWidth="1"/>
    <col min="9" max="16384" width="8.7109375" style="1"/>
  </cols>
  <sheetData>
    <row r="2" spans="1:25" s="20" customFormat="1" ht="13.5" customHeight="1" x14ac:dyDescent="0.35">
      <c r="A2" s="16"/>
      <c r="B2" s="17" t="s">
        <v>2</v>
      </c>
      <c r="C2" s="18"/>
      <c r="D2" s="19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</row>
    <row r="4" spans="1:25" ht="14.1" hidden="1" outlineLevel="1" x14ac:dyDescent="0.3">
      <c r="B4" s="1" t="s">
        <v>89</v>
      </c>
      <c r="C4" s="1">
        <v>88</v>
      </c>
      <c r="D4" s="1" t="s">
        <v>98</v>
      </c>
    </row>
    <row r="5" spans="1:25" ht="14.1" collapsed="1" x14ac:dyDescent="0.3">
      <c r="B5" s="30" t="s">
        <v>8</v>
      </c>
      <c r="C5" s="31"/>
      <c r="D5" s="31"/>
      <c r="E5" s="31"/>
      <c r="F5" s="31"/>
      <c r="G5" s="32"/>
    </row>
    <row r="6" spans="1:25" ht="14.1" x14ac:dyDescent="0.3">
      <c r="B6" s="33" t="s">
        <v>9</v>
      </c>
      <c r="C6" s="34"/>
      <c r="D6" s="34"/>
      <c r="E6" s="34"/>
      <c r="F6" s="34"/>
      <c r="G6" s="35"/>
    </row>
    <row r="7" spans="1:25" ht="14.1" x14ac:dyDescent="0.3">
      <c r="B7" s="33" t="s">
        <v>10</v>
      </c>
      <c r="C7" s="87">
        <v>2017</v>
      </c>
      <c r="D7" s="34"/>
      <c r="E7" s="34"/>
      <c r="F7" s="34"/>
      <c r="G7" s="35"/>
    </row>
    <row r="8" spans="1:25" s="13" customFormat="1" ht="14.1" x14ac:dyDescent="0.3">
      <c r="B8" s="86" t="s">
        <v>99</v>
      </c>
      <c r="C8" s="34"/>
      <c r="D8" s="34"/>
      <c r="E8" s="34"/>
      <c r="F8" s="34"/>
      <c r="G8" s="35"/>
    </row>
    <row r="9" spans="1:25" ht="14.1" x14ac:dyDescent="0.3">
      <c r="B9" s="36" t="s">
        <v>11</v>
      </c>
      <c r="C9" s="37"/>
      <c r="D9" s="37"/>
      <c r="E9" s="37"/>
      <c r="F9" s="37"/>
      <c r="G9" s="38"/>
    </row>
    <row r="10" spans="1:25" s="22" customFormat="1" ht="12.95" x14ac:dyDescent="0.3"/>
    <row r="11" spans="1:25" s="21" customFormat="1" ht="14.1" x14ac:dyDescent="0.3">
      <c r="B11" s="27" t="s">
        <v>90</v>
      </c>
      <c r="C11" s="27"/>
    </row>
    <row r="12" spans="1:25" s="21" customFormat="1" ht="14.1" x14ac:dyDescent="0.3">
      <c r="B12" s="28"/>
      <c r="C12" s="28"/>
      <c r="D12" s="29"/>
    </row>
    <row r="13" spans="1:25" ht="48.95" customHeight="1" x14ac:dyDescent="0.3">
      <c r="B13" s="2" t="s">
        <v>12</v>
      </c>
      <c r="C13" s="3" t="s">
        <v>0</v>
      </c>
      <c r="D13" s="3" t="s">
        <v>7</v>
      </c>
      <c r="E13" s="3" t="s">
        <v>17</v>
      </c>
      <c r="F13" s="3" t="s">
        <v>1</v>
      </c>
      <c r="G13" s="3" t="s">
        <v>16</v>
      </c>
      <c r="H13" s="3" t="s">
        <v>15</v>
      </c>
    </row>
    <row r="14" spans="1:25" x14ac:dyDescent="0.3">
      <c r="B14" s="4">
        <v>1</v>
      </c>
      <c r="C14" s="105" t="s">
        <v>100</v>
      </c>
      <c r="D14" s="106" t="s">
        <v>101</v>
      </c>
      <c r="E14" s="39"/>
      <c r="F14" s="39" t="s">
        <v>227</v>
      </c>
      <c r="G14" s="107" t="s">
        <v>252</v>
      </c>
      <c r="H14" s="39"/>
    </row>
    <row r="15" spans="1:25" x14ac:dyDescent="0.3">
      <c r="B15" s="4">
        <v>2</v>
      </c>
      <c r="C15" s="105" t="s">
        <v>102</v>
      </c>
      <c r="D15" s="106" t="s">
        <v>103</v>
      </c>
      <c r="E15" s="39"/>
      <c r="F15" s="39" t="s">
        <v>228</v>
      </c>
      <c r="G15" s="107" t="s">
        <v>252</v>
      </c>
      <c r="H15" s="39"/>
    </row>
    <row r="16" spans="1:25" x14ac:dyDescent="0.3">
      <c r="B16" s="4">
        <v>3</v>
      </c>
      <c r="C16" s="105" t="s">
        <v>104</v>
      </c>
      <c r="D16" s="106" t="s">
        <v>105</v>
      </c>
      <c r="E16" s="39"/>
      <c r="F16" s="39" t="s">
        <v>229</v>
      </c>
      <c r="G16" s="107" t="s">
        <v>252</v>
      </c>
      <c r="H16" s="39"/>
    </row>
    <row r="17" spans="2:8" x14ac:dyDescent="0.3">
      <c r="B17" s="4">
        <v>4</v>
      </c>
      <c r="C17" s="105" t="s">
        <v>106</v>
      </c>
      <c r="D17" s="106" t="s">
        <v>101</v>
      </c>
      <c r="E17" s="39"/>
      <c r="F17" s="39" t="s">
        <v>230</v>
      </c>
      <c r="G17" s="107" t="s">
        <v>252</v>
      </c>
      <c r="H17" s="39"/>
    </row>
    <row r="18" spans="2:8" x14ac:dyDescent="0.3">
      <c r="B18" s="4">
        <v>5</v>
      </c>
      <c r="C18" s="105" t="s">
        <v>107</v>
      </c>
      <c r="D18" s="106" t="s">
        <v>108</v>
      </c>
      <c r="E18" s="39"/>
      <c r="F18" s="39" t="s">
        <v>231</v>
      </c>
      <c r="G18" s="107" t="s">
        <v>252</v>
      </c>
      <c r="H18" s="39"/>
    </row>
    <row r="19" spans="2:8" x14ac:dyDescent="0.3">
      <c r="B19" s="4">
        <v>6</v>
      </c>
      <c r="C19" s="105" t="s">
        <v>109</v>
      </c>
      <c r="D19" s="106" t="s">
        <v>101</v>
      </c>
      <c r="E19" s="39"/>
      <c r="F19" s="39" t="s">
        <v>230</v>
      </c>
      <c r="G19" s="107" t="s">
        <v>252</v>
      </c>
      <c r="H19" s="39"/>
    </row>
    <row r="20" spans="2:8" s="13" customFormat="1" x14ac:dyDescent="0.3">
      <c r="B20" s="4">
        <v>7</v>
      </c>
      <c r="C20" s="105" t="s">
        <v>110</v>
      </c>
      <c r="D20" s="106" t="s">
        <v>111</v>
      </c>
      <c r="E20" s="39"/>
      <c r="F20" s="39" t="s">
        <v>232</v>
      </c>
      <c r="G20" s="107" t="s">
        <v>252</v>
      </c>
      <c r="H20" s="39"/>
    </row>
    <row r="21" spans="2:8" s="13" customFormat="1" x14ac:dyDescent="0.3">
      <c r="B21" s="4">
        <v>8</v>
      </c>
      <c r="C21" s="105" t="s">
        <v>112</v>
      </c>
      <c r="D21" s="106" t="s">
        <v>113</v>
      </c>
      <c r="E21" s="39"/>
      <c r="F21" s="39" t="s">
        <v>229</v>
      </c>
      <c r="G21" s="107" t="s">
        <v>252</v>
      </c>
      <c r="H21" s="39"/>
    </row>
    <row r="22" spans="2:8" s="13" customFormat="1" x14ac:dyDescent="0.3">
      <c r="B22" s="4">
        <v>9</v>
      </c>
      <c r="C22" s="105" t="s">
        <v>114</v>
      </c>
      <c r="D22" s="106" t="s">
        <v>115</v>
      </c>
      <c r="E22" s="39"/>
      <c r="F22" s="39" t="s">
        <v>233</v>
      </c>
      <c r="G22" s="107" t="s">
        <v>252</v>
      </c>
      <c r="H22" s="39"/>
    </row>
    <row r="23" spans="2:8" s="13" customFormat="1" x14ac:dyDescent="0.3">
      <c r="B23" s="4">
        <v>10</v>
      </c>
      <c r="C23" s="105" t="s">
        <v>116</v>
      </c>
      <c r="D23" s="106" t="s">
        <v>117</v>
      </c>
      <c r="E23" s="39"/>
      <c r="F23" s="39" t="s">
        <v>234</v>
      </c>
      <c r="G23" s="107" t="s">
        <v>252</v>
      </c>
      <c r="H23" s="39"/>
    </row>
    <row r="24" spans="2:8" s="13" customFormat="1" x14ac:dyDescent="0.3">
      <c r="B24" s="4">
        <v>11</v>
      </c>
      <c r="C24" s="105" t="s">
        <v>118</v>
      </c>
      <c r="D24" s="106" t="s">
        <v>119</v>
      </c>
      <c r="E24" s="39"/>
      <c r="F24" s="39" t="s">
        <v>235</v>
      </c>
      <c r="G24" s="107" t="s">
        <v>252</v>
      </c>
      <c r="H24" s="39"/>
    </row>
    <row r="25" spans="2:8" s="13" customFormat="1" x14ac:dyDescent="0.3">
      <c r="B25" s="4">
        <v>12</v>
      </c>
      <c r="C25" s="105" t="s">
        <v>120</v>
      </c>
      <c r="D25" s="106" t="s">
        <v>121</v>
      </c>
      <c r="E25" s="39"/>
      <c r="F25" s="39" t="s">
        <v>236</v>
      </c>
      <c r="G25" s="107" t="s">
        <v>252</v>
      </c>
      <c r="H25" s="39"/>
    </row>
    <row r="26" spans="2:8" s="13" customFormat="1" x14ac:dyDescent="0.3">
      <c r="B26" s="4">
        <v>13</v>
      </c>
      <c r="C26" s="105" t="s">
        <v>122</v>
      </c>
      <c r="D26" s="106" t="s">
        <v>123</v>
      </c>
      <c r="E26" s="39"/>
      <c r="F26" s="39" t="s">
        <v>237</v>
      </c>
      <c r="G26" s="107" t="s">
        <v>252</v>
      </c>
      <c r="H26" s="39"/>
    </row>
    <row r="27" spans="2:8" s="13" customFormat="1" x14ac:dyDescent="0.3">
      <c r="B27" s="4">
        <v>14</v>
      </c>
      <c r="C27" s="105" t="s">
        <v>124</v>
      </c>
      <c r="D27" s="106" t="s">
        <v>125</v>
      </c>
      <c r="E27" s="39"/>
      <c r="F27" s="39" t="s">
        <v>227</v>
      </c>
      <c r="G27" s="107" t="s">
        <v>252</v>
      </c>
      <c r="H27" s="39"/>
    </row>
    <row r="28" spans="2:8" s="13" customFormat="1" x14ac:dyDescent="0.3">
      <c r="B28" s="4">
        <v>15</v>
      </c>
      <c r="C28" s="105" t="s">
        <v>126</v>
      </c>
      <c r="D28" s="106" t="s">
        <v>108</v>
      </c>
      <c r="E28" s="39"/>
      <c r="F28" s="39" t="s">
        <v>231</v>
      </c>
      <c r="G28" s="107" t="s">
        <v>252</v>
      </c>
      <c r="H28" s="39"/>
    </row>
    <row r="29" spans="2:8" s="13" customFormat="1" x14ac:dyDescent="0.3">
      <c r="B29" s="4">
        <v>16</v>
      </c>
      <c r="C29" s="105" t="s">
        <v>127</v>
      </c>
      <c r="D29" s="106" t="s">
        <v>128</v>
      </c>
      <c r="E29" s="39"/>
      <c r="F29" s="39" t="s">
        <v>232</v>
      </c>
      <c r="G29" s="107" t="s">
        <v>252</v>
      </c>
      <c r="H29" s="39"/>
    </row>
    <row r="30" spans="2:8" s="13" customFormat="1" x14ac:dyDescent="0.3">
      <c r="B30" s="4">
        <v>17</v>
      </c>
      <c r="C30" s="105" t="s">
        <v>129</v>
      </c>
      <c r="D30" s="106" t="s">
        <v>130</v>
      </c>
      <c r="E30" s="39"/>
      <c r="F30" s="39" t="s">
        <v>238</v>
      </c>
      <c r="G30" s="107" t="s">
        <v>252</v>
      </c>
      <c r="H30" s="39"/>
    </row>
    <row r="31" spans="2:8" s="13" customFormat="1" x14ac:dyDescent="0.3">
      <c r="B31" s="4">
        <v>18</v>
      </c>
      <c r="C31" s="105" t="s">
        <v>131</v>
      </c>
      <c r="D31" s="106" t="s">
        <v>132</v>
      </c>
      <c r="E31" s="39"/>
      <c r="F31" s="39" t="s">
        <v>239</v>
      </c>
      <c r="G31" s="107" t="s">
        <v>252</v>
      </c>
      <c r="H31" s="39"/>
    </row>
    <row r="32" spans="2:8" s="13" customFormat="1" x14ac:dyDescent="0.3">
      <c r="B32" s="4">
        <v>19</v>
      </c>
      <c r="C32" s="105" t="s">
        <v>133</v>
      </c>
      <c r="D32" s="106" t="s">
        <v>108</v>
      </c>
      <c r="E32" s="39"/>
      <c r="F32" s="39" t="s">
        <v>231</v>
      </c>
      <c r="G32" s="107" t="s">
        <v>252</v>
      </c>
      <c r="H32" s="39"/>
    </row>
    <row r="33" spans="2:8" s="13" customFormat="1" x14ac:dyDescent="0.3">
      <c r="B33" s="4">
        <v>20</v>
      </c>
      <c r="C33" s="105" t="s">
        <v>134</v>
      </c>
      <c r="D33" s="106" t="s">
        <v>135</v>
      </c>
      <c r="E33" s="39"/>
      <c r="F33" s="39" t="s">
        <v>233</v>
      </c>
      <c r="G33" s="107" t="s">
        <v>252</v>
      </c>
      <c r="H33" s="39"/>
    </row>
    <row r="34" spans="2:8" s="13" customFormat="1" x14ac:dyDescent="0.3">
      <c r="B34" s="4">
        <v>21</v>
      </c>
      <c r="C34" s="105" t="s">
        <v>136</v>
      </c>
      <c r="D34" s="106" t="s">
        <v>121</v>
      </c>
      <c r="E34" s="39"/>
      <c r="F34" s="39" t="s">
        <v>236</v>
      </c>
      <c r="G34" s="107" t="s">
        <v>252</v>
      </c>
      <c r="H34" s="39"/>
    </row>
    <row r="35" spans="2:8" s="13" customFormat="1" x14ac:dyDescent="0.3">
      <c r="B35" s="4">
        <v>22</v>
      </c>
      <c r="C35" s="105" t="s">
        <v>137</v>
      </c>
      <c r="D35" s="106" t="s">
        <v>101</v>
      </c>
      <c r="E35" s="39"/>
      <c r="F35" s="39" t="s">
        <v>240</v>
      </c>
      <c r="G35" s="107" t="s">
        <v>252</v>
      </c>
      <c r="H35" s="39"/>
    </row>
    <row r="36" spans="2:8" s="13" customFormat="1" x14ac:dyDescent="0.3">
      <c r="B36" s="4">
        <v>23</v>
      </c>
      <c r="C36" s="105" t="s">
        <v>138</v>
      </c>
      <c r="D36" s="106" t="s">
        <v>139</v>
      </c>
      <c r="E36" s="39"/>
      <c r="F36" s="39" t="s">
        <v>241</v>
      </c>
      <c r="G36" s="107" t="s">
        <v>252</v>
      </c>
      <c r="H36" s="39"/>
    </row>
    <row r="37" spans="2:8" s="13" customFormat="1" x14ac:dyDescent="0.3">
      <c r="B37" s="4">
        <v>24</v>
      </c>
      <c r="C37" s="105" t="s">
        <v>140</v>
      </c>
      <c r="D37" s="106" t="s">
        <v>141</v>
      </c>
      <c r="E37" s="39"/>
      <c r="F37" s="39" t="s">
        <v>242</v>
      </c>
      <c r="G37" s="107" t="s">
        <v>252</v>
      </c>
      <c r="H37" s="39"/>
    </row>
    <row r="38" spans="2:8" s="13" customFormat="1" x14ac:dyDescent="0.3">
      <c r="B38" s="4">
        <v>25</v>
      </c>
      <c r="C38" s="105" t="s">
        <v>142</v>
      </c>
      <c r="D38" s="106" t="s">
        <v>101</v>
      </c>
      <c r="E38" s="39"/>
      <c r="F38" s="39" t="s">
        <v>239</v>
      </c>
      <c r="G38" s="107" t="s">
        <v>252</v>
      </c>
      <c r="H38" s="39"/>
    </row>
    <row r="39" spans="2:8" s="13" customFormat="1" x14ac:dyDescent="0.3">
      <c r="B39" s="4">
        <v>26</v>
      </c>
      <c r="C39" s="105" t="s">
        <v>143</v>
      </c>
      <c r="D39" s="106" t="s">
        <v>144</v>
      </c>
      <c r="E39" s="39"/>
      <c r="F39" s="39" t="s">
        <v>230</v>
      </c>
      <c r="G39" s="107" t="s">
        <v>252</v>
      </c>
      <c r="H39" s="39"/>
    </row>
    <row r="40" spans="2:8" s="13" customFormat="1" x14ac:dyDescent="0.3">
      <c r="B40" s="4">
        <v>27</v>
      </c>
      <c r="C40" s="105" t="s">
        <v>145</v>
      </c>
      <c r="D40" s="106" t="s">
        <v>101</v>
      </c>
      <c r="E40" s="39"/>
      <c r="F40" s="39" t="s">
        <v>239</v>
      </c>
      <c r="G40" s="107" t="s">
        <v>252</v>
      </c>
      <c r="H40" s="39"/>
    </row>
    <row r="41" spans="2:8" s="13" customFormat="1" x14ac:dyDescent="0.3">
      <c r="B41" s="4">
        <v>28</v>
      </c>
      <c r="C41" s="105" t="s">
        <v>146</v>
      </c>
      <c r="D41" s="106" t="s">
        <v>125</v>
      </c>
      <c r="E41" s="39"/>
      <c r="F41" s="39" t="s">
        <v>228</v>
      </c>
      <c r="G41" s="107" t="s">
        <v>252</v>
      </c>
      <c r="H41" s="39"/>
    </row>
    <row r="42" spans="2:8" s="13" customFormat="1" x14ac:dyDescent="0.3">
      <c r="B42" s="4">
        <v>29</v>
      </c>
      <c r="C42" s="105" t="s">
        <v>147</v>
      </c>
      <c r="D42" s="106" t="s">
        <v>132</v>
      </c>
      <c r="E42" s="39"/>
      <c r="F42" s="39" t="s">
        <v>239</v>
      </c>
      <c r="G42" s="107" t="s">
        <v>252</v>
      </c>
      <c r="H42" s="39"/>
    </row>
    <row r="43" spans="2:8" s="13" customFormat="1" x14ac:dyDescent="0.3">
      <c r="B43" s="4">
        <v>30</v>
      </c>
      <c r="C43" s="105" t="s">
        <v>148</v>
      </c>
      <c r="D43" s="106" t="s">
        <v>111</v>
      </c>
      <c r="E43" s="39"/>
      <c r="F43" s="39" t="s">
        <v>232</v>
      </c>
      <c r="G43" s="107" t="s">
        <v>252</v>
      </c>
      <c r="H43" s="39"/>
    </row>
    <row r="44" spans="2:8" s="13" customFormat="1" x14ac:dyDescent="0.3">
      <c r="B44" s="4">
        <v>31</v>
      </c>
      <c r="C44" s="105" t="s">
        <v>149</v>
      </c>
      <c r="D44" s="106" t="s">
        <v>150</v>
      </c>
      <c r="E44" s="39"/>
      <c r="F44" s="39" t="s">
        <v>227</v>
      </c>
      <c r="G44" s="107" t="s">
        <v>252</v>
      </c>
      <c r="H44" s="39"/>
    </row>
    <row r="45" spans="2:8" s="13" customFormat="1" x14ac:dyDescent="0.3">
      <c r="B45" s="4">
        <v>32</v>
      </c>
      <c r="C45" s="105" t="s">
        <v>151</v>
      </c>
      <c r="D45" s="106" t="s">
        <v>111</v>
      </c>
      <c r="E45" s="39"/>
      <c r="F45" s="39" t="s">
        <v>232</v>
      </c>
      <c r="G45" s="107" t="s">
        <v>252</v>
      </c>
      <c r="H45" s="39"/>
    </row>
    <row r="46" spans="2:8" s="13" customFormat="1" x14ac:dyDescent="0.3">
      <c r="B46" s="4">
        <v>33</v>
      </c>
      <c r="C46" s="105" t="s">
        <v>152</v>
      </c>
      <c r="D46" s="106" t="s">
        <v>153</v>
      </c>
      <c r="E46" s="39"/>
      <c r="F46" s="39" t="s">
        <v>231</v>
      </c>
      <c r="G46" s="107" t="s">
        <v>252</v>
      </c>
      <c r="H46" s="39"/>
    </row>
    <row r="47" spans="2:8" s="13" customFormat="1" x14ac:dyDescent="0.3">
      <c r="B47" s="4">
        <v>34</v>
      </c>
      <c r="C47" s="105" t="s">
        <v>154</v>
      </c>
      <c r="D47" s="106" t="s">
        <v>125</v>
      </c>
      <c r="E47" s="39"/>
      <c r="F47" s="39" t="s">
        <v>228</v>
      </c>
      <c r="G47" s="107" t="s">
        <v>252</v>
      </c>
      <c r="H47" s="39"/>
    </row>
    <row r="48" spans="2:8" s="13" customFormat="1" x14ac:dyDescent="0.3">
      <c r="B48" s="4">
        <v>35</v>
      </c>
      <c r="C48" s="105" t="s">
        <v>155</v>
      </c>
      <c r="D48" s="106" t="s">
        <v>156</v>
      </c>
      <c r="E48" s="39"/>
      <c r="F48" s="39" t="s">
        <v>237</v>
      </c>
      <c r="G48" s="107" t="s">
        <v>252</v>
      </c>
      <c r="H48" s="39"/>
    </row>
    <row r="49" spans="2:8" s="13" customFormat="1" x14ac:dyDescent="0.3">
      <c r="B49" s="4">
        <v>36</v>
      </c>
      <c r="C49" s="105" t="s">
        <v>157</v>
      </c>
      <c r="D49" s="106" t="s">
        <v>144</v>
      </c>
      <c r="E49" s="39"/>
      <c r="F49" s="39" t="s">
        <v>240</v>
      </c>
      <c r="G49" s="107" t="s">
        <v>252</v>
      </c>
      <c r="H49" s="39"/>
    </row>
    <row r="50" spans="2:8" s="13" customFormat="1" x14ac:dyDescent="0.3">
      <c r="B50" s="4">
        <v>37</v>
      </c>
      <c r="C50" s="105" t="s">
        <v>158</v>
      </c>
      <c r="D50" s="106" t="s">
        <v>101</v>
      </c>
      <c r="E50" s="39"/>
      <c r="F50" s="39" t="s">
        <v>240</v>
      </c>
      <c r="G50" s="107" t="s">
        <v>252</v>
      </c>
      <c r="H50" s="39"/>
    </row>
    <row r="51" spans="2:8" s="13" customFormat="1" x14ac:dyDescent="0.3">
      <c r="B51" s="4">
        <v>38</v>
      </c>
      <c r="C51" s="105" t="s">
        <v>159</v>
      </c>
      <c r="D51" s="106" t="s">
        <v>128</v>
      </c>
      <c r="E51" s="39"/>
      <c r="F51" s="39" t="s">
        <v>232</v>
      </c>
      <c r="G51" s="107" t="s">
        <v>252</v>
      </c>
      <c r="H51" s="39"/>
    </row>
    <row r="52" spans="2:8" s="13" customFormat="1" x14ac:dyDescent="0.3">
      <c r="B52" s="4">
        <v>39</v>
      </c>
      <c r="C52" s="105" t="s">
        <v>160</v>
      </c>
      <c r="D52" s="106" t="s">
        <v>161</v>
      </c>
      <c r="E52" s="39"/>
      <c r="F52" s="39" t="s">
        <v>243</v>
      </c>
      <c r="G52" s="107" t="s">
        <v>252</v>
      </c>
      <c r="H52" s="39"/>
    </row>
    <row r="53" spans="2:8" s="13" customFormat="1" x14ac:dyDescent="0.3">
      <c r="B53" s="4">
        <v>40</v>
      </c>
      <c r="C53" s="105" t="s">
        <v>162</v>
      </c>
      <c r="D53" s="106" t="s">
        <v>125</v>
      </c>
      <c r="E53" s="39"/>
      <c r="F53" s="39" t="s">
        <v>240</v>
      </c>
      <c r="G53" s="107" t="s">
        <v>252</v>
      </c>
      <c r="H53" s="39"/>
    </row>
    <row r="54" spans="2:8" s="13" customFormat="1" x14ac:dyDescent="0.3">
      <c r="B54" s="4">
        <v>41</v>
      </c>
      <c r="C54" s="105" t="s">
        <v>163</v>
      </c>
      <c r="D54" s="106" t="s">
        <v>144</v>
      </c>
      <c r="E54" s="39"/>
      <c r="F54" s="39" t="s">
        <v>230</v>
      </c>
      <c r="G54" s="107" t="s">
        <v>252</v>
      </c>
      <c r="H54" s="39"/>
    </row>
    <row r="55" spans="2:8" s="13" customFormat="1" x14ac:dyDescent="0.3">
      <c r="B55" s="4">
        <v>42</v>
      </c>
      <c r="C55" s="105" t="s">
        <v>164</v>
      </c>
      <c r="D55" s="106" t="s">
        <v>125</v>
      </c>
      <c r="E55" s="39"/>
      <c r="F55" s="39" t="s">
        <v>228</v>
      </c>
      <c r="G55" s="107" t="s">
        <v>252</v>
      </c>
      <c r="H55" s="39"/>
    </row>
    <row r="56" spans="2:8" s="13" customFormat="1" x14ac:dyDescent="0.3">
      <c r="B56" s="4">
        <v>43</v>
      </c>
      <c r="C56" s="105" t="s">
        <v>165</v>
      </c>
      <c r="D56" s="106" t="s">
        <v>166</v>
      </c>
      <c r="E56" s="39"/>
      <c r="F56" s="39" t="s">
        <v>235</v>
      </c>
      <c r="G56" s="107" t="s">
        <v>252</v>
      </c>
      <c r="H56" s="39"/>
    </row>
    <row r="57" spans="2:8" s="13" customFormat="1" x14ac:dyDescent="0.3">
      <c r="B57" s="4">
        <v>44</v>
      </c>
      <c r="C57" s="105" t="s">
        <v>167</v>
      </c>
      <c r="D57" s="106" t="s">
        <v>125</v>
      </c>
      <c r="E57" s="39"/>
      <c r="F57" s="39" t="s">
        <v>228</v>
      </c>
      <c r="G57" s="107" t="s">
        <v>252</v>
      </c>
      <c r="H57" s="39"/>
    </row>
    <row r="58" spans="2:8" s="13" customFormat="1" x14ac:dyDescent="0.3">
      <c r="B58" s="4">
        <v>45</v>
      </c>
      <c r="C58" s="105" t="s">
        <v>168</v>
      </c>
      <c r="D58" s="106" t="s">
        <v>125</v>
      </c>
      <c r="E58" s="39"/>
      <c r="F58" s="39" t="s">
        <v>239</v>
      </c>
      <c r="G58" s="107" t="s">
        <v>252</v>
      </c>
      <c r="H58" s="39"/>
    </row>
    <row r="59" spans="2:8" s="13" customFormat="1" x14ac:dyDescent="0.3">
      <c r="B59" s="4">
        <v>46</v>
      </c>
      <c r="C59" s="105" t="s">
        <v>169</v>
      </c>
      <c r="D59" s="106" t="s">
        <v>170</v>
      </c>
      <c r="E59" s="39"/>
      <c r="F59" s="39" t="s">
        <v>244</v>
      </c>
      <c r="G59" s="107" t="s">
        <v>252</v>
      </c>
      <c r="H59" s="39"/>
    </row>
    <row r="60" spans="2:8" s="13" customFormat="1" x14ac:dyDescent="0.3">
      <c r="B60" s="4">
        <v>47</v>
      </c>
      <c r="C60" s="105" t="s">
        <v>171</v>
      </c>
      <c r="D60" s="106" t="s">
        <v>101</v>
      </c>
      <c r="E60" s="39"/>
      <c r="F60" s="39" t="s">
        <v>240</v>
      </c>
      <c r="G60" s="107" t="s">
        <v>252</v>
      </c>
      <c r="H60" s="39"/>
    </row>
    <row r="61" spans="2:8" s="13" customFormat="1" x14ac:dyDescent="0.3">
      <c r="B61" s="4">
        <v>48</v>
      </c>
      <c r="C61" s="105" t="s">
        <v>172</v>
      </c>
      <c r="D61" s="106" t="s">
        <v>123</v>
      </c>
      <c r="E61" s="39"/>
      <c r="F61" s="39" t="s">
        <v>237</v>
      </c>
      <c r="G61" s="107" t="s">
        <v>252</v>
      </c>
      <c r="H61" s="39"/>
    </row>
    <row r="62" spans="2:8" s="13" customFormat="1" x14ac:dyDescent="0.3">
      <c r="B62" s="4">
        <v>49</v>
      </c>
      <c r="C62" s="105" t="s">
        <v>173</v>
      </c>
      <c r="D62" s="106" t="s">
        <v>150</v>
      </c>
      <c r="E62" s="39"/>
      <c r="F62" s="39" t="s">
        <v>227</v>
      </c>
      <c r="G62" s="107" t="s">
        <v>252</v>
      </c>
      <c r="H62" s="39"/>
    </row>
    <row r="63" spans="2:8" s="13" customFormat="1" x14ac:dyDescent="0.3">
      <c r="B63" s="4">
        <v>50</v>
      </c>
      <c r="C63" s="105" t="s">
        <v>174</v>
      </c>
      <c r="D63" s="106" t="s">
        <v>175</v>
      </c>
      <c r="E63" s="39"/>
      <c r="F63" s="39" t="s">
        <v>245</v>
      </c>
      <c r="G63" s="107" t="s">
        <v>252</v>
      </c>
      <c r="H63" s="39"/>
    </row>
    <row r="64" spans="2:8" s="13" customFormat="1" x14ac:dyDescent="0.3">
      <c r="B64" s="4">
        <v>51</v>
      </c>
      <c r="C64" s="105" t="s">
        <v>176</v>
      </c>
      <c r="D64" s="106" t="s">
        <v>177</v>
      </c>
      <c r="E64" s="39"/>
      <c r="F64" s="39" t="s">
        <v>246</v>
      </c>
      <c r="G64" s="107" t="s">
        <v>252</v>
      </c>
      <c r="H64" s="39"/>
    </row>
    <row r="65" spans="2:8" s="13" customFormat="1" x14ac:dyDescent="0.3">
      <c r="B65" s="4">
        <v>52</v>
      </c>
      <c r="C65" s="105" t="s">
        <v>178</v>
      </c>
      <c r="D65" s="106" t="s">
        <v>179</v>
      </c>
      <c r="E65" s="39"/>
      <c r="F65" s="39" t="s">
        <v>229</v>
      </c>
      <c r="G65" s="107" t="s">
        <v>252</v>
      </c>
      <c r="H65" s="39"/>
    </row>
    <row r="66" spans="2:8" s="13" customFormat="1" x14ac:dyDescent="0.3">
      <c r="B66" s="4">
        <v>53</v>
      </c>
      <c r="C66" s="105" t="s">
        <v>180</v>
      </c>
      <c r="D66" s="106" t="s">
        <v>181</v>
      </c>
      <c r="E66" s="39"/>
      <c r="F66" s="39" t="s">
        <v>247</v>
      </c>
      <c r="G66" s="107" t="s">
        <v>252</v>
      </c>
      <c r="H66" s="39"/>
    </row>
    <row r="67" spans="2:8" s="13" customFormat="1" x14ac:dyDescent="0.3">
      <c r="B67" s="4">
        <v>54</v>
      </c>
      <c r="C67" s="105" t="s">
        <v>182</v>
      </c>
      <c r="D67" s="106" t="s">
        <v>150</v>
      </c>
      <c r="E67" s="39"/>
      <c r="F67" s="39" t="s">
        <v>227</v>
      </c>
      <c r="G67" s="107" t="s">
        <v>252</v>
      </c>
      <c r="H67" s="39"/>
    </row>
    <row r="68" spans="2:8" s="13" customFormat="1" x14ac:dyDescent="0.3">
      <c r="B68" s="4">
        <v>55</v>
      </c>
      <c r="C68" s="105" t="s">
        <v>183</v>
      </c>
      <c r="D68" s="106" t="s">
        <v>101</v>
      </c>
      <c r="E68" s="39"/>
      <c r="F68" s="39" t="s">
        <v>240</v>
      </c>
      <c r="G68" s="107" t="s">
        <v>252</v>
      </c>
      <c r="H68" s="39"/>
    </row>
    <row r="69" spans="2:8" s="13" customFormat="1" x14ac:dyDescent="0.3">
      <c r="B69" s="4">
        <v>56</v>
      </c>
      <c r="C69" s="105" t="s">
        <v>184</v>
      </c>
      <c r="D69" s="106" t="s">
        <v>185</v>
      </c>
      <c r="E69" s="39"/>
      <c r="F69" s="39" t="s">
        <v>229</v>
      </c>
      <c r="G69" s="107" t="s">
        <v>252</v>
      </c>
      <c r="H69" s="39"/>
    </row>
    <row r="70" spans="2:8" s="13" customFormat="1" x14ac:dyDescent="0.3">
      <c r="B70" s="4">
        <v>57</v>
      </c>
      <c r="C70" s="105" t="s">
        <v>186</v>
      </c>
      <c r="D70" s="106" t="s">
        <v>144</v>
      </c>
      <c r="E70" s="39"/>
      <c r="F70" s="39" t="s">
        <v>240</v>
      </c>
      <c r="G70" s="107" t="s">
        <v>252</v>
      </c>
      <c r="H70" s="39"/>
    </row>
    <row r="71" spans="2:8" s="13" customFormat="1" x14ac:dyDescent="0.3">
      <c r="B71" s="4">
        <v>58</v>
      </c>
      <c r="C71" s="105" t="s">
        <v>187</v>
      </c>
      <c r="D71" s="106" t="s">
        <v>144</v>
      </c>
      <c r="E71" s="39"/>
      <c r="F71" s="39" t="s">
        <v>227</v>
      </c>
      <c r="G71" s="107" t="s">
        <v>252</v>
      </c>
      <c r="H71" s="39"/>
    </row>
    <row r="72" spans="2:8" s="13" customFormat="1" x14ac:dyDescent="0.3">
      <c r="B72" s="4">
        <v>59</v>
      </c>
      <c r="C72" s="105" t="s">
        <v>188</v>
      </c>
      <c r="D72" s="106" t="s">
        <v>189</v>
      </c>
      <c r="E72" s="39"/>
      <c r="F72" s="39" t="s">
        <v>231</v>
      </c>
      <c r="G72" s="107" t="s">
        <v>252</v>
      </c>
      <c r="H72" s="39"/>
    </row>
    <row r="73" spans="2:8" s="13" customFormat="1" x14ac:dyDescent="0.3">
      <c r="B73" s="4">
        <v>60</v>
      </c>
      <c r="C73" s="105" t="s">
        <v>190</v>
      </c>
      <c r="D73" s="106" t="s">
        <v>166</v>
      </c>
      <c r="E73" s="39"/>
      <c r="F73" s="39" t="s">
        <v>235</v>
      </c>
      <c r="G73" s="107" t="s">
        <v>252</v>
      </c>
      <c r="H73" s="39"/>
    </row>
    <row r="74" spans="2:8" s="13" customFormat="1" x14ac:dyDescent="0.3">
      <c r="B74" s="4">
        <v>61</v>
      </c>
      <c r="C74" s="105" t="s">
        <v>191</v>
      </c>
      <c r="D74" s="106" t="s">
        <v>101</v>
      </c>
      <c r="E74" s="39"/>
      <c r="F74" s="39" t="s">
        <v>240</v>
      </c>
      <c r="G74" s="107" t="s">
        <v>252</v>
      </c>
      <c r="H74" s="39"/>
    </row>
    <row r="75" spans="2:8" s="13" customFormat="1" x14ac:dyDescent="0.3">
      <c r="B75" s="4">
        <v>62</v>
      </c>
      <c r="C75" s="105" t="s">
        <v>192</v>
      </c>
      <c r="D75" s="106" t="s">
        <v>121</v>
      </c>
      <c r="E75" s="39"/>
      <c r="F75" s="39" t="s">
        <v>245</v>
      </c>
      <c r="G75" s="107" t="s">
        <v>252</v>
      </c>
      <c r="H75" s="39"/>
    </row>
    <row r="76" spans="2:8" s="13" customFormat="1" x14ac:dyDescent="0.3">
      <c r="B76" s="4">
        <v>63</v>
      </c>
      <c r="C76" s="105" t="s">
        <v>193</v>
      </c>
      <c r="D76" s="106" t="s">
        <v>125</v>
      </c>
      <c r="E76" s="39"/>
      <c r="F76" s="39" t="s">
        <v>228</v>
      </c>
      <c r="G76" s="107" t="s">
        <v>252</v>
      </c>
      <c r="H76" s="39"/>
    </row>
    <row r="77" spans="2:8" s="13" customFormat="1" x14ac:dyDescent="0.3">
      <c r="B77" s="4">
        <v>64</v>
      </c>
      <c r="C77" s="105" t="s">
        <v>194</v>
      </c>
      <c r="D77" s="106" t="s">
        <v>101</v>
      </c>
      <c r="E77" s="39"/>
      <c r="F77" s="39" t="s">
        <v>227</v>
      </c>
      <c r="G77" s="107" t="s">
        <v>252</v>
      </c>
      <c r="H77" s="39"/>
    </row>
    <row r="78" spans="2:8" s="13" customFormat="1" x14ac:dyDescent="0.3">
      <c r="B78" s="4">
        <v>65</v>
      </c>
      <c r="C78" s="105" t="s">
        <v>195</v>
      </c>
      <c r="D78" s="106" t="s">
        <v>196</v>
      </c>
      <c r="E78" s="39"/>
      <c r="F78" s="39" t="s">
        <v>235</v>
      </c>
      <c r="G78" s="107" t="s">
        <v>252</v>
      </c>
      <c r="H78" s="39"/>
    </row>
    <row r="79" spans="2:8" s="13" customFormat="1" x14ac:dyDescent="0.3">
      <c r="B79" s="4">
        <v>66</v>
      </c>
      <c r="C79" s="105" t="s">
        <v>197</v>
      </c>
      <c r="D79" s="106" t="s">
        <v>198</v>
      </c>
      <c r="E79" s="39"/>
      <c r="F79" s="39" t="s">
        <v>239</v>
      </c>
      <c r="G79" s="107" t="s">
        <v>252</v>
      </c>
      <c r="H79" s="39"/>
    </row>
    <row r="80" spans="2:8" s="13" customFormat="1" x14ac:dyDescent="0.3">
      <c r="B80" s="4">
        <v>67</v>
      </c>
      <c r="C80" s="105" t="s">
        <v>199</v>
      </c>
      <c r="D80" s="106" t="s">
        <v>200</v>
      </c>
      <c r="E80" s="39"/>
      <c r="F80" s="39" t="s">
        <v>248</v>
      </c>
      <c r="G80" s="107" t="s">
        <v>252</v>
      </c>
      <c r="H80" s="39"/>
    </row>
    <row r="81" spans="2:8" s="13" customFormat="1" x14ac:dyDescent="0.3">
      <c r="B81" s="4">
        <v>68</v>
      </c>
      <c r="C81" s="105" t="s">
        <v>201</v>
      </c>
      <c r="D81" s="106" t="s">
        <v>101</v>
      </c>
      <c r="E81" s="39"/>
      <c r="F81" s="39" t="s">
        <v>227</v>
      </c>
      <c r="G81" s="107" t="s">
        <v>252</v>
      </c>
      <c r="H81" s="39"/>
    </row>
    <row r="82" spans="2:8" s="13" customFormat="1" x14ac:dyDescent="0.3">
      <c r="B82" s="4">
        <v>69</v>
      </c>
      <c r="C82" s="105" t="s">
        <v>202</v>
      </c>
      <c r="D82" s="106" t="s">
        <v>125</v>
      </c>
      <c r="E82" s="39"/>
      <c r="F82" s="39" t="s">
        <v>228</v>
      </c>
      <c r="G82" s="107" t="s">
        <v>252</v>
      </c>
      <c r="H82" s="39"/>
    </row>
    <row r="83" spans="2:8" s="13" customFormat="1" x14ac:dyDescent="0.3">
      <c r="B83" s="4">
        <v>70</v>
      </c>
      <c r="C83" s="105" t="s">
        <v>203</v>
      </c>
      <c r="D83" s="106" t="s">
        <v>156</v>
      </c>
      <c r="E83" s="39"/>
      <c r="F83" s="39" t="s">
        <v>237</v>
      </c>
      <c r="G83" s="107" t="s">
        <v>252</v>
      </c>
      <c r="H83" s="39"/>
    </row>
    <row r="84" spans="2:8" s="13" customFormat="1" x14ac:dyDescent="0.3">
      <c r="B84" s="4">
        <v>71</v>
      </c>
      <c r="C84" s="105" t="s">
        <v>204</v>
      </c>
      <c r="D84" s="106" t="s">
        <v>205</v>
      </c>
      <c r="E84" s="39"/>
      <c r="F84" s="39" t="s">
        <v>249</v>
      </c>
      <c r="G84" s="107" t="s">
        <v>252</v>
      </c>
      <c r="H84" s="39"/>
    </row>
    <row r="85" spans="2:8" s="13" customFormat="1" x14ac:dyDescent="0.3">
      <c r="B85" s="4">
        <v>72</v>
      </c>
      <c r="C85" s="105" t="s">
        <v>206</v>
      </c>
      <c r="D85" s="106" t="s">
        <v>207</v>
      </c>
      <c r="E85" s="39"/>
      <c r="F85" s="39" t="s">
        <v>250</v>
      </c>
      <c r="G85" s="107" t="s">
        <v>252</v>
      </c>
      <c r="H85" s="39"/>
    </row>
    <row r="86" spans="2:8" s="13" customFormat="1" x14ac:dyDescent="0.3">
      <c r="B86" s="4">
        <v>73</v>
      </c>
      <c r="C86" s="105" t="s">
        <v>208</v>
      </c>
      <c r="D86" s="106" t="s">
        <v>209</v>
      </c>
      <c r="E86" s="39"/>
      <c r="F86" s="39" t="s">
        <v>251</v>
      </c>
      <c r="G86" s="107" t="s">
        <v>252</v>
      </c>
      <c r="H86" s="39"/>
    </row>
    <row r="87" spans="2:8" s="13" customFormat="1" x14ac:dyDescent="0.3">
      <c r="B87" s="4">
        <v>74</v>
      </c>
      <c r="C87" s="105" t="s">
        <v>210</v>
      </c>
      <c r="D87" s="106" t="s">
        <v>209</v>
      </c>
      <c r="E87" s="39"/>
      <c r="F87" s="39" t="s">
        <v>251</v>
      </c>
      <c r="G87" s="107" t="s">
        <v>252</v>
      </c>
      <c r="H87" s="39"/>
    </row>
    <row r="88" spans="2:8" s="13" customFormat="1" x14ac:dyDescent="0.3">
      <c r="B88" s="4">
        <v>75</v>
      </c>
      <c r="C88" s="105" t="s">
        <v>211</v>
      </c>
      <c r="D88" s="106" t="s">
        <v>212</v>
      </c>
      <c r="E88" s="39"/>
      <c r="F88" s="39" t="s">
        <v>237</v>
      </c>
      <c r="G88" s="107" t="s">
        <v>252</v>
      </c>
      <c r="H88" s="39"/>
    </row>
    <row r="89" spans="2:8" s="13" customFormat="1" x14ac:dyDescent="0.3">
      <c r="B89" s="4">
        <v>76</v>
      </c>
      <c r="C89" s="105" t="s">
        <v>213</v>
      </c>
      <c r="D89" s="106" t="s">
        <v>111</v>
      </c>
      <c r="E89" s="39"/>
      <c r="F89" s="39" t="s">
        <v>232</v>
      </c>
      <c r="G89" s="107" t="s">
        <v>252</v>
      </c>
      <c r="H89" s="39"/>
    </row>
    <row r="90" spans="2:8" s="13" customFormat="1" x14ac:dyDescent="0.3">
      <c r="B90" s="4">
        <v>77</v>
      </c>
      <c r="C90" s="105" t="s">
        <v>214</v>
      </c>
      <c r="D90" s="106" t="s">
        <v>144</v>
      </c>
      <c r="E90" s="39"/>
      <c r="F90" s="39" t="s">
        <v>240</v>
      </c>
      <c r="G90" s="107" t="s">
        <v>252</v>
      </c>
      <c r="H90" s="39"/>
    </row>
    <row r="91" spans="2:8" s="13" customFormat="1" x14ac:dyDescent="0.3">
      <c r="B91" s="4">
        <v>78</v>
      </c>
      <c r="C91" s="105" t="s">
        <v>215</v>
      </c>
      <c r="D91" s="106" t="s">
        <v>101</v>
      </c>
      <c r="E91" s="39"/>
      <c r="F91" s="39" t="s">
        <v>239</v>
      </c>
      <c r="G91" s="107" t="s">
        <v>252</v>
      </c>
      <c r="H91" s="39"/>
    </row>
    <row r="92" spans="2:8" s="13" customFormat="1" x14ac:dyDescent="0.3">
      <c r="B92" s="4">
        <v>79</v>
      </c>
      <c r="C92" s="105" t="s">
        <v>216</v>
      </c>
      <c r="D92" s="106" t="s">
        <v>217</v>
      </c>
      <c r="E92" s="39"/>
      <c r="F92" s="39" t="s">
        <v>233</v>
      </c>
      <c r="G92" s="107" t="s">
        <v>252</v>
      </c>
      <c r="H92" s="39"/>
    </row>
    <row r="93" spans="2:8" s="13" customFormat="1" x14ac:dyDescent="0.3">
      <c r="B93" s="4">
        <v>80</v>
      </c>
      <c r="C93" s="105" t="s">
        <v>218</v>
      </c>
      <c r="D93" s="106" t="s">
        <v>101</v>
      </c>
      <c r="E93" s="39"/>
      <c r="F93" s="39" t="s">
        <v>227</v>
      </c>
      <c r="G93" s="107" t="s">
        <v>252</v>
      </c>
      <c r="H93" s="39"/>
    </row>
    <row r="94" spans="2:8" s="13" customFormat="1" x14ac:dyDescent="0.3">
      <c r="B94" s="4">
        <v>81</v>
      </c>
      <c r="C94" s="105" t="s">
        <v>219</v>
      </c>
      <c r="D94" s="106" t="s">
        <v>125</v>
      </c>
      <c r="E94" s="39"/>
      <c r="F94" s="39" t="s">
        <v>228</v>
      </c>
      <c r="G94" s="107" t="s">
        <v>252</v>
      </c>
      <c r="H94" s="39"/>
    </row>
    <row r="95" spans="2:8" s="13" customFormat="1" x14ac:dyDescent="0.3">
      <c r="B95" s="4">
        <v>82</v>
      </c>
      <c r="C95" s="105" t="s">
        <v>220</v>
      </c>
      <c r="D95" s="106" t="s">
        <v>125</v>
      </c>
      <c r="E95" s="39"/>
      <c r="F95" s="39" t="s">
        <v>228</v>
      </c>
      <c r="G95" s="107" t="s">
        <v>252</v>
      </c>
      <c r="H95" s="39"/>
    </row>
    <row r="96" spans="2:8" s="13" customFormat="1" x14ac:dyDescent="0.3">
      <c r="B96" s="4">
        <v>83</v>
      </c>
      <c r="C96" s="105" t="s">
        <v>221</v>
      </c>
      <c r="D96" s="106" t="s">
        <v>177</v>
      </c>
      <c r="E96" s="39"/>
      <c r="F96" s="39" t="s">
        <v>246</v>
      </c>
      <c r="G96" s="107" t="s">
        <v>252</v>
      </c>
      <c r="H96" s="39"/>
    </row>
    <row r="97" spans="2:8" s="13" customFormat="1" x14ac:dyDescent="0.3">
      <c r="B97" s="4">
        <v>84</v>
      </c>
      <c r="C97" s="105" t="s">
        <v>222</v>
      </c>
      <c r="D97" s="106" t="s">
        <v>125</v>
      </c>
      <c r="E97" s="39"/>
      <c r="F97" s="39" t="s">
        <v>228</v>
      </c>
      <c r="G97" s="107" t="s">
        <v>252</v>
      </c>
      <c r="H97" s="39"/>
    </row>
    <row r="98" spans="2:8" s="13" customFormat="1" x14ac:dyDescent="0.3">
      <c r="B98" s="4">
        <v>85</v>
      </c>
      <c r="C98" s="105" t="s">
        <v>223</v>
      </c>
      <c r="D98" s="106" t="s">
        <v>130</v>
      </c>
      <c r="E98" s="39"/>
      <c r="F98" s="39" t="s">
        <v>238</v>
      </c>
      <c r="G98" s="107" t="s">
        <v>252</v>
      </c>
      <c r="H98" s="39"/>
    </row>
    <row r="99" spans="2:8" s="13" customFormat="1" x14ac:dyDescent="0.3">
      <c r="B99" s="4">
        <v>86</v>
      </c>
      <c r="C99" s="105" t="s">
        <v>224</v>
      </c>
      <c r="D99" s="106" t="s">
        <v>101</v>
      </c>
      <c r="E99" s="39"/>
      <c r="F99" s="39" t="s">
        <v>227</v>
      </c>
      <c r="G99" s="107" t="s">
        <v>252</v>
      </c>
      <c r="H99" s="39"/>
    </row>
    <row r="100" spans="2:8" s="13" customFormat="1" x14ac:dyDescent="0.3">
      <c r="B100" s="4">
        <v>87</v>
      </c>
      <c r="C100" s="105" t="s">
        <v>225</v>
      </c>
      <c r="D100" s="106" t="s">
        <v>111</v>
      </c>
      <c r="E100" s="39"/>
      <c r="F100" s="39" t="s">
        <v>232</v>
      </c>
      <c r="G100" s="107" t="s">
        <v>252</v>
      </c>
      <c r="H100" s="39"/>
    </row>
    <row r="101" spans="2:8" s="13" customFormat="1" x14ac:dyDescent="0.3">
      <c r="B101" s="4">
        <v>88</v>
      </c>
      <c r="C101" s="105" t="s">
        <v>226</v>
      </c>
      <c r="D101" s="106" t="s">
        <v>115</v>
      </c>
      <c r="E101" s="108"/>
      <c r="F101" s="39" t="s">
        <v>233</v>
      </c>
      <c r="G101" s="107" t="s">
        <v>252</v>
      </c>
      <c r="H101" s="39"/>
    </row>
  </sheetData>
  <sheetProtection formatColumns="0" formatRows="0" sort="0" autoFilter="0"/>
  <dataValidations count="2">
    <dataValidation type="list" allowBlank="1" showInputMessage="1" showErrorMessage="1" sqref="H14:H101">
      <formula1>"FT, PT"</formula1>
    </dataValidation>
    <dataValidation type="list" allowBlank="1" showInputMessage="1" showErrorMessage="1" sqref="G14:G101">
      <formula1>"Permament, Contractual, JO"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electI">
              <controlPr defaultSize="0" print="0" autoFill="0" autoPict="0" macro="[0]!Select_Level_I" altText="Select Level I and II Health Facilities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1190625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SelectIIandIII">
              <controlPr defaultSize="0" print="0" autoFill="0" autoPict="0" macro="[0]!Select_Level_IIandIII" altText="Select Level I and II Health Facilities">
                <anchor moveWithCells="1">
                  <from>
                    <xdr:col>3</xdr:col>
                    <xdr:colOff>1209675</xdr:colOff>
                    <xdr:row>10</xdr:row>
                    <xdr:rowOff>0</xdr:rowOff>
                  </from>
                  <to>
                    <xdr:col>4</xdr:col>
                    <xdr:colOff>714375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Add_Personen" altText="Add Drug / Medication / Supply">
                <anchor moveWithCells="1">
                  <from>
                    <xdr:col>1</xdr:col>
                    <xdr:colOff>47625</xdr:colOff>
                    <xdr:row>13</xdr:row>
                    <xdr:rowOff>9525</xdr:rowOff>
                  </from>
                  <to>
                    <xdr:col>1</xdr:col>
                    <xdr:colOff>781050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Delete_Personen" altText="Delete Drug / Medication / Supply">
                <anchor moveWithCells="1">
                  <from>
                    <xdr:col>1</xdr:col>
                    <xdr:colOff>828675</xdr:colOff>
                    <xdr:row>13</xdr:row>
                    <xdr:rowOff>9525</xdr:rowOff>
                  </from>
                  <to>
                    <xdr:col>1</xdr:col>
                    <xdr:colOff>1552575</xdr:colOff>
                    <xdr:row>13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greaterThanOrEqual" allowBlank="1" showInputMessage="1" showErrorMessage="1">
          <x14:formula1>
            <xm:f>[1]SelectDept!#REF!</xm:f>
          </x14:formula1>
          <xm:sqref>F14:F101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70C0"/>
  </sheetPr>
  <dimension ref="A2:DT145"/>
  <sheetViews>
    <sheetView tabSelected="1" zoomScale="80" zoomScaleNormal="80" workbookViewId="0">
      <pane xSplit="60" ySplit="12" topLeftCell="BI48" activePane="bottomRight" state="frozen"/>
      <selection pane="topRight" activeCell="BI1" sqref="BI1"/>
      <selection pane="bottomLeft" activeCell="A13" sqref="A13"/>
      <selection pane="bottomRight" activeCell="EF26" sqref="EF26"/>
    </sheetView>
  </sheetViews>
  <sheetFormatPr defaultColWidth="8.7109375" defaultRowHeight="16.5" x14ac:dyDescent="0.3"/>
  <cols>
    <col min="1" max="1" width="8.7109375" style="13"/>
    <col min="2" max="2" width="8.7109375" style="1" customWidth="1"/>
    <col min="3" max="3" width="21.7109375" style="1" customWidth="1"/>
    <col min="4" max="4" width="23.28515625" style="1" customWidth="1"/>
    <col min="5" max="5" width="13.85546875" style="1" customWidth="1"/>
    <col min="6" max="6" width="1.42578125" style="13" customWidth="1"/>
    <col min="7" max="60" width="8.7109375" style="13" hidden="1" customWidth="1"/>
    <col min="61" max="61" width="1.42578125" style="13" customWidth="1"/>
    <col min="62" max="77" width="8.7109375" style="13" customWidth="1"/>
    <col min="78" max="78" width="15" style="13" customWidth="1"/>
    <col min="79" max="122" width="8.7109375" style="13" customWidth="1"/>
    <col min="123" max="123" width="1.42578125" style="1" customWidth="1"/>
    <col min="124" max="16384" width="8.7109375" style="1"/>
  </cols>
  <sheetData>
    <row r="2" spans="1:124" s="20" customFormat="1" ht="13.5" customHeight="1" x14ac:dyDescent="0.35">
      <c r="A2" s="16"/>
      <c r="B2" s="17" t="s">
        <v>3</v>
      </c>
      <c r="C2" s="18"/>
      <c r="D2" s="19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</row>
    <row r="4" spans="1:124" ht="26.25" customHeight="1" x14ac:dyDescent="0.3">
      <c r="B4" s="91" t="s">
        <v>13</v>
      </c>
      <c r="C4" s="92"/>
      <c r="D4" s="92"/>
      <c r="E4" s="93"/>
    </row>
    <row r="5" spans="1:124" ht="14.1" x14ac:dyDescent="0.3">
      <c r="B5" s="33" t="s">
        <v>60</v>
      </c>
      <c r="C5" s="34"/>
      <c r="D5" s="34"/>
      <c r="E5" s="35"/>
    </row>
    <row r="6" spans="1:124" ht="14.1" x14ac:dyDescent="0.3">
      <c r="B6" s="33" t="s">
        <v>14</v>
      </c>
      <c r="C6" s="34"/>
      <c r="D6" s="34"/>
      <c r="E6" s="35"/>
    </row>
    <row r="7" spans="1:124" s="13" customFormat="1" ht="14.1" x14ac:dyDescent="0.3">
      <c r="B7" s="86" t="s">
        <v>99</v>
      </c>
      <c r="C7" s="34"/>
      <c r="D7" s="87">
        <v>2017</v>
      </c>
      <c r="E7" s="35"/>
    </row>
    <row r="8" spans="1:124" ht="27.75" customHeight="1" x14ac:dyDescent="0.3">
      <c r="B8" s="94" t="s">
        <v>59</v>
      </c>
      <c r="C8" s="95"/>
      <c r="D8" s="95"/>
      <c r="E8" s="96"/>
    </row>
    <row r="10" spans="1:124" ht="20.100000000000001" x14ac:dyDescent="0.4">
      <c r="F10" s="88" t="s">
        <v>4</v>
      </c>
    </row>
    <row r="11" spans="1:124" s="15" customFormat="1" ht="21.6" customHeight="1" x14ac:dyDescent="0.35">
      <c r="B11" s="47"/>
      <c r="C11" s="48"/>
      <c r="D11" s="49"/>
      <c r="E11" s="49"/>
      <c r="F11" s="23"/>
      <c r="G11" s="97" t="s">
        <v>19</v>
      </c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9"/>
      <c r="Y11" s="100" t="s">
        <v>35</v>
      </c>
      <c r="Z11" s="101"/>
      <c r="AA11" s="101"/>
      <c r="AB11" s="101"/>
      <c r="AC11" s="101"/>
      <c r="AD11" s="101"/>
      <c r="AE11" s="101"/>
      <c r="AF11" s="101"/>
      <c r="AG11" s="101"/>
      <c r="AH11" s="101"/>
      <c r="AI11" s="101"/>
      <c r="AJ11" s="101"/>
      <c r="AK11" s="101"/>
      <c r="AL11" s="101"/>
      <c r="AM11" s="101"/>
      <c r="AN11" s="101"/>
      <c r="AO11" s="101"/>
      <c r="AP11" s="101"/>
      <c r="AQ11" s="102" t="s">
        <v>46</v>
      </c>
      <c r="AR11" s="101"/>
      <c r="AS11" s="101"/>
      <c r="AT11" s="101"/>
      <c r="AU11" s="101"/>
      <c r="AV11" s="101"/>
      <c r="AW11" s="101"/>
      <c r="AX11" s="101"/>
      <c r="AY11" s="101"/>
      <c r="AZ11" s="101"/>
      <c r="BA11" s="101"/>
      <c r="BB11" s="101"/>
      <c r="BC11" s="101"/>
      <c r="BD11" s="101"/>
      <c r="BE11" s="101"/>
      <c r="BF11" s="101"/>
      <c r="BG11" s="101"/>
      <c r="BH11" s="101"/>
      <c r="BI11" s="23"/>
      <c r="BJ11" s="89" t="s">
        <v>19</v>
      </c>
      <c r="BK11" s="90"/>
      <c r="BL11" s="90"/>
      <c r="BM11" s="90"/>
      <c r="BN11" s="90"/>
      <c r="BO11" s="90"/>
      <c r="BP11" s="90"/>
      <c r="BQ11" s="90"/>
      <c r="BR11" s="90"/>
      <c r="BS11" s="90"/>
      <c r="BT11" s="90"/>
      <c r="BU11" s="90"/>
      <c r="BV11" s="90"/>
      <c r="BW11" s="90"/>
      <c r="BX11" s="90"/>
      <c r="BY11" s="90"/>
      <c r="BZ11" s="90"/>
      <c r="CA11" s="90"/>
      <c r="CB11" s="103" t="s">
        <v>35</v>
      </c>
      <c r="CC11" s="104"/>
      <c r="CD11" s="104"/>
      <c r="CE11" s="104"/>
      <c r="CF11" s="104"/>
      <c r="CG11" s="104"/>
      <c r="CH11" s="104"/>
      <c r="CI11" s="104"/>
      <c r="CJ11" s="104"/>
      <c r="CK11" s="104"/>
      <c r="CL11" s="104"/>
      <c r="CM11" s="104"/>
      <c r="CN11" s="104"/>
      <c r="CO11" s="104"/>
      <c r="CP11" s="104"/>
      <c r="CQ11" s="104"/>
      <c r="CR11" s="104"/>
      <c r="CS11" s="104"/>
      <c r="CT11" s="104"/>
      <c r="CU11" s="89" t="s">
        <v>46</v>
      </c>
      <c r="CV11" s="89"/>
      <c r="CW11" s="89"/>
      <c r="CX11" s="89"/>
      <c r="CY11" s="89"/>
      <c r="CZ11" s="89"/>
      <c r="DA11" s="89"/>
      <c r="DB11" s="89"/>
      <c r="DC11" s="89"/>
      <c r="DD11" s="90"/>
      <c r="DE11" s="90"/>
      <c r="DF11" s="90"/>
      <c r="DG11" s="90"/>
      <c r="DH11" s="90"/>
      <c r="DI11" s="90"/>
      <c r="DJ11" s="90"/>
      <c r="DK11" s="90"/>
      <c r="DL11" s="90"/>
      <c r="DM11" s="90"/>
      <c r="DN11" s="90"/>
      <c r="DO11" s="90"/>
      <c r="DP11" s="90"/>
      <c r="DQ11" s="90"/>
      <c r="DR11" s="90"/>
      <c r="DT11" s="40"/>
    </row>
    <row r="12" spans="1:124" s="14" customFormat="1" ht="69" customHeight="1" x14ac:dyDescent="0.3">
      <c r="B12" s="51" t="s">
        <v>12</v>
      </c>
      <c r="C12" s="52" t="s">
        <v>0</v>
      </c>
      <c r="D12" s="50" t="s">
        <v>7</v>
      </c>
      <c r="E12" s="50" t="s">
        <v>18</v>
      </c>
      <c r="F12" s="23"/>
      <c r="G12" s="24" t="s">
        <v>20</v>
      </c>
      <c r="H12" s="24" t="s">
        <v>83</v>
      </c>
      <c r="I12" s="24" t="s">
        <v>21</v>
      </c>
      <c r="J12" s="24" t="s">
        <v>22</v>
      </c>
      <c r="K12" s="24" t="s">
        <v>23</v>
      </c>
      <c r="L12" s="24" t="s">
        <v>24</v>
      </c>
      <c r="M12" s="24" t="s">
        <v>25</v>
      </c>
      <c r="N12" s="24" t="s">
        <v>84</v>
      </c>
      <c r="O12" s="24" t="s">
        <v>26</v>
      </c>
      <c r="P12" s="24" t="s">
        <v>27</v>
      </c>
      <c r="Q12" s="24" t="s">
        <v>28</v>
      </c>
      <c r="R12" s="24" t="s">
        <v>29</v>
      </c>
      <c r="S12" s="24" t="s">
        <v>30</v>
      </c>
      <c r="T12" s="24" t="s">
        <v>31</v>
      </c>
      <c r="U12" s="24" t="s">
        <v>32</v>
      </c>
      <c r="V12" s="24" t="s">
        <v>33</v>
      </c>
      <c r="W12" s="24" t="s">
        <v>34</v>
      </c>
      <c r="X12" s="24" t="s">
        <v>64</v>
      </c>
      <c r="Y12" s="24" t="s">
        <v>36</v>
      </c>
      <c r="Z12" s="24" t="s">
        <v>39</v>
      </c>
      <c r="AA12" s="25" t="s">
        <v>65</v>
      </c>
      <c r="AB12" s="24" t="s">
        <v>38</v>
      </c>
      <c r="AC12" s="25" t="s">
        <v>37</v>
      </c>
      <c r="AD12" s="24" t="s">
        <v>66</v>
      </c>
      <c r="AE12" s="24" t="s">
        <v>67</v>
      </c>
      <c r="AF12" s="24" t="s">
        <v>69</v>
      </c>
      <c r="AG12" s="24" t="s">
        <v>5</v>
      </c>
      <c r="AH12" s="24" t="s">
        <v>40</v>
      </c>
      <c r="AI12" s="24" t="s">
        <v>70</v>
      </c>
      <c r="AJ12" s="24" t="s">
        <v>41</v>
      </c>
      <c r="AK12" s="24" t="s">
        <v>42</v>
      </c>
      <c r="AL12" s="24" t="s">
        <v>43</v>
      </c>
      <c r="AM12" s="24" t="s">
        <v>44</v>
      </c>
      <c r="AN12" s="25" t="s">
        <v>71</v>
      </c>
      <c r="AO12" s="25" t="s">
        <v>72</v>
      </c>
      <c r="AP12" s="24" t="s">
        <v>64</v>
      </c>
      <c r="AQ12" s="24" t="s">
        <v>85</v>
      </c>
      <c r="AR12" s="24" t="s">
        <v>73</v>
      </c>
      <c r="AS12" s="24" t="s">
        <v>74</v>
      </c>
      <c r="AT12" s="24" t="s">
        <v>75</v>
      </c>
      <c r="AU12" s="24" t="s">
        <v>76</v>
      </c>
      <c r="AV12" s="24" t="s">
        <v>77</v>
      </c>
      <c r="AW12" s="24" t="s">
        <v>78</v>
      </c>
      <c r="AX12" s="25" t="s">
        <v>86</v>
      </c>
      <c r="AY12" s="24" t="s">
        <v>87</v>
      </c>
      <c r="AZ12" s="24" t="s">
        <v>48</v>
      </c>
      <c r="BA12" s="24" t="s">
        <v>6</v>
      </c>
      <c r="BB12" s="24" t="s">
        <v>45</v>
      </c>
      <c r="BC12" s="24" t="s">
        <v>49</v>
      </c>
      <c r="BD12" s="24" t="s">
        <v>50</v>
      </c>
      <c r="BE12" s="24" t="s">
        <v>51</v>
      </c>
      <c r="BF12" s="24" t="s">
        <v>52</v>
      </c>
      <c r="BG12" s="24" t="s">
        <v>53</v>
      </c>
      <c r="BH12" s="24" t="s">
        <v>54</v>
      </c>
      <c r="BI12" s="23"/>
      <c r="BJ12" s="24" t="s">
        <v>20</v>
      </c>
      <c r="BK12" s="24" t="s">
        <v>61</v>
      </c>
      <c r="BL12" s="24" t="s">
        <v>21</v>
      </c>
      <c r="BM12" s="24" t="s">
        <v>22</v>
      </c>
      <c r="BN12" s="24" t="s">
        <v>23</v>
      </c>
      <c r="BO12" s="24" t="s">
        <v>24</v>
      </c>
      <c r="BP12" s="24" t="s">
        <v>25</v>
      </c>
      <c r="BQ12" s="24" t="s">
        <v>62</v>
      </c>
      <c r="BR12" s="24" t="s">
        <v>26</v>
      </c>
      <c r="BS12" s="24" t="s">
        <v>27</v>
      </c>
      <c r="BT12" s="24" t="s">
        <v>28</v>
      </c>
      <c r="BU12" s="24" t="s">
        <v>29</v>
      </c>
      <c r="BV12" s="24" t="s">
        <v>30</v>
      </c>
      <c r="BW12" s="24" t="s">
        <v>31</v>
      </c>
      <c r="BX12" s="24" t="s">
        <v>32</v>
      </c>
      <c r="BY12" s="24" t="s">
        <v>33</v>
      </c>
      <c r="BZ12" s="24" t="s">
        <v>63</v>
      </c>
      <c r="CA12" s="24" t="s">
        <v>64</v>
      </c>
      <c r="CB12" s="24" t="s">
        <v>36</v>
      </c>
      <c r="CC12" s="24" t="s">
        <v>39</v>
      </c>
      <c r="CD12" s="24" t="s">
        <v>65</v>
      </c>
      <c r="CE12" s="24" t="s">
        <v>38</v>
      </c>
      <c r="CF12" s="24" t="s">
        <v>37</v>
      </c>
      <c r="CG12" s="24" t="s">
        <v>66</v>
      </c>
      <c r="CH12" s="24" t="s">
        <v>67</v>
      </c>
      <c r="CI12" s="24" t="s">
        <v>68</v>
      </c>
      <c r="CJ12" s="24" t="s">
        <v>69</v>
      </c>
      <c r="CK12" s="24" t="s">
        <v>5</v>
      </c>
      <c r="CL12" s="24" t="s">
        <v>40</v>
      </c>
      <c r="CM12" s="24" t="s">
        <v>70</v>
      </c>
      <c r="CN12" s="24" t="s">
        <v>41</v>
      </c>
      <c r="CO12" s="24" t="s">
        <v>42</v>
      </c>
      <c r="CP12" s="24" t="s">
        <v>43</v>
      </c>
      <c r="CQ12" s="24" t="s">
        <v>44</v>
      </c>
      <c r="CR12" s="24" t="s">
        <v>71</v>
      </c>
      <c r="CS12" s="24" t="s">
        <v>72</v>
      </c>
      <c r="CT12" s="25" t="s">
        <v>64</v>
      </c>
      <c r="CU12" s="24" t="s">
        <v>47</v>
      </c>
      <c r="CV12" s="24" t="s">
        <v>73</v>
      </c>
      <c r="CW12" s="24" t="s">
        <v>74</v>
      </c>
      <c r="CX12" s="24" t="s">
        <v>75</v>
      </c>
      <c r="CY12" s="24" t="s">
        <v>76</v>
      </c>
      <c r="CZ12" s="24" t="s">
        <v>77</v>
      </c>
      <c r="DA12" s="24" t="s">
        <v>78</v>
      </c>
      <c r="DB12" s="26" t="s">
        <v>79</v>
      </c>
      <c r="DC12" s="24" t="s">
        <v>80</v>
      </c>
      <c r="DD12" s="24" t="s">
        <v>48</v>
      </c>
      <c r="DE12" s="24" t="s">
        <v>6</v>
      </c>
      <c r="DF12" s="24" t="s">
        <v>81</v>
      </c>
      <c r="DG12" s="24" t="s">
        <v>45</v>
      </c>
      <c r="DH12" s="24" t="s">
        <v>82</v>
      </c>
      <c r="DI12" s="24" t="s">
        <v>49</v>
      </c>
      <c r="DJ12" s="24" t="s">
        <v>50</v>
      </c>
      <c r="DK12" s="24" t="s">
        <v>51</v>
      </c>
      <c r="DL12" s="24" t="s">
        <v>52</v>
      </c>
      <c r="DM12" s="24" t="s">
        <v>53</v>
      </c>
      <c r="DN12" s="24" t="s">
        <v>54</v>
      </c>
      <c r="DO12" s="24" t="s">
        <v>55</v>
      </c>
      <c r="DP12" s="24" t="s">
        <v>56</v>
      </c>
      <c r="DQ12" s="24" t="s">
        <v>57</v>
      </c>
      <c r="DR12" s="24" t="s">
        <v>58</v>
      </c>
      <c r="DT12" s="41" t="s">
        <v>88</v>
      </c>
    </row>
    <row r="13" spans="1:124" x14ac:dyDescent="0.3">
      <c r="B13" s="4">
        <f>'6.1Personnel List'!B14</f>
        <v>1</v>
      </c>
      <c r="C13" s="105" t="s">
        <v>100</v>
      </c>
      <c r="D13" s="106" t="s">
        <v>101</v>
      </c>
      <c r="E13" s="46">
        <f>'6.1Personnel List'!H14</f>
        <v>0</v>
      </c>
      <c r="F13" s="43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3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>
        <v>0.5</v>
      </c>
      <c r="CL13" s="42">
        <v>0.3</v>
      </c>
      <c r="CM13" s="42"/>
      <c r="CN13" s="42"/>
      <c r="CO13" s="42">
        <v>0.2</v>
      </c>
      <c r="CP13" s="42"/>
      <c r="CQ13" s="42"/>
      <c r="CR13" s="42"/>
      <c r="CS13" s="42"/>
      <c r="CT13" s="42"/>
      <c r="CU13" s="42"/>
      <c r="CV13" s="42"/>
      <c r="CW13" s="42"/>
      <c r="CX13" s="42"/>
      <c r="CY13" s="42"/>
      <c r="CZ13" s="42"/>
      <c r="DA13" s="42"/>
      <c r="DB13" s="42"/>
      <c r="DC13" s="42"/>
      <c r="DD13" s="42"/>
      <c r="DE13" s="42"/>
      <c r="DF13" s="42"/>
      <c r="DG13" s="42"/>
      <c r="DH13" s="42"/>
      <c r="DI13" s="42"/>
      <c r="DJ13" s="42"/>
      <c r="DK13" s="42"/>
      <c r="DL13" s="42"/>
      <c r="DM13" s="42"/>
      <c r="DN13" s="42"/>
      <c r="DO13" s="42"/>
      <c r="DP13" s="42"/>
      <c r="DQ13" s="42"/>
      <c r="DR13" s="42"/>
      <c r="DS13" s="44"/>
      <c r="DT13" s="45">
        <f t="shared" ref="DT13:DT18" si="0">SUM(F13:DR13)</f>
        <v>1</v>
      </c>
    </row>
    <row r="14" spans="1:124" x14ac:dyDescent="0.3">
      <c r="B14" s="4">
        <f>'6.1Personnel List'!B15</f>
        <v>2</v>
      </c>
      <c r="C14" s="105" t="s">
        <v>102</v>
      </c>
      <c r="D14" s="106" t="s">
        <v>103</v>
      </c>
      <c r="E14" s="46">
        <f>'6.1Personnel List'!H15</f>
        <v>0</v>
      </c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>
        <v>1</v>
      </c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  <c r="CY14" s="42"/>
      <c r="CZ14" s="42"/>
      <c r="DA14" s="42"/>
      <c r="DB14" s="42"/>
      <c r="DC14" s="42"/>
      <c r="DD14" s="42"/>
      <c r="DE14" s="42"/>
      <c r="DF14" s="42"/>
      <c r="DG14" s="42"/>
      <c r="DH14" s="42"/>
      <c r="DI14" s="42"/>
      <c r="DJ14" s="42"/>
      <c r="DK14" s="42"/>
      <c r="DL14" s="42"/>
      <c r="DM14" s="42"/>
      <c r="DN14" s="42"/>
      <c r="DO14" s="42"/>
      <c r="DP14" s="42"/>
      <c r="DQ14" s="42"/>
      <c r="DR14" s="42"/>
      <c r="DS14" s="44"/>
      <c r="DT14" s="45">
        <f t="shared" si="0"/>
        <v>1</v>
      </c>
    </row>
    <row r="15" spans="1:124" x14ac:dyDescent="0.3">
      <c r="B15" s="4">
        <f>'6.1Personnel List'!B16</f>
        <v>3</v>
      </c>
      <c r="C15" s="105" t="s">
        <v>104</v>
      </c>
      <c r="D15" s="106" t="s">
        <v>105</v>
      </c>
      <c r="E15" s="46">
        <f>'6.1Personnel List'!H16</f>
        <v>0</v>
      </c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>
        <v>1</v>
      </c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2"/>
      <c r="CQ15" s="42"/>
      <c r="CR15" s="42"/>
      <c r="CS15" s="42"/>
      <c r="CT15" s="42"/>
      <c r="CU15" s="42"/>
      <c r="CV15" s="42"/>
      <c r="CW15" s="42"/>
      <c r="CX15" s="42"/>
      <c r="CY15" s="42"/>
      <c r="CZ15" s="42"/>
      <c r="DA15" s="42"/>
      <c r="DB15" s="42"/>
      <c r="DC15" s="42"/>
      <c r="DD15" s="42"/>
      <c r="DE15" s="42"/>
      <c r="DF15" s="42"/>
      <c r="DG15" s="42"/>
      <c r="DH15" s="42"/>
      <c r="DI15" s="42"/>
      <c r="DJ15" s="42"/>
      <c r="DK15" s="42"/>
      <c r="DL15" s="42"/>
      <c r="DM15" s="42"/>
      <c r="DN15" s="42"/>
      <c r="DO15" s="42"/>
      <c r="DP15" s="42"/>
      <c r="DQ15" s="42"/>
      <c r="DR15" s="42"/>
      <c r="DS15" s="44"/>
      <c r="DT15" s="45">
        <f t="shared" si="0"/>
        <v>1</v>
      </c>
    </row>
    <row r="16" spans="1:124" x14ac:dyDescent="0.3">
      <c r="B16" s="4">
        <f>'6.1Personnel List'!B17</f>
        <v>4</v>
      </c>
      <c r="C16" s="105" t="s">
        <v>106</v>
      </c>
      <c r="D16" s="106" t="s">
        <v>101</v>
      </c>
      <c r="E16" s="46">
        <f>'6.1Personnel List'!H17</f>
        <v>0</v>
      </c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42"/>
      <c r="BE16" s="42"/>
      <c r="BF16" s="42"/>
      <c r="BG16" s="42"/>
      <c r="BH16" s="42"/>
      <c r="BJ16" s="42"/>
      <c r="BK16" s="42"/>
      <c r="BL16" s="42"/>
      <c r="BM16" s="42"/>
      <c r="BN16" s="42"/>
      <c r="BO16" s="42"/>
      <c r="BP16" s="42"/>
      <c r="BQ16" s="42"/>
      <c r="BR16" s="42"/>
      <c r="BS16" s="42"/>
      <c r="BT16" s="42"/>
      <c r="BU16" s="42"/>
      <c r="BV16" s="42"/>
      <c r="BW16" s="42"/>
      <c r="BX16" s="42"/>
      <c r="BY16" s="42"/>
      <c r="BZ16" s="42"/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>
        <v>0.5</v>
      </c>
      <c r="CL16" s="42">
        <v>0.3</v>
      </c>
      <c r="CM16" s="42"/>
      <c r="CN16" s="42"/>
      <c r="CO16" s="42">
        <v>0.2</v>
      </c>
      <c r="CP16" s="42"/>
      <c r="CQ16" s="42"/>
      <c r="CR16" s="42"/>
      <c r="CS16" s="42"/>
      <c r="CT16" s="42"/>
      <c r="CU16" s="42"/>
      <c r="CV16" s="42"/>
      <c r="CW16" s="42"/>
      <c r="CX16" s="42"/>
      <c r="CY16" s="42"/>
      <c r="CZ16" s="42"/>
      <c r="DA16" s="42"/>
      <c r="DB16" s="42"/>
      <c r="DC16" s="42"/>
      <c r="DD16" s="42"/>
      <c r="DE16" s="42"/>
      <c r="DF16" s="42"/>
      <c r="DG16" s="42"/>
      <c r="DH16" s="42"/>
      <c r="DI16" s="42"/>
      <c r="DJ16" s="42"/>
      <c r="DK16" s="42"/>
      <c r="DL16" s="42"/>
      <c r="DM16" s="42"/>
      <c r="DN16" s="42"/>
      <c r="DO16" s="42"/>
      <c r="DP16" s="42"/>
      <c r="DQ16" s="42"/>
      <c r="DR16" s="42"/>
      <c r="DS16" s="44"/>
      <c r="DT16" s="45">
        <f t="shared" si="0"/>
        <v>1</v>
      </c>
    </row>
    <row r="17" spans="2:124" x14ac:dyDescent="0.3">
      <c r="B17" s="4">
        <f>'6.1Personnel List'!B18</f>
        <v>5</v>
      </c>
      <c r="C17" s="105" t="s">
        <v>107</v>
      </c>
      <c r="D17" s="106" t="s">
        <v>108</v>
      </c>
      <c r="E17" s="46">
        <f>'6.1Personnel List'!H18</f>
        <v>0</v>
      </c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42"/>
      <c r="BG17" s="42"/>
      <c r="BH17" s="42"/>
      <c r="BJ17" s="42"/>
      <c r="BK17" s="42"/>
      <c r="BL17" s="42"/>
      <c r="BM17" s="42"/>
      <c r="BN17" s="42"/>
      <c r="BO17" s="42"/>
      <c r="BP17" s="42"/>
      <c r="BQ17" s="42"/>
      <c r="BR17" s="42"/>
      <c r="BS17" s="42"/>
      <c r="BT17" s="42"/>
      <c r="BU17" s="42"/>
      <c r="BV17" s="42"/>
      <c r="BW17" s="42"/>
      <c r="BX17" s="42"/>
      <c r="BY17" s="42"/>
      <c r="BZ17" s="42"/>
      <c r="CA17" s="42"/>
      <c r="CB17" s="42"/>
      <c r="CC17" s="42"/>
      <c r="CD17" s="42"/>
      <c r="CE17" s="42"/>
      <c r="CF17" s="42"/>
      <c r="CG17" s="42">
        <v>1</v>
      </c>
      <c r="CH17" s="42"/>
      <c r="CI17" s="42"/>
      <c r="CJ17" s="42"/>
      <c r="CK17" s="42"/>
      <c r="CL17" s="42"/>
      <c r="CM17" s="42"/>
      <c r="CN17" s="42"/>
      <c r="CO17" s="42"/>
      <c r="CP17" s="42"/>
      <c r="CQ17" s="42"/>
      <c r="CR17" s="42"/>
      <c r="CS17" s="42"/>
      <c r="CT17" s="42"/>
      <c r="CU17" s="42"/>
      <c r="CV17" s="42"/>
      <c r="CW17" s="42"/>
      <c r="CX17" s="42"/>
      <c r="CY17" s="42"/>
      <c r="CZ17" s="42"/>
      <c r="DA17" s="42"/>
      <c r="DB17" s="42"/>
      <c r="DC17" s="42"/>
      <c r="DD17" s="42"/>
      <c r="DE17" s="42"/>
      <c r="DF17" s="42"/>
      <c r="DG17" s="42"/>
      <c r="DH17" s="42"/>
      <c r="DI17" s="42"/>
      <c r="DJ17" s="42"/>
      <c r="DK17" s="42"/>
      <c r="DL17" s="42"/>
      <c r="DM17" s="42"/>
      <c r="DN17" s="42"/>
      <c r="DO17" s="42"/>
      <c r="DP17" s="42"/>
      <c r="DQ17" s="42"/>
      <c r="DR17" s="42"/>
      <c r="DS17" s="44"/>
      <c r="DT17" s="45">
        <f t="shared" si="0"/>
        <v>1</v>
      </c>
    </row>
    <row r="18" spans="2:124" x14ac:dyDescent="0.3">
      <c r="B18" s="4">
        <f>'6.1Personnel List'!B19</f>
        <v>6</v>
      </c>
      <c r="C18" s="105" t="s">
        <v>109</v>
      </c>
      <c r="D18" s="106" t="s">
        <v>101</v>
      </c>
      <c r="E18" s="46">
        <f>'6.1Personnel List'!H19</f>
        <v>0</v>
      </c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42"/>
      <c r="BG18" s="42"/>
      <c r="BH18" s="42"/>
      <c r="BJ18" s="42"/>
      <c r="BK18" s="42"/>
      <c r="BL18" s="42"/>
      <c r="BM18" s="42"/>
      <c r="BN18" s="42"/>
      <c r="BO18" s="42"/>
      <c r="BP18" s="42"/>
      <c r="BQ18" s="42"/>
      <c r="BR18" s="42"/>
      <c r="BS18" s="42"/>
      <c r="BT18" s="42"/>
      <c r="BU18" s="42"/>
      <c r="BV18" s="42"/>
      <c r="BW18" s="42"/>
      <c r="BX18" s="42"/>
      <c r="BY18" s="42"/>
      <c r="BZ18" s="42"/>
      <c r="CA18" s="42"/>
      <c r="CB18" s="42"/>
      <c r="CC18" s="42"/>
      <c r="CD18" s="42"/>
      <c r="CE18" s="42"/>
      <c r="CF18" s="42"/>
      <c r="CG18" s="42"/>
      <c r="CH18" s="42"/>
      <c r="CI18" s="42"/>
      <c r="CJ18" s="42"/>
      <c r="CK18" s="42">
        <v>0.5</v>
      </c>
      <c r="CL18" s="42">
        <v>0.3</v>
      </c>
      <c r="CM18" s="42"/>
      <c r="CN18" s="42"/>
      <c r="CO18" s="42"/>
      <c r="CP18" s="42"/>
      <c r="CQ18" s="42"/>
      <c r="CR18" s="42"/>
      <c r="CS18" s="42"/>
      <c r="CT18" s="42"/>
      <c r="CU18" s="42">
        <v>0.2</v>
      </c>
      <c r="CV18" s="42"/>
      <c r="CW18" s="42"/>
      <c r="CX18" s="42"/>
      <c r="CY18" s="42"/>
      <c r="CZ18" s="42"/>
      <c r="DA18" s="42"/>
      <c r="DB18" s="42"/>
      <c r="DC18" s="42"/>
      <c r="DD18" s="42"/>
      <c r="DE18" s="42"/>
      <c r="DF18" s="42"/>
      <c r="DG18" s="42"/>
      <c r="DH18" s="42"/>
      <c r="DI18" s="42"/>
      <c r="DJ18" s="42"/>
      <c r="DK18" s="42"/>
      <c r="DL18" s="42"/>
      <c r="DM18" s="42"/>
      <c r="DN18" s="42"/>
      <c r="DO18" s="42"/>
      <c r="DP18" s="42"/>
      <c r="DQ18" s="42"/>
      <c r="DR18" s="42"/>
      <c r="DS18" s="44"/>
      <c r="DT18" s="45">
        <f t="shared" si="0"/>
        <v>1</v>
      </c>
    </row>
    <row r="19" spans="2:124" s="13" customFormat="1" x14ac:dyDescent="0.3">
      <c r="B19" s="4">
        <f>'6.1Personnel List'!B20</f>
        <v>7</v>
      </c>
      <c r="C19" s="105" t="s">
        <v>110</v>
      </c>
      <c r="D19" s="106" t="s">
        <v>111</v>
      </c>
      <c r="E19" s="46">
        <f>'6.1Personnel List'!H20</f>
        <v>0</v>
      </c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  <c r="BF19" s="42"/>
      <c r="BG19" s="42"/>
      <c r="BH19" s="42"/>
      <c r="BJ19" s="42"/>
      <c r="BK19" s="42"/>
      <c r="BL19" s="42">
        <v>1</v>
      </c>
      <c r="BM19" s="42"/>
      <c r="BN19" s="42"/>
      <c r="BO19" s="42"/>
      <c r="BP19" s="42"/>
      <c r="BQ19" s="42"/>
      <c r="BR19" s="42"/>
      <c r="BS19" s="42"/>
      <c r="BT19" s="42"/>
      <c r="BU19" s="42"/>
      <c r="BV19" s="42"/>
      <c r="BW19" s="42"/>
      <c r="BX19" s="42"/>
      <c r="BY19" s="42"/>
      <c r="BZ19" s="42"/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  <c r="CM19" s="42"/>
      <c r="CN19" s="42"/>
      <c r="CO19" s="42"/>
      <c r="CP19" s="42"/>
      <c r="CQ19" s="42"/>
      <c r="CR19" s="42"/>
      <c r="CS19" s="42"/>
      <c r="CT19" s="42"/>
      <c r="CU19" s="42"/>
      <c r="CV19" s="42"/>
      <c r="CW19" s="42"/>
      <c r="CX19" s="42"/>
      <c r="CY19" s="42"/>
      <c r="CZ19" s="42"/>
      <c r="DA19" s="42"/>
      <c r="DB19" s="42"/>
      <c r="DC19" s="42"/>
      <c r="DD19" s="42"/>
      <c r="DE19" s="42"/>
      <c r="DF19" s="42"/>
      <c r="DG19" s="42"/>
      <c r="DH19" s="42"/>
      <c r="DI19" s="42"/>
      <c r="DJ19" s="42"/>
      <c r="DK19" s="42"/>
      <c r="DL19" s="42"/>
      <c r="DM19" s="42"/>
      <c r="DN19" s="42"/>
      <c r="DO19" s="42"/>
      <c r="DP19" s="42"/>
      <c r="DQ19" s="42"/>
      <c r="DR19" s="42"/>
      <c r="DS19" s="44"/>
      <c r="DT19" s="45">
        <f t="shared" ref="DT19" si="1">SUM(F19:DR19)</f>
        <v>1</v>
      </c>
    </row>
    <row r="20" spans="2:124" s="13" customFormat="1" x14ac:dyDescent="0.3">
      <c r="B20" s="4">
        <f>'6.1Personnel List'!B21</f>
        <v>8</v>
      </c>
      <c r="C20" s="105" t="s">
        <v>112</v>
      </c>
      <c r="D20" s="106" t="s">
        <v>113</v>
      </c>
      <c r="E20" s="46">
        <f>'6.1Personnel List'!H21</f>
        <v>0</v>
      </c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42"/>
      <c r="BE20" s="42"/>
      <c r="BF20" s="42"/>
      <c r="BG20" s="42"/>
      <c r="BH20" s="42"/>
      <c r="BJ20" s="42"/>
      <c r="BK20" s="42"/>
      <c r="BL20" s="42"/>
      <c r="BM20" s="42"/>
      <c r="BN20" s="42"/>
      <c r="BO20" s="42"/>
      <c r="BP20" s="42"/>
      <c r="BQ20" s="42"/>
      <c r="BR20" s="42"/>
      <c r="BS20" s="42"/>
      <c r="BT20" s="42"/>
      <c r="BU20" s="42"/>
      <c r="BV20" s="42"/>
      <c r="BW20" s="42"/>
      <c r="BX20" s="42"/>
      <c r="BY20" s="42"/>
      <c r="BZ20" s="42"/>
      <c r="CA20" s="42"/>
      <c r="CB20" s="42"/>
      <c r="CC20" s="42"/>
      <c r="CD20" s="42"/>
      <c r="CE20" s="42">
        <v>1</v>
      </c>
      <c r="CF20" s="42"/>
      <c r="CG20" s="42"/>
      <c r="CH20" s="42"/>
      <c r="CI20" s="42"/>
      <c r="CJ20" s="42"/>
      <c r="CK20" s="42"/>
      <c r="CL20" s="42"/>
      <c r="CM20" s="42"/>
      <c r="CN20" s="42"/>
      <c r="CO20" s="42"/>
      <c r="CP20" s="42"/>
      <c r="CQ20" s="42"/>
      <c r="CR20" s="42"/>
      <c r="CS20" s="42"/>
      <c r="CT20" s="42"/>
      <c r="CU20" s="42"/>
      <c r="CV20" s="42"/>
      <c r="CW20" s="42"/>
      <c r="CX20" s="42"/>
      <c r="CY20" s="42"/>
      <c r="CZ20" s="42"/>
      <c r="DA20" s="42"/>
      <c r="DB20" s="42"/>
      <c r="DC20" s="42"/>
      <c r="DD20" s="42"/>
      <c r="DE20" s="42"/>
      <c r="DF20" s="42"/>
      <c r="DG20" s="42"/>
      <c r="DH20" s="42"/>
      <c r="DI20" s="42"/>
      <c r="DJ20" s="42"/>
      <c r="DK20" s="42"/>
      <c r="DL20" s="42"/>
      <c r="DM20" s="42"/>
      <c r="DN20" s="42"/>
      <c r="DO20" s="42"/>
      <c r="DP20" s="42"/>
      <c r="DQ20" s="42"/>
      <c r="DR20" s="42"/>
      <c r="DS20" s="44"/>
      <c r="DT20" s="45">
        <f t="shared" ref="DT20" si="2">SUM(F20:DR20)</f>
        <v>1</v>
      </c>
    </row>
    <row r="21" spans="2:124" s="13" customFormat="1" x14ac:dyDescent="0.3">
      <c r="B21" s="4">
        <f>'6.1Personnel List'!B22</f>
        <v>9</v>
      </c>
      <c r="C21" s="105" t="s">
        <v>114</v>
      </c>
      <c r="D21" s="106" t="s">
        <v>115</v>
      </c>
      <c r="E21" s="46">
        <f>'6.1Personnel List'!H22</f>
        <v>0</v>
      </c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2"/>
      <c r="BF21" s="42"/>
      <c r="BG21" s="42"/>
      <c r="BH21" s="42"/>
      <c r="BJ21" s="42"/>
      <c r="BK21" s="42"/>
      <c r="BL21" s="42"/>
      <c r="BM21" s="42"/>
      <c r="BN21" s="42"/>
      <c r="BO21" s="42"/>
      <c r="BP21" s="42"/>
      <c r="BQ21" s="42"/>
      <c r="BR21" s="42"/>
      <c r="BS21" s="42"/>
      <c r="BT21" s="42"/>
      <c r="BU21" s="42"/>
      <c r="BV21" s="42"/>
      <c r="BW21" s="42"/>
      <c r="BX21" s="42"/>
      <c r="BY21" s="42"/>
      <c r="BZ21" s="42"/>
      <c r="CA21" s="42"/>
      <c r="CB21" s="42"/>
      <c r="CC21" s="42">
        <v>1</v>
      </c>
      <c r="CD21" s="42"/>
      <c r="CE21" s="42"/>
      <c r="CF21" s="42"/>
      <c r="CG21" s="42"/>
      <c r="CH21" s="42"/>
      <c r="CI21" s="42"/>
      <c r="CJ21" s="42"/>
      <c r="CK21" s="42"/>
      <c r="CL21" s="42"/>
      <c r="CM21" s="42"/>
      <c r="CN21" s="42"/>
      <c r="CO21" s="42"/>
      <c r="CP21" s="42"/>
      <c r="CQ21" s="42"/>
      <c r="CR21" s="42"/>
      <c r="CS21" s="42"/>
      <c r="CT21" s="42"/>
      <c r="CU21" s="42"/>
      <c r="CV21" s="42"/>
      <c r="CW21" s="42"/>
      <c r="CX21" s="42"/>
      <c r="CY21" s="42"/>
      <c r="CZ21" s="42"/>
      <c r="DA21" s="42"/>
      <c r="DB21" s="42"/>
      <c r="DC21" s="42"/>
      <c r="DD21" s="42"/>
      <c r="DE21" s="42"/>
      <c r="DF21" s="42"/>
      <c r="DG21" s="42"/>
      <c r="DH21" s="42"/>
      <c r="DI21" s="42"/>
      <c r="DJ21" s="42"/>
      <c r="DK21" s="42"/>
      <c r="DL21" s="42"/>
      <c r="DM21" s="42"/>
      <c r="DN21" s="42"/>
      <c r="DO21" s="42"/>
      <c r="DP21" s="42"/>
      <c r="DQ21" s="42"/>
      <c r="DR21" s="42"/>
      <c r="DS21" s="44"/>
      <c r="DT21" s="45">
        <f t="shared" ref="DT21" si="3">SUM(F21:DR21)</f>
        <v>1</v>
      </c>
    </row>
    <row r="22" spans="2:124" s="13" customFormat="1" x14ac:dyDescent="0.3">
      <c r="B22" s="4">
        <f>'6.1Personnel List'!B23</f>
        <v>10</v>
      </c>
      <c r="C22" s="105" t="s">
        <v>116</v>
      </c>
      <c r="D22" s="106" t="s">
        <v>117</v>
      </c>
      <c r="E22" s="46">
        <f>'6.1Personnel List'!H101</f>
        <v>0</v>
      </c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42"/>
      <c r="BB22" s="42"/>
      <c r="BC22" s="42"/>
      <c r="BD22" s="42"/>
      <c r="BE22" s="42"/>
      <c r="BF22" s="42"/>
      <c r="BG22" s="42"/>
      <c r="BH22" s="42"/>
      <c r="BJ22" s="42"/>
      <c r="BK22" s="42"/>
      <c r="BL22" s="42"/>
      <c r="BM22" s="42"/>
      <c r="BN22" s="42">
        <v>1</v>
      </c>
      <c r="BO22" s="42"/>
      <c r="BP22" s="42"/>
      <c r="BQ22" s="42"/>
      <c r="BR22" s="42"/>
      <c r="BS22" s="42"/>
      <c r="BT22" s="42"/>
      <c r="BU22" s="42"/>
      <c r="BV22" s="42"/>
      <c r="BW22" s="42"/>
      <c r="BX22" s="42"/>
      <c r="BY22" s="42"/>
      <c r="BZ22" s="42"/>
      <c r="CA22" s="42"/>
      <c r="CB22" s="42"/>
      <c r="CC22" s="42"/>
      <c r="CD22" s="42"/>
      <c r="CE22" s="42"/>
      <c r="CF22" s="42"/>
      <c r="CG22" s="42"/>
      <c r="CH22" s="42"/>
      <c r="CI22" s="42"/>
      <c r="CJ22" s="42"/>
      <c r="CK22" s="42"/>
      <c r="CL22" s="42"/>
      <c r="CM22" s="42"/>
      <c r="CN22" s="42"/>
      <c r="CO22" s="42"/>
      <c r="CP22" s="42"/>
      <c r="CQ22" s="42"/>
      <c r="CR22" s="42"/>
      <c r="CS22" s="42"/>
      <c r="CT22" s="42"/>
      <c r="CU22" s="42"/>
      <c r="CV22" s="42"/>
      <c r="CW22" s="42"/>
      <c r="CX22" s="42"/>
      <c r="CY22" s="42"/>
      <c r="CZ22" s="42"/>
      <c r="DA22" s="42"/>
      <c r="DB22" s="42"/>
      <c r="DC22" s="42"/>
      <c r="DD22" s="42"/>
      <c r="DE22" s="42"/>
      <c r="DF22" s="42"/>
      <c r="DG22" s="42"/>
      <c r="DH22" s="42"/>
      <c r="DI22" s="42"/>
      <c r="DJ22" s="42"/>
      <c r="DK22" s="42"/>
      <c r="DL22" s="42"/>
      <c r="DM22" s="42"/>
      <c r="DN22" s="42"/>
      <c r="DO22" s="42"/>
      <c r="DP22" s="42"/>
      <c r="DQ22" s="42"/>
      <c r="DR22" s="42"/>
      <c r="DS22" s="44"/>
      <c r="DT22" s="45">
        <f t="shared" ref="DT22" si="4">SUM(F22:DR22)</f>
        <v>1</v>
      </c>
    </row>
    <row r="23" spans="2:124" s="13" customFormat="1" x14ac:dyDescent="0.3">
      <c r="B23" s="4">
        <f>'6.1Personnel List'!B24</f>
        <v>11</v>
      </c>
      <c r="C23" s="105" t="s">
        <v>118</v>
      </c>
      <c r="D23" s="106" t="s">
        <v>119</v>
      </c>
      <c r="E23" s="46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42"/>
      <c r="BB23" s="42"/>
      <c r="BC23" s="42"/>
      <c r="BD23" s="42"/>
      <c r="BE23" s="42"/>
      <c r="BF23" s="42"/>
      <c r="BG23" s="42"/>
      <c r="BH23" s="42"/>
      <c r="BJ23" s="42"/>
      <c r="BK23" s="42"/>
      <c r="BL23" s="42"/>
      <c r="BM23" s="42"/>
      <c r="BN23" s="42"/>
      <c r="BO23" s="42"/>
      <c r="BP23" s="42"/>
      <c r="BQ23" s="42"/>
      <c r="BR23" s="42"/>
      <c r="BS23" s="42"/>
      <c r="BT23" s="42"/>
      <c r="BU23" s="42"/>
      <c r="BV23" s="42"/>
      <c r="BW23" s="42"/>
      <c r="BX23" s="42"/>
      <c r="BY23" s="42"/>
      <c r="BZ23" s="42"/>
      <c r="CA23" s="42"/>
      <c r="CB23" s="42"/>
      <c r="CC23" s="42"/>
      <c r="CD23" s="42"/>
      <c r="CE23" s="42"/>
      <c r="CF23" s="42"/>
      <c r="CG23" s="42"/>
      <c r="CH23" s="42">
        <v>1</v>
      </c>
      <c r="CI23" s="42"/>
      <c r="CJ23" s="42"/>
      <c r="CK23" s="42"/>
      <c r="CL23" s="42"/>
      <c r="CM23" s="42"/>
      <c r="CN23" s="42"/>
      <c r="CO23" s="42"/>
      <c r="CP23" s="42"/>
      <c r="CQ23" s="42"/>
      <c r="CR23" s="42"/>
      <c r="CS23" s="42"/>
      <c r="CT23" s="42"/>
      <c r="CU23" s="42"/>
      <c r="CV23" s="42"/>
      <c r="CW23" s="42"/>
      <c r="CX23" s="42"/>
      <c r="CY23" s="42"/>
      <c r="CZ23" s="42"/>
      <c r="DA23" s="42"/>
      <c r="DB23" s="42"/>
      <c r="DC23" s="42"/>
      <c r="DD23" s="42"/>
      <c r="DE23" s="42"/>
      <c r="DF23" s="42"/>
      <c r="DG23" s="42"/>
      <c r="DH23" s="42"/>
      <c r="DI23" s="42"/>
      <c r="DJ23" s="42"/>
      <c r="DK23" s="42"/>
      <c r="DL23" s="42"/>
      <c r="DM23" s="42"/>
      <c r="DN23" s="42"/>
      <c r="DO23" s="42"/>
      <c r="DP23" s="42"/>
      <c r="DQ23" s="42"/>
      <c r="DR23" s="42"/>
      <c r="DS23" s="44"/>
      <c r="DT23" s="45">
        <f t="shared" ref="DT23" si="5">SUM(F23:DR23)</f>
        <v>1</v>
      </c>
    </row>
    <row r="24" spans="2:124" s="13" customFormat="1" x14ac:dyDescent="0.3">
      <c r="B24" s="4">
        <f>'6.1Personnel List'!B25</f>
        <v>12</v>
      </c>
      <c r="C24" s="105" t="s">
        <v>120</v>
      </c>
      <c r="D24" s="106" t="s">
        <v>121</v>
      </c>
      <c r="E24" s="46">
        <f>'6.1Personnel List'!H102</f>
        <v>0</v>
      </c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42"/>
      <c r="BB24" s="42"/>
      <c r="BC24" s="42"/>
      <c r="BD24" s="42"/>
      <c r="BE24" s="42"/>
      <c r="BF24" s="42"/>
      <c r="BG24" s="42"/>
      <c r="BH24" s="42"/>
      <c r="BJ24" s="42"/>
      <c r="BK24" s="42"/>
      <c r="BL24" s="42"/>
      <c r="BM24" s="42"/>
      <c r="BN24" s="42"/>
      <c r="BO24" s="42"/>
      <c r="BP24" s="42"/>
      <c r="BQ24" s="42"/>
      <c r="BR24" s="42">
        <v>1</v>
      </c>
      <c r="BS24" s="42"/>
      <c r="BT24" s="42"/>
      <c r="BU24" s="42"/>
      <c r="BV24" s="42"/>
      <c r="BW24" s="42"/>
      <c r="BX24" s="42"/>
      <c r="BY24" s="42"/>
      <c r="BZ24" s="42"/>
      <c r="CA24" s="42"/>
      <c r="CB24" s="42"/>
      <c r="CC24" s="42"/>
      <c r="CD24" s="42"/>
      <c r="CE24" s="42"/>
      <c r="CF24" s="42"/>
      <c r="CG24" s="42"/>
      <c r="CH24" s="42"/>
      <c r="CI24" s="42"/>
      <c r="CJ24" s="42"/>
      <c r="CK24" s="42"/>
      <c r="CL24" s="42"/>
      <c r="CM24" s="42"/>
      <c r="CN24" s="42"/>
      <c r="CO24" s="42"/>
      <c r="CP24" s="42"/>
      <c r="CQ24" s="42"/>
      <c r="CR24" s="42"/>
      <c r="CS24" s="42"/>
      <c r="CT24" s="42"/>
      <c r="CU24" s="42"/>
      <c r="CV24" s="42"/>
      <c r="CW24" s="42"/>
      <c r="CX24" s="42"/>
      <c r="CY24" s="42"/>
      <c r="CZ24" s="42"/>
      <c r="DA24" s="42"/>
      <c r="DB24" s="42"/>
      <c r="DC24" s="42"/>
      <c r="DD24" s="42"/>
      <c r="DE24" s="42"/>
      <c r="DF24" s="42"/>
      <c r="DG24" s="42"/>
      <c r="DH24" s="42"/>
      <c r="DI24" s="42"/>
      <c r="DJ24" s="42"/>
      <c r="DK24" s="42"/>
      <c r="DL24" s="42"/>
      <c r="DM24" s="42"/>
      <c r="DN24" s="42"/>
      <c r="DO24" s="42"/>
      <c r="DP24" s="42"/>
      <c r="DQ24" s="42"/>
      <c r="DR24" s="42"/>
      <c r="DS24" s="44"/>
      <c r="DT24" s="45">
        <f t="shared" ref="DT24" si="6">SUM(F24:DR24)</f>
        <v>1</v>
      </c>
    </row>
    <row r="25" spans="2:124" s="13" customFormat="1" x14ac:dyDescent="0.3">
      <c r="B25" s="4">
        <f>'6.1Personnel List'!B26</f>
        <v>13</v>
      </c>
      <c r="C25" s="105" t="s">
        <v>122</v>
      </c>
      <c r="D25" s="106" t="s">
        <v>123</v>
      </c>
      <c r="E25" s="46">
        <f>'6.1Personnel List'!H103</f>
        <v>0</v>
      </c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42"/>
      <c r="BB25" s="42"/>
      <c r="BC25" s="42"/>
      <c r="BD25" s="42"/>
      <c r="BE25" s="42"/>
      <c r="BF25" s="42"/>
      <c r="BG25" s="42"/>
      <c r="BH25" s="42"/>
      <c r="BJ25" s="42"/>
      <c r="BK25" s="42"/>
      <c r="BL25" s="42">
        <v>1</v>
      </c>
      <c r="BM25" s="42"/>
      <c r="BN25" s="42"/>
      <c r="BO25" s="42"/>
      <c r="BP25" s="42"/>
      <c r="BQ25" s="42"/>
      <c r="BR25" s="42"/>
      <c r="BS25" s="42"/>
      <c r="BT25" s="42"/>
      <c r="BU25" s="42"/>
      <c r="BV25" s="42"/>
      <c r="BW25" s="42"/>
      <c r="BX25" s="42"/>
      <c r="BY25" s="42"/>
      <c r="BZ25" s="42"/>
      <c r="CA25" s="42"/>
      <c r="CB25" s="42"/>
      <c r="CC25" s="42"/>
      <c r="CD25" s="42"/>
      <c r="CE25" s="42"/>
      <c r="CF25" s="42"/>
      <c r="CG25" s="42"/>
      <c r="CH25" s="42"/>
      <c r="CI25" s="42"/>
      <c r="CJ25" s="42"/>
      <c r="CK25" s="42"/>
      <c r="CL25" s="42"/>
      <c r="CM25" s="42"/>
      <c r="CN25" s="42"/>
      <c r="CO25" s="42"/>
      <c r="CP25" s="42"/>
      <c r="CQ25" s="42"/>
      <c r="CR25" s="42"/>
      <c r="CS25" s="42"/>
      <c r="CT25" s="42"/>
      <c r="CU25" s="42"/>
      <c r="CV25" s="42"/>
      <c r="CW25" s="42"/>
      <c r="CX25" s="42"/>
      <c r="CY25" s="42"/>
      <c r="CZ25" s="42"/>
      <c r="DA25" s="42"/>
      <c r="DB25" s="42"/>
      <c r="DC25" s="42"/>
      <c r="DD25" s="42"/>
      <c r="DE25" s="42"/>
      <c r="DF25" s="42"/>
      <c r="DG25" s="42"/>
      <c r="DH25" s="42"/>
      <c r="DI25" s="42"/>
      <c r="DJ25" s="42"/>
      <c r="DK25" s="42"/>
      <c r="DL25" s="42"/>
      <c r="DM25" s="42"/>
      <c r="DN25" s="42"/>
      <c r="DO25" s="42"/>
      <c r="DP25" s="42"/>
      <c r="DQ25" s="42"/>
      <c r="DR25" s="42"/>
      <c r="DS25" s="44"/>
      <c r="DT25" s="45">
        <f t="shared" ref="DT25" si="7">SUM(F25:DR25)</f>
        <v>1</v>
      </c>
    </row>
    <row r="26" spans="2:124" s="13" customFormat="1" x14ac:dyDescent="0.3">
      <c r="B26" s="4">
        <f>'6.1Personnel List'!B27</f>
        <v>14</v>
      </c>
      <c r="C26" s="105" t="s">
        <v>124</v>
      </c>
      <c r="D26" s="106" t="s">
        <v>125</v>
      </c>
      <c r="E26" s="46">
        <f>'6.1Personnel List'!H104</f>
        <v>0</v>
      </c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42"/>
      <c r="BB26" s="42"/>
      <c r="BC26" s="42"/>
      <c r="BD26" s="42"/>
      <c r="BE26" s="42"/>
      <c r="BF26" s="42"/>
      <c r="BG26" s="42"/>
      <c r="BH26" s="42"/>
      <c r="BJ26" s="42"/>
      <c r="BK26" s="42"/>
      <c r="BL26" s="42"/>
      <c r="BM26" s="42"/>
      <c r="BN26" s="42"/>
      <c r="BO26" s="42"/>
      <c r="BP26" s="42"/>
      <c r="BQ26" s="42"/>
      <c r="BR26" s="42"/>
      <c r="BS26" s="42"/>
      <c r="BT26" s="42"/>
      <c r="BU26" s="42"/>
      <c r="BV26" s="42"/>
      <c r="BW26" s="42"/>
      <c r="BX26" s="42"/>
      <c r="BY26" s="42"/>
      <c r="BZ26" s="42"/>
      <c r="CA26" s="42"/>
      <c r="CB26" s="42"/>
      <c r="CC26" s="42"/>
      <c r="CD26" s="42"/>
      <c r="CE26" s="42"/>
      <c r="CF26" s="42"/>
      <c r="CG26" s="42"/>
      <c r="CH26" s="42"/>
      <c r="CI26" s="42"/>
      <c r="CJ26" s="42"/>
      <c r="CK26" s="42"/>
      <c r="CL26" s="42"/>
      <c r="CM26" s="42"/>
      <c r="CN26" s="42"/>
      <c r="CO26" s="42"/>
      <c r="CP26" s="42"/>
      <c r="CQ26" s="42"/>
      <c r="CR26" s="42"/>
      <c r="CS26" s="42"/>
      <c r="CT26" s="42"/>
      <c r="CU26" s="42"/>
      <c r="CV26" s="42"/>
      <c r="CW26" s="42"/>
      <c r="CX26" s="42"/>
      <c r="CY26" s="42"/>
      <c r="CZ26" s="42"/>
      <c r="DA26" s="42"/>
      <c r="DB26" s="42"/>
      <c r="DC26" s="42"/>
      <c r="DD26" s="42"/>
      <c r="DE26" s="42"/>
      <c r="DF26" s="42"/>
      <c r="DG26" s="42"/>
      <c r="DH26" s="42"/>
      <c r="DI26" s="42"/>
      <c r="DJ26" s="42">
        <v>0.2</v>
      </c>
      <c r="DK26" s="42">
        <v>0.2</v>
      </c>
      <c r="DL26" s="42">
        <v>0.2</v>
      </c>
      <c r="DM26" s="42">
        <v>0.2</v>
      </c>
      <c r="DN26" s="42">
        <v>0.2</v>
      </c>
      <c r="DO26" s="42"/>
      <c r="DP26" s="42"/>
      <c r="DQ26" s="42"/>
      <c r="DR26" s="42"/>
      <c r="DS26" s="44"/>
      <c r="DT26" s="45">
        <f t="shared" ref="DT26" si="8">SUM(F26:DR26)</f>
        <v>1</v>
      </c>
    </row>
    <row r="27" spans="2:124" s="13" customFormat="1" x14ac:dyDescent="0.3">
      <c r="B27" s="4">
        <f>'6.1Personnel List'!B28</f>
        <v>15</v>
      </c>
      <c r="C27" s="105" t="s">
        <v>126</v>
      </c>
      <c r="D27" s="106" t="s">
        <v>108</v>
      </c>
      <c r="E27" s="46">
        <f>'6.1Personnel List'!H105</f>
        <v>0</v>
      </c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42"/>
      <c r="BB27" s="42"/>
      <c r="BC27" s="42"/>
      <c r="BD27" s="42"/>
      <c r="BE27" s="42"/>
      <c r="BF27" s="42"/>
      <c r="BG27" s="42"/>
      <c r="BH27" s="42"/>
      <c r="BJ27" s="42"/>
      <c r="BK27" s="42"/>
      <c r="BL27" s="42"/>
      <c r="BM27" s="42"/>
      <c r="BN27" s="42"/>
      <c r="BO27" s="42"/>
      <c r="BP27" s="42"/>
      <c r="BQ27" s="42"/>
      <c r="BR27" s="42"/>
      <c r="BS27" s="42"/>
      <c r="BT27" s="42"/>
      <c r="BU27" s="42"/>
      <c r="BV27" s="42"/>
      <c r="BW27" s="42"/>
      <c r="BX27" s="42"/>
      <c r="BY27" s="42"/>
      <c r="BZ27" s="42"/>
      <c r="CA27" s="42"/>
      <c r="CB27" s="42"/>
      <c r="CC27" s="42"/>
      <c r="CD27" s="42"/>
      <c r="CE27" s="42"/>
      <c r="CF27" s="42"/>
      <c r="CG27" s="42">
        <v>1</v>
      </c>
      <c r="CH27" s="42"/>
      <c r="CI27" s="42"/>
      <c r="CJ27" s="42"/>
      <c r="CK27" s="42"/>
      <c r="CL27" s="42"/>
      <c r="CM27" s="42"/>
      <c r="CN27" s="42"/>
      <c r="CO27" s="42"/>
      <c r="CP27" s="42"/>
      <c r="CQ27" s="42"/>
      <c r="CR27" s="42"/>
      <c r="CS27" s="42"/>
      <c r="CT27" s="42"/>
      <c r="CU27" s="42"/>
      <c r="CV27" s="42"/>
      <c r="CW27" s="42"/>
      <c r="CX27" s="42"/>
      <c r="CY27" s="42"/>
      <c r="CZ27" s="42"/>
      <c r="DA27" s="42"/>
      <c r="DB27" s="42"/>
      <c r="DC27" s="42"/>
      <c r="DD27" s="42"/>
      <c r="DE27" s="42"/>
      <c r="DF27" s="42"/>
      <c r="DG27" s="42"/>
      <c r="DH27" s="42"/>
      <c r="DI27" s="42"/>
      <c r="DJ27" s="42"/>
      <c r="DK27" s="42"/>
      <c r="DL27" s="42"/>
      <c r="DM27" s="42"/>
      <c r="DN27" s="42"/>
      <c r="DO27" s="42"/>
      <c r="DP27" s="42"/>
      <c r="DQ27" s="42"/>
      <c r="DR27" s="42"/>
      <c r="DS27" s="44"/>
      <c r="DT27" s="45">
        <f t="shared" ref="DT27" si="9">SUM(F27:DR27)</f>
        <v>1</v>
      </c>
    </row>
    <row r="28" spans="2:124" s="13" customFormat="1" x14ac:dyDescent="0.3">
      <c r="B28" s="4">
        <f>'6.1Personnel List'!B29</f>
        <v>16</v>
      </c>
      <c r="C28" s="105" t="s">
        <v>127</v>
      </c>
      <c r="D28" s="106" t="s">
        <v>128</v>
      </c>
      <c r="E28" s="46">
        <f>'6.1Personnel List'!H106</f>
        <v>0</v>
      </c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  <c r="BA28" s="42"/>
      <c r="BB28" s="42"/>
      <c r="BC28" s="42"/>
      <c r="BD28" s="42"/>
      <c r="BE28" s="42"/>
      <c r="BF28" s="42"/>
      <c r="BG28" s="42"/>
      <c r="BH28" s="42"/>
      <c r="BJ28" s="42"/>
      <c r="BK28" s="42"/>
      <c r="BL28" s="42"/>
      <c r="BM28" s="42"/>
      <c r="BN28" s="42"/>
      <c r="BO28" s="42"/>
      <c r="BP28" s="42"/>
      <c r="BQ28" s="42">
        <v>1</v>
      </c>
      <c r="BR28" s="42"/>
      <c r="BS28" s="42"/>
      <c r="BT28" s="42"/>
      <c r="BU28" s="42"/>
      <c r="BV28" s="42"/>
      <c r="BW28" s="42"/>
      <c r="BX28" s="42"/>
      <c r="BY28" s="42"/>
      <c r="BZ28" s="42"/>
      <c r="CA28" s="42"/>
      <c r="CB28" s="42"/>
      <c r="CC28" s="42"/>
      <c r="CD28" s="42"/>
      <c r="CE28" s="42"/>
      <c r="CF28" s="42"/>
      <c r="CG28" s="42"/>
      <c r="CH28" s="42"/>
      <c r="CI28" s="42"/>
      <c r="CJ28" s="42"/>
      <c r="CK28" s="42"/>
      <c r="CL28" s="42"/>
      <c r="CM28" s="42"/>
      <c r="CN28" s="42"/>
      <c r="CO28" s="42"/>
      <c r="CP28" s="42"/>
      <c r="CQ28" s="42"/>
      <c r="CR28" s="42"/>
      <c r="CS28" s="42"/>
      <c r="CT28" s="42"/>
      <c r="CU28" s="42"/>
      <c r="CV28" s="42"/>
      <c r="CW28" s="42"/>
      <c r="CX28" s="42"/>
      <c r="CY28" s="42"/>
      <c r="CZ28" s="42"/>
      <c r="DA28" s="42"/>
      <c r="DB28" s="42"/>
      <c r="DC28" s="42"/>
      <c r="DD28" s="42"/>
      <c r="DE28" s="42"/>
      <c r="DF28" s="42"/>
      <c r="DG28" s="42"/>
      <c r="DH28" s="42"/>
      <c r="DI28" s="42"/>
      <c r="DJ28" s="42"/>
      <c r="DK28" s="42"/>
      <c r="DL28" s="42"/>
      <c r="DM28" s="42"/>
      <c r="DN28" s="42"/>
      <c r="DO28" s="42"/>
      <c r="DP28" s="42"/>
      <c r="DQ28" s="42"/>
      <c r="DR28" s="42"/>
      <c r="DS28" s="44"/>
      <c r="DT28" s="45">
        <f t="shared" ref="DT28" si="10">SUM(F28:DR28)</f>
        <v>1</v>
      </c>
    </row>
    <row r="29" spans="2:124" s="13" customFormat="1" x14ac:dyDescent="0.3">
      <c r="B29" s="4">
        <f>'6.1Personnel List'!B30</f>
        <v>17</v>
      </c>
      <c r="C29" s="105" t="s">
        <v>129</v>
      </c>
      <c r="D29" s="106" t="s">
        <v>130</v>
      </c>
      <c r="E29" s="46">
        <f>'6.1Personnel List'!H107</f>
        <v>0</v>
      </c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42"/>
      <c r="BB29" s="42"/>
      <c r="BC29" s="42"/>
      <c r="BD29" s="42"/>
      <c r="BE29" s="42"/>
      <c r="BF29" s="42"/>
      <c r="BG29" s="42"/>
      <c r="BH29" s="42"/>
      <c r="BJ29" s="42"/>
      <c r="BK29" s="42"/>
      <c r="BL29" s="42"/>
      <c r="BM29" s="42"/>
      <c r="BN29" s="42"/>
      <c r="BO29" s="42"/>
      <c r="BP29" s="42"/>
      <c r="BQ29" s="42"/>
      <c r="BR29" s="42"/>
      <c r="BS29" s="42"/>
      <c r="BT29" s="42"/>
      <c r="BU29" s="42"/>
      <c r="BV29" s="42"/>
      <c r="BW29" s="42"/>
      <c r="BX29" s="42"/>
      <c r="BY29" s="42"/>
      <c r="BZ29" s="42"/>
      <c r="CA29" s="42"/>
      <c r="CB29" s="42"/>
      <c r="CC29" s="42"/>
      <c r="CD29" s="42"/>
      <c r="CE29" s="42"/>
      <c r="CF29" s="42"/>
      <c r="CG29" s="42"/>
      <c r="CH29" s="42"/>
      <c r="CI29" s="42"/>
      <c r="CJ29" s="42"/>
      <c r="CK29" s="42"/>
      <c r="CL29" s="42"/>
      <c r="CM29" s="42"/>
      <c r="CN29" s="42"/>
      <c r="CO29" s="42"/>
      <c r="CP29" s="42"/>
      <c r="CQ29" s="42"/>
      <c r="CR29" s="42"/>
      <c r="CS29" s="42"/>
      <c r="CT29" s="42"/>
      <c r="CU29" s="42"/>
      <c r="CV29" s="42"/>
      <c r="CW29" s="42"/>
      <c r="CX29" s="42"/>
      <c r="CY29" s="42"/>
      <c r="CZ29" s="42"/>
      <c r="DA29" s="42"/>
      <c r="DB29" s="42"/>
      <c r="DC29" s="42"/>
      <c r="DD29" s="42"/>
      <c r="DE29" s="42"/>
      <c r="DF29" s="42"/>
      <c r="DG29" s="42"/>
      <c r="DH29" s="42"/>
      <c r="DI29" s="42"/>
      <c r="DJ29" s="42">
        <v>0.2</v>
      </c>
      <c r="DK29" s="42">
        <v>0.2</v>
      </c>
      <c r="DL29" s="42">
        <v>0.2</v>
      </c>
      <c r="DM29" s="42">
        <v>0.2</v>
      </c>
      <c r="DN29" s="42">
        <v>0.2</v>
      </c>
      <c r="DO29" s="42"/>
      <c r="DP29" s="42"/>
      <c r="DQ29" s="42"/>
      <c r="DR29" s="42"/>
      <c r="DS29" s="44"/>
      <c r="DT29" s="45">
        <f t="shared" ref="DT29" si="11">SUM(F29:DR29)</f>
        <v>1</v>
      </c>
    </row>
    <row r="30" spans="2:124" s="13" customFormat="1" x14ac:dyDescent="0.3">
      <c r="B30" s="4">
        <f>'6.1Personnel List'!B31</f>
        <v>18</v>
      </c>
      <c r="C30" s="105" t="s">
        <v>131</v>
      </c>
      <c r="D30" s="106" t="s">
        <v>132</v>
      </c>
      <c r="E30" s="46">
        <f>'6.1Personnel List'!H108</f>
        <v>0</v>
      </c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42"/>
      <c r="BB30" s="42"/>
      <c r="BC30" s="42"/>
      <c r="BD30" s="42"/>
      <c r="BE30" s="42"/>
      <c r="BF30" s="42"/>
      <c r="BG30" s="42"/>
      <c r="BH30" s="42"/>
      <c r="BJ30" s="42"/>
      <c r="BK30" s="42"/>
      <c r="BL30" s="42"/>
      <c r="BM30" s="42"/>
      <c r="BN30" s="42"/>
      <c r="BO30" s="42"/>
      <c r="BP30" s="42"/>
      <c r="BQ30" s="42"/>
      <c r="BR30" s="42"/>
      <c r="BS30" s="42"/>
      <c r="BT30" s="42"/>
      <c r="BU30" s="42"/>
      <c r="BV30" s="42"/>
      <c r="BW30" s="42"/>
      <c r="BX30" s="42"/>
      <c r="BY30" s="42"/>
      <c r="BZ30" s="42"/>
      <c r="CA30" s="42"/>
      <c r="CB30" s="42"/>
      <c r="CC30" s="42"/>
      <c r="CD30" s="42"/>
      <c r="CE30" s="42"/>
      <c r="CF30" s="42"/>
      <c r="CG30" s="42"/>
      <c r="CH30" s="42">
        <v>1</v>
      </c>
      <c r="CI30" s="42"/>
      <c r="CJ30" s="42"/>
      <c r="CK30" s="42"/>
      <c r="CL30" s="42"/>
      <c r="CM30" s="42"/>
      <c r="CN30" s="42"/>
      <c r="CO30" s="42"/>
      <c r="CP30" s="42"/>
      <c r="CQ30" s="42"/>
      <c r="CR30" s="42"/>
      <c r="CS30" s="42"/>
      <c r="CT30" s="42"/>
      <c r="CU30" s="42"/>
      <c r="CV30" s="42"/>
      <c r="CW30" s="42"/>
      <c r="CX30" s="42"/>
      <c r="CY30" s="42"/>
      <c r="CZ30" s="42"/>
      <c r="DA30" s="42"/>
      <c r="DB30" s="42"/>
      <c r="DC30" s="42"/>
      <c r="DD30" s="42"/>
      <c r="DE30" s="42"/>
      <c r="DF30" s="42"/>
      <c r="DG30" s="42"/>
      <c r="DH30" s="42"/>
      <c r="DI30" s="42"/>
      <c r="DJ30" s="42"/>
      <c r="DK30" s="42"/>
      <c r="DL30" s="42"/>
      <c r="DM30" s="42"/>
      <c r="DN30" s="42"/>
      <c r="DO30" s="42"/>
      <c r="DP30" s="42"/>
      <c r="DQ30" s="42"/>
      <c r="DR30" s="42"/>
      <c r="DS30" s="44"/>
      <c r="DT30" s="45">
        <f t="shared" ref="DT30" si="12">SUM(F30:DR30)</f>
        <v>1</v>
      </c>
    </row>
    <row r="31" spans="2:124" s="13" customFormat="1" x14ac:dyDescent="0.3">
      <c r="B31" s="4">
        <f>'6.1Personnel List'!B32</f>
        <v>19</v>
      </c>
      <c r="C31" s="105" t="s">
        <v>133</v>
      </c>
      <c r="D31" s="106" t="s">
        <v>108</v>
      </c>
      <c r="E31" s="46">
        <f>'6.1Personnel List'!H109</f>
        <v>0</v>
      </c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42"/>
      <c r="BB31" s="42"/>
      <c r="BC31" s="42"/>
      <c r="BD31" s="42"/>
      <c r="BE31" s="42"/>
      <c r="BF31" s="42"/>
      <c r="BG31" s="42"/>
      <c r="BH31" s="42"/>
      <c r="BJ31" s="42"/>
      <c r="BK31" s="42"/>
      <c r="BL31" s="42"/>
      <c r="BM31" s="42"/>
      <c r="BN31" s="42"/>
      <c r="BO31" s="42"/>
      <c r="BP31" s="42"/>
      <c r="BQ31" s="42"/>
      <c r="BR31" s="42"/>
      <c r="BS31" s="42"/>
      <c r="BT31" s="42"/>
      <c r="BU31" s="42"/>
      <c r="BV31" s="42"/>
      <c r="BW31" s="42"/>
      <c r="BX31" s="42"/>
      <c r="BY31" s="42"/>
      <c r="BZ31" s="42"/>
      <c r="CA31" s="42"/>
      <c r="CB31" s="42"/>
      <c r="CC31" s="42"/>
      <c r="CD31" s="42"/>
      <c r="CE31" s="42"/>
      <c r="CF31" s="42"/>
      <c r="CG31" s="42">
        <v>1</v>
      </c>
      <c r="CH31" s="42"/>
      <c r="CI31" s="42"/>
      <c r="CJ31" s="42"/>
      <c r="CK31" s="42"/>
      <c r="CL31" s="42"/>
      <c r="CM31" s="42"/>
      <c r="CN31" s="42"/>
      <c r="CO31" s="42"/>
      <c r="CP31" s="42"/>
      <c r="CQ31" s="42"/>
      <c r="CR31" s="42"/>
      <c r="CS31" s="42"/>
      <c r="CT31" s="42"/>
      <c r="CU31" s="42"/>
      <c r="CV31" s="42"/>
      <c r="CW31" s="42"/>
      <c r="CX31" s="42"/>
      <c r="CY31" s="42"/>
      <c r="CZ31" s="42"/>
      <c r="DA31" s="42"/>
      <c r="DB31" s="42"/>
      <c r="DC31" s="42"/>
      <c r="DD31" s="42"/>
      <c r="DE31" s="42"/>
      <c r="DF31" s="42"/>
      <c r="DG31" s="42"/>
      <c r="DH31" s="42"/>
      <c r="DI31" s="42"/>
      <c r="DJ31" s="42"/>
      <c r="DK31" s="42"/>
      <c r="DL31" s="42"/>
      <c r="DM31" s="42"/>
      <c r="DN31" s="42"/>
      <c r="DO31" s="42"/>
      <c r="DP31" s="42"/>
      <c r="DQ31" s="42"/>
      <c r="DR31" s="42"/>
      <c r="DS31" s="44"/>
      <c r="DT31" s="45">
        <f t="shared" ref="DT31" si="13">SUM(F31:DR31)</f>
        <v>1</v>
      </c>
    </row>
    <row r="32" spans="2:124" s="13" customFormat="1" x14ac:dyDescent="0.3">
      <c r="B32" s="4">
        <f>'6.1Personnel List'!B33</f>
        <v>20</v>
      </c>
      <c r="C32" s="105" t="s">
        <v>134</v>
      </c>
      <c r="D32" s="106" t="s">
        <v>135</v>
      </c>
      <c r="E32" s="46">
        <f>'6.1Personnel List'!H110</f>
        <v>0</v>
      </c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42"/>
      <c r="BB32" s="42"/>
      <c r="BC32" s="42"/>
      <c r="BD32" s="42"/>
      <c r="BE32" s="42"/>
      <c r="BF32" s="42"/>
      <c r="BG32" s="42"/>
      <c r="BH32" s="42"/>
      <c r="BJ32" s="42"/>
      <c r="BK32" s="42"/>
      <c r="BL32" s="42"/>
      <c r="BM32" s="42"/>
      <c r="BN32" s="42"/>
      <c r="BO32" s="42"/>
      <c r="BP32" s="42"/>
      <c r="BQ32" s="42"/>
      <c r="BR32" s="42"/>
      <c r="BS32" s="42"/>
      <c r="BT32" s="42"/>
      <c r="BU32" s="42"/>
      <c r="BV32" s="42"/>
      <c r="BW32" s="42"/>
      <c r="BX32" s="42"/>
      <c r="BY32" s="42"/>
      <c r="BZ32" s="42"/>
      <c r="CA32" s="42"/>
      <c r="CB32" s="42"/>
      <c r="CC32" s="42">
        <v>1</v>
      </c>
      <c r="CD32" s="42"/>
      <c r="CE32" s="42"/>
      <c r="CF32" s="42"/>
      <c r="CG32" s="42"/>
      <c r="CH32" s="42"/>
      <c r="CI32" s="42"/>
      <c r="CJ32" s="42"/>
      <c r="CK32" s="42"/>
      <c r="CL32" s="42"/>
      <c r="CM32" s="42"/>
      <c r="CN32" s="42"/>
      <c r="CO32" s="42"/>
      <c r="CP32" s="42"/>
      <c r="CQ32" s="42"/>
      <c r="CR32" s="42"/>
      <c r="CS32" s="42"/>
      <c r="CT32" s="42"/>
      <c r="CU32" s="42"/>
      <c r="CV32" s="42"/>
      <c r="CW32" s="42"/>
      <c r="CX32" s="42"/>
      <c r="CY32" s="42"/>
      <c r="CZ32" s="42"/>
      <c r="DA32" s="42"/>
      <c r="DB32" s="42"/>
      <c r="DC32" s="42"/>
      <c r="DD32" s="42"/>
      <c r="DE32" s="42"/>
      <c r="DF32" s="42"/>
      <c r="DG32" s="42"/>
      <c r="DH32" s="42"/>
      <c r="DI32" s="42"/>
      <c r="DJ32" s="42"/>
      <c r="DK32" s="42"/>
      <c r="DL32" s="42"/>
      <c r="DM32" s="42"/>
      <c r="DN32" s="42"/>
      <c r="DO32" s="42"/>
      <c r="DP32" s="42"/>
      <c r="DQ32" s="42"/>
      <c r="DR32" s="42"/>
      <c r="DS32" s="44"/>
      <c r="DT32" s="45">
        <f t="shared" ref="DT32" si="14">SUM(F32:DR32)</f>
        <v>1</v>
      </c>
    </row>
    <row r="33" spans="2:124" s="13" customFormat="1" x14ac:dyDescent="0.3">
      <c r="B33" s="4">
        <f>'6.1Personnel List'!B34</f>
        <v>21</v>
      </c>
      <c r="C33" s="105" t="s">
        <v>136</v>
      </c>
      <c r="D33" s="106" t="s">
        <v>121</v>
      </c>
      <c r="E33" s="46">
        <f>'6.1Personnel List'!H111</f>
        <v>0</v>
      </c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42"/>
      <c r="BB33" s="42"/>
      <c r="BC33" s="42"/>
      <c r="BD33" s="42"/>
      <c r="BE33" s="42"/>
      <c r="BF33" s="42"/>
      <c r="BG33" s="42"/>
      <c r="BH33" s="42"/>
      <c r="BJ33" s="42"/>
      <c r="BK33" s="42"/>
      <c r="BL33" s="42"/>
      <c r="BM33" s="42"/>
      <c r="BN33" s="42"/>
      <c r="BO33" s="42"/>
      <c r="BP33" s="42"/>
      <c r="BQ33" s="42"/>
      <c r="BR33" s="42">
        <v>1</v>
      </c>
      <c r="BS33" s="42"/>
      <c r="BT33" s="42"/>
      <c r="BU33" s="42"/>
      <c r="BV33" s="42"/>
      <c r="BW33" s="42"/>
      <c r="BX33" s="42"/>
      <c r="BY33" s="42"/>
      <c r="BZ33" s="42"/>
      <c r="CA33" s="42"/>
      <c r="CB33" s="42"/>
      <c r="CC33" s="42"/>
      <c r="CD33" s="42"/>
      <c r="CE33" s="42"/>
      <c r="CF33" s="42"/>
      <c r="CG33" s="42"/>
      <c r="CH33" s="42"/>
      <c r="CI33" s="42"/>
      <c r="CJ33" s="42"/>
      <c r="CK33" s="42"/>
      <c r="CL33" s="42"/>
      <c r="CM33" s="42"/>
      <c r="CN33" s="42"/>
      <c r="CO33" s="42"/>
      <c r="CP33" s="42"/>
      <c r="CQ33" s="42"/>
      <c r="CR33" s="42"/>
      <c r="CS33" s="42"/>
      <c r="CT33" s="42"/>
      <c r="CU33" s="42"/>
      <c r="CV33" s="42"/>
      <c r="CW33" s="42"/>
      <c r="CX33" s="42"/>
      <c r="CY33" s="42"/>
      <c r="CZ33" s="42"/>
      <c r="DA33" s="42"/>
      <c r="DB33" s="42"/>
      <c r="DC33" s="42"/>
      <c r="DD33" s="42"/>
      <c r="DE33" s="42"/>
      <c r="DF33" s="42"/>
      <c r="DG33" s="42"/>
      <c r="DH33" s="42"/>
      <c r="DI33" s="42"/>
      <c r="DJ33" s="42"/>
      <c r="DK33" s="42"/>
      <c r="DL33" s="42"/>
      <c r="DM33" s="42"/>
      <c r="DN33" s="42"/>
      <c r="DO33" s="42"/>
      <c r="DP33" s="42"/>
      <c r="DQ33" s="42"/>
      <c r="DR33" s="42"/>
      <c r="DS33" s="44"/>
      <c r="DT33" s="45">
        <f t="shared" ref="DT33" si="15">SUM(F33:DR33)</f>
        <v>1</v>
      </c>
    </row>
    <row r="34" spans="2:124" s="13" customFormat="1" x14ac:dyDescent="0.3">
      <c r="B34" s="4">
        <f>'6.1Personnel List'!B35</f>
        <v>22</v>
      </c>
      <c r="C34" s="105" t="s">
        <v>137</v>
      </c>
      <c r="D34" s="106" t="s">
        <v>101</v>
      </c>
      <c r="E34" s="46">
        <f>'6.1Personnel List'!H112</f>
        <v>0</v>
      </c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42"/>
      <c r="BB34" s="42"/>
      <c r="BC34" s="42"/>
      <c r="BD34" s="42"/>
      <c r="BE34" s="42"/>
      <c r="BF34" s="42"/>
      <c r="BG34" s="42"/>
      <c r="BH34" s="42"/>
      <c r="BJ34" s="42"/>
      <c r="BK34" s="42"/>
      <c r="BL34" s="42"/>
      <c r="BM34" s="42"/>
      <c r="BN34" s="42"/>
      <c r="BO34" s="42"/>
      <c r="BP34" s="42"/>
      <c r="BQ34" s="42"/>
      <c r="BR34" s="42"/>
      <c r="BS34" s="42"/>
      <c r="BT34" s="42"/>
      <c r="BU34" s="42"/>
      <c r="BV34" s="42"/>
      <c r="BW34" s="42"/>
      <c r="BX34" s="42"/>
      <c r="BY34" s="42"/>
      <c r="BZ34" s="42"/>
      <c r="CA34" s="42"/>
      <c r="CB34" s="42"/>
      <c r="CC34" s="42"/>
      <c r="CD34" s="42"/>
      <c r="CE34" s="42"/>
      <c r="CF34" s="42"/>
      <c r="CG34" s="42"/>
      <c r="CH34" s="42"/>
      <c r="CI34" s="42"/>
      <c r="CJ34" s="42"/>
      <c r="CK34" s="42"/>
      <c r="CL34" s="42"/>
      <c r="CM34" s="42"/>
      <c r="CN34" s="42"/>
      <c r="CO34" s="42"/>
      <c r="CP34" s="42"/>
      <c r="CQ34" s="42"/>
      <c r="CR34" s="42"/>
      <c r="CS34" s="42"/>
      <c r="CT34" s="42"/>
      <c r="CU34" s="42">
        <v>1</v>
      </c>
      <c r="CV34" s="42"/>
      <c r="CW34" s="42"/>
      <c r="CX34" s="42"/>
      <c r="CY34" s="42"/>
      <c r="CZ34" s="42"/>
      <c r="DA34" s="42"/>
      <c r="DB34" s="42"/>
      <c r="DC34" s="42"/>
      <c r="DD34" s="42"/>
      <c r="DE34" s="42"/>
      <c r="DF34" s="42"/>
      <c r="DG34" s="42"/>
      <c r="DH34" s="42"/>
      <c r="DI34" s="42"/>
      <c r="DJ34" s="42"/>
      <c r="DK34" s="42"/>
      <c r="DL34" s="42"/>
      <c r="DM34" s="42"/>
      <c r="DN34" s="42"/>
      <c r="DO34" s="42"/>
      <c r="DP34" s="42"/>
      <c r="DQ34" s="42"/>
      <c r="DR34" s="42"/>
      <c r="DS34" s="44"/>
      <c r="DT34" s="45">
        <f t="shared" ref="DT34" si="16">SUM(F34:DR34)</f>
        <v>1</v>
      </c>
    </row>
    <row r="35" spans="2:124" s="13" customFormat="1" x14ac:dyDescent="0.3">
      <c r="B35" s="4">
        <f>'6.1Personnel List'!B36</f>
        <v>23</v>
      </c>
      <c r="C35" s="105" t="s">
        <v>138</v>
      </c>
      <c r="D35" s="106" t="s">
        <v>139</v>
      </c>
      <c r="E35" s="46">
        <f>'6.1Personnel List'!H113</f>
        <v>0</v>
      </c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42"/>
      <c r="BB35" s="42"/>
      <c r="BC35" s="42"/>
      <c r="BD35" s="42"/>
      <c r="BE35" s="42"/>
      <c r="BF35" s="42"/>
      <c r="BG35" s="42"/>
      <c r="BH35" s="42"/>
      <c r="BJ35" s="42"/>
      <c r="BK35" s="42"/>
      <c r="BL35" s="42"/>
      <c r="BM35" s="42"/>
      <c r="BN35" s="42"/>
      <c r="BO35" s="42"/>
      <c r="BP35" s="42"/>
      <c r="BQ35" s="42"/>
      <c r="BR35" s="42"/>
      <c r="BS35" s="42"/>
      <c r="BT35" s="42"/>
      <c r="BU35" s="42">
        <v>1</v>
      </c>
      <c r="BV35" s="42"/>
      <c r="BW35" s="42"/>
      <c r="BX35" s="42"/>
      <c r="BY35" s="42"/>
      <c r="BZ35" s="42"/>
      <c r="CA35" s="42"/>
      <c r="CB35" s="42"/>
      <c r="CC35" s="42"/>
      <c r="CD35" s="42"/>
      <c r="CE35" s="42"/>
      <c r="CF35" s="42"/>
      <c r="CG35" s="42"/>
      <c r="CH35" s="42"/>
      <c r="CI35" s="42"/>
      <c r="CJ35" s="42"/>
      <c r="CK35" s="42"/>
      <c r="CL35" s="42"/>
      <c r="CM35" s="42"/>
      <c r="CN35" s="42"/>
      <c r="CO35" s="42"/>
      <c r="CP35" s="42"/>
      <c r="CQ35" s="42"/>
      <c r="CR35" s="42"/>
      <c r="CS35" s="42"/>
      <c r="CT35" s="42"/>
      <c r="CU35" s="42"/>
      <c r="CV35" s="42"/>
      <c r="CW35" s="42"/>
      <c r="CX35" s="42"/>
      <c r="CY35" s="42"/>
      <c r="CZ35" s="42"/>
      <c r="DA35" s="42"/>
      <c r="DB35" s="42"/>
      <c r="DC35" s="42"/>
      <c r="DD35" s="42"/>
      <c r="DE35" s="42"/>
      <c r="DF35" s="42"/>
      <c r="DG35" s="42"/>
      <c r="DH35" s="42"/>
      <c r="DI35" s="42"/>
      <c r="DJ35" s="42"/>
      <c r="DK35" s="42"/>
      <c r="DL35" s="42"/>
      <c r="DM35" s="42"/>
      <c r="DN35" s="42"/>
      <c r="DO35" s="42"/>
      <c r="DP35" s="42"/>
      <c r="DQ35" s="42"/>
      <c r="DR35" s="42"/>
      <c r="DS35" s="44"/>
      <c r="DT35" s="45">
        <f t="shared" ref="DT35" si="17">SUM(F35:DR35)</f>
        <v>1</v>
      </c>
    </row>
    <row r="36" spans="2:124" s="13" customFormat="1" x14ac:dyDescent="0.3">
      <c r="B36" s="4">
        <f>'6.1Personnel List'!B37</f>
        <v>24</v>
      </c>
      <c r="C36" s="105" t="s">
        <v>140</v>
      </c>
      <c r="D36" s="106" t="s">
        <v>141</v>
      </c>
      <c r="E36" s="46">
        <f>'6.1Personnel List'!H114</f>
        <v>0</v>
      </c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42"/>
      <c r="BB36" s="42"/>
      <c r="BC36" s="42"/>
      <c r="BD36" s="42"/>
      <c r="BE36" s="42"/>
      <c r="BF36" s="42"/>
      <c r="BG36" s="42"/>
      <c r="BH36" s="42"/>
      <c r="BJ36" s="42"/>
      <c r="BK36" s="42"/>
      <c r="BL36" s="42"/>
      <c r="BM36" s="42"/>
      <c r="BN36" s="42"/>
      <c r="BO36" s="42"/>
      <c r="BP36" s="42"/>
      <c r="BQ36" s="42"/>
      <c r="BR36" s="42"/>
      <c r="BS36" s="42"/>
      <c r="BT36" s="42"/>
      <c r="BU36" s="42"/>
      <c r="BV36" s="42">
        <v>1</v>
      </c>
      <c r="BW36" s="42"/>
      <c r="BX36" s="42"/>
      <c r="BY36" s="42"/>
      <c r="BZ36" s="42"/>
      <c r="CA36" s="42"/>
      <c r="CB36" s="42"/>
      <c r="CC36" s="42"/>
      <c r="CD36" s="42"/>
      <c r="CE36" s="42"/>
      <c r="CF36" s="42"/>
      <c r="CG36" s="42"/>
      <c r="CH36" s="42"/>
      <c r="CI36" s="42"/>
      <c r="CJ36" s="42"/>
      <c r="CK36" s="42"/>
      <c r="CL36" s="42"/>
      <c r="CM36" s="42"/>
      <c r="CN36" s="42"/>
      <c r="CO36" s="42"/>
      <c r="CP36" s="42"/>
      <c r="CQ36" s="42"/>
      <c r="CR36" s="42"/>
      <c r="CS36" s="42"/>
      <c r="CT36" s="42"/>
      <c r="CU36" s="42"/>
      <c r="CV36" s="42"/>
      <c r="CW36" s="42"/>
      <c r="CX36" s="42"/>
      <c r="CY36" s="42"/>
      <c r="CZ36" s="42"/>
      <c r="DA36" s="42"/>
      <c r="DB36" s="42"/>
      <c r="DC36" s="42"/>
      <c r="DD36" s="42"/>
      <c r="DE36" s="42"/>
      <c r="DF36" s="42"/>
      <c r="DG36" s="42"/>
      <c r="DH36" s="42"/>
      <c r="DI36" s="42"/>
      <c r="DJ36" s="42"/>
      <c r="DK36" s="42"/>
      <c r="DL36" s="42"/>
      <c r="DM36" s="42"/>
      <c r="DN36" s="42"/>
      <c r="DO36" s="42"/>
      <c r="DP36" s="42"/>
      <c r="DQ36" s="42"/>
      <c r="DR36" s="42"/>
      <c r="DS36" s="44"/>
      <c r="DT36" s="45">
        <f t="shared" ref="DT36" si="18">SUM(F36:DR36)</f>
        <v>1</v>
      </c>
    </row>
    <row r="37" spans="2:124" s="13" customFormat="1" x14ac:dyDescent="0.3">
      <c r="B37" s="4">
        <f>'6.1Personnel List'!B38</f>
        <v>25</v>
      </c>
      <c r="C37" s="105" t="s">
        <v>142</v>
      </c>
      <c r="D37" s="106" t="s">
        <v>101</v>
      </c>
      <c r="E37" s="46">
        <f>'6.1Personnel List'!H115</f>
        <v>0</v>
      </c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42"/>
      <c r="BB37" s="42"/>
      <c r="BC37" s="42"/>
      <c r="BD37" s="42"/>
      <c r="BE37" s="42"/>
      <c r="BF37" s="42"/>
      <c r="BG37" s="42"/>
      <c r="BH37" s="42"/>
      <c r="BJ37" s="42"/>
      <c r="BK37" s="42"/>
      <c r="BL37" s="42"/>
      <c r="BM37" s="42"/>
      <c r="BN37" s="42"/>
      <c r="BO37" s="42"/>
      <c r="BP37" s="42"/>
      <c r="BQ37" s="42"/>
      <c r="BR37" s="42"/>
      <c r="BS37" s="42"/>
      <c r="BT37" s="42"/>
      <c r="BU37" s="42"/>
      <c r="BV37" s="42"/>
      <c r="BW37" s="42"/>
      <c r="BX37" s="42"/>
      <c r="BY37" s="42"/>
      <c r="BZ37" s="42"/>
      <c r="CA37" s="42"/>
      <c r="CB37" s="42"/>
      <c r="CC37" s="42"/>
      <c r="CD37" s="42"/>
      <c r="CE37" s="42"/>
      <c r="CF37" s="42"/>
      <c r="CG37" s="42"/>
      <c r="CH37" s="42"/>
      <c r="CI37" s="42"/>
      <c r="CJ37" s="42"/>
      <c r="CK37" s="42">
        <v>0.5</v>
      </c>
      <c r="CL37" s="42">
        <v>0.5</v>
      </c>
      <c r="CM37" s="42"/>
      <c r="CN37" s="42"/>
      <c r="CO37" s="42"/>
      <c r="CP37" s="42"/>
      <c r="CQ37" s="42"/>
      <c r="CR37" s="42"/>
      <c r="CS37" s="42"/>
      <c r="CT37" s="42"/>
      <c r="CU37" s="42"/>
      <c r="CV37" s="42"/>
      <c r="CW37" s="42"/>
      <c r="CX37" s="42"/>
      <c r="CY37" s="42"/>
      <c r="CZ37" s="42"/>
      <c r="DA37" s="42"/>
      <c r="DB37" s="42"/>
      <c r="DC37" s="42"/>
      <c r="DD37" s="42"/>
      <c r="DE37" s="42"/>
      <c r="DF37" s="42"/>
      <c r="DG37" s="42"/>
      <c r="DH37" s="42"/>
      <c r="DI37" s="42"/>
      <c r="DJ37" s="42"/>
      <c r="DK37" s="42"/>
      <c r="DL37" s="42"/>
      <c r="DM37" s="42"/>
      <c r="DN37" s="42"/>
      <c r="DO37" s="42"/>
      <c r="DP37" s="42"/>
      <c r="DQ37" s="42"/>
      <c r="DR37" s="42"/>
      <c r="DS37" s="44"/>
      <c r="DT37" s="45">
        <f t="shared" ref="DT37" si="19">SUM(F37:DR37)</f>
        <v>1</v>
      </c>
    </row>
    <row r="38" spans="2:124" s="13" customFormat="1" x14ac:dyDescent="0.3">
      <c r="B38" s="4">
        <f>'6.1Personnel List'!B39</f>
        <v>26</v>
      </c>
      <c r="C38" s="105" t="s">
        <v>143</v>
      </c>
      <c r="D38" s="106" t="s">
        <v>144</v>
      </c>
      <c r="E38" s="46">
        <f>'6.1Personnel List'!H116</f>
        <v>0</v>
      </c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42"/>
      <c r="BB38" s="42"/>
      <c r="BC38" s="42"/>
      <c r="BD38" s="42"/>
      <c r="BE38" s="42"/>
      <c r="BF38" s="42"/>
      <c r="BG38" s="42"/>
      <c r="BH38" s="42"/>
      <c r="BJ38" s="42"/>
      <c r="BK38" s="42"/>
      <c r="BL38" s="42"/>
      <c r="BM38" s="42"/>
      <c r="BN38" s="42"/>
      <c r="BO38" s="42"/>
      <c r="BP38" s="42"/>
      <c r="BQ38" s="42"/>
      <c r="BR38" s="42"/>
      <c r="BS38" s="42"/>
      <c r="BT38" s="42"/>
      <c r="BU38" s="42"/>
      <c r="BV38" s="42"/>
      <c r="BW38" s="42"/>
      <c r="BX38" s="42"/>
      <c r="BY38" s="42"/>
      <c r="BZ38" s="42"/>
      <c r="CA38" s="42"/>
      <c r="CB38" s="42"/>
      <c r="CC38" s="42"/>
      <c r="CD38" s="42"/>
      <c r="CE38" s="42"/>
      <c r="CF38" s="42"/>
      <c r="CG38" s="42"/>
      <c r="CH38" s="42"/>
      <c r="CI38" s="42"/>
      <c r="CJ38" s="42"/>
      <c r="CK38" s="42"/>
      <c r="CL38" s="42"/>
      <c r="CM38" s="42"/>
      <c r="CN38" s="42"/>
      <c r="CO38" s="42"/>
      <c r="CP38" s="42"/>
      <c r="CQ38" s="42"/>
      <c r="CR38" s="42"/>
      <c r="CS38" s="42"/>
      <c r="CT38" s="42"/>
      <c r="CU38" s="42">
        <v>1</v>
      </c>
      <c r="CV38" s="42"/>
      <c r="CW38" s="42"/>
      <c r="CX38" s="42"/>
      <c r="CY38" s="42"/>
      <c r="CZ38" s="42"/>
      <c r="DA38" s="42"/>
      <c r="DB38" s="42"/>
      <c r="DC38" s="42"/>
      <c r="DD38" s="42"/>
      <c r="DE38" s="42"/>
      <c r="DF38" s="42"/>
      <c r="DG38" s="42"/>
      <c r="DH38" s="42"/>
      <c r="DI38" s="42"/>
      <c r="DJ38" s="42"/>
      <c r="DK38" s="42"/>
      <c r="DL38" s="42"/>
      <c r="DM38" s="42"/>
      <c r="DN38" s="42"/>
      <c r="DO38" s="42"/>
      <c r="DP38" s="42"/>
      <c r="DQ38" s="42"/>
      <c r="DR38" s="42"/>
      <c r="DS38" s="44"/>
      <c r="DT38" s="45">
        <f t="shared" ref="DT38" si="20">SUM(F38:DR38)</f>
        <v>1</v>
      </c>
    </row>
    <row r="39" spans="2:124" s="13" customFormat="1" x14ac:dyDescent="0.3">
      <c r="B39" s="4">
        <f>'6.1Personnel List'!B40</f>
        <v>27</v>
      </c>
      <c r="C39" s="105" t="s">
        <v>145</v>
      </c>
      <c r="D39" s="106" t="s">
        <v>101</v>
      </c>
      <c r="E39" s="46">
        <f>'6.1Personnel List'!H117</f>
        <v>0</v>
      </c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J39" s="42"/>
      <c r="BK39" s="42"/>
      <c r="BL39" s="42"/>
      <c r="BM39" s="42"/>
      <c r="BN39" s="42"/>
      <c r="BO39" s="42"/>
      <c r="BP39" s="42"/>
      <c r="BQ39" s="42"/>
      <c r="BR39" s="42"/>
      <c r="BS39" s="42"/>
      <c r="BT39" s="42"/>
      <c r="BU39" s="42"/>
      <c r="BV39" s="42"/>
      <c r="BW39" s="42"/>
      <c r="BX39" s="42"/>
      <c r="BY39" s="42"/>
      <c r="BZ39" s="42"/>
      <c r="CA39" s="42"/>
      <c r="CB39" s="42"/>
      <c r="CC39" s="42"/>
      <c r="CD39" s="42"/>
      <c r="CE39" s="42"/>
      <c r="CF39" s="42"/>
      <c r="CG39" s="42"/>
      <c r="CH39" s="42"/>
      <c r="CI39" s="42"/>
      <c r="CJ39" s="42"/>
      <c r="CK39" s="42"/>
      <c r="CL39" s="42"/>
      <c r="CM39" s="42"/>
      <c r="CN39" s="42"/>
      <c r="CO39" s="42"/>
      <c r="CP39" s="42"/>
      <c r="CQ39" s="42"/>
      <c r="CR39" s="42"/>
      <c r="CS39" s="42"/>
      <c r="CT39" s="42"/>
      <c r="CU39" s="42">
        <v>1</v>
      </c>
      <c r="CV39" s="42"/>
      <c r="CW39" s="42"/>
      <c r="CX39" s="42"/>
      <c r="CY39" s="42"/>
      <c r="CZ39" s="42"/>
      <c r="DA39" s="42"/>
      <c r="DB39" s="42"/>
      <c r="DC39" s="42"/>
      <c r="DD39" s="42"/>
      <c r="DE39" s="42"/>
      <c r="DF39" s="42"/>
      <c r="DG39" s="42"/>
      <c r="DH39" s="42"/>
      <c r="DI39" s="42"/>
      <c r="DJ39" s="42"/>
      <c r="DK39" s="42"/>
      <c r="DL39" s="42"/>
      <c r="DM39" s="42"/>
      <c r="DN39" s="42"/>
      <c r="DO39" s="42"/>
      <c r="DP39" s="42"/>
      <c r="DQ39" s="42"/>
      <c r="DR39" s="42"/>
      <c r="DS39" s="44"/>
      <c r="DT39" s="45">
        <f t="shared" ref="DT39" si="21">SUM(F39:DR39)</f>
        <v>1</v>
      </c>
    </row>
    <row r="40" spans="2:124" s="13" customFormat="1" x14ac:dyDescent="0.3">
      <c r="B40" s="4">
        <f>'6.1Personnel List'!B41</f>
        <v>28</v>
      </c>
      <c r="C40" s="105" t="s">
        <v>146</v>
      </c>
      <c r="D40" s="106" t="s">
        <v>125</v>
      </c>
      <c r="E40" s="46">
        <f>'6.1Personnel List'!H118</f>
        <v>0</v>
      </c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42"/>
      <c r="BB40" s="42"/>
      <c r="BC40" s="42"/>
      <c r="BD40" s="42"/>
      <c r="BE40" s="42"/>
      <c r="BF40" s="42"/>
      <c r="BG40" s="42"/>
      <c r="BH40" s="42"/>
      <c r="BJ40" s="42"/>
      <c r="BK40" s="42"/>
      <c r="BL40" s="42"/>
      <c r="BM40" s="42"/>
      <c r="BN40" s="42"/>
      <c r="BO40" s="42"/>
      <c r="BP40" s="42"/>
      <c r="BQ40" s="42"/>
      <c r="BR40" s="42"/>
      <c r="BS40" s="42"/>
      <c r="BT40" s="42"/>
      <c r="BU40" s="42"/>
      <c r="BV40" s="42"/>
      <c r="BW40" s="42"/>
      <c r="BX40" s="42"/>
      <c r="BY40" s="42"/>
      <c r="BZ40" s="42"/>
      <c r="CA40" s="42"/>
      <c r="CB40" s="42"/>
      <c r="CC40" s="42"/>
      <c r="CD40" s="42"/>
      <c r="CE40" s="42"/>
      <c r="CF40" s="42"/>
      <c r="CG40" s="42"/>
      <c r="CH40" s="42"/>
      <c r="CI40" s="42"/>
      <c r="CJ40" s="42"/>
      <c r="CK40" s="42"/>
      <c r="CL40" s="42"/>
      <c r="CM40" s="42"/>
      <c r="CN40" s="42"/>
      <c r="CO40" s="42"/>
      <c r="CP40" s="42"/>
      <c r="CQ40" s="42"/>
      <c r="CR40" s="42"/>
      <c r="CS40" s="42"/>
      <c r="CT40" s="42"/>
      <c r="CU40" s="42"/>
      <c r="CV40" s="42"/>
      <c r="CW40" s="42"/>
      <c r="CX40" s="42"/>
      <c r="CY40" s="42"/>
      <c r="CZ40" s="42"/>
      <c r="DA40" s="42"/>
      <c r="DB40" s="42"/>
      <c r="DC40" s="42"/>
      <c r="DD40" s="42"/>
      <c r="DE40" s="42"/>
      <c r="DF40" s="42"/>
      <c r="DG40" s="42"/>
      <c r="DH40" s="42"/>
      <c r="DI40" s="42"/>
      <c r="DJ40" s="42">
        <v>0.2</v>
      </c>
      <c r="DK40" s="42">
        <v>0.2</v>
      </c>
      <c r="DL40" s="42">
        <v>0.2</v>
      </c>
      <c r="DM40" s="42">
        <v>0.2</v>
      </c>
      <c r="DN40" s="42">
        <v>0.2</v>
      </c>
      <c r="DO40" s="42"/>
      <c r="DP40" s="42"/>
      <c r="DQ40" s="42"/>
      <c r="DR40" s="42"/>
      <c r="DS40" s="44"/>
      <c r="DT40" s="45">
        <f t="shared" ref="DT40" si="22">SUM(F40:DR40)</f>
        <v>1</v>
      </c>
    </row>
    <row r="41" spans="2:124" s="13" customFormat="1" x14ac:dyDescent="0.3">
      <c r="B41" s="4">
        <f>'6.1Personnel List'!B42</f>
        <v>29</v>
      </c>
      <c r="C41" s="105" t="s">
        <v>147</v>
      </c>
      <c r="D41" s="106" t="s">
        <v>132</v>
      </c>
      <c r="E41" s="46">
        <f>'6.1Personnel List'!H119</f>
        <v>0</v>
      </c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42"/>
      <c r="BB41" s="42"/>
      <c r="BC41" s="42"/>
      <c r="BD41" s="42"/>
      <c r="BE41" s="42"/>
      <c r="BF41" s="42"/>
      <c r="BG41" s="42"/>
      <c r="BH41" s="42"/>
      <c r="BJ41" s="42"/>
      <c r="BK41" s="42"/>
      <c r="BL41" s="42"/>
      <c r="BM41" s="42"/>
      <c r="BN41" s="42"/>
      <c r="BO41" s="42"/>
      <c r="BP41" s="42"/>
      <c r="BQ41" s="42"/>
      <c r="BR41" s="42"/>
      <c r="BS41" s="42"/>
      <c r="BT41" s="42"/>
      <c r="BU41" s="42"/>
      <c r="BV41" s="42"/>
      <c r="BW41" s="42"/>
      <c r="BX41" s="42"/>
      <c r="BY41" s="42"/>
      <c r="BZ41" s="42"/>
      <c r="CA41" s="42"/>
      <c r="CB41" s="42"/>
      <c r="CC41" s="42"/>
      <c r="CD41" s="42"/>
      <c r="CE41" s="42"/>
      <c r="CF41" s="42"/>
      <c r="CG41" s="42"/>
      <c r="CH41" s="42">
        <v>1</v>
      </c>
      <c r="CI41" s="42"/>
      <c r="CJ41" s="42"/>
      <c r="CK41" s="42"/>
      <c r="CL41" s="42"/>
      <c r="CM41" s="42"/>
      <c r="CN41" s="42"/>
      <c r="CO41" s="42"/>
      <c r="CP41" s="42"/>
      <c r="CQ41" s="42"/>
      <c r="CR41" s="42"/>
      <c r="CS41" s="42"/>
      <c r="CT41" s="42"/>
      <c r="CU41" s="42"/>
      <c r="CV41" s="42"/>
      <c r="CW41" s="42"/>
      <c r="CX41" s="42"/>
      <c r="CY41" s="42"/>
      <c r="CZ41" s="42"/>
      <c r="DA41" s="42"/>
      <c r="DB41" s="42"/>
      <c r="DC41" s="42"/>
      <c r="DD41" s="42"/>
      <c r="DE41" s="42"/>
      <c r="DF41" s="42"/>
      <c r="DG41" s="42"/>
      <c r="DH41" s="42"/>
      <c r="DI41" s="42"/>
      <c r="DJ41" s="42"/>
      <c r="DK41" s="42"/>
      <c r="DL41" s="42"/>
      <c r="DM41" s="42"/>
      <c r="DN41" s="42"/>
      <c r="DO41" s="42"/>
      <c r="DP41" s="42"/>
      <c r="DQ41" s="42"/>
      <c r="DR41" s="42"/>
      <c r="DS41" s="44"/>
      <c r="DT41" s="45">
        <f t="shared" ref="DT41" si="23">SUM(F41:DR41)</f>
        <v>1</v>
      </c>
    </row>
    <row r="42" spans="2:124" s="13" customFormat="1" x14ac:dyDescent="0.3">
      <c r="B42" s="4">
        <f>'6.1Personnel List'!B43</f>
        <v>30</v>
      </c>
      <c r="C42" s="105" t="s">
        <v>148</v>
      </c>
      <c r="D42" s="106" t="s">
        <v>111</v>
      </c>
      <c r="E42" s="46">
        <f>'6.1Personnel List'!H120</f>
        <v>0</v>
      </c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42"/>
      <c r="BB42" s="42"/>
      <c r="BC42" s="42"/>
      <c r="BD42" s="42"/>
      <c r="BE42" s="42"/>
      <c r="BF42" s="42"/>
      <c r="BG42" s="42"/>
      <c r="BH42" s="42"/>
      <c r="BJ42" s="42"/>
      <c r="BK42" s="42"/>
      <c r="BL42" s="42">
        <v>1</v>
      </c>
      <c r="BM42" s="42"/>
      <c r="BN42" s="42"/>
      <c r="BO42" s="42"/>
      <c r="BP42" s="42"/>
      <c r="BQ42" s="42"/>
      <c r="BR42" s="42"/>
      <c r="BS42" s="42"/>
      <c r="BT42" s="42"/>
      <c r="BU42" s="42"/>
      <c r="BV42" s="42"/>
      <c r="BW42" s="42"/>
      <c r="BX42" s="42"/>
      <c r="BY42" s="42"/>
      <c r="BZ42" s="42"/>
      <c r="CA42" s="42"/>
      <c r="CB42" s="42"/>
      <c r="CC42" s="42"/>
      <c r="CD42" s="42"/>
      <c r="CE42" s="42"/>
      <c r="CF42" s="42"/>
      <c r="CG42" s="42"/>
      <c r="CH42" s="42"/>
      <c r="CI42" s="42"/>
      <c r="CJ42" s="42"/>
      <c r="CK42" s="42"/>
      <c r="CL42" s="42"/>
      <c r="CM42" s="42"/>
      <c r="CN42" s="42"/>
      <c r="CO42" s="42"/>
      <c r="CP42" s="42"/>
      <c r="CQ42" s="42"/>
      <c r="CR42" s="42"/>
      <c r="CS42" s="42"/>
      <c r="CT42" s="42"/>
      <c r="CU42" s="42"/>
      <c r="CV42" s="42"/>
      <c r="CW42" s="42"/>
      <c r="CX42" s="42"/>
      <c r="CY42" s="42"/>
      <c r="CZ42" s="42"/>
      <c r="DA42" s="42"/>
      <c r="DB42" s="42"/>
      <c r="DC42" s="42"/>
      <c r="DD42" s="42"/>
      <c r="DE42" s="42"/>
      <c r="DF42" s="42"/>
      <c r="DG42" s="42"/>
      <c r="DH42" s="42"/>
      <c r="DI42" s="42"/>
      <c r="DJ42" s="42"/>
      <c r="DK42" s="42"/>
      <c r="DL42" s="42"/>
      <c r="DM42" s="42"/>
      <c r="DN42" s="42"/>
      <c r="DO42" s="42"/>
      <c r="DP42" s="42"/>
      <c r="DQ42" s="42"/>
      <c r="DR42" s="42"/>
      <c r="DS42" s="44"/>
      <c r="DT42" s="45">
        <f t="shared" ref="DT42" si="24">SUM(F42:DR42)</f>
        <v>1</v>
      </c>
    </row>
    <row r="43" spans="2:124" s="13" customFormat="1" x14ac:dyDescent="0.3">
      <c r="B43" s="4">
        <f>'6.1Personnel List'!B44</f>
        <v>31</v>
      </c>
      <c r="C43" s="105" t="s">
        <v>149</v>
      </c>
      <c r="D43" s="106" t="s">
        <v>150</v>
      </c>
      <c r="E43" s="46">
        <f>'6.1Personnel List'!H121</f>
        <v>0</v>
      </c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42"/>
      <c r="BB43" s="42"/>
      <c r="BC43" s="42"/>
      <c r="BD43" s="42"/>
      <c r="BE43" s="42"/>
      <c r="BF43" s="42"/>
      <c r="BG43" s="42"/>
      <c r="BH43" s="42"/>
      <c r="BJ43" s="42"/>
      <c r="BK43" s="42"/>
      <c r="BL43" s="42"/>
      <c r="BM43" s="42"/>
      <c r="BN43" s="42"/>
      <c r="BO43" s="42"/>
      <c r="BP43" s="42"/>
      <c r="BQ43" s="42"/>
      <c r="BR43" s="42"/>
      <c r="BS43" s="42"/>
      <c r="BT43" s="42"/>
      <c r="BU43" s="42"/>
      <c r="BV43" s="42"/>
      <c r="BW43" s="42"/>
      <c r="BX43" s="42"/>
      <c r="BY43" s="42"/>
      <c r="BZ43" s="42"/>
      <c r="CA43" s="42"/>
      <c r="CB43" s="42"/>
      <c r="CC43" s="42"/>
      <c r="CD43" s="42"/>
      <c r="CE43" s="42"/>
      <c r="CF43" s="42"/>
      <c r="CG43" s="42"/>
      <c r="CH43" s="42"/>
      <c r="CI43" s="42"/>
      <c r="CJ43" s="42"/>
      <c r="CK43" s="42"/>
      <c r="CL43" s="42">
        <v>1</v>
      </c>
      <c r="CM43" s="42"/>
      <c r="CN43" s="42"/>
      <c r="CO43" s="42"/>
      <c r="CP43" s="42"/>
      <c r="CQ43" s="42"/>
      <c r="CR43" s="42"/>
      <c r="CS43" s="42"/>
      <c r="CT43" s="42"/>
      <c r="CU43" s="42"/>
      <c r="CV43" s="42"/>
      <c r="CW43" s="42"/>
      <c r="CX43" s="42"/>
      <c r="CY43" s="42"/>
      <c r="CZ43" s="42"/>
      <c r="DA43" s="42"/>
      <c r="DB43" s="42"/>
      <c r="DC43" s="42"/>
      <c r="DD43" s="42"/>
      <c r="DE43" s="42"/>
      <c r="DF43" s="42"/>
      <c r="DG43" s="42"/>
      <c r="DH43" s="42"/>
      <c r="DI43" s="42"/>
      <c r="DJ43" s="42"/>
      <c r="DK43" s="42"/>
      <c r="DL43" s="42"/>
      <c r="DM43" s="42"/>
      <c r="DN43" s="42"/>
      <c r="DO43" s="42"/>
      <c r="DP43" s="42"/>
      <c r="DQ43" s="42"/>
      <c r="DR43" s="42"/>
      <c r="DS43" s="44"/>
      <c r="DT43" s="45">
        <f t="shared" ref="DT43" si="25">SUM(F43:DR43)</f>
        <v>1</v>
      </c>
    </row>
    <row r="44" spans="2:124" s="13" customFormat="1" x14ac:dyDescent="0.3">
      <c r="B44" s="4">
        <f>'6.1Personnel List'!B45</f>
        <v>32</v>
      </c>
      <c r="C44" s="105" t="s">
        <v>151</v>
      </c>
      <c r="D44" s="106" t="s">
        <v>111</v>
      </c>
      <c r="E44" s="46">
        <f>'6.1Personnel List'!H122</f>
        <v>0</v>
      </c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  <c r="BA44" s="42"/>
      <c r="BB44" s="42"/>
      <c r="BC44" s="42"/>
      <c r="BD44" s="42"/>
      <c r="BE44" s="42"/>
      <c r="BF44" s="42"/>
      <c r="BG44" s="42"/>
      <c r="BH44" s="42"/>
      <c r="BJ44" s="42"/>
      <c r="BK44" s="42"/>
      <c r="BL44" s="42">
        <v>1</v>
      </c>
      <c r="BM44" s="42"/>
      <c r="BN44" s="42"/>
      <c r="BO44" s="42"/>
      <c r="BP44" s="42"/>
      <c r="BQ44" s="42"/>
      <c r="BR44" s="42"/>
      <c r="BS44" s="42"/>
      <c r="BT44" s="42"/>
      <c r="BU44" s="42"/>
      <c r="BV44" s="42"/>
      <c r="BW44" s="42"/>
      <c r="BX44" s="42"/>
      <c r="BY44" s="42"/>
      <c r="BZ44" s="42"/>
      <c r="CA44" s="42"/>
      <c r="CB44" s="42"/>
      <c r="CC44" s="42"/>
      <c r="CD44" s="42"/>
      <c r="CE44" s="42"/>
      <c r="CF44" s="42"/>
      <c r="CG44" s="42"/>
      <c r="CH44" s="42"/>
      <c r="CI44" s="42"/>
      <c r="CJ44" s="42"/>
      <c r="CK44" s="42"/>
      <c r="CL44" s="42"/>
      <c r="CM44" s="42"/>
      <c r="CN44" s="42"/>
      <c r="CO44" s="42"/>
      <c r="CP44" s="42"/>
      <c r="CQ44" s="42"/>
      <c r="CR44" s="42"/>
      <c r="CS44" s="42"/>
      <c r="CT44" s="42"/>
      <c r="CU44" s="42"/>
      <c r="CV44" s="42"/>
      <c r="CW44" s="42"/>
      <c r="CX44" s="42"/>
      <c r="CY44" s="42"/>
      <c r="CZ44" s="42"/>
      <c r="DA44" s="42"/>
      <c r="DB44" s="42"/>
      <c r="DC44" s="42"/>
      <c r="DD44" s="42"/>
      <c r="DE44" s="42"/>
      <c r="DF44" s="42"/>
      <c r="DG44" s="42"/>
      <c r="DH44" s="42"/>
      <c r="DI44" s="42"/>
      <c r="DJ44" s="42"/>
      <c r="DK44" s="42"/>
      <c r="DL44" s="42"/>
      <c r="DM44" s="42"/>
      <c r="DN44" s="42"/>
      <c r="DO44" s="42"/>
      <c r="DP44" s="42"/>
      <c r="DQ44" s="42"/>
      <c r="DR44" s="42"/>
      <c r="DS44" s="44"/>
      <c r="DT44" s="45">
        <f t="shared" ref="DT44" si="26">SUM(F44:DR44)</f>
        <v>1</v>
      </c>
    </row>
    <row r="45" spans="2:124" s="13" customFormat="1" x14ac:dyDescent="0.3">
      <c r="B45" s="4">
        <f>'6.1Personnel List'!B46</f>
        <v>33</v>
      </c>
      <c r="C45" s="105" t="s">
        <v>152</v>
      </c>
      <c r="D45" s="106" t="s">
        <v>153</v>
      </c>
      <c r="E45" s="46">
        <f>'6.1Personnel List'!H123</f>
        <v>0</v>
      </c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2"/>
      <c r="BA45" s="42"/>
      <c r="BB45" s="42"/>
      <c r="BC45" s="42"/>
      <c r="BD45" s="42"/>
      <c r="BE45" s="42"/>
      <c r="BF45" s="42"/>
      <c r="BG45" s="42"/>
      <c r="BH45" s="42"/>
      <c r="BJ45" s="42"/>
      <c r="BK45" s="42"/>
      <c r="BL45" s="42"/>
      <c r="BM45" s="42"/>
      <c r="BN45" s="42"/>
      <c r="BO45" s="42"/>
      <c r="BP45" s="42"/>
      <c r="BQ45" s="42"/>
      <c r="BR45" s="42"/>
      <c r="BS45" s="42"/>
      <c r="BT45" s="42"/>
      <c r="BU45" s="42"/>
      <c r="BV45" s="42"/>
      <c r="BW45" s="42"/>
      <c r="BX45" s="42"/>
      <c r="BY45" s="42"/>
      <c r="BZ45" s="42"/>
      <c r="CA45" s="42"/>
      <c r="CB45" s="42"/>
      <c r="CC45" s="42"/>
      <c r="CD45" s="42"/>
      <c r="CE45" s="42"/>
      <c r="CF45" s="42"/>
      <c r="CG45" s="42">
        <v>1</v>
      </c>
      <c r="CH45" s="42"/>
      <c r="CI45" s="42"/>
      <c r="CJ45" s="42"/>
      <c r="CK45" s="42"/>
      <c r="CL45" s="42"/>
      <c r="CM45" s="42"/>
      <c r="CN45" s="42"/>
      <c r="CO45" s="42"/>
      <c r="CP45" s="42"/>
      <c r="CQ45" s="42"/>
      <c r="CR45" s="42"/>
      <c r="CS45" s="42"/>
      <c r="CT45" s="42"/>
      <c r="CU45" s="42"/>
      <c r="CV45" s="42"/>
      <c r="CW45" s="42"/>
      <c r="CX45" s="42"/>
      <c r="CY45" s="42"/>
      <c r="CZ45" s="42"/>
      <c r="DA45" s="42"/>
      <c r="DB45" s="42"/>
      <c r="DC45" s="42"/>
      <c r="DD45" s="42"/>
      <c r="DE45" s="42"/>
      <c r="DF45" s="42"/>
      <c r="DG45" s="42"/>
      <c r="DH45" s="42"/>
      <c r="DI45" s="42"/>
      <c r="DJ45" s="42"/>
      <c r="DK45" s="42"/>
      <c r="DL45" s="42"/>
      <c r="DM45" s="42"/>
      <c r="DN45" s="42"/>
      <c r="DO45" s="42"/>
      <c r="DP45" s="42"/>
      <c r="DQ45" s="42"/>
      <c r="DR45" s="42"/>
      <c r="DS45" s="44"/>
      <c r="DT45" s="45">
        <f t="shared" ref="DT45" si="27">SUM(F45:DR45)</f>
        <v>1</v>
      </c>
    </row>
    <row r="46" spans="2:124" s="13" customFormat="1" x14ac:dyDescent="0.3">
      <c r="B46" s="4">
        <f>'6.1Personnel List'!B47</f>
        <v>34</v>
      </c>
      <c r="C46" s="105" t="s">
        <v>154</v>
      </c>
      <c r="D46" s="106" t="s">
        <v>125</v>
      </c>
      <c r="E46" s="46">
        <f>'6.1Personnel List'!H124</f>
        <v>0</v>
      </c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42"/>
      <c r="BB46" s="42"/>
      <c r="BC46" s="42"/>
      <c r="BD46" s="42"/>
      <c r="BE46" s="42"/>
      <c r="BF46" s="42"/>
      <c r="BG46" s="42"/>
      <c r="BH46" s="42"/>
      <c r="BJ46" s="42"/>
      <c r="BK46" s="42"/>
      <c r="BL46" s="42"/>
      <c r="BM46" s="42"/>
      <c r="BN46" s="42"/>
      <c r="BO46" s="42"/>
      <c r="BP46" s="42"/>
      <c r="BQ46" s="42"/>
      <c r="BR46" s="42"/>
      <c r="BS46" s="42"/>
      <c r="BT46" s="42"/>
      <c r="BU46" s="42"/>
      <c r="BV46" s="42"/>
      <c r="BW46" s="42"/>
      <c r="BX46" s="42"/>
      <c r="BY46" s="42"/>
      <c r="BZ46" s="42"/>
      <c r="CA46" s="42"/>
      <c r="CB46" s="42"/>
      <c r="CC46" s="42"/>
      <c r="CD46" s="42"/>
      <c r="CE46" s="42"/>
      <c r="CF46" s="42"/>
      <c r="CG46" s="42"/>
      <c r="CH46" s="42"/>
      <c r="CI46" s="42"/>
      <c r="CJ46" s="42"/>
      <c r="CK46" s="42"/>
      <c r="CL46" s="42"/>
      <c r="CM46" s="42"/>
      <c r="CN46" s="42"/>
      <c r="CO46" s="42"/>
      <c r="CP46" s="42"/>
      <c r="CQ46" s="42"/>
      <c r="CR46" s="42"/>
      <c r="CS46" s="42"/>
      <c r="CT46" s="42"/>
      <c r="CU46" s="42"/>
      <c r="CV46" s="42"/>
      <c r="CW46" s="42"/>
      <c r="CX46" s="42"/>
      <c r="CY46" s="42"/>
      <c r="CZ46" s="42"/>
      <c r="DA46" s="42"/>
      <c r="DB46" s="42"/>
      <c r="DC46" s="42"/>
      <c r="DD46" s="42"/>
      <c r="DE46" s="42"/>
      <c r="DF46" s="42"/>
      <c r="DG46" s="42"/>
      <c r="DH46" s="42"/>
      <c r="DI46" s="42"/>
      <c r="DJ46" s="42">
        <v>0.2</v>
      </c>
      <c r="DK46" s="42">
        <v>0.2</v>
      </c>
      <c r="DL46" s="42">
        <v>0.2</v>
      </c>
      <c r="DM46" s="42">
        <v>0.2</v>
      </c>
      <c r="DN46" s="42">
        <v>0.2</v>
      </c>
      <c r="DO46" s="42"/>
      <c r="DP46" s="42"/>
      <c r="DQ46" s="42"/>
      <c r="DR46" s="42"/>
      <c r="DS46" s="44"/>
      <c r="DT46" s="45">
        <f t="shared" ref="DT46" si="28">SUM(F46:DR46)</f>
        <v>1</v>
      </c>
    </row>
    <row r="47" spans="2:124" s="13" customFormat="1" x14ac:dyDescent="0.3">
      <c r="B47" s="4">
        <f>'6.1Personnel List'!B48</f>
        <v>35</v>
      </c>
      <c r="C47" s="105" t="s">
        <v>155</v>
      </c>
      <c r="D47" s="106" t="s">
        <v>156</v>
      </c>
      <c r="E47" s="46">
        <f>'6.1Personnel List'!H125</f>
        <v>0</v>
      </c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2"/>
      <c r="BA47" s="42"/>
      <c r="BB47" s="42"/>
      <c r="BC47" s="42"/>
      <c r="BD47" s="42"/>
      <c r="BE47" s="42"/>
      <c r="BF47" s="42"/>
      <c r="BG47" s="42"/>
      <c r="BH47" s="42"/>
      <c r="BJ47" s="42"/>
      <c r="BK47" s="42"/>
      <c r="BL47" s="42"/>
      <c r="BM47" s="42"/>
      <c r="BN47" s="42"/>
      <c r="BO47" s="42"/>
      <c r="BP47" s="42"/>
      <c r="BQ47" s="42"/>
      <c r="BR47" s="42"/>
      <c r="BS47" s="42"/>
      <c r="BT47" s="42"/>
      <c r="BU47" s="42"/>
      <c r="BV47" s="42"/>
      <c r="BW47" s="42">
        <v>1</v>
      </c>
      <c r="BX47" s="42"/>
      <c r="BY47" s="42"/>
      <c r="BZ47" s="42"/>
      <c r="CA47" s="42"/>
      <c r="CB47" s="42"/>
      <c r="CC47" s="42"/>
      <c r="CD47" s="42"/>
      <c r="CE47" s="42"/>
      <c r="CF47" s="42"/>
      <c r="CG47" s="42"/>
      <c r="CH47" s="42"/>
      <c r="CI47" s="42"/>
      <c r="CJ47" s="42"/>
      <c r="CK47" s="42"/>
      <c r="CL47" s="42"/>
      <c r="CM47" s="42"/>
      <c r="CN47" s="42"/>
      <c r="CO47" s="42"/>
      <c r="CP47" s="42"/>
      <c r="CQ47" s="42"/>
      <c r="CR47" s="42"/>
      <c r="CS47" s="42"/>
      <c r="CT47" s="42"/>
      <c r="CU47" s="42"/>
      <c r="CV47" s="42"/>
      <c r="CW47" s="42"/>
      <c r="CX47" s="42"/>
      <c r="CY47" s="42"/>
      <c r="CZ47" s="42"/>
      <c r="DA47" s="42"/>
      <c r="DB47" s="42"/>
      <c r="DC47" s="42"/>
      <c r="DD47" s="42"/>
      <c r="DE47" s="42"/>
      <c r="DF47" s="42"/>
      <c r="DG47" s="42"/>
      <c r="DH47" s="42"/>
      <c r="DI47" s="42"/>
      <c r="DJ47" s="42"/>
      <c r="DK47" s="42"/>
      <c r="DL47" s="42"/>
      <c r="DM47" s="42"/>
      <c r="DN47" s="42"/>
      <c r="DO47" s="42"/>
      <c r="DP47" s="42"/>
      <c r="DQ47" s="42"/>
      <c r="DR47" s="42"/>
      <c r="DS47" s="44"/>
      <c r="DT47" s="45">
        <f t="shared" ref="DT47" si="29">SUM(F47:DR47)</f>
        <v>1</v>
      </c>
    </row>
    <row r="48" spans="2:124" s="13" customFormat="1" x14ac:dyDescent="0.3">
      <c r="B48" s="4">
        <f>'6.1Personnel List'!B49</f>
        <v>36</v>
      </c>
      <c r="C48" s="105" t="s">
        <v>157</v>
      </c>
      <c r="D48" s="106" t="s">
        <v>144</v>
      </c>
      <c r="E48" s="46">
        <f>'6.1Personnel List'!H126</f>
        <v>0</v>
      </c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  <c r="BA48" s="42"/>
      <c r="BB48" s="42"/>
      <c r="BC48" s="42"/>
      <c r="BD48" s="42"/>
      <c r="BE48" s="42"/>
      <c r="BF48" s="42"/>
      <c r="BG48" s="42"/>
      <c r="BH48" s="42"/>
      <c r="BJ48" s="42"/>
      <c r="BK48" s="42"/>
      <c r="BL48" s="42"/>
      <c r="BM48" s="42"/>
      <c r="BN48" s="42"/>
      <c r="BO48" s="42"/>
      <c r="BP48" s="42"/>
      <c r="BQ48" s="42"/>
      <c r="BR48" s="42"/>
      <c r="BS48" s="42"/>
      <c r="BT48" s="42"/>
      <c r="BU48" s="42"/>
      <c r="BV48" s="42"/>
      <c r="BW48" s="42"/>
      <c r="BX48" s="42"/>
      <c r="BY48" s="42"/>
      <c r="BZ48" s="42"/>
      <c r="CA48" s="42"/>
      <c r="CB48" s="42"/>
      <c r="CC48" s="42"/>
      <c r="CD48" s="42"/>
      <c r="CE48" s="42"/>
      <c r="CF48" s="42"/>
      <c r="CG48" s="42"/>
      <c r="CH48" s="42"/>
      <c r="CI48" s="42"/>
      <c r="CJ48" s="42"/>
      <c r="CK48" s="42"/>
      <c r="CL48" s="42"/>
      <c r="CM48" s="42"/>
      <c r="CN48" s="42"/>
      <c r="CO48" s="42"/>
      <c r="CP48" s="42"/>
      <c r="CQ48" s="42"/>
      <c r="CR48" s="42"/>
      <c r="CS48" s="42"/>
      <c r="CT48" s="42"/>
      <c r="CU48" s="42">
        <v>1</v>
      </c>
      <c r="CV48" s="42"/>
      <c r="CW48" s="42"/>
      <c r="CX48" s="42"/>
      <c r="CY48" s="42"/>
      <c r="CZ48" s="42"/>
      <c r="DA48" s="42"/>
      <c r="DB48" s="42"/>
      <c r="DC48" s="42"/>
      <c r="DD48" s="42"/>
      <c r="DE48" s="42"/>
      <c r="DF48" s="42"/>
      <c r="DG48" s="42"/>
      <c r="DH48" s="42"/>
      <c r="DI48" s="42"/>
      <c r="DJ48" s="42"/>
      <c r="DK48" s="42"/>
      <c r="DL48" s="42"/>
      <c r="DM48" s="42"/>
      <c r="DN48" s="42"/>
      <c r="DO48" s="42"/>
      <c r="DP48" s="42"/>
      <c r="DQ48" s="42"/>
      <c r="DR48" s="42"/>
      <c r="DS48" s="44"/>
      <c r="DT48" s="45">
        <f t="shared" ref="DT48" si="30">SUM(F48:DR48)</f>
        <v>1</v>
      </c>
    </row>
    <row r="49" spans="2:124" s="13" customFormat="1" x14ac:dyDescent="0.3">
      <c r="B49" s="4">
        <f>'6.1Personnel List'!B50</f>
        <v>37</v>
      </c>
      <c r="C49" s="105" t="s">
        <v>158</v>
      </c>
      <c r="D49" s="106" t="s">
        <v>101</v>
      </c>
      <c r="E49" s="46">
        <f>'6.1Personnel List'!H127</f>
        <v>0</v>
      </c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  <c r="BA49" s="42"/>
      <c r="BB49" s="42"/>
      <c r="BC49" s="42"/>
      <c r="BD49" s="42"/>
      <c r="BE49" s="42"/>
      <c r="BF49" s="42"/>
      <c r="BG49" s="42"/>
      <c r="BH49" s="42"/>
      <c r="BJ49" s="42"/>
      <c r="BK49" s="42"/>
      <c r="BL49" s="42"/>
      <c r="BM49" s="42"/>
      <c r="BN49" s="42"/>
      <c r="BO49" s="42"/>
      <c r="BP49" s="42"/>
      <c r="BQ49" s="42"/>
      <c r="BR49" s="42"/>
      <c r="BS49" s="42"/>
      <c r="BT49" s="42"/>
      <c r="BU49" s="42"/>
      <c r="BV49" s="42"/>
      <c r="BW49" s="42"/>
      <c r="BX49" s="42"/>
      <c r="BY49" s="42"/>
      <c r="BZ49" s="42"/>
      <c r="CA49" s="42"/>
      <c r="CB49" s="42"/>
      <c r="CC49" s="42"/>
      <c r="CD49" s="42"/>
      <c r="CE49" s="42"/>
      <c r="CF49" s="42"/>
      <c r="CG49" s="42"/>
      <c r="CH49" s="42"/>
      <c r="CI49" s="42"/>
      <c r="CJ49" s="42"/>
      <c r="CK49" s="42"/>
      <c r="CL49" s="42"/>
      <c r="CM49" s="42"/>
      <c r="CN49" s="42"/>
      <c r="CO49" s="42"/>
      <c r="CP49" s="42"/>
      <c r="CQ49" s="42"/>
      <c r="CR49" s="42"/>
      <c r="CS49" s="42"/>
      <c r="CT49" s="42"/>
      <c r="CU49" s="42"/>
      <c r="CV49" s="42"/>
      <c r="CW49" s="42"/>
      <c r="CX49" s="42"/>
      <c r="CY49" s="42"/>
      <c r="CZ49" s="42"/>
      <c r="DA49" s="42"/>
      <c r="DB49" s="42"/>
      <c r="DC49" s="42"/>
      <c r="DD49" s="42"/>
      <c r="DE49" s="42"/>
      <c r="DF49" s="42"/>
      <c r="DG49" s="42"/>
      <c r="DH49" s="42"/>
      <c r="DI49" s="42"/>
      <c r="DJ49" s="42">
        <v>1</v>
      </c>
      <c r="DK49" s="42"/>
      <c r="DL49" s="42"/>
      <c r="DM49" s="42"/>
      <c r="DN49" s="42"/>
      <c r="DO49" s="42"/>
      <c r="DP49" s="42"/>
      <c r="DQ49" s="42"/>
      <c r="DR49" s="42"/>
      <c r="DS49" s="44"/>
      <c r="DT49" s="45">
        <f t="shared" ref="DT49" si="31">SUM(F49:DR49)</f>
        <v>1</v>
      </c>
    </row>
    <row r="50" spans="2:124" s="13" customFormat="1" x14ac:dyDescent="0.3">
      <c r="B50" s="4">
        <f>'6.1Personnel List'!B51</f>
        <v>38</v>
      </c>
      <c r="C50" s="105" t="s">
        <v>159</v>
      </c>
      <c r="D50" s="106" t="s">
        <v>128</v>
      </c>
      <c r="E50" s="46">
        <f>'6.1Personnel List'!H128</f>
        <v>0</v>
      </c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42"/>
      <c r="BB50" s="42"/>
      <c r="BC50" s="42"/>
      <c r="BD50" s="42"/>
      <c r="BE50" s="42"/>
      <c r="BF50" s="42"/>
      <c r="BG50" s="42"/>
      <c r="BH50" s="42"/>
      <c r="BJ50" s="42"/>
      <c r="BK50" s="42"/>
      <c r="BL50" s="42"/>
      <c r="BM50" s="42"/>
      <c r="BN50" s="42"/>
      <c r="BO50" s="42"/>
      <c r="BP50" s="42"/>
      <c r="BQ50" s="42">
        <v>1</v>
      </c>
      <c r="BR50" s="42"/>
      <c r="BS50" s="42"/>
      <c r="BT50" s="42"/>
      <c r="BU50" s="42"/>
      <c r="BV50" s="42"/>
      <c r="BW50" s="42"/>
      <c r="BX50" s="42"/>
      <c r="BY50" s="42"/>
      <c r="BZ50" s="42"/>
      <c r="CA50" s="42"/>
      <c r="CB50" s="42"/>
      <c r="CC50" s="42"/>
      <c r="CD50" s="42"/>
      <c r="CE50" s="42"/>
      <c r="CF50" s="42"/>
      <c r="CG50" s="42"/>
      <c r="CH50" s="42"/>
      <c r="CI50" s="42"/>
      <c r="CJ50" s="42"/>
      <c r="CK50" s="42"/>
      <c r="CL50" s="42"/>
      <c r="CM50" s="42"/>
      <c r="CN50" s="42"/>
      <c r="CO50" s="42"/>
      <c r="CP50" s="42"/>
      <c r="CQ50" s="42"/>
      <c r="CR50" s="42"/>
      <c r="CS50" s="42"/>
      <c r="CT50" s="42"/>
      <c r="CU50" s="42"/>
      <c r="CV50" s="42"/>
      <c r="CW50" s="42"/>
      <c r="CX50" s="42"/>
      <c r="CY50" s="42"/>
      <c r="CZ50" s="42"/>
      <c r="DA50" s="42"/>
      <c r="DB50" s="42"/>
      <c r="DC50" s="42"/>
      <c r="DD50" s="42"/>
      <c r="DE50" s="42"/>
      <c r="DF50" s="42"/>
      <c r="DG50" s="42"/>
      <c r="DH50" s="42"/>
      <c r="DI50" s="42"/>
      <c r="DJ50" s="42"/>
      <c r="DK50" s="42"/>
      <c r="DL50" s="42"/>
      <c r="DM50" s="42"/>
      <c r="DN50" s="42"/>
      <c r="DO50" s="42"/>
      <c r="DP50" s="42"/>
      <c r="DQ50" s="42"/>
      <c r="DR50" s="42"/>
      <c r="DS50" s="44"/>
      <c r="DT50" s="45">
        <f t="shared" ref="DT50" si="32">SUM(F50:DR50)</f>
        <v>1</v>
      </c>
    </row>
    <row r="51" spans="2:124" s="13" customFormat="1" x14ac:dyDescent="0.3">
      <c r="B51" s="4">
        <f>'6.1Personnel List'!B52</f>
        <v>39</v>
      </c>
      <c r="C51" s="105" t="s">
        <v>160</v>
      </c>
      <c r="D51" s="106" t="s">
        <v>161</v>
      </c>
      <c r="E51" s="46">
        <f>'6.1Personnel List'!H129</f>
        <v>0</v>
      </c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42"/>
      <c r="BB51" s="42"/>
      <c r="BC51" s="42"/>
      <c r="BD51" s="42"/>
      <c r="BE51" s="42"/>
      <c r="BF51" s="42"/>
      <c r="BG51" s="42"/>
      <c r="BH51" s="42"/>
      <c r="BJ51" s="42"/>
      <c r="BK51" s="42"/>
      <c r="BL51" s="42"/>
      <c r="BM51" s="42"/>
      <c r="BN51" s="42"/>
      <c r="BO51" s="42"/>
      <c r="BP51" s="42"/>
      <c r="BQ51" s="42"/>
      <c r="BR51" s="42"/>
      <c r="BS51" s="42"/>
      <c r="BT51" s="42"/>
      <c r="BU51" s="42"/>
      <c r="BV51" s="42"/>
      <c r="BW51" s="42"/>
      <c r="BX51" s="42"/>
      <c r="BY51" s="42"/>
      <c r="BZ51" s="42"/>
      <c r="CA51" s="42"/>
      <c r="CB51" s="42">
        <v>1</v>
      </c>
      <c r="CC51" s="42"/>
      <c r="CD51" s="42"/>
      <c r="CE51" s="42"/>
      <c r="CF51" s="42"/>
      <c r="CG51" s="42"/>
      <c r="CH51" s="42"/>
      <c r="CI51" s="42"/>
      <c r="CJ51" s="42"/>
      <c r="CK51" s="42"/>
      <c r="CL51" s="42"/>
      <c r="CM51" s="42"/>
      <c r="CN51" s="42"/>
      <c r="CO51" s="42"/>
      <c r="CP51" s="42"/>
      <c r="CQ51" s="42"/>
      <c r="CR51" s="42"/>
      <c r="CS51" s="42"/>
      <c r="CT51" s="42"/>
      <c r="CU51" s="42"/>
      <c r="CV51" s="42"/>
      <c r="CW51" s="42"/>
      <c r="CX51" s="42"/>
      <c r="CY51" s="42"/>
      <c r="CZ51" s="42"/>
      <c r="DA51" s="42"/>
      <c r="DB51" s="42"/>
      <c r="DC51" s="42"/>
      <c r="DD51" s="42"/>
      <c r="DE51" s="42"/>
      <c r="DF51" s="42"/>
      <c r="DG51" s="42"/>
      <c r="DH51" s="42"/>
      <c r="DI51" s="42"/>
      <c r="DJ51" s="42"/>
      <c r="DK51" s="42"/>
      <c r="DL51" s="42"/>
      <c r="DM51" s="42"/>
      <c r="DN51" s="42"/>
      <c r="DO51" s="42"/>
      <c r="DP51" s="42"/>
      <c r="DQ51" s="42"/>
      <c r="DR51" s="42"/>
      <c r="DS51" s="44"/>
      <c r="DT51" s="45">
        <f t="shared" ref="DT51" si="33">SUM(F51:DR51)</f>
        <v>1</v>
      </c>
    </row>
    <row r="52" spans="2:124" s="13" customFormat="1" x14ac:dyDescent="0.3">
      <c r="B52" s="4">
        <f>'6.1Personnel List'!B53</f>
        <v>40</v>
      </c>
      <c r="C52" s="105" t="s">
        <v>162</v>
      </c>
      <c r="D52" s="106" t="s">
        <v>125</v>
      </c>
      <c r="E52" s="46">
        <f>'6.1Personnel List'!H130</f>
        <v>0</v>
      </c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42"/>
      <c r="BB52" s="42"/>
      <c r="BC52" s="42"/>
      <c r="BD52" s="42"/>
      <c r="BE52" s="42"/>
      <c r="BF52" s="42"/>
      <c r="BG52" s="42"/>
      <c r="BH52" s="42"/>
      <c r="BJ52" s="42"/>
      <c r="BK52" s="42"/>
      <c r="BL52" s="42"/>
      <c r="BM52" s="42"/>
      <c r="BN52" s="42"/>
      <c r="BO52" s="42"/>
      <c r="BP52" s="42"/>
      <c r="BQ52" s="42"/>
      <c r="BR52" s="42"/>
      <c r="BS52" s="42"/>
      <c r="BT52" s="42"/>
      <c r="BU52" s="42"/>
      <c r="BV52" s="42"/>
      <c r="BW52" s="42"/>
      <c r="BX52" s="42"/>
      <c r="BY52" s="42"/>
      <c r="BZ52" s="42"/>
      <c r="CA52" s="42"/>
      <c r="CB52" s="42"/>
      <c r="CC52" s="42"/>
      <c r="CD52" s="42"/>
      <c r="CE52" s="42"/>
      <c r="CF52" s="42"/>
      <c r="CG52" s="42"/>
      <c r="CH52" s="42"/>
      <c r="CI52" s="42"/>
      <c r="CJ52" s="42"/>
      <c r="CK52" s="42"/>
      <c r="CL52" s="42"/>
      <c r="CM52" s="42"/>
      <c r="CN52" s="42"/>
      <c r="CO52" s="42"/>
      <c r="CP52" s="42"/>
      <c r="CQ52" s="42"/>
      <c r="CR52" s="42"/>
      <c r="CS52" s="42"/>
      <c r="CT52" s="42"/>
      <c r="CU52" s="42"/>
      <c r="CV52" s="42"/>
      <c r="CW52" s="42"/>
      <c r="CX52" s="42"/>
      <c r="CY52" s="42"/>
      <c r="CZ52" s="42"/>
      <c r="DA52" s="42"/>
      <c r="DB52" s="42"/>
      <c r="DC52" s="42"/>
      <c r="DD52" s="42"/>
      <c r="DE52" s="42"/>
      <c r="DF52" s="42"/>
      <c r="DG52" s="42"/>
      <c r="DH52" s="42"/>
      <c r="DI52" s="42"/>
      <c r="DJ52" s="42">
        <v>0.2</v>
      </c>
      <c r="DK52" s="42">
        <v>0.2</v>
      </c>
      <c r="DL52" s="42">
        <v>0.2</v>
      </c>
      <c r="DM52" s="42">
        <v>0.2</v>
      </c>
      <c r="DN52" s="42">
        <v>0.2</v>
      </c>
      <c r="DO52" s="42"/>
      <c r="DP52" s="42"/>
      <c r="DQ52" s="42"/>
      <c r="DR52" s="42"/>
      <c r="DS52" s="44"/>
      <c r="DT52" s="45">
        <f t="shared" ref="DT52" si="34">SUM(F52:DR52)</f>
        <v>1</v>
      </c>
    </row>
    <row r="53" spans="2:124" s="13" customFormat="1" x14ac:dyDescent="0.3">
      <c r="B53" s="4">
        <f>'6.1Personnel List'!B54</f>
        <v>41</v>
      </c>
      <c r="C53" s="105" t="s">
        <v>163</v>
      </c>
      <c r="D53" s="106" t="s">
        <v>144</v>
      </c>
      <c r="E53" s="46">
        <f>'6.1Personnel List'!H131</f>
        <v>0</v>
      </c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  <c r="BA53" s="42"/>
      <c r="BB53" s="42"/>
      <c r="BC53" s="42"/>
      <c r="BD53" s="42"/>
      <c r="BE53" s="42"/>
      <c r="BF53" s="42"/>
      <c r="BG53" s="42"/>
      <c r="BH53" s="42"/>
      <c r="BJ53" s="42"/>
      <c r="BK53" s="42"/>
      <c r="BL53" s="42"/>
      <c r="BM53" s="42"/>
      <c r="BN53" s="42"/>
      <c r="BO53" s="42"/>
      <c r="BP53" s="42"/>
      <c r="BQ53" s="42"/>
      <c r="BR53" s="42"/>
      <c r="BS53" s="42"/>
      <c r="BT53" s="42"/>
      <c r="BU53" s="42"/>
      <c r="BV53" s="42"/>
      <c r="BW53" s="42"/>
      <c r="BX53" s="42"/>
      <c r="BY53" s="42"/>
      <c r="BZ53" s="42"/>
      <c r="CA53" s="42"/>
      <c r="CB53" s="42"/>
      <c r="CC53" s="42"/>
      <c r="CD53" s="42"/>
      <c r="CE53" s="42"/>
      <c r="CF53" s="42"/>
      <c r="CG53" s="42"/>
      <c r="CH53" s="42"/>
      <c r="CI53" s="42"/>
      <c r="CJ53" s="42"/>
      <c r="CK53" s="42"/>
      <c r="CL53" s="42"/>
      <c r="CM53" s="42"/>
      <c r="CN53" s="42"/>
      <c r="CO53" s="42"/>
      <c r="CP53" s="42"/>
      <c r="CQ53" s="42"/>
      <c r="CR53" s="42"/>
      <c r="CS53" s="42"/>
      <c r="CT53" s="42"/>
      <c r="CU53" s="42"/>
      <c r="CV53" s="42"/>
      <c r="CW53" s="42"/>
      <c r="CX53" s="42"/>
      <c r="CY53" s="42"/>
      <c r="CZ53" s="42"/>
      <c r="DA53" s="42"/>
      <c r="DB53" s="42"/>
      <c r="DC53" s="42"/>
      <c r="DD53" s="42"/>
      <c r="DE53" s="42"/>
      <c r="DF53" s="42"/>
      <c r="DG53" s="42"/>
      <c r="DH53" s="42"/>
      <c r="DI53" s="42"/>
      <c r="DJ53" s="42">
        <v>1</v>
      </c>
      <c r="DK53" s="42"/>
      <c r="DL53" s="42"/>
      <c r="DM53" s="42"/>
      <c r="DN53" s="42"/>
      <c r="DO53" s="42"/>
      <c r="DP53" s="42"/>
      <c r="DQ53" s="42"/>
      <c r="DR53" s="42"/>
      <c r="DS53" s="44"/>
      <c r="DT53" s="45">
        <f t="shared" ref="DT53" si="35">SUM(F53:DR53)</f>
        <v>1</v>
      </c>
    </row>
    <row r="54" spans="2:124" s="13" customFormat="1" x14ac:dyDescent="0.3">
      <c r="B54" s="4">
        <f>'6.1Personnel List'!B55</f>
        <v>42</v>
      </c>
      <c r="C54" s="105" t="s">
        <v>164</v>
      </c>
      <c r="D54" s="106" t="s">
        <v>125</v>
      </c>
      <c r="E54" s="46">
        <f>'6.1Personnel List'!H132</f>
        <v>0</v>
      </c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42"/>
      <c r="BB54" s="42"/>
      <c r="BC54" s="42"/>
      <c r="BD54" s="42"/>
      <c r="BE54" s="42"/>
      <c r="BF54" s="42"/>
      <c r="BG54" s="42"/>
      <c r="BH54" s="42"/>
      <c r="BJ54" s="42"/>
      <c r="BK54" s="42"/>
      <c r="BL54" s="42"/>
      <c r="BM54" s="42"/>
      <c r="BN54" s="42"/>
      <c r="BO54" s="42"/>
      <c r="BP54" s="42"/>
      <c r="BQ54" s="42"/>
      <c r="BR54" s="42"/>
      <c r="BS54" s="42"/>
      <c r="BT54" s="42"/>
      <c r="BU54" s="42"/>
      <c r="BV54" s="42"/>
      <c r="BW54" s="42"/>
      <c r="BX54" s="42"/>
      <c r="BY54" s="42"/>
      <c r="BZ54" s="42"/>
      <c r="CA54" s="42"/>
      <c r="CB54" s="42"/>
      <c r="CC54" s="42"/>
      <c r="CD54" s="42"/>
      <c r="CE54" s="42"/>
      <c r="CF54" s="42"/>
      <c r="CG54" s="42"/>
      <c r="CH54" s="42"/>
      <c r="CI54" s="42"/>
      <c r="CJ54" s="42"/>
      <c r="CK54" s="42"/>
      <c r="CL54" s="42"/>
      <c r="CM54" s="42"/>
      <c r="CN54" s="42"/>
      <c r="CO54" s="42"/>
      <c r="CP54" s="42"/>
      <c r="CQ54" s="42"/>
      <c r="CR54" s="42"/>
      <c r="CS54" s="42"/>
      <c r="CT54" s="42"/>
      <c r="CU54" s="42"/>
      <c r="CV54" s="42"/>
      <c r="CW54" s="42"/>
      <c r="CX54" s="42"/>
      <c r="CY54" s="42"/>
      <c r="CZ54" s="42"/>
      <c r="DA54" s="42"/>
      <c r="DB54" s="42"/>
      <c r="DC54" s="42"/>
      <c r="DD54" s="42"/>
      <c r="DE54" s="42"/>
      <c r="DF54" s="42"/>
      <c r="DG54" s="42"/>
      <c r="DH54" s="42"/>
      <c r="DI54" s="42"/>
      <c r="DJ54" s="42">
        <v>0.2</v>
      </c>
      <c r="DK54" s="42">
        <v>0.2</v>
      </c>
      <c r="DL54" s="42">
        <v>0.2</v>
      </c>
      <c r="DM54" s="42">
        <v>0.2</v>
      </c>
      <c r="DN54" s="42">
        <v>0.2</v>
      </c>
      <c r="DO54" s="42"/>
      <c r="DP54" s="42"/>
      <c r="DQ54" s="42"/>
      <c r="DR54" s="42"/>
      <c r="DS54" s="44"/>
      <c r="DT54" s="45">
        <f t="shared" ref="DT54" si="36">SUM(F54:DR54)</f>
        <v>1</v>
      </c>
    </row>
    <row r="55" spans="2:124" s="13" customFormat="1" x14ac:dyDescent="0.3">
      <c r="B55" s="4">
        <f>'6.1Personnel List'!B56</f>
        <v>43</v>
      </c>
      <c r="C55" s="105" t="s">
        <v>165</v>
      </c>
      <c r="D55" s="106" t="s">
        <v>166</v>
      </c>
      <c r="E55" s="46">
        <f>'6.1Personnel List'!H133</f>
        <v>0</v>
      </c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2"/>
      <c r="AZ55" s="42"/>
      <c r="BA55" s="42"/>
      <c r="BB55" s="42"/>
      <c r="BC55" s="42"/>
      <c r="BD55" s="42"/>
      <c r="BE55" s="42"/>
      <c r="BF55" s="42"/>
      <c r="BG55" s="42"/>
      <c r="BH55" s="42"/>
      <c r="BJ55" s="42"/>
      <c r="BK55" s="42"/>
      <c r="BL55" s="42"/>
      <c r="BM55" s="42"/>
      <c r="BN55" s="42"/>
      <c r="BO55" s="42"/>
      <c r="BP55" s="42"/>
      <c r="BQ55" s="42"/>
      <c r="BR55" s="42"/>
      <c r="BS55" s="42"/>
      <c r="BT55" s="42"/>
      <c r="BU55" s="42"/>
      <c r="BV55" s="42"/>
      <c r="BW55" s="42"/>
      <c r="BX55" s="42"/>
      <c r="BY55" s="42"/>
      <c r="BZ55" s="42"/>
      <c r="CA55" s="42"/>
      <c r="CB55" s="42"/>
      <c r="CC55" s="42"/>
      <c r="CD55" s="42"/>
      <c r="CE55" s="42"/>
      <c r="CF55" s="42"/>
      <c r="CG55" s="42"/>
      <c r="CH55" s="42">
        <v>1</v>
      </c>
      <c r="CI55" s="42"/>
      <c r="CJ55" s="42"/>
      <c r="CK55" s="42"/>
      <c r="CL55" s="42"/>
      <c r="CM55" s="42"/>
      <c r="CN55" s="42"/>
      <c r="CO55" s="42"/>
      <c r="CP55" s="42"/>
      <c r="CQ55" s="42"/>
      <c r="CR55" s="42"/>
      <c r="CS55" s="42"/>
      <c r="CT55" s="42"/>
      <c r="CU55" s="42"/>
      <c r="CV55" s="42"/>
      <c r="CW55" s="42"/>
      <c r="CX55" s="42"/>
      <c r="CY55" s="42"/>
      <c r="CZ55" s="42"/>
      <c r="DA55" s="42"/>
      <c r="DB55" s="42"/>
      <c r="DC55" s="42"/>
      <c r="DD55" s="42"/>
      <c r="DE55" s="42"/>
      <c r="DF55" s="42"/>
      <c r="DG55" s="42"/>
      <c r="DH55" s="42"/>
      <c r="DI55" s="42"/>
      <c r="DJ55" s="42"/>
      <c r="DK55" s="42"/>
      <c r="DL55" s="42"/>
      <c r="DM55" s="42"/>
      <c r="DN55" s="42"/>
      <c r="DO55" s="42"/>
      <c r="DP55" s="42"/>
      <c r="DQ55" s="42"/>
      <c r="DR55" s="42"/>
      <c r="DS55" s="44"/>
      <c r="DT55" s="45">
        <f t="shared" ref="DT55" si="37">SUM(F55:DR55)</f>
        <v>1</v>
      </c>
    </row>
    <row r="56" spans="2:124" s="13" customFormat="1" x14ac:dyDescent="0.3">
      <c r="B56" s="4">
        <f>'6.1Personnel List'!B57</f>
        <v>44</v>
      </c>
      <c r="C56" s="105" t="s">
        <v>167</v>
      </c>
      <c r="D56" s="106" t="s">
        <v>125</v>
      </c>
      <c r="E56" s="46">
        <f>'6.1Personnel List'!H134</f>
        <v>0</v>
      </c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2"/>
      <c r="AZ56" s="42"/>
      <c r="BA56" s="42"/>
      <c r="BB56" s="42"/>
      <c r="BC56" s="42"/>
      <c r="BD56" s="42"/>
      <c r="BE56" s="42"/>
      <c r="BF56" s="42"/>
      <c r="BG56" s="42"/>
      <c r="BH56" s="42"/>
      <c r="BJ56" s="42"/>
      <c r="BK56" s="42"/>
      <c r="BL56" s="42"/>
      <c r="BM56" s="42"/>
      <c r="BN56" s="42"/>
      <c r="BO56" s="42"/>
      <c r="BP56" s="42"/>
      <c r="BQ56" s="42"/>
      <c r="BR56" s="42"/>
      <c r="BS56" s="42"/>
      <c r="BT56" s="42"/>
      <c r="BU56" s="42"/>
      <c r="BV56" s="42"/>
      <c r="BW56" s="42"/>
      <c r="BX56" s="42"/>
      <c r="BY56" s="42"/>
      <c r="BZ56" s="42"/>
      <c r="CA56" s="42"/>
      <c r="CB56" s="42"/>
      <c r="CC56" s="42"/>
      <c r="CD56" s="42"/>
      <c r="CE56" s="42"/>
      <c r="CF56" s="42"/>
      <c r="CG56" s="42"/>
      <c r="CH56" s="42"/>
      <c r="CI56" s="42"/>
      <c r="CJ56" s="42"/>
      <c r="CK56" s="42"/>
      <c r="CL56" s="42"/>
      <c r="CM56" s="42"/>
      <c r="CN56" s="42"/>
      <c r="CO56" s="42"/>
      <c r="CP56" s="42"/>
      <c r="CQ56" s="42"/>
      <c r="CR56" s="42"/>
      <c r="CS56" s="42"/>
      <c r="CT56" s="42"/>
      <c r="CU56" s="42"/>
      <c r="CV56" s="42"/>
      <c r="CW56" s="42"/>
      <c r="CX56" s="42"/>
      <c r="CY56" s="42"/>
      <c r="CZ56" s="42"/>
      <c r="DA56" s="42"/>
      <c r="DB56" s="42"/>
      <c r="DC56" s="42"/>
      <c r="DD56" s="42"/>
      <c r="DE56" s="42"/>
      <c r="DF56" s="42"/>
      <c r="DG56" s="42"/>
      <c r="DH56" s="42"/>
      <c r="DI56" s="42"/>
      <c r="DJ56" s="42"/>
      <c r="DK56" s="42"/>
      <c r="DL56" s="42">
        <v>0.5</v>
      </c>
      <c r="DM56" s="42">
        <v>0.5</v>
      </c>
      <c r="DN56" s="42"/>
      <c r="DO56" s="42"/>
      <c r="DP56" s="42"/>
      <c r="DQ56" s="42"/>
      <c r="DR56" s="42"/>
      <c r="DS56" s="44"/>
      <c r="DT56" s="45">
        <f t="shared" ref="DT56" si="38">SUM(F56:DR56)</f>
        <v>1</v>
      </c>
    </row>
    <row r="57" spans="2:124" s="13" customFormat="1" x14ac:dyDescent="0.3">
      <c r="B57" s="4">
        <f>'6.1Personnel List'!B58</f>
        <v>45</v>
      </c>
      <c r="C57" s="105" t="s">
        <v>168</v>
      </c>
      <c r="D57" s="106" t="s">
        <v>125</v>
      </c>
      <c r="E57" s="46">
        <f>'6.1Personnel List'!H135</f>
        <v>0</v>
      </c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  <c r="BA57" s="42"/>
      <c r="BB57" s="42"/>
      <c r="BC57" s="42"/>
      <c r="BD57" s="42"/>
      <c r="BE57" s="42"/>
      <c r="BF57" s="42"/>
      <c r="BG57" s="42"/>
      <c r="BH57" s="42"/>
      <c r="BJ57" s="42"/>
      <c r="BK57" s="42"/>
      <c r="BL57" s="42"/>
      <c r="BM57" s="42"/>
      <c r="BN57" s="42"/>
      <c r="BO57" s="42"/>
      <c r="BP57" s="42"/>
      <c r="BQ57" s="42"/>
      <c r="BR57" s="42"/>
      <c r="BS57" s="42"/>
      <c r="BT57" s="42"/>
      <c r="BU57" s="42"/>
      <c r="BV57" s="42"/>
      <c r="BW57" s="42"/>
      <c r="BX57" s="42"/>
      <c r="BY57" s="42"/>
      <c r="BZ57" s="42"/>
      <c r="CA57" s="42"/>
      <c r="CB57" s="42"/>
      <c r="CC57" s="42"/>
      <c r="CD57" s="42"/>
      <c r="CE57" s="42"/>
      <c r="CF57" s="42"/>
      <c r="CG57" s="42"/>
      <c r="CH57" s="42"/>
      <c r="CI57" s="42"/>
      <c r="CJ57" s="42"/>
      <c r="CK57" s="42"/>
      <c r="CL57" s="42"/>
      <c r="CM57" s="42"/>
      <c r="CN57" s="42"/>
      <c r="CO57" s="42"/>
      <c r="CP57" s="42"/>
      <c r="CQ57" s="42"/>
      <c r="CR57" s="42"/>
      <c r="CS57" s="42"/>
      <c r="CT57" s="42"/>
      <c r="CU57" s="42"/>
      <c r="CV57" s="42"/>
      <c r="CW57" s="42"/>
      <c r="CX57" s="42"/>
      <c r="CY57" s="42"/>
      <c r="CZ57" s="42"/>
      <c r="DA57" s="42"/>
      <c r="DB57" s="42"/>
      <c r="DC57" s="42"/>
      <c r="DD57" s="42"/>
      <c r="DE57" s="42"/>
      <c r="DF57" s="42"/>
      <c r="DG57" s="42"/>
      <c r="DH57" s="42"/>
      <c r="DI57" s="42"/>
      <c r="DJ57" s="42"/>
      <c r="DK57" s="42"/>
      <c r="DL57" s="42">
        <v>0.5</v>
      </c>
      <c r="DM57" s="42">
        <v>0.5</v>
      </c>
      <c r="DN57" s="42"/>
      <c r="DO57" s="42"/>
      <c r="DP57" s="42"/>
      <c r="DQ57" s="42"/>
      <c r="DR57" s="42"/>
      <c r="DS57" s="44"/>
      <c r="DT57" s="45">
        <f t="shared" ref="DT57" si="39">SUM(F57:DR57)</f>
        <v>1</v>
      </c>
    </row>
    <row r="58" spans="2:124" s="13" customFormat="1" x14ac:dyDescent="0.3">
      <c r="B58" s="4">
        <f>'6.1Personnel List'!B59</f>
        <v>46</v>
      </c>
      <c r="C58" s="105" t="s">
        <v>169</v>
      </c>
      <c r="D58" s="106" t="s">
        <v>170</v>
      </c>
      <c r="E58" s="46">
        <f>'6.1Personnel List'!H136</f>
        <v>0</v>
      </c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  <c r="BA58" s="42"/>
      <c r="BB58" s="42"/>
      <c r="BC58" s="42"/>
      <c r="BD58" s="42"/>
      <c r="BE58" s="42"/>
      <c r="BF58" s="42"/>
      <c r="BG58" s="42"/>
      <c r="BH58" s="42"/>
      <c r="BJ58" s="42"/>
      <c r="BK58" s="42"/>
      <c r="BL58" s="42"/>
      <c r="BM58" s="42"/>
      <c r="BN58" s="42"/>
      <c r="BO58" s="42"/>
      <c r="BP58" s="42"/>
      <c r="BQ58" s="42"/>
      <c r="BR58" s="42"/>
      <c r="BS58" s="42"/>
      <c r="BT58" s="42"/>
      <c r="BU58" s="42"/>
      <c r="BV58" s="42"/>
      <c r="BW58" s="42"/>
      <c r="BX58" s="42"/>
      <c r="BY58" s="42"/>
      <c r="BZ58" s="42"/>
      <c r="CA58" s="42"/>
      <c r="CB58" s="42"/>
      <c r="CC58" s="42"/>
      <c r="CD58" s="42"/>
      <c r="CE58" s="42"/>
      <c r="CF58" s="42"/>
      <c r="CG58" s="42"/>
      <c r="CH58" s="42"/>
      <c r="CI58" s="42"/>
      <c r="CJ58" s="42"/>
      <c r="CK58" s="42"/>
      <c r="CL58" s="42"/>
      <c r="CM58" s="42"/>
      <c r="CN58" s="42"/>
      <c r="CO58" s="42"/>
      <c r="CP58" s="42"/>
      <c r="CQ58" s="42"/>
      <c r="CR58" s="42"/>
      <c r="CS58" s="42"/>
      <c r="CT58" s="42"/>
      <c r="CU58" s="42">
        <v>0.5</v>
      </c>
      <c r="CV58" s="42"/>
      <c r="CW58" s="42">
        <v>0.5</v>
      </c>
      <c r="CX58" s="42"/>
      <c r="CY58" s="42"/>
      <c r="CZ58" s="42"/>
      <c r="DA58" s="42"/>
      <c r="DB58" s="42"/>
      <c r="DC58" s="42"/>
      <c r="DD58" s="42"/>
      <c r="DE58" s="42"/>
      <c r="DF58" s="42"/>
      <c r="DG58" s="42"/>
      <c r="DH58" s="42"/>
      <c r="DI58" s="42"/>
      <c r="DJ58" s="42"/>
      <c r="DK58" s="42"/>
      <c r="DL58" s="42"/>
      <c r="DM58" s="42"/>
      <c r="DN58" s="42"/>
      <c r="DO58" s="42"/>
      <c r="DP58" s="42"/>
      <c r="DQ58" s="42"/>
      <c r="DR58" s="42"/>
      <c r="DS58" s="44"/>
      <c r="DT58" s="45">
        <f t="shared" ref="DT58" si="40">SUM(F58:DR58)</f>
        <v>1</v>
      </c>
    </row>
    <row r="59" spans="2:124" s="13" customFormat="1" x14ac:dyDescent="0.3">
      <c r="B59" s="4">
        <f>'6.1Personnel List'!B60</f>
        <v>47</v>
      </c>
      <c r="C59" s="105" t="s">
        <v>171</v>
      </c>
      <c r="D59" s="106" t="s">
        <v>101</v>
      </c>
      <c r="E59" s="46">
        <f>'6.1Personnel List'!H137</f>
        <v>0</v>
      </c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  <c r="BA59" s="42"/>
      <c r="BB59" s="42"/>
      <c r="BC59" s="42"/>
      <c r="BD59" s="42"/>
      <c r="BE59" s="42"/>
      <c r="BF59" s="42"/>
      <c r="BG59" s="42"/>
      <c r="BH59" s="42"/>
      <c r="BJ59" s="42"/>
      <c r="BK59" s="42"/>
      <c r="BL59" s="42"/>
      <c r="BM59" s="42"/>
      <c r="BN59" s="42"/>
      <c r="BO59" s="42"/>
      <c r="BP59" s="42"/>
      <c r="BQ59" s="42"/>
      <c r="BR59" s="42"/>
      <c r="BS59" s="42"/>
      <c r="BT59" s="42"/>
      <c r="BU59" s="42"/>
      <c r="BV59" s="42"/>
      <c r="BW59" s="42"/>
      <c r="BX59" s="42"/>
      <c r="BY59" s="42"/>
      <c r="BZ59" s="42"/>
      <c r="CA59" s="42"/>
      <c r="CB59" s="42"/>
      <c r="CC59" s="42"/>
      <c r="CD59" s="42"/>
      <c r="CE59" s="42"/>
      <c r="CF59" s="42"/>
      <c r="CG59" s="42"/>
      <c r="CH59" s="42"/>
      <c r="CI59" s="42"/>
      <c r="CJ59" s="42"/>
      <c r="CK59" s="42"/>
      <c r="CL59" s="42"/>
      <c r="CM59" s="42"/>
      <c r="CN59" s="42"/>
      <c r="CO59" s="42"/>
      <c r="CP59" s="42"/>
      <c r="CQ59" s="42"/>
      <c r="CR59" s="42"/>
      <c r="CS59" s="42"/>
      <c r="CT59" s="42"/>
      <c r="CU59" s="42">
        <v>1</v>
      </c>
      <c r="CV59" s="42"/>
      <c r="CW59" s="42"/>
      <c r="CX59" s="42"/>
      <c r="CY59" s="42"/>
      <c r="CZ59" s="42"/>
      <c r="DA59" s="42"/>
      <c r="DB59" s="42"/>
      <c r="DC59" s="42"/>
      <c r="DD59" s="42"/>
      <c r="DE59" s="42"/>
      <c r="DF59" s="42"/>
      <c r="DG59" s="42"/>
      <c r="DH59" s="42"/>
      <c r="DI59" s="42"/>
      <c r="DJ59" s="42"/>
      <c r="DK59" s="42"/>
      <c r="DL59" s="42"/>
      <c r="DM59" s="42"/>
      <c r="DN59" s="42"/>
      <c r="DO59" s="42"/>
      <c r="DP59" s="42"/>
      <c r="DQ59" s="42"/>
      <c r="DR59" s="42"/>
      <c r="DS59" s="44"/>
      <c r="DT59" s="45">
        <f t="shared" ref="DT59" si="41">SUM(F59:DR59)</f>
        <v>1</v>
      </c>
    </row>
    <row r="60" spans="2:124" s="13" customFormat="1" x14ac:dyDescent="0.3">
      <c r="B60" s="4">
        <f>'6.1Personnel List'!B61</f>
        <v>48</v>
      </c>
      <c r="C60" s="105" t="s">
        <v>172</v>
      </c>
      <c r="D60" s="106" t="s">
        <v>123</v>
      </c>
      <c r="E60" s="46">
        <f>'6.1Personnel List'!H138</f>
        <v>0</v>
      </c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42"/>
      <c r="BB60" s="42"/>
      <c r="BC60" s="42"/>
      <c r="BD60" s="42"/>
      <c r="BE60" s="42"/>
      <c r="BF60" s="42"/>
      <c r="BG60" s="42"/>
      <c r="BH60" s="42"/>
      <c r="BJ60" s="42"/>
      <c r="BK60" s="42"/>
      <c r="BL60" s="42">
        <v>1</v>
      </c>
      <c r="BM60" s="42"/>
      <c r="BN60" s="42"/>
      <c r="BO60" s="42"/>
      <c r="BP60" s="42"/>
      <c r="BQ60" s="42"/>
      <c r="BR60" s="42"/>
      <c r="BS60" s="42"/>
      <c r="BT60" s="42"/>
      <c r="BU60" s="42"/>
      <c r="BV60" s="42"/>
      <c r="BW60" s="42"/>
      <c r="BX60" s="42"/>
      <c r="BY60" s="42"/>
      <c r="BZ60" s="42"/>
      <c r="CA60" s="42"/>
      <c r="CB60" s="42"/>
      <c r="CC60" s="42"/>
      <c r="CD60" s="42"/>
      <c r="CE60" s="42"/>
      <c r="CF60" s="42"/>
      <c r="CG60" s="42"/>
      <c r="CH60" s="42"/>
      <c r="CI60" s="42"/>
      <c r="CJ60" s="42"/>
      <c r="CK60" s="42"/>
      <c r="CL60" s="42"/>
      <c r="CM60" s="42"/>
      <c r="CN60" s="42"/>
      <c r="CO60" s="42"/>
      <c r="CP60" s="42"/>
      <c r="CQ60" s="42"/>
      <c r="CR60" s="42"/>
      <c r="CS60" s="42"/>
      <c r="CT60" s="42"/>
      <c r="CU60" s="42"/>
      <c r="CV60" s="42"/>
      <c r="CW60" s="42"/>
      <c r="CX60" s="42"/>
      <c r="CY60" s="42"/>
      <c r="CZ60" s="42"/>
      <c r="DA60" s="42"/>
      <c r="DB60" s="42"/>
      <c r="DC60" s="42"/>
      <c r="DD60" s="42"/>
      <c r="DE60" s="42"/>
      <c r="DF60" s="42"/>
      <c r="DG60" s="42"/>
      <c r="DH60" s="42"/>
      <c r="DI60" s="42"/>
      <c r="DJ60" s="42"/>
      <c r="DK60" s="42"/>
      <c r="DL60" s="42"/>
      <c r="DM60" s="42"/>
      <c r="DN60" s="42"/>
      <c r="DO60" s="42"/>
      <c r="DP60" s="42"/>
      <c r="DQ60" s="42"/>
      <c r="DR60" s="42"/>
      <c r="DS60" s="44"/>
      <c r="DT60" s="45">
        <f t="shared" ref="DT60" si="42">SUM(F60:DR60)</f>
        <v>1</v>
      </c>
    </row>
    <row r="61" spans="2:124" s="13" customFormat="1" x14ac:dyDescent="0.3">
      <c r="B61" s="4">
        <f>'6.1Personnel List'!B62</f>
        <v>49</v>
      </c>
      <c r="C61" s="105" t="s">
        <v>173</v>
      </c>
      <c r="D61" s="106" t="s">
        <v>150</v>
      </c>
      <c r="E61" s="46">
        <f>'6.1Personnel List'!H139</f>
        <v>0</v>
      </c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42"/>
      <c r="BB61" s="42"/>
      <c r="BC61" s="42"/>
      <c r="BD61" s="42"/>
      <c r="BE61" s="42"/>
      <c r="BF61" s="42"/>
      <c r="BG61" s="42"/>
      <c r="BH61" s="42"/>
      <c r="BJ61" s="42"/>
      <c r="BK61" s="42"/>
      <c r="BL61" s="42"/>
      <c r="BM61" s="42"/>
      <c r="BN61" s="42"/>
      <c r="BO61" s="42"/>
      <c r="BP61" s="42"/>
      <c r="BQ61" s="42"/>
      <c r="BR61" s="42"/>
      <c r="BS61" s="42"/>
      <c r="BT61" s="42"/>
      <c r="BU61" s="42"/>
      <c r="BV61" s="42"/>
      <c r="BW61" s="42"/>
      <c r="BX61" s="42"/>
      <c r="BY61" s="42"/>
      <c r="BZ61" s="42"/>
      <c r="CA61" s="42"/>
      <c r="CB61" s="42"/>
      <c r="CC61" s="42"/>
      <c r="CD61" s="42"/>
      <c r="CE61" s="42"/>
      <c r="CF61" s="42"/>
      <c r="CG61" s="42"/>
      <c r="CH61" s="42"/>
      <c r="CI61" s="42"/>
      <c r="CJ61" s="42"/>
      <c r="CK61" s="42">
        <v>1</v>
      </c>
      <c r="CL61" s="42"/>
      <c r="CM61" s="42"/>
      <c r="CN61" s="42"/>
      <c r="CO61" s="42"/>
      <c r="CP61" s="42"/>
      <c r="CQ61" s="42"/>
      <c r="CR61" s="42"/>
      <c r="CS61" s="42"/>
      <c r="CT61" s="42"/>
      <c r="CU61" s="42"/>
      <c r="CV61" s="42"/>
      <c r="CW61" s="42"/>
      <c r="CX61" s="42"/>
      <c r="CY61" s="42"/>
      <c r="CZ61" s="42"/>
      <c r="DA61" s="42"/>
      <c r="DB61" s="42"/>
      <c r="DC61" s="42"/>
      <c r="DD61" s="42"/>
      <c r="DE61" s="42"/>
      <c r="DF61" s="42"/>
      <c r="DG61" s="42"/>
      <c r="DH61" s="42"/>
      <c r="DI61" s="42"/>
      <c r="DJ61" s="42"/>
      <c r="DK61" s="42"/>
      <c r="DL61" s="42"/>
      <c r="DM61" s="42"/>
      <c r="DN61" s="42"/>
      <c r="DO61" s="42"/>
      <c r="DP61" s="42"/>
      <c r="DQ61" s="42"/>
      <c r="DR61" s="42"/>
      <c r="DS61" s="44"/>
      <c r="DT61" s="45">
        <f t="shared" ref="DT61" si="43">SUM(F61:DR61)</f>
        <v>1</v>
      </c>
    </row>
    <row r="62" spans="2:124" s="13" customFormat="1" x14ac:dyDescent="0.3">
      <c r="B62" s="4">
        <f>'6.1Personnel List'!B63</f>
        <v>50</v>
      </c>
      <c r="C62" s="105" t="s">
        <v>174</v>
      </c>
      <c r="D62" s="106" t="s">
        <v>175</v>
      </c>
      <c r="E62" s="46">
        <f>'6.1Personnel List'!H140</f>
        <v>0</v>
      </c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  <c r="AX62" s="42"/>
      <c r="AY62" s="42"/>
      <c r="AZ62" s="42"/>
      <c r="BA62" s="42"/>
      <c r="BB62" s="42"/>
      <c r="BC62" s="42"/>
      <c r="BD62" s="42"/>
      <c r="BE62" s="42"/>
      <c r="BF62" s="42"/>
      <c r="BG62" s="42"/>
      <c r="BH62" s="42"/>
      <c r="BJ62" s="42"/>
      <c r="BK62" s="42"/>
      <c r="BL62" s="42"/>
      <c r="BM62" s="42"/>
      <c r="BN62" s="42"/>
      <c r="BO62" s="42"/>
      <c r="BP62" s="42"/>
      <c r="BQ62" s="42"/>
      <c r="BR62" s="42"/>
      <c r="BS62" s="42"/>
      <c r="BT62" s="42"/>
      <c r="BU62" s="42"/>
      <c r="BV62" s="42"/>
      <c r="BW62" s="42"/>
      <c r="BX62" s="42">
        <v>1</v>
      </c>
      <c r="BY62" s="42"/>
      <c r="BZ62" s="42"/>
      <c r="CA62" s="42"/>
      <c r="CB62" s="42"/>
      <c r="CC62" s="42"/>
      <c r="CD62" s="42"/>
      <c r="CE62" s="42"/>
      <c r="CF62" s="42"/>
      <c r="CG62" s="42"/>
      <c r="CH62" s="42"/>
      <c r="CI62" s="42"/>
      <c r="CJ62" s="42"/>
      <c r="CK62" s="42"/>
      <c r="CL62" s="42"/>
      <c r="CM62" s="42"/>
      <c r="CN62" s="42"/>
      <c r="CO62" s="42"/>
      <c r="CP62" s="42"/>
      <c r="CQ62" s="42"/>
      <c r="CR62" s="42"/>
      <c r="CS62" s="42"/>
      <c r="CT62" s="42"/>
      <c r="CU62" s="42"/>
      <c r="CV62" s="42"/>
      <c r="CW62" s="42"/>
      <c r="CX62" s="42"/>
      <c r="CY62" s="42"/>
      <c r="CZ62" s="42"/>
      <c r="DA62" s="42"/>
      <c r="DB62" s="42"/>
      <c r="DC62" s="42"/>
      <c r="DD62" s="42"/>
      <c r="DE62" s="42"/>
      <c r="DF62" s="42"/>
      <c r="DG62" s="42"/>
      <c r="DH62" s="42"/>
      <c r="DI62" s="42"/>
      <c r="DJ62" s="42"/>
      <c r="DK62" s="42"/>
      <c r="DL62" s="42"/>
      <c r="DM62" s="42"/>
      <c r="DN62" s="42"/>
      <c r="DO62" s="42"/>
      <c r="DP62" s="42"/>
      <c r="DQ62" s="42"/>
      <c r="DR62" s="42"/>
      <c r="DS62" s="44"/>
      <c r="DT62" s="45">
        <f t="shared" ref="DT62" si="44">SUM(F62:DR62)</f>
        <v>1</v>
      </c>
    </row>
    <row r="63" spans="2:124" s="13" customFormat="1" x14ac:dyDescent="0.3">
      <c r="B63" s="4">
        <f>'6.1Personnel List'!B64</f>
        <v>51</v>
      </c>
      <c r="C63" s="105" t="s">
        <v>176</v>
      </c>
      <c r="D63" s="106" t="s">
        <v>177</v>
      </c>
      <c r="E63" s="46">
        <f>'6.1Personnel List'!H141</f>
        <v>0</v>
      </c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2"/>
      <c r="AZ63" s="42"/>
      <c r="BA63" s="42"/>
      <c r="BB63" s="42"/>
      <c r="BC63" s="42"/>
      <c r="BD63" s="42"/>
      <c r="BE63" s="42"/>
      <c r="BF63" s="42"/>
      <c r="BG63" s="42"/>
      <c r="BH63" s="42"/>
      <c r="BJ63" s="42"/>
      <c r="BK63" s="42"/>
      <c r="BL63" s="42"/>
      <c r="BM63" s="42"/>
      <c r="BN63" s="42"/>
      <c r="BO63" s="42"/>
      <c r="BP63" s="42"/>
      <c r="BQ63" s="42"/>
      <c r="BR63" s="42"/>
      <c r="BS63" s="42"/>
      <c r="BT63" s="42"/>
      <c r="BU63" s="42"/>
      <c r="BV63" s="42"/>
      <c r="BW63" s="42"/>
      <c r="BX63" s="42"/>
      <c r="BY63" s="42"/>
      <c r="BZ63" s="42"/>
      <c r="CA63" s="42"/>
      <c r="CB63" s="42"/>
      <c r="CC63" s="42"/>
      <c r="CD63" s="42"/>
      <c r="CE63" s="42"/>
      <c r="CF63" s="42"/>
      <c r="CG63" s="42"/>
      <c r="CH63" s="42"/>
      <c r="CI63" s="42"/>
      <c r="CJ63" s="42">
        <v>1</v>
      </c>
      <c r="CK63" s="42"/>
      <c r="CL63" s="42"/>
      <c r="CM63" s="42"/>
      <c r="CN63" s="42"/>
      <c r="CO63" s="42"/>
      <c r="CP63" s="42"/>
      <c r="CQ63" s="42"/>
      <c r="CR63" s="42"/>
      <c r="CS63" s="42"/>
      <c r="CT63" s="42"/>
      <c r="CU63" s="42"/>
      <c r="CV63" s="42"/>
      <c r="CW63" s="42"/>
      <c r="CX63" s="42"/>
      <c r="CY63" s="42"/>
      <c r="CZ63" s="42"/>
      <c r="DA63" s="42"/>
      <c r="DB63" s="42"/>
      <c r="DC63" s="42"/>
      <c r="DD63" s="42"/>
      <c r="DE63" s="42"/>
      <c r="DF63" s="42"/>
      <c r="DG63" s="42"/>
      <c r="DH63" s="42"/>
      <c r="DI63" s="42"/>
      <c r="DJ63" s="42"/>
      <c r="DK63" s="42"/>
      <c r="DL63" s="42"/>
      <c r="DM63" s="42"/>
      <c r="DN63" s="42"/>
      <c r="DO63" s="42"/>
      <c r="DP63" s="42"/>
      <c r="DQ63" s="42"/>
      <c r="DR63" s="42"/>
      <c r="DS63" s="44"/>
      <c r="DT63" s="45">
        <f t="shared" ref="DT63" si="45">SUM(F63:DR63)</f>
        <v>1</v>
      </c>
    </row>
    <row r="64" spans="2:124" s="13" customFormat="1" x14ac:dyDescent="0.3">
      <c r="B64" s="4">
        <f>'6.1Personnel List'!B65</f>
        <v>52</v>
      </c>
      <c r="C64" s="105" t="s">
        <v>178</v>
      </c>
      <c r="D64" s="106" t="s">
        <v>179</v>
      </c>
      <c r="E64" s="46">
        <f>'6.1Personnel List'!H142</f>
        <v>0</v>
      </c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  <c r="BA64" s="42"/>
      <c r="BB64" s="42"/>
      <c r="BC64" s="42"/>
      <c r="BD64" s="42"/>
      <c r="BE64" s="42"/>
      <c r="BF64" s="42"/>
      <c r="BG64" s="42"/>
      <c r="BH64" s="42"/>
      <c r="BJ64" s="42"/>
      <c r="BK64" s="42"/>
      <c r="BL64" s="42"/>
      <c r="BM64" s="42"/>
      <c r="BN64" s="42"/>
      <c r="BO64" s="42"/>
      <c r="BP64" s="42"/>
      <c r="BQ64" s="42"/>
      <c r="BR64" s="42"/>
      <c r="BS64" s="42"/>
      <c r="BT64" s="42"/>
      <c r="BU64" s="42"/>
      <c r="BV64" s="42"/>
      <c r="BW64" s="42"/>
      <c r="BX64" s="42"/>
      <c r="BY64" s="42"/>
      <c r="BZ64" s="42"/>
      <c r="CA64" s="42"/>
      <c r="CB64" s="42"/>
      <c r="CC64" s="42"/>
      <c r="CD64" s="42"/>
      <c r="CE64" s="42">
        <v>1</v>
      </c>
      <c r="CF64" s="42"/>
      <c r="CG64" s="42"/>
      <c r="CH64" s="42"/>
      <c r="CI64" s="42"/>
      <c r="CJ64" s="42"/>
      <c r="CK64" s="42"/>
      <c r="CL64" s="42"/>
      <c r="CM64" s="42"/>
      <c r="CN64" s="42"/>
      <c r="CO64" s="42"/>
      <c r="CP64" s="42"/>
      <c r="CQ64" s="42"/>
      <c r="CR64" s="42"/>
      <c r="CS64" s="42"/>
      <c r="CT64" s="42"/>
      <c r="CU64" s="42"/>
      <c r="CV64" s="42"/>
      <c r="CW64" s="42"/>
      <c r="CX64" s="42"/>
      <c r="CY64" s="42"/>
      <c r="CZ64" s="42"/>
      <c r="DA64" s="42"/>
      <c r="DB64" s="42"/>
      <c r="DC64" s="42"/>
      <c r="DD64" s="42"/>
      <c r="DE64" s="42"/>
      <c r="DF64" s="42"/>
      <c r="DG64" s="42"/>
      <c r="DH64" s="42"/>
      <c r="DI64" s="42"/>
      <c r="DJ64" s="42"/>
      <c r="DK64" s="42"/>
      <c r="DL64" s="42"/>
      <c r="DM64" s="42"/>
      <c r="DN64" s="42"/>
      <c r="DO64" s="42"/>
      <c r="DP64" s="42"/>
      <c r="DQ64" s="42"/>
      <c r="DR64" s="42"/>
      <c r="DS64" s="44"/>
      <c r="DT64" s="45">
        <f t="shared" ref="DT64" si="46">SUM(F64:DR64)</f>
        <v>1</v>
      </c>
    </row>
    <row r="65" spans="2:124" s="13" customFormat="1" x14ac:dyDescent="0.3">
      <c r="B65" s="4">
        <f>'6.1Personnel List'!B66</f>
        <v>53</v>
      </c>
      <c r="C65" s="105" t="s">
        <v>180</v>
      </c>
      <c r="D65" s="106" t="s">
        <v>181</v>
      </c>
      <c r="E65" s="46">
        <f>'6.1Personnel List'!H143</f>
        <v>0</v>
      </c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42"/>
      <c r="BB65" s="42"/>
      <c r="BC65" s="42"/>
      <c r="BD65" s="42"/>
      <c r="BE65" s="42"/>
      <c r="BF65" s="42"/>
      <c r="BG65" s="42"/>
      <c r="BH65" s="42"/>
      <c r="BJ65" s="42"/>
      <c r="BK65" s="42"/>
      <c r="BL65" s="42">
        <v>1</v>
      </c>
      <c r="BM65" s="42"/>
      <c r="BN65" s="42"/>
      <c r="BO65" s="42"/>
      <c r="BP65" s="42"/>
      <c r="BQ65" s="42"/>
      <c r="BR65" s="42"/>
      <c r="BS65" s="42"/>
      <c r="BT65" s="42"/>
      <c r="BU65" s="42"/>
      <c r="BV65" s="42"/>
      <c r="BW65" s="42"/>
      <c r="BX65" s="42"/>
      <c r="BY65" s="42"/>
      <c r="BZ65" s="42"/>
      <c r="CA65" s="42"/>
      <c r="CB65" s="42"/>
      <c r="CC65" s="42"/>
      <c r="CD65" s="42"/>
      <c r="CE65" s="42"/>
      <c r="CF65" s="42"/>
      <c r="CG65" s="42"/>
      <c r="CH65" s="42"/>
      <c r="CI65" s="42"/>
      <c r="CJ65" s="42"/>
      <c r="CK65" s="42"/>
      <c r="CL65" s="42"/>
      <c r="CM65" s="42"/>
      <c r="CN65" s="42"/>
      <c r="CO65" s="42"/>
      <c r="CP65" s="42"/>
      <c r="CQ65" s="42"/>
      <c r="CR65" s="42"/>
      <c r="CS65" s="42"/>
      <c r="CT65" s="42"/>
      <c r="CU65" s="42"/>
      <c r="CV65" s="42"/>
      <c r="CW65" s="42"/>
      <c r="CX65" s="42"/>
      <c r="CY65" s="42"/>
      <c r="CZ65" s="42"/>
      <c r="DA65" s="42"/>
      <c r="DB65" s="42"/>
      <c r="DC65" s="42"/>
      <c r="DD65" s="42"/>
      <c r="DE65" s="42"/>
      <c r="DF65" s="42"/>
      <c r="DG65" s="42"/>
      <c r="DH65" s="42"/>
      <c r="DI65" s="42"/>
      <c r="DJ65" s="42"/>
      <c r="DK65" s="42"/>
      <c r="DL65" s="42"/>
      <c r="DM65" s="42"/>
      <c r="DN65" s="42"/>
      <c r="DO65" s="42"/>
      <c r="DP65" s="42"/>
      <c r="DQ65" s="42"/>
      <c r="DR65" s="42"/>
      <c r="DS65" s="44"/>
      <c r="DT65" s="45">
        <f t="shared" ref="DT65" si="47">SUM(F65:DR65)</f>
        <v>1</v>
      </c>
    </row>
    <row r="66" spans="2:124" s="13" customFormat="1" x14ac:dyDescent="0.3">
      <c r="B66" s="4">
        <f>'6.1Personnel List'!B67</f>
        <v>54</v>
      </c>
      <c r="C66" s="105" t="s">
        <v>182</v>
      </c>
      <c r="D66" s="106" t="s">
        <v>150</v>
      </c>
      <c r="E66" s="46">
        <f>'6.1Personnel List'!H144</f>
        <v>0</v>
      </c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42"/>
      <c r="BB66" s="42"/>
      <c r="BC66" s="42"/>
      <c r="BD66" s="42"/>
      <c r="BE66" s="42"/>
      <c r="BF66" s="42"/>
      <c r="BG66" s="42"/>
      <c r="BH66" s="42"/>
      <c r="BJ66" s="42"/>
      <c r="BK66" s="42"/>
      <c r="BL66" s="42"/>
      <c r="BM66" s="42"/>
      <c r="BN66" s="42"/>
      <c r="BO66" s="42"/>
      <c r="BP66" s="42"/>
      <c r="BQ66" s="42"/>
      <c r="BR66" s="42"/>
      <c r="BS66" s="42"/>
      <c r="BT66" s="42"/>
      <c r="BU66" s="42"/>
      <c r="BV66" s="42"/>
      <c r="BW66" s="42"/>
      <c r="BX66" s="42"/>
      <c r="BY66" s="42"/>
      <c r="BZ66" s="42"/>
      <c r="CA66" s="42"/>
      <c r="CB66" s="42"/>
      <c r="CC66" s="42"/>
      <c r="CD66" s="42"/>
      <c r="CE66" s="42"/>
      <c r="CF66" s="42"/>
      <c r="CG66" s="42"/>
      <c r="CH66" s="42"/>
      <c r="CI66" s="42"/>
      <c r="CJ66" s="42"/>
      <c r="CK66" s="42">
        <v>1</v>
      </c>
      <c r="CL66" s="42"/>
      <c r="CM66" s="42"/>
      <c r="CN66" s="42"/>
      <c r="CO66" s="42"/>
      <c r="CP66" s="42"/>
      <c r="CQ66" s="42"/>
      <c r="CR66" s="42"/>
      <c r="CS66" s="42"/>
      <c r="CT66" s="42"/>
      <c r="CU66" s="42"/>
      <c r="CV66" s="42"/>
      <c r="CW66" s="42"/>
      <c r="CX66" s="42"/>
      <c r="CY66" s="42"/>
      <c r="CZ66" s="42"/>
      <c r="DA66" s="42"/>
      <c r="DB66" s="42"/>
      <c r="DC66" s="42"/>
      <c r="DD66" s="42"/>
      <c r="DE66" s="42"/>
      <c r="DF66" s="42"/>
      <c r="DG66" s="42"/>
      <c r="DH66" s="42"/>
      <c r="DI66" s="42"/>
      <c r="DJ66" s="42"/>
      <c r="DK66" s="42"/>
      <c r="DL66" s="42"/>
      <c r="DM66" s="42"/>
      <c r="DN66" s="42"/>
      <c r="DO66" s="42"/>
      <c r="DP66" s="42"/>
      <c r="DQ66" s="42"/>
      <c r="DR66" s="42"/>
      <c r="DS66" s="44"/>
      <c r="DT66" s="45">
        <f t="shared" ref="DT66" si="48">SUM(F66:DR66)</f>
        <v>1</v>
      </c>
    </row>
    <row r="67" spans="2:124" s="13" customFormat="1" x14ac:dyDescent="0.3">
      <c r="B67" s="4">
        <f>'6.1Personnel List'!B68</f>
        <v>55</v>
      </c>
      <c r="C67" s="105" t="s">
        <v>183</v>
      </c>
      <c r="D67" s="106" t="s">
        <v>101</v>
      </c>
      <c r="E67" s="46">
        <f>'6.1Personnel List'!H145</f>
        <v>0</v>
      </c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42"/>
      <c r="BB67" s="42"/>
      <c r="BC67" s="42"/>
      <c r="BD67" s="42"/>
      <c r="BE67" s="42"/>
      <c r="BF67" s="42"/>
      <c r="BG67" s="42"/>
      <c r="BH67" s="42"/>
      <c r="BJ67" s="42"/>
      <c r="BK67" s="42"/>
      <c r="BL67" s="42"/>
      <c r="BM67" s="42"/>
      <c r="BN67" s="42"/>
      <c r="BO67" s="42"/>
      <c r="BP67" s="42"/>
      <c r="BQ67" s="42"/>
      <c r="BR67" s="42"/>
      <c r="BS67" s="42"/>
      <c r="BT67" s="42"/>
      <c r="BU67" s="42"/>
      <c r="BV67" s="42"/>
      <c r="BW67" s="42"/>
      <c r="BX67" s="42"/>
      <c r="BY67" s="42"/>
      <c r="BZ67" s="42"/>
      <c r="CA67" s="42"/>
      <c r="CB67" s="42"/>
      <c r="CC67" s="42"/>
      <c r="CD67" s="42"/>
      <c r="CE67" s="42"/>
      <c r="CF67" s="42"/>
      <c r="CG67" s="42"/>
      <c r="CH67" s="42"/>
      <c r="CI67" s="42"/>
      <c r="CJ67" s="42"/>
      <c r="CK67" s="42"/>
      <c r="CL67" s="42"/>
      <c r="CM67" s="42"/>
      <c r="CN67" s="42"/>
      <c r="CO67" s="42"/>
      <c r="CP67" s="42"/>
      <c r="CQ67" s="42"/>
      <c r="CR67" s="42"/>
      <c r="CS67" s="42"/>
      <c r="CT67" s="42"/>
      <c r="CU67" s="42">
        <v>1</v>
      </c>
      <c r="CV67" s="42"/>
      <c r="CW67" s="42"/>
      <c r="CX67" s="42"/>
      <c r="CY67" s="42"/>
      <c r="CZ67" s="42"/>
      <c r="DA67" s="42"/>
      <c r="DB67" s="42"/>
      <c r="DC67" s="42"/>
      <c r="DD67" s="42"/>
      <c r="DE67" s="42"/>
      <c r="DF67" s="42"/>
      <c r="DG67" s="42"/>
      <c r="DH67" s="42"/>
      <c r="DI67" s="42"/>
      <c r="DJ67" s="42"/>
      <c r="DK67" s="42"/>
      <c r="DL67" s="42"/>
      <c r="DM67" s="42"/>
      <c r="DN67" s="42"/>
      <c r="DO67" s="42"/>
      <c r="DP67" s="42"/>
      <c r="DQ67" s="42"/>
      <c r="DR67" s="42"/>
      <c r="DS67" s="44"/>
      <c r="DT67" s="45">
        <f t="shared" ref="DT67" si="49">SUM(F67:DR67)</f>
        <v>1</v>
      </c>
    </row>
    <row r="68" spans="2:124" s="13" customFormat="1" x14ac:dyDescent="0.3">
      <c r="B68" s="4">
        <f>'6.1Personnel List'!B69</f>
        <v>56</v>
      </c>
      <c r="C68" s="105" t="s">
        <v>184</v>
      </c>
      <c r="D68" s="106" t="s">
        <v>185</v>
      </c>
      <c r="E68" s="46">
        <f>'6.1Personnel List'!H146</f>
        <v>0</v>
      </c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42"/>
      <c r="BB68" s="42"/>
      <c r="BC68" s="42"/>
      <c r="BD68" s="42"/>
      <c r="BE68" s="42"/>
      <c r="BF68" s="42"/>
      <c r="BG68" s="42"/>
      <c r="BH68" s="42"/>
      <c r="BJ68" s="42"/>
      <c r="BK68" s="42"/>
      <c r="BL68" s="42"/>
      <c r="BM68" s="42"/>
      <c r="BN68" s="42"/>
      <c r="BO68" s="42"/>
      <c r="BP68" s="42"/>
      <c r="BQ68" s="42"/>
      <c r="BR68" s="42"/>
      <c r="BS68" s="42"/>
      <c r="BT68" s="42"/>
      <c r="BU68" s="42"/>
      <c r="BV68" s="42"/>
      <c r="BW68" s="42"/>
      <c r="BX68" s="42"/>
      <c r="BY68" s="42"/>
      <c r="BZ68" s="42"/>
      <c r="CA68" s="42"/>
      <c r="CB68" s="42"/>
      <c r="CC68" s="42"/>
      <c r="CD68" s="42"/>
      <c r="CE68" s="42">
        <v>1</v>
      </c>
      <c r="CF68" s="42"/>
      <c r="CG68" s="42"/>
      <c r="CH68" s="42"/>
      <c r="CI68" s="42"/>
      <c r="CJ68" s="42"/>
      <c r="CK68" s="42"/>
      <c r="CL68" s="42"/>
      <c r="CM68" s="42"/>
      <c r="CN68" s="42"/>
      <c r="CO68" s="42"/>
      <c r="CP68" s="42"/>
      <c r="CQ68" s="42"/>
      <c r="CR68" s="42"/>
      <c r="CS68" s="42"/>
      <c r="CT68" s="42"/>
      <c r="CU68" s="42"/>
      <c r="CV68" s="42"/>
      <c r="CW68" s="42"/>
      <c r="CX68" s="42"/>
      <c r="CY68" s="42"/>
      <c r="CZ68" s="42"/>
      <c r="DA68" s="42"/>
      <c r="DB68" s="42"/>
      <c r="DC68" s="42"/>
      <c r="DD68" s="42"/>
      <c r="DE68" s="42"/>
      <c r="DF68" s="42"/>
      <c r="DG68" s="42"/>
      <c r="DH68" s="42"/>
      <c r="DI68" s="42"/>
      <c r="DJ68" s="42"/>
      <c r="DK68" s="42"/>
      <c r="DL68" s="42"/>
      <c r="DM68" s="42"/>
      <c r="DN68" s="42"/>
      <c r="DO68" s="42"/>
      <c r="DP68" s="42"/>
      <c r="DQ68" s="42"/>
      <c r="DR68" s="42"/>
      <c r="DS68" s="44"/>
      <c r="DT68" s="45">
        <f t="shared" ref="DT68" si="50">SUM(F68:DR68)</f>
        <v>1</v>
      </c>
    </row>
    <row r="69" spans="2:124" s="13" customFormat="1" x14ac:dyDescent="0.3">
      <c r="B69" s="4">
        <f>'6.1Personnel List'!B70</f>
        <v>57</v>
      </c>
      <c r="C69" s="105" t="s">
        <v>186</v>
      </c>
      <c r="D69" s="106" t="s">
        <v>144</v>
      </c>
      <c r="E69" s="46">
        <f>'6.1Personnel List'!H147</f>
        <v>0</v>
      </c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42"/>
      <c r="BB69" s="42"/>
      <c r="BC69" s="42"/>
      <c r="BD69" s="42"/>
      <c r="BE69" s="42"/>
      <c r="BF69" s="42"/>
      <c r="BG69" s="42"/>
      <c r="BH69" s="42"/>
      <c r="BJ69" s="42"/>
      <c r="BK69" s="42"/>
      <c r="BL69" s="42"/>
      <c r="BM69" s="42"/>
      <c r="BN69" s="42"/>
      <c r="BO69" s="42"/>
      <c r="BP69" s="42"/>
      <c r="BQ69" s="42"/>
      <c r="BR69" s="42"/>
      <c r="BS69" s="42"/>
      <c r="BT69" s="42"/>
      <c r="BU69" s="42"/>
      <c r="BV69" s="42"/>
      <c r="BW69" s="42"/>
      <c r="BX69" s="42"/>
      <c r="BY69" s="42"/>
      <c r="BZ69" s="42"/>
      <c r="CA69" s="42"/>
      <c r="CB69" s="42"/>
      <c r="CC69" s="42"/>
      <c r="CD69" s="42"/>
      <c r="CE69" s="42"/>
      <c r="CF69" s="42"/>
      <c r="CG69" s="42"/>
      <c r="CH69" s="42"/>
      <c r="CI69" s="42"/>
      <c r="CJ69" s="42"/>
      <c r="CK69" s="42"/>
      <c r="CL69" s="42"/>
      <c r="CM69" s="42"/>
      <c r="CN69" s="42"/>
      <c r="CO69" s="42"/>
      <c r="CP69" s="42"/>
      <c r="CQ69" s="42"/>
      <c r="CR69" s="42"/>
      <c r="CS69" s="42"/>
      <c r="CT69" s="42"/>
      <c r="CU69" s="42"/>
      <c r="CV69" s="42"/>
      <c r="CW69" s="42">
        <v>1</v>
      </c>
      <c r="CX69" s="42"/>
      <c r="CY69" s="42"/>
      <c r="CZ69" s="42"/>
      <c r="DA69" s="42"/>
      <c r="DB69" s="42"/>
      <c r="DC69" s="42"/>
      <c r="DD69" s="42"/>
      <c r="DE69" s="42"/>
      <c r="DF69" s="42"/>
      <c r="DG69" s="42"/>
      <c r="DH69" s="42"/>
      <c r="DI69" s="42"/>
      <c r="DJ69" s="42"/>
      <c r="DK69" s="42"/>
      <c r="DL69" s="42"/>
      <c r="DM69" s="42"/>
      <c r="DN69" s="42"/>
      <c r="DO69" s="42"/>
      <c r="DP69" s="42"/>
      <c r="DQ69" s="42"/>
      <c r="DR69" s="42"/>
      <c r="DS69" s="44"/>
      <c r="DT69" s="45">
        <f t="shared" ref="DT69" si="51">SUM(F69:DR69)</f>
        <v>1</v>
      </c>
    </row>
    <row r="70" spans="2:124" s="13" customFormat="1" x14ac:dyDescent="0.3">
      <c r="B70" s="4">
        <f>'6.1Personnel List'!B71</f>
        <v>58</v>
      </c>
      <c r="C70" s="105" t="s">
        <v>187</v>
      </c>
      <c r="D70" s="106" t="s">
        <v>144</v>
      </c>
      <c r="E70" s="46">
        <f>'6.1Personnel List'!H148</f>
        <v>0</v>
      </c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42"/>
      <c r="BB70" s="42"/>
      <c r="BC70" s="42"/>
      <c r="BD70" s="42"/>
      <c r="BE70" s="42"/>
      <c r="BF70" s="42"/>
      <c r="BG70" s="42"/>
      <c r="BH70" s="42"/>
      <c r="BJ70" s="42"/>
      <c r="BK70" s="42"/>
      <c r="BL70" s="42"/>
      <c r="BM70" s="42"/>
      <c r="BN70" s="42"/>
      <c r="BO70" s="42"/>
      <c r="BP70" s="42"/>
      <c r="BQ70" s="42"/>
      <c r="BR70" s="42"/>
      <c r="BS70" s="42"/>
      <c r="BT70" s="42"/>
      <c r="BU70" s="42"/>
      <c r="BV70" s="42"/>
      <c r="BW70" s="42"/>
      <c r="BX70" s="42"/>
      <c r="BY70" s="42"/>
      <c r="BZ70" s="42"/>
      <c r="CA70" s="42"/>
      <c r="CB70" s="42"/>
      <c r="CC70" s="42"/>
      <c r="CD70" s="42"/>
      <c r="CE70" s="42"/>
      <c r="CF70" s="42"/>
      <c r="CG70" s="42"/>
      <c r="CH70" s="42"/>
      <c r="CI70" s="42"/>
      <c r="CJ70" s="42"/>
      <c r="CK70" s="42"/>
      <c r="CL70" s="42"/>
      <c r="CM70" s="42"/>
      <c r="CN70" s="42"/>
      <c r="CO70" s="42"/>
      <c r="CP70" s="42"/>
      <c r="CQ70" s="42"/>
      <c r="CR70" s="42"/>
      <c r="CS70" s="42"/>
      <c r="CT70" s="42"/>
      <c r="CU70" s="42"/>
      <c r="CV70" s="42"/>
      <c r="CW70" s="42"/>
      <c r="CX70" s="42"/>
      <c r="CY70" s="42"/>
      <c r="CZ70" s="42"/>
      <c r="DA70" s="42"/>
      <c r="DB70" s="42"/>
      <c r="DC70" s="42"/>
      <c r="DD70" s="42">
        <v>1</v>
      </c>
      <c r="DE70" s="42"/>
      <c r="DF70" s="42"/>
      <c r="DG70" s="42"/>
      <c r="DH70" s="42"/>
      <c r="DI70" s="42"/>
      <c r="DJ70" s="42"/>
      <c r="DK70" s="42"/>
      <c r="DL70" s="42"/>
      <c r="DM70" s="42"/>
      <c r="DN70" s="42"/>
      <c r="DO70" s="42"/>
      <c r="DP70" s="42"/>
      <c r="DQ70" s="42"/>
      <c r="DR70" s="42"/>
      <c r="DS70" s="44"/>
      <c r="DT70" s="45">
        <f t="shared" ref="DT70" si="52">SUM(F70:DR70)</f>
        <v>1</v>
      </c>
    </row>
    <row r="71" spans="2:124" s="13" customFormat="1" x14ac:dyDescent="0.3">
      <c r="B71" s="4">
        <f>'6.1Personnel List'!B72</f>
        <v>59</v>
      </c>
      <c r="C71" s="105" t="s">
        <v>188</v>
      </c>
      <c r="D71" s="106" t="s">
        <v>189</v>
      </c>
      <c r="E71" s="46">
        <f>'6.1Personnel List'!H149</f>
        <v>0</v>
      </c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42"/>
      <c r="BB71" s="42"/>
      <c r="BC71" s="42"/>
      <c r="BD71" s="42"/>
      <c r="BE71" s="42"/>
      <c r="BF71" s="42"/>
      <c r="BG71" s="42"/>
      <c r="BH71" s="42"/>
      <c r="BJ71" s="42"/>
      <c r="BK71" s="42"/>
      <c r="BL71" s="42"/>
      <c r="BM71" s="42"/>
      <c r="BN71" s="42"/>
      <c r="BO71" s="42"/>
      <c r="BP71" s="42"/>
      <c r="BQ71" s="42"/>
      <c r="BR71" s="42"/>
      <c r="BS71" s="42"/>
      <c r="BT71" s="42"/>
      <c r="BU71" s="42"/>
      <c r="BV71" s="42"/>
      <c r="BW71" s="42"/>
      <c r="BX71" s="42"/>
      <c r="BY71" s="42"/>
      <c r="BZ71" s="42"/>
      <c r="CA71" s="42"/>
      <c r="CB71" s="42"/>
      <c r="CC71" s="42"/>
      <c r="CD71" s="42"/>
      <c r="CE71" s="42"/>
      <c r="CF71" s="42"/>
      <c r="CG71" s="42">
        <v>1</v>
      </c>
      <c r="CH71" s="42"/>
      <c r="CI71" s="42"/>
      <c r="CJ71" s="42"/>
      <c r="CK71" s="42"/>
      <c r="CL71" s="42"/>
      <c r="CM71" s="42"/>
      <c r="CN71" s="42"/>
      <c r="CO71" s="42"/>
      <c r="CP71" s="42"/>
      <c r="CQ71" s="42"/>
      <c r="CR71" s="42"/>
      <c r="CS71" s="42"/>
      <c r="CT71" s="42"/>
      <c r="CU71" s="42"/>
      <c r="CV71" s="42"/>
      <c r="CW71" s="42"/>
      <c r="CX71" s="42"/>
      <c r="CY71" s="42"/>
      <c r="CZ71" s="42"/>
      <c r="DA71" s="42"/>
      <c r="DB71" s="42"/>
      <c r="DC71" s="42"/>
      <c r="DD71" s="42"/>
      <c r="DE71" s="42"/>
      <c r="DF71" s="42"/>
      <c r="DG71" s="42"/>
      <c r="DH71" s="42"/>
      <c r="DI71" s="42"/>
      <c r="DJ71" s="42"/>
      <c r="DK71" s="42"/>
      <c r="DL71" s="42"/>
      <c r="DM71" s="42"/>
      <c r="DN71" s="42"/>
      <c r="DO71" s="42"/>
      <c r="DP71" s="42"/>
      <c r="DQ71" s="42"/>
      <c r="DR71" s="42"/>
      <c r="DS71" s="44"/>
      <c r="DT71" s="45">
        <f t="shared" ref="DT71" si="53">SUM(F71:DR71)</f>
        <v>1</v>
      </c>
    </row>
    <row r="72" spans="2:124" s="13" customFormat="1" x14ac:dyDescent="0.3">
      <c r="B72" s="4">
        <f>'6.1Personnel List'!B73</f>
        <v>60</v>
      </c>
      <c r="C72" s="105" t="s">
        <v>190</v>
      </c>
      <c r="D72" s="106" t="s">
        <v>166</v>
      </c>
      <c r="E72" s="46">
        <f>'6.1Personnel List'!H150</f>
        <v>0</v>
      </c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42"/>
      <c r="BB72" s="42"/>
      <c r="BC72" s="42"/>
      <c r="BD72" s="42"/>
      <c r="BE72" s="42"/>
      <c r="BF72" s="42"/>
      <c r="BG72" s="42"/>
      <c r="BH72" s="42"/>
      <c r="BJ72" s="42"/>
      <c r="BK72" s="42"/>
      <c r="BL72" s="42"/>
      <c r="BM72" s="42"/>
      <c r="BN72" s="42"/>
      <c r="BO72" s="42"/>
      <c r="BP72" s="42"/>
      <c r="BQ72" s="42"/>
      <c r="BR72" s="42"/>
      <c r="BS72" s="42"/>
      <c r="BT72" s="42"/>
      <c r="BU72" s="42"/>
      <c r="BV72" s="42"/>
      <c r="BW72" s="42"/>
      <c r="BX72" s="42"/>
      <c r="BY72" s="42"/>
      <c r="BZ72" s="42"/>
      <c r="CA72" s="42"/>
      <c r="CB72" s="42"/>
      <c r="CC72" s="42"/>
      <c r="CD72" s="42"/>
      <c r="CE72" s="42"/>
      <c r="CF72" s="42"/>
      <c r="CG72" s="42"/>
      <c r="CH72" s="42">
        <v>1</v>
      </c>
      <c r="CI72" s="42"/>
      <c r="CJ72" s="42"/>
      <c r="CK72" s="42"/>
      <c r="CL72" s="42"/>
      <c r="CM72" s="42"/>
      <c r="CN72" s="42"/>
      <c r="CO72" s="42"/>
      <c r="CP72" s="42"/>
      <c r="CQ72" s="42"/>
      <c r="CR72" s="42"/>
      <c r="CS72" s="42"/>
      <c r="CT72" s="42"/>
      <c r="CU72" s="42"/>
      <c r="CV72" s="42"/>
      <c r="CW72" s="42"/>
      <c r="CX72" s="42"/>
      <c r="CY72" s="42"/>
      <c r="CZ72" s="42"/>
      <c r="DA72" s="42"/>
      <c r="DB72" s="42"/>
      <c r="DC72" s="42"/>
      <c r="DD72" s="42"/>
      <c r="DE72" s="42"/>
      <c r="DF72" s="42"/>
      <c r="DG72" s="42"/>
      <c r="DH72" s="42"/>
      <c r="DI72" s="42"/>
      <c r="DJ72" s="42"/>
      <c r="DK72" s="42"/>
      <c r="DL72" s="42"/>
      <c r="DM72" s="42"/>
      <c r="DN72" s="42"/>
      <c r="DO72" s="42"/>
      <c r="DP72" s="42"/>
      <c r="DQ72" s="42"/>
      <c r="DR72" s="42"/>
      <c r="DS72" s="44"/>
      <c r="DT72" s="45">
        <f t="shared" ref="DT72" si="54">SUM(F72:DR72)</f>
        <v>1</v>
      </c>
    </row>
    <row r="73" spans="2:124" s="13" customFormat="1" x14ac:dyDescent="0.3">
      <c r="B73" s="4">
        <f>'6.1Personnel List'!B74</f>
        <v>61</v>
      </c>
      <c r="C73" s="105" t="s">
        <v>191</v>
      </c>
      <c r="D73" s="106" t="s">
        <v>101</v>
      </c>
      <c r="E73" s="46">
        <f>'6.1Personnel List'!H151</f>
        <v>0</v>
      </c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42"/>
      <c r="BB73" s="42"/>
      <c r="BC73" s="42"/>
      <c r="BD73" s="42"/>
      <c r="BE73" s="42"/>
      <c r="BF73" s="42"/>
      <c r="BG73" s="42"/>
      <c r="BH73" s="42"/>
      <c r="BJ73" s="42"/>
      <c r="BK73" s="42"/>
      <c r="BL73" s="42"/>
      <c r="BM73" s="42"/>
      <c r="BN73" s="42"/>
      <c r="BO73" s="42"/>
      <c r="BP73" s="42"/>
      <c r="BQ73" s="42"/>
      <c r="BR73" s="42"/>
      <c r="BS73" s="42"/>
      <c r="BT73" s="42"/>
      <c r="BU73" s="42"/>
      <c r="BV73" s="42"/>
      <c r="BW73" s="42"/>
      <c r="BX73" s="42"/>
      <c r="BY73" s="42"/>
      <c r="BZ73" s="42"/>
      <c r="CA73" s="42"/>
      <c r="CB73" s="42"/>
      <c r="CC73" s="42"/>
      <c r="CD73" s="42"/>
      <c r="CE73" s="42"/>
      <c r="CF73" s="42"/>
      <c r="CG73" s="42"/>
      <c r="CH73" s="42"/>
      <c r="CI73" s="42"/>
      <c r="CJ73" s="42"/>
      <c r="CK73" s="42"/>
      <c r="CL73" s="42"/>
      <c r="CM73" s="42"/>
      <c r="CN73" s="42"/>
      <c r="CO73" s="42"/>
      <c r="CP73" s="42"/>
      <c r="CQ73" s="42"/>
      <c r="CR73" s="42"/>
      <c r="CS73" s="42"/>
      <c r="CT73" s="42"/>
      <c r="CU73" s="42"/>
      <c r="CV73" s="42"/>
      <c r="CW73" s="42"/>
      <c r="CX73" s="42"/>
      <c r="CY73" s="42"/>
      <c r="CZ73" s="42"/>
      <c r="DA73" s="42"/>
      <c r="DB73" s="42"/>
      <c r="DC73" s="42"/>
      <c r="DD73" s="42">
        <v>1</v>
      </c>
      <c r="DE73" s="42"/>
      <c r="DF73" s="42"/>
      <c r="DG73" s="42"/>
      <c r="DH73" s="42"/>
      <c r="DI73" s="42"/>
      <c r="DJ73" s="42"/>
      <c r="DK73" s="42"/>
      <c r="DL73" s="42"/>
      <c r="DM73" s="42"/>
      <c r="DN73" s="42"/>
      <c r="DO73" s="42"/>
      <c r="DP73" s="42"/>
      <c r="DQ73" s="42"/>
      <c r="DR73" s="42"/>
      <c r="DS73" s="44"/>
      <c r="DT73" s="45">
        <f t="shared" ref="DT73" si="55">SUM(F73:DR73)</f>
        <v>1</v>
      </c>
    </row>
    <row r="74" spans="2:124" s="13" customFormat="1" x14ac:dyDescent="0.3">
      <c r="B74" s="4">
        <f>'6.1Personnel List'!B75</f>
        <v>62</v>
      </c>
      <c r="C74" s="105" t="s">
        <v>192</v>
      </c>
      <c r="D74" s="106" t="s">
        <v>121</v>
      </c>
      <c r="E74" s="46">
        <f>'6.1Personnel List'!H152</f>
        <v>0</v>
      </c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42"/>
      <c r="BB74" s="42"/>
      <c r="BC74" s="42"/>
      <c r="BD74" s="42"/>
      <c r="BE74" s="42"/>
      <c r="BF74" s="42"/>
      <c r="BG74" s="42"/>
      <c r="BH74" s="42"/>
      <c r="BJ74" s="42"/>
      <c r="BK74" s="42"/>
      <c r="BL74" s="42"/>
      <c r="BM74" s="42"/>
      <c r="BN74" s="42"/>
      <c r="BO74" s="42"/>
      <c r="BP74" s="42"/>
      <c r="BQ74" s="42"/>
      <c r="BR74" s="42"/>
      <c r="BS74" s="42"/>
      <c r="BT74" s="42"/>
      <c r="BU74" s="42"/>
      <c r="BV74" s="42"/>
      <c r="BW74" s="42">
        <v>1</v>
      </c>
      <c r="BX74" s="42"/>
      <c r="BY74" s="42"/>
      <c r="BZ74" s="42"/>
      <c r="CA74" s="42"/>
      <c r="CB74" s="42"/>
      <c r="CC74" s="42"/>
      <c r="CD74" s="42"/>
      <c r="CE74" s="42"/>
      <c r="CF74" s="42"/>
      <c r="CG74" s="42"/>
      <c r="CH74" s="42"/>
      <c r="CI74" s="42"/>
      <c r="CJ74" s="42"/>
      <c r="CK74" s="42"/>
      <c r="CL74" s="42"/>
      <c r="CM74" s="42"/>
      <c r="CN74" s="42"/>
      <c r="CO74" s="42"/>
      <c r="CP74" s="42"/>
      <c r="CQ74" s="42"/>
      <c r="CR74" s="42"/>
      <c r="CS74" s="42"/>
      <c r="CT74" s="42"/>
      <c r="CU74" s="42"/>
      <c r="CV74" s="42"/>
      <c r="CW74" s="42"/>
      <c r="CX74" s="42"/>
      <c r="CY74" s="42"/>
      <c r="CZ74" s="42"/>
      <c r="DA74" s="42"/>
      <c r="DB74" s="42"/>
      <c r="DC74" s="42"/>
      <c r="DD74" s="42"/>
      <c r="DE74" s="42"/>
      <c r="DF74" s="42"/>
      <c r="DG74" s="42"/>
      <c r="DH74" s="42"/>
      <c r="DI74" s="42"/>
      <c r="DJ74" s="42"/>
      <c r="DK74" s="42"/>
      <c r="DL74" s="42"/>
      <c r="DM74" s="42"/>
      <c r="DN74" s="42"/>
      <c r="DO74" s="42"/>
      <c r="DP74" s="42"/>
      <c r="DQ74" s="42"/>
      <c r="DR74" s="42"/>
      <c r="DS74" s="44"/>
      <c r="DT74" s="45">
        <f t="shared" ref="DT74" si="56">SUM(F74:DR74)</f>
        <v>1</v>
      </c>
    </row>
    <row r="75" spans="2:124" s="13" customFormat="1" x14ac:dyDescent="0.3">
      <c r="B75" s="4">
        <f>'6.1Personnel List'!B76</f>
        <v>63</v>
      </c>
      <c r="C75" s="105" t="s">
        <v>193</v>
      </c>
      <c r="D75" s="106" t="s">
        <v>125</v>
      </c>
      <c r="E75" s="46">
        <f>'6.1Personnel List'!H153</f>
        <v>0</v>
      </c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42"/>
      <c r="BB75" s="42"/>
      <c r="BC75" s="42"/>
      <c r="BD75" s="42"/>
      <c r="BE75" s="42"/>
      <c r="BF75" s="42"/>
      <c r="BG75" s="42"/>
      <c r="BH75" s="42"/>
      <c r="BJ75" s="42"/>
      <c r="BK75" s="42"/>
      <c r="BL75" s="42"/>
      <c r="BM75" s="42"/>
      <c r="BN75" s="42"/>
      <c r="BO75" s="42"/>
      <c r="BP75" s="42"/>
      <c r="BQ75" s="42"/>
      <c r="BR75" s="42"/>
      <c r="BS75" s="42"/>
      <c r="BT75" s="42"/>
      <c r="BU75" s="42"/>
      <c r="BV75" s="42"/>
      <c r="BW75" s="42"/>
      <c r="BX75" s="42"/>
      <c r="BY75" s="42"/>
      <c r="BZ75" s="42"/>
      <c r="CA75" s="42"/>
      <c r="CB75" s="42"/>
      <c r="CC75" s="42"/>
      <c r="CD75" s="42"/>
      <c r="CE75" s="42"/>
      <c r="CF75" s="42"/>
      <c r="CG75" s="42"/>
      <c r="CH75" s="42"/>
      <c r="CI75" s="42"/>
      <c r="CJ75" s="42"/>
      <c r="CK75" s="42"/>
      <c r="CL75" s="42"/>
      <c r="CM75" s="42"/>
      <c r="CN75" s="42"/>
      <c r="CO75" s="42"/>
      <c r="CP75" s="42"/>
      <c r="CQ75" s="42"/>
      <c r="CR75" s="42"/>
      <c r="CS75" s="42"/>
      <c r="CT75" s="42"/>
      <c r="CU75" s="42"/>
      <c r="CV75" s="42"/>
      <c r="CW75" s="42"/>
      <c r="CX75" s="42"/>
      <c r="CY75" s="42"/>
      <c r="CZ75" s="42"/>
      <c r="DA75" s="42"/>
      <c r="DB75" s="42"/>
      <c r="DC75" s="42"/>
      <c r="DD75" s="42">
        <v>1</v>
      </c>
      <c r="DE75" s="42"/>
      <c r="DF75" s="42"/>
      <c r="DG75" s="42"/>
      <c r="DH75" s="42"/>
      <c r="DI75" s="42"/>
      <c r="DJ75" s="42"/>
      <c r="DK75" s="42"/>
      <c r="DL75" s="42"/>
      <c r="DM75" s="42"/>
      <c r="DN75" s="42"/>
      <c r="DO75" s="42"/>
      <c r="DP75" s="42"/>
      <c r="DQ75" s="42"/>
      <c r="DR75" s="42"/>
      <c r="DS75" s="44"/>
      <c r="DT75" s="45">
        <f t="shared" ref="DT75" si="57">SUM(F75:DR75)</f>
        <v>1</v>
      </c>
    </row>
    <row r="76" spans="2:124" s="13" customFormat="1" x14ac:dyDescent="0.3">
      <c r="B76" s="4">
        <f>'6.1Personnel List'!B77</f>
        <v>64</v>
      </c>
      <c r="C76" s="105" t="s">
        <v>194</v>
      </c>
      <c r="D76" s="106" t="s">
        <v>101</v>
      </c>
      <c r="E76" s="46">
        <f>'6.1Personnel List'!H154</f>
        <v>0</v>
      </c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42"/>
      <c r="BB76" s="42"/>
      <c r="BC76" s="42"/>
      <c r="BD76" s="42"/>
      <c r="BE76" s="42"/>
      <c r="BF76" s="42"/>
      <c r="BG76" s="42"/>
      <c r="BH76" s="42"/>
      <c r="BJ76" s="42"/>
      <c r="BK76" s="42"/>
      <c r="BL76" s="42"/>
      <c r="BM76" s="42"/>
      <c r="BN76" s="42"/>
      <c r="BO76" s="42"/>
      <c r="BP76" s="42"/>
      <c r="BQ76" s="42"/>
      <c r="BR76" s="42"/>
      <c r="BS76" s="42"/>
      <c r="BT76" s="42"/>
      <c r="BU76" s="42"/>
      <c r="BV76" s="42"/>
      <c r="BW76" s="42"/>
      <c r="BX76" s="42"/>
      <c r="BY76" s="42"/>
      <c r="BZ76" s="42"/>
      <c r="CA76" s="42"/>
      <c r="CB76" s="42"/>
      <c r="CC76" s="42"/>
      <c r="CD76" s="42"/>
      <c r="CE76" s="42"/>
      <c r="CF76" s="42"/>
      <c r="CG76" s="42"/>
      <c r="CH76" s="42"/>
      <c r="CI76" s="42"/>
      <c r="CJ76" s="42"/>
      <c r="CK76" s="42"/>
      <c r="CL76" s="42"/>
      <c r="CM76" s="42"/>
      <c r="CN76" s="42"/>
      <c r="CO76" s="42"/>
      <c r="CP76" s="42"/>
      <c r="CQ76" s="42"/>
      <c r="CR76" s="42"/>
      <c r="CS76" s="42"/>
      <c r="CT76" s="42"/>
      <c r="CU76" s="42"/>
      <c r="CV76" s="42"/>
      <c r="CW76" s="42"/>
      <c r="CX76" s="42"/>
      <c r="CY76" s="42"/>
      <c r="CZ76" s="42"/>
      <c r="DA76" s="42"/>
      <c r="DB76" s="42"/>
      <c r="DC76" s="42"/>
      <c r="DD76" s="42">
        <v>1</v>
      </c>
      <c r="DE76" s="42"/>
      <c r="DF76" s="42"/>
      <c r="DG76" s="42"/>
      <c r="DH76" s="42"/>
      <c r="DI76" s="42"/>
      <c r="DJ76" s="42"/>
      <c r="DK76" s="42"/>
      <c r="DL76" s="42"/>
      <c r="DM76" s="42"/>
      <c r="DN76" s="42"/>
      <c r="DO76" s="42"/>
      <c r="DP76" s="42"/>
      <c r="DQ76" s="42"/>
      <c r="DR76" s="42"/>
      <c r="DS76" s="44"/>
      <c r="DT76" s="45">
        <f t="shared" ref="DT76" si="58">SUM(F76:DR76)</f>
        <v>1</v>
      </c>
    </row>
    <row r="77" spans="2:124" s="13" customFormat="1" x14ac:dyDescent="0.3">
      <c r="B77" s="4">
        <f>'6.1Personnel List'!B78</f>
        <v>65</v>
      </c>
      <c r="C77" s="105" t="s">
        <v>195</v>
      </c>
      <c r="D77" s="106" t="s">
        <v>196</v>
      </c>
      <c r="E77" s="46">
        <f>'6.1Personnel List'!H155</f>
        <v>0</v>
      </c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42"/>
      <c r="BB77" s="42"/>
      <c r="BC77" s="42"/>
      <c r="BD77" s="42"/>
      <c r="BE77" s="42"/>
      <c r="BF77" s="42"/>
      <c r="BG77" s="42"/>
      <c r="BH77" s="42"/>
      <c r="BJ77" s="42"/>
      <c r="BK77" s="42"/>
      <c r="BL77" s="42"/>
      <c r="BM77" s="42"/>
      <c r="BN77" s="42"/>
      <c r="BO77" s="42"/>
      <c r="BP77" s="42"/>
      <c r="BQ77" s="42"/>
      <c r="BR77" s="42"/>
      <c r="BS77" s="42"/>
      <c r="BT77" s="42"/>
      <c r="BU77" s="42"/>
      <c r="BV77" s="42"/>
      <c r="BW77" s="42"/>
      <c r="BX77" s="42"/>
      <c r="BY77" s="42"/>
      <c r="BZ77" s="42"/>
      <c r="CA77" s="42"/>
      <c r="CB77" s="42"/>
      <c r="CC77" s="42"/>
      <c r="CD77" s="42"/>
      <c r="CE77" s="42"/>
      <c r="CF77" s="42"/>
      <c r="CG77" s="42"/>
      <c r="CH77" s="42">
        <v>1</v>
      </c>
      <c r="CI77" s="42"/>
      <c r="CJ77" s="42"/>
      <c r="CK77" s="42"/>
      <c r="CL77" s="42"/>
      <c r="CM77" s="42"/>
      <c r="CN77" s="42"/>
      <c r="CO77" s="42"/>
      <c r="CP77" s="42"/>
      <c r="CQ77" s="42"/>
      <c r="CR77" s="42"/>
      <c r="CS77" s="42"/>
      <c r="CT77" s="42"/>
      <c r="CU77" s="42"/>
      <c r="CV77" s="42"/>
      <c r="CW77" s="42"/>
      <c r="CX77" s="42"/>
      <c r="CY77" s="42"/>
      <c r="CZ77" s="42"/>
      <c r="DA77" s="42"/>
      <c r="DB77" s="42"/>
      <c r="DC77" s="42"/>
      <c r="DD77" s="42"/>
      <c r="DE77" s="42"/>
      <c r="DF77" s="42"/>
      <c r="DG77" s="42"/>
      <c r="DH77" s="42"/>
      <c r="DI77" s="42"/>
      <c r="DJ77" s="42"/>
      <c r="DK77" s="42"/>
      <c r="DL77" s="42"/>
      <c r="DM77" s="42"/>
      <c r="DN77" s="42"/>
      <c r="DO77" s="42"/>
      <c r="DP77" s="42"/>
      <c r="DQ77" s="42"/>
      <c r="DR77" s="42"/>
      <c r="DS77" s="44"/>
      <c r="DT77" s="45">
        <f t="shared" ref="DT77" si="59">SUM(F77:DR77)</f>
        <v>1</v>
      </c>
    </row>
    <row r="78" spans="2:124" s="13" customFormat="1" x14ac:dyDescent="0.3">
      <c r="B78" s="4">
        <f>'6.1Personnel List'!B79</f>
        <v>66</v>
      </c>
      <c r="C78" s="105" t="s">
        <v>197</v>
      </c>
      <c r="D78" s="106" t="s">
        <v>198</v>
      </c>
      <c r="E78" s="46">
        <f>'6.1Personnel List'!H156</f>
        <v>0</v>
      </c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42"/>
      <c r="BB78" s="42"/>
      <c r="BC78" s="42"/>
      <c r="BD78" s="42"/>
      <c r="BE78" s="42"/>
      <c r="BF78" s="42"/>
      <c r="BG78" s="42"/>
      <c r="BH78" s="42"/>
      <c r="BJ78" s="42"/>
      <c r="BK78" s="42"/>
      <c r="BL78" s="42"/>
      <c r="BM78" s="42"/>
      <c r="BN78" s="42"/>
      <c r="BO78" s="42"/>
      <c r="BP78" s="42"/>
      <c r="BQ78" s="42"/>
      <c r="BR78" s="42"/>
      <c r="BS78" s="42"/>
      <c r="BT78" s="42"/>
      <c r="BU78" s="42"/>
      <c r="BV78" s="42"/>
      <c r="BW78" s="42"/>
      <c r="BX78" s="42"/>
      <c r="BY78" s="42"/>
      <c r="BZ78" s="42"/>
      <c r="CA78" s="42"/>
      <c r="CB78" s="42"/>
      <c r="CC78" s="42"/>
      <c r="CD78" s="42"/>
      <c r="CE78" s="42"/>
      <c r="CF78" s="42"/>
      <c r="CG78" s="42"/>
      <c r="CH78" s="42"/>
      <c r="CI78" s="42"/>
      <c r="CJ78" s="42"/>
      <c r="CK78" s="42"/>
      <c r="CL78" s="42"/>
      <c r="CM78" s="42"/>
      <c r="CN78" s="42"/>
      <c r="CO78" s="42"/>
      <c r="CP78" s="42"/>
      <c r="CQ78" s="42"/>
      <c r="CR78" s="42"/>
      <c r="CS78" s="42"/>
      <c r="CT78" s="42"/>
      <c r="CU78" s="42">
        <v>0.5</v>
      </c>
      <c r="CV78" s="42"/>
      <c r="CW78" s="42"/>
      <c r="CX78" s="42"/>
      <c r="CY78" s="42"/>
      <c r="CZ78" s="42"/>
      <c r="DA78" s="42"/>
      <c r="DB78" s="42"/>
      <c r="DC78" s="42"/>
      <c r="DD78" s="42"/>
      <c r="DE78" s="42"/>
      <c r="DF78" s="42"/>
      <c r="DG78" s="42"/>
      <c r="DH78" s="42"/>
      <c r="DI78" s="42"/>
      <c r="DJ78" s="42"/>
      <c r="DK78" s="42"/>
      <c r="DL78" s="42"/>
      <c r="DM78" s="42"/>
      <c r="DN78" s="42">
        <v>0.5</v>
      </c>
      <c r="DO78" s="42"/>
      <c r="DP78" s="42"/>
      <c r="DQ78" s="42"/>
      <c r="DR78" s="42"/>
      <c r="DS78" s="44"/>
      <c r="DT78" s="45">
        <f t="shared" ref="DT78" si="60">SUM(F78:DR78)</f>
        <v>1</v>
      </c>
    </row>
    <row r="79" spans="2:124" s="13" customFormat="1" x14ac:dyDescent="0.3">
      <c r="B79" s="4">
        <f>'6.1Personnel List'!B80</f>
        <v>67</v>
      </c>
      <c r="C79" s="105" t="s">
        <v>199</v>
      </c>
      <c r="D79" s="106" t="s">
        <v>200</v>
      </c>
      <c r="E79" s="46">
        <f>'6.1Personnel List'!H157</f>
        <v>0</v>
      </c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42"/>
      <c r="BB79" s="42"/>
      <c r="BC79" s="42"/>
      <c r="BD79" s="42"/>
      <c r="BE79" s="42"/>
      <c r="BF79" s="42"/>
      <c r="BG79" s="42"/>
      <c r="BH79" s="42"/>
      <c r="BJ79" s="42"/>
      <c r="BK79" s="42"/>
      <c r="BL79" s="42"/>
      <c r="BM79" s="42"/>
      <c r="BN79" s="42"/>
      <c r="BO79" s="42"/>
      <c r="BP79" s="42"/>
      <c r="BQ79" s="42"/>
      <c r="BR79" s="42"/>
      <c r="BS79" s="42"/>
      <c r="BT79" s="42"/>
      <c r="BU79" s="42">
        <v>1</v>
      </c>
      <c r="BV79" s="42"/>
      <c r="BW79" s="42"/>
      <c r="BX79" s="42"/>
      <c r="BY79" s="42"/>
      <c r="BZ79" s="42"/>
      <c r="CA79" s="42"/>
      <c r="CB79" s="42"/>
      <c r="CC79" s="42"/>
      <c r="CD79" s="42"/>
      <c r="CE79" s="42"/>
      <c r="CF79" s="42"/>
      <c r="CG79" s="42"/>
      <c r="CH79" s="42"/>
      <c r="CI79" s="42"/>
      <c r="CJ79" s="42"/>
      <c r="CK79" s="42"/>
      <c r="CL79" s="42"/>
      <c r="CM79" s="42"/>
      <c r="CN79" s="42"/>
      <c r="CO79" s="42"/>
      <c r="CP79" s="42"/>
      <c r="CQ79" s="42"/>
      <c r="CR79" s="42"/>
      <c r="CS79" s="42"/>
      <c r="CT79" s="42"/>
      <c r="CU79" s="42"/>
      <c r="CV79" s="42"/>
      <c r="CW79" s="42"/>
      <c r="CX79" s="42"/>
      <c r="CY79" s="42"/>
      <c r="CZ79" s="42"/>
      <c r="DA79" s="42"/>
      <c r="DB79" s="42"/>
      <c r="DC79" s="42"/>
      <c r="DD79" s="42"/>
      <c r="DE79" s="42"/>
      <c r="DF79" s="42"/>
      <c r="DG79" s="42"/>
      <c r="DH79" s="42"/>
      <c r="DI79" s="42"/>
      <c r="DJ79" s="42"/>
      <c r="DK79" s="42"/>
      <c r="DL79" s="42"/>
      <c r="DM79" s="42"/>
      <c r="DN79" s="42"/>
      <c r="DO79" s="42"/>
      <c r="DP79" s="42"/>
      <c r="DQ79" s="42"/>
      <c r="DR79" s="42"/>
      <c r="DS79" s="44"/>
      <c r="DT79" s="45">
        <f t="shared" ref="DT79" si="61">SUM(F79:DR79)</f>
        <v>1</v>
      </c>
    </row>
    <row r="80" spans="2:124" s="13" customFormat="1" x14ac:dyDescent="0.3">
      <c r="B80" s="4">
        <f>'6.1Personnel List'!B81</f>
        <v>68</v>
      </c>
      <c r="C80" s="105" t="s">
        <v>201</v>
      </c>
      <c r="D80" s="106" t="s">
        <v>101</v>
      </c>
      <c r="E80" s="46">
        <f>'6.1Personnel List'!H158</f>
        <v>0</v>
      </c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42"/>
      <c r="BB80" s="42"/>
      <c r="BC80" s="42"/>
      <c r="BD80" s="42"/>
      <c r="BE80" s="42"/>
      <c r="BF80" s="42"/>
      <c r="BG80" s="42"/>
      <c r="BH80" s="42"/>
      <c r="BJ80" s="42"/>
      <c r="BK80" s="42"/>
      <c r="BL80" s="42"/>
      <c r="BM80" s="42"/>
      <c r="BN80" s="42"/>
      <c r="BO80" s="42"/>
      <c r="BP80" s="42"/>
      <c r="BQ80" s="42"/>
      <c r="BR80" s="42"/>
      <c r="BS80" s="42"/>
      <c r="BT80" s="42"/>
      <c r="BU80" s="42"/>
      <c r="BV80" s="42"/>
      <c r="BW80" s="42"/>
      <c r="BX80" s="42"/>
      <c r="BY80" s="42"/>
      <c r="BZ80" s="42"/>
      <c r="CA80" s="42"/>
      <c r="CB80" s="42"/>
      <c r="CC80" s="42"/>
      <c r="CD80" s="42"/>
      <c r="CE80" s="42"/>
      <c r="CF80" s="42"/>
      <c r="CG80" s="42"/>
      <c r="CH80" s="42"/>
      <c r="CI80" s="42"/>
      <c r="CJ80" s="42"/>
      <c r="CK80" s="42"/>
      <c r="CL80" s="42"/>
      <c r="CM80" s="42"/>
      <c r="CN80" s="42"/>
      <c r="CO80" s="42"/>
      <c r="CP80" s="42"/>
      <c r="CQ80" s="42"/>
      <c r="CR80" s="42"/>
      <c r="CS80" s="42"/>
      <c r="CT80" s="42"/>
      <c r="CU80" s="42">
        <v>1</v>
      </c>
      <c r="CV80" s="42"/>
      <c r="CW80" s="42"/>
      <c r="CX80" s="42"/>
      <c r="CY80" s="42"/>
      <c r="CZ80" s="42"/>
      <c r="DA80" s="42"/>
      <c r="DB80" s="42"/>
      <c r="DC80" s="42"/>
      <c r="DD80" s="42"/>
      <c r="DE80" s="42"/>
      <c r="DF80" s="42"/>
      <c r="DG80" s="42"/>
      <c r="DH80" s="42"/>
      <c r="DI80" s="42"/>
      <c r="DJ80" s="42"/>
      <c r="DK80" s="42"/>
      <c r="DL80" s="42"/>
      <c r="DM80" s="42"/>
      <c r="DN80" s="42"/>
      <c r="DO80" s="42"/>
      <c r="DP80" s="42"/>
      <c r="DQ80" s="42"/>
      <c r="DR80" s="42"/>
      <c r="DS80" s="44"/>
      <c r="DT80" s="45">
        <f t="shared" ref="DT80" si="62">SUM(F80:DR80)</f>
        <v>1</v>
      </c>
    </row>
    <row r="81" spans="2:124" s="13" customFormat="1" x14ac:dyDescent="0.3">
      <c r="B81" s="4">
        <f>'6.1Personnel List'!B82</f>
        <v>69</v>
      </c>
      <c r="C81" s="105" t="s">
        <v>202</v>
      </c>
      <c r="D81" s="106" t="s">
        <v>125</v>
      </c>
      <c r="E81" s="46">
        <f>'6.1Personnel List'!H159</f>
        <v>0</v>
      </c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42"/>
      <c r="BB81" s="42"/>
      <c r="BC81" s="42"/>
      <c r="BD81" s="42"/>
      <c r="BE81" s="42"/>
      <c r="BF81" s="42"/>
      <c r="BG81" s="42"/>
      <c r="BH81" s="42"/>
      <c r="BJ81" s="42"/>
      <c r="BK81" s="42"/>
      <c r="BL81" s="42"/>
      <c r="BM81" s="42"/>
      <c r="BN81" s="42"/>
      <c r="BO81" s="42"/>
      <c r="BP81" s="42"/>
      <c r="BQ81" s="42"/>
      <c r="BR81" s="42"/>
      <c r="BS81" s="42"/>
      <c r="BT81" s="42"/>
      <c r="BU81" s="42"/>
      <c r="BV81" s="42"/>
      <c r="BW81" s="42"/>
      <c r="BX81" s="42"/>
      <c r="BY81" s="42"/>
      <c r="BZ81" s="42"/>
      <c r="CA81" s="42"/>
      <c r="CB81" s="42"/>
      <c r="CC81" s="42"/>
      <c r="CD81" s="42"/>
      <c r="CE81" s="42"/>
      <c r="CF81" s="42"/>
      <c r="CG81" s="42"/>
      <c r="CH81" s="42"/>
      <c r="CI81" s="42"/>
      <c r="CJ81" s="42"/>
      <c r="CK81" s="42"/>
      <c r="CL81" s="42"/>
      <c r="CM81" s="42"/>
      <c r="CN81" s="42"/>
      <c r="CO81" s="42"/>
      <c r="CP81" s="42"/>
      <c r="CQ81" s="42"/>
      <c r="CR81" s="42"/>
      <c r="CS81" s="42"/>
      <c r="CT81" s="42"/>
      <c r="CU81" s="42">
        <v>1</v>
      </c>
      <c r="CV81" s="42"/>
      <c r="CW81" s="42"/>
      <c r="CX81" s="42"/>
      <c r="CY81" s="42"/>
      <c r="CZ81" s="42"/>
      <c r="DA81" s="42"/>
      <c r="DB81" s="42"/>
      <c r="DC81" s="42"/>
      <c r="DD81" s="42"/>
      <c r="DE81" s="42"/>
      <c r="DF81" s="42"/>
      <c r="DG81" s="42"/>
      <c r="DH81" s="42"/>
      <c r="DI81" s="42"/>
      <c r="DJ81" s="42"/>
      <c r="DK81" s="42"/>
      <c r="DL81" s="42"/>
      <c r="DM81" s="42"/>
      <c r="DN81" s="42"/>
      <c r="DO81" s="42"/>
      <c r="DP81" s="42"/>
      <c r="DQ81" s="42"/>
      <c r="DR81" s="42"/>
      <c r="DS81" s="44"/>
      <c r="DT81" s="45">
        <f t="shared" ref="DT81" si="63">SUM(F81:DR81)</f>
        <v>1</v>
      </c>
    </row>
    <row r="82" spans="2:124" s="13" customFormat="1" x14ac:dyDescent="0.3">
      <c r="B82" s="4">
        <f>'6.1Personnel List'!B83</f>
        <v>70</v>
      </c>
      <c r="C82" s="105" t="s">
        <v>203</v>
      </c>
      <c r="D82" s="106" t="s">
        <v>156</v>
      </c>
      <c r="E82" s="46">
        <f>'6.1Personnel List'!H160</f>
        <v>0</v>
      </c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42"/>
      <c r="BB82" s="42"/>
      <c r="BC82" s="42"/>
      <c r="BD82" s="42"/>
      <c r="BE82" s="42"/>
      <c r="BF82" s="42"/>
      <c r="BG82" s="42"/>
      <c r="BH82" s="42"/>
      <c r="BJ82" s="42"/>
      <c r="BK82" s="42"/>
      <c r="BL82" s="42"/>
      <c r="BM82" s="42"/>
      <c r="BN82" s="42"/>
      <c r="BO82" s="42"/>
      <c r="BP82" s="42"/>
      <c r="BQ82" s="42"/>
      <c r="BR82" s="42"/>
      <c r="BS82" s="42"/>
      <c r="BT82" s="42"/>
      <c r="BU82" s="42"/>
      <c r="BV82" s="42"/>
      <c r="BW82" s="42">
        <v>1</v>
      </c>
      <c r="BX82" s="42"/>
      <c r="BY82" s="42"/>
      <c r="BZ82" s="42"/>
      <c r="CA82" s="42"/>
      <c r="CB82" s="42"/>
      <c r="CC82" s="42"/>
      <c r="CD82" s="42"/>
      <c r="CE82" s="42"/>
      <c r="CF82" s="42"/>
      <c r="CG82" s="42"/>
      <c r="CH82" s="42"/>
      <c r="CI82" s="42"/>
      <c r="CJ82" s="42"/>
      <c r="CK82" s="42"/>
      <c r="CL82" s="42"/>
      <c r="CM82" s="42"/>
      <c r="CN82" s="42"/>
      <c r="CO82" s="42"/>
      <c r="CP82" s="42"/>
      <c r="CQ82" s="42"/>
      <c r="CR82" s="42"/>
      <c r="CS82" s="42"/>
      <c r="CT82" s="42"/>
      <c r="CU82" s="42"/>
      <c r="CV82" s="42"/>
      <c r="CW82" s="42"/>
      <c r="CX82" s="42"/>
      <c r="CY82" s="42"/>
      <c r="CZ82" s="42"/>
      <c r="DA82" s="42"/>
      <c r="DB82" s="42"/>
      <c r="DC82" s="42"/>
      <c r="DD82" s="42"/>
      <c r="DE82" s="42"/>
      <c r="DF82" s="42"/>
      <c r="DG82" s="42"/>
      <c r="DH82" s="42"/>
      <c r="DI82" s="42"/>
      <c r="DJ82" s="42"/>
      <c r="DK82" s="42"/>
      <c r="DL82" s="42"/>
      <c r="DM82" s="42"/>
      <c r="DN82" s="42"/>
      <c r="DO82" s="42"/>
      <c r="DP82" s="42"/>
      <c r="DQ82" s="42"/>
      <c r="DR82" s="42"/>
      <c r="DS82" s="44"/>
      <c r="DT82" s="45">
        <f t="shared" ref="DT82" si="64">SUM(F82:DR82)</f>
        <v>1</v>
      </c>
    </row>
    <row r="83" spans="2:124" s="13" customFormat="1" x14ac:dyDescent="0.3">
      <c r="B83" s="4">
        <f>'6.1Personnel List'!B84</f>
        <v>71</v>
      </c>
      <c r="C83" s="105" t="s">
        <v>204</v>
      </c>
      <c r="D83" s="106" t="s">
        <v>205</v>
      </c>
      <c r="E83" s="46">
        <f>'6.1Personnel List'!H161</f>
        <v>0</v>
      </c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42"/>
      <c r="BB83" s="42"/>
      <c r="BC83" s="42"/>
      <c r="BD83" s="42"/>
      <c r="BE83" s="42"/>
      <c r="BF83" s="42"/>
      <c r="BG83" s="42"/>
      <c r="BH83" s="42"/>
      <c r="BJ83" s="42"/>
      <c r="BK83" s="42">
        <v>1</v>
      </c>
      <c r="BL83" s="42"/>
      <c r="BM83" s="42"/>
      <c r="BN83" s="42"/>
      <c r="BO83" s="42"/>
      <c r="BP83" s="42"/>
      <c r="BQ83" s="42"/>
      <c r="BR83" s="42"/>
      <c r="BS83" s="42"/>
      <c r="BT83" s="42"/>
      <c r="BU83" s="42"/>
      <c r="BV83" s="42"/>
      <c r="BW83" s="42"/>
      <c r="BX83" s="42"/>
      <c r="BY83" s="42"/>
      <c r="BZ83" s="42"/>
      <c r="CA83" s="42"/>
      <c r="CB83" s="42"/>
      <c r="CC83" s="42"/>
      <c r="CD83" s="42"/>
      <c r="CE83" s="42"/>
      <c r="CF83" s="42"/>
      <c r="CG83" s="42"/>
      <c r="CH83" s="42"/>
      <c r="CI83" s="42"/>
      <c r="CJ83" s="42"/>
      <c r="CK83" s="42"/>
      <c r="CL83" s="42"/>
      <c r="CM83" s="42"/>
      <c r="CN83" s="42"/>
      <c r="CO83" s="42"/>
      <c r="CP83" s="42"/>
      <c r="CQ83" s="42"/>
      <c r="CR83" s="42"/>
      <c r="CS83" s="42"/>
      <c r="CT83" s="42"/>
      <c r="CU83" s="42"/>
      <c r="CV83" s="42"/>
      <c r="CW83" s="42"/>
      <c r="CX83" s="42"/>
      <c r="CY83" s="42"/>
      <c r="CZ83" s="42"/>
      <c r="DA83" s="42"/>
      <c r="DB83" s="42"/>
      <c r="DC83" s="42"/>
      <c r="DD83" s="42"/>
      <c r="DE83" s="42"/>
      <c r="DF83" s="42"/>
      <c r="DG83" s="42"/>
      <c r="DH83" s="42"/>
      <c r="DI83" s="42"/>
      <c r="DJ83" s="42"/>
      <c r="DK83" s="42"/>
      <c r="DL83" s="42"/>
      <c r="DM83" s="42"/>
      <c r="DN83" s="42"/>
      <c r="DO83" s="42"/>
      <c r="DP83" s="42"/>
      <c r="DQ83" s="42"/>
      <c r="DR83" s="42"/>
      <c r="DS83" s="44"/>
      <c r="DT83" s="45">
        <f t="shared" ref="DT83" si="65">SUM(F83:DR83)</f>
        <v>1</v>
      </c>
    </row>
    <row r="84" spans="2:124" s="13" customFormat="1" x14ac:dyDescent="0.3">
      <c r="B84" s="4">
        <f>'6.1Personnel List'!B85</f>
        <v>72</v>
      </c>
      <c r="C84" s="105" t="s">
        <v>206</v>
      </c>
      <c r="D84" s="106" t="s">
        <v>207</v>
      </c>
      <c r="E84" s="46">
        <f>'6.1Personnel List'!H162</f>
        <v>0</v>
      </c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42"/>
      <c r="BB84" s="42"/>
      <c r="BC84" s="42"/>
      <c r="BD84" s="42"/>
      <c r="BE84" s="42"/>
      <c r="BF84" s="42"/>
      <c r="BG84" s="42"/>
      <c r="BH84" s="42"/>
      <c r="BJ84" s="42">
        <v>1</v>
      </c>
      <c r="BK84" s="42"/>
      <c r="BL84" s="42"/>
      <c r="BM84" s="42"/>
      <c r="BN84" s="42"/>
      <c r="BO84" s="42"/>
      <c r="BP84" s="42"/>
      <c r="BQ84" s="42"/>
      <c r="BR84" s="42"/>
      <c r="BS84" s="42"/>
      <c r="BT84" s="42"/>
      <c r="BU84" s="42"/>
      <c r="BV84" s="42"/>
      <c r="BW84" s="42"/>
      <c r="BX84" s="42"/>
      <c r="BY84" s="42"/>
      <c r="BZ84" s="42"/>
      <c r="CA84" s="42"/>
      <c r="CB84" s="42"/>
      <c r="CC84" s="42"/>
      <c r="CD84" s="42"/>
      <c r="CE84" s="42"/>
      <c r="CF84" s="42"/>
      <c r="CG84" s="42"/>
      <c r="CH84" s="42"/>
      <c r="CI84" s="42"/>
      <c r="CJ84" s="42"/>
      <c r="CK84" s="42"/>
      <c r="CL84" s="42"/>
      <c r="CM84" s="42"/>
      <c r="CN84" s="42"/>
      <c r="CO84" s="42"/>
      <c r="CP84" s="42"/>
      <c r="CQ84" s="42"/>
      <c r="CR84" s="42"/>
      <c r="CS84" s="42"/>
      <c r="CT84" s="42"/>
      <c r="CU84" s="42"/>
      <c r="CV84" s="42"/>
      <c r="CW84" s="42"/>
      <c r="CX84" s="42"/>
      <c r="CY84" s="42"/>
      <c r="CZ84" s="42"/>
      <c r="DA84" s="42"/>
      <c r="DB84" s="42"/>
      <c r="DC84" s="42"/>
      <c r="DD84" s="42"/>
      <c r="DE84" s="42"/>
      <c r="DF84" s="42"/>
      <c r="DG84" s="42"/>
      <c r="DH84" s="42"/>
      <c r="DI84" s="42"/>
      <c r="DJ84" s="42"/>
      <c r="DK84" s="42"/>
      <c r="DL84" s="42"/>
      <c r="DM84" s="42"/>
      <c r="DN84" s="42"/>
      <c r="DO84" s="42"/>
      <c r="DP84" s="42"/>
      <c r="DQ84" s="42"/>
      <c r="DR84" s="42"/>
      <c r="DS84" s="44"/>
      <c r="DT84" s="45">
        <f t="shared" ref="DT84" si="66">SUM(F84:DR84)</f>
        <v>1</v>
      </c>
    </row>
    <row r="85" spans="2:124" s="13" customFormat="1" x14ac:dyDescent="0.3">
      <c r="B85" s="4">
        <f>'6.1Personnel List'!B86</f>
        <v>73</v>
      </c>
      <c r="C85" s="105" t="s">
        <v>208</v>
      </c>
      <c r="D85" s="106" t="s">
        <v>209</v>
      </c>
      <c r="E85" s="46">
        <f>'6.1Personnel List'!H163</f>
        <v>0</v>
      </c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2"/>
      <c r="AY85" s="42"/>
      <c r="AZ85" s="42"/>
      <c r="BA85" s="42"/>
      <c r="BB85" s="42"/>
      <c r="BC85" s="42"/>
      <c r="BD85" s="42"/>
      <c r="BE85" s="42"/>
      <c r="BF85" s="42"/>
      <c r="BG85" s="42"/>
      <c r="BH85" s="42"/>
      <c r="BJ85" s="42"/>
      <c r="BK85" s="42"/>
      <c r="BL85" s="42"/>
      <c r="BM85" s="42"/>
      <c r="BN85" s="42"/>
      <c r="BO85" s="42"/>
      <c r="BP85" s="42"/>
      <c r="BQ85" s="42"/>
      <c r="BR85" s="42"/>
      <c r="BS85" s="42"/>
      <c r="BT85" s="42"/>
      <c r="BU85" s="42"/>
      <c r="BV85" s="42"/>
      <c r="BW85" s="42"/>
      <c r="BX85" s="42"/>
      <c r="BY85" s="42"/>
      <c r="BZ85" s="42"/>
      <c r="CA85" s="42"/>
      <c r="CB85" s="42"/>
      <c r="CC85" s="42"/>
      <c r="CD85" s="42"/>
      <c r="CE85" s="42"/>
      <c r="CF85" s="42"/>
      <c r="CG85" s="42"/>
      <c r="CH85" s="42"/>
      <c r="CI85" s="42"/>
      <c r="CJ85" s="42"/>
      <c r="CK85" s="42"/>
      <c r="CL85" s="42"/>
      <c r="CM85" s="42"/>
      <c r="CN85" s="42"/>
      <c r="CO85" s="42"/>
      <c r="CP85" s="42"/>
      <c r="CQ85" s="42"/>
      <c r="CR85" s="42"/>
      <c r="CS85" s="42"/>
      <c r="CT85" s="42"/>
      <c r="CU85" s="42"/>
      <c r="CV85" s="42"/>
      <c r="CW85" s="42"/>
      <c r="CX85" s="42"/>
      <c r="CY85" s="42"/>
      <c r="CZ85" s="42"/>
      <c r="DA85" s="42"/>
      <c r="DB85" s="42"/>
      <c r="DC85" s="42"/>
      <c r="DD85" s="42">
        <v>1</v>
      </c>
      <c r="DE85" s="42"/>
      <c r="DF85" s="42"/>
      <c r="DG85" s="42"/>
      <c r="DH85" s="42"/>
      <c r="DI85" s="42"/>
      <c r="DJ85" s="42"/>
      <c r="DK85" s="42"/>
      <c r="DL85" s="42"/>
      <c r="DM85" s="42"/>
      <c r="DN85" s="42"/>
      <c r="DO85" s="42"/>
      <c r="DP85" s="42"/>
      <c r="DQ85" s="42"/>
      <c r="DR85" s="42"/>
      <c r="DS85" s="44"/>
      <c r="DT85" s="45">
        <f t="shared" ref="DT85" si="67">SUM(F85:DR85)</f>
        <v>1</v>
      </c>
    </row>
    <row r="86" spans="2:124" s="13" customFormat="1" x14ac:dyDescent="0.3">
      <c r="B86" s="4">
        <f>'6.1Personnel List'!B87</f>
        <v>74</v>
      </c>
      <c r="C86" s="105" t="s">
        <v>210</v>
      </c>
      <c r="D86" s="106" t="s">
        <v>209</v>
      </c>
      <c r="E86" s="46">
        <f>'6.1Personnel List'!H164</f>
        <v>0</v>
      </c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2"/>
      <c r="AY86" s="42"/>
      <c r="AZ86" s="42"/>
      <c r="BA86" s="42"/>
      <c r="BB86" s="42"/>
      <c r="BC86" s="42"/>
      <c r="BD86" s="42"/>
      <c r="BE86" s="42"/>
      <c r="BF86" s="42"/>
      <c r="BG86" s="42"/>
      <c r="BH86" s="42"/>
      <c r="BJ86" s="42"/>
      <c r="BK86" s="42"/>
      <c r="BL86" s="42"/>
      <c r="BM86" s="42"/>
      <c r="BN86" s="42"/>
      <c r="BO86" s="42"/>
      <c r="BP86" s="42"/>
      <c r="BQ86" s="42"/>
      <c r="BR86" s="42"/>
      <c r="BS86" s="42"/>
      <c r="BT86" s="42"/>
      <c r="BU86" s="42"/>
      <c r="BV86" s="42"/>
      <c r="BW86" s="42"/>
      <c r="BX86" s="42"/>
      <c r="BY86" s="42"/>
      <c r="BZ86" s="42"/>
      <c r="CA86" s="42"/>
      <c r="CB86" s="42"/>
      <c r="CC86" s="42"/>
      <c r="CD86" s="42"/>
      <c r="CE86" s="42"/>
      <c r="CF86" s="42"/>
      <c r="CG86" s="42"/>
      <c r="CH86" s="42"/>
      <c r="CI86" s="42"/>
      <c r="CJ86" s="42"/>
      <c r="CK86" s="42"/>
      <c r="CL86" s="42"/>
      <c r="CM86" s="42"/>
      <c r="CN86" s="42"/>
      <c r="CO86" s="42"/>
      <c r="CP86" s="42"/>
      <c r="CQ86" s="42"/>
      <c r="CR86" s="42"/>
      <c r="CS86" s="42"/>
      <c r="CT86" s="42"/>
      <c r="CU86" s="42"/>
      <c r="CV86" s="42"/>
      <c r="CW86" s="42"/>
      <c r="CX86" s="42"/>
      <c r="CY86" s="42"/>
      <c r="CZ86" s="42"/>
      <c r="DA86" s="42"/>
      <c r="DB86" s="42"/>
      <c r="DC86" s="42"/>
      <c r="DD86" s="42">
        <v>1</v>
      </c>
      <c r="DE86" s="42"/>
      <c r="DF86" s="42"/>
      <c r="DG86" s="42"/>
      <c r="DH86" s="42"/>
      <c r="DI86" s="42"/>
      <c r="DJ86" s="42"/>
      <c r="DK86" s="42"/>
      <c r="DL86" s="42"/>
      <c r="DM86" s="42"/>
      <c r="DN86" s="42"/>
      <c r="DO86" s="42"/>
      <c r="DP86" s="42"/>
      <c r="DQ86" s="42"/>
      <c r="DR86" s="42"/>
      <c r="DS86" s="44"/>
      <c r="DT86" s="45">
        <f t="shared" ref="DT86" si="68">SUM(F86:DR86)</f>
        <v>1</v>
      </c>
    </row>
    <row r="87" spans="2:124" s="13" customFormat="1" x14ac:dyDescent="0.3">
      <c r="B87" s="4">
        <f>'6.1Personnel List'!B88</f>
        <v>75</v>
      </c>
      <c r="C87" s="105" t="s">
        <v>211</v>
      </c>
      <c r="D87" s="106" t="s">
        <v>212</v>
      </c>
      <c r="E87" s="46">
        <f>'6.1Personnel List'!H165</f>
        <v>0</v>
      </c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  <c r="AY87" s="42"/>
      <c r="AZ87" s="42"/>
      <c r="BA87" s="42"/>
      <c r="BB87" s="42"/>
      <c r="BC87" s="42"/>
      <c r="BD87" s="42"/>
      <c r="BE87" s="42"/>
      <c r="BF87" s="42"/>
      <c r="BG87" s="42"/>
      <c r="BH87" s="42"/>
      <c r="BJ87" s="42"/>
      <c r="BK87" s="42"/>
      <c r="BL87" s="42">
        <v>1</v>
      </c>
      <c r="BM87" s="42"/>
      <c r="BN87" s="42"/>
      <c r="BO87" s="42"/>
      <c r="BP87" s="42"/>
      <c r="BQ87" s="42"/>
      <c r="BR87" s="42"/>
      <c r="BS87" s="42"/>
      <c r="BT87" s="42"/>
      <c r="BU87" s="42"/>
      <c r="BV87" s="42"/>
      <c r="BW87" s="42"/>
      <c r="BX87" s="42"/>
      <c r="BY87" s="42"/>
      <c r="BZ87" s="42"/>
      <c r="CA87" s="42"/>
      <c r="CB87" s="42"/>
      <c r="CC87" s="42"/>
      <c r="CD87" s="42"/>
      <c r="CE87" s="42"/>
      <c r="CF87" s="42"/>
      <c r="CG87" s="42"/>
      <c r="CH87" s="42"/>
      <c r="CI87" s="42"/>
      <c r="CJ87" s="42"/>
      <c r="CK87" s="42"/>
      <c r="CL87" s="42"/>
      <c r="CM87" s="42"/>
      <c r="CN87" s="42"/>
      <c r="CO87" s="42"/>
      <c r="CP87" s="42"/>
      <c r="CQ87" s="42"/>
      <c r="CR87" s="42"/>
      <c r="CS87" s="42"/>
      <c r="CT87" s="42"/>
      <c r="CU87" s="42"/>
      <c r="CV87" s="42"/>
      <c r="CW87" s="42"/>
      <c r="CX87" s="42"/>
      <c r="CY87" s="42"/>
      <c r="CZ87" s="42"/>
      <c r="DA87" s="42"/>
      <c r="DB87" s="42"/>
      <c r="DC87" s="42"/>
      <c r="DD87" s="42"/>
      <c r="DE87" s="42"/>
      <c r="DF87" s="42"/>
      <c r="DG87" s="42"/>
      <c r="DH87" s="42"/>
      <c r="DI87" s="42"/>
      <c r="DJ87" s="42"/>
      <c r="DK87" s="42"/>
      <c r="DL87" s="42"/>
      <c r="DM87" s="42"/>
      <c r="DN87" s="42"/>
      <c r="DO87" s="42"/>
      <c r="DP87" s="42"/>
      <c r="DQ87" s="42"/>
      <c r="DR87" s="42"/>
      <c r="DS87" s="44"/>
      <c r="DT87" s="45">
        <f t="shared" ref="DT87" si="69">SUM(F87:DR87)</f>
        <v>1</v>
      </c>
    </row>
    <row r="88" spans="2:124" s="13" customFormat="1" x14ac:dyDescent="0.3">
      <c r="B88" s="4">
        <f>'6.1Personnel List'!B89</f>
        <v>76</v>
      </c>
      <c r="C88" s="105" t="s">
        <v>213</v>
      </c>
      <c r="D88" s="106" t="s">
        <v>111</v>
      </c>
      <c r="E88" s="46">
        <f>'6.1Personnel List'!H166</f>
        <v>0</v>
      </c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  <c r="AY88" s="42"/>
      <c r="AZ88" s="42"/>
      <c r="BA88" s="42"/>
      <c r="BB88" s="42"/>
      <c r="BC88" s="42"/>
      <c r="BD88" s="42"/>
      <c r="BE88" s="42"/>
      <c r="BF88" s="42"/>
      <c r="BG88" s="42"/>
      <c r="BH88" s="42"/>
      <c r="BJ88" s="42"/>
      <c r="BK88" s="42"/>
      <c r="BL88" s="42">
        <v>1</v>
      </c>
      <c r="BM88" s="42"/>
      <c r="BN88" s="42"/>
      <c r="BO88" s="42"/>
      <c r="BP88" s="42"/>
      <c r="BQ88" s="42"/>
      <c r="BR88" s="42"/>
      <c r="BS88" s="42"/>
      <c r="BT88" s="42"/>
      <c r="BU88" s="42"/>
      <c r="BV88" s="42"/>
      <c r="BW88" s="42"/>
      <c r="BX88" s="42"/>
      <c r="BY88" s="42"/>
      <c r="BZ88" s="42"/>
      <c r="CA88" s="42"/>
      <c r="CB88" s="42"/>
      <c r="CC88" s="42"/>
      <c r="CD88" s="42"/>
      <c r="CE88" s="42"/>
      <c r="CF88" s="42"/>
      <c r="CG88" s="42"/>
      <c r="CH88" s="42"/>
      <c r="CI88" s="42"/>
      <c r="CJ88" s="42"/>
      <c r="CK88" s="42"/>
      <c r="CL88" s="42"/>
      <c r="CM88" s="42"/>
      <c r="CN88" s="42"/>
      <c r="CO88" s="42"/>
      <c r="CP88" s="42"/>
      <c r="CQ88" s="42"/>
      <c r="CR88" s="42"/>
      <c r="CS88" s="42"/>
      <c r="CT88" s="42"/>
      <c r="CU88" s="42"/>
      <c r="CV88" s="42"/>
      <c r="CW88" s="42"/>
      <c r="CX88" s="42"/>
      <c r="CY88" s="42"/>
      <c r="CZ88" s="42"/>
      <c r="DA88" s="42"/>
      <c r="DB88" s="42"/>
      <c r="DC88" s="42"/>
      <c r="DD88" s="42"/>
      <c r="DE88" s="42"/>
      <c r="DF88" s="42"/>
      <c r="DG88" s="42"/>
      <c r="DH88" s="42"/>
      <c r="DI88" s="42"/>
      <c r="DJ88" s="42"/>
      <c r="DK88" s="42"/>
      <c r="DL88" s="42"/>
      <c r="DM88" s="42"/>
      <c r="DN88" s="42"/>
      <c r="DO88" s="42"/>
      <c r="DP88" s="42"/>
      <c r="DQ88" s="42"/>
      <c r="DR88" s="42"/>
      <c r="DS88" s="44"/>
      <c r="DT88" s="45">
        <f t="shared" ref="DT88" si="70">SUM(F88:DR88)</f>
        <v>1</v>
      </c>
    </row>
    <row r="89" spans="2:124" s="13" customFormat="1" x14ac:dyDescent="0.3">
      <c r="B89" s="4">
        <f>'6.1Personnel List'!B90</f>
        <v>77</v>
      </c>
      <c r="C89" s="105" t="s">
        <v>214</v>
      </c>
      <c r="D89" s="106" t="s">
        <v>144</v>
      </c>
      <c r="E89" s="46">
        <f>'6.1Personnel List'!H167</f>
        <v>0</v>
      </c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  <c r="AY89" s="42"/>
      <c r="AZ89" s="42"/>
      <c r="BA89" s="42"/>
      <c r="BB89" s="42"/>
      <c r="BC89" s="42"/>
      <c r="BD89" s="42"/>
      <c r="BE89" s="42"/>
      <c r="BF89" s="42"/>
      <c r="BG89" s="42"/>
      <c r="BH89" s="42"/>
      <c r="BJ89" s="42"/>
      <c r="BK89" s="42"/>
      <c r="BL89" s="42"/>
      <c r="BM89" s="42"/>
      <c r="BN89" s="42"/>
      <c r="BO89" s="42"/>
      <c r="BP89" s="42"/>
      <c r="BQ89" s="42"/>
      <c r="BR89" s="42"/>
      <c r="BS89" s="42"/>
      <c r="BT89" s="42"/>
      <c r="BU89" s="42"/>
      <c r="BV89" s="42"/>
      <c r="BW89" s="42"/>
      <c r="BX89" s="42"/>
      <c r="BY89" s="42"/>
      <c r="BZ89" s="42"/>
      <c r="CA89" s="42"/>
      <c r="CB89" s="42"/>
      <c r="CC89" s="42"/>
      <c r="CD89" s="42"/>
      <c r="CE89" s="42"/>
      <c r="CF89" s="42"/>
      <c r="CG89" s="42"/>
      <c r="CH89" s="42"/>
      <c r="CI89" s="42"/>
      <c r="CJ89" s="42"/>
      <c r="CK89" s="42"/>
      <c r="CL89" s="42"/>
      <c r="CM89" s="42"/>
      <c r="CN89" s="42"/>
      <c r="CO89" s="42"/>
      <c r="CP89" s="42"/>
      <c r="CQ89" s="42"/>
      <c r="CR89" s="42"/>
      <c r="CS89" s="42"/>
      <c r="CT89" s="42"/>
      <c r="CU89" s="42"/>
      <c r="CV89" s="42"/>
      <c r="CW89" s="42"/>
      <c r="CX89" s="42"/>
      <c r="CY89" s="42"/>
      <c r="CZ89" s="42"/>
      <c r="DA89" s="42"/>
      <c r="DB89" s="42"/>
      <c r="DC89" s="42"/>
      <c r="DD89" s="42">
        <v>1</v>
      </c>
      <c r="DE89" s="42"/>
      <c r="DF89" s="42"/>
      <c r="DG89" s="42"/>
      <c r="DH89" s="42"/>
      <c r="DI89" s="42"/>
      <c r="DJ89" s="42"/>
      <c r="DK89" s="42"/>
      <c r="DL89" s="42"/>
      <c r="DM89" s="42"/>
      <c r="DN89" s="42"/>
      <c r="DO89" s="42"/>
      <c r="DP89" s="42"/>
      <c r="DQ89" s="42"/>
      <c r="DR89" s="42"/>
      <c r="DS89" s="44"/>
      <c r="DT89" s="45">
        <f t="shared" ref="DT89" si="71">SUM(F89:DR89)</f>
        <v>1</v>
      </c>
    </row>
    <row r="90" spans="2:124" s="13" customFormat="1" x14ac:dyDescent="0.3">
      <c r="B90" s="4">
        <f>'6.1Personnel List'!B91</f>
        <v>78</v>
      </c>
      <c r="C90" s="105" t="s">
        <v>215</v>
      </c>
      <c r="D90" s="106" t="s">
        <v>101</v>
      </c>
      <c r="E90" s="46">
        <f>'6.1Personnel List'!H168</f>
        <v>0</v>
      </c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42"/>
      <c r="AY90" s="42"/>
      <c r="AZ90" s="42"/>
      <c r="BA90" s="42"/>
      <c r="BB90" s="42"/>
      <c r="BC90" s="42"/>
      <c r="BD90" s="42"/>
      <c r="BE90" s="42"/>
      <c r="BF90" s="42"/>
      <c r="BG90" s="42"/>
      <c r="BH90" s="42"/>
      <c r="BJ90" s="42"/>
      <c r="BK90" s="42"/>
      <c r="BL90" s="42"/>
      <c r="BM90" s="42"/>
      <c r="BN90" s="42"/>
      <c r="BO90" s="42"/>
      <c r="BP90" s="42"/>
      <c r="BQ90" s="42"/>
      <c r="BR90" s="42"/>
      <c r="BS90" s="42"/>
      <c r="BT90" s="42"/>
      <c r="BU90" s="42"/>
      <c r="BV90" s="42"/>
      <c r="BW90" s="42"/>
      <c r="BX90" s="42"/>
      <c r="BY90" s="42"/>
      <c r="BZ90" s="42"/>
      <c r="CA90" s="42"/>
      <c r="CB90" s="42"/>
      <c r="CC90" s="42"/>
      <c r="CD90" s="42"/>
      <c r="CE90" s="42"/>
      <c r="CF90" s="42"/>
      <c r="CG90" s="42"/>
      <c r="CH90" s="42"/>
      <c r="CI90" s="42"/>
      <c r="CJ90" s="42"/>
      <c r="CK90" s="42"/>
      <c r="CL90" s="42"/>
      <c r="CM90" s="42"/>
      <c r="CN90" s="42"/>
      <c r="CO90" s="42"/>
      <c r="CP90" s="42"/>
      <c r="CQ90" s="42"/>
      <c r="CR90" s="42"/>
      <c r="CS90" s="42"/>
      <c r="CT90" s="42"/>
      <c r="CU90" s="42"/>
      <c r="CV90" s="42"/>
      <c r="CW90" s="42"/>
      <c r="CX90" s="42"/>
      <c r="CY90" s="42"/>
      <c r="CZ90" s="42"/>
      <c r="DA90" s="42"/>
      <c r="DB90" s="42"/>
      <c r="DC90" s="42"/>
      <c r="DD90" s="42">
        <v>1</v>
      </c>
      <c r="DE90" s="42"/>
      <c r="DF90" s="42"/>
      <c r="DG90" s="42"/>
      <c r="DH90" s="42"/>
      <c r="DI90" s="42"/>
      <c r="DJ90" s="42"/>
      <c r="DK90" s="42"/>
      <c r="DL90" s="42"/>
      <c r="DM90" s="42"/>
      <c r="DN90" s="42"/>
      <c r="DO90" s="42"/>
      <c r="DP90" s="42"/>
      <c r="DQ90" s="42"/>
      <c r="DR90" s="42"/>
      <c r="DS90" s="44"/>
      <c r="DT90" s="45">
        <f t="shared" ref="DT90" si="72">SUM(F90:DR90)</f>
        <v>1</v>
      </c>
    </row>
    <row r="91" spans="2:124" s="13" customFormat="1" x14ac:dyDescent="0.3">
      <c r="B91" s="4">
        <f>'6.1Personnel List'!B92</f>
        <v>79</v>
      </c>
      <c r="C91" s="105" t="s">
        <v>216</v>
      </c>
      <c r="D91" s="106" t="s">
        <v>217</v>
      </c>
      <c r="E91" s="46">
        <f>'6.1Personnel List'!H169</f>
        <v>0</v>
      </c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42"/>
      <c r="AY91" s="42"/>
      <c r="AZ91" s="42"/>
      <c r="BA91" s="42"/>
      <c r="BB91" s="42"/>
      <c r="BC91" s="42"/>
      <c r="BD91" s="42"/>
      <c r="BE91" s="42"/>
      <c r="BF91" s="42"/>
      <c r="BG91" s="42"/>
      <c r="BH91" s="42"/>
      <c r="BJ91" s="42"/>
      <c r="BK91" s="42"/>
      <c r="BL91" s="42"/>
      <c r="BM91" s="42"/>
      <c r="BN91" s="42"/>
      <c r="BO91" s="42"/>
      <c r="BP91" s="42"/>
      <c r="BQ91" s="42"/>
      <c r="BR91" s="42"/>
      <c r="BS91" s="42"/>
      <c r="BT91" s="42"/>
      <c r="BU91" s="42"/>
      <c r="BV91" s="42"/>
      <c r="BW91" s="42"/>
      <c r="BX91" s="42"/>
      <c r="BY91" s="42"/>
      <c r="BZ91" s="42"/>
      <c r="CA91" s="42"/>
      <c r="CB91" s="42"/>
      <c r="CC91" s="42">
        <v>1</v>
      </c>
      <c r="CD91" s="42"/>
      <c r="CE91" s="42"/>
      <c r="CF91" s="42"/>
      <c r="CG91" s="42"/>
      <c r="CH91" s="42"/>
      <c r="CI91" s="42"/>
      <c r="CJ91" s="42"/>
      <c r="CK91" s="42"/>
      <c r="CL91" s="42"/>
      <c r="CM91" s="42"/>
      <c r="CN91" s="42"/>
      <c r="CO91" s="42"/>
      <c r="CP91" s="42"/>
      <c r="CQ91" s="42"/>
      <c r="CR91" s="42"/>
      <c r="CS91" s="42"/>
      <c r="CT91" s="42"/>
      <c r="CU91" s="42"/>
      <c r="CV91" s="42"/>
      <c r="CW91" s="42"/>
      <c r="CX91" s="42"/>
      <c r="CY91" s="42"/>
      <c r="CZ91" s="42"/>
      <c r="DA91" s="42"/>
      <c r="DB91" s="42"/>
      <c r="DC91" s="42"/>
      <c r="DD91" s="42"/>
      <c r="DE91" s="42"/>
      <c r="DF91" s="42"/>
      <c r="DG91" s="42"/>
      <c r="DH91" s="42"/>
      <c r="DI91" s="42"/>
      <c r="DJ91" s="42"/>
      <c r="DK91" s="42"/>
      <c r="DL91" s="42"/>
      <c r="DM91" s="42"/>
      <c r="DN91" s="42"/>
      <c r="DO91" s="42"/>
      <c r="DP91" s="42"/>
      <c r="DQ91" s="42"/>
      <c r="DR91" s="42"/>
      <c r="DS91" s="44"/>
      <c r="DT91" s="45">
        <f t="shared" ref="DT91" si="73">SUM(F91:DR91)</f>
        <v>1</v>
      </c>
    </row>
    <row r="92" spans="2:124" s="13" customFormat="1" x14ac:dyDescent="0.3">
      <c r="B92" s="4">
        <f>'6.1Personnel List'!B93</f>
        <v>80</v>
      </c>
      <c r="C92" s="105" t="s">
        <v>218</v>
      </c>
      <c r="D92" s="106" t="s">
        <v>101</v>
      </c>
      <c r="E92" s="46">
        <f>'6.1Personnel List'!H170</f>
        <v>0</v>
      </c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2"/>
      <c r="AZ92" s="42"/>
      <c r="BA92" s="42"/>
      <c r="BB92" s="42"/>
      <c r="BC92" s="42"/>
      <c r="BD92" s="42"/>
      <c r="BE92" s="42"/>
      <c r="BF92" s="42"/>
      <c r="BG92" s="42"/>
      <c r="BH92" s="42"/>
      <c r="BJ92" s="42"/>
      <c r="BK92" s="42"/>
      <c r="BL92" s="42"/>
      <c r="BM92" s="42"/>
      <c r="BN92" s="42"/>
      <c r="BO92" s="42"/>
      <c r="BP92" s="42"/>
      <c r="BQ92" s="42"/>
      <c r="BR92" s="42"/>
      <c r="BS92" s="42"/>
      <c r="BT92" s="42"/>
      <c r="BU92" s="42"/>
      <c r="BV92" s="42"/>
      <c r="BW92" s="42"/>
      <c r="BX92" s="42"/>
      <c r="BY92" s="42"/>
      <c r="BZ92" s="42"/>
      <c r="CA92" s="42"/>
      <c r="CB92" s="42"/>
      <c r="CC92" s="42"/>
      <c r="CD92" s="42"/>
      <c r="CE92" s="42"/>
      <c r="CF92" s="42"/>
      <c r="CG92" s="42"/>
      <c r="CH92" s="42"/>
      <c r="CI92" s="42"/>
      <c r="CJ92" s="42"/>
      <c r="CK92" s="42"/>
      <c r="CL92" s="42"/>
      <c r="CM92" s="42"/>
      <c r="CN92" s="42"/>
      <c r="CO92" s="42"/>
      <c r="CP92" s="42"/>
      <c r="CQ92" s="42"/>
      <c r="CR92" s="42"/>
      <c r="CS92" s="42"/>
      <c r="CT92" s="42"/>
      <c r="CU92" s="42"/>
      <c r="CV92" s="42"/>
      <c r="CW92" s="42"/>
      <c r="CX92" s="42"/>
      <c r="CY92" s="42"/>
      <c r="CZ92" s="42"/>
      <c r="DA92" s="42"/>
      <c r="DB92" s="42"/>
      <c r="DC92" s="42"/>
      <c r="DD92" s="42"/>
      <c r="DE92" s="42"/>
      <c r="DF92" s="42"/>
      <c r="DG92" s="42"/>
      <c r="DH92" s="42"/>
      <c r="DI92" s="42"/>
      <c r="DJ92" s="42">
        <v>1</v>
      </c>
      <c r="DK92" s="42"/>
      <c r="DL92" s="42"/>
      <c r="DM92" s="42"/>
      <c r="DN92" s="42"/>
      <c r="DO92" s="42"/>
      <c r="DP92" s="42"/>
      <c r="DQ92" s="42"/>
      <c r="DR92" s="42"/>
      <c r="DS92" s="44"/>
      <c r="DT92" s="45">
        <f t="shared" ref="DT92" si="74">SUM(F92:DR92)</f>
        <v>1</v>
      </c>
    </row>
    <row r="93" spans="2:124" s="13" customFormat="1" x14ac:dyDescent="0.3">
      <c r="B93" s="4">
        <f>'6.1Personnel List'!B94</f>
        <v>81</v>
      </c>
      <c r="C93" s="105" t="s">
        <v>219</v>
      </c>
      <c r="D93" s="106" t="s">
        <v>125</v>
      </c>
      <c r="E93" s="46">
        <f>'6.1Personnel List'!H171</f>
        <v>0</v>
      </c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42"/>
      <c r="BB93" s="42"/>
      <c r="BC93" s="42"/>
      <c r="BD93" s="42"/>
      <c r="BE93" s="42"/>
      <c r="BF93" s="42"/>
      <c r="BG93" s="42"/>
      <c r="BH93" s="42"/>
      <c r="BJ93" s="42"/>
      <c r="BK93" s="42"/>
      <c r="BL93" s="42"/>
      <c r="BM93" s="42"/>
      <c r="BN93" s="42"/>
      <c r="BO93" s="42"/>
      <c r="BP93" s="42"/>
      <c r="BQ93" s="42"/>
      <c r="BR93" s="42"/>
      <c r="BS93" s="42"/>
      <c r="BT93" s="42"/>
      <c r="BU93" s="42"/>
      <c r="BV93" s="42"/>
      <c r="BW93" s="42"/>
      <c r="BX93" s="42"/>
      <c r="BY93" s="42"/>
      <c r="BZ93" s="42"/>
      <c r="CA93" s="42"/>
      <c r="CB93" s="42"/>
      <c r="CC93" s="42"/>
      <c r="CD93" s="42"/>
      <c r="CE93" s="42"/>
      <c r="CF93" s="42"/>
      <c r="CG93" s="42"/>
      <c r="CH93" s="42"/>
      <c r="CI93" s="42"/>
      <c r="CJ93" s="42"/>
      <c r="CK93" s="42"/>
      <c r="CL93" s="42"/>
      <c r="CM93" s="42"/>
      <c r="CN93" s="42"/>
      <c r="CO93" s="42"/>
      <c r="CP93" s="42"/>
      <c r="CQ93" s="42"/>
      <c r="CR93" s="42"/>
      <c r="CS93" s="42"/>
      <c r="CT93" s="42"/>
      <c r="CU93" s="42"/>
      <c r="CV93" s="42"/>
      <c r="CW93" s="42"/>
      <c r="CX93" s="42"/>
      <c r="CY93" s="42"/>
      <c r="CZ93" s="42"/>
      <c r="DA93" s="42"/>
      <c r="DB93" s="42"/>
      <c r="DC93" s="42"/>
      <c r="DD93" s="42"/>
      <c r="DE93" s="42"/>
      <c r="DF93" s="42"/>
      <c r="DG93" s="42"/>
      <c r="DH93" s="42"/>
      <c r="DI93" s="42"/>
      <c r="DJ93" s="42">
        <v>1</v>
      </c>
      <c r="DK93" s="42"/>
      <c r="DL93" s="42"/>
      <c r="DM93" s="42"/>
      <c r="DN93" s="42"/>
      <c r="DO93" s="42"/>
      <c r="DP93" s="42"/>
      <c r="DQ93" s="42"/>
      <c r="DR93" s="42"/>
      <c r="DS93" s="44"/>
      <c r="DT93" s="45">
        <f t="shared" ref="DT93" si="75">SUM(F93:DR93)</f>
        <v>1</v>
      </c>
    </row>
    <row r="94" spans="2:124" s="13" customFormat="1" x14ac:dyDescent="0.3">
      <c r="B94" s="4">
        <f>'6.1Personnel List'!B95</f>
        <v>82</v>
      </c>
      <c r="C94" s="105" t="s">
        <v>220</v>
      </c>
      <c r="D94" s="106" t="s">
        <v>125</v>
      </c>
      <c r="E94" s="46">
        <f>'6.1Personnel List'!H172</f>
        <v>0</v>
      </c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2"/>
      <c r="AY94" s="42"/>
      <c r="AZ94" s="42"/>
      <c r="BA94" s="42"/>
      <c r="BB94" s="42"/>
      <c r="BC94" s="42"/>
      <c r="BD94" s="42"/>
      <c r="BE94" s="42"/>
      <c r="BF94" s="42"/>
      <c r="BG94" s="42"/>
      <c r="BH94" s="42"/>
      <c r="BJ94" s="42"/>
      <c r="BK94" s="42"/>
      <c r="BL94" s="42"/>
      <c r="BM94" s="42"/>
      <c r="BN94" s="42"/>
      <c r="BO94" s="42"/>
      <c r="BP94" s="42"/>
      <c r="BQ94" s="42"/>
      <c r="BR94" s="42"/>
      <c r="BS94" s="42"/>
      <c r="BT94" s="42"/>
      <c r="BU94" s="42"/>
      <c r="BV94" s="42"/>
      <c r="BW94" s="42"/>
      <c r="BX94" s="42"/>
      <c r="BY94" s="42"/>
      <c r="BZ94" s="42"/>
      <c r="CA94" s="42"/>
      <c r="CB94" s="42"/>
      <c r="CC94" s="42"/>
      <c r="CD94" s="42"/>
      <c r="CE94" s="42"/>
      <c r="CF94" s="42"/>
      <c r="CG94" s="42"/>
      <c r="CH94" s="42"/>
      <c r="CI94" s="42"/>
      <c r="CJ94" s="42"/>
      <c r="CK94" s="42"/>
      <c r="CL94" s="42"/>
      <c r="CM94" s="42"/>
      <c r="CN94" s="42"/>
      <c r="CO94" s="42"/>
      <c r="CP94" s="42"/>
      <c r="CQ94" s="42"/>
      <c r="CR94" s="42"/>
      <c r="CS94" s="42"/>
      <c r="CT94" s="42"/>
      <c r="CU94" s="42"/>
      <c r="CV94" s="42"/>
      <c r="CW94" s="42"/>
      <c r="CX94" s="42"/>
      <c r="CY94" s="42"/>
      <c r="CZ94" s="42"/>
      <c r="DA94" s="42"/>
      <c r="DB94" s="42"/>
      <c r="DC94" s="42"/>
      <c r="DD94" s="42"/>
      <c r="DE94" s="42"/>
      <c r="DF94" s="42"/>
      <c r="DG94" s="42"/>
      <c r="DH94" s="42"/>
      <c r="DI94" s="42"/>
      <c r="DJ94" s="42">
        <v>1</v>
      </c>
      <c r="DK94" s="42"/>
      <c r="DL94" s="42"/>
      <c r="DM94" s="42"/>
      <c r="DN94" s="42"/>
      <c r="DO94" s="42"/>
      <c r="DP94" s="42"/>
      <c r="DQ94" s="42"/>
      <c r="DR94" s="42"/>
      <c r="DS94" s="44"/>
      <c r="DT94" s="45">
        <f t="shared" ref="DT94" si="76">SUM(F94:DR94)</f>
        <v>1</v>
      </c>
    </row>
    <row r="95" spans="2:124" s="13" customFormat="1" x14ac:dyDescent="0.3">
      <c r="B95" s="4">
        <f>'6.1Personnel List'!B96</f>
        <v>83</v>
      </c>
      <c r="C95" s="105" t="s">
        <v>221</v>
      </c>
      <c r="D95" s="106" t="s">
        <v>177</v>
      </c>
      <c r="E95" s="46">
        <f>'6.1Personnel List'!H173</f>
        <v>0</v>
      </c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/>
      <c r="BA95" s="42"/>
      <c r="BB95" s="42"/>
      <c r="BC95" s="42"/>
      <c r="BD95" s="42"/>
      <c r="BE95" s="42"/>
      <c r="BF95" s="42"/>
      <c r="BG95" s="42"/>
      <c r="BH95" s="42"/>
      <c r="BJ95" s="42"/>
      <c r="BK95" s="42"/>
      <c r="BL95" s="42"/>
      <c r="BM95" s="42"/>
      <c r="BN95" s="42"/>
      <c r="BO95" s="42"/>
      <c r="BP95" s="42"/>
      <c r="BQ95" s="42"/>
      <c r="BR95" s="42"/>
      <c r="BS95" s="42"/>
      <c r="BT95" s="42"/>
      <c r="BU95" s="42"/>
      <c r="BV95" s="42"/>
      <c r="BW95" s="42"/>
      <c r="BX95" s="42"/>
      <c r="BY95" s="42"/>
      <c r="BZ95" s="42"/>
      <c r="CA95" s="42"/>
      <c r="CB95" s="42"/>
      <c r="CC95" s="42"/>
      <c r="CD95" s="42"/>
      <c r="CE95" s="42"/>
      <c r="CF95" s="42"/>
      <c r="CG95" s="42"/>
      <c r="CH95" s="42"/>
      <c r="CI95" s="42"/>
      <c r="CJ95" s="42">
        <v>1</v>
      </c>
      <c r="CK95" s="42"/>
      <c r="CL95" s="42"/>
      <c r="CM95" s="42"/>
      <c r="CN95" s="42"/>
      <c r="CO95" s="42"/>
      <c r="CP95" s="42"/>
      <c r="CQ95" s="42"/>
      <c r="CR95" s="42"/>
      <c r="CS95" s="42"/>
      <c r="CT95" s="42"/>
      <c r="CU95" s="42"/>
      <c r="CV95" s="42"/>
      <c r="CW95" s="42"/>
      <c r="CX95" s="42"/>
      <c r="CY95" s="42"/>
      <c r="CZ95" s="42"/>
      <c r="DA95" s="42"/>
      <c r="DB95" s="42"/>
      <c r="DC95" s="42"/>
      <c r="DD95" s="42"/>
      <c r="DE95" s="42"/>
      <c r="DF95" s="42"/>
      <c r="DG95" s="42"/>
      <c r="DH95" s="42"/>
      <c r="DI95" s="42"/>
      <c r="DJ95" s="42"/>
      <c r="DK95" s="42"/>
      <c r="DL95" s="42"/>
      <c r="DM95" s="42"/>
      <c r="DN95" s="42"/>
      <c r="DO95" s="42"/>
      <c r="DP95" s="42"/>
      <c r="DQ95" s="42"/>
      <c r="DR95" s="42"/>
      <c r="DS95" s="44"/>
      <c r="DT95" s="45">
        <f t="shared" ref="DT95" si="77">SUM(F95:DR95)</f>
        <v>1</v>
      </c>
    </row>
    <row r="96" spans="2:124" s="13" customFormat="1" x14ac:dyDescent="0.3">
      <c r="B96" s="4">
        <f>'6.1Personnel List'!B97</f>
        <v>84</v>
      </c>
      <c r="C96" s="105" t="s">
        <v>222</v>
      </c>
      <c r="D96" s="106" t="s">
        <v>125</v>
      </c>
      <c r="E96" s="46">
        <f>'6.1Personnel List'!H174</f>
        <v>0</v>
      </c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2"/>
      <c r="AZ96" s="42"/>
      <c r="BA96" s="42"/>
      <c r="BB96" s="42"/>
      <c r="BC96" s="42"/>
      <c r="BD96" s="42"/>
      <c r="BE96" s="42"/>
      <c r="BF96" s="42"/>
      <c r="BG96" s="42"/>
      <c r="BH96" s="42"/>
      <c r="BJ96" s="42"/>
      <c r="BK96" s="42"/>
      <c r="BL96" s="42"/>
      <c r="BM96" s="42"/>
      <c r="BN96" s="42"/>
      <c r="BO96" s="42"/>
      <c r="BP96" s="42"/>
      <c r="BQ96" s="42"/>
      <c r="BR96" s="42"/>
      <c r="BS96" s="42"/>
      <c r="BT96" s="42"/>
      <c r="BU96" s="42"/>
      <c r="BV96" s="42"/>
      <c r="BW96" s="42"/>
      <c r="BX96" s="42"/>
      <c r="BY96" s="42"/>
      <c r="BZ96" s="42"/>
      <c r="CA96" s="42"/>
      <c r="CB96" s="42"/>
      <c r="CC96" s="42"/>
      <c r="CD96" s="42"/>
      <c r="CE96" s="42"/>
      <c r="CF96" s="42"/>
      <c r="CG96" s="42"/>
      <c r="CH96" s="42"/>
      <c r="CI96" s="42"/>
      <c r="CJ96" s="42"/>
      <c r="CK96" s="42"/>
      <c r="CL96" s="42"/>
      <c r="CM96" s="42"/>
      <c r="CN96" s="42"/>
      <c r="CO96" s="42"/>
      <c r="CP96" s="42"/>
      <c r="CQ96" s="42"/>
      <c r="CR96" s="42"/>
      <c r="CS96" s="42"/>
      <c r="CT96" s="42"/>
      <c r="CU96" s="42"/>
      <c r="CV96" s="42"/>
      <c r="CW96" s="42"/>
      <c r="CX96" s="42"/>
      <c r="CY96" s="42"/>
      <c r="CZ96" s="42"/>
      <c r="DA96" s="42"/>
      <c r="DB96" s="42"/>
      <c r="DC96" s="42"/>
      <c r="DD96" s="42"/>
      <c r="DE96" s="42"/>
      <c r="DF96" s="42"/>
      <c r="DG96" s="42"/>
      <c r="DH96" s="42"/>
      <c r="DI96" s="42"/>
      <c r="DJ96" s="42">
        <v>0.2</v>
      </c>
      <c r="DK96" s="42">
        <v>0.2</v>
      </c>
      <c r="DL96" s="42">
        <v>0.2</v>
      </c>
      <c r="DM96" s="42">
        <v>0.2</v>
      </c>
      <c r="DN96" s="42">
        <v>0.2</v>
      </c>
      <c r="DO96" s="42"/>
      <c r="DP96" s="42"/>
      <c r="DQ96" s="42"/>
      <c r="DR96" s="42"/>
      <c r="DS96" s="44"/>
      <c r="DT96" s="45">
        <f t="shared" ref="DT96" si="78">SUM(F96:DR96)</f>
        <v>1</v>
      </c>
    </row>
    <row r="97" spans="2:124" s="13" customFormat="1" x14ac:dyDescent="0.3">
      <c r="B97" s="4">
        <f>'6.1Personnel List'!B98</f>
        <v>85</v>
      </c>
      <c r="C97" s="105" t="s">
        <v>223</v>
      </c>
      <c r="D97" s="106" t="s">
        <v>130</v>
      </c>
      <c r="E97" s="46">
        <f>'6.1Personnel List'!H175</f>
        <v>0</v>
      </c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2"/>
      <c r="AY97" s="42"/>
      <c r="AZ97" s="42"/>
      <c r="BA97" s="42"/>
      <c r="BB97" s="42"/>
      <c r="BC97" s="42"/>
      <c r="BD97" s="42"/>
      <c r="BE97" s="42"/>
      <c r="BF97" s="42"/>
      <c r="BG97" s="42"/>
      <c r="BH97" s="42"/>
      <c r="BJ97" s="42"/>
      <c r="BK97" s="42"/>
      <c r="BL97" s="42"/>
      <c r="BM97" s="42"/>
      <c r="BN97" s="42"/>
      <c r="BO97" s="42"/>
      <c r="BP97" s="42"/>
      <c r="BQ97" s="42"/>
      <c r="BR97" s="42"/>
      <c r="BS97" s="42"/>
      <c r="BT97" s="42"/>
      <c r="BU97" s="42"/>
      <c r="BV97" s="42"/>
      <c r="BW97" s="42"/>
      <c r="BX97" s="42"/>
      <c r="BY97" s="42"/>
      <c r="BZ97" s="42"/>
      <c r="CA97" s="42"/>
      <c r="CB97" s="42"/>
      <c r="CC97" s="42"/>
      <c r="CD97" s="42"/>
      <c r="CE97" s="42"/>
      <c r="CF97" s="42"/>
      <c r="CG97" s="42"/>
      <c r="CH97" s="42"/>
      <c r="CI97" s="42"/>
      <c r="CJ97" s="42"/>
      <c r="CK97" s="42"/>
      <c r="CL97" s="42"/>
      <c r="CM97" s="42"/>
      <c r="CN97" s="42"/>
      <c r="CO97" s="42"/>
      <c r="CP97" s="42"/>
      <c r="CQ97" s="42"/>
      <c r="CR97" s="42"/>
      <c r="CS97" s="42"/>
      <c r="CT97" s="42"/>
      <c r="CU97" s="42"/>
      <c r="CV97" s="42"/>
      <c r="CW97" s="42"/>
      <c r="CX97" s="42"/>
      <c r="CY97" s="42"/>
      <c r="CZ97" s="42"/>
      <c r="DA97" s="42"/>
      <c r="DB97" s="42"/>
      <c r="DC97" s="42"/>
      <c r="DD97" s="42"/>
      <c r="DE97" s="42"/>
      <c r="DF97" s="42"/>
      <c r="DG97" s="42"/>
      <c r="DH97" s="42"/>
      <c r="DI97" s="42"/>
      <c r="DJ97" s="42"/>
      <c r="DK97" s="42"/>
      <c r="DL97" s="42"/>
      <c r="DM97" s="42"/>
      <c r="DN97" s="42">
        <v>1</v>
      </c>
      <c r="DO97" s="42"/>
      <c r="DP97" s="42"/>
      <c r="DQ97" s="42"/>
      <c r="DR97" s="42"/>
      <c r="DS97" s="44"/>
      <c r="DT97" s="45">
        <f t="shared" ref="DT97" si="79">SUM(F97:DR97)</f>
        <v>1</v>
      </c>
    </row>
    <row r="98" spans="2:124" s="13" customFormat="1" x14ac:dyDescent="0.3">
      <c r="B98" s="4">
        <f>'6.1Personnel List'!B99</f>
        <v>86</v>
      </c>
      <c r="C98" s="105" t="s">
        <v>224</v>
      </c>
      <c r="D98" s="106" t="s">
        <v>101</v>
      </c>
      <c r="E98" s="46">
        <f>'6.1Personnel List'!H176</f>
        <v>0</v>
      </c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  <c r="AX98" s="42"/>
      <c r="AY98" s="42"/>
      <c r="AZ98" s="42"/>
      <c r="BA98" s="42"/>
      <c r="BB98" s="42"/>
      <c r="BC98" s="42"/>
      <c r="BD98" s="42"/>
      <c r="BE98" s="42"/>
      <c r="BF98" s="42"/>
      <c r="BG98" s="42"/>
      <c r="BH98" s="42"/>
      <c r="BJ98" s="42"/>
      <c r="BK98" s="42"/>
      <c r="BL98" s="42"/>
      <c r="BM98" s="42"/>
      <c r="BN98" s="42"/>
      <c r="BO98" s="42"/>
      <c r="BP98" s="42"/>
      <c r="BQ98" s="42"/>
      <c r="BR98" s="42"/>
      <c r="BS98" s="42"/>
      <c r="BT98" s="42"/>
      <c r="BU98" s="42"/>
      <c r="BV98" s="42"/>
      <c r="BW98" s="42"/>
      <c r="BX98" s="42"/>
      <c r="BY98" s="42"/>
      <c r="BZ98" s="42"/>
      <c r="CA98" s="42"/>
      <c r="CB98" s="42"/>
      <c r="CC98" s="42"/>
      <c r="CD98" s="42"/>
      <c r="CE98" s="42"/>
      <c r="CF98" s="42"/>
      <c r="CG98" s="42"/>
      <c r="CH98" s="42"/>
      <c r="CI98" s="42"/>
      <c r="CJ98" s="42"/>
      <c r="CK98" s="42"/>
      <c r="CL98" s="42"/>
      <c r="CM98" s="42"/>
      <c r="CN98" s="42"/>
      <c r="CO98" s="42"/>
      <c r="CP98" s="42"/>
      <c r="CQ98" s="42"/>
      <c r="CR98" s="42"/>
      <c r="CS98" s="42"/>
      <c r="CT98" s="42"/>
      <c r="CU98" s="42"/>
      <c r="CV98" s="42"/>
      <c r="CW98" s="42"/>
      <c r="CX98" s="42"/>
      <c r="CY98" s="42"/>
      <c r="CZ98" s="42"/>
      <c r="DA98" s="42"/>
      <c r="DB98" s="42"/>
      <c r="DC98" s="42"/>
      <c r="DD98" s="42"/>
      <c r="DE98" s="42"/>
      <c r="DF98" s="42"/>
      <c r="DG98" s="42"/>
      <c r="DH98" s="42"/>
      <c r="DI98" s="42"/>
      <c r="DJ98" s="42"/>
      <c r="DK98" s="42"/>
      <c r="DL98" s="42"/>
      <c r="DM98" s="42"/>
      <c r="DN98" s="42">
        <v>1</v>
      </c>
      <c r="DO98" s="42"/>
      <c r="DP98" s="42"/>
      <c r="DQ98" s="42"/>
      <c r="DR98" s="42"/>
      <c r="DS98" s="44"/>
      <c r="DT98" s="45">
        <f t="shared" ref="DT98" si="80">SUM(F98:DR98)</f>
        <v>1</v>
      </c>
    </row>
    <row r="99" spans="2:124" s="13" customFormat="1" x14ac:dyDescent="0.3">
      <c r="B99" s="4">
        <f>'6.1Personnel List'!B100</f>
        <v>87</v>
      </c>
      <c r="C99" s="105" t="s">
        <v>225</v>
      </c>
      <c r="D99" s="106" t="s">
        <v>111</v>
      </c>
      <c r="E99" s="46">
        <f>'6.1Personnel List'!H177</f>
        <v>0</v>
      </c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2"/>
      <c r="AX99" s="42"/>
      <c r="AY99" s="42"/>
      <c r="AZ99" s="42"/>
      <c r="BA99" s="42"/>
      <c r="BB99" s="42"/>
      <c r="BC99" s="42"/>
      <c r="BD99" s="42"/>
      <c r="BE99" s="42"/>
      <c r="BF99" s="42"/>
      <c r="BG99" s="42"/>
      <c r="BH99" s="42"/>
      <c r="BJ99" s="42"/>
      <c r="BK99" s="42"/>
      <c r="BL99" s="42">
        <v>1</v>
      </c>
      <c r="BM99" s="42"/>
      <c r="BN99" s="42"/>
      <c r="BO99" s="42"/>
      <c r="BP99" s="42"/>
      <c r="BQ99" s="42"/>
      <c r="BR99" s="42"/>
      <c r="BS99" s="42"/>
      <c r="BT99" s="42"/>
      <c r="BU99" s="42"/>
      <c r="BV99" s="42"/>
      <c r="BW99" s="42"/>
      <c r="BX99" s="42"/>
      <c r="BY99" s="42"/>
      <c r="BZ99" s="42"/>
      <c r="CA99" s="42"/>
      <c r="CB99" s="42"/>
      <c r="CC99" s="42"/>
      <c r="CD99" s="42"/>
      <c r="CE99" s="42"/>
      <c r="CF99" s="42"/>
      <c r="CG99" s="42"/>
      <c r="CH99" s="42"/>
      <c r="CI99" s="42"/>
      <c r="CJ99" s="42"/>
      <c r="CK99" s="42"/>
      <c r="CL99" s="42"/>
      <c r="CM99" s="42"/>
      <c r="CN99" s="42"/>
      <c r="CO99" s="42"/>
      <c r="CP99" s="42"/>
      <c r="CQ99" s="42"/>
      <c r="CR99" s="42"/>
      <c r="CS99" s="42"/>
      <c r="CT99" s="42"/>
      <c r="CU99" s="42"/>
      <c r="CV99" s="42"/>
      <c r="CW99" s="42"/>
      <c r="CX99" s="42"/>
      <c r="CY99" s="42"/>
      <c r="CZ99" s="42"/>
      <c r="DA99" s="42"/>
      <c r="DB99" s="42"/>
      <c r="DC99" s="42"/>
      <c r="DD99" s="42"/>
      <c r="DE99" s="42"/>
      <c r="DF99" s="42"/>
      <c r="DG99" s="42"/>
      <c r="DH99" s="42"/>
      <c r="DI99" s="42"/>
      <c r="DJ99" s="42"/>
      <c r="DK99" s="42"/>
      <c r="DL99" s="42"/>
      <c r="DM99" s="42"/>
      <c r="DN99" s="42"/>
      <c r="DO99" s="42"/>
      <c r="DP99" s="42"/>
      <c r="DQ99" s="42"/>
      <c r="DR99" s="42"/>
      <c r="DS99" s="44"/>
      <c r="DT99" s="45">
        <f t="shared" ref="DT99" si="81">SUM(F99:DR99)</f>
        <v>1</v>
      </c>
    </row>
    <row r="100" spans="2:124" s="13" customFormat="1" x14ac:dyDescent="0.3">
      <c r="B100" s="4">
        <f>'6.1Personnel List'!B101</f>
        <v>88</v>
      </c>
      <c r="C100" s="105" t="s">
        <v>226</v>
      </c>
      <c r="D100" s="106" t="s">
        <v>115</v>
      </c>
      <c r="E100" s="46">
        <f>'6.1Personnel List'!H120</f>
        <v>0</v>
      </c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  <c r="AX100" s="42"/>
      <c r="AY100" s="42"/>
      <c r="AZ100" s="42"/>
      <c r="BA100" s="42"/>
      <c r="BB100" s="42"/>
      <c r="BC100" s="42"/>
      <c r="BD100" s="42"/>
      <c r="BE100" s="42"/>
      <c r="BF100" s="42"/>
      <c r="BG100" s="42"/>
      <c r="BH100" s="42"/>
      <c r="BJ100" s="42"/>
      <c r="BK100" s="42"/>
      <c r="BL100" s="42"/>
      <c r="BM100" s="42"/>
      <c r="BN100" s="42"/>
      <c r="BO100" s="42"/>
      <c r="BP100" s="42"/>
      <c r="BQ100" s="42"/>
      <c r="BR100" s="42"/>
      <c r="BS100" s="42"/>
      <c r="BT100" s="42"/>
      <c r="BU100" s="42"/>
      <c r="BV100" s="42"/>
      <c r="BW100" s="42"/>
      <c r="BX100" s="42"/>
      <c r="BY100" s="42"/>
      <c r="BZ100" s="42"/>
      <c r="CA100" s="42"/>
      <c r="CB100" s="42"/>
      <c r="CC100" s="42">
        <v>1</v>
      </c>
      <c r="CD100" s="42"/>
      <c r="CE100" s="42"/>
      <c r="CF100" s="42"/>
      <c r="CG100" s="42"/>
      <c r="CH100" s="42"/>
      <c r="CI100" s="42"/>
      <c r="CJ100" s="42"/>
      <c r="CK100" s="42"/>
      <c r="CL100" s="42"/>
      <c r="CM100" s="42"/>
      <c r="CN100" s="42"/>
      <c r="CO100" s="42"/>
      <c r="CP100" s="42"/>
      <c r="CQ100" s="42"/>
      <c r="CR100" s="42"/>
      <c r="CS100" s="42"/>
      <c r="CT100" s="42"/>
      <c r="CU100" s="42"/>
      <c r="CV100" s="42"/>
      <c r="CW100" s="42"/>
      <c r="CX100" s="42"/>
      <c r="CY100" s="42"/>
      <c r="CZ100" s="42"/>
      <c r="DA100" s="42"/>
      <c r="DB100" s="42"/>
      <c r="DC100" s="42"/>
      <c r="DD100" s="42"/>
      <c r="DE100" s="42"/>
      <c r="DF100" s="42"/>
      <c r="DG100" s="42"/>
      <c r="DH100" s="42"/>
      <c r="DI100" s="42"/>
      <c r="DJ100" s="42"/>
      <c r="DK100" s="42"/>
      <c r="DL100" s="42"/>
      <c r="DM100" s="42"/>
      <c r="DN100" s="42"/>
      <c r="DO100" s="42"/>
      <c r="DP100" s="42"/>
      <c r="DQ100" s="42"/>
      <c r="DR100" s="42"/>
      <c r="DS100" s="44"/>
      <c r="DT100" s="45">
        <f t="shared" ref="DT100" si="82">SUM(F100:DR100)</f>
        <v>1</v>
      </c>
    </row>
    <row r="101" spans="2:124" x14ac:dyDescent="0.3">
      <c r="C101" s="7"/>
      <c r="D101" s="7"/>
      <c r="E101" s="8"/>
    </row>
    <row r="102" spans="2:124" x14ac:dyDescent="0.3">
      <c r="C102" s="7"/>
      <c r="D102" s="7"/>
      <c r="E102" s="8"/>
    </row>
    <row r="103" spans="2:124" x14ac:dyDescent="0.3">
      <c r="C103" s="6"/>
      <c r="D103" s="6"/>
      <c r="E103" s="8"/>
    </row>
    <row r="104" spans="2:124" x14ac:dyDescent="0.3">
      <c r="C104" s="7"/>
      <c r="D104" s="7"/>
      <c r="E104" s="8"/>
    </row>
    <row r="105" spans="2:124" x14ac:dyDescent="0.3">
      <c r="C105" s="7"/>
      <c r="D105" s="7"/>
      <c r="E105" s="8"/>
    </row>
    <row r="106" spans="2:124" x14ac:dyDescent="0.3">
      <c r="C106" s="6"/>
      <c r="D106" s="6"/>
      <c r="E106" s="8"/>
    </row>
    <row r="107" spans="2:124" x14ac:dyDescent="0.3">
      <c r="C107" s="7"/>
      <c r="D107" s="7"/>
      <c r="E107" s="8"/>
    </row>
    <row r="108" spans="2:124" x14ac:dyDescent="0.3">
      <c r="C108" s="7"/>
      <c r="D108" s="7"/>
      <c r="E108" s="8"/>
    </row>
    <row r="109" spans="2:124" x14ac:dyDescent="0.3">
      <c r="C109" s="6"/>
      <c r="D109" s="6"/>
      <c r="E109" s="8"/>
    </row>
    <row r="110" spans="2:124" x14ac:dyDescent="0.3">
      <c r="C110" s="7"/>
      <c r="D110" s="7"/>
      <c r="E110" s="8"/>
    </row>
    <row r="111" spans="2:124" x14ac:dyDescent="0.3">
      <c r="C111" s="7"/>
      <c r="D111" s="7"/>
      <c r="E111" s="8"/>
    </row>
    <row r="112" spans="2:124" x14ac:dyDescent="0.3">
      <c r="C112" s="6"/>
      <c r="D112" s="6"/>
      <c r="E112" s="8"/>
    </row>
    <row r="113" spans="3:5" x14ac:dyDescent="0.3">
      <c r="C113" s="7"/>
      <c r="D113" s="7"/>
      <c r="E113" s="8"/>
    </row>
    <row r="114" spans="3:5" x14ac:dyDescent="0.3">
      <c r="C114" s="7"/>
      <c r="D114" s="7"/>
      <c r="E114" s="8"/>
    </row>
    <row r="115" spans="3:5" x14ac:dyDescent="0.3">
      <c r="C115" s="5"/>
      <c r="D115" s="6"/>
      <c r="E115" s="8"/>
    </row>
    <row r="116" spans="3:5" x14ac:dyDescent="0.3">
      <c r="C116" s="7"/>
      <c r="D116" s="7"/>
      <c r="E116" s="8"/>
    </row>
    <row r="117" spans="3:5" x14ac:dyDescent="0.3">
      <c r="C117" s="7"/>
      <c r="D117" s="7"/>
      <c r="E117" s="8"/>
    </row>
    <row r="118" spans="3:5" x14ac:dyDescent="0.3">
      <c r="C118" s="5"/>
      <c r="D118" s="9"/>
      <c r="E118" s="10"/>
    </row>
    <row r="119" spans="3:5" x14ac:dyDescent="0.3">
      <c r="C119" s="9"/>
      <c r="D119" s="9"/>
      <c r="E119" s="10"/>
    </row>
    <row r="120" spans="3:5" x14ac:dyDescent="0.3">
      <c r="C120" s="7"/>
      <c r="D120" s="7"/>
      <c r="E120" s="8"/>
    </row>
    <row r="121" spans="3:5" x14ac:dyDescent="0.3">
      <c r="C121" s="7"/>
      <c r="D121" s="7"/>
      <c r="E121" s="8"/>
    </row>
    <row r="122" spans="3:5" x14ac:dyDescent="0.3">
      <c r="C122" s="9"/>
      <c r="D122" s="9"/>
      <c r="E122" s="10"/>
    </row>
    <row r="123" spans="3:5" x14ac:dyDescent="0.3">
      <c r="C123" s="7"/>
      <c r="D123" s="7"/>
      <c r="E123" s="8"/>
    </row>
    <row r="124" spans="3:5" x14ac:dyDescent="0.3">
      <c r="C124" s="7"/>
      <c r="D124" s="7"/>
      <c r="E124" s="8"/>
    </row>
    <row r="125" spans="3:5" x14ac:dyDescent="0.3">
      <c r="C125" s="9"/>
      <c r="D125" s="9"/>
      <c r="E125" s="10"/>
    </row>
    <row r="126" spans="3:5" x14ac:dyDescent="0.3">
      <c r="C126" s="7"/>
      <c r="D126" s="7"/>
      <c r="E126" s="8"/>
    </row>
    <row r="127" spans="3:5" x14ac:dyDescent="0.3">
      <c r="C127" s="7"/>
      <c r="D127" s="7"/>
      <c r="E127" s="8"/>
    </row>
    <row r="128" spans="3:5" x14ac:dyDescent="0.3">
      <c r="C128" s="5"/>
      <c r="D128" s="5"/>
      <c r="E128" s="11"/>
    </row>
    <row r="129" spans="3:5" x14ac:dyDescent="0.3">
      <c r="C129" s="9"/>
      <c r="D129" s="9"/>
      <c r="E129" s="10"/>
    </row>
    <row r="130" spans="3:5" x14ac:dyDescent="0.3">
      <c r="C130" s="7"/>
      <c r="D130" s="7"/>
      <c r="E130" s="12"/>
    </row>
    <row r="131" spans="3:5" x14ac:dyDescent="0.3">
      <c r="C131" s="7"/>
      <c r="D131" s="7"/>
      <c r="E131" s="12"/>
    </row>
    <row r="132" spans="3:5" x14ac:dyDescent="0.3">
      <c r="C132" s="9"/>
      <c r="D132" s="9"/>
      <c r="E132" s="10"/>
    </row>
    <row r="133" spans="3:5" x14ac:dyDescent="0.3">
      <c r="C133" s="7"/>
      <c r="D133" s="7"/>
      <c r="E133" s="12"/>
    </row>
    <row r="134" spans="3:5" x14ac:dyDescent="0.3">
      <c r="C134" s="7"/>
      <c r="D134" s="7"/>
      <c r="E134" s="12"/>
    </row>
    <row r="135" spans="3:5" x14ac:dyDescent="0.3">
      <c r="C135" s="9"/>
      <c r="D135" s="9"/>
      <c r="E135" s="10"/>
    </row>
    <row r="136" spans="3:5" x14ac:dyDescent="0.3">
      <c r="C136" s="7"/>
      <c r="D136" s="7"/>
      <c r="E136" s="12"/>
    </row>
    <row r="137" spans="3:5" x14ac:dyDescent="0.3">
      <c r="C137" s="7"/>
      <c r="D137" s="7"/>
      <c r="E137" s="12"/>
    </row>
    <row r="138" spans="3:5" x14ac:dyDescent="0.3">
      <c r="C138" s="7"/>
      <c r="D138" s="7"/>
      <c r="E138" s="12"/>
    </row>
    <row r="139" spans="3:5" x14ac:dyDescent="0.3">
      <c r="C139" s="5"/>
      <c r="D139" s="5"/>
      <c r="E139" s="11"/>
    </row>
    <row r="140" spans="3:5" x14ac:dyDescent="0.3">
      <c r="C140" s="7"/>
      <c r="D140" s="7"/>
      <c r="E140" s="12"/>
    </row>
    <row r="141" spans="3:5" x14ac:dyDescent="0.3">
      <c r="C141" s="7"/>
      <c r="D141" s="7"/>
      <c r="E141" s="12"/>
    </row>
    <row r="142" spans="3:5" x14ac:dyDescent="0.3">
      <c r="C142" s="7"/>
      <c r="D142" s="7"/>
      <c r="E142" s="12"/>
    </row>
    <row r="143" spans="3:5" x14ac:dyDescent="0.3">
      <c r="C143" s="7"/>
      <c r="D143" s="7"/>
      <c r="E143" s="12"/>
    </row>
    <row r="144" spans="3:5" x14ac:dyDescent="0.3">
      <c r="C144" s="7"/>
      <c r="D144" s="7"/>
      <c r="E144" s="12"/>
    </row>
    <row r="145" spans="3:5" x14ac:dyDescent="0.3">
      <c r="C145" s="7"/>
      <c r="D145" s="7"/>
      <c r="E145" s="12"/>
    </row>
  </sheetData>
  <sheetProtection formatColumns="0" formatRows="0" sort="0" autoFilter="0"/>
  <mergeCells count="8">
    <mergeCell ref="CU11:DR11"/>
    <mergeCell ref="B4:E4"/>
    <mergeCell ref="B8:E8"/>
    <mergeCell ref="G11:X11"/>
    <mergeCell ref="Y11:AP11"/>
    <mergeCell ref="AQ11:BH11"/>
    <mergeCell ref="BJ11:CA11"/>
    <mergeCell ref="CB11:CT11"/>
  </mergeCells>
  <dataValidations count="2">
    <dataValidation type="decimal" allowBlank="1" showInputMessage="1" showErrorMessage="1" promptTitle="Enter a number between 0 and 1" prompt="For example, 1=full time; 0.5=half time" sqref="E120:E127 E129:E138 E140:E145 E101:E117">
      <formula1>0</formula1>
      <formula2>1</formula2>
    </dataValidation>
    <dataValidation type="decimal" operator="greaterThanOrEqual" allowBlank="1" showInputMessage="1" showErrorMessage="1" sqref="G13:BH100 BJ13:DR100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67"/>
  <sheetViews>
    <sheetView topLeftCell="A36" workbookViewId="0">
      <selection activeCell="B2" sqref="B2:B67"/>
    </sheetView>
  </sheetViews>
  <sheetFormatPr defaultColWidth="9.140625" defaultRowHeight="15" x14ac:dyDescent="0.25"/>
  <cols>
    <col min="1" max="1" width="9.140625" style="84"/>
    <col min="2" max="2" width="58.140625" style="84" bestFit="1" customWidth="1"/>
    <col min="3" max="16384" width="9.140625" style="84"/>
  </cols>
  <sheetData>
    <row r="1" spans="1:2" ht="14.45" x14ac:dyDescent="0.35">
      <c r="B1" s="85" t="s">
        <v>97</v>
      </c>
    </row>
    <row r="2" spans="1:2" ht="14.45" x14ac:dyDescent="0.35">
      <c r="A2" s="84">
        <v>1</v>
      </c>
      <c r="B2" s="84" t="str">
        <f>IF('6.1Personnel List'!$D$4="Level I",'Level I_Departments'!C4,'Level IIandIII_Departments'!C4)</f>
        <v>Administrative/Overhead services -&gt; Office of the Medical Center Chief</v>
      </c>
    </row>
    <row r="3" spans="1:2" ht="14.45" x14ac:dyDescent="0.35">
      <c r="A3" s="84">
        <f t="shared" ref="A3:A34" si="0">A2+1</f>
        <v>2</v>
      </c>
      <c r="B3" s="84" t="str">
        <f>IF('6.1Personnel List'!$D$4="Level I",'Level I_Departments'!C5,'Level IIandIII_Departments'!C5)</f>
        <v>Administrative/Overhead services -&gt; IT Department</v>
      </c>
    </row>
    <row r="4" spans="1:2" ht="14.45" x14ac:dyDescent="0.35">
      <c r="A4" s="84">
        <f t="shared" si="0"/>
        <v>3</v>
      </c>
      <c r="B4" s="84" t="str">
        <f>IF('6.1Personnel List'!$D$4="Level I",'Level I_Departments'!C6,'Level IIandIII_Departments'!C6)</f>
        <v>Administrative/Overhead services -&gt; Office of the Administrative Officer</v>
      </c>
    </row>
    <row r="5" spans="1:2" ht="14.45" x14ac:dyDescent="0.35">
      <c r="A5" s="84">
        <f t="shared" si="0"/>
        <v>4</v>
      </c>
      <c r="B5" s="84" t="str">
        <f>IF('6.1Personnel List'!$D$4="Level I",'Level I_Departments'!C7,'Level IIandIII_Departments'!C7)</f>
        <v>Administrative/Overhead services -&gt; Human Resource Management</v>
      </c>
    </row>
    <row r="6" spans="1:2" ht="14.45" x14ac:dyDescent="0.35">
      <c r="A6" s="84">
        <f t="shared" si="0"/>
        <v>5</v>
      </c>
      <c r="B6" s="84" t="str">
        <f>IF('6.1Personnel List'!$D$4="Level I",'Level I_Departments'!C8,'Level IIandIII_Departments'!C8)</f>
        <v>Administrative/Overhead services -&gt; Procurement</v>
      </c>
    </row>
    <row r="7" spans="1:2" ht="14.45" x14ac:dyDescent="0.35">
      <c r="A7" s="84">
        <f t="shared" si="0"/>
        <v>6</v>
      </c>
      <c r="B7" s="84" t="str">
        <f>IF('6.1Personnel List'!$D$4="Level I",'Level I_Departments'!C9,'Level IIandIII_Departments'!C9)</f>
        <v>Administrative/Overhead services -&gt; Materials Management</v>
      </c>
    </row>
    <row r="8" spans="1:2" ht="14.45" x14ac:dyDescent="0.35">
      <c r="A8" s="84">
        <f t="shared" si="0"/>
        <v>7</v>
      </c>
      <c r="B8" s="84" t="str">
        <f>IF('6.1Personnel List'!$D$4="Level I",'Level I_Departments'!C10,'Level IIandIII_Departments'!C10)</f>
        <v>Administrative/Overhead services -&gt; Engineering and Facilities Management</v>
      </c>
    </row>
    <row r="9" spans="1:2" ht="14.45" x14ac:dyDescent="0.35">
      <c r="A9" s="84">
        <f t="shared" si="0"/>
        <v>8</v>
      </c>
      <c r="B9" s="84" t="str">
        <f>IF('6.1Personnel List'!$D$4="Level I",'Level I_Departments'!C11,'Level IIandIII_Departments'!C11)</f>
        <v xml:space="preserve">Administrative/Overhead services -&gt; Housekeeping </v>
      </c>
    </row>
    <row r="10" spans="1:2" ht="14.45" x14ac:dyDescent="0.35">
      <c r="A10" s="84">
        <f t="shared" si="0"/>
        <v>9</v>
      </c>
      <c r="B10" s="84" t="str">
        <f>IF('6.1Personnel List'!$D$4="Level I",'Level I_Departments'!C12,'Level IIandIII_Departments'!C12)</f>
        <v>Administrative/Overhead services -&gt; Budget and Accounting</v>
      </c>
    </row>
    <row r="11" spans="1:2" ht="14.45" x14ac:dyDescent="0.35">
      <c r="A11" s="84">
        <f t="shared" si="0"/>
        <v>10</v>
      </c>
      <c r="B11" s="84" t="str">
        <f>IF('6.1Personnel List'!$D$4="Level I",'Level I_Departments'!C13,'Level IIandIII_Departments'!C13)</f>
        <v>Administrative/Overhead services -&gt; Medical Social Work</v>
      </c>
    </row>
    <row r="12" spans="1:2" ht="14.45" x14ac:dyDescent="0.35">
      <c r="A12" s="84">
        <f t="shared" si="0"/>
        <v>11</v>
      </c>
      <c r="B12" s="84" t="str">
        <f>IF('6.1Personnel List'!$D$4="Level I",'Level I_Departments'!C14,'Level IIandIII_Departments'!C14)</f>
        <v>Administrative/Overhead services -&gt; Office of the Chief Nurse</v>
      </c>
    </row>
    <row r="13" spans="1:2" ht="14.45" x14ac:dyDescent="0.35">
      <c r="A13" s="84">
        <f t="shared" si="0"/>
        <v>12</v>
      </c>
      <c r="B13" s="84" t="str">
        <f>IF('6.1Personnel List'!$D$4="Level I",'Level I_Departments'!C15,'Level IIandIII_Departments'!C15)</f>
        <v>Administrative/Overhead services -&gt; Health Info Mgt (Admitting)</v>
      </c>
    </row>
    <row r="14" spans="1:2" ht="14.45" x14ac:dyDescent="0.35">
      <c r="A14" s="84">
        <f t="shared" si="0"/>
        <v>13</v>
      </c>
      <c r="B14" s="84" t="str">
        <f>IF('6.1Personnel List'!$D$4="Level I",'Level I_Departments'!C16,'Level IIandIII_Departments'!C16)</f>
        <v>Administrative/Overhead services -&gt; Central Supply Office</v>
      </c>
    </row>
    <row r="15" spans="1:2" ht="14.45" x14ac:dyDescent="0.35">
      <c r="A15" s="84">
        <f t="shared" si="0"/>
        <v>14</v>
      </c>
      <c r="B15" s="84" t="str">
        <f>IF('6.1Personnel List'!$D$4="Level I",'Level I_Departments'!C17,'Level IIandIII_Departments'!C17)</f>
        <v>Administrative/Overhead services -&gt; Billing and Claims</v>
      </c>
    </row>
    <row r="16" spans="1:2" ht="14.45" x14ac:dyDescent="0.35">
      <c r="A16" s="84">
        <f t="shared" si="0"/>
        <v>15</v>
      </c>
      <c r="B16" s="84" t="str">
        <f>IF('6.1Personnel List'!$D$4="Level I",'Level I_Departments'!C18,'Level IIandIII_Departments'!C18)</f>
        <v>Administrative/Overhead services -&gt; Cash Operations</v>
      </c>
    </row>
    <row r="17" spans="1:2" ht="14.45" x14ac:dyDescent="0.35">
      <c r="A17" s="84">
        <f t="shared" si="0"/>
        <v>16</v>
      </c>
      <c r="B17" s="84" t="str">
        <f>IF('6.1Personnel List'!$D$4="Level I",'Level I_Departments'!C19,'Level IIandIII_Departments'!C19)</f>
        <v>Administrative/Overhead services -&gt; Security</v>
      </c>
    </row>
    <row r="18" spans="1:2" ht="14.45" x14ac:dyDescent="0.35">
      <c r="A18" s="84">
        <f t="shared" si="0"/>
        <v>17</v>
      </c>
      <c r="B18" s="84" t="str">
        <f>IF('6.1Personnel List'!$D$4="Level I",'Level I_Departments'!C20,'Level IIandIII_Departments'!C20)</f>
        <v>Administrative/Overhead services -&gt; Office of the Chief of Medical Professional Staff / Chief of Clinics</v>
      </c>
    </row>
    <row r="19" spans="1:2" ht="14.45" x14ac:dyDescent="0.35">
      <c r="A19" s="84">
        <f t="shared" si="0"/>
        <v>18</v>
      </c>
      <c r="B19" s="84" t="str">
        <f>IF('6.1Personnel List'!$D$4="Level I",'Level I_Departments'!C21,'Level IIandIII_Departments'!C21)</f>
        <v>Administrative/Overhead services -&gt; Others</v>
      </c>
    </row>
    <row r="20" spans="1:2" ht="14.45" x14ac:dyDescent="0.35">
      <c r="A20" s="84">
        <f t="shared" si="0"/>
        <v>19</v>
      </c>
      <c r="B20" s="84" t="str">
        <f>IF('6.1Personnel List'!$D$4="Level I",'Level I_Departments'!C22,'Level IIandIII_Departments'!C22)</f>
        <v>Ancillary services/Support services -&gt; Laundry</v>
      </c>
    </row>
    <row r="21" spans="1:2" ht="14.45" x14ac:dyDescent="0.35">
      <c r="A21" s="84">
        <f t="shared" si="0"/>
        <v>20</v>
      </c>
      <c r="B21" s="84" t="str">
        <f>IF('6.1Personnel List'!$D$4="Level I",'Level I_Departments'!C23,'Level IIandIII_Departments'!C23)</f>
        <v>Ancillary services/Support services -&gt; Nutrition and Dietetics</v>
      </c>
    </row>
    <row r="22" spans="1:2" ht="14.45" x14ac:dyDescent="0.35">
      <c r="A22" s="84">
        <f t="shared" si="0"/>
        <v>21</v>
      </c>
      <c r="B22" s="84" t="str">
        <f>IF('6.1Personnel List'!$D$4="Level I",'Level I_Departments'!C24,'Level IIandIII_Departments'!C24)</f>
        <v>Ancillary services/Support services -&gt; Sterilization</v>
      </c>
    </row>
    <row r="23" spans="1:2" ht="14.45" x14ac:dyDescent="0.35">
      <c r="A23" s="84">
        <f t="shared" si="0"/>
        <v>22</v>
      </c>
      <c r="B23" s="84" t="str">
        <f>IF('6.1Personnel List'!$D$4="Level I",'Level I_Departments'!C25,'Level IIandIII_Departments'!C25)</f>
        <v>Ancillary services/Support services -&gt; Pharmacy</v>
      </c>
    </row>
    <row r="24" spans="1:2" ht="14.45" x14ac:dyDescent="0.35">
      <c r="A24" s="84">
        <f t="shared" si="0"/>
        <v>23</v>
      </c>
      <c r="B24" s="84" t="str">
        <f>IF('6.1Personnel List'!$D$4="Level I",'Level I_Departments'!C26,'Level IIandIII_Departments'!C26)</f>
        <v>Ancillary services/Support services -&gt; Blood Bank</v>
      </c>
    </row>
    <row r="25" spans="1:2" ht="14.45" x14ac:dyDescent="0.35">
      <c r="A25" s="84">
        <f t="shared" si="0"/>
        <v>24</v>
      </c>
      <c r="B25" s="84" t="str">
        <f>IF('6.1Personnel List'!$D$4="Level I",'Level I_Departments'!C27,'Level IIandIII_Departments'!C27)</f>
        <v>Ancillary services/Support services -&gt; Laboratory</v>
      </c>
    </row>
    <row r="26" spans="1:2" ht="14.45" x14ac:dyDescent="0.35">
      <c r="A26" s="84">
        <f t="shared" si="0"/>
        <v>25</v>
      </c>
      <c r="B26" s="84" t="str">
        <f>IF('6.1Personnel List'!$D$4="Level I",'Level I_Departments'!C28,'Level IIandIII_Departments'!C28)</f>
        <v>Ancillary services/Support services -&gt; Radiology / Diagnostic Imaging (CT Scan, MRI, ECG, Mammography, Endoscopy)</v>
      </c>
    </row>
    <row r="27" spans="1:2" ht="14.45" x14ac:dyDescent="0.35">
      <c r="A27" s="84">
        <f t="shared" si="0"/>
        <v>26</v>
      </c>
      <c r="B27" s="84" t="str">
        <f>IF('6.1Personnel List'!$D$4="Level I",'Level I_Departments'!C29,'Level IIandIII_Departments'!C29)</f>
        <v>Ancillary services/Support services -&gt; Heart Station</v>
      </c>
    </row>
    <row r="28" spans="1:2" ht="14.45" x14ac:dyDescent="0.35">
      <c r="A28" s="84">
        <f t="shared" si="0"/>
        <v>27</v>
      </c>
      <c r="B28" s="84" t="str">
        <f>IF('6.1Personnel List'!$D$4="Level I",'Level I_Departments'!C30,'Level IIandIII_Departments'!C30)</f>
        <v>Ancillary services/Support services -&gt; Physiotherapy / Rehabilitation</v>
      </c>
    </row>
    <row r="29" spans="1:2" ht="14.45" x14ac:dyDescent="0.35">
      <c r="A29" s="84">
        <f t="shared" si="0"/>
        <v>28</v>
      </c>
      <c r="B29" s="84" t="str">
        <f>IF('6.1Personnel List'!$D$4="Level I",'Level I_Departments'!C31,'Level IIandIII_Departments'!C31)</f>
        <v>Ancillary services/Support services -&gt; Delivery Room</v>
      </c>
    </row>
    <row r="30" spans="1:2" ht="14.45" x14ac:dyDescent="0.35">
      <c r="A30" s="84">
        <f t="shared" si="0"/>
        <v>29</v>
      </c>
      <c r="B30" s="84" t="str">
        <f>IF('6.1Personnel List'!$D$4="Level I",'Level I_Departments'!C32,'Level IIandIII_Departments'!C32)</f>
        <v>Ancillary services/Support services -&gt; Operating Room / Aneasthesiology / PACU / Recovery Room</v>
      </c>
    </row>
    <row r="31" spans="1:2" ht="14.45" x14ac:dyDescent="0.35">
      <c r="A31" s="84">
        <f t="shared" si="0"/>
        <v>30</v>
      </c>
      <c r="B31" s="84" t="str">
        <f>IF('6.1Personnel List'!$D$4="Level I",'Level I_Departments'!C33,'Level IIandIII_Departments'!C33)</f>
        <v>Ancillary services/Support services -&gt; Respiratory Unit</v>
      </c>
    </row>
    <row r="32" spans="1:2" ht="14.45" x14ac:dyDescent="0.35">
      <c r="A32" s="84">
        <f t="shared" si="0"/>
        <v>31</v>
      </c>
      <c r="B32" s="84" t="str">
        <f>IF('6.1Personnel List'!$D$4="Level I",'Level I_Departments'!C34,'Level IIandIII_Departments'!C34)</f>
        <v>Ancillary services/Support services -&gt; Medical ICU</v>
      </c>
    </row>
    <row r="33" spans="1:2" ht="14.45" x14ac:dyDescent="0.35">
      <c r="A33" s="84">
        <f t="shared" si="0"/>
        <v>32</v>
      </c>
      <c r="B33" s="84" t="str">
        <f>IF('6.1Personnel List'!$D$4="Level I",'Level I_Departments'!C35,'Level IIandIII_Departments'!C35)</f>
        <v>Ancillary services/Support services -&gt; Neonatal ICU*</v>
      </c>
    </row>
    <row r="34" spans="1:2" ht="14.45" x14ac:dyDescent="0.35">
      <c r="A34" s="84">
        <f t="shared" si="0"/>
        <v>33</v>
      </c>
      <c r="B34" s="84" t="str">
        <f>IF('6.1Personnel List'!$D$4="Level I",'Level I_Departments'!C36,'Level IIandIII_Departments'!C36)</f>
        <v>Ancillary services/Support services -&gt; Surgical ICU*</v>
      </c>
    </row>
    <row r="35" spans="1:2" ht="14.45" x14ac:dyDescent="0.35">
      <c r="A35" s="84">
        <f t="shared" ref="A35:A67" si="1">A34+1</f>
        <v>34</v>
      </c>
      <c r="B35" s="84" t="str">
        <f>IF('6.1Personnel List'!$D$4="Level I",'Level I_Departments'!C37,'Level IIandIII_Departments'!C37)</f>
        <v>Ancillary services/Support services -&gt; Pediatric ICU*</v>
      </c>
    </row>
    <row r="36" spans="1:2" ht="14.45" x14ac:dyDescent="0.35">
      <c r="A36" s="84">
        <f t="shared" si="1"/>
        <v>35</v>
      </c>
      <c r="B36" s="84" t="str">
        <f>IF('6.1Personnel List'!$D$4="Level I",'Level I_Departments'!C38,'Level IIandIII_Departments'!C38)</f>
        <v>Ancillary services/Support services -&gt; Burn Unit</v>
      </c>
    </row>
    <row r="37" spans="1:2" ht="14.45" x14ac:dyDescent="0.35">
      <c r="A37" s="84">
        <f t="shared" si="1"/>
        <v>36</v>
      </c>
      <c r="B37" s="84" t="str">
        <f>IF('6.1Personnel List'!$D$4="Level I",'Level I_Departments'!C39,'Level IIandIII_Departments'!C39)</f>
        <v>Ancillary services/Support services -&gt; Morgue</v>
      </c>
    </row>
    <row r="38" spans="1:2" ht="14.45" x14ac:dyDescent="0.35">
      <c r="A38" s="84">
        <f t="shared" si="1"/>
        <v>37</v>
      </c>
      <c r="B38" s="84" t="str">
        <f>IF('6.1Personnel List'!$D$4="Level I",'Level I_Departments'!C40,'Level IIandIII_Departments'!C40)</f>
        <v>Ancillary services/Support services -&gt; Others</v>
      </c>
    </row>
    <row r="39" spans="1:2" ht="14.45" x14ac:dyDescent="0.35">
      <c r="A39" s="84">
        <f t="shared" si="1"/>
        <v>38</v>
      </c>
      <c r="B39" s="84" t="str">
        <f>IF('6.1Personnel List'!$D$4="Level I",'Level I_Departments'!C41,'Level IIandIII_Departments'!C41)</f>
        <v>Clinical/Medical services -&gt; Outpatient Department</v>
      </c>
    </row>
    <row r="40" spans="1:2" ht="14.45" x14ac:dyDescent="0.35">
      <c r="A40" s="84">
        <f t="shared" si="1"/>
        <v>39</v>
      </c>
      <c r="B40" s="84" t="str">
        <f>IF('6.1Personnel List'!$D$4="Level I",'Level I_Departments'!C42,'Level IIandIII_Departments'!C42)</f>
        <v>Clinical/Medical services -&gt; Animal Bite Center</v>
      </c>
    </row>
    <row r="41" spans="1:2" ht="14.45" x14ac:dyDescent="0.35">
      <c r="A41" s="84">
        <f t="shared" si="1"/>
        <v>40</v>
      </c>
      <c r="B41" s="84" t="str">
        <f>IF('6.1Personnel List'!$D$4="Level I",'Level I_Departments'!C43,'Level IIandIII_Departments'!C43)</f>
        <v>Clinical/Medical services -&gt; TB Dots</v>
      </c>
    </row>
    <row r="42" spans="1:2" ht="14.45" x14ac:dyDescent="0.35">
      <c r="A42" s="84">
        <f t="shared" si="1"/>
        <v>41</v>
      </c>
      <c r="B42" s="84" t="str">
        <f>IF('6.1Personnel List'!$D$4="Level I",'Level I_Departments'!C44,'Level IIandIII_Departments'!C44)</f>
        <v>Clinical/Medical services -&gt; HIV Aids</v>
      </c>
    </row>
    <row r="43" spans="1:2" ht="14.45" x14ac:dyDescent="0.35">
      <c r="A43" s="84">
        <f t="shared" si="1"/>
        <v>42</v>
      </c>
      <c r="B43" s="84" t="str">
        <f>IF('6.1Personnel List'!$D$4="Level I",'Level I_Departments'!C45,'Level IIandIII_Departments'!C45)</f>
        <v>Clinical/Medical services -&gt; Family Planning Unit</v>
      </c>
    </row>
    <row r="44" spans="1:2" ht="14.45" x14ac:dyDescent="0.35">
      <c r="A44" s="84">
        <f t="shared" si="1"/>
        <v>43</v>
      </c>
      <c r="B44" s="84" t="str">
        <f>IF('6.1Personnel List'!$D$4="Level I",'Level I_Departments'!C46,'Level IIandIII_Departments'!C46)</f>
        <v>Clinical/Medical services -&gt; Smoking Cessation</v>
      </c>
    </row>
    <row r="45" spans="1:2" ht="14.45" x14ac:dyDescent="0.35">
      <c r="A45" s="84">
        <f t="shared" si="1"/>
        <v>44</v>
      </c>
      <c r="B45" s="84" t="str">
        <f>IF('6.1Personnel List'!$D$4="Level I",'Level I_Departments'!C47,'Level IIandIII_Departments'!C47)</f>
        <v>Clinical/Medical services -&gt; Malaria</v>
      </c>
    </row>
    <row r="46" spans="1:2" ht="14.45" x14ac:dyDescent="0.35">
      <c r="A46" s="84">
        <f t="shared" si="1"/>
        <v>45</v>
      </c>
      <c r="B46" s="84" t="str">
        <f>IF('6.1Personnel List'!$D$4="Level I",'Level I_Departments'!C48,'Level IIandIII_Departments'!C48)</f>
        <v>Clinical/Medical services -&gt; Diabetes MAP</v>
      </c>
    </row>
    <row r="47" spans="1:2" ht="14.45" x14ac:dyDescent="0.35">
      <c r="A47" s="84">
        <f t="shared" si="1"/>
        <v>46</v>
      </c>
      <c r="B47" s="84" t="str">
        <f>IF('6.1Personnel List'!$D$4="Level I",'Level I_Departments'!C49,'Level IIandIII_Departments'!C49)</f>
        <v>Clinical/Medical services -&gt; Hypertension MAP</v>
      </c>
    </row>
    <row r="48" spans="1:2" ht="14.45" x14ac:dyDescent="0.35">
      <c r="A48" s="84">
        <f t="shared" si="1"/>
        <v>47</v>
      </c>
      <c r="B48" s="84" t="str">
        <f>IF('6.1Personnel List'!$D$4="Level I",'Level I_Departments'!C50,'Level IIandIII_Departments'!C50)</f>
        <v>Clinical/Medical services -&gt; Emergency Medicine Department</v>
      </c>
    </row>
    <row r="49" spans="1:2" ht="14.45" x14ac:dyDescent="0.35">
      <c r="A49" s="84">
        <f t="shared" si="1"/>
        <v>48</v>
      </c>
      <c r="B49" s="84" t="str">
        <f>IF('6.1Personnel List'!$D$4="Level I",'Level I_Departments'!C51,'Level IIandIII_Departments'!C51)</f>
        <v>Clinical/Medical services -&gt; Dialysis Unit</v>
      </c>
    </row>
    <row r="50" spans="1:2" ht="14.45" x14ac:dyDescent="0.35">
      <c r="A50" s="84">
        <f t="shared" si="1"/>
        <v>49</v>
      </c>
      <c r="B50" s="84" t="str">
        <f>IF('6.1Personnel List'!$D$4="Level I",'Level I_Departments'!C52,'Level IIandIII_Departments'!C52)</f>
        <v>Clinical/Medical services -&gt; Nuclear Medicine</v>
      </c>
    </row>
    <row r="51" spans="1:2" ht="14.45" x14ac:dyDescent="0.35">
      <c r="A51" s="84">
        <f t="shared" si="1"/>
        <v>50</v>
      </c>
      <c r="B51" s="84" t="str">
        <f>IF('6.1Personnel List'!$D$4="Level I",'Level I_Departments'!C53,'Level IIandIII_Departments'!C53)</f>
        <v>Clinical/Medical services -&gt; Radiation Oncology Unit*</v>
      </c>
    </row>
    <row r="52" spans="1:2" ht="14.45" x14ac:dyDescent="0.35">
      <c r="A52" s="84">
        <f t="shared" si="1"/>
        <v>51</v>
      </c>
      <c r="B52" s="84" t="str">
        <f>IF('6.1Personnel List'!$D$4="Level I",'Level I_Departments'!C54,'Level IIandIII_Departments'!C54)</f>
        <v>Clinical/Medical services -&gt; Endoscopy Unit</v>
      </c>
    </row>
    <row r="53" spans="1:2" ht="14.45" x14ac:dyDescent="0.35">
      <c r="A53" s="84">
        <f t="shared" si="1"/>
        <v>52</v>
      </c>
      <c r="B53" s="84" t="str">
        <f>IF('6.1Personnel List'!$D$4="Level I",'Level I_Departments'!C55,'Level IIandIII_Departments'!C55)</f>
        <v>Clinical/Medical services -&gt; Dental</v>
      </c>
    </row>
    <row r="54" spans="1:2" ht="14.45" x14ac:dyDescent="0.35">
      <c r="A54" s="84">
        <f t="shared" si="1"/>
        <v>53</v>
      </c>
      <c r="B54" s="84" t="str">
        <f>IF('6.1Personnel List'!$D$4="Level I",'Level I_Departments'!C56,'Level IIandIII_Departments'!C56)</f>
        <v>Clinical/Medical services -&gt; Internal Medicine Ward</v>
      </c>
    </row>
    <row r="55" spans="1:2" ht="14.45" x14ac:dyDescent="0.35">
      <c r="A55" s="84">
        <f t="shared" si="1"/>
        <v>54</v>
      </c>
      <c r="B55" s="84" t="str">
        <f>IF('6.1Personnel List'!$D$4="Level I",'Level I_Departments'!C57,'Level IIandIII_Departments'!C57)</f>
        <v>Clinical/Medical services -&gt; Pediatric Ward</v>
      </c>
    </row>
    <row r="56" spans="1:2" x14ac:dyDescent="0.25">
      <c r="A56" s="84">
        <f t="shared" si="1"/>
        <v>55</v>
      </c>
      <c r="B56" s="84" t="str">
        <f>IF('6.1Personnel List'!$D$4="Level I",'Level I_Departments'!C58,'Level IIandIII_Departments'!C58)</f>
        <v>Clinical/Medical services -&gt; Surgical Ward</v>
      </c>
    </row>
    <row r="57" spans="1:2" x14ac:dyDescent="0.25">
      <c r="A57" s="84">
        <f t="shared" si="1"/>
        <v>56</v>
      </c>
      <c r="B57" s="84" t="str">
        <f>IF('6.1Personnel List'!$D$4="Level I",'Level I_Departments'!C59,'Level IIandIII_Departments'!C59)</f>
        <v>Clinical/Medical services -&gt; Ob/Gyne Ward</v>
      </c>
    </row>
    <row r="58" spans="1:2" x14ac:dyDescent="0.25">
      <c r="A58" s="84">
        <f t="shared" si="1"/>
        <v>57</v>
      </c>
      <c r="B58" s="84" t="str">
        <f>IF('6.1Personnel List'!$D$4="Level I",'Level I_Departments'!C60,'Level IIandIII_Departments'!C60)</f>
        <v>Clinical/Medical services -&gt; Private Ward</v>
      </c>
    </row>
    <row r="59" spans="1:2" x14ac:dyDescent="0.25">
      <c r="A59" s="84">
        <f t="shared" si="1"/>
        <v>58</v>
      </c>
      <c r="B59" s="84" t="str">
        <f>IF('6.1Personnel List'!$D$4="Level I",'Level I_Departments'!C61,'Level IIandIII_Departments'!C61)</f>
        <v>Clinical/Medical services -&gt; Neurosurgery Ward*</v>
      </c>
    </row>
    <row r="60" spans="1:2" x14ac:dyDescent="0.25">
      <c r="A60" s="84">
        <f t="shared" si="1"/>
        <v>59</v>
      </c>
      <c r="B60" s="84" t="str">
        <f>IF('6.1Personnel List'!$D$4="Level I",'Level I_Departments'!C62,'Level IIandIII_Departments'!C62)</f>
        <v>Clinical/Medical services -&gt; Orthopedic Ward*</v>
      </c>
    </row>
    <row r="61" spans="1:2" x14ac:dyDescent="0.25">
      <c r="A61" s="84">
        <f t="shared" si="1"/>
        <v>60</v>
      </c>
      <c r="B61" s="84" t="str">
        <f>IF('6.1Personnel List'!$D$4="Level I",'Level I_Departments'!C63,'Level IIandIII_Departments'!C63)</f>
        <v>Clinical/Medical services -&gt; Psychiatric Ward*</v>
      </c>
    </row>
    <row r="62" spans="1:2" x14ac:dyDescent="0.25">
      <c r="A62" s="84">
        <f t="shared" si="1"/>
        <v>61</v>
      </c>
      <c r="B62" s="84" t="str">
        <f>IF('6.1Personnel List'!$D$4="Level I",'Level I_Departments'!C64,'Level IIandIII_Departments'!C64)</f>
        <v>Clinical/Medical services -&gt; ENT Ward*</v>
      </c>
    </row>
    <row r="63" spans="1:2" x14ac:dyDescent="0.25">
      <c r="A63" s="84">
        <f t="shared" si="1"/>
        <v>62</v>
      </c>
      <c r="B63" s="84">
        <f>IF('6.1Personnel List'!$D$4="Level I",'Level I_Departments'!C65,'Level IIandIII_Departments'!C65)</f>
        <v>0</v>
      </c>
    </row>
    <row r="64" spans="1:2" x14ac:dyDescent="0.25">
      <c r="A64" s="84">
        <f t="shared" si="1"/>
        <v>63</v>
      </c>
      <c r="B64" s="84">
        <f>IF('6.1Personnel List'!$D$4="Level I",'Level I_Departments'!C66,'Level IIandIII_Departments'!C66)</f>
        <v>0</v>
      </c>
    </row>
    <row r="65" spans="1:2" x14ac:dyDescent="0.25">
      <c r="A65" s="84">
        <f t="shared" si="1"/>
        <v>64</v>
      </c>
      <c r="B65" s="84">
        <f>IF('6.1Personnel List'!$D$4="Level I",'Level I_Departments'!C67,'Level IIandIII_Departments'!C67)</f>
        <v>0</v>
      </c>
    </row>
    <row r="66" spans="1:2" x14ac:dyDescent="0.25">
      <c r="A66" s="84">
        <f t="shared" si="1"/>
        <v>65</v>
      </c>
      <c r="B66" s="84">
        <f>IF('6.1Personnel List'!$D$4="Level I",'Level I_Departments'!C68,'Level IIandIII_Departments'!C68)</f>
        <v>0</v>
      </c>
    </row>
    <row r="67" spans="1:2" x14ac:dyDescent="0.25">
      <c r="A67" s="84">
        <f t="shared" si="1"/>
        <v>66</v>
      </c>
      <c r="B67" s="84">
        <f>IF('6.1Personnel List'!$D$4="Level I",'Level I_Departments'!C69,'Level IIandIII_Departments'!C69)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outlinePr summaryBelow="0" summaryRight="0"/>
  </sheetPr>
  <dimension ref="A1:C1004"/>
  <sheetViews>
    <sheetView topLeftCell="A2" workbookViewId="0">
      <selection activeCell="B22" sqref="B22"/>
    </sheetView>
  </sheetViews>
  <sheetFormatPr defaultColWidth="14.42578125" defaultRowHeight="15" customHeight="1" x14ac:dyDescent="0.25"/>
  <cols>
    <col min="1" max="1" width="39.5703125" style="53" customWidth="1"/>
    <col min="2" max="2" width="65.7109375" style="53" customWidth="1"/>
    <col min="3" max="3" width="86.5703125" style="53" bestFit="1" customWidth="1"/>
    <col min="4" max="16384" width="14.42578125" style="53"/>
  </cols>
  <sheetData>
    <row r="1" spans="1:3" ht="15" customHeight="1" x14ac:dyDescent="0.35">
      <c r="A1" s="83" t="s">
        <v>96</v>
      </c>
      <c r="B1" s="56"/>
    </row>
    <row r="2" spans="1:3" ht="15" customHeight="1" x14ac:dyDescent="0.35">
      <c r="A2" s="56"/>
      <c r="B2" s="56"/>
    </row>
    <row r="3" spans="1:3" ht="15" customHeight="1" x14ac:dyDescent="0.35">
      <c r="A3" s="82" t="s">
        <v>95</v>
      </c>
      <c r="B3" s="81" t="s">
        <v>94</v>
      </c>
    </row>
    <row r="4" spans="1:3" ht="15" customHeight="1" x14ac:dyDescent="0.35">
      <c r="A4" s="77" t="s">
        <v>19</v>
      </c>
      <c r="B4" s="81" t="s">
        <v>20</v>
      </c>
      <c r="C4" s="54" t="str">
        <f t="shared" ref="C4:C35" si="0">CONCATENATE(A4, " -&gt; ",B4)</f>
        <v>Administrative/Overhead services -&gt; Office of the Medical Center Chief</v>
      </c>
    </row>
    <row r="5" spans="1:3" ht="15" customHeight="1" x14ac:dyDescent="0.35">
      <c r="A5" s="77" t="s">
        <v>19</v>
      </c>
      <c r="B5" s="80" t="s">
        <v>83</v>
      </c>
      <c r="C5" s="54" t="str">
        <f t="shared" si="0"/>
        <v>Administrative/Overhead services -&gt; IT Departments</v>
      </c>
    </row>
    <row r="6" spans="1:3" ht="15" customHeight="1" x14ac:dyDescent="0.35">
      <c r="A6" s="77" t="s">
        <v>19</v>
      </c>
      <c r="B6" s="80" t="s">
        <v>21</v>
      </c>
      <c r="C6" s="54" t="str">
        <f t="shared" si="0"/>
        <v>Administrative/Overhead services -&gt; Office of the Administrative Officer</v>
      </c>
    </row>
    <row r="7" spans="1:3" ht="15" customHeight="1" x14ac:dyDescent="0.35">
      <c r="A7" s="77" t="s">
        <v>19</v>
      </c>
      <c r="B7" s="80" t="s">
        <v>22</v>
      </c>
      <c r="C7" s="54" t="str">
        <f t="shared" si="0"/>
        <v>Administrative/Overhead services -&gt; Human Resource Management</v>
      </c>
    </row>
    <row r="8" spans="1:3" ht="15" customHeight="1" x14ac:dyDescent="0.35">
      <c r="A8" s="77" t="s">
        <v>19</v>
      </c>
      <c r="B8" s="80" t="s">
        <v>23</v>
      </c>
      <c r="C8" s="54" t="str">
        <f t="shared" si="0"/>
        <v>Administrative/Overhead services -&gt; Procurement</v>
      </c>
    </row>
    <row r="9" spans="1:3" ht="15" customHeight="1" x14ac:dyDescent="0.35">
      <c r="A9" s="77" t="s">
        <v>19</v>
      </c>
      <c r="B9" s="80" t="s">
        <v>24</v>
      </c>
      <c r="C9" s="54" t="str">
        <f t="shared" si="0"/>
        <v>Administrative/Overhead services -&gt; Materials Management</v>
      </c>
    </row>
    <row r="10" spans="1:3" ht="15" customHeight="1" x14ac:dyDescent="0.35">
      <c r="A10" s="77" t="s">
        <v>19</v>
      </c>
      <c r="B10" s="80" t="s">
        <v>25</v>
      </c>
      <c r="C10" s="54" t="str">
        <f t="shared" si="0"/>
        <v>Administrative/Overhead services -&gt; Engineering and Facilities Management</v>
      </c>
    </row>
    <row r="11" spans="1:3" ht="15" customHeight="1" x14ac:dyDescent="0.35">
      <c r="A11" s="77" t="s">
        <v>19</v>
      </c>
      <c r="B11" s="80" t="s">
        <v>84</v>
      </c>
      <c r="C11" s="54" t="str">
        <f t="shared" si="0"/>
        <v>Administrative/Overhead services -&gt; Housekeeping</v>
      </c>
    </row>
    <row r="12" spans="1:3" ht="15" customHeight="1" x14ac:dyDescent="0.35">
      <c r="A12" s="77" t="s">
        <v>19</v>
      </c>
      <c r="B12" s="80" t="s">
        <v>26</v>
      </c>
      <c r="C12" s="54" t="str">
        <f t="shared" si="0"/>
        <v>Administrative/Overhead services -&gt; Budget and Accounting</v>
      </c>
    </row>
    <row r="13" spans="1:3" ht="15" customHeight="1" x14ac:dyDescent="0.35">
      <c r="A13" s="77" t="s">
        <v>19</v>
      </c>
      <c r="B13" s="80" t="s">
        <v>27</v>
      </c>
      <c r="C13" s="54" t="str">
        <f t="shared" si="0"/>
        <v>Administrative/Overhead services -&gt; Medical Social Work</v>
      </c>
    </row>
    <row r="14" spans="1:3" ht="15" customHeight="1" x14ac:dyDescent="0.35">
      <c r="A14" s="77" t="s">
        <v>19</v>
      </c>
      <c r="B14" s="80" t="s">
        <v>28</v>
      </c>
      <c r="C14" s="54" t="str">
        <f t="shared" si="0"/>
        <v>Administrative/Overhead services -&gt; Office of the Chief Nurse</v>
      </c>
    </row>
    <row r="15" spans="1:3" ht="15" customHeight="1" x14ac:dyDescent="0.35">
      <c r="A15" s="77" t="s">
        <v>19</v>
      </c>
      <c r="B15" s="80" t="s">
        <v>29</v>
      </c>
      <c r="C15" s="54" t="str">
        <f t="shared" si="0"/>
        <v>Administrative/Overhead services -&gt; Health Info Mgt (Admitting)</v>
      </c>
    </row>
    <row r="16" spans="1:3" ht="15" customHeight="1" x14ac:dyDescent="0.35">
      <c r="A16" s="77" t="s">
        <v>19</v>
      </c>
      <c r="B16" s="80" t="s">
        <v>30</v>
      </c>
      <c r="C16" s="54" t="str">
        <f t="shared" si="0"/>
        <v>Administrative/Overhead services -&gt; Central Supply Office</v>
      </c>
    </row>
    <row r="17" spans="1:3" ht="15" customHeight="1" x14ac:dyDescent="0.35">
      <c r="A17" s="77" t="s">
        <v>19</v>
      </c>
      <c r="B17" s="80" t="s">
        <v>31</v>
      </c>
      <c r="C17" s="54" t="str">
        <f t="shared" si="0"/>
        <v>Administrative/Overhead services -&gt; Billing and Claims</v>
      </c>
    </row>
    <row r="18" spans="1:3" ht="15" customHeight="1" x14ac:dyDescent="0.35">
      <c r="A18" s="77" t="s">
        <v>19</v>
      </c>
      <c r="B18" s="80" t="s">
        <v>32</v>
      </c>
      <c r="C18" s="54" t="str">
        <f t="shared" si="0"/>
        <v>Administrative/Overhead services -&gt; Cash Operations</v>
      </c>
    </row>
    <row r="19" spans="1:3" ht="15" customHeight="1" x14ac:dyDescent="0.35">
      <c r="A19" s="77" t="s">
        <v>19</v>
      </c>
      <c r="B19" s="80" t="s">
        <v>33</v>
      </c>
      <c r="C19" s="54" t="str">
        <f t="shared" si="0"/>
        <v>Administrative/Overhead services -&gt; Security</v>
      </c>
    </row>
    <row r="20" spans="1:3" ht="15" customHeight="1" x14ac:dyDescent="0.35">
      <c r="A20" s="77" t="s">
        <v>19</v>
      </c>
      <c r="B20" s="80" t="s">
        <v>34</v>
      </c>
      <c r="C20" s="54" t="str">
        <f t="shared" si="0"/>
        <v>Administrative/Overhead services -&gt; Office of the Chief of Medical Professional Staff</v>
      </c>
    </row>
    <row r="21" spans="1:3" ht="15" customHeight="1" x14ac:dyDescent="0.35">
      <c r="A21" s="77" t="s">
        <v>19</v>
      </c>
      <c r="B21" s="77" t="s">
        <v>64</v>
      </c>
      <c r="C21" s="54" t="str">
        <f t="shared" si="0"/>
        <v>Administrative/Overhead services -&gt; Others</v>
      </c>
    </row>
    <row r="22" spans="1:3" ht="15" customHeight="1" x14ac:dyDescent="0.3">
      <c r="A22" s="74" t="s">
        <v>35</v>
      </c>
      <c r="B22" s="74" t="s">
        <v>36</v>
      </c>
      <c r="C22" s="54" t="str">
        <f t="shared" si="0"/>
        <v>Ancillary services/Support services -&gt; Laundry</v>
      </c>
    </row>
    <row r="23" spans="1:3" ht="15" customHeight="1" x14ac:dyDescent="0.3">
      <c r="A23" s="74" t="s">
        <v>35</v>
      </c>
      <c r="B23" s="74" t="s">
        <v>39</v>
      </c>
      <c r="C23" s="54" t="str">
        <f t="shared" si="0"/>
        <v>Ancillary services/Support services -&gt; Nutrition and Dietetics</v>
      </c>
    </row>
    <row r="24" spans="1:3" ht="15" customHeight="1" x14ac:dyDescent="0.3">
      <c r="A24" s="74" t="s">
        <v>35</v>
      </c>
      <c r="B24" s="76" t="s">
        <v>65</v>
      </c>
      <c r="C24" s="54" t="str">
        <f t="shared" si="0"/>
        <v>Ancillary services/Support services -&gt; Sterilization</v>
      </c>
    </row>
    <row r="25" spans="1:3" ht="15" customHeight="1" x14ac:dyDescent="0.3">
      <c r="A25" s="74" t="s">
        <v>35</v>
      </c>
      <c r="B25" s="74" t="s">
        <v>38</v>
      </c>
      <c r="C25" s="54" t="str">
        <f t="shared" si="0"/>
        <v>Ancillary services/Support services -&gt; Pharmacy</v>
      </c>
    </row>
    <row r="26" spans="1:3" ht="16.5" x14ac:dyDescent="0.3">
      <c r="A26" s="74" t="s">
        <v>35</v>
      </c>
      <c r="B26" s="76" t="s">
        <v>37</v>
      </c>
      <c r="C26" s="54" t="str">
        <f t="shared" si="0"/>
        <v>Ancillary services/Support services -&gt; Blood Bank</v>
      </c>
    </row>
    <row r="27" spans="1:3" ht="16.5" x14ac:dyDescent="0.3">
      <c r="A27" s="74" t="s">
        <v>35</v>
      </c>
      <c r="B27" s="74" t="s">
        <v>66</v>
      </c>
      <c r="C27" s="54" t="str">
        <f t="shared" si="0"/>
        <v>Ancillary services/Support services -&gt; Laboratory</v>
      </c>
    </row>
    <row r="28" spans="1:3" ht="16.5" x14ac:dyDescent="0.3">
      <c r="A28" s="74" t="s">
        <v>35</v>
      </c>
      <c r="B28" s="74" t="s">
        <v>67</v>
      </c>
      <c r="C28" s="54" t="str">
        <f t="shared" si="0"/>
        <v>Ancillary services/Support services -&gt; Radiology / Diagnostic Imaging (CT Scan, MRI, ECG, Mammography, Endoscopy)</v>
      </c>
    </row>
    <row r="29" spans="1:3" ht="16.5" x14ac:dyDescent="0.3">
      <c r="A29" s="74" t="s">
        <v>35</v>
      </c>
      <c r="B29" s="74" t="s">
        <v>69</v>
      </c>
      <c r="C29" s="54" t="str">
        <f t="shared" si="0"/>
        <v>Ancillary services/Support services -&gt; Physiotherapy / Rehabilitation</v>
      </c>
    </row>
    <row r="30" spans="1:3" ht="16.5" x14ac:dyDescent="0.3">
      <c r="A30" s="74" t="s">
        <v>35</v>
      </c>
      <c r="B30" s="74" t="s">
        <v>5</v>
      </c>
      <c r="C30" s="54" t="str">
        <f t="shared" si="0"/>
        <v>Ancillary services/Support services -&gt; Delivery Room</v>
      </c>
    </row>
    <row r="31" spans="1:3" ht="16.5" x14ac:dyDescent="0.3">
      <c r="A31" s="74" t="s">
        <v>35</v>
      </c>
      <c r="B31" s="79" t="s">
        <v>40</v>
      </c>
      <c r="C31" s="54" t="str">
        <f t="shared" si="0"/>
        <v>Ancillary services/Support services -&gt; Operating Room / Aneasthesiology / PACU / Recovery Room</v>
      </c>
    </row>
    <row r="32" spans="1:3" ht="16.5" x14ac:dyDescent="0.3">
      <c r="A32" s="74" t="s">
        <v>35</v>
      </c>
      <c r="B32" s="74" t="s">
        <v>70</v>
      </c>
      <c r="C32" s="54" t="str">
        <f t="shared" si="0"/>
        <v>Ancillary services/Support services -&gt; Respiratory Unit</v>
      </c>
    </row>
    <row r="33" spans="1:3" ht="16.5" x14ac:dyDescent="0.3">
      <c r="A33" s="74" t="s">
        <v>35</v>
      </c>
      <c r="B33" s="79" t="s">
        <v>41</v>
      </c>
      <c r="C33" s="54" t="str">
        <f t="shared" si="0"/>
        <v>Ancillary services/Support services -&gt; Medical ICU</v>
      </c>
    </row>
    <row r="34" spans="1:3" ht="16.5" x14ac:dyDescent="0.3">
      <c r="A34" s="74" t="s">
        <v>35</v>
      </c>
      <c r="B34" s="79" t="s">
        <v>42</v>
      </c>
      <c r="C34" s="54" t="str">
        <f t="shared" si="0"/>
        <v>Ancillary services/Support services -&gt; Neonatal ICU*</v>
      </c>
    </row>
    <row r="35" spans="1:3" ht="16.5" x14ac:dyDescent="0.3">
      <c r="A35" s="74" t="s">
        <v>35</v>
      </c>
      <c r="B35" s="79" t="s">
        <v>43</v>
      </c>
      <c r="C35" s="54" t="str">
        <f t="shared" si="0"/>
        <v>Ancillary services/Support services -&gt; Surgical ICU*</v>
      </c>
    </row>
    <row r="36" spans="1:3" ht="16.5" x14ac:dyDescent="0.3">
      <c r="A36" s="74" t="s">
        <v>35</v>
      </c>
      <c r="B36" s="79" t="s">
        <v>44</v>
      </c>
      <c r="C36" s="54" t="str">
        <f t="shared" ref="C36:C57" si="1">CONCATENATE(A36, " -&gt; ",B36)</f>
        <v>Ancillary services/Support services -&gt; Pediatric ICU*</v>
      </c>
    </row>
    <row r="37" spans="1:3" ht="16.5" x14ac:dyDescent="0.3">
      <c r="A37" s="74" t="s">
        <v>35</v>
      </c>
      <c r="B37" s="76" t="s">
        <v>71</v>
      </c>
      <c r="C37" s="54" t="str">
        <f t="shared" si="1"/>
        <v>Ancillary services/Support services -&gt; Burn Unit</v>
      </c>
    </row>
    <row r="38" spans="1:3" ht="16.5" x14ac:dyDescent="0.3">
      <c r="A38" s="74" t="s">
        <v>35</v>
      </c>
      <c r="B38" s="76" t="s">
        <v>72</v>
      </c>
      <c r="C38" s="54" t="str">
        <f t="shared" si="1"/>
        <v>Ancillary services/Support services -&gt; Morgue</v>
      </c>
    </row>
    <row r="39" spans="1:3" ht="16.5" x14ac:dyDescent="0.3">
      <c r="A39" s="74" t="s">
        <v>35</v>
      </c>
      <c r="B39" s="78" t="s">
        <v>64</v>
      </c>
      <c r="C39" s="54" t="str">
        <f t="shared" si="1"/>
        <v>Ancillary services/Support services -&gt; Others</v>
      </c>
    </row>
    <row r="40" spans="1:3" ht="16.5" x14ac:dyDescent="0.3">
      <c r="A40" s="75" t="s">
        <v>46</v>
      </c>
      <c r="B40" s="77" t="s">
        <v>85</v>
      </c>
      <c r="C40" s="54" t="str">
        <f t="shared" si="1"/>
        <v>Clinical/Medical services -&gt; Outpatient Department (general)</v>
      </c>
    </row>
    <row r="41" spans="1:3" ht="16.5" x14ac:dyDescent="0.3">
      <c r="A41" s="75" t="s">
        <v>46</v>
      </c>
      <c r="B41" s="74" t="s">
        <v>73</v>
      </c>
      <c r="C41" s="54" t="str">
        <f t="shared" si="1"/>
        <v>Clinical/Medical services -&gt; Animal Bite Center</v>
      </c>
    </row>
    <row r="42" spans="1:3" ht="16.5" x14ac:dyDescent="0.3">
      <c r="A42" s="75" t="s">
        <v>46</v>
      </c>
      <c r="B42" s="74" t="s">
        <v>74</v>
      </c>
      <c r="C42" s="54" t="str">
        <f t="shared" si="1"/>
        <v>Clinical/Medical services -&gt; TB Dots</v>
      </c>
    </row>
    <row r="43" spans="1:3" ht="16.5" x14ac:dyDescent="0.3">
      <c r="A43" s="75" t="s">
        <v>46</v>
      </c>
      <c r="B43" s="74" t="s">
        <v>75</v>
      </c>
      <c r="C43" s="54" t="str">
        <f t="shared" si="1"/>
        <v>Clinical/Medical services -&gt; HIV Aids</v>
      </c>
    </row>
    <row r="44" spans="1:3" ht="16.5" x14ac:dyDescent="0.3">
      <c r="A44" s="75" t="s">
        <v>46</v>
      </c>
      <c r="B44" s="74" t="s">
        <v>76</v>
      </c>
      <c r="C44" s="54" t="str">
        <f t="shared" si="1"/>
        <v>Clinical/Medical services -&gt; Family Planning Unit</v>
      </c>
    </row>
    <row r="45" spans="1:3" ht="16.5" x14ac:dyDescent="0.3">
      <c r="A45" s="75" t="s">
        <v>46</v>
      </c>
      <c r="B45" s="74" t="s">
        <v>77</v>
      </c>
      <c r="C45" s="54" t="str">
        <f t="shared" si="1"/>
        <v>Clinical/Medical services -&gt; Smoking Cessation</v>
      </c>
    </row>
    <row r="46" spans="1:3" ht="16.5" x14ac:dyDescent="0.3">
      <c r="A46" s="75" t="s">
        <v>46</v>
      </c>
      <c r="B46" s="74" t="s">
        <v>78</v>
      </c>
      <c r="C46" s="54" t="str">
        <f t="shared" si="1"/>
        <v>Clinical/Medical services -&gt; Malaria</v>
      </c>
    </row>
    <row r="47" spans="1:3" ht="16.5" x14ac:dyDescent="0.3">
      <c r="A47" s="75" t="s">
        <v>46</v>
      </c>
      <c r="B47" s="76" t="s">
        <v>86</v>
      </c>
      <c r="C47" s="54" t="str">
        <f t="shared" si="1"/>
        <v xml:space="preserve">Clinical/Medical services -&gt; Diabetes </v>
      </c>
    </row>
    <row r="48" spans="1:3" ht="16.5" x14ac:dyDescent="0.3">
      <c r="A48" s="75" t="s">
        <v>46</v>
      </c>
      <c r="B48" s="74" t="s">
        <v>87</v>
      </c>
      <c r="C48" s="54" t="str">
        <f t="shared" si="1"/>
        <v>Clinical/Medical services -&gt; Hypertension</v>
      </c>
    </row>
    <row r="49" spans="1:3" ht="16.5" x14ac:dyDescent="0.3">
      <c r="A49" s="75" t="s">
        <v>46</v>
      </c>
      <c r="B49" s="74" t="s">
        <v>48</v>
      </c>
      <c r="C49" s="54" t="str">
        <f t="shared" si="1"/>
        <v>Clinical/Medical services -&gt; Emergency Medicine Department</v>
      </c>
    </row>
    <row r="50" spans="1:3" ht="16.5" x14ac:dyDescent="0.3">
      <c r="A50" s="75" t="s">
        <v>46</v>
      </c>
      <c r="B50" s="74" t="s">
        <v>6</v>
      </c>
      <c r="C50" s="54" t="str">
        <f t="shared" si="1"/>
        <v>Clinical/Medical services -&gt; Dialysis Unit</v>
      </c>
    </row>
    <row r="51" spans="1:3" ht="16.5" x14ac:dyDescent="0.3">
      <c r="A51" s="75" t="s">
        <v>46</v>
      </c>
      <c r="B51" s="74" t="s">
        <v>45</v>
      </c>
      <c r="C51" s="54" t="str">
        <f t="shared" si="1"/>
        <v>Clinical/Medical services -&gt; Radiation Oncology Unit*</v>
      </c>
    </row>
    <row r="52" spans="1:3" ht="16.5" x14ac:dyDescent="0.3">
      <c r="A52" s="75" t="s">
        <v>46</v>
      </c>
      <c r="B52" s="74" t="s">
        <v>49</v>
      </c>
      <c r="C52" s="54" t="str">
        <f t="shared" si="1"/>
        <v>Clinical/Medical services -&gt; Dental</v>
      </c>
    </row>
    <row r="53" spans="1:3" ht="16.5" x14ac:dyDescent="0.3">
      <c r="A53" s="75" t="s">
        <v>46</v>
      </c>
      <c r="B53" s="74" t="s">
        <v>50</v>
      </c>
      <c r="C53" s="54" t="str">
        <f t="shared" si="1"/>
        <v>Clinical/Medical services -&gt; Internal Medicine Ward</v>
      </c>
    </row>
    <row r="54" spans="1:3" ht="16.5" x14ac:dyDescent="0.3">
      <c r="A54" s="75" t="s">
        <v>46</v>
      </c>
      <c r="B54" s="74" t="s">
        <v>51</v>
      </c>
      <c r="C54" s="54" t="str">
        <f t="shared" si="1"/>
        <v>Clinical/Medical services -&gt; Pediatric Ward</v>
      </c>
    </row>
    <row r="55" spans="1:3" ht="16.5" x14ac:dyDescent="0.3">
      <c r="A55" s="75" t="s">
        <v>46</v>
      </c>
      <c r="B55" s="74" t="s">
        <v>52</v>
      </c>
      <c r="C55" s="54" t="str">
        <f t="shared" si="1"/>
        <v>Clinical/Medical services -&gt; Surgical Ward</v>
      </c>
    </row>
    <row r="56" spans="1:3" ht="16.5" x14ac:dyDescent="0.3">
      <c r="A56" s="75" t="s">
        <v>46</v>
      </c>
      <c r="B56" s="74" t="s">
        <v>53</v>
      </c>
      <c r="C56" s="54" t="str">
        <f t="shared" si="1"/>
        <v>Clinical/Medical services -&gt; Ob/Gyne Ward</v>
      </c>
    </row>
    <row r="57" spans="1:3" ht="16.5" x14ac:dyDescent="0.3">
      <c r="A57" s="75" t="s">
        <v>46</v>
      </c>
      <c r="B57" s="74" t="s">
        <v>54</v>
      </c>
      <c r="C57" s="54" t="str">
        <f t="shared" si="1"/>
        <v>Clinical/Medical services -&gt; Private Ward</v>
      </c>
    </row>
    <row r="58" spans="1:3" ht="16.5" x14ac:dyDescent="0.3">
      <c r="A58" s="56"/>
      <c r="B58" s="56"/>
    </row>
    <row r="59" spans="1:3" ht="16.5" x14ac:dyDescent="0.3">
      <c r="A59" s="56"/>
      <c r="B59" s="56"/>
    </row>
    <row r="60" spans="1:3" ht="16.5" x14ac:dyDescent="0.3">
      <c r="A60" s="56"/>
      <c r="B60" s="56"/>
    </row>
    <row r="61" spans="1:3" ht="16.5" x14ac:dyDescent="0.3">
      <c r="A61" s="56"/>
      <c r="B61" s="56"/>
    </row>
    <row r="62" spans="1:3" ht="16.5" x14ac:dyDescent="0.3">
      <c r="A62" s="56" t="s">
        <v>93</v>
      </c>
      <c r="B62" s="73" t="s">
        <v>92</v>
      </c>
    </row>
    <row r="63" spans="1:3" ht="16.5" x14ac:dyDescent="0.3">
      <c r="A63" s="56"/>
      <c r="B63" s="73" t="s">
        <v>91</v>
      </c>
    </row>
    <row r="64" spans="1:3" ht="16.5" x14ac:dyDescent="0.3">
      <c r="A64" s="72"/>
      <c r="B64" s="72"/>
    </row>
    <row r="65" spans="1:2" ht="16.5" x14ac:dyDescent="0.3">
      <c r="A65" s="72"/>
      <c r="B65" s="72"/>
    </row>
    <row r="66" spans="1:2" ht="16.5" x14ac:dyDescent="0.3">
      <c r="A66" s="72"/>
      <c r="B66" s="72"/>
    </row>
    <row r="67" spans="1:2" ht="16.5" x14ac:dyDescent="0.3">
      <c r="A67" s="72"/>
      <c r="B67" s="72"/>
    </row>
    <row r="68" spans="1:2" ht="16.5" x14ac:dyDescent="0.3">
      <c r="A68" s="72"/>
      <c r="B68" s="72"/>
    </row>
    <row r="69" spans="1:2" ht="16.5" x14ac:dyDescent="0.3">
      <c r="A69" s="72"/>
      <c r="B69" s="72"/>
    </row>
    <row r="70" spans="1:2" ht="16.5" x14ac:dyDescent="0.3">
      <c r="A70" s="72"/>
      <c r="B70" s="72"/>
    </row>
    <row r="71" spans="1:2" ht="16.5" x14ac:dyDescent="0.3">
      <c r="A71" s="72"/>
      <c r="B71" s="72"/>
    </row>
    <row r="72" spans="1:2" ht="16.5" x14ac:dyDescent="0.3">
      <c r="A72" s="72"/>
      <c r="B72" s="72"/>
    </row>
    <row r="73" spans="1:2" ht="16.5" x14ac:dyDescent="0.3">
      <c r="A73" s="72"/>
      <c r="B73" s="72"/>
    </row>
    <row r="74" spans="1:2" ht="16.5" x14ac:dyDescent="0.3">
      <c r="A74" s="72"/>
      <c r="B74" s="72"/>
    </row>
    <row r="75" spans="1:2" ht="16.5" x14ac:dyDescent="0.3">
      <c r="A75" s="72"/>
      <c r="B75" s="72"/>
    </row>
    <row r="76" spans="1:2" ht="16.5" x14ac:dyDescent="0.3">
      <c r="A76" s="72"/>
      <c r="B76" s="72"/>
    </row>
    <row r="77" spans="1:2" ht="16.5" x14ac:dyDescent="0.3">
      <c r="A77" s="72"/>
      <c r="B77" s="72"/>
    </row>
    <row r="78" spans="1:2" ht="16.5" x14ac:dyDescent="0.3">
      <c r="A78" s="72"/>
      <c r="B78" s="72"/>
    </row>
    <row r="79" spans="1:2" ht="16.5" x14ac:dyDescent="0.3">
      <c r="A79" s="72"/>
      <c r="B79" s="72"/>
    </row>
    <row r="80" spans="1:2" ht="16.5" x14ac:dyDescent="0.3">
      <c r="A80" s="72"/>
      <c r="B80" s="72"/>
    </row>
    <row r="81" spans="1:2" ht="16.5" x14ac:dyDescent="0.3">
      <c r="A81" s="72"/>
      <c r="B81" s="72"/>
    </row>
    <row r="82" spans="1:2" ht="16.5" x14ac:dyDescent="0.3">
      <c r="A82" s="72"/>
      <c r="B82" s="72"/>
    </row>
    <row r="83" spans="1:2" ht="16.5" x14ac:dyDescent="0.3">
      <c r="A83" s="72"/>
      <c r="B83" s="72"/>
    </row>
    <row r="84" spans="1:2" ht="16.5" x14ac:dyDescent="0.3">
      <c r="A84" s="72"/>
      <c r="B84" s="72"/>
    </row>
    <row r="85" spans="1:2" ht="16.5" x14ac:dyDescent="0.3">
      <c r="A85" s="72"/>
      <c r="B85" s="72"/>
    </row>
    <row r="86" spans="1:2" ht="16.5" x14ac:dyDescent="0.3">
      <c r="A86" s="72"/>
      <c r="B86" s="72"/>
    </row>
    <row r="87" spans="1:2" ht="16.5" x14ac:dyDescent="0.3">
      <c r="A87" s="72"/>
      <c r="B87" s="72"/>
    </row>
    <row r="88" spans="1:2" ht="16.5" x14ac:dyDescent="0.3">
      <c r="A88" s="72"/>
      <c r="B88" s="72"/>
    </row>
    <row r="89" spans="1:2" ht="16.5" x14ac:dyDescent="0.3">
      <c r="A89" s="72"/>
      <c r="B89" s="72"/>
    </row>
    <row r="90" spans="1:2" ht="16.5" x14ac:dyDescent="0.3">
      <c r="A90" s="72"/>
      <c r="B90" s="72"/>
    </row>
    <row r="91" spans="1:2" ht="16.5" x14ac:dyDescent="0.3">
      <c r="A91" s="72"/>
      <c r="B91" s="72"/>
    </row>
    <row r="92" spans="1:2" ht="16.5" x14ac:dyDescent="0.3">
      <c r="A92" s="72"/>
      <c r="B92" s="72"/>
    </row>
    <row r="93" spans="1:2" ht="16.5" x14ac:dyDescent="0.3">
      <c r="A93" s="72"/>
      <c r="B93" s="72"/>
    </row>
    <row r="94" spans="1:2" ht="16.5" x14ac:dyDescent="0.3">
      <c r="A94" s="72"/>
      <c r="B94" s="72"/>
    </row>
    <row r="95" spans="1:2" ht="16.5" x14ac:dyDescent="0.3">
      <c r="A95" s="72"/>
      <c r="B95" s="72"/>
    </row>
    <row r="96" spans="1:2" ht="16.5" x14ac:dyDescent="0.3">
      <c r="A96" s="72"/>
      <c r="B96" s="72"/>
    </row>
    <row r="97" spans="1:2" ht="16.5" x14ac:dyDescent="0.3">
      <c r="A97" s="72"/>
      <c r="B97" s="72"/>
    </row>
    <row r="98" spans="1:2" ht="16.5" x14ac:dyDescent="0.3">
      <c r="A98" s="72"/>
      <c r="B98" s="72"/>
    </row>
    <row r="99" spans="1:2" ht="16.5" x14ac:dyDescent="0.3">
      <c r="A99" s="72"/>
      <c r="B99" s="72"/>
    </row>
    <row r="100" spans="1:2" ht="16.5" x14ac:dyDescent="0.3">
      <c r="A100" s="72"/>
      <c r="B100" s="72"/>
    </row>
    <row r="101" spans="1:2" ht="16.5" x14ac:dyDescent="0.3">
      <c r="A101" s="72"/>
      <c r="B101" s="72"/>
    </row>
    <row r="102" spans="1:2" ht="16.5" x14ac:dyDescent="0.3">
      <c r="A102" s="72"/>
      <c r="B102" s="72"/>
    </row>
    <row r="103" spans="1:2" ht="16.5" x14ac:dyDescent="0.3">
      <c r="A103" s="72"/>
      <c r="B103" s="72"/>
    </row>
    <row r="104" spans="1:2" ht="16.5" x14ac:dyDescent="0.3">
      <c r="A104" s="72"/>
      <c r="B104" s="72"/>
    </row>
    <row r="105" spans="1:2" ht="16.5" x14ac:dyDescent="0.3">
      <c r="A105" s="72"/>
      <c r="B105" s="72"/>
    </row>
    <row r="106" spans="1:2" ht="16.5" x14ac:dyDescent="0.3">
      <c r="A106" s="72"/>
      <c r="B106" s="72"/>
    </row>
    <row r="107" spans="1:2" ht="16.5" x14ac:dyDescent="0.3">
      <c r="A107" s="72"/>
      <c r="B107" s="72"/>
    </row>
    <row r="108" spans="1:2" ht="16.5" x14ac:dyDescent="0.3">
      <c r="A108" s="72"/>
      <c r="B108" s="72"/>
    </row>
    <row r="109" spans="1:2" ht="16.5" x14ac:dyDescent="0.3">
      <c r="A109" s="72"/>
      <c r="B109" s="72"/>
    </row>
    <row r="110" spans="1:2" ht="16.5" x14ac:dyDescent="0.3">
      <c r="A110" s="72"/>
      <c r="B110" s="72"/>
    </row>
    <row r="111" spans="1:2" ht="16.5" x14ac:dyDescent="0.3">
      <c r="A111" s="72"/>
      <c r="B111" s="72"/>
    </row>
    <row r="112" spans="1:2" ht="16.5" x14ac:dyDescent="0.3">
      <c r="A112" s="72"/>
      <c r="B112" s="72"/>
    </row>
    <row r="113" spans="1:2" ht="16.5" x14ac:dyDescent="0.3">
      <c r="A113" s="72"/>
      <c r="B113" s="72"/>
    </row>
    <row r="114" spans="1:2" ht="16.5" x14ac:dyDescent="0.3">
      <c r="A114" s="72"/>
      <c r="B114" s="72"/>
    </row>
    <row r="115" spans="1:2" ht="16.5" x14ac:dyDescent="0.3">
      <c r="A115" s="72"/>
      <c r="B115" s="72"/>
    </row>
    <row r="116" spans="1:2" ht="16.5" x14ac:dyDescent="0.3">
      <c r="A116" s="72"/>
      <c r="B116" s="72"/>
    </row>
    <row r="117" spans="1:2" ht="16.5" x14ac:dyDescent="0.3">
      <c r="A117" s="72"/>
      <c r="B117" s="72"/>
    </row>
    <row r="118" spans="1:2" ht="16.5" x14ac:dyDescent="0.3">
      <c r="A118" s="72"/>
      <c r="B118" s="72"/>
    </row>
    <row r="119" spans="1:2" ht="16.5" x14ac:dyDescent="0.3">
      <c r="A119" s="72"/>
      <c r="B119" s="72"/>
    </row>
    <row r="120" spans="1:2" ht="16.5" x14ac:dyDescent="0.3">
      <c r="A120" s="72"/>
      <c r="B120" s="72"/>
    </row>
    <row r="121" spans="1:2" ht="16.5" x14ac:dyDescent="0.3">
      <c r="A121" s="72"/>
      <c r="B121" s="72"/>
    </row>
    <row r="122" spans="1:2" ht="16.5" x14ac:dyDescent="0.3">
      <c r="A122" s="72"/>
      <c r="B122" s="72"/>
    </row>
    <row r="123" spans="1:2" ht="16.5" x14ac:dyDescent="0.3">
      <c r="A123" s="72"/>
      <c r="B123" s="72"/>
    </row>
    <row r="124" spans="1:2" ht="16.5" x14ac:dyDescent="0.3">
      <c r="A124" s="72"/>
      <c r="B124" s="72"/>
    </row>
    <row r="125" spans="1:2" ht="16.5" x14ac:dyDescent="0.3">
      <c r="A125" s="72"/>
      <c r="B125" s="72"/>
    </row>
    <row r="126" spans="1:2" ht="16.5" x14ac:dyDescent="0.3">
      <c r="A126" s="72"/>
      <c r="B126" s="72"/>
    </row>
    <row r="127" spans="1:2" ht="16.5" x14ac:dyDescent="0.3">
      <c r="A127" s="72"/>
      <c r="B127" s="72"/>
    </row>
    <row r="128" spans="1:2" ht="16.5" x14ac:dyDescent="0.3">
      <c r="A128" s="72"/>
      <c r="B128" s="72"/>
    </row>
    <row r="129" spans="1:2" ht="16.5" x14ac:dyDescent="0.3">
      <c r="A129" s="72"/>
      <c r="B129" s="72"/>
    </row>
    <row r="130" spans="1:2" ht="16.5" x14ac:dyDescent="0.3">
      <c r="A130" s="72"/>
      <c r="B130" s="72"/>
    </row>
    <row r="131" spans="1:2" ht="16.5" x14ac:dyDescent="0.3">
      <c r="A131" s="72"/>
      <c r="B131" s="72"/>
    </row>
    <row r="132" spans="1:2" ht="16.5" x14ac:dyDescent="0.3">
      <c r="A132" s="72"/>
      <c r="B132" s="72"/>
    </row>
    <row r="133" spans="1:2" ht="16.5" x14ac:dyDescent="0.3">
      <c r="A133" s="72"/>
      <c r="B133" s="72"/>
    </row>
    <row r="134" spans="1:2" ht="16.5" x14ac:dyDescent="0.3">
      <c r="A134" s="72"/>
      <c r="B134" s="72"/>
    </row>
    <row r="135" spans="1:2" ht="16.5" x14ac:dyDescent="0.3">
      <c r="A135" s="72"/>
      <c r="B135" s="72"/>
    </row>
    <row r="136" spans="1:2" ht="16.5" x14ac:dyDescent="0.3">
      <c r="A136" s="72"/>
      <c r="B136" s="72"/>
    </row>
    <row r="137" spans="1:2" ht="16.5" x14ac:dyDescent="0.3">
      <c r="A137" s="72"/>
      <c r="B137" s="72"/>
    </row>
    <row r="138" spans="1:2" ht="16.5" x14ac:dyDescent="0.3">
      <c r="A138" s="72"/>
      <c r="B138" s="72"/>
    </row>
    <row r="139" spans="1:2" ht="16.5" x14ac:dyDescent="0.3">
      <c r="A139" s="72"/>
      <c r="B139" s="72"/>
    </row>
    <row r="140" spans="1:2" ht="16.5" x14ac:dyDescent="0.3">
      <c r="A140" s="72"/>
      <c r="B140" s="72"/>
    </row>
    <row r="141" spans="1:2" ht="16.5" x14ac:dyDescent="0.3">
      <c r="A141" s="72"/>
      <c r="B141" s="72"/>
    </row>
    <row r="142" spans="1:2" ht="16.5" x14ac:dyDescent="0.3">
      <c r="A142" s="72"/>
      <c r="B142" s="72"/>
    </row>
    <row r="143" spans="1:2" ht="16.5" x14ac:dyDescent="0.3">
      <c r="A143" s="72"/>
      <c r="B143" s="72"/>
    </row>
    <row r="144" spans="1:2" ht="16.5" x14ac:dyDescent="0.3">
      <c r="A144" s="72"/>
      <c r="B144" s="72"/>
    </row>
    <row r="145" spans="1:2" ht="16.5" x14ac:dyDescent="0.3">
      <c r="A145" s="72"/>
      <c r="B145" s="72"/>
    </row>
    <row r="146" spans="1:2" ht="16.5" x14ac:dyDescent="0.3">
      <c r="A146" s="72"/>
      <c r="B146" s="72"/>
    </row>
    <row r="147" spans="1:2" ht="16.5" x14ac:dyDescent="0.3">
      <c r="A147" s="72"/>
      <c r="B147" s="72"/>
    </row>
    <row r="148" spans="1:2" ht="16.5" x14ac:dyDescent="0.3">
      <c r="A148" s="72"/>
      <c r="B148" s="72"/>
    </row>
    <row r="149" spans="1:2" ht="16.5" x14ac:dyDescent="0.3">
      <c r="A149" s="72"/>
      <c r="B149" s="72"/>
    </row>
    <row r="150" spans="1:2" ht="16.5" x14ac:dyDescent="0.3">
      <c r="A150" s="72"/>
      <c r="B150" s="72"/>
    </row>
    <row r="151" spans="1:2" ht="16.5" x14ac:dyDescent="0.3">
      <c r="A151" s="72"/>
      <c r="B151" s="72"/>
    </row>
    <row r="152" spans="1:2" ht="16.5" x14ac:dyDescent="0.3">
      <c r="A152" s="72"/>
      <c r="B152" s="72"/>
    </row>
    <row r="153" spans="1:2" ht="16.5" x14ac:dyDescent="0.3">
      <c r="A153" s="72"/>
      <c r="B153" s="72"/>
    </row>
    <row r="154" spans="1:2" ht="16.5" x14ac:dyDescent="0.3">
      <c r="A154" s="72"/>
      <c r="B154" s="72"/>
    </row>
    <row r="155" spans="1:2" ht="16.5" x14ac:dyDescent="0.3">
      <c r="A155" s="72"/>
      <c r="B155" s="72"/>
    </row>
    <row r="156" spans="1:2" ht="16.5" x14ac:dyDescent="0.3">
      <c r="A156" s="72"/>
      <c r="B156" s="72"/>
    </row>
    <row r="157" spans="1:2" ht="16.5" x14ac:dyDescent="0.3">
      <c r="A157" s="72"/>
      <c r="B157" s="72"/>
    </row>
    <row r="158" spans="1:2" ht="16.5" x14ac:dyDescent="0.3">
      <c r="A158" s="72"/>
      <c r="B158" s="72"/>
    </row>
    <row r="159" spans="1:2" ht="16.5" x14ac:dyDescent="0.3">
      <c r="A159" s="72"/>
      <c r="B159" s="72"/>
    </row>
    <row r="160" spans="1:2" ht="16.5" x14ac:dyDescent="0.3">
      <c r="A160" s="72"/>
      <c r="B160" s="72"/>
    </row>
    <row r="161" spans="1:2" ht="16.5" x14ac:dyDescent="0.3">
      <c r="A161" s="72"/>
      <c r="B161" s="72"/>
    </row>
    <row r="162" spans="1:2" ht="16.5" x14ac:dyDescent="0.3">
      <c r="A162" s="72"/>
      <c r="B162" s="72"/>
    </row>
    <row r="163" spans="1:2" ht="16.5" x14ac:dyDescent="0.3">
      <c r="A163" s="72"/>
      <c r="B163" s="72"/>
    </row>
    <row r="164" spans="1:2" ht="16.5" x14ac:dyDescent="0.3">
      <c r="A164" s="72"/>
      <c r="B164" s="72"/>
    </row>
    <row r="165" spans="1:2" ht="16.5" x14ac:dyDescent="0.3">
      <c r="A165" s="72"/>
      <c r="B165" s="72"/>
    </row>
    <row r="166" spans="1:2" ht="16.5" x14ac:dyDescent="0.3">
      <c r="A166" s="72"/>
      <c r="B166" s="72"/>
    </row>
    <row r="167" spans="1:2" ht="16.5" x14ac:dyDescent="0.3">
      <c r="A167" s="72"/>
      <c r="B167" s="72"/>
    </row>
    <row r="168" spans="1:2" ht="16.5" x14ac:dyDescent="0.3">
      <c r="A168" s="72"/>
      <c r="B168" s="72"/>
    </row>
    <row r="169" spans="1:2" ht="16.5" x14ac:dyDescent="0.3">
      <c r="A169" s="72"/>
      <c r="B169" s="72"/>
    </row>
    <row r="170" spans="1:2" ht="16.5" x14ac:dyDescent="0.3">
      <c r="A170" s="72"/>
      <c r="B170" s="72"/>
    </row>
    <row r="171" spans="1:2" ht="16.5" x14ac:dyDescent="0.3">
      <c r="A171" s="72"/>
      <c r="B171" s="72"/>
    </row>
    <row r="172" spans="1:2" ht="16.5" x14ac:dyDescent="0.3">
      <c r="A172" s="72"/>
      <c r="B172" s="72"/>
    </row>
    <row r="173" spans="1:2" ht="16.5" x14ac:dyDescent="0.3">
      <c r="A173" s="72"/>
      <c r="B173" s="72"/>
    </row>
    <row r="174" spans="1:2" ht="16.5" x14ac:dyDescent="0.3">
      <c r="A174" s="72"/>
      <c r="B174" s="72"/>
    </row>
    <row r="175" spans="1:2" ht="16.5" x14ac:dyDescent="0.3">
      <c r="A175" s="72"/>
      <c r="B175" s="72"/>
    </row>
    <row r="176" spans="1:2" ht="16.5" x14ac:dyDescent="0.3">
      <c r="A176" s="72"/>
      <c r="B176" s="72"/>
    </row>
    <row r="177" spans="1:2" ht="16.5" x14ac:dyDescent="0.3">
      <c r="A177" s="72"/>
      <c r="B177" s="72"/>
    </row>
    <row r="178" spans="1:2" ht="16.5" x14ac:dyDescent="0.3">
      <c r="A178" s="72"/>
      <c r="B178" s="72"/>
    </row>
    <row r="179" spans="1:2" ht="16.5" x14ac:dyDescent="0.3">
      <c r="A179" s="72"/>
      <c r="B179" s="72"/>
    </row>
    <row r="180" spans="1:2" ht="16.5" x14ac:dyDescent="0.3">
      <c r="A180" s="72"/>
      <c r="B180" s="72"/>
    </row>
    <row r="181" spans="1:2" ht="16.5" x14ac:dyDescent="0.3">
      <c r="A181" s="72"/>
      <c r="B181" s="72"/>
    </row>
    <row r="182" spans="1:2" ht="16.5" x14ac:dyDescent="0.3">
      <c r="A182" s="72"/>
      <c r="B182" s="72"/>
    </row>
    <row r="183" spans="1:2" ht="16.5" x14ac:dyDescent="0.3">
      <c r="A183" s="72"/>
      <c r="B183" s="72"/>
    </row>
    <row r="184" spans="1:2" ht="16.5" x14ac:dyDescent="0.3">
      <c r="A184" s="72"/>
      <c r="B184" s="72"/>
    </row>
    <row r="185" spans="1:2" ht="16.5" x14ac:dyDescent="0.3">
      <c r="A185" s="72"/>
      <c r="B185" s="72"/>
    </row>
    <row r="186" spans="1:2" ht="16.5" x14ac:dyDescent="0.3">
      <c r="A186" s="72"/>
      <c r="B186" s="72"/>
    </row>
    <row r="187" spans="1:2" ht="16.5" x14ac:dyDescent="0.3">
      <c r="A187" s="72"/>
      <c r="B187" s="72"/>
    </row>
    <row r="188" spans="1:2" ht="16.5" x14ac:dyDescent="0.3">
      <c r="A188" s="72"/>
      <c r="B188" s="72"/>
    </row>
    <row r="189" spans="1:2" ht="16.5" x14ac:dyDescent="0.3">
      <c r="A189" s="72"/>
      <c r="B189" s="72"/>
    </row>
    <row r="190" spans="1:2" ht="16.5" x14ac:dyDescent="0.3">
      <c r="A190" s="72"/>
      <c r="B190" s="72"/>
    </row>
    <row r="191" spans="1:2" ht="16.5" x14ac:dyDescent="0.3">
      <c r="A191" s="72"/>
      <c r="B191" s="72"/>
    </row>
    <row r="192" spans="1:2" ht="16.5" x14ac:dyDescent="0.3">
      <c r="A192" s="72"/>
      <c r="B192" s="72"/>
    </row>
    <row r="193" spans="1:2" ht="16.5" x14ac:dyDescent="0.3">
      <c r="A193" s="72"/>
      <c r="B193" s="72"/>
    </row>
    <row r="194" spans="1:2" ht="16.5" x14ac:dyDescent="0.3">
      <c r="A194" s="72"/>
      <c r="B194" s="72"/>
    </row>
    <row r="195" spans="1:2" ht="16.5" x14ac:dyDescent="0.3">
      <c r="A195" s="72"/>
      <c r="B195" s="72"/>
    </row>
    <row r="196" spans="1:2" ht="16.5" x14ac:dyDescent="0.3">
      <c r="A196" s="72"/>
      <c r="B196" s="72"/>
    </row>
    <row r="197" spans="1:2" ht="16.5" x14ac:dyDescent="0.3">
      <c r="A197" s="72"/>
      <c r="B197" s="72"/>
    </row>
    <row r="198" spans="1:2" ht="16.5" x14ac:dyDescent="0.3">
      <c r="A198" s="72"/>
      <c r="B198" s="72"/>
    </row>
    <row r="199" spans="1:2" ht="16.5" x14ac:dyDescent="0.3">
      <c r="A199" s="72"/>
      <c r="B199" s="72"/>
    </row>
    <row r="200" spans="1:2" ht="16.5" x14ac:dyDescent="0.3">
      <c r="A200" s="72"/>
      <c r="B200" s="72"/>
    </row>
    <row r="201" spans="1:2" ht="16.5" x14ac:dyDescent="0.3">
      <c r="A201" s="72"/>
      <c r="B201" s="72"/>
    </row>
    <row r="202" spans="1:2" ht="16.5" x14ac:dyDescent="0.3">
      <c r="A202" s="72"/>
      <c r="B202" s="72"/>
    </row>
    <row r="203" spans="1:2" ht="16.5" x14ac:dyDescent="0.3">
      <c r="A203" s="72"/>
      <c r="B203" s="72"/>
    </row>
    <row r="204" spans="1:2" ht="16.5" x14ac:dyDescent="0.3">
      <c r="A204" s="72"/>
      <c r="B204" s="72"/>
    </row>
    <row r="205" spans="1:2" ht="16.5" x14ac:dyDescent="0.3">
      <c r="A205" s="72"/>
      <c r="B205" s="72"/>
    </row>
    <row r="206" spans="1:2" ht="16.5" x14ac:dyDescent="0.3">
      <c r="A206" s="72"/>
      <c r="B206" s="72"/>
    </row>
    <row r="207" spans="1:2" ht="16.5" x14ac:dyDescent="0.3">
      <c r="A207" s="72"/>
      <c r="B207" s="72"/>
    </row>
    <row r="208" spans="1:2" ht="16.5" x14ac:dyDescent="0.3">
      <c r="A208" s="72"/>
      <c r="B208" s="72"/>
    </row>
    <row r="209" spans="1:2" ht="16.5" x14ac:dyDescent="0.3">
      <c r="A209" s="72"/>
      <c r="B209" s="72"/>
    </row>
    <row r="210" spans="1:2" ht="16.5" x14ac:dyDescent="0.3">
      <c r="A210" s="72"/>
      <c r="B210" s="72"/>
    </row>
    <row r="211" spans="1:2" ht="16.5" x14ac:dyDescent="0.3">
      <c r="A211" s="72"/>
      <c r="B211" s="72"/>
    </row>
    <row r="212" spans="1:2" ht="16.5" x14ac:dyDescent="0.3">
      <c r="A212" s="72"/>
      <c r="B212" s="72"/>
    </row>
    <row r="213" spans="1:2" ht="16.5" x14ac:dyDescent="0.3">
      <c r="A213" s="72"/>
      <c r="B213" s="72"/>
    </row>
    <row r="214" spans="1:2" ht="16.5" x14ac:dyDescent="0.3">
      <c r="A214" s="72"/>
      <c r="B214" s="72"/>
    </row>
    <row r="215" spans="1:2" ht="16.5" x14ac:dyDescent="0.3">
      <c r="A215" s="72"/>
      <c r="B215" s="72"/>
    </row>
    <row r="216" spans="1:2" ht="16.5" x14ac:dyDescent="0.3">
      <c r="A216" s="72"/>
      <c r="B216" s="72"/>
    </row>
    <row r="217" spans="1:2" ht="16.5" x14ac:dyDescent="0.3">
      <c r="A217" s="72"/>
      <c r="B217" s="72"/>
    </row>
    <row r="218" spans="1:2" ht="16.5" x14ac:dyDescent="0.3">
      <c r="A218" s="72"/>
      <c r="B218" s="72"/>
    </row>
    <row r="219" spans="1:2" ht="16.5" x14ac:dyDescent="0.3">
      <c r="A219" s="72"/>
      <c r="B219" s="72"/>
    </row>
    <row r="220" spans="1:2" ht="16.5" x14ac:dyDescent="0.3">
      <c r="A220" s="72"/>
      <c r="B220" s="72"/>
    </row>
    <row r="221" spans="1:2" ht="16.5" x14ac:dyDescent="0.3">
      <c r="A221" s="72"/>
      <c r="B221" s="72"/>
    </row>
    <row r="222" spans="1:2" ht="16.5" x14ac:dyDescent="0.3">
      <c r="A222" s="72"/>
      <c r="B222" s="72"/>
    </row>
    <row r="223" spans="1:2" ht="16.5" x14ac:dyDescent="0.3">
      <c r="A223" s="72"/>
      <c r="B223" s="72"/>
    </row>
    <row r="224" spans="1:2" ht="16.5" x14ac:dyDescent="0.3">
      <c r="A224" s="72"/>
      <c r="B224" s="72"/>
    </row>
    <row r="225" spans="1:2" ht="16.5" x14ac:dyDescent="0.3">
      <c r="A225" s="72"/>
      <c r="B225" s="72"/>
    </row>
    <row r="226" spans="1:2" ht="16.5" x14ac:dyDescent="0.3">
      <c r="A226" s="72"/>
      <c r="B226" s="72"/>
    </row>
    <row r="227" spans="1:2" ht="16.5" x14ac:dyDescent="0.3">
      <c r="A227" s="72"/>
      <c r="B227" s="72"/>
    </row>
    <row r="228" spans="1:2" ht="16.5" x14ac:dyDescent="0.3">
      <c r="A228" s="72"/>
      <c r="B228" s="72"/>
    </row>
    <row r="229" spans="1:2" ht="16.5" x14ac:dyDescent="0.3">
      <c r="A229" s="72"/>
      <c r="B229" s="72"/>
    </row>
    <row r="230" spans="1:2" ht="16.5" x14ac:dyDescent="0.3">
      <c r="A230" s="72"/>
      <c r="B230" s="72"/>
    </row>
    <row r="231" spans="1:2" ht="16.5" x14ac:dyDescent="0.3">
      <c r="A231" s="72"/>
      <c r="B231" s="72"/>
    </row>
    <row r="232" spans="1:2" ht="16.5" x14ac:dyDescent="0.3">
      <c r="A232" s="72"/>
      <c r="B232" s="72"/>
    </row>
    <row r="233" spans="1:2" ht="16.5" x14ac:dyDescent="0.3">
      <c r="A233" s="72"/>
      <c r="B233" s="72"/>
    </row>
    <row r="234" spans="1:2" ht="16.5" x14ac:dyDescent="0.3">
      <c r="A234" s="72"/>
      <c r="B234" s="72"/>
    </row>
    <row r="235" spans="1:2" ht="16.5" x14ac:dyDescent="0.3">
      <c r="A235" s="72"/>
      <c r="B235" s="72"/>
    </row>
    <row r="236" spans="1:2" ht="16.5" x14ac:dyDescent="0.3">
      <c r="A236" s="72"/>
      <c r="B236" s="72"/>
    </row>
    <row r="237" spans="1:2" ht="16.5" x14ac:dyDescent="0.3">
      <c r="A237" s="72"/>
      <c r="B237" s="72"/>
    </row>
    <row r="238" spans="1:2" ht="16.5" x14ac:dyDescent="0.3">
      <c r="A238" s="72"/>
      <c r="B238" s="72"/>
    </row>
    <row r="239" spans="1:2" ht="16.5" x14ac:dyDescent="0.3">
      <c r="A239" s="72"/>
      <c r="B239" s="72"/>
    </row>
    <row r="240" spans="1:2" ht="16.5" x14ac:dyDescent="0.3">
      <c r="A240" s="72"/>
      <c r="B240" s="72"/>
    </row>
    <row r="241" spans="1:2" ht="16.5" x14ac:dyDescent="0.3">
      <c r="A241" s="72"/>
      <c r="B241" s="72"/>
    </row>
    <row r="242" spans="1:2" ht="16.5" x14ac:dyDescent="0.3">
      <c r="A242" s="72"/>
      <c r="B242" s="72"/>
    </row>
    <row r="243" spans="1:2" ht="16.5" x14ac:dyDescent="0.3">
      <c r="A243" s="72"/>
      <c r="B243" s="72"/>
    </row>
    <row r="244" spans="1:2" ht="16.5" x14ac:dyDescent="0.3">
      <c r="A244" s="72"/>
      <c r="B244" s="72"/>
    </row>
    <row r="245" spans="1:2" ht="16.5" x14ac:dyDescent="0.3">
      <c r="A245" s="72"/>
      <c r="B245" s="72"/>
    </row>
    <row r="246" spans="1:2" ht="16.5" x14ac:dyDescent="0.3">
      <c r="A246" s="72"/>
      <c r="B246" s="72"/>
    </row>
    <row r="247" spans="1:2" ht="16.5" x14ac:dyDescent="0.3">
      <c r="A247" s="72"/>
      <c r="B247" s="72"/>
    </row>
    <row r="248" spans="1:2" ht="16.5" x14ac:dyDescent="0.3">
      <c r="A248" s="72"/>
      <c r="B248" s="72"/>
    </row>
    <row r="249" spans="1:2" ht="16.5" x14ac:dyDescent="0.3">
      <c r="A249" s="72"/>
      <c r="B249" s="72"/>
    </row>
    <row r="250" spans="1:2" ht="16.5" x14ac:dyDescent="0.3">
      <c r="A250" s="72"/>
      <c r="B250" s="72"/>
    </row>
    <row r="251" spans="1:2" ht="16.5" x14ac:dyDescent="0.3">
      <c r="A251" s="72"/>
      <c r="B251" s="72"/>
    </row>
    <row r="252" spans="1:2" ht="16.5" x14ac:dyDescent="0.3">
      <c r="A252" s="72"/>
      <c r="B252" s="72"/>
    </row>
    <row r="253" spans="1:2" ht="16.5" x14ac:dyDescent="0.3">
      <c r="A253" s="72"/>
      <c r="B253" s="72"/>
    </row>
    <row r="254" spans="1:2" ht="16.5" x14ac:dyDescent="0.3">
      <c r="A254" s="72"/>
      <c r="B254" s="72"/>
    </row>
    <row r="255" spans="1:2" ht="16.5" x14ac:dyDescent="0.3">
      <c r="A255" s="72"/>
      <c r="B255" s="72"/>
    </row>
    <row r="256" spans="1:2" ht="16.5" x14ac:dyDescent="0.3">
      <c r="A256" s="72"/>
      <c r="B256" s="72"/>
    </row>
    <row r="257" spans="1:2" ht="16.5" x14ac:dyDescent="0.3">
      <c r="A257" s="72"/>
      <c r="B257" s="72"/>
    </row>
    <row r="258" spans="1:2" ht="16.5" x14ac:dyDescent="0.3">
      <c r="A258" s="72"/>
      <c r="B258" s="72"/>
    </row>
    <row r="259" spans="1:2" ht="16.5" x14ac:dyDescent="0.3">
      <c r="A259" s="72"/>
      <c r="B259" s="72"/>
    </row>
    <row r="260" spans="1:2" ht="16.5" x14ac:dyDescent="0.3">
      <c r="A260" s="72"/>
      <c r="B260" s="72"/>
    </row>
    <row r="261" spans="1:2" ht="16.5" x14ac:dyDescent="0.3">
      <c r="A261" s="72"/>
      <c r="B261" s="72"/>
    </row>
    <row r="262" spans="1:2" ht="16.5" x14ac:dyDescent="0.3">
      <c r="A262" s="72"/>
      <c r="B262" s="72"/>
    </row>
    <row r="263" spans="1:2" ht="16.5" x14ac:dyDescent="0.3">
      <c r="A263" s="72"/>
      <c r="B263" s="72"/>
    </row>
    <row r="264" spans="1:2" ht="16.5" x14ac:dyDescent="0.3">
      <c r="A264" s="72"/>
      <c r="B264" s="72"/>
    </row>
    <row r="265" spans="1:2" ht="16.5" x14ac:dyDescent="0.3">
      <c r="A265" s="72"/>
      <c r="B265" s="72"/>
    </row>
    <row r="266" spans="1:2" ht="16.5" x14ac:dyDescent="0.3">
      <c r="A266" s="72"/>
      <c r="B266" s="72"/>
    </row>
    <row r="267" spans="1:2" ht="16.5" x14ac:dyDescent="0.3">
      <c r="A267" s="72"/>
      <c r="B267" s="72"/>
    </row>
    <row r="268" spans="1:2" ht="16.5" x14ac:dyDescent="0.3">
      <c r="A268" s="72"/>
      <c r="B268" s="72"/>
    </row>
    <row r="269" spans="1:2" ht="16.5" x14ac:dyDescent="0.3">
      <c r="A269" s="72"/>
      <c r="B269" s="72"/>
    </row>
    <row r="270" spans="1:2" ht="16.5" x14ac:dyDescent="0.3">
      <c r="A270" s="72"/>
      <c r="B270" s="72"/>
    </row>
    <row r="271" spans="1:2" ht="16.5" x14ac:dyDescent="0.3">
      <c r="A271" s="72"/>
      <c r="B271" s="72"/>
    </row>
    <row r="272" spans="1:2" ht="16.5" x14ac:dyDescent="0.3">
      <c r="A272" s="72"/>
      <c r="B272" s="72"/>
    </row>
    <row r="273" spans="1:2" ht="16.5" x14ac:dyDescent="0.3">
      <c r="A273" s="72"/>
      <c r="B273" s="72"/>
    </row>
    <row r="274" spans="1:2" ht="16.5" x14ac:dyDescent="0.3">
      <c r="A274" s="72"/>
      <c r="B274" s="72"/>
    </row>
    <row r="275" spans="1:2" ht="16.5" x14ac:dyDescent="0.3">
      <c r="A275" s="72"/>
      <c r="B275" s="72"/>
    </row>
    <row r="276" spans="1:2" ht="16.5" x14ac:dyDescent="0.3">
      <c r="A276" s="72"/>
      <c r="B276" s="72"/>
    </row>
    <row r="277" spans="1:2" ht="16.5" x14ac:dyDescent="0.3">
      <c r="A277" s="72"/>
      <c r="B277" s="72"/>
    </row>
    <row r="278" spans="1:2" ht="16.5" x14ac:dyDescent="0.3">
      <c r="A278" s="72"/>
      <c r="B278" s="72"/>
    </row>
    <row r="279" spans="1:2" ht="16.5" x14ac:dyDescent="0.3">
      <c r="A279" s="72"/>
      <c r="B279" s="72"/>
    </row>
    <row r="280" spans="1:2" ht="16.5" x14ac:dyDescent="0.3">
      <c r="A280" s="72"/>
      <c r="B280" s="72"/>
    </row>
    <row r="281" spans="1:2" ht="16.5" x14ac:dyDescent="0.3">
      <c r="A281" s="72"/>
      <c r="B281" s="72"/>
    </row>
    <row r="282" spans="1:2" ht="16.5" x14ac:dyDescent="0.3">
      <c r="A282" s="72"/>
      <c r="B282" s="72"/>
    </row>
    <row r="283" spans="1:2" ht="16.5" x14ac:dyDescent="0.3">
      <c r="A283" s="72"/>
      <c r="B283" s="72"/>
    </row>
    <row r="284" spans="1:2" ht="16.5" x14ac:dyDescent="0.3">
      <c r="A284" s="72"/>
      <c r="B284" s="72"/>
    </row>
    <row r="285" spans="1:2" ht="16.5" x14ac:dyDescent="0.3">
      <c r="A285" s="72"/>
      <c r="B285" s="72"/>
    </row>
    <row r="286" spans="1:2" ht="16.5" x14ac:dyDescent="0.3">
      <c r="A286" s="72"/>
      <c r="B286" s="72"/>
    </row>
    <row r="287" spans="1:2" ht="16.5" x14ac:dyDescent="0.3">
      <c r="A287" s="72"/>
      <c r="B287" s="72"/>
    </row>
    <row r="288" spans="1:2" ht="16.5" x14ac:dyDescent="0.3">
      <c r="A288" s="72"/>
      <c r="B288" s="72"/>
    </row>
    <row r="289" spans="1:2" ht="16.5" x14ac:dyDescent="0.3">
      <c r="A289" s="72"/>
      <c r="B289" s="72"/>
    </row>
    <row r="290" spans="1:2" ht="16.5" x14ac:dyDescent="0.3">
      <c r="A290" s="72"/>
      <c r="B290" s="72"/>
    </row>
    <row r="291" spans="1:2" ht="16.5" x14ac:dyDescent="0.3">
      <c r="A291" s="72"/>
      <c r="B291" s="72"/>
    </row>
    <row r="292" spans="1:2" ht="16.5" x14ac:dyDescent="0.3">
      <c r="A292" s="72"/>
      <c r="B292" s="72"/>
    </row>
    <row r="293" spans="1:2" ht="16.5" x14ac:dyDescent="0.3">
      <c r="A293" s="72"/>
      <c r="B293" s="72"/>
    </row>
    <row r="294" spans="1:2" ht="16.5" x14ac:dyDescent="0.3">
      <c r="A294" s="72"/>
      <c r="B294" s="72"/>
    </row>
    <row r="295" spans="1:2" ht="16.5" x14ac:dyDescent="0.3">
      <c r="A295" s="72"/>
      <c r="B295" s="72"/>
    </row>
    <row r="296" spans="1:2" ht="16.5" x14ac:dyDescent="0.3">
      <c r="A296" s="72"/>
      <c r="B296" s="72"/>
    </row>
    <row r="297" spans="1:2" ht="16.5" x14ac:dyDescent="0.3">
      <c r="A297" s="72"/>
      <c r="B297" s="72"/>
    </row>
    <row r="298" spans="1:2" ht="16.5" x14ac:dyDescent="0.3">
      <c r="A298" s="72"/>
      <c r="B298" s="72"/>
    </row>
    <row r="299" spans="1:2" ht="16.5" x14ac:dyDescent="0.3">
      <c r="A299" s="72"/>
      <c r="B299" s="72"/>
    </row>
    <row r="300" spans="1:2" ht="16.5" x14ac:dyDescent="0.3">
      <c r="A300" s="72"/>
      <c r="B300" s="72"/>
    </row>
    <row r="301" spans="1:2" ht="16.5" x14ac:dyDescent="0.3">
      <c r="A301" s="72"/>
      <c r="B301" s="72"/>
    </row>
    <row r="302" spans="1:2" ht="16.5" x14ac:dyDescent="0.3">
      <c r="A302" s="72"/>
      <c r="B302" s="72"/>
    </row>
    <row r="303" spans="1:2" ht="16.5" x14ac:dyDescent="0.3">
      <c r="A303" s="72"/>
      <c r="B303" s="72"/>
    </row>
    <row r="304" spans="1:2" ht="16.5" x14ac:dyDescent="0.3">
      <c r="A304" s="72"/>
      <c r="B304" s="72"/>
    </row>
    <row r="305" spans="1:2" ht="16.5" x14ac:dyDescent="0.3">
      <c r="A305" s="72"/>
      <c r="B305" s="72"/>
    </row>
    <row r="306" spans="1:2" ht="16.5" x14ac:dyDescent="0.3">
      <c r="A306" s="72"/>
      <c r="B306" s="72"/>
    </row>
    <row r="307" spans="1:2" ht="16.5" x14ac:dyDescent="0.3">
      <c r="A307" s="72"/>
      <c r="B307" s="72"/>
    </row>
    <row r="308" spans="1:2" ht="16.5" x14ac:dyDescent="0.3">
      <c r="A308" s="72"/>
      <c r="B308" s="72"/>
    </row>
    <row r="309" spans="1:2" ht="16.5" x14ac:dyDescent="0.3">
      <c r="A309" s="72"/>
      <c r="B309" s="72"/>
    </row>
    <row r="310" spans="1:2" ht="16.5" x14ac:dyDescent="0.3">
      <c r="A310" s="72"/>
      <c r="B310" s="72"/>
    </row>
    <row r="311" spans="1:2" ht="16.5" x14ac:dyDescent="0.3">
      <c r="A311" s="72"/>
      <c r="B311" s="72"/>
    </row>
    <row r="312" spans="1:2" ht="16.5" x14ac:dyDescent="0.3">
      <c r="A312" s="72"/>
      <c r="B312" s="72"/>
    </row>
    <row r="313" spans="1:2" ht="16.5" x14ac:dyDescent="0.3">
      <c r="A313" s="72"/>
      <c r="B313" s="72"/>
    </row>
    <row r="314" spans="1:2" ht="16.5" x14ac:dyDescent="0.3">
      <c r="A314" s="72"/>
      <c r="B314" s="72"/>
    </row>
    <row r="315" spans="1:2" ht="16.5" x14ac:dyDescent="0.3">
      <c r="A315" s="72"/>
      <c r="B315" s="72"/>
    </row>
    <row r="316" spans="1:2" ht="16.5" x14ac:dyDescent="0.3">
      <c r="A316" s="72"/>
      <c r="B316" s="72"/>
    </row>
    <row r="317" spans="1:2" ht="16.5" x14ac:dyDescent="0.3">
      <c r="A317" s="72"/>
      <c r="B317" s="72"/>
    </row>
    <row r="318" spans="1:2" ht="16.5" x14ac:dyDescent="0.3">
      <c r="A318" s="72"/>
      <c r="B318" s="72"/>
    </row>
    <row r="319" spans="1:2" ht="16.5" x14ac:dyDescent="0.3">
      <c r="A319" s="72"/>
      <c r="B319" s="72"/>
    </row>
    <row r="320" spans="1:2" ht="16.5" x14ac:dyDescent="0.3">
      <c r="A320" s="72"/>
      <c r="B320" s="72"/>
    </row>
    <row r="321" spans="1:2" ht="16.5" x14ac:dyDescent="0.3">
      <c r="A321" s="72"/>
      <c r="B321" s="72"/>
    </row>
    <row r="322" spans="1:2" ht="16.5" x14ac:dyDescent="0.3">
      <c r="A322" s="72"/>
      <c r="B322" s="72"/>
    </row>
    <row r="323" spans="1:2" ht="16.5" x14ac:dyDescent="0.3">
      <c r="A323" s="72"/>
      <c r="B323" s="72"/>
    </row>
    <row r="324" spans="1:2" ht="16.5" x14ac:dyDescent="0.3">
      <c r="A324" s="72"/>
      <c r="B324" s="72"/>
    </row>
    <row r="325" spans="1:2" ht="16.5" x14ac:dyDescent="0.3">
      <c r="A325" s="72"/>
      <c r="B325" s="72"/>
    </row>
    <row r="326" spans="1:2" ht="16.5" x14ac:dyDescent="0.3">
      <c r="A326" s="72"/>
      <c r="B326" s="72"/>
    </row>
    <row r="327" spans="1:2" ht="16.5" x14ac:dyDescent="0.3">
      <c r="A327" s="72"/>
      <c r="B327" s="72"/>
    </row>
    <row r="328" spans="1:2" ht="16.5" x14ac:dyDescent="0.3">
      <c r="A328" s="72"/>
      <c r="B328" s="72"/>
    </row>
    <row r="329" spans="1:2" ht="16.5" x14ac:dyDescent="0.3">
      <c r="A329" s="72"/>
      <c r="B329" s="72"/>
    </row>
    <row r="330" spans="1:2" ht="16.5" x14ac:dyDescent="0.3">
      <c r="A330" s="72"/>
      <c r="B330" s="72"/>
    </row>
    <row r="331" spans="1:2" ht="16.5" x14ac:dyDescent="0.3">
      <c r="A331" s="72"/>
      <c r="B331" s="72"/>
    </row>
    <row r="332" spans="1:2" ht="16.5" x14ac:dyDescent="0.3">
      <c r="A332" s="72"/>
      <c r="B332" s="72"/>
    </row>
    <row r="333" spans="1:2" ht="16.5" x14ac:dyDescent="0.3">
      <c r="A333" s="72"/>
      <c r="B333" s="72"/>
    </row>
    <row r="334" spans="1:2" ht="16.5" x14ac:dyDescent="0.3">
      <c r="A334" s="72"/>
      <c r="B334" s="72"/>
    </row>
    <row r="335" spans="1:2" ht="16.5" x14ac:dyDescent="0.3">
      <c r="A335" s="72"/>
      <c r="B335" s="72"/>
    </row>
    <row r="336" spans="1:2" ht="16.5" x14ac:dyDescent="0.3">
      <c r="A336" s="72"/>
      <c r="B336" s="72"/>
    </row>
    <row r="337" spans="1:2" ht="16.5" x14ac:dyDescent="0.3">
      <c r="A337" s="72"/>
      <c r="B337" s="72"/>
    </row>
    <row r="338" spans="1:2" ht="16.5" x14ac:dyDescent="0.3">
      <c r="A338" s="72"/>
      <c r="B338" s="72"/>
    </row>
    <row r="339" spans="1:2" ht="16.5" x14ac:dyDescent="0.3">
      <c r="A339" s="72"/>
      <c r="B339" s="72"/>
    </row>
    <row r="340" spans="1:2" ht="16.5" x14ac:dyDescent="0.3">
      <c r="A340" s="72"/>
      <c r="B340" s="72"/>
    </row>
    <row r="341" spans="1:2" ht="16.5" x14ac:dyDescent="0.3">
      <c r="A341" s="72"/>
      <c r="B341" s="72"/>
    </row>
    <row r="342" spans="1:2" ht="16.5" x14ac:dyDescent="0.3">
      <c r="A342" s="72"/>
      <c r="B342" s="72"/>
    </row>
    <row r="343" spans="1:2" ht="16.5" x14ac:dyDescent="0.3">
      <c r="A343" s="72"/>
      <c r="B343" s="72"/>
    </row>
    <row r="344" spans="1:2" ht="16.5" x14ac:dyDescent="0.3">
      <c r="A344" s="72"/>
      <c r="B344" s="72"/>
    </row>
    <row r="345" spans="1:2" ht="16.5" x14ac:dyDescent="0.3">
      <c r="A345" s="72"/>
      <c r="B345" s="72"/>
    </row>
    <row r="346" spans="1:2" ht="16.5" x14ac:dyDescent="0.3">
      <c r="A346" s="72"/>
      <c r="B346" s="72"/>
    </row>
    <row r="347" spans="1:2" ht="16.5" x14ac:dyDescent="0.3">
      <c r="A347" s="72"/>
      <c r="B347" s="72"/>
    </row>
    <row r="348" spans="1:2" ht="16.5" x14ac:dyDescent="0.3">
      <c r="A348" s="72"/>
      <c r="B348" s="72"/>
    </row>
    <row r="349" spans="1:2" ht="16.5" x14ac:dyDescent="0.3">
      <c r="A349" s="72"/>
      <c r="B349" s="72"/>
    </row>
    <row r="350" spans="1:2" ht="16.5" x14ac:dyDescent="0.3">
      <c r="A350" s="72"/>
      <c r="B350" s="72"/>
    </row>
    <row r="351" spans="1:2" ht="16.5" x14ac:dyDescent="0.3">
      <c r="A351" s="72"/>
      <c r="B351" s="72"/>
    </row>
    <row r="352" spans="1:2" ht="16.5" x14ac:dyDescent="0.3">
      <c r="A352" s="72"/>
      <c r="B352" s="72"/>
    </row>
    <row r="353" spans="1:2" ht="16.5" x14ac:dyDescent="0.3">
      <c r="A353" s="72"/>
      <c r="B353" s="72"/>
    </row>
    <row r="354" spans="1:2" ht="16.5" x14ac:dyDescent="0.3">
      <c r="A354" s="72"/>
      <c r="B354" s="72"/>
    </row>
    <row r="355" spans="1:2" ht="16.5" x14ac:dyDescent="0.3">
      <c r="A355" s="72"/>
      <c r="B355" s="72"/>
    </row>
    <row r="356" spans="1:2" ht="16.5" x14ac:dyDescent="0.3">
      <c r="A356" s="72"/>
      <c r="B356" s="72"/>
    </row>
    <row r="357" spans="1:2" ht="16.5" x14ac:dyDescent="0.3">
      <c r="A357" s="72"/>
      <c r="B357" s="72"/>
    </row>
    <row r="358" spans="1:2" ht="16.5" x14ac:dyDescent="0.3">
      <c r="A358" s="72"/>
      <c r="B358" s="72"/>
    </row>
    <row r="359" spans="1:2" ht="16.5" x14ac:dyDescent="0.3">
      <c r="A359" s="72"/>
      <c r="B359" s="72"/>
    </row>
    <row r="360" spans="1:2" ht="16.5" x14ac:dyDescent="0.3">
      <c r="A360" s="72"/>
      <c r="B360" s="72"/>
    </row>
    <row r="361" spans="1:2" ht="16.5" x14ac:dyDescent="0.3">
      <c r="A361" s="72"/>
      <c r="B361" s="72"/>
    </row>
    <row r="362" spans="1:2" ht="16.5" x14ac:dyDescent="0.3">
      <c r="A362" s="72"/>
      <c r="B362" s="72"/>
    </row>
    <row r="363" spans="1:2" ht="16.5" x14ac:dyDescent="0.3">
      <c r="A363" s="72"/>
      <c r="B363" s="72"/>
    </row>
    <row r="364" spans="1:2" ht="16.5" x14ac:dyDescent="0.3">
      <c r="A364" s="72"/>
      <c r="B364" s="72"/>
    </row>
    <row r="365" spans="1:2" ht="16.5" x14ac:dyDescent="0.3">
      <c r="A365" s="72"/>
      <c r="B365" s="72"/>
    </row>
    <row r="366" spans="1:2" ht="16.5" x14ac:dyDescent="0.3">
      <c r="A366" s="72"/>
      <c r="B366" s="72"/>
    </row>
    <row r="367" spans="1:2" ht="16.5" x14ac:dyDescent="0.3">
      <c r="A367" s="72"/>
      <c r="B367" s="72"/>
    </row>
    <row r="368" spans="1:2" ht="16.5" x14ac:dyDescent="0.3">
      <c r="A368" s="72"/>
      <c r="B368" s="72"/>
    </row>
    <row r="369" spans="1:2" ht="16.5" x14ac:dyDescent="0.3">
      <c r="A369" s="72"/>
      <c r="B369" s="72"/>
    </row>
    <row r="370" spans="1:2" ht="16.5" x14ac:dyDescent="0.3">
      <c r="A370" s="72"/>
      <c r="B370" s="72"/>
    </row>
    <row r="371" spans="1:2" ht="16.5" x14ac:dyDescent="0.3">
      <c r="A371" s="72"/>
      <c r="B371" s="72"/>
    </row>
    <row r="372" spans="1:2" ht="16.5" x14ac:dyDescent="0.3">
      <c r="A372" s="72"/>
      <c r="B372" s="72"/>
    </row>
    <row r="373" spans="1:2" ht="16.5" x14ac:dyDescent="0.3">
      <c r="A373" s="72"/>
      <c r="B373" s="72"/>
    </row>
    <row r="374" spans="1:2" ht="16.5" x14ac:dyDescent="0.3">
      <c r="A374" s="72"/>
      <c r="B374" s="72"/>
    </row>
    <row r="375" spans="1:2" ht="16.5" x14ac:dyDescent="0.3">
      <c r="A375" s="72"/>
      <c r="B375" s="72"/>
    </row>
    <row r="376" spans="1:2" ht="16.5" x14ac:dyDescent="0.3">
      <c r="A376" s="72"/>
      <c r="B376" s="72"/>
    </row>
    <row r="377" spans="1:2" ht="16.5" x14ac:dyDescent="0.3">
      <c r="A377" s="72"/>
      <c r="B377" s="72"/>
    </row>
    <row r="378" spans="1:2" ht="16.5" x14ac:dyDescent="0.3">
      <c r="A378" s="72"/>
      <c r="B378" s="72"/>
    </row>
    <row r="379" spans="1:2" ht="16.5" x14ac:dyDescent="0.3">
      <c r="A379" s="72"/>
      <c r="B379" s="72"/>
    </row>
    <row r="380" spans="1:2" ht="16.5" x14ac:dyDescent="0.3">
      <c r="A380" s="72"/>
      <c r="B380" s="72"/>
    </row>
    <row r="381" spans="1:2" ht="16.5" x14ac:dyDescent="0.3">
      <c r="A381" s="72"/>
      <c r="B381" s="72"/>
    </row>
    <row r="382" spans="1:2" ht="16.5" x14ac:dyDescent="0.3">
      <c r="A382" s="72"/>
      <c r="B382" s="72"/>
    </row>
    <row r="383" spans="1:2" ht="16.5" x14ac:dyDescent="0.3">
      <c r="A383" s="72"/>
      <c r="B383" s="72"/>
    </row>
    <row r="384" spans="1:2" ht="16.5" x14ac:dyDescent="0.3">
      <c r="A384" s="72"/>
      <c r="B384" s="72"/>
    </row>
    <row r="385" spans="1:2" ht="16.5" x14ac:dyDescent="0.3">
      <c r="A385" s="72"/>
      <c r="B385" s="72"/>
    </row>
    <row r="386" spans="1:2" ht="16.5" x14ac:dyDescent="0.3">
      <c r="A386" s="72"/>
      <c r="B386" s="72"/>
    </row>
    <row r="387" spans="1:2" ht="16.5" x14ac:dyDescent="0.3">
      <c r="A387" s="72"/>
      <c r="B387" s="72"/>
    </row>
    <row r="388" spans="1:2" ht="16.5" x14ac:dyDescent="0.3">
      <c r="A388" s="72"/>
      <c r="B388" s="72"/>
    </row>
    <row r="389" spans="1:2" ht="16.5" x14ac:dyDescent="0.3">
      <c r="A389" s="72"/>
      <c r="B389" s="72"/>
    </row>
    <row r="390" spans="1:2" ht="16.5" x14ac:dyDescent="0.3">
      <c r="A390" s="72"/>
      <c r="B390" s="72"/>
    </row>
    <row r="391" spans="1:2" ht="16.5" x14ac:dyDescent="0.3">
      <c r="A391" s="72"/>
      <c r="B391" s="72"/>
    </row>
    <row r="392" spans="1:2" ht="16.5" x14ac:dyDescent="0.3">
      <c r="A392" s="72"/>
      <c r="B392" s="72"/>
    </row>
    <row r="393" spans="1:2" ht="16.5" x14ac:dyDescent="0.3">
      <c r="A393" s="72"/>
      <c r="B393" s="72"/>
    </row>
    <row r="394" spans="1:2" ht="16.5" x14ac:dyDescent="0.3">
      <c r="A394" s="72"/>
      <c r="B394" s="72"/>
    </row>
    <row r="395" spans="1:2" ht="16.5" x14ac:dyDescent="0.3">
      <c r="A395" s="72"/>
      <c r="B395" s="72"/>
    </row>
    <row r="396" spans="1:2" ht="16.5" x14ac:dyDescent="0.3">
      <c r="A396" s="72"/>
      <c r="B396" s="72"/>
    </row>
    <row r="397" spans="1:2" ht="16.5" x14ac:dyDescent="0.3">
      <c r="A397" s="72"/>
      <c r="B397" s="72"/>
    </row>
    <row r="398" spans="1:2" ht="16.5" x14ac:dyDescent="0.3">
      <c r="A398" s="72"/>
      <c r="B398" s="72"/>
    </row>
    <row r="399" spans="1:2" ht="16.5" x14ac:dyDescent="0.3">
      <c r="A399" s="72"/>
      <c r="B399" s="72"/>
    </row>
    <row r="400" spans="1:2" ht="16.5" x14ac:dyDescent="0.3">
      <c r="A400" s="72"/>
      <c r="B400" s="72"/>
    </row>
    <row r="401" spans="1:2" ht="16.5" x14ac:dyDescent="0.3">
      <c r="A401" s="72"/>
      <c r="B401" s="72"/>
    </row>
    <row r="402" spans="1:2" ht="16.5" x14ac:dyDescent="0.3">
      <c r="A402" s="72"/>
      <c r="B402" s="72"/>
    </row>
    <row r="403" spans="1:2" ht="16.5" x14ac:dyDescent="0.3">
      <c r="A403" s="72"/>
      <c r="B403" s="72"/>
    </row>
    <row r="404" spans="1:2" ht="16.5" x14ac:dyDescent="0.3">
      <c r="A404" s="72"/>
      <c r="B404" s="72"/>
    </row>
    <row r="405" spans="1:2" ht="16.5" x14ac:dyDescent="0.3">
      <c r="A405" s="72"/>
      <c r="B405" s="72"/>
    </row>
    <row r="406" spans="1:2" ht="16.5" x14ac:dyDescent="0.3">
      <c r="A406" s="72"/>
      <c r="B406" s="72"/>
    </row>
    <row r="407" spans="1:2" ht="16.5" x14ac:dyDescent="0.3">
      <c r="A407" s="72"/>
      <c r="B407" s="72"/>
    </row>
    <row r="408" spans="1:2" ht="16.5" x14ac:dyDescent="0.3">
      <c r="A408" s="72"/>
      <c r="B408" s="72"/>
    </row>
    <row r="409" spans="1:2" ht="16.5" x14ac:dyDescent="0.3">
      <c r="A409" s="72"/>
      <c r="B409" s="72"/>
    </row>
    <row r="410" spans="1:2" ht="16.5" x14ac:dyDescent="0.3">
      <c r="A410" s="72"/>
      <c r="B410" s="72"/>
    </row>
    <row r="411" spans="1:2" ht="16.5" x14ac:dyDescent="0.3">
      <c r="A411" s="72"/>
      <c r="B411" s="72"/>
    </row>
    <row r="412" spans="1:2" ht="16.5" x14ac:dyDescent="0.3">
      <c r="A412" s="72"/>
      <c r="B412" s="72"/>
    </row>
    <row r="413" spans="1:2" ht="16.5" x14ac:dyDescent="0.3">
      <c r="A413" s="72"/>
      <c r="B413" s="72"/>
    </row>
    <row r="414" spans="1:2" ht="16.5" x14ac:dyDescent="0.3">
      <c r="A414" s="72"/>
      <c r="B414" s="72"/>
    </row>
    <row r="415" spans="1:2" ht="16.5" x14ac:dyDescent="0.3">
      <c r="A415" s="72"/>
      <c r="B415" s="72"/>
    </row>
    <row r="416" spans="1:2" ht="16.5" x14ac:dyDescent="0.3">
      <c r="A416" s="72"/>
      <c r="B416" s="72"/>
    </row>
    <row r="417" spans="1:2" ht="16.5" x14ac:dyDescent="0.3">
      <c r="A417" s="72"/>
      <c r="B417" s="72"/>
    </row>
    <row r="418" spans="1:2" ht="16.5" x14ac:dyDescent="0.3">
      <c r="A418" s="72"/>
      <c r="B418" s="72"/>
    </row>
    <row r="419" spans="1:2" ht="16.5" x14ac:dyDescent="0.3">
      <c r="A419" s="72"/>
      <c r="B419" s="72"/>
    </row>
    <row r="420" spans="1:2" ht="16.5" x14ac:dyDescent="0.3">
      <c r="A420" s="72"/>
      <c r="B420" s="72"/>
    </row>
    <row r="421" spans="1:2" ht="16.5" x14ac:dyDescent="0.3">
      <c r="A421" s="72"/>
      <c r="B421" s="72"/>
    </row>
    <row r="422" spans="1:2" ht="16.5" x14ac:dyDescent="0.3">
      <c r="A422" s="72"/>
      <c r="B422" s="72"/>
    </row>
    <row r="423" spans="1:2" ht="16.5" x14ac:dyDescent="0.3">
      <c r="A423" s="72"/>
      <c r="B423" s="72"/>
    </row>
    <row r="424" spans="1:2" ht="16.5" x14ac:dyDescent="0.3">
      <c r="A424" s="72"/>
      <c r="B424" s="72"/>
    </row>
    <row r="425" spans="1:2" ht="16.5" x14ac:dyDescent="0.3">
      <c r="A425" s="72"/>
      <c r="B425" s="72"/>
    </row>
    <row r="426" spans="1:2" ht="16.5" x14ac:dyDescent="0.3">
      <c r="A426" s="72"/>
      <c r="B426" s="72"/>
    </row>
    <row r="427" spans="1:2" ht="16.5" x14ac:dyDescent="0.3">
      <c r="A427" s="72"/>
      <c r="B427" s="72"/>
    </row>
    <row r="428" spans="1:2" ht="16.5" x14ac:dyDescent="0.3">
      <c r="A428" s="72"/>
      <c r="B428" s="72"/>
    </row>
    <row r="429" spans="1:2" ht="16.5" x14ac:dyDescent="0.3">
      <c r="A429" s="72"/>
      <c r="B429" s="72"/>
    </row>
    <row r="430" spans="1:2" ht="16.5" x14ac:dyDescent="0.3">
      <c r="A430" s="72"/>
      <c r="B430" s="72"/>
    </row>
    <row r="431" spans="1:2" ht="16.5" x14ac:dyDescent="0.3">
      <c r="A431" s="72"/>
      <c r="B431" s="72"/>
    </row>
    <row r="432" spans="1:2" ht="16.5" x14ac:dyDescent="0.3">
      <c r="A432" s="72"/>
      <c r="B432" s="72"/>
    </row>
    <row r="433" spans="1:2" ht="16.5" x14ac:dyDescent="0.3">
      <c r="A433" s="72"/>
      <c r="B433" s="72"/>
    </row>
    <row r="434" spans="1:2" ht="16.5" x14ac:dyDescent="0.3">
      <c r="A434" s="72"/>
      <c r="B434" s="72"/>
    </row>
    <row r="435" spans="1:2" ht="16.5" x14ac:dyDescent="0.3">
      <c r="A435" s="72"/>
      <c r="B435" s="72"/>
    </row>
    <row r="436" spans="1:2" ht="16.5" x14ac:dyDescent="0.3">
      <c r="A436" s="72"/>
      <c r="B436" s="72"/>
    </row>
    <row r="437" spans="1:2" ht="16.5" x14ac:dyDescent="0.3">
      <c r="A437" s="72"/>
      <c r="B437" s="72"/>
    </row>
    <row r="438" spans="1:2" ht="16.5" x14ac:dyDescent="0.3">
      <c r="A438" s="72"/>
      <c r="B438" s="72"/>
    </row>
    <row r="439" spans="1:2" ht="16.5" x14ac:dyDescent="0.3">
      <c r="A439" s="72"/>
      <c r="B439" s="72"/>
    </row>
    <row r="440" spans="1:2" ht="16.5" x14ac:dyDescent="0.3">
      <c r="A440" s="72"/>
      <c r="B440" s="72"/>
    </row>
    <row r="441" spans="1:2" ht="16.5" x14ac:dyDescent="0.3">
      <c r="A441" s="72"/>
      <c r="B441" s="72"/>
    </row>
    <row r="442" spans="1:2" ht="16.5" x14ac:dyDescent="0.3">
      <c r="A442" s="72"/>
      <c r="B442" s="72"/>
    </row>
    <row r="443" spans="1:2" ht="16.5" x14ac:dyDescent="0.3">
      <c r="A443" s="72"/>
      <c r="B443" s="72"/>
    </row>
    <row r="444" spans="1:2" ht="16.5" x14ac:dyDescent="0.3">
      <c r="A444" s="72"/>
      <c r="B444" s="72"/>
    </row>
    <row r="445" spans="1:2" ht="16.5" x14ac:dyDescent="0.3">
      <c r="A445" s="72"/>
      <c r="B445" s="72"/>
    </row>
    <row r="446" spans="1:2" ht="16.5" x14ac:dyDescent="0.3">
      <c r="A446" s="72"/>
      <c r="B446" s="72"/>
    </row>
    <row r="447" spans="1:2" ht="16.5" x14ac:dyDescent="0.3">
      <c r="A447" s="72"/>
      <c r="B447" s="72"/>
    </row>
    <row r="448" spans="1:2" ht="16.5" x14ac:dyDescent="0.3">
      <c r="A448" s="72"/>
      <c r="B448" s="72"/>
    </row>
    <row r="449" spans="1:2" ht="16.5" x14ac:dyDescent="0.3">
      <c r="A449" s="72"/>
      <c r="B449" s="72"/>
    </row>
    <row r="450" spans="1:2" ht="16.5" x14ac:dyDescent="0.3">
      <c r="A450" s="72"/>
      <c r="B450" s="72"/>
    </row>
    <row r="451" spans="1:2" ht="16.5" x14ac:dyDescent="0.3">
      <c r="A451" s="72"/>
      <c r="B451" s="72"/>
    </row>
    <row r="452" spans="1:2" ht="16.5" x14ac:dyDescent="0.3">
      <c r="A452" s="72"/>
      <c r="B452" s="72"/>
    </row>
    <row r="453" spans="1:2" ht="16.5" x14ac:dyDescent="0.3">
      <c r="A453" s="72"/>
      <c r="B453" s="72"/>
    </row>
    <row r="454" spans="1:2" ht="16.5" x14ac:dyDescent="0.3">
      <c r="A454" s="72"/>
      <c r="B454" s="72"/>
    </row>
    <row r="455" spans="1:2" ht="16.5" x14ac:dyDescent="0.3">
      <c r="A455" s="72"/>
      <c r="B455" s="72"/>
    </row>
    <row r="456" spans="1:2" ht="16.5" x14ac:dyDescent="0.3">
      <c r="A456" s="72"/>
      <c r="B456" s="72"/>
    </row>
    <row r="457" spans="1:2" ht="16.5" x14ac:dyDescent="0.3">
      <c r="A457" s="72"/>
      <c r="B457" s="72"/>
    </row>
    <row r="458" spans="1:2" ht="16.5" x14ac:dyDescent="0.3">
      <c r="A458" s="72"/>
      <c r="B458" s="72"/>
    </row>
    <row r="459" spans="1:2" ht="16.5" x14ac:dyDescent="0.3">
      <c r="A459" s="72"/>
      <c r="B459" s="72"/>
    </row>
    <row r="460" spans="1:2" ht="16.5" x14ac:dyDescent="0.3">
      <c r="A460" s="72"/>
      <c r="B460" s="72"/>
    </row>
    <row r="461" spans="1:2" ht="16.5" x14ac:dyDescent="0.3">
      <c r="A461" s="72"/>
      <c r="B461" s="72"/>
    </row>
    <row r="462" spans="1:2" ht="16.5" x14ac:dyDescent="0.3">
      <c r="A462" s="72"/>
      <c r="B462" s="72"/>
    </row>
    <row r="463" spans="1:2" ht="16.5" x14ac:dyDescent="0.3">
      <c r="A463" s="72"/>
      <c r="B463" s="72"/>
    </row>
    <row r="464" spans="1:2" ht="16.5" x14ac:dyDescent="0.3">
      <c r="A464" s="72"/>
      <c r="B464" s="72"/>
    </row>
    <row r="465" spans="1:2" ht="16.5" x14ac:dyDescent="0.3">
      <c r="A465" s="72"/>
      <c r="B465" s="72"/>
    </row>
    <row r="466" spans="1:2" ht="16.5" x14ac:dyDescent="0.3">
      <c r="A466" s="72"/>
      <c r="B466" s="72"/>
    </row>
    <row r="467" spans="1:2" ht="16.5" x14ac:dyDescent="0.3">
      <c r="A467" s="72"/>
      <c r="B467" s="72"/>
    </row>
    <row r="468" spans="1:2" ht="16.5" x14ac:dyDescent="0.3">
      <c r="A468" s="72"/>
      <c r="B468" s="72"/>
    </row>
    <row r="469" spans="1:2" ht="16.5" x14ac:dyDescent="0.3">
      <c r="A469" s="72"/>
      <c r="B469" s="72"/>
    </row>
    <row r="470" spans="1:2" ht="16.5" x14ac:dyDescent="0.3">
      <c r="A470" s="72"/>
      <c r="B470" s="72"/>
    </row>
    <row r="471" spans="1:2" ht="16.5" x14ac:dyDescent="0.3">
      <c r="A471" s="72"/>
      <c r="B471" s="72"/>
    </row>
    <row r="472" spans="1:2" ht="16.5" x14ac:dyDescent="0.3">
      <c r="A472" s="72"/>
      <c r="B472" s="72"/>
    </row>
    <row r="473" spans="1:2" ht="16.5" x14ac:dyDescent="0.3">
      <c r="A473" s="72"/>
      <c r="B473" s="72"/>
    </row>
    <row r="474" spans="1:2" ht="16.5" x14ac:dyDescent="0.3">
      <c r="A474" s="72"/>
      <c r="B474" s="72"/>
    </row>
    <row r="475" spans="1:2" ht="16.5" x14ac:dyDescent="0.3">
      <c r="A475" s="72"/>
      <c r="B475" s="72"/>
    </row>
    <row r="476" spans="1:2" ht="16.5" x14ac:dyDescent="0.3">
      <c r="A476" s="72"/>
      <c r="B476" s="72"/>
    </row>
    <row r="477" spans="1:2" ht="16.5" x14ac:dyDescent="0.3">
      <c r="A477" s="72"/>
      <c r="B477" s="72"/>
    </row>
    <row r="478" spans="1:2" ht="16.5" x14ac:dyDescent="0.3">
      <c r="A478" s="72"/>
      <c r="B478" s="72"/>
    </row>
    <row r="479" spans="1:2" ht="16.5" x14ac:dyDescent="0.3">
      <c r="A479" s="72"/>
      <c r="B479" s="72"/>
    </row>
    <row r="480" spans="1:2" ht="16.5" x14ac:dyDescent="0.3">
      <c r="A480" s="72"/>
      <c r="B480" s="72"/>
    </row>
    <row r="481" spans="1:2" ht="16.5" x14ac:dyDescent="0.3">
      <c r="A481" s="72"/>
      <c r="B481" s="72"/>
    </row>
    <row r="482" spans="1:2" ht="16.5" x14ac:dyDescent="0.3">
      <c r="A482" s="72"/>
      <c r="B482" s="72"/>
    </row>
    <row r="483" spans="1:2" ht="16.5" x14ac:dyDescent="0.3">
      <c r="A483" s="72"/>
      <c r="B483" s="72"/>
    </row>
    <row r="484" spans="1:2" ht="16.5" x14ac:dyDescent="0.3">
      <c r="A484" s="72"/>
      <c r="B484" s="72"/>
    </row>
    <row r="485" spans="1:2" ht="16.5" x14ac:dyDescent="0.3">
      <c r="A485" s="72"/>
      <c r="B485" s="72"/>
    </row>
    <row r="486" spans="1:2" ht="16.5" x14ac:dyDescent="0.3">
      <c r="A486" s="72"/>
      <c r="B486" s="72"/>
    </row>
    <row r="487" spans="1:2" ht="16.5" x14ac:dyDescent="0.3">
      <c r="A487" s="72"/>
      <c r="B487" s="72"/>
    </row>
    <row r="488" spans="1:2" ht="16.5" x14ac:dyDescent="0.3">
      <c r="A488" s="72"/>
      <c r="B488" s="72"/>
    </row>
    <row r="489" spans="1:2" ht="16.5" x14ac:dyDescent="0.3">
      <c r="A489" s="72"/>
      <c r="B489" s="72"/>
    </row>
    <row r="490" spans="1:2" ht="16.5" x14ac:dyDescent="0.3">
      <c r="A490" s="72"/>
      <c r="B490" s="72"/>
    </row>
    <row r="491" spans="1:2" ht="16.5" x14ac:dyDescent="0.3">
      <c r="A491" s="72"/>
      <c r="B491" s="72"/>
    </row>
    <row r="492" spans="1:2" ht="16.5" x14ac:dyDescent="0.3">
      <c r="A492" s="72"/>
      <c r="B492" s="72"/>
    </row>
    <row r="493" spans="1:2" ht="16.5" x14ac:dyDescent="0.3">
      <c r="A493" s="72"/>
      <c r="B493" s="72"/>
    </row>
    <row r="494" spans="1:2" ht="16.5" x14ac:dyDescent="0.3">
      <c r="A494" s="72"/>
      <c r="B494" s="72"/>
    </row>
    <row r="495" spans="1:2" ht="16.5" x14ac:dyDescent="0.3">
      <c r="A495" s="72"/>
      <c r="B495" s="72"/>
    </row>
    <row r="496" spans="1:2" ht="16.5" x14ac:dyDescent="0.3">
      <c r="A496" s="72"/>
      <c r="B496" s="72"/>
    </row>
    <row r="497" spans="1:2" ht="16.5" x14ac:dyDescent="0.3">
      <c r="A497" s="72"/>
      <c r="B497" s="72"/>
    </row>
    <row r="498" spans="1:2" ht="16.5" x14ac:dyDescent="0.3">
      <c r="A498" s="72"/>
      <c r="B498" s="72"/>
    </row>
    <row r="499" spans="1:2" ht="16.5" x14ac:dyDescent="0.3">
      <c r="A499" s="72"/>
      <c r="B499" s="72"/>
    </row>
    <row r="500" spans="1:2" ht="16.5" x14ac:dyDescent="0.3">
      <c r="A500" s="72"/>
      <c r="B500" s="72"/>
    </row>
    <row r="501" spans="1:2" ht="16.5" x14ac:dyDescent="0.3">
      <c r="A501" s="72"/>
      <c r="B501" s="72"/>
    </row>
    <row r="502" spans="1:2" ht="16.5" x14ac:dyDescent="0.3">
      <c r="A502" s="72"/>
      <c r="B502" s="72"/>
    </row>
    <row r="503" spans="1:2" ht="16.5" x14ac:dyDescent="0.3">
      <c r="A503" s="72"/>
      <c r="B503" s="72"/>
    </row>
    <row r="504" spans="1:2" ht="16.5" x14ac:dyDescent="0.3">
      <c r="A504" s="72"/>
      <c r="B504" s="72"/>
    </row>
    <row r="505" spans="1:2" ht="16.5" x14ac:dyDescent="0.3">
      <c r="A505" s="72"/>
      <c r="B505" s="72"/>
    </row>
    <row r="506" spans="1:2" ht="16.5" x14ac:dyDescent="0.3">
      <c r="A506" s="72"/>
      <c r="B506" s="72"/>
    </row>
    <row r="507" spans="1:2" ht="16.5" x14ac:dyDescent="0.3">
      <c r="A507" s="72"/>
      <c r="B507" s="72"/>
    </row>
    <row r="508" spans="1:2" ht="16.5" x14ac:dyDescent="0.3">
      <c r="A508" s="72"/>
      <c r="B508" s="72"/>
    </row>
    <row r="509" spans="1:2" ht="16.5" x14ac:dyDescent="0.3">
      <c r="A509" s="72"/>
      <c r="B509" s="72"/>
    </row>
    <row r="510" spans="1:2" ht="16.5" x14ac:dyDescent="0.3">
      <c r="A510" s="72"/>
      <c r="B510" s="72"/>
    </row>
    <row r="511" spans="1:2" ht="16.5" x14ac:dyDescent="0.3">
      <c r="A511" s="72"/>
      <c r="B511" s="72"/>
    </row>
    <row r="512" spans="1:2" ht="16.5" x14ac:dyDescent="0.3">
      <c r="A512" s="72"/>
      <c r="B512" s="72"/>
    </row>
    <row r="513" spans="1:2" ht="16.5" x14ac:dyDescent="0.3">
      <c r="A513" s="72"/>
      <c r="B513" s="72"/>
    </row>
    <row r="514" spans="1:2" ht="16.5" x14ac:dyDescent="0.3">
      <c r="A514" s="72"/>
      <c r="B514" s="72"/>
    </row>
    <row r="515" spans="1:2" ht="16.5" x14ac:dyDescent="0.3">
      <c r="A515" s="72"/>
      <c r="B515" s="72"/>
    </row>
    <row r="516" spans="1:2" ht="16.5" x14ac:dyDescent="0.3">
      <c r="A516" s="72"/>
      <c r="B516" s="72"/>
    </row>
    <row r="517" spans="1:2" ht="16.5" x14ac:dyDescent="0.3">
      <c r="A517" s="72"/>
      <c r="B517" s="72"/>
    </row>
    <row r="518" spans="1:2" ht="16.5" x14ac:dyDescent="0.3">
      <c r="A518" s="72"/>
      <c r="B518" s="72"/>
    </row>
    <row r="519" spans="1:2" ht="16.5" x14ac:dyDescent="0.3">
      <c r="A519" s="72"/>
      <c r="B519" s="72"/>
    </row>
    <row r="520" spans="1:2" ht="16.5" x14ac:dyDescent="0.3">
      <c r="A520" s="72"/>
      <c r="B520" s="72"/>
    </row>
    <row r="521" spans="1:2" ht="16.5" x14ac:dyDescent="0.3">
      <c r="A521" s="72"/>
      <c r="B521" s="72"/>
    </row>
    <row r="522" spans="1:2" ht="16.5" x14ac:dyDescent="0.3">
      <c r="A522" s="72"/>
      <c r="B522" s="72"/>
    </row>
    <row r="523" spans="1:2" ht="16.5" x14ac:dyDescent="0.3">
      <c r="A523" s="72"/>
      <c r="B523" s="72"/>
    </row>
    <row r="524" spans="1:2" ht="16.5" x14ac:dyDescent="0.3">
      <c r="A524" s="72"/>
      <c r="B524" s="72"/>
    </row>
    <row r="525" spans="1:2" ht="16.5" x14ac:dyDescent="0.3">
      <c r="A525" s="72"/>
      <c r="B525" s="72"/>
    </row>
    <row r="526" spans="1:2" ht="16.5" x14ac:dyDescent="0.3">
      <c r="A526" s="72"/>
      <c r="B526" s="72"/>
    </row>
    <row r="527" spans="1:2" ht="16.5" x14ac:dyDescent="0.3">
      <c r="A527" s="72"/>
      <c r="B527" s="72"/>
    </row>
    <row r="528" spans="1:2" ht="16.5" x14ac:dyDescent="0.3">
      <c r="A528" s="72"/>
      <c r="B528" s="72"/>
    </row>
    <row r="529" spans="1:2" ht="16.5" x14ac:dyDescent="0.3">
      <c r="A529" s="72"/>
      <c r="B529" s="72"/>
    </row>
    <row r="530" spans="1:2" ht="16.5" x14ac:dyDescent="0.3">
      <c r="A530" s="72"/>
      <c r="B530" s="72"/>
    </row>
    <row r="531" spans="1:2" ht="16.5" x14ac:dyDescent="0.3">
      <c r="A531" s="72"/>
      <c r="B531" s="72"/>
    </row>
    <row r="532" spans="1:2" ht="16.5" x14ac:dyDescent="0.3">
      <c r="A532" s="72"/>
      <c r="B532" s="72"/>
    </row>
    <row r="533" spans="1:2" ht="16.5" x14ac:dyDescent="0.3">
      <c r="A533" s="72"/>
      <c r="B533" s="72"/>
    </row>
    <row r="534" spans="1:2" ht="16.5" x14ac:dyDescent="0.3">
      <c r="A534" s="72"/>
      <c r="B534" s="72"/>
    </row>
    <row r="535" spans="1:2" ht="16.5" x14ac:dyDescent="0.3">
      <c r="A535" s="72"/>
      <c r="B535" s="72"/>
    </row>
    <row r="536" spans="1:2" ht="16.5" x14ac:dyDescent="0.3">
      <c r="A536" s="72"/>
      <c r="B536" s="72"/>
    </row>
    <row r="537" spans="1:2" ht="16.5" x14ac:dyDescent="0.3">
      <c r="A537" s="72"/>
      <c r="B537" s="72"/>
    </row>
    <row r="538" spans="1:2" ht="16.5" x14ac:dyDescent="0.3">
      <c r="A538" s="72"/>
      <c r="B538" s="72"/>
    </row>
    <row r="539" spans="1:2" ht="16.5" x14ac:dyDescent="0.3">
      <c r="A539" s="72"/>
      <c r="B539" s="72"/>
    </row>
    <row r="540" spans="1:2" ht="16.5" x14ac:dyDescent="0.3">
      <c r="A540" s="72"/>
      <c r="B540" s="72"/>
    </row>
    <row r="541" spans="1:2" ht="16.5" x14ac:dyDescent="0.3">
      <c r="A541" s="72"/>
      <c r="B541" s="72"/>
    </row>
    <row r="542" spans="1:2" ht="16.5" x14ac:dyDescent="0.3">
      <c r="A542" s="72"/>
      <c r="B542" s="72"/>
    </row>
    <row r="543" spans="1:2" ht="16.5" x14ac:dyDescent="0.3">
      <c r="A543" s="72"/>
      <c r="B543" s="72"/>
    </row>
    <row r="544" spans="1:2" ht="16.5" x14ac:dyDescent="0.3">
      <c r="A544" s="72"/>
      <c r="B544" s="72"/>
    </row>
    <row r="545" spans="1:2" ht="16.5" x14ac:dyDescent="0.3">
      <c r="A545" s="72"/>
      <c r="B545" s="72"/>
    </row>
    <row r="546" spans="1:2" ht="16.5" x14ac:dyDescent="0.3">
      <c r="A546" s="72"/>
      <c r="B546" s="72"/>
    </row>
    <row r="547" spans="1:2" ht="16.5" x14ac:dyDescent="0.3">
      <c r="A547" s="72"/>
      <c r="B547" s="72"/>
    </row>
    <row r="548" spans="1:2" ht="16.5" x14ac:dyDescent="0.3">
      <c r="A548" s="72"/>
      <c r="B548" s="72"/>
    </row>
    <row r="549" spans="1:2" ht="16.5" x14ac:dyDescent="0.3">
      <c r="A549" s="72"/>
      <c r="B549" s="72"/>
    </row>
    <row r="550" spans="1:2" ht="16.5" x14ac:dyDescent="0.3">
      <c r="A550" s="72"/>
      <c r="B550" s="72"/>
    </row>
    <row r="551" spans="1:2" ht="16.5" x14ac:dyDescent="0.3">
      <c r="A551" s="72"/>
      <c r="B551" s="72"/>
    </row>
    <row r="552" spans="1:2" ht="16.5" x14ac:dyDescent="0.3">
      <c r="A552" s="72"/>
      <c r="B552" s="72"/>
    </row>
    <row r="553" spans="1:2" ht="16.5" x14ac:dyDescent="0.3">
      <c r="A553" s="72"/>
      <c r="B553" s="72"/>
    </row>
    <row r="554" spans="1:2" ht="16.5" x14ac:dyDescent="0.3">
      <c r="A554" s="72"/>
      <c r="B554" s="72"/>
    </row>
    <row r="555" spans="1:2" ht="16.5" x14ac:dyDescent="0.3">
      <c r="A555" s="72"/>
      <c r="B555" s="72"/>
    </row>
    <row r="556" spans="1:2" ht="16.5" x14ac:dyDescent="0.3">
      <c r="A556" s="72"/>
      <c r="B556" s="72"/>
    </row>
    <row r="557" spans="1:2" ht="16.5" x14ac:dyDescent="0.3">
      <c r="A557" s="72"/>
      <c r="B557" s="72"/>
    </row>
    <row r="558" spans="1:2" ht="16.5" x14ac:dyDescent="0.3">
      <c r="A558" s="72"/>
      <c r="B558" s="72"/>
    </row>
    <row r="559" spans="1:2" ht="16.5" x14ac:dyDescent="0.3">
      <c r="A559" s="72"/>
      <c r="B559" s="72"/>
    </row>
    <row r="560" spans="1:2" ht="16.5" x14ac:dyDescent="0.3">
      <c r="A560" s="72"/>
      <c r="B560" s="72"/>
    </row>
    <row r="561" spans="1:2" ht="16.5" x14ac:dyDescent="0.3">
      <c r="A561" s="72"/>
      <c r="B561" s="72"/>
    </row>
    <row r="562" spans="1:2" ht="16.5" x14ac:dyDescent="0.3">
      <c r="A562" s="72"/>
      <c r="B562" s="72"/>
    </row>
    <row r="563" spans="1:2" ht="16.5" x14ac:dyDescent="0.3">
      <c r="A563" s="72"/>
      <c r="B563" s="72"/>
    </row>
    <row r="564" spans="1:2" ht="16.5" x14ac:dyDescent="0.3">
      <c r="A564" s="72"/>
      <c r="B564" s="72"/>
    </row>
    <row r="565" spans="1:2" ht="16.5" x14ac:dyDescent="0.3">
      <c r="A565" s="72"/>
      <c r="B565" s="72"/>
    </row>
    <row r="566" spans="1:2" ht="16.5" x14ac:dyDescent="0.3">
      <c r="A566" s="72"/>
      <c r="B566" s="72"/>
    </row>
    <row r="567" spans="1:2" ht="16.5" x14ac:dyDescent="0.3">
      <c r="A567" s="72"/>
      <c r="B567" s="72"/>
    </row>
    <row r="568" spans="1:2" ht="16.5" x14ac:dyDescent="0.3">
      <c r="A568" s="72"/>
      <c r="B568" s="72"/>
    </row>
    <row r="569" spans="1:2" ht="16.5" x14ac:dyDescent="0.3">
      <c r="A569" s="72"/>
      <c r="B569" s="72"/>
    </row>
    <row r="570" spans="1:2" ht="16.5" x14ac:dyDescent="0.3">
      <c r="A570" s="72"/>
      <c r="B570" s="72"/>
    </row>
    <row r="571" spans="1:2" ht="16.5" x14ac:dyDescent="0.3">
      <c r="A571" s="72"/>
      <c r="B571" s="72"/>
    </row>
    <row r="572" spans="1:2" ht="16.5" x14ac:dyDescent="0.3">
      <c r="A572" s="72"/>
      <c r="B572" s="72"/>
    </row>
    <row r="573" spans="1:2" ht="16.5" x14ac:dyDescent="0.3">
      <c r="A573" s="72"/>
      <c r="B573" s="72"/>
    </row>
    <row r="574" spans="1:2" ht="16.5" x14ac:dyDescent="0.3">
      <c r="A574" s="72"/>
      <c r="B574" s="72"/>
    </row>
    <row r="575" spans="1:2" ht="16.5" x14ac:dyDescent="0.3">
      <c r="A575" s="72"/>
      <c r="B575" s="72"/>
    </row>
    <row r="576" spans="1:2" ht="16.5" x14ac:dyDescent="0.3">
      <c r="A576" s="72"/>
      <c r="B576" s="72"/>
    </row>
    <row r="577" spans="1:2" ht="16.5" x14ac:dyDescent="0.3">
      <c r="A577" s="72"/>
      <c r="B577" s="72"/>
    </row>
    <row r="578" spans="1:2" ht="16.5" x14ac:dyDescent="0.3">
      <c r="A578" s="72"/>
      <c r="B578" s="72"/>
    </row>
    <row r="579" spans="1:2" ht="16.5" x14ac:dyDescent="0.3">
      <c r="A579" s="72"/>
      <c r="B579" s="72"/>
    </row>
    <row r="580" spans="1:2" ht="16.5" x14ac:dyDescent="0.3">
      <c r="A580" s="72"/>
      <c r="B580" s="72"/>
    </row>
    <row r="581" spans="1:2" ht="16.5" x14ac:dyDescent="0.3">
      <c r="A581" s="72"/>
      <c r="B581" s="72"/>
    </row>
    <row r="582" spans="1:2" ht="16.5" x14ac:dyDescent="0.3">
      <c r="A582" s="72"/>
      <c r="B582" s="72"/>
    </row>
    <row r="583" spans="1:2" ht="16.5" x14ac:dyDescent="0.3">
      <c r="A583" s="72"/>
      <c r="B583" s="72"/>
    </row>
    <row r="584" spans="1:2" ht="16.5" x14ac:dyDescent="0.3">
      <c r="A584" s="72"/>
      <c r="B584" s="72"/>
    </row>
    <row r="585" spans="1:2" ht="16.5" x14ac:dyDescent="0.3">
      <c r="A585" s="72"/>
      <c r="B585" s="72"/>
    </row>
    <row r="586" spans="1:2" ht="16.5" x14ac:dyDescent="0.3">
      <c r="A586" s="72"/>
      <c r="B586" s="72"/>
    </row>
    <row r="587" spans="1:2" ht="16.5" x14ac:dyDescent="0.3">
      <c r="A587" s="72"/>
      <c r="B587" s="72"/>
    </row>
    <row r="588" spans="1:2" ht="16.5" x14ac:dyDescent="0.3">
      <c r="A588" s="72"/>
      <c r="B588" s="72"/>
    </row>
    <row r="589" spans="1:2" ht="16.5" x14ac:dyDescent="0.3">
      <c r="A589" s="72"/>
      <c r="B589" s="72"/>
    </row>
    <row r="590" spans="1:2" ht="16.5" x14ac:dyDescent="0.3">
      <c r="A590" s="72"/>
      <c r="B590" s="72"/>
    </row>
    <row r="591" spans="1:2" ht="16.5" x14ac:dyDescent="0.3">
      <c r="A591" s="72"/>
      <c r="B591" s="72"/>
    </row>
    <row r="592" spans="1:2" ht="16.5" x14ac:dyDescent="0.3">
      <c r="A592" s="72"/>
      <c r="B592" s="72"/>
    </row>
    <row r="593" spans="1:2" ht="16.5" x14ac:dyDescent="0.3">
      <c r="A593" s="72"/>
      <c r="B593" s="72"/>
    </row>
    <row r="594" spans="1:2" ht="16.5" x14ac:dyDescent="0.3">
      <c r="A594" s="72"/>
      <c r="B594" s="72"/>
    </row>
    <row r="595" spans="1:2" ht="16.5" x14ac:dyDescent="0.3">
      <c r="A595" s="72"/>
      <c r="B595" s="72"/>
    </row>
    <row r="596" spans="1:2" ht="16.5" x14ac:dyDescent="0.3">
      <c r="A596" s="72"/>
      <c r="B596" s="72"/>
    </row>
    <row r="597" spans="1:2" ht="16.5" x14ac:dyDescent="0.3">
      <c r="A597" s="72"/>
      <c r="B597" s="72"/>
    </row>
    <row r="598" spans="1:2" ht="16.5" x14ac:dyDescent="0.3">
      <c r="A598" s="72"/>
      <c r="B598" s="72"/>
    </row>
    <row r="599" spans="1:2" ht="16.5" x14ac:dyDescent="0.3">
      <c r="A599" s="72"/>
      <c r="B599" s="72"/>
    </row>
    <row r="600" spans="1:2" ht="16.5" x14ac:dyDescent="0.3">
      <c r="A600" s="72"/>
      <c r="B600" s="72"/>
    </row>
    <row r="601" spans="1:2" ht="16.5" x14ac:dyDescent="0.3">
      <c r="A601" s="72"/>
      <c r="B601" s="72"/>
    </row>
    <row r="602" spans="1:2" ht="16.5" x14ac:dyDescent="0.3">
      <c r="A602" s="72"/>
      <c r="B602" s="72"/>
    </row>
    <row r="603" spans="1:2" ht="16.5" x14ac:dyDescent="0.3">
      <c r="A603" s="72"/>
      <c r="B603" s="72"/>
    </row>
    <row r="604" spans="1:2" ht="16.5" x14ac:dyDescent="0.3">
      <c r="A604" s="72"/>
      <c r="B604" s="72"/>
    </row>
    <row r="605" spans="1:2" ht="16.5" x14ac:dyDescent="0.3">
      <c r="A605" s="72"/>
      <c r="B605" s="72"/>
    </row>
    <row r="606" spans="1:2" ht="16.5" x14ac:dyDescent="0.3">
      <c r="A606" s="72"/>
      <c r="B606" s="72"/>
    </row>
    <row r="607" spans="1:2" ht="16.5" x14ac:dyDescent="0.3">
      <c r="A607" s="72"/>
      <c r="B607" s="72"/>
    </row>
    <row r="608" spans="1:2" ht="16.5" x14ac:dyDescent="0.3">
      <c r="A608" s="72"/>
      <c r="B608" s="72"/>
    </row>
    <row r="609" spans="1:2" ht="16.5" x14ac:dyDescent="0.3">
      <c r="A609" s="72"/>
      <c r="B609" s="72"/>
    </row>
    <row r="610" spans="1:2" ht="16.5" x14ac:dyDescent="0.3">
      <c r="A610" s="72"/>
      <c r="B610" s="72"/>
    </row>
    <row r="611" spans="1:2" ht="16.5" x14ac:dyDescent="0.3">
      <c r="A611" s="72"/>
      <c r="B611" s="72"/>
    </row>
    <row r="612" spans="1:2" ht="16.5" x14ac:dyDescent="0.3">
      <c r="A612" s="72"/>
      <c r="B612" s="72"/>
    </row>
    <row r="613" spans="1:2" ht="16.5" x14ac:dyDescent="0.3">
      <c r="A613" s="72"/>
      <c r="B613" s="72"/>
    </row>
    <row r="614" spans="1:2" ht="16.5" x14ac:dyDescent="0.3">
      <c r="A614" s="72"/>
      <c r="B614" s="72"/>
    </row>
    <row r="615" spans="1:2" ht="16.5" x14ac:dyDescent="0.3">
      <c r="A615" s="72"/>
      <c r="B615" s="72"/>
    </row>
    <row r="616" spans="1:2" ht="16.5" x14ac:dyDescent="0.3">
      <c r="A616" s="72"/>
      <c r="B616" s="72"/>
    </row>
    <row r="617" spans="1:2" ht="16.5" x14ac:dyDescent="0.3">
      <c r="A617" s="72"/>
      <c r="B617" s="72"/>
    </row>
    <row r="618" spans="1:2" ht="16.5" x14ac:dyDescent="0.3">
      <c r="A618" s="72"/>
      <c r="B618" s="72"/>
    </row>
    <row r="619" spans="1:2" ht="16.5" x14ac:dyDescent="0.3">
      <c r="A619" s="72"/>
      <c r="B619" s="72"/>
    </row>
    <row r="620" spans="1:2" ht="16.5" x14ac:dyDescent="0.3">
      <c r="A620" s="72"/>
      <c r="B620" s="72"/>
    </row>
    <row r="621" spans="1:2" ht="16.5" x14ac:dyDescent="0.3">
      <c r="A621" s="72"/>
      <c r="B621" s="72"/>
    </row>
    <row r="622" spans="1:2" ht="16.5" x14ac:dyDescent="0.3">
      <c r="A622" s="72"/>
      <c r="B622" s="72"/>
    </row>
    <row r="623" spans="1:2" ht="16.5" x14ac:dyDescent="0.3">
      <c r="A623" s="72"/>
      <c r="B623" s="72"/>
    </row>
    <row r="624" spans="1:2" ht="16.5" x14ac:dyDescent="0.3">
      <c r="A624" s="72"/>
      <c r="B624" s="72"/>
    </row>
    <row r="625" spans="1:2" ht="16.5" x14ac:dyDescent="0.3">
      <c r="A625" s="72"/>
      <c r="B625" s="72"/>
    </row>
    <row r="626" spans="1:2" ht="16.5" x14ac:dyDescent="0.3">
      <c r="A626" s="72"/>
      <c r="B626" s="72"/>
    </row>
    <row r="627" spans="1:2" ht="16.5" x14ac:dyDescent="0.3">
      <c r="A627" s="72"/>
      <c r="B627" s="72"/>
    </row>
    <row r="628" spans="1:2" ht="16.5" x14ac:dyDescent="0.3">
      <c r="A628" s="72"/>
      <c r="B628" s="72"/>
    </row>
    <row r="629" spans="1:2" ht="16.5" x14ac:dyDescent="0.3">
      <c r="A629" s="72"/>
      <c r="B629" s="72"/>
    </row>
    <row r="630" spans="1:2" ht="16.5" x14ac:dyDescent="0.3">
      <c r="A630" s="72"/>
      <c r="B630" s="72"/>
    </row>
    <row r="631" spans="1:2" ht="16.5" x14ac:dyDescent="0.3">
      <c r="A631" s="72"/>
      <c r="B631" s="72"/>
    </row>
    <row r="632" spans="1:2" ht="16.5" x14ac:dyDescent="0.3">
      <c r="A632" s="72"/>
      <c r="B632" s="72"/>
    </row>
    <row r="633" spans="1:2" ht="16.5" x14ac:dyDescent="0.3">
      <c r="A633" s="72"/>
      <c r="B633" s="72"/>
    </row>
    <row r="634" spans="1:2" ht="16.5" x14ac:dyDescent="0.3">
      <c r="A634" s="72"/>
      <c r="B634" s="72"/>
    </row>
    <row r="635" spans="1:2" ht="16.5" x14ac:dyDescent="0.3">
      <c r="A635" s="72"/>
      <c r="B635" s="72"/>
    </row>
    <row r="636" spans="1:2" ht="16.5" x14ac:dyDescent="0.3">
      <c r="A636" s="72"/>
      <c r="B636" s="72"/>
    </row>
    <row r="637" spans="1:2" ht="16.5" x14ac:dyDescent="0.3">
      <c r="A637" s="72"/>
      <c r="B637" s="72"/>
    </row>
    <row r="638" spans="1:2" ht="16.5" x14ac:dyDescent="0.3">
      <c r="A638" s="72"/>
      <c r="B638" s="72"/>
    </row>
    <row r="639" spans="1:2" ht="16.5" x14ac:dyDescent="0.3">
      <c r="A639" s="72"/>
      <c r="B639" s="72"/>
    </row>
    <row r="640" spans="1:2" ht="16.5" x14ac:dyDescent="0.3">
      <c r="A640" s="72"/>
      <c r="B640" s="72"/>
    </row>
    <row r="641" spans="1:2" ht="16.5" x14ac:dyDescent="0.3">
      <c r="A641" s="72"/>
      <c r="B641" s="72"/>
    </row>
    <row r="642" spans="1:2" ht="16.5" x14ac:dyDescent="0.3">
      <c r="A642" s="72"/>
      <c r="B642" s="72"/>
    </row>
    <row r="643" spans="1:2" ht="16.5" x14ac:dyDescent="0.3">
      <c r="A643" s="72"/>
      <c r="B643" s="72"/>
    </row>
    <row r="644" spans="1:2" ht="16.5" x14ac:dyDescent="0.3">
      <c r="A644" s="72"/>
      <c r="B644" s="72"/>
    </row>
    <row r="645" spans="1:2" ht="16.5" x14ac:dyDescent="0.3">
      <c r="A645" s="72"/>
      <c r="B645" s="72"/>
    </row>
    <row r="646" spans="1:2" ht="16.5" x14ac:dyDescent="0.3">
      <c r="A646" s="72"/>
      <c r="B646" s="72"/>
    </row>
    <row r="647" spans="1:2" ht="16.5" x14ac:dyDescent="0.3">
      <c r="A647" s="72"/>
      <c r="B647" s="72"/>
    </row>
    <row r="648" spans="1:2" ht="16.5" x14ac:dyDescent="0.3">
      <c r="A648" s="72"/>
      <c r="B648" s="72"/>
    </row>
    <row r="649" spans="1:2" ht="16.5" x14ac:dyDescent="0.3">
      <c r="A649" s="72"/>
      <c r="B649" s="72"/>
    </row>
    <row r="650" spans="1:2" ht="16.5" x14ac:dyDescent="0.3">
      <c r="A650" s="72"/>
      <c r="B650" s="72"/>
    </row>
    <row r="651" spans="1:2" ht="16.5" x14ac:dyDescent="0.3">
      <c r="A651" s="72"/>
      <c r="B651" s="72"/>
    </row>
    <row r="652" spans="1:2" ht="16.5" x14ac:dyDescent="0.3">
      <c r="A652" s="72"/>
      <c r="B652" s="72"/>
    </row>
    <row r="653" spans="1:2" ht="16.5" x14ac:dyDescent="0.3">
      <c r="A653" s="72"/>
      <c r="B653" s="72"/>
    </row>
    <row r="654" spans="1:2" ht="16.5" x14ac:dyDescent="0.3">
      <c r="A654" s="72"/>
      <c r="B654" s="72"/>
    </row>
    <row r="655" spans="1:2" ht="16.5" x14ac:dyDescent="0.3">
      <c r="A655" s="72"/>
      <c r="B655" s="72"/>
    </row>
    <row r="656" spans="1:2" ht="16.5" x14ac:dyDescent="0.3">
      <c r="A656" s="72"/>
      <c r="B656" s="72"/>
    </row>
    <row r="657" spans="1:2" ht="16.5" x14ac:dyDescent="0.3">
      <c r="A657" s="72"/>
      <c r="B657" s="72"/>
    </row>
    <row r="658" spans="1:2" ht="16.5" x14ac:dyDescent="0.3">
      <c r="A658" s="72"/>
      <c r="B658" s="72"/>
    </row>
    <row r="659" spans="1:2" ht="16.5" x14ac:dyDescent="0.3">
      <c r="A659" s="72"/>
      <c r="B659" s="72"/>
    </row>
    <row r="660" spans="1:2" ht="16.5" x14ac:dyDescent="0.3">
      <c r="A660" s="72"/>
      <c r="B660" s="72"/>
    </row>
    <row r="661" spans="1:2" ht="16.5" x14ac:dyDescent="0.3">
      <c r="A661" s="72"/>
      <c r="B661" s="72"/>
    </row>
    <row r="662" spans="1:2" ht="16.5" x14ac:dyDescent="0.3">
      <c r="A662" s="72"/>
      <c r="B662" s="72"/>
    </row>
    <row r="663" spans="1:2" ht="16.5" x14ac:dyDescent="0.3">
      <c r="A663" s="72"/>
      <c r="B663" s="72"/>
    </row>
    <row r="664" spans="1:2" ht="16.5" x14ac:dyDescent="0.3">
      <c r="A664" s="72"/>
      <c r="B664" s="72"/>
    </row>
    <row r="665" spans="1:2" ht="16.5" x14ac:dyDescent="0.3">
      <c r="A665" s="72"/>
      <c r="B665" s="72"/>
    </row>
    <row r="666" spans="1:2" ht="16.5" x14ac:dyDescent="0.3">
      <c r="A666" s="72"/>
      <c r="B666" s="72"/>
    </row>
    <row r="667" spans="1:2" ht="16.5" x14ac:dyDescent="0.3">
      <c r="A667" s="72"/>
      <c r="B667" s="72"/>
    </row>
    <row r="668" spans="1:2" ht="16.5" x14ac:dyDescent="0.3">
      <c r="A668" s="72"/>
      <c r="B668" s="72"/>
    </row>
    <row r="669" spans="1:2" ht="16.5" x14ac:dyDescent="0.3">
      <c r="A669" s="72"/>
      <c r="B669" s="72"/>
    </row>
    <row r="670" spans="1:2" ht="16.5" x14ac:dyDescent="0.3">
      <c r="A670" s="72"/>
      <c r="B670" s="72"/>
    </row>
    <row r="671" spans="1:2" ht="16.5" x14ac:dyDescent="0.3">
      <c r="A671" s="72"/>
      <c r="B671" s="72"/>
    </row>
    <row r="672" spans="1:2" ht="16.5" x14ac:dyDescent="0.3">
      <c r="A672" s="72"/>
      <c r="B672" s="72"/>
    </row>
    <row r="673" spans="1:2" ht="16.5" x14ac:dyDescent="0.3">
      <c r="A673" s="72"/>
      <c r="B673" s="72"/>
    </row>
    <row r="674" spans="1:2" ht="16.5" x14ac:dyDescent="0.3">
      <c r="A674" s="72"/>
      <c r="B674" s="72"/>
    </row>
    <row r="675" spans="1:2" ht="16.5" x14ac:dyDescent="0.3">
      <c r="A675" s="72"/>
      <c r="B675" s="72"/>
    </row>
    <row r="676" spans="1:2" ht="16.5" x14ac:dyDescent="0.3">
      <c r="A676" s="72"/>
      <c r="B676" s="72"/>
    </row>
    <row r="677" spans="1:2" ht="16.5" x14ac:dyDescent="0.3">
      <c r="A677" s="72"/>
      <c r="B677" s="72"/>
    </row>
    <row r="678" spans="1:2" ht="16.5" x14ac:dyDescent="0.3">
      <c r="A678" s="72"/>
      <c r="B678" s="72"/>
    </row>
    <row r="679" spans="1:2" ht="16.5" x14ac:dyDescent="0.3">
      <c r="A679" s="72"/>
      <c r="B679" s="72"/>
    </row>
    <row r="680" spans="1:2" ht="16.5" x14ac:dyDescent="0.3">
      <c r="A680" s="72"/>
      <c r="B680" s="72"/>
    </row>
    <row r="681" spans="1:2" ht="16.5" x14ac:dyDescent="0.3">
      <c r="A681" s="72"/>
      <c r="B681" s="72"/>
    </row>
    <row r="682" spans="1:2" ht="16.5" x14ac:dyDescent="0.3">
      <c r="A682" s="72"/>
      <c r="B682" s="72"/>
    </row>
    <row r="683" spans="1:2" ht="16.5" x14ac:dyDescent="0.3">
      <c r="A683" s="72"/>
      <c r="B683" s="72"/>
    </row>
    <row r="684" spans="1:2" ht="16.5" x14ac:dyDescent="0.3">
      <c r="A684" s="72"/>
      <c r="B684" s="72"/>
    </row>
    <row r="685" spans="1:2" ht="16.5" x14ac:dyDescent="0.3">
      <c r="A685" s="72"/>
      <c r="B685" s="72"/>
    </row>
    <row r="686" spans="1:2" ht="16.5" x14ac:dyDescent="0.3">
      <c r="A686" s="72"/>
      <c r="B686" s="72"/>
    </row>
    <row r="687" spans="1:2" ht="16.5" x14ac:dyDescent="0.3">
      <c r="A687" s="72"/>
      <c r="B687" s="72"/>
    </row>
    <row r="688" spans="1:2" ht="16.5" x14ac:dyDescent="0.3">
      <c r="A688" s="72"/>
      <c r="B688" s="72"/>
    </row>
    <row r="689" spans="1:2" ht="16.5" x14ac:dyDescent="0.3">
      <c r="A689" s="72"/>
      <c r="B689" s="72"/>
    </row>
    <row r="690" spans="1:2" ht="16.5" x14ac:dyDescent="0.3">
      <c r="A690" s="72"/>
      <c r="B690" s="72"/>
    </row>
    <row r="691" spans="1:2" ht="16.5" x14ac:dyDescent="0.3">
      <c r="A691" s="72"/>
      <c r="B691" s="72"/>
    </row>
    <row r="692" spans="1:2" ht="16.5" x14ac:dyDescent="0.3">
      <c r="A692" s="72"/>
      <c r="B692" s="72"/>
    </row>
    <row r="693" spans="1:2" ht="16.5" x14ac:dyDescent="0.3">
      <c r="A693" s="72"/>
      <c r="B693" s="72"/>
    </row>
    <row r="694" spans="1:2" ht="16.5" x14ac:dyDescent="0.3">
      <c r="A694" s="72"/>
      <c r="B694" s="72"/>
    </row>
    <row r="695" spans="1:2" ht="16.5" x14ac:dyDescent="0.3">
      <c r="A695" s="72"/>
      <c r="B695" s="72"/>
    </row>
    <row r="696" spans="1:2" ht="16.5" x14ac:dyDescent="0.3">
      <c r="A696" s="72"/>
      <c r="B696" s="72"/>
    </row>
    <row r="697" spans="1:2" ht="16.5" x14ac:dyDescent="0.3">
      <c r="A697" s="72"/>
      <c r="B697" s="72"/>
    </row>
    <row r="698" spans="1:2" ht="16.5" x14ac:dyDescent="0.3">
      <c r="A698" s="72"/>
      <c r="B698" s="72"/>
    </row>
    <row r="699" spans="1:2" ht="16.5" x14ac:dyDescent="0.3">
      <c r="A699" s="72"/>
      <c r="B699" s="72"/>
    </row>
    <row r="700" spans="1:2" ht="16.5" x14ac:dyDescent="0.3">
      <c r="A700" s="72"/>
      <c r="B700" s="72"/>
    </row>
    <row r="701" spans="1:2" ht="16.5" x14ac:dyDescent="0.3">
      <c r="A701" s="72"/>
      <c r="B701" s="72"/>
    </row>
    <row r="702" spans="1:2" ht="16.5" x14ac:dyDescent="0.3">
      <c r="A702" s="72"/>
      <c r="B702" s="72"/>
    </row>
    <row r="703" spans="1:2" ht="16.5" x14ac:dyDescent="0.3">
      <c r="A703" s="72"/>
      <c r="B703" s="72"/>
    </row>
    <row r="704" spans="1:2" ht="16.5" x14ac:dyDescent="0.3">
      <c r="A704" s="72"/>
      <c r="B704" s="72"/>
    </row>
    <row r="705" spans="1:2" ht="16.5" x14ac:dyDescent="0.3">
      <c r="A705" s="72"/>
      <c r="B705" s="72"/>
    </row>
    <row r="706" spans="1:2" ht="16.5" x14ac:dyDescent="0.3">
      <c r="A706" s="72"/>
      <c r="B706" s="72"/>
    </row>
    <row r="707" spans="1:2" ht="16.5" x14ac:dyDescent="0.3">
      <c r="A707" s="72"/>
      <c r="B707" s="72"/>
    </row>
    <row r="708" spans="1:2" ht="16.5" x14ac:dyDescent="0.3">
      <c r="A708" s="72"/>
      <c r="B708" s="72"/>
    </row>
    <row r="709" spans="1:2" ht="16.5" x14ac:dyDescent="0.3">
      <c r="A709" s="72"/>
      <c r="B709" s="72"/>
    </row>
    <row r="710" spans="1:2" ht="16.5" x14ac:dyDescent="0.3">
      <c r="A710" s="72"/>
      <c r="B710" s="72"/>
    </row>
    <row r="711" spans="1:2" ht="16.5" x14ac:dyDescent="0.3">
      <c r="A711" s="72"/>
      <c r="B711" s="72"/>
    </row>
    <row r="712" spans="1:2" ht="16.5" x14ac:dyDescent="0.3">
      <c r="A712" s="72"/>
      <c r="B712" s="72"/>
    </row>
    <row r="713" spans="1:2" ht="16.5" x14ac:dyDescent="0.3">
      <c r="A713" s="72"/>
      <c r="B713" s="72"/>
    </row>
    <row r="714" spans="1:2" ht="16.5" x14ac:dyDescent="0.3">
      <c r="A714" s="72"/>
      <c r="B714" s="72"/>
    </row>
    <row r="715" spans="1:2" ht="16.5" x14ac:dyDescent="0.3">
      <c r="A715" s="72"/>
      <c r="B715" s="72"/>
    </row>
    <row r="716" spans="1:2" ht="16.5" x14ac:dyDescent="0.3">
      <c r="A716" s="72"/>
      <c r="B716" s="72"/>
    </row>
    <row r="717" spans="1:2" ht="16.5" x14ac:dyDescent="0.3">
      <c r="A717" s="72"/>
      <c r="B717" s="72"/>
    </row>
    <row r="718" spans="1:2" ht="16.5" x14ac:dyDescent="0.3">
      <c r="A718" s="72"/>
      <c r="B718" s="72"/>
    </row>
    <row r="719" spans="1:2" ht="16.5" x14ac:dyDescent="0.3">
      <c r="A719" s="72"/>
      <c r="B719" s="72"/>
    </row>
    <row r="720" spans="1:2" ht="16.5" x14ac:dyDescent="0.3">
      <c r="A720" s="72"/>
      <c r="B720" s="72"/>
    </row>
    <row r="721" spans="1:2" ht="16.5" x14ac:dyDescent="0.3">
      <c r="A721" s="72"/>
      <c r="B721" s="72"/>
    </row>
    <row r="722" spans="1:2" ht="16.5" x14ac:dyDescent="0.3">
      <c r="A722" s="72"/>
      <c r="B722" s="72"/>
    </row>
    <row r="723" spans="1:2" ht="16.5" x14ac:dyDescent="0.3">
      <c r="A723" s="72"/>
      <c r="B723" s="72"/>
    </row>
    <row r="724" spans="1:2" ht="16.5" x14ac:dyDescent="0.3">
      <c r="A724" s="72"/>
      <c r="B724" s="72"/>
    </row>
    <row r="725" spans="1:2" ht="16.5" x14ac:dyDescent="0.3">
      <c r="A725" s="72"/>
      <c r="B725" s="72"/>
    </row>
    <row r="726" spans="1:2" ht="16.5" x14ac:dyDescent="0.3">
      <c r="A726" s="72"/>
      <c r="B726" s="72"/>
    </row>
    <row r="727" spans="1:2" ht="16.5" x14ac:dyDescent="0.3">
      <c r="A727" s="72"/>
      <c r="B727" s="72"/>
    </row>
    <row r="728" spans="1:2" ht="16.5" x14ac:dyDescent="0.3">
      <c r="A728" s="72"/>
      <c r="B728" s="72"/>
    </row>
    <row r="729" spans="1:2" ht="16.5" x14ac:dyDescent="0.3">
      <c r="A729" s="72"/>
      <c r="B729" s="72"/>
    </row>
    <row r="730" spans="1:2" ht="16.5" x14ac:dyDescent="0.3">
      <c r="A730" s="72"/>
      <c r="B730" s="72"/>
    </row>
    <row r="731" spans="1:2" ht="16.5" x14ac:dyDescent="0.3">
      <c r="A731" s="72"/>
      <c r="B731" s="72"/>
    </row>
    <row r="732" spans="1:2" ht="16.5" x14ac:dyDescent="0.3">
      <c r="A732" s="72"/>
      <c r="B732" s="72"/>
    </row>
    <row r="733" spans="1:2" ht="16.5" x14ac:dyDescent="0.3">
      <c r="A733" s="72"/>
      <c r="B733" s="72"/>
    </row>
    <row r="734" spans="1:2" ht="16.5" x14ac:dyDescent="0.3">
      <c r="A734" s="72"/>
      <c r="B734" s="72"/>
    </row>
    <row r="735" spans="1:2" ht="16.5" x14ac:dyDescent="0.3">
      <c r="A735" s="72"/>
      <c r="B735" s="72"/>
    </row>
    <row r="736" spans="1:2" ht="16.5" x14ac:dyDescent="0.3">
      <c r="A736" s="72"/>
      <c r="B736" s="72"/>
    </row>
    <row r="737" spans="1:2" ht="16.5" x14ac:dyDescent="0.3">
      <c r="A737" s="72"/>
      <c r="B737" s="72"/>
    </row>
    <row r="738" spans="1:2" ht="16.5" x14ac:dyDescent="0.3">
      <c r="A738" s="72"/>
      <c r="B738" s="72"/>
    </row>
    <row r="739" spans="1:2" ht="16.5" x14ac:dyDescent="0.3">
      <c r="A739" s="72"/>
      <c r="B739" s="72"/>
    </row>
    <row r="740" spans="1:2" ht="16.5" x14ac:dyDescent="0.3">
      <c r="A740" s="72"/>
      <c r="B740" s="72"/>
    </row>
    <row r="741" spans="1:2" ht="16.5" x14ac:dyDescent="0.3">
      <c r="A741" s="72"/>
      <c r="B741" s="72"/>
    </row>
    <row r="742" spans="1:2" ht="16.5" x14ac:dyDescent="0.3">
      <c r="A742" s="72"/>
      <c r="B742" s="72"/>
    </row>
    <row r="743" spans="1:2" ht="16.5" x14ac:dyDescent="0.3">
      <c r="A743" s="72"/>
      <c r="B743" s="72"/>
    </row>
    <row r="744" spans="1:2" ht="16.5" x14ac:dyDescent="0.3">
      <c r="A744" s="72"/>
      <c r="B744" s="72"/>
    </row>
    <row r="745" spans="1:2" ht="16.5" x14ac:dyDescent="0.3">
      <c r="A745" s="72"/>
      <c r="B745" s="72"/>
    </row>
    <row r="746" spans="1:2" ht="16.5" x14ac:dyDescent="0.3">
      <c r="A746" s="72"/>
      <c r="B746" s="72"/>
    </row>
    <row r="747" spans="1:2" ht="16.5" x14ac:dyDescent="0.3">
      <c r="A747" s="72"/>
      <c r="B747" s="72"/>
    </row>
    <row r="748" spans="1:2" ht="16.5" x14ac:dyDescent="0.3">
      <c r="A748" s="72"/>
      <c r="B748" s="72"/>
    </row>
    <row r="749" spans="1:2" ht="16.5" x14ac:dyDescent="0.3">
      <c r="A749" s="72"/>
      <c r="B749" s="72"/>
    </row>
    <row r="750" spans="1:2" ht="16.5" x14ac:dyDescent="0.3">
      <c r="A750" s="72"/>
      <c r="B750" s="72"/>
    </row>
    <row r="751" spans="1:2" ht="16.5" x14ac:dyDescent="0.3">
      <c r="A751" s="72"/>
      <c r="B751" s="72"/>
    </row>
    <row r="752" spans="1:2" ht="16.5" x14ac:dyDescent="0.3">
      <c r="A752" s="72"/>
      <c r="B752" s="72"/>
    </row>
    <row r="753" spans="1:2" ht="16.5" x14ac:dyDescent="0.3">
      <c r="A753" s="72"/>
      <c r="B753" s="72"/>
    </row>
    <row r="754" spans="1:2" ht="16.5" x14ac:dyDescent="0.3">
      <c r="A754" s="72"/>
      <c r="B754" s="72"/>
    </row>
    <row r="755" spans="1:2" ht="16.5" x14ac:dyDescent="0.3">
      <c r="A755" s="72"/>
      <c r="B755" s="72"/>
    </row>
    <row r="756" spans="1:2" ht="16.5" x14ac:dyDescent="0.3">
      <c r="A756" s="72"/>
      <c r="B756" s="72"/>
    </row>
    <row r="757" spans="1:2" ht="16.5" x14ac:dyDescent="0.3">
      <c r="A757" s="72"/>
      <c r="B757" s="72"/>
    </row>
    <row r="758" spans="1:2" ht="16.5" x14ac:dyDescent="0.3">
      <c r="A758" s="72"/>
      <c r="B758" s="72"/>
    </row>
    <row r="759" spans="1:2" ht="16.5" x14ac:dyDescent="0.3">
      <c r="A759" s="72"/>
      <c r="B759" s="72"/>
    </row>
    <row r="760" spans="1:2" ht="16.5" x14ac:dyDescent="0.3">
      <c r="A760" s="72"/>
      <c r="B760" s="72"/>
    </row>
    <row r="761" spans="1:2" ht="16.5" x14ac:dyDescent="0.3">
      <c r="A761" s="72"/>
      <c r="B761" s="72"/>
    </row>
    <row r="762" spans="1:2" ht="16.5" x14ac:dyDescent="0.3">
      <c r="A762" s="72"/>
      <c r="B762" s="72"/>
    </row>
    <row r="763" spans="1:2" ht="16.5" x14ac:dyDescent="0.3">
      <c r="A763" s="72"/>
      <c r="B763" s="72"/>
    </row>
    <row r="764" spans="1:2" ht="16.5" x14ac:dyDescent="0.3">
      <c r="A764" s="72"/>
      <c r="B764" s="72"/>
    </row>
    <row r="765" spans="1:2" ht="16.5" x14ac:dyDescent="0.3">
      <c r="A765" s="72"/>
      <c r="B765" s="72"/>
    </row>
    <row r="766" spans="1:2" ht="16.5" x14ac:dyDescent="0.3">
      <c r="A766" s="72"/>
      <c r="B766" s="72"/>
    </row>
    <row r="767" spans="1:2" ht="16.5" x14ac:dyDescent="0.3">
      <c r="A767" s="72"/>
      <c r="B767" s="72"/>
    </row>
    <row r="768" spans="1:2" ht="16.5" x14ac:dyDescent="0.3">
      <c r="A768" s="72"/>
      <c r="B768" s="72"/>
    </row>
    <row r="769" spans="1:2" ht="16.5" x14ac:dyDescent="0.3">
      <c r="A769" s="72"/>
      <c r="B769" s="72"/>
    </row>
    <row r="770" spans="1:2" ht="16.5" x14ac:dyDescent="0.3">
      <c r="A770" s="72"/>
      <c r="B770" s="72"/>
    </row>
    <row r="771" spans="1:2" ht="16.5" x14ac:dyDescent="0.3">
      <c r="A771" s="72"/>
      <c r="B771" s="72"/>
    </row>
    <row r="772" spans="1:2" ht="16.5" x14ac:dyDescent="0.3">
      <c r="A772" s="72"/>
      <c r="B772" s="72"/>
    </row>
    <row r="773" spans="1:2" ht="16.5" x14ac:dyDescent="0.3">
      <c r="A773" s="72"/>
      <c r="B773" s="72"/>
    </row>
    <row r="774" spans="1:2" ht="16.5" x14ac:dyDescent="0.3">
      <c r="A774" s="72"/>
      <c r="B774" s="72"/>
    </row>
    <row r="775" spans="1:2" ht="16.5" x14ac:dyDescent="0.3">
      <c r="A775" s="72"/>
      <c r="B775" s="72"/>
    </row>
    <row r="776" spans="1:2" ht="16.5" x14ac:dyDescent="0.3">
      <c r="A776" s="72"/>
      <c r="B776" s="72"/>
    </row>
    <row r="777" spans="1:2" ht="16.5" x14ac:dyDescent="0.3">
      <c r="A777" s="72"/>
      <c r="B777" s="72"/>
    </row>
    <row r="778" spans="1:2" ht="16.5" x14ac:dyDescent="0.3">
      <c r="A778" s="72"/>
      <c r="B778" s="72"/>
    </row>
    <row r="779" spans="1:2" ht="16.5" x14ac:dyDescent="0.3">
      <c r="A779" s="72"/>
      <c r="B779" s="72"/>
    </row>
    <row r="780" spans="1:2" ht="16.5" x14ac:dyDescent="0.3">
      <c r="A780" s="72"/>
      <c r="B780" s="72"/>
    </row>
    <row r="781" spans="1:2" ht="16.5" x14ac:dyDescent="0.3">
      <c r="A781" s="72"/>
      <c r="B781" s="72"/>
    </row>
    <row r="782" spans="1:2" ht="16.5" x14ac:dyDescent="0.3">
      <c r="A782" s="72"/>
      <c r="B782" s="72"/>
    </row>
    <row r="783" spans="1:2" ht="16.5" x14ac:dyDescent="0.3">
      <c r="A783" s="72"/>
      <c r="B783" s="72"/>
    </row>
    <row r="784" spans="1:2" ht="16.5" x14ac:dyDescent="0.3">
      <c r="A784" s="72"/>
      <c r="B784" s="72"/>
    </row>
    <row r="785" spans="1:2" ht="16.5" x14ac:dyDescent="0.3">
      <c r="A785" s="72"/>
      <c r="B785" s="72"/>
    </row>
    <row r="786" spans="1:2" ht="16.5" x14ac:dyDescent="0.3">
      <c r="A786" s="72"/>
      <c r="B786" s="72"/>
    </row>
    <row r="787" spans="1:2" ht="16.5" x14ac:dyDescent="0.3">
      <c r="A787" s="72"/>
      <c r="B787" s="72"/>
    </row>
    <row r="788" spans="1:2" ht="16.5" x14ac:dyDescent="0.3">
      <c r="A788" s="72"/>
      <c r="B788" s="72"/>
    </row>
    <row r="789" spans="1:2" ht="16.5" x14ac:dyDescent="0.3">
      <c r="A789" s="72"/>
      <c r="B789" s="72"/>
    </row>
    <row r="790" spans="1:2" ht="16.5" x14ac:dyDescent="0.3">
      <c r="A790" s="72"/>
      <c r="B790" s="72"/>
    </row>
    <row r="791" spans="1:2" ht="16.5" x14ac:dyDescent="0.3">
      <c r="A791" s="72"/>
      <c r="B791" s="72"/>
    </row>
    <row r="792" spans="1:2" ht="16.5" x14ac:dyDescent="0.3">
      <c r="A792" s="72"/>
      <c r="B792" s="72"/>
    </row>
    <row r="793" spans="1:2" ht="16.5" x14ac:dyDescent="0.3">
      <c r="A793" s="72"/>
      <c r="B793" s="72"/>
    </row>
    <row r="794" spans="1:2" ht="16.5" x14ac:dyDescent="0.3">
      <c r="A794" s="72"/>
      <c r="B794" s="72"/>
    </row>
    <row r="795" spans="1:2" ht="16.5" x14ac:dyDescent="0.3">
      <c r="A795" s="72"/>
      <c r="B795" s="72"/>
    </row>
    <row r="796" spans="1:2" ht="16.5" x14ac:dyDescent="0.3">
      <c r="A796" s="72"/>
      <c r="B796" s="72"/>
    </row>
    <row r="797" spans="1:2" ht="16.5" x14ac:dyDescent="0.3">
      <c r="A797" s="72"/>
      <c r="B797" s="72"/>
    </row>
    <row r="798" spans="1:2" ht="16.5" x14ac:dyDescent="0.3">
      <c r="A798" s="72"/>
      <c r="B798" s="72"/>
    </row>
    <row r="799" spans="1:2" ht="16.5" x14ac:dyDescent="0.3">
      <c r="A799" s="72"/>
      <c r="B799" s="72"/>
    </row>
    <row r="800" spans="1:2" ht="16.5" x14ac:dyDescent="0.3">
      <c r="A800" s="72"/>
      <c r="B800" s="72"/>
    </row>
    <row r="801" spans="1:2" ht="16.5" x14ac:dyDescent="0.3">
      <c r="A801" s="72"/>
      <c r="B801" s="72"/>
    </row>
    <row r="802" spans="1:2" ht="16.5" x14ac:dyDescent="0.3">
      <c r="A802" s="72"/>
      <c r="B802" s="72"/>
    </row>
    <row r="803" spans="1:2" ht="16.5" x14ac:dyDescent="0.3">
      <c r="A803" s="72"/>
      <c r="B803" s="72"/>
    </row>
    <row r="804" spans="1:2" ht="16.5" x14ac:dyDescent="0.3">
      <c r="A804" s="72"/>
      <c r="B804" s="72"/>
    </row>
    <row r="805" spans="1:2" ht="16.5" x14ac:dyDescent="0.3">
      <c r="A805" s="72"/>
      <c r="B805" s="72"/>
    </row>
    <row r="806" spans="1:2" ht="16.5" x14ac:dyDescent="0.3">
      <c r="A806" s="72"/>
      <c r="B806" s="72"/>
    </row>
    <row r="807" spans="1:2" ht="16.5" x14ac:dyDescent="0.3">
      <c r="A807" s="72"/>
      <c r="B807" s="72"/>
    </row>
    <row r="808" spans="1:2" ht="16.5" x14ac:dyDescent="0.3">
      <c r="A808" s="72"/>
      <c r="B808" s="72"/>
    </row>
    <row r="809" spans="1:2" ht="16.5" x14ac:dyDescent="0.3">
      <c r="A809" s="72"/>
      <c r="B809" s="72"/>
    </row>
    <row r="810" spans="1:2" ht="16.5" x14ac:dyDescent="0.3">
      <c r="A810" s="72"/>
      <c r="B810" s="72"/>
    </row>
    <row r="811" spans="1:2" ht="16.5" x14ac:dyDescent="0.3">
      <c r="A811" s="72"/>
      <c r="B811" s="72"/>
    </row>
    <row r="812" spans="1:2" ht="16.5" x14ac:dyDescent="0.3">
      <c r="A812" s="72"/>
      <c r="B812" s="72"/>
    </row>
    <row r="813" spans="1:2" ht="16.5" x14ac:dyDescent="0.3">
      <c r="A813" s="72"/>
      <c r="B813" s="72"/>
    </row>
    <row r="814" spans="1:2" ht="16.5" x14ac:dyDescent="0.3">
      <c r="A814" s="72"/>
      <c r="B814" s="72"/>
    </row>
    <row r="815" spans="1:2" ht="16.5" x14ac:dyDescent="0.3">
      <c r="A815" s="72"/>
      <c r="B815" s="72"/>
    </row>
    <row r="816" spans="1:2" ht="16.5" x14ac:dyDescent="0.3">
      <c r="A816" s="72"/>
      <c r="B816" s="72"/>
    </row>
    <row r="817" spans="1:2" ht="16.5" x14ac:dyDescent="0.3">
      <c r="A817" s="72"/>
      <c r="B817" s="72"/>
    </row>
    <row r="818" spans="1:2" ht="16.5" x14ac:dyDescent="0.3">
      <c r="A818" s="72"/>
      <c r="B818" s="72"/>
    </row>
    <row r="819" spans="1:2" ht="16.5" x14ac:dyDescent="0.3">
      <c r="A819" s="72"/>
      <c r="B819" s="72"/>
    </row>
    <row r="820" spans="1:2" ht="16.5" x14ac:dyDescent="0.3">
      <c r="A820" s="72"/>
      <c r="B820" s="72"/>
    </row>
    <row r="821" spans="1:2" ht="16.5" x14ac:dyDescent="0.3">
      <c r="A821" s="72"/>
      <c r="B821" s="72"/>
    </row>
    <row r="822" spans="1:2" ht="16.5" x14ac:dyDescent="0.3">
      <c r="A822" s="72"/>
      <c r="B822" s="72"/>
    </row>
    <row r="823" spans="1:2" ht="16.5" x14ac:dyDescent="0.3">
      <c r="A823" s="72"/>
      <c r="B823" s="72"/>
    </row>
    <row r="824" spans="1:2" ht="16.5" x14ac:dyDescent="0.3">
      <c r="A824" s="72"/>
      <c r="B824" s="72"/>
    </row>
    <row r="825" spans="1:2" ht="16.5" x14ac:dyDescent="0.3">
      <c r="A825" s="72"/>
      <c r="B825" s="72"/>
    </row>
    <row r="826" spans="1:2" ht="16.5" x14ac:dyDescent="0.3">
      <c r="A826" s="72"/>
      <c r="B826" s="72"/>
    </row>
    <row r="827" spans="1:2" ht="16.5" x14ac:dyDescent="0.3">
      <c r="A827" s="72"/>
      <c r="B827" s="72"/>
    </row>
    <row r="828" spans="1:2" ht="16.5" x14ac:dyDescent="0.3">
      <c r="A828" s="72"/>
      <c r="B828" s="72"/>
    </row>
    <row r="829" spans="1:2" ht="16.5" x14ac:dyDescent="0.3">
      <c r="A829" s="72"/>
      <c r="B829" s="72"/>
    </row>
    <row r="830" spans="1:2" ht="16.5" x14ac:dyDescent="0.3">
      <c r="A830" s="72"/>
      <c r="B830" s="72"/>
    </row>
    <row r="831" spans="1:2" ht="16.5" x14ac:dyDescent="0.3">
      <c r="A831" s="72"/>
      <c r="B831" s="72"/>
    </row>
    <row r="832" spans="1:2" ht="16.5" x14ac:dyDescent="0.3">
      <c r="A832" s="72"/>
      <c r="B832" s="72"/>
    </row>
    <row r="833" spans="1:2" ht="16.5" x14ac:dyDescent="0.3">
      <c r="A833" s="72"/>
      <c r="B833" s="72"/>
    </row>
    <row r="834" spans="1:2" ht="16.5" x14ac:dyDescent="0.3">
      <c r="A834" s="72"/>
      <c r="B834" s="72"/>
    </row>
    <row r="835" spans="1:2" ht="16.5" x14ac:dyDescent="0.3">
      <c r="A835" s="72"/>
      <c r="B835" s="72"/>
    </row>
    <row r="836" spans="1:2" ht="16.5" x14ac:dyDescent="0.3">
      <c r="A836" s="72"/>
      <c r="B836" s="72"/>
    </row>
    <row r="837" spans="1:2" ht="16.5" x14ac:dyDescent="0.3">
      <c r="A837" s="72"/>
      <c r="B837" s="72"/>
    </row>
    <row r="838" spans="1:2" ht="16.5" x14ac:dyDescent="0.3">
      <c r="A838" s="72"/>
      <c r="B838" s="72"/>
    </row>
    <row r="839" spans="1:2" ht="16.5" x14ac:dyDescent="0.3">
      <c r="A839" s="72"/>
      <c r="B839" s="72"/>
    </row>
    <row r="840" spans="1:2" ht="16.5" x14ac:dyDescent="0.3">
      <c r="A840" s="72"/>
      <c r="B840" s="72"/>
    </row>
    <row r="841" spans="1:2" ht="16.5" x14ac:dyDescent="0.3">
      <c r="A841" s="72"/>
      <c r="B841" s="72"/>
    </row>
    <row r="842" spans="1:2" ht="16.5" x14ac:dyDescent="0.3">
      <c r="A842" s="72"/>
      <c r="B842" s="72"/>
    </row>
    <row r="843" spans="1:2" ht="16.5" x14ac:dyDescent="0.3">
      <c r="A843" s="72"/>
      <c r="B843" s="72"/>
    </row>
    <row r="844" spans="1:2" ht="16.5" x14ac:dyDescent="0.3">
      <c r="A844" s="72"/>
      <c r="B844" s="72"/>
    </row>
    <row r="845" spans="1:2" ht="16.5" x14ac:dyDescent="0.3">
      <c r="A845" s="72"/>
      <c r="B845" s="72"/>
    </row>
    <row r="846" spans="1:2" ht="16.5" x14ac:dyDescent="0.3">
      <c r="A846" s="72"/>
      <c r="B846" s="72"/>
    </row>
    <row r="847" spans="1:2" ht="16.5" x14ac:dyDescent="0.3">
      <c r="A847" s="72"/>
      <c r="B847" s="72"/>
    </row>
    <row r="848" spans="1:2" ht="16.5" x14ac:dyDescent="0.3">
      <c r="A848" s="72"/>
      <c r="B848" s="72"/>
    </row>
    <row r="849" spans="1:2" ht="16.5" x14ac:dyDescent="0.3">
      <c r="A849" s="72"/>
      <c r="B849" s="72"/>
    </row>
    <row r="850" spans="1:2" ht="16.5" x14ac:dyDescent="0.3">
      <c r="A850" s="72"/>
      <c r="B850" s="72"/>
    </row>
    <row r="851" spans="1:2" ht="16.5" x14ac:dyDescent="0.3">
      <c r="A851" s="72"/>
      <c r="B851" s="72"/>
    </row>
    <row r="852" spans="1:2" ht="16.5" x14ac:dyDescent="0.3">
      <c r="A852" s="72"/>
      <c r="B852" s="72"/>
    </row>
    <row r="853" spans="1:2" ht="16.5" x14ac:dyDescent="0.3">
      <c r="A853" s="72"/>
      <c r="B853" s="72"/>
    </row>
    <row r="854" spans="1:2" ht="16.5" x14ac:dyDescent="0.3">
      <c r="A854" s="72"/>
      <c r="B854" s="72"/>
    </row>
    <row r="855" spans="1:2" ht="16.5" x14ac:dyDescent="0.3">
      <c r="A855" s="72"/>
      <c r="B855" s="72"/>
    </row>
    <row r="856" spans="1:2" ht="16.5" x14ac:dyDescent="0.3">
      <c r="A856" s="72"/>
      <c r="B856" s="72"/>
    </row>
    <row r="857" spans="1:2" ht="16.5" x14ac:dyDescent="0.3">
      <c r="A857" s="72"/>
      <c r="B857" s="72"/>
    </row>
    <row r="858" spans="1:2" ht="16.5" x14ac:dyDescent="0.3">
      <c r="A858" s="72"/>
      <c r="B858" s="72"/>
    </row>
    <row r="859" spans="1:2" ht="16.5" x14ac:dyDescent="0.3">
      <c r="A859" s="72"/>
      <c r="B859" s="72"/>
    </row>
    <row r="860" spans="1:2" ht="16.5" x14ac:dyDescent="0.3">
      <c r="A860" s="72"/>
      <c r="B860" s="72"/>
    </row>
    <row r="861" spans="1:2" ht="16.5" x14ac:dyDescent="0.3">
      <c r="A861" s="72"/>
      <c r="B861" s="72"/>
    </row>
    <row r="862" spans="1:2" ht="16.5" x14ac:dyDescent="0.3">
      <c r="A862" s="72"/>
      <c r="B862" s="72"/>
    </row>
    <row r="863" spans="1:2" ht="16.5" x14ac:dyDescent="0.3">
      <c r="A863" s="72"/>
      <c r="B863" s="72"/>
    </row>
    <row r="864" spans="1:2" ht="16.5" x14ac:dyDescent="0.3">
      <c r="A864" s="72"/>
      <c r="B864" s="72"/>
    </row>
    <row r="865" spans="1:2" ht="16.5" x14ac:dyDescent="0.3">
      <c r="A865" s="72"/>
      <c r="B865" s="72"/>
    </row>
    <row r="866" spans="1:2" ht="16.5" x14ac:dyDescent="0.3">
      <c r="A866" s="72"/>
      <c r="B866" s="72"/>
    </row>
    <row r="867" spans="1:2" ht="16.5" x14ac:dyDescent="0.3">
      <c r="A867" s="72"/>
      <c r="B867" s="72"/>
    </row>
    <row r="868" spans="1:2" ht="16.5" x14ac:dyDescent="0.3">
      <c r="A868" s="72"/>
      <c r="B868" s="72"/>
    </row>
    <row r="869" spans="1:2" ht="16.5" x14ac:dyDescent="0.3">
      <c r="A869" s="72"/>
      <c r="B869" s="72"/>
    </row>
    <row r="870" spans="1:2" ht="16.5" x14ac:dyDescent="0.3">
      <c r="A870" s="72"/>
      <c r="B870" s="72"/>
    </row>
    <row r="871" spans="1:2" ht="16.5" x14ac:dyDescent="0.3">
      <c r="A871" s="72"/>
      <c r="B871" s="72"/>
    </row>
    <row r="872" spans="1:2" ht="16.5" x14ac:dyDescent="0.3">
      <c r="A872" s="72"/>
      <c r="B872" s="72"/>
    </row>
    <row r="873" spans="1:2" ht="16.5" x14ac:dyDescent="0.3">
      <c r="A873" s="72"/>
      <c r="B873" s="72"/>
    </row>
    <row r="874" spans="1:2" ht="16.5" x14ac:dyDescent="0.3">
      <c r="A874" s="72"/>
      <c r="B874" s="72"/>
    </row>
    <row r="875" spans="1:2" ht="16.5" x14ac:dyDescent="0.3">
      <c r="A875" s="72"/>
      <c r="B875" s="72"/>
    </row>
    <row r="876" spans="1:2" ht="16.5" x14ac:dyDescent="0.3">
      <c r="A876" s="72"/>
      <c r="B876" s="72"/>
    </row>
    <row r="877" spans="1:2" ht="16.5" x14ac:dyDescent="0.3">
      <c r="A877" s="72"/>
      <c r="B877" s="72"/>
    </row>
    <row r="878" spans="1:2" ht="16.5" x14ac:dyDescent="0.3">
      <c r="A878" s="72"/>
      <c r="B878" s="72"/>
    </row>
    <row r="879" spans="1:2" ht="16.5" x14ac:dyDescent="0.3">
      <c r="A879" s="72"/>
      <c r="B879" s="72"/>
    </row>
    <row r="880" spans="1:2" ht="16.5" x14ac:dyDescent="0.3">
      <c r="A880" s="72"/>
      <c r="B880" s="72"/>
    </row>
    <row r="881" spans="1:2" ht="16.5" x14ac:dyDescent="0.3">
      <c r="A881" s="72"/>
      <c r="B881" s="72"/>
    </row>
    <row r="882" spans="1:2" ht="16.5" x14ac:dyDescent="0.3">
      <c r="A882" s="72"/>
      <c r="B882" s="72"/>
    </row>
    <row r="883" spans="1:2" ht="16.5" x14ac:dyDescent="0.3">
      <c r="A883" s="72"/>
      <c r="B883" s="72"/>
    </row>
    <row r="884" spans="1:2" ht="16.5" x14ac:dyDescent="0.3">
      <c r="A884" s="72"/>
      <c r="B884" s="72"/>
    </row>
    <row r="885" spans="1:2" ht="16.5" x14ac:dyDescent="0.3">
      <c r="A885" s="72"/>
      <c r="B885" s="72"/>
    </row>
    <row r="886" spans="1:2" ht="16.5" x14ac:dyDescent="0.3">
      <c r="A886" s="72"/>
      <c r="B886" s="72"/>
    </row>
    <row r="887" spans="1:2" ht="16.5" x14ac:dyDescent="0.3">
      <c r="A887" s="72"/>
      <c r="B887" s="72"/>
    </row>
    <row r="888" spans="1:2" ht="16.5" x14ac:dyDescent="0.3">
      <c r="A888" s="72"/>
      <c r="B888" s="72"/>
    </row>
    <row r="889" spans="1:2" ht="16.5" x14ac:dyDescent="0.3">
      <c r="A889" s="72"/>
      <c r="B889" s="72"/>
    </row>
    <row r="890" spans="1:2" ht="16.5" x14ac:dyDescent="0.3">
      <c r="A890" s="72"/>
      <c r="B890" s="72"/>
    </row>
    <row r="891" spans="1:2" ht="16.5" x14ac:dyDescent="0.3">
      <c r="A891" s="72"/>
      <c r="B891" s="72"/>
    </row>
    <row r="892" spans="1:2" ht="16.5" x14ac:dyDescent="0.3">
      <c r="A892" s="72"/>
      <c r="B892" s="72"/>
    </row>
    <row r="893" spans="1:2" ht="16.5" x14ac:dyDescent="0.3">
      <c r="A893" s="72"/>
      <c r="B893" s="72"/>
    </row>
    <row r="894" spans="1:2" ht="16.5" x14ac:dyDescent="0.3">
      <c r="A894" s="72"/>
      <c r="B894" s="72"/>
    </row>
    <row r="895" spans="1:2" ht="16.5" x14ac:dyDescent="0.3">
      <c r="A895" s="72"/>
      <c r="B895" s="72"/>
    </row>
    <row r="896" spans="1:2" ht="16.5" x14ac:dyDescent="0.3">
      <c r="A896" s="72"/>
      <c r="B896" s="72"/>
    </row>
    <row r="897" spans="1:2" ht="16.5" x14ac:dyDescent="0.3">
      <c r="A897" s="72"/>
      <c r="B897" s="72"/>
    </row>
    <row r="898" spans="1:2" ht="16.5" x14ac:dyDescent="0.3">
      <c r="A898" s="72"/>
      <c r="B898" s="72"/>
    </row>
    <row r="899" spans="1:2" ht="16.5" x14ac:dyDescent="0.3">
      <c r="A899" s="72"/>
      <c r="B899" s="72"/>
    </row>
    <row r="900" spans="1:2" ht="16.5" x14ac:dyDescent="0.3">
      <c r="A900" s="72"/>
      <c r="B900" s="72"/>
    </row>
    <row r="901" spans="1:2" ht="16.5" x14ac:dyDescent="0.3">
      <c r="A901" s="72"/>
      <c r="B901" s="72"/>
    </row>
    <row r="902" spans="1:2" ht="16.5" x14ac:dyDescent="0.3">
      <c r="A902" s="72"/>
      <c r="B902" s="72"/>
    </row>
    <row r="903" spans="1:2" ht="16.5" x14ac:dyDescent="0.3">
      <c r="A903" s="72"/>
      <c r="B903" s="72"/>
    </row>
    <row r="904" spans="1:2" ht="16.5" x14ac:dyDescent="0.3">
      <c r="A904" s="72"/>
      <c r="B904" s="72"/>
    </row>
    <row r="905" spans="1:2" ht="16.5" x14ac:dyDescent="0.3">
      <c r="A905" s="72"/>
      <c r="B905" s="72"/>
    </row>
    <row r="906" spans="1:2" ht="16.5" x14ac:dyDescent="0.3">
      <c r="A906" s="72"/>
      <c r="B906" s="72"/>
    </row>
    <row r="907" spans="1:2" ht="16.5" x14ac:dyDescent="0.3">
      <c r="A907" s="72"/>
      <c r="B907" s="72"/>
    </row>
    <row r="908" spans="1:2" ht="16.5" x14ac:dyDescent="0.3">
      <c r="A908" s="72"/>
      <c r="B908" s="72"/>
    </row>
    <row r="909" spans="1:2" ht="16.5" x14ac:dyDescent="0.3">
      <c r="A909" s="72"/>
      <c r="B909" s="72"/>
    </row>
    <row r="910" spans="1:2" ht="16.5" x14ac:dyDescent="0.3">
      <c r="A910" s="72"/>
      <c r="B910" s="72"/>
    </row>
    <row r="911" spans="1:2" ht="16.5" x14ac:dyDescent="0.3">
      <c r="A911" s="72"/>
      <c r="B911" s="72"/>
    </row>
    <row r="912" spans="1:2" ht="16.5" x14ac:dyDescent="0.3">
      <c r="A912" s="72"/>
      <c r="B912" s="72"/>
    </row>
    <row r="913" spans="1:2" ht="16.5" x14ac:dyDescent="0.3">
      <c r="A913" s="72"/>
      <c r="B913" s="72"/>
    </row>
    <row r="914" spans="1:2" ht="16.5" x14ac:dyDescent="0.3">
      <c r="A914" s="72"/>
      <c r="B914" s="72"/>
    </row>
    <row r="915" spans="1:2" ht="16.5" x14ac:dyDescent="0.3">
      <c r="A915" s="72"/>
      <c r="B915" s="72"/>
    </row>
    <row r="916" spans="1:2" ht="16.5" x14ac:dyDescent="0.3">
      <c r="A916" s="72"/>
      <c r="B916" s="72"/>
    </row>
    <row r="917" spans="1:2" ht="16.5" x14ac:dyDescent="0.3">
      <c r="A917" s="72"/>
      <c r="B917" s="72"/>
    </row>
    <row r="918" spans="1:2" ht="16.5" x14ac:dyDescent="0.3">
      <c r="A918" s="72"/>
      <c r="B918" s="72"/>
    </row>
    <row r="919" spans="1:2" ht="16.5" x14ac:dyDescent="0.3">
      <c r="A919" s="72"/>
      <c r="B919" s="72"/>
    </row>
    <row r="920" spans="1:2" ht="16.5" x14ac:dyDescent="0.3">
      <c r="A920" s="72"/>
      <c r="B920" s="72"/>
    </row>
    <row r="921" spans="1:2" ht="16.5" x14ac:dyDescent="0.3">
      <c r="A921" s="72"/>
      <c r="B921" s="72"/>
    </row>
    <row r="922" spans="1:2" ht="16.5" x14ac:dyDescent="0.3">
      <c r="A922" s="72"/>
      <c r="B922" s="72"/>
    </row>
    <row r="923" spans="1:2" ht="16.5" x14ac:dyDescent="0.3">
      <c r="A923" s="72"/>
      <c r="B923" s="72"/>
    </row>
    <row r="924" spans="1:2" ht="16.5" x14ac:dyDescent="0.3">
      <c r="A924" s="72"/>
      <c r="B924" s="72"/>
    </row>
    <row r="925" spans="1:2" ht="16.5" x14ac:dyDescent="0.3">
      <c r="A925" s="72"/>
      <c r="B925" s="72"/>
    </row>
    <row r="926" spans="1:2" ht="16.5" x14ac:dyDescent="0.3">
      <c r="A926" s="72"/>
      <c r="B926" s="72"/>
    </row>
    <row r="927" spans="1:2" ht="16.5" x14ac:dyDescent="0.3">
      <c r="A927" s="72"/>
      <c r="B927" s="72"/>
    </row>
    <row r="928" spans="1:2" ht="16.5" x14ac:dyDescent="0.3">
      <c r="A928" s="72"/>
      <c r="B928" s="72"/>
    </row>
    <row r="929" spans="1:2" ht="16.5" x14ac:dyDescent="0.3">
      <c r="A929" s="72"/>
      <c r="B929" s="72"/>
    </row>
    <row r="930" spans="1:2" ht="16.5" x14ac:dyDescent="0.3">
      <c r="A930" s="72"/>
      <c r="B930" s="72"/>
    </row>
    <row r="931" spans="1:2" ht="16.5" x14ac:dyDescent="0.3">
      <c r="A931" s="72"/>
      <c r="B931" s="72"/>
    </row>
    <row r="932" spans="1:2" ht="16.5" x14ac:dyDescent="0.3">
      <c r="A932" s="72"/>
      <c r="B932" s="72"/>
    </row>
    <row r="933" spans="1:2" ht="16.5" x14ac:dyDescent="0.3">
      <c r="A933" s="72"/>
      <c r="B933" s="72"/>
    </row>
    <row r="934" spans="1:2" ht="16.5" x14ac:dyDescent="0.3">
      <c r="A934" s="72"/>
      <c r="B934" s="72"/>
    </row>
    <row r="935" spans="1:2" ht="16.5" x14ac:dyDescent="0.3">
      <c r="A935" s="72"/>
      <c r="B935" s="72"/>
    </row>
    <row r="936" spans="1:2" ht="16.5" x14ac:dyDescent="0.3">
      <c r="A936" s="72"/>
      <c r="B936" s="72"/>
    </row>
    <row r="937" spans="1:2" ht="16.5" x14ac:dyDescent="0.3">
      <c r="A937" s="72"/>
      <c r="B937" s="72"/>
    </row>
    <row r="938" spans="1:2" ht="16.5" x14ac:dyDescent="0.3">
      <c r="A938" s="72"/>
      <c r="B938" s="72"/>
    </row>
    <row r="939" spans="1:2" ht="16.5" x14ac:dyDescent="0.3">
      <c r="A939" s="72"/>
      <c r="B939" s="72"/>
    </row>
    <row r="940" spans="1:2" ht="16.5" x14ac:dyDescent="0.3">
      <c r="A940" s="72"/>
      <c r="B940" s="72"/>
    </row>
    <row r="941" spans="1:2" ht="16.5" x14ac:dyDescent="0.3">
      <c r="A941" s="72"/>
      <c r="B941" s="72"/>
    </row>
    <row r="942" spans="1:2" ht="16.5" x14ac:dyDescent="0.3">
      <c r="A942" s="72"/>
      <c r="B942" s="72"/>
    </row>
    <row r="943" spans="1:2" ht="16.5" x14ac:dyDescent="0.3">
      <c r="A943" s="72"/>
      <c r="B943" s="72"/>
    </row>
    <row r="944" spans="1:2" ht="16.5" x14ac:dyDescent="0.3">
      <c r="A944" s="72"/>
      <c r="B944" s="72"/>
    </row>
    <row r="945" spans="1:2" ht="16.5" x14ac:dyDescent="0.3">
      <c r="A945" s="72"/>
      <c r="B945" s="72"/>
    </row>
    <row r="946" spans="1:2" ht="16.5" x14ac:dyDescent="0.3">
      <c r="A946" s="72"/>
      <c r="B946" s="72"/>
    </row>
    <row r="947" spans="1:2" ht="16.5" x14ac:dyDescent="0.3">
      <c r="A947" s="72"/>
      <c r="B947" s="72"/>
    </row>
    <row r="948" spans="1:2" ht="16.5" x14ac:dyDescent="0.3">
      <c r="A948" s="72"/>
      <c r="B948" s="72"/>
    </row>
    <row r="949" spans="1:2" ht="16.5" x14ac:dyDescent="0.3">
      <c r="A949" s="72"/>
      <c r="B949" s="72"/>
    </row>
    <row r="950" spans="1:2" ht="16.5" x14ac:dyDescent="0.3">
      <c r="A950" s="72"/>
      <c r="B950" s="72"/>
    </row>
    <row r="951" spans="1:2" ht="16.5" x14ac:dyDescent="0.3">
      <c r="A951" s="72"/>
      <c r="B951" s="72"/>
    </row>
    <row r="952" spans="1:2" ht="16.5" x14ac:dyDescent="0.3">
      <c r="A952" s="72"/>
      <c r="B952" s="72"/>
    </row>
    <row r="953" spans="1:2" ht="16.5" x14ac:dyDescent="0.3">
      <c r="A953" s="72"/>
      <c r="B953" s="72"/>
    </row>
    <row r="954" spans="1:2" ht="16.5" x14ac:dyDescent="0.3">
      <c r="A954" s="72"/>
      <c r="B954" s="72"/>
    </row>
    <row r="955" spans="1:2" ht="16.5" x14ac:dyDescent="0.3">
      <c r="A955" s="72"/>
      <c r="B955" s="72"/>
    </row>
    <row r="956" spans="1:2" ht="16.5" x14ac:dyDescent="0.3">
      <c r="A956" s="72"/>
      <c r="B956" s="72"/>
    </row>
    <row r="957" spans="1:2" ht="16.5" x14ac:dyDescent="0.3">
      <c r="A957" s="72"/>
      <c r="B957" s="72"/>
    </row>
    <row r="958" spans="1:2" ht="16.5" x14ac:dyDescent="0.3">
      <c r="A958" s="72"/>
      <c r="B958" s="72"/>
    </row>
    <row r="959" spans="1:2" ht="16.5" x14ac:dyDescent="0.3">
      <c r="A959" s="72"/>
      <c r="B959" s="72"/>
    </row>
    <row r="960" spans="1:2" ht="16.5" x14ac:dyDescent="0.3">
      <c r="A960" s="72"/>
      <c r="B960" s="72"/>
    </row>
    <row r="961" spans="1:2" ht="16.5" x14ac:dyDescent="0.3">
      <c r="A961" s="72"/>
      <c r="B961" s="72"/>
    </row>
    <row r="962" spans="1:2" ht="16.5" x14ac:dyDescent="0.3">
      <c r="A962" s="72"/>
      <c r="B962" s="72"/>
    </row>
    <row r="963" spans="1:2" ht="16.5" x14ac:dyDescent="0.3">
      <c r="A963" s="72"/>
      <c r="B963" s="72"/>
    </row>
    <row r="964" spans="1:2" ht="16.5" x14ac:dyDescent="0.3">
      <c r="A964" s="72"/>
      <c r="B964" s="72"/>
    </row>
    <row r="965" spans="1:2" ht="16.5" x14ac:dyDescent="0.3">
      <c r="A965" s="72"/>
      <c r="B965" s="72"/>
    </row>
    <row r="966" spans="1:2" ht="16.5" x14ac:dyDescent="0.3">
      <c r="A966" s="72"/>
      <c r="B966" s="72"/>
    </row>
    <row r="967" spans="1:2" ht="16.5" x14ac:dyDescent="0.3">
      <c r="A967" s="72"/>
      <c r="B967" s="72"/>
    </row>
    <row r="968" spans="1:2" ht="16.5" x14ac:dyDescent="0.3">
      <c r="A968" s="72"/>
      <c r="B968" s="72"/>
    </row>
    <row r="969" spans="1:2" ht="16.5" x14ac:dyDescent="0.3">
      <c r="A969" s="72"/>
      <c r="B969" s="72"/>
    </row>
    <row r="970" spans="1:2" ht="16.5" x14ac:dyDescent="0.3">
      <c r="A970" s="72"/>
      <c r="B970" s="72"/>
    </row>
    <row r="971" spans="1:2" ht="16.5" x14ac:dyDescent="0.3">
      <c r="A971" s="72"/>
      <c r="B971" s="72"/>
    </row>
    <row r="972" spans="1:2" ht="16.5" x14ac:dyDescent="0.3">
      <c r="A972" s="72"/>
      <c r="B972" s="72"/>
    </row>
    <row r="973" spans="1:2" ht="16.5" x14ac:dyDescent="0.3">
      <c r="A973" s="72"/>
      <c r="B973" s="72"/>
    </row>
    <row r="974" spans="1:2" ht="16.5" x14ac:dyDescent="0.3">
      <c r="A974" s="72"/>
      <c r="B974" s="72"/>
    </row>
    <row r="975" spans="1:2" ht="16.5" x14ac:dyDescent="0.3">
      <c r="A975" s="72"/>
      <c r="B975" s="72"/>
    </row>
    <row r="976" spans="1:2" ht="16.5" x14ac:dyDescent="0.3">
      <c r="A976" s="72"/>
      <c r="B976" s="72"/>
    </row>
    <row r="977" spans="1:2" ht="16.5" x14ac:dyDescent="0.3">
      <c r="A977" s="72"/>
      <c r="B977" s="72"/>
    </row>
    <row r="978" spans="1:2" ht="16.5" x14ac:dyDescent="0.3">
      <c r="A978" s="72"/>
      <c r="B978" s="72"/>
    </row>
    <row r="979" spans="1:2" ht="16.5" x14ac:dyDescent="0.3">
      <c r="A979" s="72"/>
      <c r="B979" s="72"/>
    </row>
    <row r="980" spans="1:2" ht="16.5" x14ac:dyDescent="0.3">
      <c r="A980" s="72"/>
      <c r="B980" s="72"/>
    </row>
    <row r="981" spans="1:2" ht="16.5" x14ac:dyDescent="0.3">
      <c r="A981" s="72"/>
      <c r="B981" s="72"/>
    </row>
    <row r="982" spans="1:2" ht="16.5" x14ac:dyDescent="0.3">
      <c r="A982" s="72"/>
      <c r="B982" s="72"/>
    </row>
    <row r="983" spans="1:2" ht="16.5" x14ac:dyDescent="0.3">
      <c r="A983" s="72"/>
      <c r="B983" s="72"/>
    </row>
    <row r="984" spans="1:2" ht="16.5" x14ac:dyDescent="0.3">
      <c r="A984" s="72"/>
      <c r="B984" s="72"/>
    </row>
    <row r="985" spans="1:2" ht="16.5" x14ac:dyDescent="0.3">
      <c r="A985" s="72"/>
      <c r="B985" s="72"/>
    </row>
    <row r="986" spans="1:2" ht="16.5" x14ac:dyDescent="0.3">
      <c r="A986" s="72"/>
      <c r="B986" s="72"/>
    </row>
    <row r="987" spans="1:2" ht="16.5" x14ac:dyDescent="0.3">
      <c r="A987" s="72"/>
      <c r="B987" s="72"/>
    </row>
    <row r="988" spans="1:2" ht="16.5" x14ac:dyDescent="0.3">
      <c r="A988" s="72"/>
      <c r="B988" s="72"/>
    </row>
    <row r="989" spans="1:2" ht="16.5" x14ac:dyDescent="0.3">
      <c r="A989" s="72"/>
      <c r="B989" s="72"/>
    </row>
    <row r="990" spans="1:2" ht="16.5" x14ac:dyDescent="0.3">
      <c r="A990" s="72"/>
      <c r="B990" s="72"/>
    </row>
    <row r="991" spans="1:2" ht="16.5" x14ac:dyDescent="0.3">
      <c r="A991" s="72"/>
      <c r="B991" s="72"/>
    </row>
    <row r="992" spans="1:2" ht="16.5" x14ac:dyDescent="0.3">
      <c r="A992" s="72"/>
      <c r="B992" s="72"/>
    </row>
    <row r="993" spans="1:2" ht="16.5" x14ac:dyDescent="0.3">
      <c r="A993" s="72"/>
      <c r="B993" s="72"/>
    </row>
    <row r="994" spans="1:2" ht="16.5" x14ac:dyDescent="0.3">
      <c r="A994" s="72"/>
      <c r="B994" s="72"/>
    </row>
    <row r="995" spans="1:2" ht="16.5" x14ac:dyDescent="0.3">
      <c r="A995" s="72"/>
      <c r="B995" s="72"/>
    </row>
    <row r="996" spans="1:2" ht="16.5" x14ac:dyDescent="0.3">
      <c r="A996" s="72"/>
      <c r="B996" s="72"/>
    </row>
    <row r="997" spans="1:2" ht="16.5" x14ac:dyDescent="0.3">
      <c r="A997" s="72"/>
      <c r="B997" s="72"/>
    </row>
    <row r="998" spans="1:2" ht="16.5" x14ac:dyDescent="0.3">
      <c r="A998" s="72"/>
      <c r="B998" s="72"/>
    </row>
    <row r="999" spans="1:2" ht="16.5" x14ac:dyDescent="0.3">
      <c r="A999" s="72"/>
      <c r="B999" s="72"/>
    </row>
    <row r="1000" spans="1:2" ht="16.5" x14ac:dyDescent="0.3">
      <c r="A1000" s="72"/>
      <c r="B1000" s="72"/>
    </row>
    <row r="1001" spans="1:2" ht="16.5" x14ac:dyDescent="0.3">
      <c r="A1001" s="72"/>
      <c r="B1001" s="72"/>
    </row>
    <row r="1002" spans="1:2" ht="16.5" x14ac:dyDescent="0.3">
      <c r="A1002" s="72"/>
      <c r="B1002" s="72"/>
    </row>
    <row r="1003" spans="1:2" ht="16.5" x14ac:dyDescent="0.3">
      <c r="A1003" s="72"/>
      <c r="B1003" s="72"/>
    </row>
    <row r="1004" spans="1:2" ht="16.5" x14ac:dyDescent="0.3">
      <c r="A1004" s="72"/>
      <c r="B1004" s="72"/>
    </row>
  </sheetData>
  <hyperlinks>
    <hyperlink ref="B62" r:id="rId1"/>
    <hyperlink ref="B63" r:id="rId2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1012"/>
  <sheetViews>
    <sheetView topLeftCell="B2" workbookViewId="0">
      <selection activeCell="C19" sqref="C19"/>
    </sheetView>
  </sheetViews>
  <sheetFormatPr defaultColWidth="14.42578125" defaultRowHeight="15" customHeight="1" x14ac:dyDescent="0.25"/>
  <cols>
    <col min="1" max="1" width="41.42578125" style="53" customWidth="1"/>
    <col min="2" max="2" width="62" style="53" customWidth="1"/>
    <col min="3" max="3" width="78" style="53" customWidth="1"/>
    <col min="4" max="26" width="8.7109375" style="53" customWidth="1"/>
    <col min="27" max="16384" width="14.42578125" style="53"/>
  </cols>
  <sheetData>
    <row r="1" spans="1:26" ht="13.5" customHeight="1" x14ac:dyDescent="0.35">
      <c r="A1" s="71" t="s">
        <v>96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</row>
    <row r="2" spans="1:26" ht="13.5" customHeight="1" thickBot="1" x14ac:dyDescent="0.4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</row>
    <row r="3" spans="1:26" ht="13.5" customHeight="1" thickBot="1" x14ac:dyDescent="0.4">
      <c r="A3" s="70" t="s">
        <v>95</v>
      </c>
      <c r="B3" s="69" t="s">
        <v>94</v>
      </c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</row>
    <row r="4" spans="1:26" ht="13.5" customHeight="1" thickBot="1" x14ac:dyDescent="0.4">
      <c r="A4" s="67" t="s">
        <v>19</v>
      </c>
      <c r="B4" s="69" t="s">
        <v>20</v>
      </c>
      <c r="C4" s="54" t="str">
        <f t="shared" ref="C4:C35" si="0">CONCATENATE(A4, " -&gt; ",B4)</f>
        <v>Administrative/Overhead services -&gt; Office of the Medical Center Chief</v>
      </c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</row>
    <row r="5" spans="1:26" ht="13.5" customHeight="1" thickBot="1" x14ac:dyDescent="0.4">
      <c r="A5" s="67" t="s">
        <v>19</v>
      </c>
      <c r="B5" s="66" t="s">
        <v>61</v>
      </c>
      <c r="C5" s="54" t="str">
        <f t="shared" si="0"/>
        <v>Administrative/Overhead services -&gt; IT Department</v>
      </c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</row>
    <row r="6" spans="1:26" ht="13.5" customHeight="1" thickBot="1" x14ac:dyDescent="0.4">
      <c r="A6" s="67" t="s">
        <v>19</v>
      </c>
      <c r="B6" s="68" t="s">
        <v>21</v>
      </c>
      <c r="C6" s="54" t="str">
        <f t="shared" si="0"/>
        <v>Administrative/Overhead services -&gt; Office of the Administrative Officer</v>
      </c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</row>
    <row r="7" spans="1:26" ht="13.5" customHeight="1" thickBot="1" x14ac:dyDescent="0.4">
      <c r="A7" s="67" t="s">
        <v>19</v>
      </c>
      <c r="B7" s="68" t="s">
        <v>22</v>
      </c>
      <c r="C7" s="54" t="str">
        <f t="shared" si="0"/>
        <v>Administrative/Overhead services -&gt; Human Resource Management</v>
      </c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</row>
    <row r="8" spans="1:26" ht="13.5" customHeight="1" thickBot="1" x14ac:dyDescent="0.4">
      <c r="A8" s="67" t="s">
        <v>19</v>
      </c>
      <c r="B8" s="68" t="s">
        <v>23</v>
      </c>
      <c r="C8" s="54" t="str">
        <f t="shared" si="0"/>
        <v>Administrative/Overhead services -&gt; Procurement</v>
      </c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</row>
    <row r="9" spans="1:26" ht="13.5" customHeight="1" thickBot="1" x14ac:dyDescent="0.4">
      <c r="A9" s="67" t="s">
        <v>19</v>
      </c>
      <c r="B9" s="68" t="s">
        <v>24</v>
      </c>
      <c r="C9" s="54" t="str">
        <f t="shared" si="0"/>
        <v>Administrative/Overhead services -&gt; Materials Management</v>
      </c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</row>
    <row r="10" spans="1:26" ht="13.5" customHeight="1" thickBot="1" x14ac:dyDescent="0.4">
      <c r="A10" s="67" t="s">
        <v>19</v>
      </c>
      <c r="B10" s="68" t="s">
        <v>25</v>
      </c>
      <c r="C10" s="54" t="str">
        <f t="shared" si="0"/>
        <v>Administrative/Overhead services -&gt; Engineering and Facilities Management</v>
      </c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</row>
    <row r="11" spans="1:26" ht="13.5" customHeight="1" thickBot="1" x14ac:dyDescent="0.4">
      <c r="A11" s="67" t="s">
        <v>19</v>
      </c>
      <c r="B11" s="66" t="s">
        <v>62</v>
      </c>
      <c r="C11" s="54" t="str">
        <f t="shared" si="0"/>
        <v xml:space="preserve">Administrative/Overhead services -&gt; Housekeeping </v>
      </c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</row>
    <row r="12" spans="1:26" ht="13.5" customHeight="1" thickBot="1" x14ac:dyDescent="0.4">
      <c r="A12" s="67" t="s">
        <v>19</v>
      </c>
      <c r="B12" s="68" t="s">
        <v>26</v>
      </c>
      <c r="C12" s="54" t="str">
        <f t="shared" si="0"/>
        <v>Administrative/Overhead services -&gt; Budget and Accounting</v>
      </c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</row>
    <row r="13" spans="1:26" ht="13.5" customHeight="1" thickBot="1" x14ac:dyDescent="0.4">
      <c r="A13" s="67" t="s">
        <v>19</v>
      </c>
      <c r="B13" s="68" t="s">
        <v>27</v>
      </c>
      <c r="C13" s="54" t="str">
        <f t="shared" si="0"/>
        <v>Administrative/Overhead services -&gt; Medical Social Work</v>
      </c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</row>
    <row r="14" spans="1:26" ht="13.5" customHeight="1" thickBot="1" x14ac:dyDescent="0.4">
      <c r="A14" s="67" t="s">
        <v>19</v>
      </c>
      <c r="B14" s="68" t="s">
        <v>28</v>
      </c>
      <c r="C14" s="54" t="str">
        <f t="shared" si="0"/>
        <v>Administrative/Overhead services -&gt; Office of the Chief Nurse</v>
      </c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</row>
    <row r="15" spans="1:26" ht="13.5" customHeight="1" thickBot="1" x14ac:dyDescent="0.4">
      <c r="A15" s="67" t="s">
        <v>19</v>
      </c>
      <c r="B15" s="68" t="s">
        <v>29</v>
      </c>
      <c r="C15" s="54" t="str">
        <f t="shared" si="0"/>
        <v>Administrative/Overhead services -&gt; Health Info Mgt (Admitting)</v>
      </c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</row>
    <row r="16" spans="1:26" ht="13.5" customHeight="1" thickBot="1" x14ac:dyDescent="0.4">
      <c r="A16" s="67" t="s">
        <v>19</v>
      </c>
      <c r="B16" s="68" t="s">
        <v>30</v>
      </c>
      <c r="C16" s="54" t="str">
        <f t="shared" si="0"/>
        <v>Administrative/Overhead services -&gt; Central Supply Office</v>
      </c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</row>
    <row r="17" spans="1:26" ht="13.5" customHeight="1" thickBot="1" x14ac:dyDescent="0.4">
      <c r="A17" s="67" t="s">
        <v>19</v>
      </c>
      <c r="B17" s="68" t="s">
        <v>31</v>
      </c>
      <c r="C17" s="54" t="str">
        <f t="shared" si="0"/>
        <v>Administrative/Overhead services -&gt; Billing and Claims</v>
      </c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</row>
    <row r="18" spans="1:26" ht="13.5" customHeight="1" thickBot="1" x14ac:dyDescent="0.4">
      <c r="A18" s="67" t="s">
        <v>19</v>
      </c>
      <c r="B18" s="68" t="s">
        <v>32</v>
      </c>
      <c r="C18" s="54" t="str">
        <f t="shared" si="0"/>
        <v>Administrative/Overhead services -&gt; Cash Operations</v>
      </c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</row>
    <row r="19" spans="1:26" ht="13.5" customHeight="1" thickBot="1" x14ac:dyDescent="0.4">
      <c r="A19" s="67" t="s">
        <v>19</v>
      </c>
      <c r="B19" s="68" t="s">
        <v>33</v>
      </c>
      <c r="C19" s="54" t="str">
        <f t="shared" si="0"/>
        <v>Administrative/Overhead services -&gt; Security</v>
      </c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</row>
    <row r="20" spans="1:26" ht="13.5" customHeight="1" thickBot="1" x14ac:dyDescent="0.4">
      <c r="A20" s="67" t="s">
        <v>19</v>
      </c>
      <c r="B20" s="66" t="s">
        <v>63</v>
      </c>
      <c r="C20" s="54" t="str">
        <f t="shared" si="0"/>
        <v>Administrative/Overhead services -&gt; Office of the Chief of Medical Professional Staff / Chief of Clinics</v>
      </c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</row>
    <row r="21" spans="1:26" ht="13.5" customHeight="1" thickBot="1" x14ac:dyDescent="0.4">
      <c r="A21" s="67" t="s">
        <v>19</v>
      </c>
      <c r="B21" s="66" t="s">
        <v>64</v>
      </c>
      <c r="C21" s="54" t="str">
        <f t="shared" si="0"/>
        <v>Administrative/Overhead services -&gt; Others</v>
      </c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</row>
    <row r="22" spans="1:26" ht="13.5" customHeight="1" thickBot="1" x14ac:dyDescent="0.4">
      <c r="A22" s="59" t="s">
        <v>35</v>
      </c>
      <c r="B22" s="65" t="s">
        <v>36</v>
      </c>
      <c r="C22" s="54" t="str">
        <f t="shared" si="0"/>
        <v>Ancillary services/Support services -&gt; Laundry</v>
      </c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</row>
    <row r="23" spans="1:26" ht="14.25" customHeight="1" thickBot="1" x14ac:dyDescent="0.4">
      <c r="A23" s="59" t="s">
        <v>35</v>
      </c>
      <c r="B23" s="61" t="s">
        <v>39</v>
      </c>
      <c r="C23" s="54" t="str">
        <f t="shared" si="0"/>
        <v>Ancillary services/Support services -&gt; Nutrition and Dietetics</v>
      </c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</row>
    <row r="24" spans="1:26" ht="14.25" customHeight="1" thickBot="1" x14ac:dyDescent="0.35">
      <c r="A24" s="59" t="s">
        <v>35</v>
      </c>
      <c r="B24" s="61" t="s">
        <v>65</v>
      </c>
      <c r="C24" s="54" t="str">
        <f t="shared" si="0"/>
        <v>Ancillary services/Support services -&gt; Sterilization</v>
      </c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</row>
    <row r="25" spans="1:26" ht="14.25" customHeight="1" thickBot="1" x14ac:dyDescent="0.35">
      <c r="A25" s="59" t="s">
        <v>35</v>
      </c>
      <c r="B25" s="61" t="s">
        <v>38</v>
      </c>
      <c r="C25" s="54" t="str">
        <f t="shared" si="0"/>
        <v>Ancillary services/Support services -&gt; Pharmacy</v>
      </c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</row>
    <row r="26" spans="1:26" ht="14.25" customHeight="1" thickBot="1" x14ac:dyDescent="0.35">
      <c r="A26" s="59" t="s">
        <v>35</v>
      </c>
      <c r="B26" s="61" t="s">
        <v>37</v>
      </c>
      <c r="C26" s="54" t="str">
        <f t="shared" si="0"/>
        <v>Ancillary services/Support services -&gt; Blood Bank</v>
      </c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</row>
    <row r="27" spans="1:26" ht="14.25" customHeight="1" thickBot="1" x14ac:dyDescent="0.35">
      <c r="A27" s="59" t="s">
        <v>35</v>
      </c>
      <c r="B27" s="61" t="s">
        <v>66</v>
      </c>
      <c r="C27" s="54" t="str">
        <f t="shared" si="0"/>
        <v>Ancillary services/Support services -&gt; Laboratory</v>
      </c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</row>
    <row r="28" spans="1:26" ht="14.25" customHeight="1" thickBot="1" x14ac:dyDescent="0.35">
      <c r="A28" s="59" t="s">
        <v>35</v>
      </c>
      <c r="B28" s="61" t="s">
        <v>67</v>
      </c>
      <c r="C28" s="54" t="str">
        <f t="shared" si="0"/>
        <v>Ancillary services/Support services -&gt; Radiology / Diagnostic Imaging (CT Scan, MRI, ECG, Mammography, Endoscopy)</v>
      </c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</row>
    <row r="29" spans="1:26" ht="14.25" customHeight="1" thickBot="1" x14ac:dyDescent="0.35">
      <c r="A29" s="59" t="s">
        <v>35</v>
      </c>
      <c r="B29" s="61" t="s">
        <v>68</v>
      </c>
      <c r="C29" s="54" t="str">
        <f t="shared" si="0"/>
        <v>Ancillary services/Support services -&gt; Heart Station</v>
      </c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</row>
    <row r="30" spans="1:26" ht="14.25" customHeight="1" thickBot="1" x14ac:dyDescent="0.35">
      <c r="A30" s="59" t="s">
        <v>35</v>
      </c>
      <c r="B30" s="61" t="s">
        <v>69</v>
      </c>
      <c r="C30" s="54" t="str">
        <f t="shared" si="0"/>
        <v>Ancillary services/Support services -&gt; Physiotherapy / Rehabilitation</v>
      </c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</row>
    <row r="31" spans="1:26" ht="14.25" customHeight="1" thickBot="1" x14ac:dyDescent="0.35">
      <c r="A31" s="59" t="s">
        <v>35</v>
      </c>
      <c r="B31" s="61" t="s">
        <v>5</v>
      </c>
      <c r="C31" s="54" t="str">
        <f t="shared" si="0"/>
        <v>Ancillary services/Support services -&gt; Delivery Room</v>
      </c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</row>
    <row r="32" spans="1:26" ht="14.25" customHeight="1" thickBot="1" x14ac:dyDescent="0.35">
      <c r="A32" s="59" t="s">
        <v>35</v>
      </c>
      <c r="B32" s="60" t="s">
        <v>40</v>
      </c>
      <c r="C32" s="54" t="str">
        <f t="shared" si="0"/>
        <v>Ancillary services/Support services -&gt; Operating Room / Aneasthesiology / PACU / Recovery Room</v>
      </c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</row>
    <row r="33" spans="1:26" ht="14.25" customHeight="1" thickBot="1" x14ac:dyDescent="0.35">
      <c r="A33" s="59" t="s">
        <v>35</v>
      </c>
      <c r="B33" s="61" t="s">
        <v>70</v>
      </c>
      <c r="C33" s="54" t="str">
        <f t="shared" si="0"/>
        <v>Ancillary services/Support services -&gt; Respiratory Unit</v>
      </c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</row>
    <row r="34" spans="1:26" ht="14.25" customHeight="1" thickBot="1" x14ac:dyDescent="0.35">
      <c r="A34" s="59" t="s">
        <v>35</v>
      </c>
      <c r="B34" s="60" t="s">
        <v>41</v>
      </c>
      <c r="C34" s="54" t="str">
        <f t="shared" si="0"/>
        <v>Ancillary services/Support services -&gt; Medical ICU</v>
      </c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</row>
    <row r="35" spans="1:26" ht="14.25" customHeight="1" thickBot="1" x14ac:dyDescent="0.35">
      <c r="A35" s="59" t="s">
        <v>35</v>
      </c>
      <c r="B35" s="60" t="s">
        <v>42</v>
      </c>
      <c r="C35" s="54" t="str">
        <f t="shared" si="0"/>
        <v>Ancillary services/Support services -&gt; Neonatal ICU*</v>
      </c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</row>
    <row r="36" spans="1:26" ht="14.25" customHeight="1" thickBot="1" x14ac:dyDescent="0.35">
      <c r="A36" s="59" t="s">
        <v>35</v>
      </c>
      <c r="B36" s="60" t="s">
        <v>43</v>
      </c>
      <c r="C36" s="54" t="str">
        <f t="shared" ref="C36:C64" si="1">CONCATENATE(A36, " -&gt; ",B36)</f>
        <v>Ancillary services/Support services -&gt; Surgical ICU*</v>
      </c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</row>
    <row r="37" spans="1:26" ht="14.25" customHeight="1" thickBot="1" x14ac:dyDescent="0.35">
      <c r="A37" s="59" t="s">
        <v>35</v>
      </c>
      <c r="B37" s="60" t="s">
        <v>44</v>
      </c>
      <c r="C37" s="54" t="str">
        <f t="shared" si="1"/>
        <v>Ancillary services/Support services -&gt; Pediatric ICU*</v>
      </c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</row>
    <row r="38" spans="1:26" ht="14.25" customHeight="1" thickBot="1" x14ac:dyDescent="0.35">
      <c r="A38" s="59" t="s">
        <v>35</v>
      </c>
      <c r="B38" s="60" t="s">
        <v>71</v>
      </c>
      <c r="C38" s="54" t="str">
        <f t="shared" si="1"/>
        <v>Ancillary services/Support services -&gt; Burn Unit</v>
      </c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</row>
    <row r="39" spans="1:26" ht="17.25" thickBot="1" x14ac:dyDescent="0.35">
      <c r="A39" s="59" t="s">
        <v>35</v>
      </c>
      <c r="B39" s="61" t="s">
        <v>72</v>
      </c>
      <c r="C39" s="54" t="str">
        <f t="shared" si="1"/>
        <v>Ancillary services/Support services -&gt; Morgue</v>
      </c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</row>
    <row r="40" spans="1:26" ht="17.25" thickBot="1" x14ac:dyDescent="0.35">
      <c r="A40" s="59" t="s">
        <v>35</v>
      </c>
      <c r="B40" s="64" t="s">
        <v>64</v>
      </c>
      <c r="C40" s="54" t="str">
        <f t="shared" si="1"/>
        <v>Ancillary services/Support services -&gt; Others</v>
      </c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</row>
    <row r="41" spans="1:26" ht="13.5" customHeight="1" thickBot="1" x14ac:dyDescent="0.35">
      <c r="A41" s="59" t="s">
        <v>46</v>
      </c>
      <c r="B41" s="63" t="s">
        <v>47</v>
      </c>
      <c r="C41" s="54" t="str">
        <f t="shared" si="1"/>
        <v>Clinical/Medical services -&gt; Outpatient Department</v>
      </c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</row>
    <row r="42" spans="1:26" ht="13.5" customHeight="1" thickBot="1" x14ac:dyDescent="0.35">
      <c r="A42" s="59" t="s">
        <v>46</v>
      </c>
      <c r="B42" s="61" t="s">
        <v>73</v>
      </c>
      <c r="C42" s="54" t="str">
        <f t="shared" si="1"/>
        <v>Clinical/Medical services -&gt; Animal Bite Center</v>
      </c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</row>
    <row r="43" spans="1:26" ht="13.5" customHeight="1" thickBot="1" x14ac:dyDescent="0.35">
      <c r="A43" s="59" t="s">
        <v>46</v>
      </c>
      <c r="B43" s="61" t="s">
        <v>74</v>
      </c>
      <c r="C43" s="54" t="str">
        <f t="shared" si="1"/>
        <v>Clinical/Medical services -&gt; TB Dots</v>
      </c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</row>
    <row r="44" spans="1:26" ht="13.5" customHeight="1" thickBot="1" x14ac:dyDescent="0.35">
      <c r="A44" s="59" t="s">
        <v>46</v>
      </c>
      <c r="B44" s="61" t="s">
        <v>75</v>
      </c>
      <c r="C44" s="54" t="str">
        <f t="shared" si="1"/>
        <v>Clinical/Medical services -&gt; HIV Aids</v>
      </c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</row>
    <row r="45" spans="1:26" ht="13.5" customHeight="1" thickBot="1" x14ac:dyDescent="0.35">
      <c r="A45" s="59" t="s">
        <v>46</v>
      </c>
      <c r="B45" s="61" t="s">
        <v>76</v>
      </c>
      <c r="C45" s="54" t="str">
        <f t="shared" si="1"/>
        <v>Clinical/Medical services -&gt; Family Planning Unit</v>
      </c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</row>
    <row r="46" spans="1:26" ht="13.5" customHeight="1" thickBot="1" x14ac:dyDescent="0.35">
      <c r="A46" s="59" t="s">
        <v>46</v>
      </c>
      <c r="B46" s="61" t="s">
        <v>77</v>
      </c>
      <c r="C46" s="54" t="str">
        <f t="shared" si="1"/>
        <v>Clinical/Medical services -&gt; Smoking Cessation</v>
      </c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</row>
    <row r="47" spans="1:26" ht="13.5" customHeight="1" thickBot="1" x14ac:dyDescent="0.35">
      <c r="A47" s="59" t="s">
        <v>46</v>
      </c>
      <c r="B47" s="61" t="s">
        <v>78</v>
      </c>
      <c r="C47" s="54" t="str">
        <f t="shared" si="1"/>
        <v>Clinical/Medical services -&gt; Malaria</v>
      </c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</row>
    <row r="48" spans="1:26" ht="13.5" customHeight="1" thickBot="1" x14ac:dyDescent="0.35">
      <c r="A48" s="59" t="s">
        <v>46</v>
      </c>
      <c r="B48" s="62" t="s">
        <v>79</v>
      </c>
      <c r="C48" s="54" t="str">
        <f t="shared" si="1"/>
        <v>Clinical/Medical services -&gt; Diabetes MAP</v>
      </c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</row>
    <row r="49" spans="1:26" ht="13.5" customHeight="1" thickBot="1" x14ac:dyDescent="0.35">
      <c r="A49" s="59" t="s">
        <v>46</v>
      </c>
      <c r="B49" s="61" t="s">
        <v>80</v>
      </c>
      <c r="C49" s="54" t="str">
        <f t="shared" si="1"/>
        <v>Clinical/Medical services -&gt; Hypertension MAP</v>
      </c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</row>
    <row r="50" spans="1:26" ht="14.25" customHeight="1" thickBot="1" x14ac:dyDescent="0.35">
      <c r="A50" s="59" t="s">
        <v>46</v>
      </c>
      <c r="B50" s="60" t="s">
        <v>48</v>
      </c>
      <c r="C50" s="54" t="str">
        <f t="shared" si="1"/>
        <v>Clinical/Medical services -&gt; Emergency Medicine Department</v>
      </c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</row>
    <row r="51" spans="1:26" ht="14.25" customHeight="1" thickBot="1" x14ac:dyDescent="0.35">
      <c r="A51" s="59" t="s">
        <v>46</v>
      </c>
      <c r="B51" s="60" t="s">
        <v>6</v>
      </c>
      <c r="C51" s="54" t="str">
        <f t="shared" si="1"/>
        <v>Clinical/Medical services -&gt; Dialysis Unit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</row>
    <row r="52" spans="1:26" ht="14.25" customHeight="1" thickBot="1" x14ac:dyDescent="0.35">
      <c r="A52" s="59" t="s">
        <v>46</v>
      </c>
      <c r="B52" s="61" t="s">
        <v>81</v>
      </c>
      <c r="C52" s="54" t="str">
        <f t="shared" si="1"/>
        <v>Clinical/Medical services -&gt; Nuclear Medicine</v>
      </c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</row>
    <row r="53" spans="1:26" ht="14.25" customHeight="1" thickBot="1" x14ac:dyDescent="0.35">
      <c r="A53" s="59" t="s">
        <v>46</v>
      </c>
      <c r="B53" s="60" t="s">
        <v>45</v>
      </c>
      <c r="C53" s="54" t="str">
        <f t="shared" si="1"/>
        <v>Clinical/Medical services -&gt; Radiation Oncology Unit*</v>
      </c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</row>
    <row r="54" spans="1:26" ht="14.25" customHeight="1" thickBot="1" x14ac:dyDescent="0.35">
      <c r="A54" s="59" t="s">
        <v>46</v>
      </c>
      <c r="B54" s="61" t="s">
        <v>82</v>
      </c>
      <c r="C54" s="54" t="str">
        <f t="shared" si="1"/>
        <v>Clinical/Medical services -&gt; Endoscopy Unit</v>
      </c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</row>
    <row r="55" spans="1:26" ht="14.25" customHeight="1" thickBot="1" x14ac:dyDescent="0.35">
      <c r="A55" s="59" t="s">
        <v>46</v>
      </c>
      <c r="B55" s="60" t="s">
        <v>49</v>
      </c>
      <c r="C55" s="54" t="str">
        <f t="shared" si="1"/>
        <v>Clinical/Medical services -&gt; Dental</v>
      </c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</row>
    <row r="56" spans="1:26" ht="14.25" customHeight="1" thickBot="1" x14ac:dyDescent="0.35">
      <c r="A56" s="59" t="s">
        <v>46</v>
      </c>
      <c r="B56" s="60" t="s">
        <v>50</v>
      </c>
      <c r="C56" s="54" t="str">
        <f t="shared" si="1"/>
        <v>Clinical/Medical services -&gt; Internal Medicine Ward</v>
      </c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</row>
    <row r="57" spans="1:26" ht="14.25" customHeight="1" thickBot="1" x14ac:dyDescent="0.35">
      <c r="A57" s="59" t="s">
        <v>46</v>
      </c>
      <c r="B57" s="60" t="s">
        <v>51</v>
      </c>
      <c r="C57" s="54" t="str">
        <f t="shared" si="1"/>
        <v>Clinical/Medical services -&gt; Pediatric Ward</v>
      </c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</row>
    <row r="58" spans="1:26" ht="14.25" customHeight="1" thickBot="1" x14ac:dyDescent="0.35">
      <c r="A58" s="59" t="s">
        <v>46</v>
      </c>
      <c r="B58" s="60" t="s">
        <v>52</v>
      </c>
      <c r="C58" s="54" t="str">
        <f t="shared" si="1"/>
        <v>Clinical/Medical services -&gt; Surgical Ward</v>
      </c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</row>
    <row r="59" spans="1:26" ht="14.25" customHeight="1" thickBot="1" x14ac:dyDescent="0.35">
      <c r="A59" s="59" t="s">
        <v>46</v>
      </c>
      <c r="B59" s="60" t="s">
        <v>53</v>
      </c>
      <c r="C59" s="54" t="str">
        <f t="shared" si="1"/>
        <v>Clinical/Medical services -&gt; Ob/Gyne Ward</v>
      </c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</row>
    <row r="60" spans="1:26" ht="14.25" customHeight="1" thickBot="1" x14ac:dyDescent="0.35">
      <c r="A60" s="59" t="s">
        <v>46</v>
      </c>
      <c r="B60" s="60" t="s">
        <v>54</v>
      </c>
      <c r="C60" s="54" t="str">
        <f t="shared" si="1"/>
        <v>Clinical/Medical services -&gt; Private Ward</v>
      </c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</row>
    <row r="61" spans="1:26" ht="14.25" customHeight="1" thickBot="1" x14ac:dyDescent="0.35">
      <c r="A61" s="59" t="s">
        <v>46</v>
      </c>
      <c r="B61" s="60" t="s">
        <v>55</v>
      </c>
      <c r="C61" s="54" t="str">
        <f t="shared" si="1"/>
        <v>Clinical/Medical services -&gt; Neurosurgery Ward*</v>
      </c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</row>
    <row r="62" spans="1:26" ht="14.25" customHeight="1" thickBot="1" x14ac:dyDescent="0.35">
      <c r="A62" s="59" t="s">
        <v>46</v>
      </c>
      <c r="B62" s="60" t="s">
        <v>56</v>
      </c>
      <c r="C62" s="54" t="str">
        <f t="shared" si="1"/>
        <v>Clinical/Medical services -&gt; Orthopedic Ward*</v>
      </c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</row>
    <row r="63" spans="1:26" ht="17.25" thickBot="1" x14ac:dyDescent="0.35">
      <c r="A63" s="59" t="s">
        <v>46</v>
      </c>
      <c r="B63" s="60" t="s">
        <v>57</v>
      </c>
      <c r="C63" s="54" t="str">
        <f t="shared" si="1"/>
        <v>Clinical/Medical services -&gt; Psychiatric Ward*</v>
      </c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</row>
    <row r="64" spans="1:26" ht="13.5" customHeight="1" thickBot="1" x14ac:dyDescent="0.35">
      <c r="A64" s="59" t="s">
        <v>46</v>
      </c>
      <c r="B64" s="58" t="s">
        <v>58</v>
      </c>
      <c r="C64" s="54" t="str">
        <f t="shared" si="1"/>
        <v>Clinical/Medical services -&gt; ENT Ward*</v>
      </c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</row>
    <row r="65" spans="1:26" ht="13.5" customHeight="1" x14ac:dyDescent="0.3">
      <c r="A65" s="57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</row>
    <row r="66" spans="1:26" ht="13.5" customHeight="1" x14ac:dyDescent="0.3">
      <c r="A66" s="54"/>
      <c r="B66" s="56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</row>
    <row r="67" spans="1:26" ht="13.5" customHeight="1" x14ac:dyDescent="0.3">
      <c r="A67" s="54"/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</row>
    <row r="68" spans="1:26" ht="13.5" customHeight="1" x14ac:dyDescent="0.3">
      <c r="A68" s="54"/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</row>
    <row r="69" spans="1:26" ht="13.5" customHeight="1" x14ac:dyDescent="0.3">
      <c r="A69" s="54"/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</row>
    <row r="70" spans="1:26" ht="13.5" customHeight="1" x14ac:dyDescent="0.3">
      <c r="A70" s="54" t="s">
        <v>93</v>
      </c>
      <c r="B70" s="55" t="s">
        <v>92</v>
      </c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</row>
    <row r="71" spans="1:26" ht="13.5" customHeight="1" x14ac:dyDescent="0.3">
      <c r="A71" s="54"/>
      <c r="B71" s="55" t="s">
        <v>91</v>
      </c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</row>
    <row r="72" spans="1:26" ht="13.5" customHeight="1" x14ac:dyDescent="0.3">
      <c r="A72" s="54"/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</row>
    <row r="73" spans="1:26" ht="13.5" customHeight="1" x14ac:dyDescent="0.3">
      <c r="A73" s="5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</row>
    <row r="74" spans="1:26" ht="13.5" customHeight="1" x14ac:dyDescent="0.3">
      <c r="A74" s="54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</row>
    <row r="75" spans="1:26" ht="13.5" customHeight="1" x14ac:dyDescent="0.3">
      <c r="A75" s="54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</row>
    <row r="76" spans="1:26" ht="13.5" customHeight="1" x14ac:dyDescent="0.3">
      <c r="A76" s="54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</row>
    <row r="77" spans="1:26" ht="13.5" customHeight="1" x14ac:dyDescent="0.3">
      <c r="A77" s="54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</row>
    <row r="78" spans="1:26" ht="13.5" customHeight="1" x14ac:dyDescent="0.3">
      <c r="A78" s="54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</row>
    <row r="79" spans="1:26" ht="13.5" customHeight="1" x14ac:dyDescent="0.3">
      <c r="A79" s="54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</row>
    <row r="80" spans="1:26" ht="13.5" customHeight="1" x14ac:dyDescent="0.3">
      <c r="A80" s="54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</row>
    <row r="81" spans="1:26" ht="13.5" customHeight="1" x14ac:dyDescent="0.3">
      <c r="A81" s="54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</row>
    <row r="82" spans="1:26" ht="13.5" customHeight="1" x14ac:dyDescent="0.3">
      <c r="A82" s="54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</row>
    <row r="83" spans="1:26" ht="13.5" customHeight="1" x14ac:dyDescent="0.3">
      <c r="A83" s="54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</row>
    <row r="84" spans="1:26" ht="13.5" customHeight="1" x14ac:dyDescent="0.3">
      <c r="A84" s="54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</row>
    <row r="85" spans="1:26" ht="13.5" customHeight="1" x14ac:dyDescent="0.3">
      <c r="A85" s="54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</row>
    <row r="86" spans="1:26" ht="13.5" customHeight="1" x14ac:dyDescent="0.3">
      <c r="A86" s="54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</row>
    <row r="87" spans="1:26" ht="13.5" customHeight="1" x14ac:dyDescent="0.3">
      <c r="A87" s="54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</row>
    <row r="88" spans="1:26" ht="13.5" customHeight="1" x14ac:dyDescent="0.3">
      <c r="A88" s="54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</row>
    <row r="89" spans="1:26" ht="13.5" customHeight="1" x14ac:dyDescent="0.3">
      <c r="A89" s="54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</row>
    <row r="90" spans="1:26" ht="13.5" customHeight="1" x14ac:dyDescent="0.3">
      <c r="A90" s="54"/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</row>
    <row r="91" spans="1:26" ht="13.5" customHeight="1" x14ac:dyDescent="0.3">
      <c r="A91" s="54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</row>
    <row r="92" spans="1:26" ht="13.5" customHeight="1" x14ac:dyDescent="0.3">
      <c r="A92" s="54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</row>
    <row r="93" spans="1:26" ht="13.5" customHeight="1" x14ac:dyDescent="0.3">
      <c r="A93" s="54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</row>
    <row r="94" spans="1:26" ht="13.5" customHeight="1" x14ac:dyDescent="0.3">
      <c r="A94" s="54"/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</row>
    <row r="95" spans="1:26" ht="13.5" customHeight="1" x14ac:dyDescent="0.3">
      <c r="A95" s="54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</row>
    <row r="96" spans="1:26" ht="13.5" customHeight="1" x14ac:dyDescent="0.3">
      <c r="A96" s="54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</row>
    <row r="97" spans="1:26" ht="13.5" customHeight="1" x14ac:dyDescent="0.3">
      <c r="A97" s="54"/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</row>
    <row r="98" spans="1:26" ht="13.5" customHeigh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</row>
    <row r="99" spans="1:26" ht="13.5" customHeight="1" x14ac:dyDescent="0.3">
      <c r="A99" s="54"/>
      <c r="B99" s="54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</row>
    <row r="100" spans="1:26" ht="13.5" customHeight="1" x14ac:dyDescent="0.3">
      <c r="A100" s="54"/>
      <c r="B100" s="54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</row>
    <row r="101" spans="1:26" ht="13.5" customHeight="1" x14ac:dyDescent="0.3">
      <c r="A101" s="54"/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</row>
    <row r="102" spans="1:26" ht="13.5" customHeight="1" x14ac:dyDescent="0.3">
      <c r="A102" s="54"/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</row>
    <row r="103" spans="1:26" ht="13.5" customHeight="1" x14ac:dyDescent="0.3">
      <c r="A103" s="54"/>
      <c r="B103" s="54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</row>
    <row r="104" spans="1:26" ht="13.5" customHeight="1" x14ac:dyDescent="0.3">
      <c r="A104" s="54"/>
      <c r="B104" s="54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</row>
    <row r="105" spans="1:26" ht="13.5" customHeight="1" x14ac:dyDescent="0.3">
      <c r="A105" s="54"/>
      <c r="B105" s="54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</row>
    <row r="106" spans="1:26" ht="13.5" customHeight="1" x14ac:dyDescent="0.3">
      <c r="A106" s="54"/>
      <c r="B106" s="54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</row>
    <row r="107" spans="1:26" ht="13.5" customHeight="1" x14ac:dyDescent="0.3">
      <c r="A107" s="54"/>
      <c r="B107" s="54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</row>
    <row r="108" spans="1:26" ht="13.5" customHeight="1" x14ac:dyDescent="0.3">
      <c r="A108" s="54"/>
      <c r="B108" s="54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</row>
    <row r="109" spans="1:26" ht="13.5" customHeight="1" x14ac:dyDescent="0.3">
      <c r="A109" s="54"/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</row>
    <row r="110" spans="1:26" ht="13.5" customHeight="1" x14ac:dyDescent="0.3">
      <c r="A110" s="54"/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</row>
    <row r="111" spans="1:26" ht="13.5" customHeight="1" x14ac:dyDescent="0.3">
      <c r="A111" s="54"/>
      <c r="B111" s="54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</row>
    <row r="112" spans="1:26" ht="13.5" customHeight="1" x14ac:dyDescent="0.3">
      <c r="A112" s="54"/>
      <c r="B112" s="54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</row>
    <row r="113" spans="1:26" ht="13.5" customHeight="1" x14ac:dyDescent="0.3">
      <c r="A113" s="54"/>
      <c r="B113" s="54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</row>
    <row r="114" spans="1:26" ht="13.5" customHeight="1" x14ac:dyDescent="0.3">
      <c r="A114" s="54"/>
      <c r="B114" s="54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</row>
    <row r="115" spans="1:26" ht="13.5" customHeight="1" x14ac:dyDescent="0.3">
      <c r="A115" s="54"/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</row>
    <row r="116" spans="1:26" ht="13.5" customHeight="1" x14ac:dyDescent="0.3">
      <c r="A116" s="54"/>
      <c r="B116" s="54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</row>
    <row r="117" spans="1:26" ht="13.5" customHeight="1" x14ac:dyDescent="0.3">
      <c r="A117" s="54"/>
      <c r="B117" s="54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</row>
    <row r="118" spans="1:26" ht="13.5" customHeight="1" x14ac:dyDescent="0.3">
      <c r="A118" s="54"/>
      <c r="B118" s="54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</row>
    <row r="119" spans="1:26" ht="13.5" customHeight="1" x14ac:dyDescent="0.3">
      <c r="A119" s="54"/>
      <c r="B119" s="54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</row>
    <row r="120" spans="1:26" ht="13.5" customHeight="1" x14ac:dyDescent="0.3">
      <c r="A120" s="54"/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</row>
    <row r="121" spans="1:26" ht="13.5" customHeight="1" x14ac:dyDescent="0.3">
      <c r="A121" s="54"/>
      <c r="B121" s="54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</row>
    <row r="122" spans="1:26" ht="13.5" customHeight="1" x14ac:dyDescent="0.3">
      <c r="A122" s="54"/>
      <c r="B122" s="54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</row>
    <row r="123" spans="1:26" ht="13.5" customHeight="1" x14ac:dyDescent="0.3">
      <c r="A123" s="54"/>
      <c r="B123" s="54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</row>
    <row r="124" spans="1:26" ht="13.5" customHeight="1" x14ac:dyDescent="0.3">
      <c r="A124" s="54"/>
      <c r="B124" s="54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</row>
    <row r="125" spans="1:26" ht="13.5" customHeight="1" x14ac:dyDescent="0.3">
      <c r="A125" s="54"/>
      <c r="B125" s="54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</row>
    <row r="126" spans="1:26" ht="13.5" customHeight="1" x14ac:dyDescent="0.3">
      <c r="A126" s="54"/>
      <c r="B126" s="54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</row>
    <row r="127" spans="1:26" ht="13.5" customHeight="1" x14ac:dyDescent="0.3">
      <c r="A127" s="54"/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</row>
    <row r="128" spans="1:26" ht="13.5" customHeight="1" x14ac:dyDescent="0.3">
      <c r="A128" s="54"/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</row>
    <row r="129" spans="1:26" ht="13.5" customHeight="1" x14ac:dyDescent="0.3">
      <c r="A129" s="54"/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</row>
    <row r="130" spans="1:26" ht="13.5" customHeight="1" x14ac:dyDescent="0.3">
      <c r="A130" s="54"/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</row>
    <row r="131" spans="1:26" ht="13.5" customHeight="1" x14ac:dyDescent="0.3">
      <c r="A131" s="54"/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</row>
    <row r="132" spans="1:26" ht="13.5" customHeight="1" x14ac:dyDescent="0.3">
      <c r="A132" s="54"/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</row>
    <row r="133" spans="1:26" ht="13.5" customHeight="1" x14ac:dyDescent="0.3">
      <c r="A133" s="54"/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</row>
    <row r="134" spans="1:26" ht="13.5" customHeight="1" x14ac:dyDescent="0.3">
      <c r="A134" s="54"/>
      <c r="B134" s="54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</row>
    <row r="135" spans="1:26" ht="13.5" customHeight="1" x14ac:dyDescent="0.3">
      <c r="A135" s="54"/>
      <c r="B135" s="54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</row>
    <row r="136" spans="1:26" ht="13.5" customHeight="1" x14ac:dyDescent="0.3">
      <c r="A136" s="54"/>
      <c r="B136" s="54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</row>
    <row r="137" spans="1:26" ht="13.5" customHeight="1" x14ac:dyDescent="0.3">
      <c r="A137" s="54"/>
      <c r="B137" s="54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</row>
    <row r="138" spans="1:26" ht="13.5" customHeight="1" x14ac:dyDescent="0.3">
      <c r="A138" s="54"/>
      <c r="B138" s="54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</row>
    <row r="139" spans="1:26" ht="13.5" customHeight="1" x14ac:dyDescent="0.3">
      <c r="A139" s="54"/>
      <c r="B139" s="54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</row>
    <row r="140" spans="1:26" ht="13.5" customHeight="1" x14ac:dyDescent="0.3">
      <c r="A140" s="54"/>
      <c r="B140" s="54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</row>
    <row r="141" spans="1:26" ht="13.5" customHeight="1" x14ac:dyDescent="0.3">
      <c r="A141" s="54"/>
      <c r="B141" s="54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</row>
    <row r="142" spans="1:26" ht="13.5" customHeight="1" x14ac:dyDescent="0.3">
      <c r="A142" s="54"/>
      <c r="B142" s="54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</row>
    <row r="143" spans="1:26" ht="13.5" customHeight="1" x14ac:dyDescent="0.3">
      <c r="A143" s="54"/>
      <c r="B143" s="54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</row>
    <row r="144" spans="1:26" ht="13.5" customHeight="1" x14ac:dyDescent="0.3">
      <c r="A144" s="54"/>
      <c r="B144" s="54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</row>
    <row r="145" spans="1:26" ht="13.5" customHeight="1" x14ac:dyDescent="0.3">
      <c r="A145" s="54"/>
      <c r="B145" s="54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</row>
    <row r="146" spans="1:26" ht="13.5" customHeight="1" x14ac:dyDescent="0.3">
      <c r="A146" s="54"/>
      <c r="B146" s="54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</row>
    <row r="147" spans="1:26" ht="13.5" customHeight="1" x14ac:dyDescent="0.3">
      <c r="A147" s="54"/>
      <c r="B147" s="54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</row>
    <row r="148" spans="1:26" ht="13.5" customHeight="1" x14ac:dyDescent="0.3">
      <c r="A148" s="54"/>
      <c r="B148" s="54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</row>
    <row r="149" spans="1:26" ht="13.5" customHeight="1" x14ac:dyDescent="0.3">
      <c r="A149" s="54"/>
      <c r="B149" s="54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</row>
    <row r="150" spans="1:26" ht="13.5" customHeight="1" x14ac:dyDescent="0.3">
      <c r="A150" s="54"/>
      <c r="B150" s="54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</row>
    <row r="151" spans="1:26" ht="13.5" customHeight="1" x14ac:dyDescent="0.3">
      <c r="A151" s="54"/>
      <c r="B151" s="54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</row>
    <row r="152" spans="1:26" ht="13.5" customHeight="1" x14ac:dyDescent="0.3">
      <c r="A152" s="54"/>
      <c r="B152" s="54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</row>
    <row r="153" spans="1:26" ht="13.5" customHeight="1" x14ac:dyDescent="0.3">
      <c r="A153" s="54"/>
      <c r="B153" s="54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</row>
    <row r="154" spans="1:26" ht="13.5" customHeight="1" x14ac:dyDescent="0.3">
      <c r="A154" s="54"/>
      <c r="B154" s="54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</row>
    <row r="155" spans="1:26" ht="13.5" customHeight="1" x14ac:dyDescent="0.3">
      <c r="A155" s="54"/>
      <c r="B155" s="54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</row>
    <row r="156" spans="1:26" ht="13.5" customHeight="1" x14ac:dyDescent="0.3">
      <c r="A156" s="54"/>
      <c r="B156" s="54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</row>
    <row r="157" spans="1:26" ht="13.5" customHeight="1" x14ac:dyDescent="0.3">
      <c r="A157" s="54"/>
      <c r="B157" s="54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</row>
    <row r="158" spans="1:26" ht="13.5" customHeight="1" x14ac:dyDescent="0.3">
      <c r="A158" s="54"/>
      <c r="B158" s="54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</row>
    <row r="159" spans="1:26" ht="13.5" customHeight="1" x14ac:dyDescent="0.3">
      <c r="A159" s="54"/>
      <c r="B159" s="54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</row>
    <row r="160" spans="1:26" ht="13.5" customHeight="1" x14ac:dyDescent="0.3">
      <c r="A160" s="54"/>
      <c r="B160" s="54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</row>
    <row r="161" spans="1:26" ht="13.5" customHeight="1" x14ac:dyDescent="0.3">
      <c r="A161" s="54"/>
      <c r="B161" s="54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</row>
    <row r="162" spans="1:26" ht="13.5" customHeight="1" x14ac:dyDescent="0.3">
      <c r="A162" s="54"/>
      <c r="B162" s="54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</row>
    <row r="163" spans="1:26" ht="13.5" customHeight="1" x14ac:dyDescent="0.3">
      <c r="A163" s="54"/>
      <c r="B163" s="54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</row>
    <row r="164" spans="1:26" ht="13.5" customHeight="1" x14ac:dyDescent="0.3">
      <c r="A164" s="54"/>
      <c r="B164" s="54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</row>
    <row r="165" spans="1:26" ht="13.5" customHeight="1" x14ac:dyDescent="0.3">
      <c r="A165" s="54"/>
      <c r="B165" s="54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</row>
    <row r="166" spans="1:26" ht="13.5" customHeight="1" x14ac:dyDescent="0.3">
      <c r="A166" s="54"/>
      <c r="B166" s="54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</row>
    <row r="167" spans="1:26" ht="13.5" customHeight="1" x14ac:dyDescent="0.3">
      <c r="A167" s="54"/>
      <c r="B167" s="54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</row>
    <row r="168" spans="1:26" ht="13.5" customHeight="1" x14ac:dyDescent="0.3">
      <c r="A168" s="54"/>
      <c r="B168" s="54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</row>
    <row r="169" spans="1:26" ht="13.5" customHeight="1" x14ac:dyDescent="0.3">
      <c r="A169" s="54"/>
      <c r="B169" s="54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</row>
    <row r="170" spans="1:26" ht="13.5" customHeight="1" x14ac:dyDescent="0.3">
      <c r="A170" s="54"/>
      <c r="B170" s="54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</row>
    <row r="171" spans="1:26" ht="13.5" customHeight="1" x14ac:dyDescent="0.3">
      <c r="A171" s="54"/>
      <c r="B171" s="54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</row>
    <row r="172" spans="1:26" ht="13.5" customHeight="1" x14ac:dyDescent="0.3">
      <c r="A172" s="54"/>
      <c r="B172" s="54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</row>
    <row r="173" spans="1:26" ht="13.5" customHeight="1" x14ac:dyDescent="0.3">
      <c r="A173" s="54"/>
      <c r="B173" s="54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</row>
    <row r="174" spans="1:26" ht="13.5" customHeight="1" x14ac:dyDescent="0.3">
      <c r="A174" s="54"/>
      <c r="B174" s="54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</row>
    <row r="175" spans="1:26" ht="13.5" customHeight="1" x14ac:dyDescent="0.3">
      <c r="A175" s="54"/>
      <c r="B175" s="54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</row>
    <row r="176" spans="1:26" ht="13.5" customHeight="1" x14ac:dyDescent="0.3">
      <c r="A176" s="54"/>
      <c r="B176" s="54"/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</row>
    <row r="177" spans="1:26" ht="13.5" customHeight="1" x14ac:dyDescent="0.3">
      <c r="A177" s="54"/>
      <c r="B177" s="54"/>
      <c r="C177" s="54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</row>
    <row r="178" spans="1:26" ht="13.5" customHeight="1" x14ac:dyDescent="0.3">
      <c r="A178" s="54"/>
      <c r="B178" s="54"/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</row>
    <row r="179" spans="1:26" ht="13.5" customHeight="1" x14ac:dyDescent="0.3">
      <c r="A179" s="54"/>
      <c r="B179" s="54"/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</row>
    <row r="180" spans="1:26" ht="13.5" customHeight="1" x14ac:dyDescent="0.3">
      <c r="A180" s="54"/>
      <c r="B180" s="54"/>
      <c r="C180" s="54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</row>
    <row r="181" spans="1:26" ht="13.5" customHeight="1" x14ac:dyDescent="0.3">
      <c r="A181" s="54"/>
      <c r="B181" s="54"/>
      <c r="C181" s="54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</row>
    <row r="182" spans="1:26" ht="13.5" customHeight="1" x14ac:dyDescent="0.3">
      <c r="A182" s="54"/>
      <c r="B182" s="54"/>
      <c r="C182" s="54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</row>
    <row r="183" spans="1:26" ht="13.5" customHeight="1" x14ac:dyDescent="0.3">
      <c r="A183" s="54"/>
      <c r="B183" s="54"/>
      <c r="C183" s="54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</row>
    <row r="184" spans="1:26" ht="13.5" customHeight="1" x14ac:dyDescent="0.3">
      <c r="A184" s="54"/>
      <c r="B184" s="54"/>
      <c r="C184" s="54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</row>
    <row r="185" spans="1:26" ht="13.5" customHeight="1" x14ac:dyDescent="0.3">
      <c r="A185" s="54"/>
      <c r="B185" s="54"/>
      <c r="C185" s="54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</row>
    <row r="186" spans="1:26" ht="13.5" customHeight="1" x14ac:dyDescent="0.3">
      <c r="A186" s="54"/>
      <c r="B186" s="54"/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</row>
    <row r="187" spans="1:26" ht="13.5" customHeight="1" x14ac:dyDescent="0.3">
      <c r="A187" s="54"/>
      <c r="B187" s="54"/>
      <c r="C187" s="54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</row>
    <row r="188" spans="1:26" ht="13.5" customHeight="1" x14ac:dyDescent="0.3">
      <c r="A188" s="54"/>
      <c r="B188" s="54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</row>
    <row r="189" spans="1:26" ht="13.5" customHeight="1" x14ac:dyDescent="0.3">
      <c r="A189" s="54"/>
      <c r="B189" s="54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</row>
    <row r="190" spans="1:26" ht="13.5" customHeight="1" x14ac:dyDescent="0.3">
      <c r="A190" s="54"/>
      <c r="B190" s="54"/>
      <c r="C190" s="54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</row>
    <row r="191" spans="1:26" ht="13.5" customHeight="1" x14ac:dyDescent="0.3">
      <c r="A191" s="54"/>
      <c r="B191" s="54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</row>
    <row r="192" spans="1:26" ht="13.5" customHeight="1" x14ac:dyDescent="0.3">
      <c r="A192" s="54"/>
      <c r="B192" s="54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</row>
    <row r="193" spans="1:26" ht="13.5" customHeight="1" x14ac:dyDescent="0.3">
      <c r="A193" s="54"/>
      <c r="B193" s="54"/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</row>
    <row r="194" spans="1:26" ht="13.5" customHeight="1" x14ac:dyDescent="0.3">
      <c r="A194" s="54"/>
      <c r="B194" s="54"/>
      <c r="C194" s="54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</row>
    <row r="195" spans="1:26" ht="13.5" customHeight="1" x14ac:dyDescent="0.3">
      <c r="A195" s="54"/>
      <c r="B195" s="54"/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</row>
    <row r="196" spans="1:26" ht="13.5" customHeight="1" x14ac:dyDescent="0.3">
      <c r="A196" s="54"/>
      <c r="B196" s="54"/>
      <c r="C196" s="54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</row>
    <row r="197" spans="1:26" ht="13.5" customHeight="1" x14ac:dyDescent="0.3">
      <c r="A197" s="54"/>
      <c r="B197" s="54"/>
      <c r="C197" s="54"/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</row>
    <row r="198" spans="1:26" ht="13.5" customHeight="1" x14ac:dyDescent="0.3">
      <c r="A198" s="54"/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</row>
    <row r="199" spans="1:26" ht="13.5" customHeight="1" x14ac:dyDescent="0.3">
      <c r="A199" s="54"/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</row>
    <row r="200" spans="1:26" ht="13.5" customHeight="1" x14ac:dyDescent="0.3">
      <c r="A200" s="54"/>
      <c r="B200" s="54"/>
      <c r="C200" s="54"/>
      <c r="D200" s="54"/>
      <c r="E200" s="54"/>
      <c r="F200" s="54"/>
      <c r="G200" s="54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</row>
    <row r="201" spans="1:26" ht="13.5" customHeight="1" x14ac:dyDescent="0.3">
      <c r="A201" s="54"/>
      <c r="B201" s="54"/>
      <c r="C201" s="54"/>
      <c r="D201" s="54"/>
      <c r="E201" s="54"/>
      <c r="F201" s="54"/>
      <c r="G201" s="54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</row>
    <row r="202" spans="1:26" ht="13.5" customHeight="1" x14ac:dyDescent="0.3">
      <c r="A202" s="54"/>
      <c r="B202" s="54"/>
      <c r="C202" s="54"/>
      <c r="D202" s="54"/>
      <c r="E202" s="54"/>
      <c r="F202" s="54"/>
      <c r="G202" s="54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</row>
    <row r="203" spans="1:26" ht="13.5" customHeight="1" x14ac:dyDescent="0.3">
      <c r="A203" s="54"/>
      <c r="B203" s="54"/>
      <c r="C203" s="54"/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</row>
    <row r="204" spans="1:26" ht="13.5" customHeight="1" x14ac:dyDescent="0.3">
      <c r="A204" s="54"/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</row>
    <row r="205" spans="1:26" ht="13.5" customHeight="1" x14ac:dyDescent="0.3">
      <c r="A205" s="54"/>
      <c r="B205" s="54"/>
      <c r="C205" s="54"/>
      <c r="D205" s="54"/>
      <c r="E205" s="54"/>
      <c r="F205" s="54"/>
      <c r="G205" s="54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</row>
    <row r="206" spans="1:26" ht="13.5" customHeight="1" x14ac:dyDescent="0.3">
      <c r="A206" s="54"/>
      <c r="B206" s="54"/>
      <c r="C206" s="54"/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</row>
    <row r="207" spans="1:26" ht="13.5" customHeight="1" x14ac:dyDescent="0.3">
      <c r="A207" s="54"/>
      <c r="B207" s="54"/>
      <c r="C207" s="54"/>
      <c r="D207" s="54"/>
      <c r="E207" s="54"/>
      <c r="F207" s="54"/>
      <c r="G207" s="54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</row>
    <row r="208" spans="1:26" ht="13.5" customHeight="1" x14ac:dyDescent="0.3">
      <c r="A208" s="54"/>
      <c r="B208" s="54"/>
      <c r="C208" s="54"/>
      <c r="D208" s="54"/>
      <c r="E208" s="54"/>
      <c r="F208" s="54"/>
      <c r="G208" s="54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</row>
    <row r="209" spans="1:26" ht="13.5" customHeight="1" x14ac:dyDescent="0.3">
      <c r="A209" s="54"/>
      <c r="B209" s="54"/>
      <c r="C209" s="54"/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</row>
    <row r="210" spans="1:26" ht="13.5" customHeight="1" x14ac:dyDescent="0.3">
      <c r="A210" s="54"/>
      <c r="B210" s="54"/>
      <c r="C210" s="54"/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</row>
    <row r="211" spans="1:26" ht="13.5" customHeight="1" x14ac:dyDescent="0.3">
      <c r="A211" s="54"/>
      <c r="B211" s="54"/>
      <c r="C211" s="54"/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</row>
    <row r="212" spans="1:26" ht="13.5" customHeight="1" x14ac:dyDescent="0.3">
      <c r="A212" s="54"/>
      <c r="B212" s="54"/>
      <c r="C212" s="54"/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</row>
    <row r="213" spans="1:26" ht="13.5" customHeight="1" x14ac:dyDescent="0.3">
      <c r="A213" s="54"/>
      <c r="B213" s="54"/>
      <c r="C213" s="54"/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</row>
    <row r="214" spans="1:26" ht="13.5" customHeight="1" x14ac:dyDescent="0.3">
      <c r="A214" s="54"/>
      <c r="B214" s="54"/>
      <c r="C214" s="54"/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</row>
    <row r="215" spans="1:26" ht="13.5" customHeight="1" x14ac:dyDescent="0.3">
      <c r="A215" s="54"/>
      <c r="B215" s="54"/>
      <c r="C215" s="54"/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</row>
    <row r="216" spans="1:26" ht="13.5" customHeight="1" x14ac:dyDescent="0.3">
      <c r="A216" s="54"/>
      <c r="B216" s="54"/>
      <c r="C216" s="54"/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</row>
    <row r="217" spans="1:26" ht="13.5" customHeight="1" x14ac:dyDescent="0.3">
      <c r="A217" s="54"/>
      <c r="B217" s="54"/>
      <c r="C217" s="54"/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</row>
    <row r="218" spans="1:26" ht="13.5" customHeight="1" x14ac:dyDescent="0.3">
      <c r="A218" s="54"/>
      <c r="B218" s="54"/>
      <c r="C218" s="54"/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</row>
    <row r="219" spans="1:26" ht="13.5" customHeight="1" x14ac:dyDescent="0.3">
      <c r="A219" s="54"/>
      <c r="B219" s="54"/>
      <c r="C219" s="54"/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</row>
    <row r="220" spans="1:26" ht="13.5" customHeight="1" x14ac:dyDescent="0.3">
      <c r="A220" s="54"/>
      <c r="B220" s="54"/>
      <c r="C220" s="54"/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</row>
    <row r="221" spans="1:26" ht="13.5" customHeight="1" x14ac:dyDescent="0.3">
      <c r="A221" s="54"/>
      <c r="B221" s="54"/>
      <c r="C221" s="54"/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</row>
    <row r="222" spans="1:26" ht="13.5" customHeight="1" x14ac:dyDescent="0.3">
      <c r="A222" s="54"/>
      <c r="B222" s="54"/>
      <c r="C222" s="54"/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</row>
    <row r="223" spans="1:26" ht="13.5" customHeight="1" x14ac:dyDescent="0.3">
      <c r="A223" s="54"/>
      <c r="B223" s="54"/>
      <c r="C223" s="54"/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</row>
    <row r="224" spans="1:26" ht="13.5" customHeight="1" x14ac:dyDescent="0.3">
      <c r="A224" s="54"/>
      <c r="B224" s="54"/>
      <c r="C224" s="54"/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</row>
    <row r="225" spans="1:26" ht="13.5" customHeight="1" x14ac:dyDescent="0.3">
      <c r="A225" s="54"/>
      <c r="B225" s="54"/>
      <c r="C225" s="54"/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</row>
    <row r="226" spans="1:26" ht="13.5" customHeight="1" x14ac:dyDescent="0.3">
      <c r="A226" s="54"/>
      <c r="B226" s="54"/>
      <c r="C226" s="54"/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</row>
    <row r="227" spans="1:26" ht="13.5" customHeight="1" x14ac:dyDescent="0.3">
      <c r="A227" s="54"/>
      <c r="B227" s="54"/>
      <c r="C227" s="54"/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</row>
    <row r="228" spans="1:26" ht="13.5" customHeight="1" x14ac:dyDescent="0.3">
      <c r="A228" s="54"/>
      <c r="B228" s="54"/>
      <c r="C228" s="54"/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</row>
    <row r="229" spans="1:26" ht="13.5" customHeight="1" x14ac:dyDescent="0.3">
      <c r="A229" s="54"/>
      <c r="B229" s="54"/>
      <c r="C229" s="54"/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</row>
    <row r="230" spans="1:26" ht="13.5" customHeight="1" x14ac:dyDescent="0.3">
      <c r="A230" s="54"/>
      <c r="B230" s="54"/>
      <c r="C230" s="54"/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</row>
    <row r="231" spans="1:26" ht="13.5" customHeight="1" x14ac:dyDescent="0.3">
      <c r="A231" s="54"/>
      <c r="B231" s="54"/>
      <c r="C231" s="54"/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</row>
    <row r="232" spans="1:26" ht="13.5" customHeight="1" x14ac:dyDescent="0.3">
      <c r="A232" s="54"/>
      <c r="B232" s="54"/>
      <c r="C232" s="54"/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</row>
    <row r="233" spans="1:26" ht="13.5" customHeight="1" x14ac:dyDescent="0.3">
      <c r="A233" s="54"/>
      <c r="B233" s="54"/>
      <c r="C233" s="54"/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</row>
    <row r="234" spans="1:26" ht="13.5" customHeight="1" x14ac:dyDescent="0.3">
      <c r="A234" s="54"/>
      <c r="B234" s="54"/>
      <c r="C234" s="54"/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</row>
    <row r="235" spans="1:26" ht="13.5" customHeight="1" x14ac:dyDescent="0.3">
      <c r="A235" s="54"/>
      <c r="B235" s="54"/>
      <c r="C235" s="54"/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</row>
    <row r="236" spans="1:26" ht="13.5" customHeight="1" x14ac:dyDescent="0.3">
      <c r="A236" s="54"/>
      <c r="B236" s="54"/>
      <c r="C236" s="54"/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</row>
    <row r="237" spans="1:26" ht="13.5" customHeight="1" x14ac:dyDescent="0.3">
      <c r="A237" s="54"/>
      <c r="B237" s="54"/>
      <c r="C237" s="54"/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</row>
    <row r="238" spans="1:26" ht="13.5" customHeight="1" x14ac:dyDescent="0.3">
      <c r="A238" s="54"/>
      <c r="B238" s="54"/>
      <c r="C238" s="54"/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</row>
    <row r="239" spans="1:26" ht="13.5" customHeight="1" x14ac:dyDescent="0.3">
      <c r="A239" s="54"/>
      <c r="B239" s="54"/>
      <c r="C239" s="54"/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</row>
    <row r="240" spans="1:26" ht="13.5" customHeight="1" x14ac:dyDescent="0.3">
      <c r="A240" s="54"/>
      <c r="B240" s="54"/>
      <c r="C240" s="54"/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</row>
    <row r="241" spans="1:26" ht="13.5" customHeight="1" x14ac:dyDescent="0.3">
      <c r="A241" s="54"/>
      <c r="B241" s="54"/>
      <c r="C241" s="54"/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</row>
    <row r="242" spans="1:26" ht="13.5" customHeight="1" x14ac:dyDescent="0.3">
      <c r="A242" s="54"/>
      <c r="B242" s="54"/>
      <c r="C242" s="54"/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</row>
    <row r="243" spans="1:26" ht="13.5" customHeight="1" x14ac:dyDescent="0.3">
      <c r="A243" s="54"/>
      <c r="B243" s="54"/>
      <c r="C243" s="54"/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</row>
    <row r="244" spans="1:26" ht="13.5" customHeight="1" x14ac:dyDescent="0.3">
      <c r="A244" s="54"/>
      <c r="B244" s="54"/>
      <c r="C244" s="54"/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</row>
    <row r="245" spans="1:26" ht="13.5" customHeight="1" x14ac:dyDescent="0.3">
      <c r="A245" s="54"/>
      <c r="B245" s="54"/>
      <c r="C245" s="54"/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</row>
    <row r="246" spans="1:26" ht="13.5" customHeight="1" x14ac:dyDescent="0.3">
      <c r="A246" s="54"/>
      <c r="B246" s="54"/>
      <c r="C246" s="54"/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</row>
    <row r="247" spans="1:26" ht="13.5" customHeight="1" x14ac:dyDescent="0.3">
      <c r="A247" s="54"/>
      <c r="B247" s="54"/>
      <c r="C247" s="54"/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</row>
    <row r="248" spans="1:26" ht="13.5" customHeight="1" x14ac:dyDescent="0.3">
      <c r="A248" s="54"/>
      <c r="B248" s="54"/>
      <c r="C248" s="54"/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</row>
    <row r="249" spans="1:26" ht="13.5" customHeight="1" x14ac:dyDescent="0.3">
      <c r="A249" s="54"/>
      <c r="B249" s="54"/>
      <c r="C249" s="54"/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</row>
    <row r="250" spans="1:26" ht="13.5" customHeight="1" x14ac:dyDescent="0.3">
      <c r="A250" s="54"/>
      <c r="B250" s="54"/>
      <c r="C250" s="54"/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</row>
    <row r="251" spans="1:26" ht="13.5" customHeight="1" x14ac:dyDescent="0.3">
      <c r="A251" s="54"/>
      <c r="B251" s="54"/>
      <c r="C251" s="54"/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</row>
    <row r="252" spans="1:26" ht="13.5" customHeight="1" x14ac:dyDescent="0.3">
      <c r="A252" s="54"/>
      <c r="B252" s="54"/>
      <c r="C252" s="54"/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</row>
    <row r="253" spans="1:26" ht="13.5" customHeight="1" x14ac:dyDescent="0.3">
      <c r="A253" s="54"/>
      <c r="B253" s="54"/>
      <c r="C253" s="54"/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</row>
    <row r="254" spans="1:26" ht="13.5" customHeight="1" x14ac:dyDescent="0.3">
      <c r="A254" s="54"/>
      <c r="B254" s="54"/>
      <c r="C254" s="54"/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</row>
    <row r="255" spans="1:26" ht="13.5" customHeight="1" x14ac:dyDescent="0.3">
      <c r="A255" s="54"/>
      <c r="B255" s="54"/>
      <c r="C255" s="54"/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</row>
    <row r="256" spans="1:26" ht="13.5" customHeight="1" x14ac:dyDescent="0.3">
      <c r="A256" s="54"/>
      <c r="B256" s="54"/>
      <c r="C256" s="54"/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</row>
    <row r="257" spans="1:26" ht="13.5" customHeight="1" x14ac:dyDescent="0.3">
      <c r="A257" s="54"/>
      <c r="B257" s="54"/>
      <c r="C257" s="54"/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</row>
    <row r="258" spans="1:26" ht="13.5" customHeight="1" x14ac:dyDescent="0.3">
      <c r="A258" s="54"/>
      <c r="B258" s="54"/>
      <c r="C258" s="54"/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</row>
    <row r="259" spans="1:26" ht="13.5" customHeight="1" x14ac:dyDescent="0.3">
      <c r="A259" s="54"/>
      <c r="B259" s="54"/>
      <c r="C259" s="54"/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</row>
    <row r="260" spans="1:26" ht="13.5" customHeight="1" x14ac:dyDescent="0.3">
      <c r="A260" s="54"/>
      <c r="B260" s="54"/>
      <c r="C260" s="54"/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</row>
    <row r="261" spans="1:26" ht="13.5" customHeight="1" x14ac:dyDescent="0.3">
      <c r="A261" s="54"/>
      <c r="B261" s="54"/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</row>
    <row r="262" spans="1:26" ht="13.5" customHeight="1" x14ac:dyDescent="0.3">
      <c r="A262" s="54"/>
      <c r="B262" s="54"/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</row>
    <row r="263" spans="1:26" ht="13.5" customHeight="1" x14ac:dyDescent="0.3">
      <c r="A263" s="54"/>
      <c r="B263" s="54"/>
      <c r="C263" s="54"/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</row>
    <row r="264" spans="1:26" ht="13.5" customHeight="1" x14ac:dyDescent="0.3">
      <c r="A264" s="54"/>
      <c r="B264" s="54"/>
      <c r="C264" s="54"/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</row>
    <row r="265" spans="1:26" ht="13.5" customHeight="1" x14ac:dyDescent="0.3">
      <c r="A265" s="54"/>
      <c r="B265" s="54"/>
      <c r="C265" s="54"/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</row>
    <row r="266" spans="1:26" ht="13.5" customHeight="1" x14ac:dyDescent="0.3">
      <c r="A266" s="54"/>
      <c r="B266" s="54"/>
      <c r="C266" s="54"/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</row>
    <row r="267" spans="1:26" ht="13.5" customHeight="1" x14ac:dyDescent="0.3">
      <c r="A267" s="54"/>
      <c r="B267" s="54"/>
      <c r="C267" s="54"/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</row>
    <row r="268" spans="1:26" ht="13.5" customHeight="1" x14ac:dyDescent="0.3">
      <c r="A268" s="54"/>
      <c r="B268" s="54"/>
      <c r="C268" s="54"/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</row>
    <row r="269" spans="1:26" ht="13.5" customHeight="1" x14ac:dyDescent="0.3">
      <c r="A269" s="54"/>
      <c r="B269" s="54"/>
      <c r="C269" s="54"/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</row>
    <row r="270" spans="1:26" ht="13.5" customHeight="1" x14ac:dyDescent="0.3">
      <c r="A270" s="54"/>
      <c r="B270" s="54"/>
      <c r="C270" s="54"/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</row>
    <row r="271" spans="1:26" ht="13.5" customHeight="1" x14ac:dyDescent="0.3">
      <c r="A271" s="54"/>
      <c r="B271" s="54"/>
      <c r="C271" s="54"/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</row>
    <row r="272" spans="1:26" ht="13.5" customHeight="1" x14ac:dyDescent="0.3">
      <c r="A272" s="54"/>
      <c r="B272" s="54"/>
      <c r="C272" s="54"/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</row>
    <row r="273" spans="1:26" ht="13.5" customHeight="1" x14ac:dyDescent="0.3">
      <c r="A273" s="54"/>
      <c r="B273" s="54"/>
      <c r="C273" s="54"/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</row>
    <row r="274" spans="1:26" ht="13.5" customHeight="1" x14ac:dyDescent="0.3">
      <c r="A274" s="54"/>
      <c r="B274" s="54"/>
      <c r="C274" s="54"/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</row>
    <row r="275" spans="1:26" ht="13.5" customHeight="1" x14ac:dyDescent="0.3">
      <c r="A275" s="54"/>
      <c r="B275" s="54"/>
      <c r="C275" s="54"/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</row>
    <row r="276" spans="1:26" ht="13.5" customHeight="1" x14ac:dyDescent="0.3">
      <c r="A276" s="54"/>
      <c r="B276" s="54"/>
      <c r="C276" s="54"/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</row>
    <row r="277" spans="1:26" ht="13.5" customHeight="1" x14ac:dyDescent="0.3">
      <c r="A277" s="54"/>
      <c r="B277" s="54"/>
      <c r="C277" s="54"/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</row>
    <row r="278" spans="1:26" ht="13.5" customHeight="1" x14ac:dyDescent="0.3">
      <c r="A278" s="54"/>
      <c r="B278" s="54"/>
      <c r="C278" s="54"/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</row>
    <row r="279" spans="1:26" ht="13.5" customHeight="1" x14ac:dyDescent="0.3">
      <c r="A279" s="54"/>
      <c r="B279" s="54"/>
      <c r="C279" s="54"/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</row>
    <row r="280" spans="1:26" ht="13.5" customHeight="1" x14ac:dyDescent="0.3">
      <c r="A280" s="54"/>
      <c r="B280" s="54"/>
      <c r="C280" s="54"/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</row>
    <row r="281" spans="1:26" ht="13.5" customHeight="1" x14ac:dyDescent="0.3">
      <c r="A281" s="54"/>
      <c r="B281" s="54"/>
      <c r="C281" s="54"/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</row>
    <row r="282" spans="1:26" ht="13.5" customHeight="1" x14ac:dyDescent="0.3">
      <c r="A282" s="54"/>
      <c r="B282" s="54"/>
      <c r="C282" s="54"/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</row>
    <row r="283" spans="1:26" ht="13.5" customHeight="1" x14ac:dyDescent="0.3">
      <c r="A283" s="54"/>
      <c r="B283" s="54"/>
      <c r="C283" s="54"/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</row>
    <row r="284" spans="1:26" ht="13.5" customHeight="1" x14ac:dyDescent="0.3">
      <c r="A284" s="54"/>
      <c r="B284" s="54"/>
      <c r="C284" s="54"/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</row>
    <row r="285" spans="1:26" ht="13.5" customHeight="1" x14ac:dyDescent="0.3">
      <c r="A285" s="54"/>
      <c r="B285" s="54"/>
      <c r="C285" s="54"/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</row>
    <row r="286" spans="1:26" ht="13.5" customHeight="1" x14ac:dyDescent="0.3">
      <c r="A286" s="54"/>
      <c r="B286" s="54"/>
      <c r="C286" s="54"/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</row>
    <row r="287" spans="1:26" ht="13.5" customHeight="1" x14ac:dyDescent="0.3">
      <c r="A287" s="54"/>
      <c r="B287" s="54"/>
      <c r="C287" s="54"/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</row>
    <row r="288" spans="1:26" ht="13.5" customHeight="1" x14ac:dyDescent="0.3">
      <c r="A288" s="54"/>
      <c r="B288" s="54"/>
      <c r="C288" s="54"/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</row>
    <row r="289" spans="1:26" ht="13.5" customHeight="1" x14ac:dyDescent="0.3">
      <c r="A289" s="54"/>
      <c r="B289" s="54"/>
      <c r="C289" s="54"/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</row>
    <row r="290" spans="1:26" ht="13.5" customHeight="1" x14ac:dyDescent="0.3">
      <c r="A290" s="54"/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</row>
    <row r="291" spans="1:26" ht="13.5" customHeight="1" x14ac:dyDescent="0.3">
      <c r="A291" s="54"/>
      <c r="B291" s="54"/>
      <c r="C291" s="54"/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</row>
    <row r="292" spans="1:26" ht="13.5" customHeight="1" x14ac:dyDescent="0.3">
      <c r="A292" s="54"/>
      <c r="B292" s="54"/>
      <c r="C292" s="54"/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</row>
    <row r="293" spans="1:26" ht="13.5" customHeight="1" x14ac:dyDescent="0.3">
      <c r="A293" s="54"/>
      <c r="B293" s="54"/>
      <c r="C293" s="54"/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</row>
    <row r="294" spans="1:26" ht="13.5" customHeight="1" x14ac:dyDescent="0.3">
      <c r="A294" s="54"/>
      <c r="B294" s="54"/>
      <c r="C294" s="54"/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</row>
    <row r="295" spans="1:26" ht="13.5" customHeight="1" x14ac:dyDescent="0.3">
      <c r="A295" s="54"/>
      <c r="B295" s="54"/>
      <c r="C295" s="54"/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</row>
    <row r="296" spans="1:26" ht="13.5" customHeight="1" x14ac:dyDescent="0.3">
      <c r="A296" s="54"/>
      <c r="B296" s="54"/>
      <c r="C296" s="54"/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</row>
    <row r="297" spans="1:26" ht="13.5" customHeight="1" x14ac:dyDescent="0.3">
      <c r="A297" s="54"/>
      <c r="B297" s="54"/>
      <c r="C297" s="54"/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</row>
    <row r="298" spans="1:26" ht="13.5" customHeight="1" x14ac:dyDescent="0.3">
      <c r="A298" s="54"/>
      <c r="B298" s="54"/>
      <c r="C298" s="54"/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</row>
    <row r="299" spans="1:26" ht="13.5" customHeight="1" x14ac:dyDescent="0.3">
      <c r="A299" s="54"/>
      <c r="B299" s="54"/>
      <c r="C299" s="54"/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</row>
    <row r="300" spans="1:26" ht="13.5" customHeight="1" x14ac:dyDescent="0.3">
      <c r="A300" s="54"/>
      <c r="B300" s="54"/>
      <c r="C300" s="54"/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</row>
    <row r="301" spans="1:26" ht="13.5" customHeight="1" x14ac:dyDescent="0.3">
      <c r="A301" s="54"/>
      <c r="B301" s="54"/>
      <c r="C301" s="54"/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</row>
    <row r="302" spans="1:26" ht="13.5" customHeight="1" x14ac:dyDescent="0.3">
      <c r="A302" s="54"/>
      <c r="B302" s="54"/>
      <c r="C302" s="54"/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</row>
    <row r="303" spans="1:26" ht="13.5" customHeight="1" x14ac:dyDescent="0.3">
      <c r="A303" s="54"/>
      <c r="B303" s="54"/>
      <c r="C303" s="54"/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</row>
    <row r="304" spans="1:26" ht="13.5" customHeight="1" x14ac:dyDescent="0.3">
      <c r="A304" s="54"/>
      <c r="B304" s="54"/>
      <c r="C304" s="54"/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</row>
    <row r="305" spans="1:26" ht="13.5" customHeight="1" x14ac:dyDescent="0.3">
      <c r="A305" s="54"/>
      <c r="B305" s="54"/>
      <c r="C305" s="54"/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</row>
    <row r="306" spans="1:26" ht="13.5" customHeight="1" x14ac:dyDescent="0.3">
      <c r="A306" s="54"/>
      <c r="B306" s="54"/>
      <c r="C306" s="54"/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</row>
    <row r="307" spans="1:26" ht="13.5" customHeight="1" x14ac:dyDescent="0.3">
      <c r="A307" s="54"/>
      <c r="B307" s="54"/>
      <c r="C307" s="54"/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</row>
    <row r="308" spans="1:26" ht="13.5" customHeight="1" x14ac:dyDescent="0.3">
      <c r="A308" s="54"/>
      <c r="B308" s="54"/>
      <c r="C308" s="54"/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</row>
    <row r="309" spans="1:26" ht="13.5" customHeight="1" x14ac:dyDescent="0.3">
      <c r="A309" s="54"/>
      <c r="B309" s="54"/>
      <c r="C309" s="54"/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</row>
    <row r="310" spans="1:26" ht="13.5" customHeight="1" x14ac:dyDescent="0.3">
      <c r="A310" s="54"/>
      <c r="B310" s="54"/>
      <c r="C310" s="54"/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</row>
    <row r="311" spans="1:26" ht="13.5" customHeight="1" x14ac:dyDescent="0.3">
      <c r="A311" s="54"/>
      <c r="B311" s="54"/>
      <c r="C311" s="54"/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</row>
    <row r="312" spans="1:26" ht="13.5" customHeight="1" x14ac:dyDescent="0.3">
      <c r="A312" s="54"/>
      <c r="B312" s="54"/>
      <c r="C312" s="54"/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</row>
    <row r="313" spans="1:26" ht="13.5" customHeight="1" x14ac:dyDescent="0.3">
      <c r="A313" s="54"/>
      <c r="B313" s="54"/>
      <c r="C313" s="54"/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</row>
    <row r="314" spans="1:26" ht="13.5" customHeight="1" x14ac:dyDescent="0.3">
      <c r="A314" s="54"/>
      <c r="B314" s="54"/>
      <c r="C314" s="54"/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</row>
    <row r="315" spans="1:26" ht="13.5" customHeight="1" x14ac:dyDescent="0.3">
      <c r="A315" s="54"/>
      <c r="B315" s="54"/>
      <c r="C315" s="54"/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</row>
    <row r="316" spans="1:26" ht="13.5" customHeight="1" x14ac:dyDescent="0.3">
      <c r="A316" s="54"/>
      <c r="B316" s="54"/>
      <c r="C316" s="54"/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</row>
    <row r="317" spans="1:26" ht="13.5" customHeight="1" x14ac:dyDescent="0.3">
      <c r="A317" s="54"/>
      <c r="B317" s="54"/>
      <c r="C317" s="54"/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</row>
    <row r="318" spans="1:26" ht="13.5" customHeight="1" x14ac:dyDescent="0.3">
      <c r="A318" s="54"/>
      <c r="B318" s="54"/>
      <c r="C318" s="54"/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</row>
    <row r="319" spans="1:26" ht="13.5" customHeight="1" x14ac:dyDescent="0.3">
      <c r="A319" s="54"/>
      <c r="B319" s="54"/>
      <c r="C319" s="54"/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</row>
    <row r="320" spans="1:26" ht="13.5" customHeight="1" x14ac:dyDescent="0.3">
      <c r="A320" s="54"/>
      <c r="B320" s="54"/>
      <c r="C320" s="54"/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</row>
    <row r="321" spans="1:26" ht="13.5" customHeight="1" x14ac:dyDescent="0.3">
      <c r="A321" s="54"/>
      <c r="B321" s="54"/>
      <c r="C321" s="54"/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</row>
    <row r="322" spans="1:26" ht="13.5" customHeight="1" x14ac:dyDescent="0.3">
      <c r="A322" s="54"/>
      <c r="B322" s="54"/>
      <c r="C322" s="54"/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</row>
    <row r="323" spans="1:26" ht="13.5" customHeight="1" x14ac:dyDescent="0.3">
      <c r="A323" s="54"/>
      <c r="B323" s="54"/>
      <c r="C323" s="54"/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</row>
    <row r="324" spans="1:26" ht="13.5" customHeight="1" x14ac:dyDescent="0.3">
      <c r="A324" s="54"/>
      <c r="B324" s="54"/>
      <c r="C324" s="54"/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</row>
    <row r="325" spans="1:26" ht="13.5" customHeight="1" x14ac:dyDescent="0.3">
      <c r="A325" s="54"/>
      <c r="B325" s="54"/>
      <c r="C325" s="54"/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</row>
    <row r="326" spans="1:26" ht="13.5" customHeight="1" x14ac:dyDescent="0.3">
      <c r="A326" s="54"/>
      <c r="B326" s="54"/>
      <c r="C326" s="54"/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</row>
    <row r="327" spans="1:26" ht="13.5" customHeight="1" x14ac:dyDescent="0.3">
      <c r="A327" s="54"/>
      <c r="B327" s="54"/>
      <c r="C327" s="54"/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</row>
    <row r="328" spans="1:26" ht="13.5" customHeight="1" x14ac:dyDescent="0.3">
      <c r="A328" s="54"/>
      <c r="B328" s="54"/>
      <c r="C328" s="54"/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</row>
    <row r="329" spans="1:26" ht="13.5" customHeight="1" x14ac:dyDescent="0.3">
      <c r="A329" s="54"/>
      <c r="B329" s="54"/>
      <c r="C329" s="54"/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</row>
    <row r="330" spans="1:26" ht="13.5" customHeight="1" x14ac:dyDescent="0.3">
      <c r="A330" s="54"/>
      <c r="B330" s="54"/>
      <c r="C330" s="54"/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</row>
    <row r="331" spans="1:26" ht="13.5" customHeight="1" x14ac:dyDescent="0.3">
      <c r="A331" s="54"/>
      <c r="B331" s="54"/>
      <c r="C331" s="54"/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</row>
    <row r="332" spans="1:26" ht="13.5" customHeight="1" x14ac:dyDescent="0.3">
      <c r="A332" s="54"/>
      <c r="B332" s="54"/>
      <c r="C332" s="54"/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</row>
    <row r="333" spans="1:26" ht="13.5" customHeight="1" x14ac:dyDescent="0.3">
      <c r="A333" s="54"/>
      <c r="B333" s="54"/>
      <c r="C333" s="54"/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</row>
    <row r="334" spans="1:26" ht="13.5" customHeight="1" x14ac:dyDescent="0.3">
      <c r="A334" s="54"/>
      <c r="B334" s="54"/>
      <c r="C334" s="54"/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</row>
    <row r="335" spans="1:26" ht="13.5" customHeight="1" x14ac:dyDescent="0.3">
      <c r="A335" s="54"/>
      <c r="B335" s="54"/>
      <c r="C335" s="54"/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</row>
    <row r="336" spans="1:26" ht="13.5" customHeight="1" x14ac:dyDescent="0.3">
      <c r="A336" s="54"/>
      <c r="B336" s="54"/>
      <c r="C336" s="54"/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</row>
    <row r="337" spans="1:26" ht="13.5" customHeight="1" x14ac:dyDescent="0.3">
      <c r="A337" s="54"/>
      <c r="B337" s="54"/>
      <c r="C337" s="54"/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</row>
    <row r="338" spans="1:26" ht="13.5" customHeight="1" x14ac:dyDescent="0.3">
      <c r="A338" s="54"/>
      <c r="B338" s="54"/>
      <c r="C338" s="54"/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</row>
    <row r="339" spans="1:26" ht="13.5" customHeight="1" x14ac:dyDescent="0.3">
      <c r="A339" s="54"/>
      <c r="B339" s="54"/>
      <c r="C339" s="54"/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</row>
    <row r="340" spans="1:26" ht="13.5" customHeight="1" x14ac:dyDescent="0.3">
      <c r="A340" s="54"/>
      <c r="B340" s="54"/>
      <c r="C340" s="54"/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</row>
    <row r="341" spans="1:26" ht="13.5" customHeight="1" x14ac:dyDescent="0.3">
      <c r="A341" s="54"/>
      <c r="B341" s="54"/>
      <c r="C341" s="54"/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</row>
    <row r="342" spans="1:26" ht="13.5" customHeight="1" x14ac:dyDescent="0.3">
      <c r="A342" s="54"/>
      <c r="B342" s="54"/>
      <c r="C342" s="54"/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</row>
    <row r="343" spans="1:26" ht="13.5" customHeight="1" x14ac:dyDescent="0.3">
      <c r="A343" s="54"/>
      <c r="B343" s="54"/>
      <c r="C343" s="54"/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</row>
    <row r="344" spans="1:26" ht="13.5" customHeight="1" x14ac:dyDescent="0.3">
      <c r="A344" s="54"/>
      <c r="B344" s="54"/>
      <c r="C344" s="54"/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</row>
    <row r="345" spans="1:26" ht="13.5" customHeight="1" x14ac:dyDescent="0.3">
      <c r="A345" s="54"/>
      <c r="B345" s="54"/>
      <c r="C345" s="54"/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</row>
    <row r="346" spans="1:26" ht="13.5" customHeight="1" x14ac:dyDescent="0.3">
      <c r="A346" s="54"/>
      <c r="B346" s="54"/>
      <c r="C346" s="54"/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</row>
    <row r="347" spans="1:26" ht="13.5" customHeight="1" x14ac:dyDescent="0.3">
      <c r="A347" s="54"/>
      <c r="B347" s="54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</row>
    <row r="348" spans="1:26" ht="13.5" customHeight="1" x14ac:dyDescent="0.3">
      <c r="A348" s="54"/>
      <c r="B348" s="54"/>
      <c r="C348" s="54"/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</row>
    <row r="349" spans="1:26" ht="13.5" customHeight="1" x14ac:dyDescent="0.3">
      <c r="A349" s="54"/>
      <c r="B349" s="54"/>
      <c r="C349" s="54"/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</row>
    <row r="350" spans="1:26" ht="13.5" customHeight="1" x14ac:dyDescent="0.3">
      <c r="A350" s="54"/>
      <c r="B350" s="54"/>
      <c r="C350" s="54"/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</row>
    <row r="351" spans="1:26" ht="13.5" customHeight="1" x14ac:dyDescent="0.3">
      <c r="A351" s="54"/>
      <c r="B351" s="54"/>
      <c r="C351" s="54"/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</row>
    <row r="352" spans="1:26" ht="13.5" customHeight="1" x14ac:dyDescent="0.3">
      <c r="A352" s="54"/>
      <c r="B352" s="54"/>
      <c r="C352" s="54"/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</row>
    <row r="353" spans="1:26" ht="13.5" customHeight="1" x14ac:dyDescent="0.3">
      <c r="A353" s="54"/>
      <c r="B353" s="54"/>
      <c r="C353" s="54"/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</row>
    <row r="354" spans="1:26" ht="13.5" customHeight="1" x14ac:dyDescent="0.3">
      <c r="A354" s="54"/>
      <c r="B354" s="54"/>
      <c r="C354" s="54"/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</row>
    <row r="355" spans="1:26" ht="13.5" customHeight="1" x14ac:dyDescent="0.3">
      <c r="A355" s="54"/>
      <c r="B355" s="54"/>
      <c r="C355" s="54"/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</row>
    <row r="356" spans="1:26" ht="13.5" customHeight="1" x14ac:dyDescent="0.3">
      <c r="A356" s="54"/>
      <c r="B356" s="54"/>
      <c r="C356" s="54"/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</row>
    <row r="357" spans="1:26" ht="13.5" customHeight="1" x14ac:dyDescent="0.3">
      <c r="A357" s="54"/>
      <c r="B357" s="54"/>
      <c r="C357" s="54"/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</row>
    <row r="358" spans="1:26" ht="13.5" customHeight="1" x14ac:dyDescent="0.3">
      <c r="A358" s="54"/>
      <c r="B358" s="54"/>
      <c r="C358" s="54"/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</row>
    <row r="359" spans="1:26" ht="13.5" customHeight="1" x14ac:dyDescent="0.3">
      <c r="A359" s="54"/>
      <c r="B359" s="54"/>
      <c r="C359" s="54"/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</row>
    <row r="360" spans="1:26" ht="13.5" customHeight="1" x14ac:dyDescent="0.3">
      <c r="A360" s="54"/>
      <c r="B360" s="54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</row>
    <row r="361" spans="1:26" ht="13.5" customHeight="1" x14ac:dyDescent="0.3">
      <c r="A361" s="54"/>
      <c r="B361" s="54"/>
      <c r="C361" s="54"/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</row>
    <row r="362" spans="1:26" ht="13.5" customHeight="1" x14ac:dyDescent="0.3">
      <c r="A362" s="54"/>
      <c r="B362" s="54"/>
      <c r="C362" s="54"/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</row>
    <row r="363" spans="1:26" ht="13.5" customHeight="1" x14ac:dyDescent="0.3">
      <c r="A363" s="54"/>
      <c r="B363" s="54"/>
      <c r="C363" s="54"/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</row>
    <row r="364" spans="1:26" ht="13.5" customHeight="1" x14ac:dyDescent="0.3">
      <c r="A364" s="54"/>
      <c r="B364" s="54"/>
      <c r="C364" s="54"/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</row>
    <row r="365" spans="1:26" ht="13.5" customHeight="1" x14ac:dyDescent="0.3">
      <c r="A365" s="54"/>
      <c r="B365" s="54"/>
      <c r="C365" s="54"/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</row>
    <row r="366" spans="1:26" ht="13.5" customHeight="1" x14ac:dyDescent="0.3">
      <c r="A366" s="54"/>
      <c r="B366" s="54"/>
      <c r="C366" s="54"/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</row>
    <row r="367" spans="1:26" ht="13.5" customHeight="1" x14ac:dyDescent="0.3">
      <c r="A367" s="54"/>
      <c r="B367" s="54"/>
      <c r="C367" s="54"/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</row>
    <row r="368" spans="1:26" ht="13.5" customHeight="1" x14ac:dyDescent="0.3">
      <c r="A368" s="54"/>
      <c r="B368" s="54"/>
      <c r="C368" s="54"/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</row>
    <row r="369" spans="1:26" ht="13.5" customHeight="1" x14ac:dyDescent="0.3">
      <c r="A369" s="54"/>
      <c r="B369" s="54"/>
      <c r="C369" s="54"/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</row>
    <row r="370" spans="1:26" ht="13.5" customHeight="1" x14ac:dyDescent="0.3">
      <c r="A370" s="54"/>
      <c r="B370" s="54"/>
      <c r="C370" s="54"/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</row>
    <row r="371" spans="1:26" ht="13.5" customHeight="1" x14ac:dyDescent="0.3">
      <c r="A371" s="54"/>
      <c r="B371" s="54"/>
      <c r="C371" s="54"/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</row>
    <row r="372" spans="1:26" ht="13.5" customHeight="1" x14ac:dyDescent="0.3">
      <c r="A372" s="54"/>
      <c r="B372" s="54"/>
      <c r="C372" s="54"/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</row>
    <row r="373" spans="1:26" ht="13.5" customHeight="1" x14ac:dyDescent="0.3">
      <c r="A373" s="54"/>
      <c r="B373" s="54"/>
      <c r="C373" s="54"/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</row>
    <row r="374" spans="1:26" ht="13.5" customHeight="1" x14ac:dyDescent="0.3">
      <c r="A374" s="54"/>
      <c r="B374" s="54"/>
      <c r="C374" s="54"/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</row>
    <row r="375" spans="1:26" ht="13.5" customHeight="1" x14ac:dyDescent="0.3">
      <c r="A375" s="54"/>
      <c r="B375" s="54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</row>
    <row r="376" spans="1:26" ht="13.5" customHeight="1" x14ac:dyDescent="0.3">
      <c r="A376" s="54"/>
      <c r="B376" s="54"/>
      <c r="C376" s="54"/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</row>
    <row r="377" spans="1:26" ht="13.5" customHeight="1" x14ac:dyDescent="0.3">
      <c r="A377" s="54"/>
      <c r="B377" s="54"/>
      <c r="C377" s="54"/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</row>
    <row r="378" spans="1:26" ht="13.5" customHeight="1" x14ac:dyDescent="0.3">
      <c r="A378" s="54"/>
      <c r="B378" s="54"/>
      <c r="C378" s="54"/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</row>
    <row r="379" spans="1:26" ht="13.5" customHeight="1" x14ac:dyDescent="0.3">
      <c r="A379" s="54"/>
      <c r="B379" s="54"/>
      <c r="C379" s="54"/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</row>
    <row r="380" spans="1:26" ht="13.5" customHeight="1" x14ac:dyDescent="0.3">
      <c r="A380" s="54"/>
      <c r="B380" s="54"/>
      <c r="C380" s="54"/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</row>
    <row r="381" spans="1:26" ht="13.5" customHeight="1" x14ac:dyDescent="0.3">
      <c r="A381" s="54"/>
      <c r="B381" s="54"/>
      <c r="C381" s="54"/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</row>
    <row r="382" spans="1:26" ht="13.5" customHeight="1" x14ac:dyDescent="0.3">
      <c r="A382" s="54"/>
      <c r="B382" s="54"/>
      <c r="C382" s="54"/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</row>
    <row r="383" spans="1:26" ht="13.5" customHeight="1" x14ac:dyDescent="0.3">
      <c r="A383" s="54"/>
      <c r="B383" s="54"/>
      <c r="C383" s="54"/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</row>
    <row r="384" spans="1:26" ht="13.5" customHeight="1" x14ac:dyDescent="0.3">
      <c r="A384" s="54"/>
      <c r="B384" s="54"/>
      <c r="C384" s="54"/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</row>
    <row r="385" spans="1:26" ht="13.5" customHeight="1" x14ac:dyDescent="0.3">
      <c r="A385" s="54"/>
      <c r="B385" s="54"/>
      <c r="C385" s="54"/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</row>
    <row r="386" spans="1:26" ht="13.5" customHeight="1" x14ac:dyDescent="0.3">
      <c r="A386" s="54"/>
      <c r="B386" s="54"/>
      <c r="C386" s="54"/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</row>
    <row r="387" spans="1:26" ht="13.5" customHeight="1" x14ac:dyDescent="0.3">
      <c r="A387" s="54"/>
      <c r="B387" s="54"/>
      <c r="C387" s="54"/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</row>
    <row r="388" spans="1:26" ht="13.5" customHeight="1" x14ac:dyDescent="0.3">
      <c r="A388" s="54"/>
      <c r="B388" s="54"/>
      <c r="C388" s="54"/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</row>
    <row r="389" spans="1:26" ht="13.5" customHeight="1" x14ac:dyDescent="0.3">
      <c r="A389" s="54"/>
      <c r="B389" s="54"/>
      <c r="C389" s="54"/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</row>
    <row r="390" spans="1:26" ht="13.5" customHeight="1" x14ac:dyDescent="0.3">
      <c r="A390" s="54"/>
      <c r="B390" s="54"/>
      <c r="C390" s="54"/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</row>
    <row r="391" spans="1:26" ht="13.5" customHeight="1" x14ac:dyDescent="0.3">
      <c r="A391" s="54"/>
      <c r="B391" s="54"/>
      <c r="C391" s="54"/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</row>
    <row r="392" spans="1:26" ht="13.5" customHeight="1" x14ac:dyDescent="0.3">
      <c r="A392" s="54"/>
      <c r="B392" s="54"/>
      <c r="C392" s="54"/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</row>
    <row r="393" spans="1:26" ht="13.5" customHeight="1" x14ac:dyDescent="0.3">
      <c r="A393" s="54"/>
      <c r="B393" s="54"/>
      <c r="C393" s="54"/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</row>
    <row r="394" spans="1:26" ht="13.5" customHeight="1" x14ac:dyDescent="0.3">
      <c r="A394" s="54"/>
      <c r="B394" s="54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</row>
    <row r="395" spans="1:26" ht="13.5" customHeight="1" x14ac:dyDescent="0.3">
      <c r="A395" s="54"/>
      <c r="B395" s="54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</row>
    <row r="396" spans="1:26" ht="13.5" customHeight="1" x14ac:dyDescent="0.3">
      <c r="A396" s="54"/>
      <c r="B396" s="54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</row>
    <row r="397" spans="1:26" ht="13.5" customHeight="1" x14ac:dyDescent="0.3">
      <c r="A397" s="54"/>
      <c r="B397" s="54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</row>
    <row r="398" spans="1:26" ht="13.5" customHeight="1" x14ac:dyDescent="0.3">
      <c r="A398" s="54"/>
      <c r="B398" s="54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</row>
    <row r="399" spans="1:26" ht="13.5" customHeight="1" x14ac:dyDescent="0.3">
      <c r="A399" s="54"/>
      <c r="B399" s="54"/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</row>
    <row r="400" spans="1:26" ht="13.5" customHeight="1" x14ac:dyDescent="0.3">
      <c r="A400" s="54"/>
      <c r="B400" s="54"/>
      <c r="C400" s="54"/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</row>
    <row r="401" spans="1:26" ht="13.5" customHeight="1" x14ac:dyDescent="0.3">
      <c r="A401" s="54"/>
      <c r="B401" s="54"/>
      <c r="C401" s="54"/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</row>
    <row r="402" spans="1:26" ht="13.5" customHeight="1" x14ac:dyDescent="0.3">
      <c r="A402" s="54"/>
      <c r="B402" s="54"/>
      <c r="C402" s="54"/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</row>
    <row r="403" spans="1:26" ht="13.5" customHeight="1" x14ac:dyDescent="0.3">
      <c r="A403" s="54"/>
      <c r="B403" s="54"/>
      <c r="C403" s="54"/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</row>
    <row r="404" spans="1:26" ht="13.5" customHeight="1" x14ac:dyDescent="0.3">
      <c r="A404" s="54"/>
      <c r="B404" s="54"/>
      <c r="C404" s="54"/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</row>
    <row r="405" spans="1:26" ht="13.5" customHeight="1" x14ac:dyDescent="0.3">
      <c r="A405" s="54"/>
      <c r="B405" s="54"/>
      <c r="C405" s="54"/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</row>
    <row r="406" spans="1:26" ht="13.5" customHeight="1" x14ac:dyDescent="0.3">
      <c r="A406" s="54"/>
      <c r="B406" s="54"/>
      <c r="C406" s="54"/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</row>
    <row r="407" spans="1:26" ht="13.5" customHeight="1" x14ac:dyDescent="0.3">
      <c r="A407" s="54"/>
      <c r="B407" s="54"/>
      <c r="C407" s="54"/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</row>
    <row r="408" spans="1:26" ht="13.5" customHeight="1" x14ac:dyDescent="0.3">
      <c r="A408" s="54"/>
      <c r="B408" s="54"/>
      <c r="C408" s="54"/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</row>
    <row r="409" spans="1:26" ht="13.5" customHeight="1" x14ac:dyDescent="0.3">
      <c r="A409" s="54"/>
      <c r="B409" s="54"/>
      <c r="C409" s="54"/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</row>
    <row r="410" spans="1:26" ht="13.5" customHeight="1" x14ac:dyDescent="0.3">
      <c r="A410" s="54"/>
      <c r="B410" s="54"/>
      <c r="C410" s="54"/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</row>
    <row r="411" spans="1:26" ht="13.5" customHeight="1" x14ac:dyDescent="0.3">
      <c r="A411" s="54"/>
      <c r="B411" s="54"/>
      <c r="C411" s="54"/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</row>
    <row r="412" spans="1:26" ht="13.5" customHeight="1" x14ac:dyDescent="0.3">
      <c r="A412" s="54"/>
      <c r="B412" s="54"/>
      <c r="C412" s="54"/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</row>
    <row r="413" spans="1:26" ht="13.5" customHeight="1" x14ac:dyDescent="0.3">
      <c r="A413" s="54"/>
      <c r="B413" s="54"/>
      <c r="C413" s="54"/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</row>
    <row r="414" spans="1:26" ht="13.5" customHeight="1" x14ac:dyDescent="0.3">
      <c r="A414" s="54"/>
      <c r="B414" s="54"/>
      <c r="C414" s="54"/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</row>
    <row r="415" spans="1:26" ht="13.5" customHeight="1" x14ac:dyDescent="0.3">
      <c r="A415" s="54"/>
      <c r="B415" s="54"/>
      <c r="C415" s="54"/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</row>
    <row r="416" spans="1:26" ht="13.5" customHeight="1" x14ac:dyDescent="0.3">
      <c r="A416" s="54"/>
      <c r="B416" s="54"/>
      <c r="C416" s="54"/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</row>
    <row r="417" spans="1:26" ht="13.5" customHeight="1" x14ac:dyDescent="0.3">
      <c r="A417" s="54"/>
      <c r="B417" s="54"/>
      <c r="C417" s="54"/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</row>
    <row r="418" spans="1:26" ht="13.5" customHeight="1" x14ac:dyDescent="0.3">
      <c r="A418" s="54"/>
      <c r="B418" s="54"/>
      <c r="C418" s="54"/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</row>
    <row r="419" spans="1:26" ht="13.5" customHeight="1" x14ac:dyDescent="0.3">
      <c r="A419" s="54"/>
      <c r="B419" s="54"/>
      <c r="C419" s="54"/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</row>
    <row r="420" spans="1:26" ht="13.5" customHeight="1" x14ac:dyDescent="0.3">
      <c r="A420" s="54"/>
      <c r="B420" s="54"/>
      <c r="C420" s="54"/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</row>
    <row r="421" spans="1:26" ht="13.5" customHeight="1" x14ac:dyDescent="0.3">
      <c r="A421" s="54"/>
      <c r="B421" s="54"/>
      <c r="C421" s="54"/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</row>
    <row r="422" spans="1:26" ht="13.5" customHeight="1" x14ac:dyDescent="0.3">
      <c r="A422" s="54"/>
      <c r="B422" s="54"/>
      <c r="C422" s="54"/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</row>
    <row r="423" spans="1:26" ht="13.5" customHeight="1" x14ac:dyDescent="0.3">
      <c r="A423" s="54"/>
      <c r="B423" s="54"/>
      <c r="C423" s="54"/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</row>
    <row r="424" spans="1:26" ht="13.5" customHeight="1" x14ac:dyDescent="0.3">
      <c r="A424" s="54"/>
      <c r="B424" s="54"/>
      <c r="C424" s="54"/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</row>
    <row r="425" spans="1:26" ht="13.5" customHeight="1" x14ac:dyDescent="0.3">
      <c r="A425" s="54"/>
      <c r="B425" s="54"/>
      <c r="C425" s="54"/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</row>
    <row r="426" spans="1:26" ht="13.5" customHeight="1" x14ac:dyDescent="0.3">
      <c r="A426" s="54"/>
      <c r="B426" s="54"/>
      <c r="C426" s="54"/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</row>
    <row r="427" spans="1:26" ht="13.5" customHeight="1" x14ac:dyDescent="0.3">
      <c r="A427" s="54"/>
      <c r="B427" s="54"/>
      <c r="C427" s="54"/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</row>
    <row r="428" spans="1:26" ht="13.5" customHeight="1" x14ac:dyDescent="0.3">
      <c r="A428" s="54"/>
      <c r="B428" s="54"/>
      <c r="C428" s="54"/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</row>
    <row r="429" spans="1:26" ht="13.5" customHeight="1" x14ac:dyDescent="0.3">
      <c r="A429" s="54"/>
      <c r="B429" s="54"/>
      <c r="C429" s="54"/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</row>
    <row r="430" spans="1:26" ht="13.5" customHeight="1" x14ac:dyDescent="0.3">
      <c r="A430" s="54"/>
      <c r="B430" s="54"/>
      <c r="C430" s="54"/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</row>
    <row r="431" spans="1:26" ht="13.5" customHeight="1" x14ac:dyDescent="0.3">
      <c r="A431" s="54"/>
      <c r="B431" s="54"/>
      <c r="C431" s="54"/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</row>
    <row r="432" spans="1:26" ht="13.5" customHeight="1" x14ac:dyDescent="0.3">
      <c r="A432" s="54"/>
      <c r="B432" s="54"/>
      <c r="C432" s="54"/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</row>
    <row r="433" spans="1:26" ht="13.5" customHeight="1" x14ac:dyDescent="0.3">
      <c r="A433" s="54"/>
      <c r="B433" s="54"/>
      <c r="C433" s="54"/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</row>
    <row r="434" spans="1:26" ht="13.5" customHeight="1" x14ac:dyDescent="0.3">
      <c r="A434" s="54"/>
      <c r="B434" s="54"/>
      <c r="C434" s="54"/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</row>
    <row r="435" spans="1:26" ht="13.5" customHeight="1" x14ac:dyDescent="0.3">
      <c r="A435" s="54"/>
      <c r="B435" s="54"/>
      <c r="C435" s="54"/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</row>
    <row r="436" spans="1:26" ht="13.5" customHeight="1" x14ac:dyDescent="0.3">
      <c r="A436" s="54"/>
      <c r="B436" s="54"/>
      <c r="C436" s="54"/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</row>
    <row r="437" spans="1:26" ht="13.5" customHeight="1" x14ac:dyDescent="0.3">
      <c r="A437" s="54"/>
      <c r="B437" s="54"/>
      <c r="C437" s="54"/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</row>
    <row r="438" spans="1:26" ht="13.5" customHeight="1" x14ac:dyDescent="0.3">
      <c r="A438" s="54"/>
      <c r="B438" s="54"/>
      <c r="C438" s="54"/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</row>
    <row r="439" spans="1:26" ht="13.5" customHeight="1" x14ac:dyDescent="0.3">
      <c r="A439" s="54"/>
      <c r="B439" s="54"/>
      <c r="C439" s="54"/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</row>
    <row r="440" spans="1:26" ht="13.5" customHeight="1" x14ac:dyDescent="0.3">
      <c r="A440" s="54"/>
      <c r="B440" s="54"/>
      <c r="C440" s="54"/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</row>
    <row r="441" spans="1:26" ht="13.5" customHeight="1" x14ac:dyDescent="0.3">
      <c r="A441" s="54"/>
      <c r="B441" s="54"/>
      <c r="C441" s="54"/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</row>
    <row r="442" spans="1:26" ht="13.5" customHeight="1" x14ac:dyDescent="0.3">
      <c r="A442" s="54"/>
      <c r="B442" s="54"/>
      <c r="C442" s="54"/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</row>
    <row r="443" spans="1:26" ht="13.5" customHeight="1" x14ac:dyDescent="0.3">
      <c r="A443" s="54"/>
      <c r="B443" s="54"/>
      <c r="C443" s="54"/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</row>
    <row r="444" spans="1:26" ht="13.5" customHeight="1" x14ac:dyDescent="0.3">
      <c r="A444" s="54"/>
      <c r="B444" s="54"/>
      <c r="C444" s="54"/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</row>
    <row r="445" spans="1:26" ht="13.5" customHeight="1" x14ac:dyDescent="0.3">
      <c r="A445" s="54"/>
      <c r="B445" s="54"/>
      <c r="C445" s="54"/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</row>
    <row r="446" spans="1:26" ht="13.5" customHeight="1" x14ac:dyDescent="0.3">
      <c r="A446" s="54"/>
      <c r="B446" s="54"/>
      <c r="C446" s="54"/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</row>
    <row r="447" spans="1:26" ht="13.5" customHeight="1" x14ac:dyDescent="0.3">
      <c r="A447" s="54"/>
      <c r="B447" s="54"/>
      <c r="C447" s="54"/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</row>
    <row r="448" spans="1:26" ht="13.5" customHeight="1" x14ac:dyDescent="0.3">
      <c r="A448" s="54"/>
      <c r="B448" s="54"/>
      <c r="C448" s="54"/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</row>
    <row r="449" spans="1:26" ht="13.5" customHeight="1" x14ac:dyDescent="0.3">
      <c r="A449" s="54"/>
      <c r="B449" s="54"/>
      <c r="C449" s="54"/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</row>
    <row r="450" spans="1:26" ht="13.5" customHeight="1" x14ac:dyDescent="0.3">
      <c r="A450" s="54"/>
      <c r="B450" s="54"/>
      <c r="C450" s="54"/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</row>
    <row r="451" spans="1:26" ht="13.5" customHeight="1" x14ac:dyDescent="0.3">
      <c r="A451" s="54"/>
      <c r="B451" s="54"/>
      <c r="C451" s="54"/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</row>
    <row r="452" spans="1:26" ht="13.5" customHeight="1" x14ac:dyDescent="0.3">
      <c r="A452" s="54"/>
      <c r="B452" s="54"/>
      <c r="C452" s="54"/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</row>
    <row r="453" spans="1:26" ht="13.5" customHeight="1" x14ac:dyDescent="0.3">
      <c r="A453" s="54"/>
      <c r="B453" s="54"/>
      <c r="C453" s="54"/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</row>
    <row r="454" spans="1:26" ht="13.5" customHeight="1" x14ac:dyDescent="0.3">
      <c r="A454" s="54"/>
      <c r="B454" s="54"/>
      <c r="C454" s="54"/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</row>
    <row r="455" spans="1:26" ht="13.5" customHeight="1" x14ac:dyDescent="0.3">
      <c r="A455" s="54"/>
      <c r="B455" s="54"/>
      <c r="C455" s="54"/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</row>
    <row r="456" spans="1:26" ht="13.5" customHeight="1" x14ac:dyDescent="0.3">
      <c r="A456" s="54"/>
      <c r="B456" s="54"/>
      <c r="C456" s="54"/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</row>
    <row r="457" spans="1:26" ht="13.5" customHeight="1" x14ac:dyDescent="0.3">
      <c r="A457" s="54"/>
      <c r="B457" s="54"/>
      <c r="C457" s="54"/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</row>
    <row r="458" spans="1:26" ht="13.5" customHeight="1" x14ac:dyDescent="0.3">
      <c r="A458" s="54"/>
      <c r="B458" s="54"/>
      <c r="C458" s="54"/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</row>
    <row r="459" spans="1:26" ht="13.5" customHeight="1" x14ac:dyDescent="0.3">
      <c r="A459" s="54"/>
      <c r="B459" s="54"/>
      <c r="C459" s="54"/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</row>
    <row r="460" spans="1:26" ht="13.5" customHeight="1" x14ac:dyDescent="0.3">
      <c r="A460" s="54"/>
      <c r="B460" s="54"/>
      <c r="C460" s="54"/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</row>
    <row r="461" spans="1:26" ht="13.5" customHeight="1" x14ac:dyDescent="0.3">
      <c r="A461" s="54"/>
      <c r="B461" s="54"/>
      <c r="C461" s="54"/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</row>
    <row r="462" spans="1:26" ht="13.5" customHeight="1" x14ac:dyDescent="0.3">
      <c r="A462" s="54"/>
      <c r="B462" s="54"/>
      <c r="C462" s="54"/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</row>
    <row r="463" spans="1:26" ht="13.5" customHeight="1" x14ac:dyDescent="0.3">
      <c r="A463" s="54"/>
      <c r="B463" s="54"/>
      <c r="C463" s="54"/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</row>
    <row r="464" spans="1:26" ht="13.5" customHeight="1" x14ac:dyDescent="0.3">
      <c r="A464" s="54"/>
      <c r="B464" s="54"/>
      <c r="C464" s="54"/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</row>
    <row r="465" spans="1:26" ht="13.5" customHeight="1" x14ac:dyDescent="0.3">
      <c r="A465" s="54"/>
      <c r="B465" s="54"/>
      <c r="C465" s="54"/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</row>
    <row r="466" spans="1:26" ht="13.5" customHeight="1" x14ac:dyDescent="0.3">
      <c r="A466" s="54"/>
      <c r="B466" s="54"/>
      <c r="C466" s="54"/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</row>
    <row r="467" spans="1:26" ht="13.5" customHeight="1" x14ac:dyDescent="0.3">
      <c r="A467" s="54"/>
      <c r="B467" s="54"/>
      <c r="C467" s="54"/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</row>
    <row r="468" spans="1:26" ht="13.5" customHeight="1" x14ac:dyDescent="0.3">
      <c r="A468" s="54"/>
      <c r="B468" s="54"/>
      <c r="C468" s="54"/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</row>
    <row r="469" spans="1:26" ht="13.5" customHeight="1" x14ac:dyDescent="0.3">
      <c r="A469" s="54"/>
      <c r="B469" s="54"/>
      <c r="C469" s="54"/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</row>
    <row r="470" spans="1:26" ht="13.5" customHeight="1" x14ac:dyDescent="0.3">
      <c r="A470" s="54"/>
      <c r="B470" s="54"/>
      <c r="C470" s="54"/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</row>
    <row r="471" spans="1:26" ht="13.5" customHeight="1" x14ac:dyDescent="0.3">
      <c r="A471" s="54"/>
      <c r="B471" s="54"/>
      <c r="C471" s="54"/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</row>
    <row r="472" spans="1:26" ht="13.5" customHeight="1" x14ac:dyDescent="0.3">
      <c r="A472" s="54"/>
      <c r="B472" s="54"/>
      <c r="C472" s="54"/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</row>
    <row r="473" spans="1:26" ht="13.5" customHeight="1" x14ac:dyDescent="0.3">
      <c r="A473" s="54"/>
      <c r="B473" s="54"/>
      <c r="C473" s="54"/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</row>
    <row r="474" spans="1:26" ht="13.5" customHeight="1" x14ac:dyDescent="0.3">
      <c r="A474" s="54"/>
      <c r="B474" s="54"/>
      <c r="C474" s="54"/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</row>
    <row r="475" spans="1:26" ht="13.5" customHeight="1" x14ac:dyDescent="0.3">
      <c r="A475" s="54"/>
      <c r="B475" s="54"/>
      <c r="C475" s="54"/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</row>
    <row r="476" spans="1:26" ht="13.5" customHeight="1" x14ac:dyDescent="0.3">
      <c r="A476" s="54"/>
      <c r="B476" s="54"/>
      <c r="C476" s="54"/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</row>
    <row r="477" spans="1:26" ht="13.5" customHeight="1" x14ac:dyDescent="0.3">
      <c r="A477" s="54"/>
      <c r="B477" s="54"/>
      <c r="C477" s="54"/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</row>
    <row r="478" spans="1:26" ht="13.5" customHeight="1" x14ac:dyDescent="0.3">
      <c r="A478" s="54"/>
      <c r="B478" s="54"/>
      <c r="C478" s="54"/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</row>
    <row r="479" spans="1:26" ht="13.5" customHeight="1" x14ac:dyDescent="0.3">
      <c r="A479" s="54"/>
      <c r="B479" s="54"/>
      <c r="C479" s="54"/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</row>
    <row r="480" spans="1:26" ht="13.5" customHeight="1" x14ac:dyDescent="0.3">
      <c r="A480" s="54"/>
      <c r="B480" s="54"/>
      <c r="C480" s="54"/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</row>
    <row r="481" spans="1:26" ht="13.5" customHeight="1" x14ac:dyDescent="0.3">
      <c r="A481" s="54"/>
      <c r="B481" s="54"/>
      <c r="C481" s="54"/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</row>
    <row r="482" spans="1:26" ht="13.5" customHeight="1" x14ac:dyDescent="0.3">
      <c r="A482" s="54"/>
      <c r="B482" s="54"/>
      <c r="C482" s="54"/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</row>
    <row r="483" spans="1:26" ht="13.5" customHeight="1" x14ac:dyDescent="0.3">
      <c r="A483" s="54"/>
      <c r="B483" s="54"/>
      <c r="C483" s="54"/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</row>
    <row r="484" spans="1:26" ht="13.5" customHeight="1" x14ac:dyDescent="0.3">
      <c r="A484" s="54"/>
      <c r="B484" s="54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</row>
    <row r="485" spans="1:26" ht="13.5" customHeight="1" x14ac:dyDescent="0.3">
      <c r="A485" s="54"/>
      <c r="B485" s="54"/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</row>
    <row r="486" spans="1:26" ht="13.5" customHeight="1" x14ac:dyDescent="0.3">
      <c r="A486" s="54"/>
      <c r="B486" s="54"/>
      <c r="C486" s="54"/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</row>
    <row r="487" spans="1:26" ht="13.5" customHeight="1" x14ac:dyDescent="0.3">
      <c r="A487" s="54"/>
      <c r="B487" s="54"/>
      <c r="C487" s="54"/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</row>
    <row r="488" spans="1:26" ht="13.5" customHeight="1" x14ac:dyDescent="0.3">
      <c r="A488" s="54"/>
      <c r="B488" s="54"/>
      <c r="C488" s="54"/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</row>
    <row r="489" spans="1:26" ht="13.5" customHeight="1" x14ac:dyDescent="0.3">
      <c r="A489" s="54"/>
      <c r="B489" s="54"/>
      <c r="C489" s="54"/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</row>
    <row r="490" spans="1:26" ht="13.5" customHeight="1" x14ac:dyDescent="0.3">
      <c r="A490" s="54"/>
      <c r="B490" s="54"/>
      <c r="C490" s="54"/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</row>
    <row r="491" spans="1:26" ht="13.5" customHeight="1" x14ac:dyDescent="0.3">
      <c r="A491" s="54"/>
      <c r="B491" s="54"/>
      <c r="C491" s="54"/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</row>
    <row r="492" spans="1:26" ht="13.5" customHeight="1" x14ac:dyDescent="0.3">
      <c r="A492" s="54"/>
      <c r="B492" s="54"/>
      <c r="C492" s="54"/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</row>
    <row r="493" spans="1:26" ht="13.5" customHeight="1" x14ac:dyDescent="0.3">
      <c r="A493" s="54"/>
      <c r="B493" s="54"/>
      <c r="C493" s="54"/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</row>
    <row r="494" spans="1:26" ht="13.5" customHeight="1" x14ac:dyDescent="0.3">
      <c r="A494" s="54"/>
      <c r="B494" s="54"/>
      <c r="C494" s="54"/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</row>
    <row r="495" spans="1:26" ht="13.5" customHeight="1" x14ac:dyDescent="0.3">
      <c r="A495" s="54"/>
      <c r="B495" s="54"/>
      <c r="C495" s="54"/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</row>
    <row r="496" spans="1:26" ht="13.5" customHeight="1" x14ac:dyDescent="0.3">
      <c r="A496" s="54"/>
      <c r="B496" s="54"/>
      <c r="C496" s="54"/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</row>
    <row r="497" spans="1:26" ht="13.5" customHeight="1" x14ac:dyDescent="0.3">
      <c r="A497" s="54"/>
      <c r="B497" s="54"/>
      <c r="C497" s="54"/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</row>
    <row r="498" spans="1:26" ht="13.5" customHeight="1" x14ac:dyDescent="0.3">
      <c r="A498" s="54"/>
      <c r="B498" s="54"/>
      <c r="C498" s="54"/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</row>
    <row r="499" spans="1:26" ht="13.5" customHeight="1" x14ac:dyDescent="0.3">
      <c r="A499" s="54"/>
      <c r="B499" s="54"/>
      <c r="C499" s="54"/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</row>
    <row r="500" spans="1:26" ht="13.5" customHeight="1" x14ac:dyDescent="0.3">
      <c r="A500" s="54"/>
      <c r="B500" s="54"/>
      <c r="C500" s="54"/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</row>
    <row r="501" spans="1:26" ht="13.5" customHeight="1" x14ac:dyDescent="0.3">
      <c r="A501" s="54"/>
      <c r="B501" s="54"/>
      <c r="C501" s="54"/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</row>
    <row r="502" spans="1:26" ht="13.5" customHeight="1" x14ac:dyDescent="0.3">
      <c r="A502" s="54"/>
      <c r="B502" s="54"/>
      <c r="C502" s="54"/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</row>
    <row r="503" spans="1:26" ht="13.5" customHeight="1" x14ac:dyDescent="0.3">
      <c r="A503" s="54"/>
      <c r="B503" s="54"/>
      <c r="C503" s="54"/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</row>
    <row r="504" spans="1:26" ht="13.5" customHeight="1" x14ac:dyDescent="0.3">
      <c r="A504" s="54"/>
      <c r="B504" s="54"/>
      <c r="C504" s="54"/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</row>
    <row r="505" spans="1:26" ht="13.5" customHeight="1" x14ac:dyDescent="0.3">
      <c r="A505" s="54"/>
      <c r="B505" s="54"/>
      <c r="C505" s="54"/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</row>
    <row r="506" spans="1:26" ht="13.5" customHeight="1" x14ac:dyDescent="0.3">
      <c r="A506" s="54"/>
      <c r="B506" s="54"/>
      <c r="C506" s="54"/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</row>
    <row r="507" spans="1:26" ht="13.5" customHeight="1" x14ac:dyDescent="0.3">
      <c r="A507" s="54"/>
      <c r="B507" s="54"/>
      <c r="C507" s="54"/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</row>
    <row r="508" spans="1:26" ht="13.5" customHeight="1" x14ac:dyDescent="0.3">
      <c r="A508" s="54"/>
      <c r="B508" s="54"/>
      <c r="C508" s="54"/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</row>
    <row r="509" spans="1:26" ht="13.5" customHeight="1" x14ac:dyDescent="0.3">
      <c r="A509" s="54"/>
      <c r="B509" s="54"/>
      <c r="C509" s="54"/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</row>
    <row r="510" spans="1:26" ht="13.5" customHeight="1" x14ac:dyDescent="0.3">
      <c r="A510" s="54"/>
      <c r="B510" s="54"/>
      <c r="C510" s="54"/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</row>
    <row r="511" spans="1:26" ht="13.5" customHeight="1" x14ac:dyDescent="0.3">
      <c r="A511" s="54"/>
      <c r="B511" s="54"/>
      <c r="C511" s="54"/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</row>
    <row r="512" spans="1:26" ht="13.5" customHeight="1" x14ac:dyDescent="0.3">
      <c r="A512" s="54"/>
      <c r="B512" s="54"/>
      <c r="C512" s="54"/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</row>
    <row r="513" spans="1:26" ht="13.5" customHeight="1" x14ac:dyDescent="0.3">
      <c r="A513" s="54"/>
      <c r="B513" s="54"/>
      <c r="C513" s="54"/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</row>
    <row r="514" spans="1:26" ht="13.5" customHeight="1" x14ac:dyDescent="0.3">
      <c r="A514" s="54"/>
      <c r="B514" s="54"/>
      <c r="C514" s="54"/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</row>
    <row r="515" spans="1:26" ht="13.5" customHeight="1" x14ac:dyDescent="0.3">
      <c r="A515" s="54"/>
      <c r="B515" s="54"/>
      <c r="C515" s="54"/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</row>
    <row r="516" spans="1:26" ht="13.5" customHeight="1" x14ac:dyDescent="0.3">
      <c r="A516" s="54"/>
      <c r="B516" s="54"/>
      <c r="C516" s="54"/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</row>
    <row r="517" spans="1:26" ht="13.5" customHeight="1" x14ac:dyDescent="0.3">
      <c r="A517" s="54"/>
      <c r="B517" s="54"/>
      <c r="C517" s="54"/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</row>
    <row r="518" spans="1:26" ht="13.5" customHeight="1" x14ac:dyDescent="0.3">
      <c r="A518" s="54"/>
      <c r="B518" s="54"/>
      <c r="C518" s="54"/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</row>
    <row r="519" spans="1:26" ht="13.5" customHeight="1" x14ac:dyDescent="0.3">
      <c r="A519" s="54"/>
      <c r="B519" s="54"/>
      <c r="C519" s="54"/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</row>
    <row r="520" spans="1:26" ht="13.5" customHeight="1" x14ac:dyDescent="0.3">
      <c r="A520" s="54"/>
      <c r="B520" s="54"/>
      <c r="C520" s="54"/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</row>
    <row r="521" spans="1:26" ht="13.5" customHeight="1" x14ac:dyDescent="0.3">
      <c r="A521" s="54"/>
      <c r="B521" s="54"/>
      <c r="C521" s="54"/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</row>
    <row r="522" spans="1:26" ht="13.5" customHeight="1" x14ac:dyDescent="0.3">
      <c r="A522" s="54"/>
      <c r="B522" s="54"/>
      <c r="C522" s="54"/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</row>
    <row r="523" spans="1:26" ht="13.5" customHeight="1" x14ac:dyDescent="0.3">
      <c r="A523" s="54"/>
      <c r="B523" s="54"/>
      <c r="C523" s="54"/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</row>
    <row r="524" spans="1:26" ht="13.5" customHeight="1" x14ac:dyDescent="0.3">
      <c r="A524" s="54"/>
      <c r="B524" s="54"/>
      <c r="C524" s="54"/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</row>
    <row r="525" spans="1:26" ht="13.5" customHeight="1" x14ac:dyDescent="0.3">
      <c r="A525" s="54"/>
      <c r="B525" s="54"/>
      <c r="C525" s="54"/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</row>
    <row r="526" spans="1:26" ht="13.5" customHeight="1" x14ac:dyDescent="0.3">
      <c r="A526" s="54"/>
      <c r="B526" s="54"/>
      <c r="C526" s="54"/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</row>
    <row r="527" spans="1:26" ht="13.5" customHeight="1" x14ac:dyDescent="0.3">
      <c r="A527" s="54"/>
      <c r="B527" s="54"/>
      <c r="C527" s="54"/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</row>
    <row r="528" spans="1:26" ht="13.5" customHeight="1" x14ac:dyDescent="0.3">
      <c r="A528" s="54"/>
      <c r="B528" s="54"/>
      <c r="C528" s="54"/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</row>
    <row r="529" spans="1:26" ht="13.5" customHeight="1" x14ac:dyDescent="0.3">
      <c r="A529" s="54"/>
      <c r="B529" s="54"/>
      <c r="C529" s="54"/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</row>
    <row r="530" spans="1:26" ht="13.5" customHeight="1" x14ac:dyDescent="0.3">
      <c r="A530" s="54"/>
      <c r="B530" s="54"/>
      <c r="C530" s="54"/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</row>
    <row r="531" spans="1:26" ht="13.5" customHeight="1" x14ac:dyDescent="0.3">
      <c r="A531" s="54"/>
      <c r="B531" s="54"/>
      <c r="C531" s="54"/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</row>
    <row r="532" spans="1:26" ht="13.5" customHeight="1" x14ac:dyDescent="0.3">
      <c r="A532" s="54"/>
      <c r="B532" s="54"/>
      <c r="C532" s="54"/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</row>
    <row r="533" spans="1:26" ht="13.5" customHeight="1" x14ac:dyDescent="0.3">
      <c r="A533" s="54"/>
      <c r="B533" s="54"/>
      <c r="C533" s="54"/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</row>
    <row r="534" spans="1:26" ht="13.5" customHeight="1" x14ac:dyDescent="0.3">
      <c r="A534" s="54"/>
      <c r="B534" s="54"/>
      <c r="C534" s="54"/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</row>
    <row r="535" spans="1:26" ht="13.5" customHeight="1" x14ac:dyDescent="0.3">
      <c r="A535" s="54"/>
      <c r="B535" s="54"/>
      <c r="C535" s="54"/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</row>
    <row r="536" spans="1:26" ht="13.5" customHeight="1" x14ac:dyDescent="0.3">
      <c r="A536" s="54"/>
      <c r="B536" s="54"/>
      <c r="C536" s="54"/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</row>
    <row r="537" spans="1:26" ht="13.5" customHeight="1" x14ac:dyDescent="0.3">
      <c r="A537" s="54"/>
      <c r="B537" s="54"/>
      <c r="C537" s="54"/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</row>
    <row r="538" spans="1:26" ht="13.5" customHeight="1" x14ac:dyDescent="0.3">
      <c r="A538" s="54"/>
      <c r="B538" s="54"/>
      <c r="C538" s="54"/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</row>
    <row r="539" spans="1:26" ht="13.5" customHeight="1" x14ac:dyDescent="0.3">
      <c r="A539" s="54"/>
      <c r="B539" s="54"/>
      <c r="C539" s="54"/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</row>
    <row r="540" spans="1:26" ht="13.5" customHeight="1" x14ac:dyDescent="0.3">
      <c r="A540" s="54"/>
      <c r="B540" s="54"/>
      <c r="C540" s="54"/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</row>
    <row r="541" spans="1:26" ht="13.5" customHeight="1" x14ac:dyDescent="0.3">
      <c r="A541" s="54"/>
      <c r="B541" s="54"/>
      <c r="C541" s="54"/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</row>
    <row r="542" spans="1:26" ht="13.5" customHeight="1" x14ac:dyDescent="0.3">
      <c r="A542" s="54"/>
      <c r="B542" s="54"/>
      <c r="C542" s="54"/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</row>
    <row r="543" spans="1:26" ht="13.5" customHeight="1" x14ac:dyDescent="0.3">
      <c r="A543" s="54"/>
      <c r="B543" s="54"/>
      <c r="C543" s="54"/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</row>
    <row r="544" spans="1:26" ht="13.5" customHeight="1" x14ac:dyDescent="0.3">
      <c r="A544" s="54"/>
      <c r="B544" s="54"/>
      <c r="C544" s="54"/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</row>
    <row r="545" spans="1:26" ht="13.5" customHeight="1" x14ac:dyDescent="0.3">
      <c r="A545" s="54"/>
      <c r="B545" s="54"/>
      <c r="C545" s="54"/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</row>
    <row r="546" spans="1:26" ht="13.5" customHeight="1" x14ac:dyDescent="0.3">
      <c r="A546" s="54"/>
      <c r="B546" s="54"/>
      <c r="C546" s="54"/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</row>
    <row r="547" spans="1:26" ht="13.5" customHeight="1" x14ac:dyDescent="0.3">
      <c r="A547" s="54"/>
      <c r="B547" s="54"/>
      <c r="C547" s="54"/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</row>
    <row r="548" spans="1:26" ht="13.5" customHeight="1" x14ac:dyDescent="0.3">
      <c r="A548" s="54"/>
      <c r="B548" s="54"/>
      <c r="C548" s="54"/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</row>
    <row r="549" spans="1:26" ht="13.5" customHeight="1" x14ac:dyDescent="0.3">
      <c r="A549" s="54"/>
      <c r="B549" s="54"/>
      <c r="C549" s="54"/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</row>
    <row r="550" spans="1:26" ht="13.5" customHeight="1" x14ac:dyDescent="0.3">
      <c r="A550" s="54"/>
      <c r="B550" s="54"/>
      <c r="C550" s="54"/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</row>
    <row r="551" spans="1:26" ht="13.5" customHeight="1" x14ac:dyDescent="0.3">
      <c r="A551" s="54"/>
      <c r="B551" s="54"/>
      <c r="C551" s="54"/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</row>
    <row r="552" spans="1:26" ht="13.5" customHeight="1" x14ac:dyDescent="0.3">
      <c r="A552" s="54"/>
      <c r="B552" s="54"/>
      <c r="C552" s="54"/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</row>
    <row r="553" spans="1:26" ht="13.5" customHeight="1" x14ac:dyDescent="0.3">
      <c r="A553" s="54"/>
      <c r="B553" s="54"/>
      <c r="C553" s="54"/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</row>
    <row r="554" spans="1:26" ht="13.5" customHeight="1" x14ac:dyDescent="0.3">
      <c r="A554" s="54"/>
      <c r="B554" s="54"/>
      <c r="C554" s="54"/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</row>
    <row r="555" spans="1:26" ht="13.5" customHeight="1" x14ac:dyDescent="0.3">
      <c r="A555" s="54"/>
      <c r="B555" s="54"/>
      <c r="C555" s="54"/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</row>
    <row r="556" spans="1:26" ht="13.5" customHeight="1" x14ac:dyDescent="0.3">
      <c r="A556" s="54"/>
      <c r="B556" s="54"/>
      <c r="C556" s="54"/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</row>
    <row r="557" spans="1:26" ht="13.5" customHeight="1" x14ac:dyDescent="0.3">
      <c r="A557" s="54"/>
      <c r="B557" s="54"/>
      <c r="C557" s="54"/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</row>
    <row r="558" spans="1:26" ht="13.5" customHeight="1" x14ac:dyDescent="0.3">
      <c r="A558" s="54"/>
      <c r="B558" s="54"/>
      <c r="C558" s="54"/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</row>
    <row r="559" spans="1:26" ht="13.5" customHeight="1" x14ac:dyDescent="0.3">
      <c r="A559" s="54"/>
      <c r="B559" s="54"/>
      <c r="C559" s="54"/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</row>
    <row r="560" spans="1:26" ht="13.5" customHeight="1" x14ac:dyDescent="0.3">
      <c r="A560" s="54"/>
      <c r="B560" s="54"/>
      <c r="C560" s="54"/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</row>
    <row r="561" spans="1:26" ht="13.5" customHeight="1" x14ac:dyDescent="0.3">
      <c r="A561" s="54"/>
      <c r="B561" s="54"/>
      <c r="C561" s="54"/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</row>
    <row r="562" spans="1:26" ht="13.5" customHeight="1" x14ac:dyDescent="0.3">
      <c r="A562" s="54"/>
      <c r="B562" s="54"/>
      <c r="C562" s="54"/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</row>
    <row r="563" spans="1:26" ht="13.5" customHeight="1" x14ac:dyDescent="0.3">
      <c r="A563" s="54"/>
      <c r="B563" s="54"/>
      <c r="C563" s="54"/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</row>
    <row r="564" spans="1:26" ht="13.5" customHeight="1" x14ac:dyDescent="0.3">
      <c r="A564" s="54"/>
      <c r="B564" s="54"/>
      <c r="C564" s="54"/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</row>
    <row r="565" spans="1:26" ht="13.5" customHeight="1" x14ac:dyDescent="0.3">
      <c r="A565" s="54"/>
      <c r="B565" s="54"/>
      <c r="C565" s="54"/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</row>
    <row r="566" spans="1:26" ht="13.5" customHeight="1" x14ac:dyDescent="0.3">
      <c r="A566" s="54"/>
      <c r="B566" s="54"/>
      <c r="C566" s="54"/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</row>
    <row r="567" spans="1:26" ht="13.5" customHeight="1" x14ac:dyDescent="0.3">
      <c r="A567" s="54"/>
      <c r="B567" s="54"/>
      <c r="C567" s="54"/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</row>
    <row r="568" spans="1:26" ht="13.5" customHeight="1" x14ac:dyDescent="0.3">
      <c r="A568" s="54"/>
      <c r="B568" s="54"/>
      <c r="C568" s="54"/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</row>
    <row r="569" spans="1:26" ht="13.5" customHeight="1" x14ac:dyDescent="0.3">
      <c r="A569" s="54"/>
      <c r="B569" s="54"/>
      <c r="C569" s="54"/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</row>
    <row r="570" spans="1:26" ht="13.5" customHeight="1" x14ac:dyDescent="0.3">
      <c r="A570" s="54"/>
      <c r="B570" s="54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</row>
    <row r="571" spans="1:26" ht="13.5" customHeight="1" x14ac:dyDescent="0.3">
      <c r="A571" s="54"/>
      <c r="B571" s="54"/>
      <c r="C571" s="54"/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</row>
    <row r="572" spans="1:26" ht="13.5" customHeight="1" x14ac:dyDescent="0.3">
      <c r="A572" s="54"/>
      <c r="B572" s="54"/>
      <c r="C572" s="54"/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</row>
    <row r="573" spans="1:26" ht="13.5" customHeight="1" x14ac:dyDescent="0.3">
      <c r="A573" s="54"/>
      <c r="B573" s="54"/>
      <c r="C573" s="54"/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</row>
    <row r="574" spans="1:26" ht="13.5" customHeight="1" x14ac:dyDescent="0.3">
      <c r="A574" s="54"/>
      <c r="B574" s="54"/>
      <c r="C574" s="54"/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</row>
    <row r="575" spans="1:26" ht="13.5" customHeight="1" x14ac:dyDescent="0.3">
      <c r="A575" s="54"/>
      <c r="B575" s="54"/>
      <c r="C575" s="54"/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</row>
    <row r="576" spans="1:26" ht="13.5" customHeight="1" x14ac:dyDescent="0.3">
      <c r="A576" s="54"/>
      <c r="B576" s="54"/>
      <c r="C576" s="54"/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</row>
    <row r="577" spans="1:26" ht="13.5" customHeight="1" x14ac:dyDescent="0.3">
      <c r="A577" s="54"/>
      <c r="B577" s="54"/>
      <c r="C577" s="54"/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</row>
    <row r="578" spans="1:26" ht="13.5" customHeight="1" x14ac:dyDescent="0.3">
      <c r="A578" s="54"/>
      <c r="B578" s="54"/>
      <c r="C578" s="54"/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</row>
    <row r="579" spans="1:26" ht="13.5" customHeight="1" x14ac:dyDescent="0.3">
      <c r="A579" s="54"/>
      <c r="B579" s="54"/>
      <c r="C579" s="54"/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</row>
    <row r="580" spans="1:26" ht="13.5" customHeight="1" x14ac:dyDescent="0.3">
      <c r="A580" s="54"/>
      <c r="B580" s="54"/>
      <c r="C580" s="54"/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</row>
    <row r="581" spans="1:26" ht="13.5" customHeight="1" x14ac:dyDescent="0.3">
      <c r="A581" s="54"/>
      <c r="B581" s="54"/>
      <c r="C581" s="54"/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</row>
    <row r="582" spans="1:26" ht="13.5" customHeight="1" x14ac:dyDescent="0.3">
      <c r="A582" s="54"/>
      <c r="B582" s="54"/>
      <c r="C582" s="54"/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</row>
    <row r="583" spans="1:26" ht="13.5" customHeight="1" x14ac:dyDescent="0.3">
      <c r="A583" s="54"/>
      <c r="B583" s="54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</row>
    <row r="584" spans="1:26" ht="13.5" customHeight="1" x14ac:dyDescent="0.3">
      <c r="A584" s="54"/>
      <c r="B584" s="54"/>
      <c r="C584" s="54"/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</row>
    <row r="585" spans="1:26" ht="13.5" customHeight="1" x14ac:dyDescent="0.3">
      <c r="A585" s="54"/>
      <c r="B585" s="54"/>
      <c r="C585" s="54"/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</row>
    <row r="586" spans="1:26" ht="13.5" customHeight="1" x14ac:dyDescent="0.3">
      <c r="A586" s="54"/>
      <c r="B586" s="54"/>
      <c r="C586" s="54"/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</row>
    <row r="587" spans="1:26" ht="13.5" customHeight="1" x14ac:dyDescent="0.3">
      <c r="A587" s="54"/>
      <c r="B587" s="54"/>
      <c r="C587" s="54"/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</row>
    <row r="588" spans="1:26" ht="13.5" customHeight="1" x14ac:dyDescent="0.3">
      <c r="A588" s="54"/>
      <c r="B588" s="54"/>
      <c r="C588" s="54"/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</row>
    <row r="589" spans="1:26" ht="13.5" customHeight="1" x14ac:dyDescent="0.3">
      <c r="A589" s="54"/>
      <c r="B589" s="54"/>
      <c r="C589" s="54"/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</row>
    <row r="590" spans="1:26" ht="13.5" customHeight="1" x14ac:dyDescent="0.3">
      <c r="A590" s="54"/>
      <c r="B590" s="54"/>
      <c r="C590" s="54"/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</row>
    <row r="591" spans="1:26" ht="13.5" customHeight="1" x14ac:dyDescent="0.3">
      <c r="A591" s="54"/>
      <c r="B591" s="54"/>
      <c r="C591" s="54"/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</row>
    <row r="592" spans="1:26" ht="13.5" customHeight="1" x14ac:dyDescent="0.3">
      <c r="A592" s="54"/>
      <c r="B592" s="54"/>
      <c r="C592" s="54"/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</row>
    <row r="593" spans="1:26" ht="13.5" customHeight="1" x14ac:dyDescent="0.3">
      <c r="A593" s="54"/>
      <c r="B593" s="54"/>
      <c r="C593" s="54"/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</row>
    <row r="594" spans="1:26" ht="13.5" customHeight="1" x14ac:dyDescent="0.3">
      <c r="A594" s="54"/>
      <c r="B594" s="54"/>
      <c r="C594" s="54"/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</row>
    <row r="595" spans="1:26" ht="13.5" customHeight="1" x14ac:dyDescent="0.3">
      <c r="A595" s="54"/>
      <c r="B595" s="54"/>
      <c r="C595" s="54"/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</row>
    <row r="596" spans="1:26" ht="13.5" customHeight="1" x14ac:dyDescent="0.3">
      <c r="A596" s="54"/>
      <c r="B596" s="54"/>
      <c r="C596" s="54"/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</row>
    <row r="597" spans="1:26" ht="13.5" customHeight="1" x14ac:dyDescent="0.3">
      <c r="A597" s="54"/>
      <c r="B597" s="54"/>
      <c r="C597" s="54"/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</row>
    <row r="598" spans="1:26" ht="13.5" customHeight="1" x14ac:dyDescent="0.3">
      <c r="A598" s="54"/>
      <c r="B598" s="54"/>
      <c r="C598" s="54"/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</row>
    <row r="599" spans="1:26" ht="13.5" customHeight="1" x14ac:dyDescent="0.3">
      <c r="A599" s="54"/>
      <c r="B599" s="54"/>
      <c r="C599" s="54"/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</row>
    <row r="600" spans="1:26" ht="13.5" customHeight="1" x14ac:dyDescent="0.3">
      <c r="A600" s="54"/>
      <c r="B600" s="54"/>
      <c r="C600" s="54"/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</row>
    <row r="601" spans="1:26" ht="13.5" customHeight="1" x14ac:dyDescent="0.3">
      <c r="A601" s="54"/>
      <c r="B601" s="54"/>
      <c r="C601" s="54"/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</row>
    <row r="602" spans="1:26" ht="13.5" customHeight="1" x14ac:dyDescent="0.3">
      <c r="A602" s="54"/>
      <c r="B602" s="54"/>
      <c r="C602" s="54"/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</row>
    <row r="603" spans="1:26" ht="13.5" customHeight="1" x14ac:dyDescent="0.3">
      <c r="A603" s="54"/>
      <c r="B603" s="54"/>
      <c r="C603" s="54"/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</row>
    <row r="604" spans="1:26" ht="13.5" customHeight="1" x14ac:dyDescent="0.3">
      <c r="A604" s="54"/>
      <c r="B604" s="54"/>
      <c r="C604" s="54"/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</row>
    <row r="605" spans="1:26" ht="13.5" customHeight="1" x14ac:dyDescent="0.3">
      <c r="A605" s="54"/>
      <c r="B605" s="54"/>
      <c r="C605" s="54"/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</row>
    <row r="606" spans="1:26" ht="13.5" customHeight="1" x14ac:dyDescent="0.3">
      <c r="A606" s="54"/>
      <c r="B606" s="54"/>
      <c r="C606" s="54"/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</row>
    <row r="607" spans="1:26" ht="13.5" customHeight="1" x14ac:dyDescent="0.3">
      <c r="A607" s="54"/>
      <c r="B607" s="54"/>
      <c r="C607" s="54"/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</row>
    <row r="608" spans="1:26" ht="13.5" customHeight="1" x14ac:dyDescent="0.3">
      <c r="A608" s="54"/>
      <c r="B608" s="54"/>
      <c r="C608" s="54"/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</row>
    <row r="609" spans="1:26" ht="13.5" customHeight="1" x14ac:dyDescent="0.3">
      <c r="A609" s="54"/>
      <c r="B609" s="54"/>
      <c r="C609" s="54"/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</row>
    <row r="610" spans="1:26" ht="13.5" customHeight="1" x14ac:dyDescent="0.3">
      <c r="A610" s="54"/>
      <c r="B610" s="54"/>
      <c r="C610" s="54"/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</row>
    <row r="611" spans="1:26" ht="13.5" customHeight="1" x14ac:dyDescent="0.3">
      <c r="A611" s="54"/>
      <c r="B611" s="54"/>
      <c r="C611" s="54"/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</row>
    <row r="612" spans="1:26" ht="13.5" customHeight="1" x14ac:dyDescent="0.3">
      <c r="A612" s="54"/>
      <c r="B612" s="54"/>
      <c r="C612" s="54"/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</row>
    <row r="613" spans="1:26" ht="13.5" customHeight="1" x14ac:dyDescent="0.3">
      <c r="A613" s="54"/>
      <c r="B613" s="54"/>
      <c r="C613" s="54"/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</row>
    <row r="614" spans="1:26" ht="13.5" customHeight="1" x14ac:dyDescent="0.3">
      <c r="A614" s="54"/>
      <c r="B614" s="54"/>
      <c r="C614" s="54"/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</row>
    <row r="615" spans="1:26" ht="13.5" customHeight="1" x14ac:dyDescent="0.3">
      <c r="A615" s="54"/>
      <c r="B615" s="54"/>
      <c r="C615" s="54"/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</row>
    <row r="616" spans="1:26" ht="13.5" customHeight="1" x14ac:dyDescent="0.3">
      <c r="A616" s="54"/>
      <c r="B616" s="54"/>
      <c r="C616" s="54"/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</row>
    <row r="617" spans="1:26" ht="13.5" customHeight="1" x14ac:dyDescent="0.3">
      <c r="A617" s="54"/>
      <c r="B617" s="54"/>
      <c r="C617" s="54"/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</row>
    <row r="618" spans="1:26" ht="13.5" customHeight="1" x14ac:dyDescent="0.3">
      <c r="A618" s="54"/>
      <c r="B618" s="54"/>
      <c r="C618" s="54"/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</row>
    <row r="619" spans="1:26" ht="13.5" customHeight="1" x14ac:dyDescent="0.3">
      <c r="A619" s="54"/>
      <c r="B619" s="54"/>
      <c r="C619" s="54"/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</row>
    <row r="620" spans="1:26" ht="13.5" customHeight="1" x14ac:dyDescent="0.3">
      <c r="A620" s="54"/>
      <c r="B620" s="54"/>
      <c r="C620" s="54"/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</row>
    <row r="621" spans="1:26" ht="13.5" customHeight="1" x14ac:dyDescent="0.3">
      <c r="A621" s="54"/>
      <c r="B621" s="54"/>
      <c r="C621" s="54"/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</row>
    <row r="622" spans="1:26" ht="13.5" customHeight="1" x14ac:dyDescent="0.3">
      <c r="A622" s="54"/>
      <c r="B622" s="54"/>
      <c r="C622" s="54"/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</row>
    <row r="623" spans="1:26" ht="13.5" customHeight="1" x14ac:dyDescent="0.3">
      <c r="A623" s="54"/>
      <c r="B623" s="54"/>
      <c r="C623" s="54"/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</row>
    <row r="624" spans="1:26" ht="13.5" customHeight="1" x14ac:dyDescent="0.3">
      <c r="A624" s="54"/>
      <c r="B624" s="54"/>
      <c r="C624" s="54"/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</row>
    <row r="625" spans="1:26" ht="13.5" customHeight="1" x14ac:dyDescent="0.3">
      <c r="A625" s="54"/>
      <c r="B625" s="54"/>
      <c r="C625" s="54"/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</row>
    <row r="626" spans="1:26" ht="13.5" customHeight="1" x14ac:dyDescent="0.3">
      <c r="A626" s="54"/>
      <c r="B626" s="54"/>
      <c r="C626" s="54"/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</row>
    <row r="627" spans="1:26" ht="13.5" customHeight="1" x14ac:dyDescent="0.3">
      <c r="A627" s="54"/>
      <c r="B627" s="54"/>
      <c r="C627" s="54"/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</row>
    <row r="628" spans="1:26" ht="13.5" customHeight="1" x14ac:dyDescent="0.3">
      <c r="A628" s="54"/>
      <c r="B628" s="54"/>
      <c r="C628" s="54"/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</row>
    <row r="629" spans="1:26" ht="13.5" customHeight="1" x14ac:dyDescent="0.3">
      <c r="A629" s="54"/>
      <c r="B629" s="54"/>
      <c r="C629" s="54"/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</row>
    <row r="630" spans="1:26" ht="13.5" customHeight="1" x14ac:dyDescent="0.3">
      <c r="A630" s="54"/>
      <c r="B630" s="54"/>
      <c r="C630" s="54"/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</row>
    <row r="631" spans="1:26" ht="13.5" customHeight="1" x14ac:dyDescent="0.3">
      <c r="A631" s="54"/>
      <c r="B631" s="54"/>
      <c r="C631" s="54"/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</row>
    <row r="632" spans="1:26" ht="13.5" customHeight="1" x14ac:dyDescent="0.3">
      <c r="A632" s="54"/>
      <c r="B632" s="54"/>
      <c r="C632" s="54"/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</row>
    <row r="633" spans="1:26" ht="13.5" customHeight="1" x14ac:dyDescent="0.3">
      <c r="A633" s="54"/>
      <c r="B633" s="54"/>
      <c r="C633" s="54"/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</row>
    <row r="634" spans="1:26" ht="13.5" customHeight="1" x14ac:dyDescent="0.3">
      <c r="A634" s="54"/>
      <c r="B634" s="54"/>
      <c r="C634" s="54"/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</row>
    <row r="635" spans="1:26" ht="13.5" customHeight="1" x14ac:dyDescent="0.3">
      <c r="A635" s="54"/>
      <c r="B635" s="54"/>
      <c r="C635" s="54"/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</row>
    <row r="636" spans="1:26" ht="13.5" customHeight="1" x14ac:dyDescent="0.3">
      <c r="A636" s="54"/>
      <c r="B636" s="54"/>
      <c r="C636" s="54"/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</row>
    <row r="637" spans="1:26" ht="13.5" customHeight="1" x14ac:dyDescent="0.3">
      <c r="A637" s="54"/>
      <c r="B637" s="54"/>
      <c r="C637" s="54"/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</row>
    <row r="638" spans="1:26" ht="13.5" customHeight="1" x14ac:dyDescent="0.3">
      <c r="A638" s="54"/>
      <c r="B638" s="54"/>
      <c r="C638" s="54"/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</row>
    <row r="639" spans="1:26" ht="13.5" customHeight="1" x14ac:dyDescent="0.3">
      <c r="A639" s="54"/>
      <c r="B639" s="54"/>
      <c r="C639" s="54"/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</row>
    <row r="640" spans="1:26" ht="13.5" customHeight="1" x14ac:dyDescent="0.3">
      <c r="A640" s="54"/>
      <c r="B640" s="54"/>
      <c r="C640" s="54"/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</row>
    <row r="641" spans="1:26" ht="13.5" customHeight="1" x14ac:dyDescent="0.3">
      <c r="A641" s="54"/>
      <c r="B641" s="54"/>
      <c r="C641" s="54"/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</row>
    <row r="642" spans="1:26" ht="13.5" customHeight="1" x14ac:dyDescent="0.3">
      <c r="A642" s="54"/>
      <c r="B642" s="54"/>
      <c r="C642" s="54"/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</row>
    <row r="643" spans="1:26" ht="13.5" customHeight="1" x14ac:dyDescent="0.3">
      <c r="A643" s="54"/>
      <c r="B643" s="54"/>
      <c r="C643" s="54"/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</row>
    <row r="644" spans="1:26" ht="13.5" customHeight="1" x14ac:dyDescent="0.3">
      <c r="A644" s="54"/>
      <c r="B644" s="54"/>
      <c r="C644" s="54"/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</row>
    <row r="645" spans="1:26" ht="13.5" customHeight="1" x14ac:dyDescent="0.3">
      <c r="A645" s="54"/>
      <c r="B645" s="54"/>
      <c r="C645" s="54"/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</row>
    <row r="646" spans="1:26" ht="13.5" customHeight="1" x14ac:dyDescent="0.3">
      <c r="A646" s="54"/>
      <c r="B646" s="54"/>
      <c r="C646" s="54"/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</row>
    <row r="647" spans="1:26" ht="13.5" customHeight="1" x14ac:dyDescent="0.3">
      <c r="A647" s="54"/>
      <c r="B647" s="54"/>
      <c r="C647" s="54"/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</row>
    <row r="648" spans="1:26" ht="13.5" customHeight="1" x14ac:dyDescent="0.3">
      <c r="A648" s="54"/>
      <c r="B648" s="54"/>
      <c r="C648" s="54"/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</row>
    <row r="649" spans="1:26" ht="13.5" customHeight="1" x14ac:dyDescent="0.3">
      <c r="A649" s="54"/>
      <c r="B649" s="54"/>
      <c r="C649" s="54"/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</row>
    <row r="650" spans="1:26" ht="13.5" customHeight="1" x14ac:dyDescent="0.3">
      <c r="A650" s="54"/>
      <c r="B650" s="54"/>
      <c r="C650" s="54"/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</row>
    <row r="651" spans="1:26" ht="13.5" customHeight="1" x14ac:dyDescent="0.3">
      <c r="A651" s="54"/>
      <c r="B651" s="54"/>
      <c r="C651" s="54"/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</row>
    <row r="652" spans="1:26" ht="13.5" customHeight="1" x14ac:dyDescent="0.3">
      <c r="A652" s="54"/>
      <c r="B652" s="54"/>
      <c r="C652" s="54"/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</row>
    <row r="653" spans="1:26" ht="13.5" customHeight="1" x14ac:dyDescent="0.3">
      <c r="A653" s="54"/>
      <c r="B653" s="54"/>
      <c r="C653" s="54"/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</row>
    <row r="654" spans="1:26" ht="13.5" customHeight="1" x14ac:dyDescent="0.3">
      <c r="A654" s="54"/>
      <c r="B654" s="54"/>
      <c r="C654" s="54"/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</row>
    <row r="655" spans="1:26" ht="13.5" customHeight="1" x14ac:dyDescent="0.3">
      <c r="A655" s="54"/>
      <c r="B655" s="54"/>
      <c r="C655" s="54"/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</row>
    <row r="656" spans="1:26" ht="13.5" customHeight="1" x14ac:dyDescent="0.3">
      <c r="A656" s="54"/>
      <c r="B656" s="54"/>
      <c r="C656" s="54"/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</row>
    <row r="657" spans="1:26" ht="13.5" customHeight="1" x14ac:dyDescent="0.3">
      <c r="A657" s="54"/>
      <c r="B657" s="54"/>
      <c r="C657" s="54"/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</row>
    <row r="658" spans="1:26" ht="13.5" customHeight="1" x14ac:dyDescent="0.3">
      <c r="A658" s="54"/>
      <c r="B658" s="54"/>
      <c r="C658" s="54"/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</row>
    <row r="659" spans="1:26" ht="13.5" customHeight="1" x14ac:dyDescent="0.3">
      <c r="A659" s="54"/>
      <c r="B659" s="54"/>
      <c r="C659" s="54"/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</row>
    <row r="660" spans="1:26" ht="13.5" customHeight="1" x14ac:dyDescent="0.3">
      <c r="A660" s="54"/>
      <c r="B660" s="54"/>
      <c r="C660" s="54"/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</row>
    <row r="661" spans="1:26" ht="13.5" customHeight="1" x14ac:dyDescent="0.3">
      <c r="A661" s="54"/>
      <c r="B661" s="54"/>
      <c r="C661" s="54"/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</row>
    <row r="662" spans="1:26" ht="13.5" customHeight="1" x14ac:dyDescent="0.3">
      <c r="A662" s="54"/>
      <c r="B662" s="54"/>
      <c r="C662" s="54"/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</row>
    <row r="663" spans="1:26" ht="13.5" customHeight="1" x14ac:dyDescent="0.3">
      <c r="A663" s="54"/>
      <c r="B663" s="54"/>
      <c r="C663" s="54"/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</row>
    <row r="664" spans="1:26" ht="13.5" customHeight="1" x14ac:dyDescent="0.3">
      <c r="A664" s="54"/>
      <c r="B664" s="54"/>
      <c r="C664" s="54"/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</row>
    <row r="665" spans="1:26" ht="13.5" customHeight="1" x14ac:dyDescent="0.3">
      <c r="A665" s="54"/>
      <c r="B665" s="54"/>
      <c r="C665" s="54"/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</row>
    <row r="666" spans="1:26" ht="13.5" customHeight="1" x14ac:dyDescent="0.3">
      <c r="A666" s="54"/>
      <c r="B666" s="54"/>
      <c r="C666" s="54"/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</row>
    <row r="667" spans="1:26" ht="13.5" customHeight="1" x14ac:dyDescent="0.3">
      <c r="A667" s="54"/>
      <c r="B667" s="54"/>
      <c r="C667" s="54"/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</row>
    <row r="668" spans="1:26" ht="13.5" customHeight="1" x14ac:dyDescent="0.3">
      <c r="A668" s="54"/>
      <c r="B668" s="54"/>
      <c r="C668" s="54"/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</row>
    <row r="669" spans="1:26" ht="13.5" customHeight="1" x14ac:dyDescent="0.3">
      <c r="A669" s="54"/>
      <c r="B669" s="54"/>
      <c r="C669" s="54"/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</row>
    <row r="670" spans="1:26" ht="13.5" customHeight="1" x14ac:dyDescent="0.3">
      <c r="A670" s="54"/>
      <c r="B670" s="54"/>
      <c r="C670" s="54"/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</row>
    <row r="671" spans="1:26" ht="13.5" customHeight="1" x14ac:dyDescent="0.3">
      <c r="A671" s="54"/>
      <c r="B671" s="54"/>
      <c r="C671" s="54"/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</row>
    <row r="672" spans="1:26" ht="13.5" customHeight="1" x14ac:dyDescent="0.3">
      <c r="A672" s="54"/>
      <c r="B672" s="54"/>
      <c r="C672" s="54"/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</row>
    <row r="673" spans="1:26" ht="13.5" customHeight="1" x14ac:dyDescent="0.3">
      <c r="A673" s="54"/>
      <c r="B673" s="54"/>
      <c r="C673" s="54"/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</row>
    <row r="674" spans="1:26" ht="13.5" customHeight="1" x14ac:dyDescent="0.3">
      <c r="A674" s="54"/>
      <c r="B674" s="54"/>
      <c r="C674" s="54"/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</row>
    <row r="675" spans="1:26" ht="13.5" customHeight="1" x14ac:dyDescent="0.3">
      <c r="A675" s="54"/>
      <c r="B675" s="54"/>
      <c r="C675" s="54"/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</row>
    <row r="676" spans="1:26" ht="13.5" customHeight="1" x14ac:dyDescent="0.3">
      <c r="A676" s="54"/>
      <c r="B676" s="54"/>
      <c r="C676" s="54"/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</row>
    <row r="677" spans="1:26" ht="13.5" customHeight="1" x14ac:dyDescent="0.3">
      <c r="A677" s="54"/>
      <c r="B677" s="54"/>
      <c r="C677" s="54"/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</row>
    <row r="678" spans="1:26" ht="13.5" customHeight="1" x14ac:dyDescent="0.3">
      <c r="A678" s="54"/>
      <c r="B678" s="54"/>
      <c r="C678" s="54"/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</row>
    <row r="679" spans="1:26" ht="13.5" customHeight="1" x14ac:dyDescent="0.3">
      <c r="A679" s="54"/>
      <c r="B679" s="54"/>
      <c r="C679" s="54"/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</row>
    <row r="680" spans="1:26" ht="13.5" customHeight="1" x14ac:dyDescent="0.3">
      <c r="A680" s="54"/>
      <c r="B680" s="54"/>
      <c r="C680" s="54"/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</row>
    <row r="681" spans="1:26" ht="13.5" customHeight="1" x14ac:dyDescent="0.3">
      <c r="A681" s="54"/>
      <c r="B681" s="54"/>
      <c r="C681" s="54"/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</row>
    <row r="682" spans="1:26" ht="13.5" customHeight="1" x14ac:dyDescent="0.3">
      <c r="A682" s="54"/>
      <c r="B682" s="54"/>
      <c r="C682" s="54"/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</row>
    <row r="683" spans="1:26" ht="13.5" customHeight="1" x14ac:dyDescent="0.3">
      <c r="A683" s="54"/>
      <c r="B683" s="54"/>
      <c r="C683" s="54"/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</row>
    <row r="684" spans="1:26" ht="13.5" customHeight="1" x14ac:dyDescent="0.3">
      <c r="A684" s="54"/>
      <c r="B684" s="54"/>
      <c r="C684" s="54"/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</row>
    <row r="685" spans="1:26" ht="13.5" customHeight="1" x14ac:dyDescent="0.3">
      <c r="A685" s="54"/>
      <c r="B685" s="54"/>
      <c r="C685" s="54"/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</row>
    <row r="686" spans="1:26" ht="13.5" customHeight="1" x14ac:dyDescent="0.3">
      <c r="A686" s="54"/>
      <c r="B686" s="54"/>
      <c r="C686" s="54"/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</row>
    <row r="687" spans="1:26" ht="13.5" customHeight="1" x14ac:dyDescent="0.3">
      <c r="A687" s="54"/>
      <c r="B687" s="54"/>
      <c r="C687" s="54"/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</row>
    <row r="688" spans="1:26" ht="13.5" customHeight="1" x14ac:dyDescent="0.3">
      <c r="A688" s="54"/>
      <c r="B688" s="54"/>
      <c r="C688" s="54"/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</row>
    <row r="689" spans="1:26" ht="13.5" customHeight="1" x14ac:dyDescent="0.3">
      <c r="A689" s="54"/>
      <c r="B689" s="54"/>
      <c r="C689" s="54"/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</row>
    <row r="690" spans="1:26" ht="13.5" customHeight="1" x14ac:dyDescent="0.3">
      <c r="A690" s="54"/>
      <c r="B690" s="54"/>
      <c r="C690" s="54"/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</row>
    <row r="691" spans="1:26" ht="13.5" customHeight="1" x14ac:dyDescent="0.3">
      <c r="A691" s="54"/>
      <c r="B691" s="54"/>
      <c r="C691" s="54"/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</row>
    <row r="692" spans="1:26" ht="13.5" customHeight="1" x14ac:dyDescent="0.3">
      <c r="A692" s="54"/>
      <c r="B692" s="54"/>
      <c r="C692" s="54"/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</row>
    <row r="693" spans="1:26" ht="13.5" customHeight="1" x14ac:dyDescent="0.3">
      <c r="A693" s="54"/>
      <c r="B693" s="54"/>
      <c r="C693" s="54"/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</row>
    <row r="694" spans="1:26" ht="13.5" customHeight="1" x14ac:dyDescent="0.3">
      <c r="A694" s="54"/>
      <c r="B694" s="54"/>
      <c r="C694" s="54"/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</row>
    <row r="695" spans="1:26" ht="13.5" customHeight="1" x14ac:dyDescent="0.3">
      <c r="A695" s="54"/>
      <c r="B695" s="54"/>
      <c r="C695" s="54"/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</row>
    <row r="696" spans="1:26" ht="13.5" customHeight="1" x14ac:dyDescent="0.3">
      <c r="A696" s="54"/>
      <c r="B696" s="54"/>
      <c r="C696" s="54"/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</row>
    <row r="697" spans="1:26" ht="13.5" customHeight="1" x14ac:dyDescent="0.3">
      <c r="A697" s="54"/>
      <c r="B697" s="54"/>
      <c r="C697" s="54"/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</row>
    <row r="698" spans="1:26" ht="13.5" customHeight="1" x14ac:dyDescent="0.3">
      <c r="A698" s="54"/>
      <c r="B698" s="54"/>
      <c r="C698" s="54"/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</row>
    <row r="699" spans="1:26" ht="13.5" customHeight="1" x14ac:dyDescent="0.3">
      <c r="A699" s="54"/>
      <c r="B699" s="54"/>
      <c r="C699" s="54"/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</row>
    <row r="700" spans="1:26" ht="13.5" customHeight="1" x14ac:dyDescent="0.3">
      <c r="A700" s="54"/>
      <c r="B700" s="54"/>
      <c r="C700" s="54"/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</row>
    <row r="701" spans="1:26" ht="13.5" customHeight="1" x14ac:dyDescent="0.3">
      <c r="A701" s="54"/>
      <c r="B701" s="54"/>
      <c r="C701" s="54"/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</row>
    <row r="702" spans="1:26" ht="13.5" customHeight="1" x14ac:dyDescent="0.3">
      <c r="A702" s="54"/>
      <c r="B702" s="54"/>
      <c r="C702" s="54"/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</row>
    <row r="703" spans="1:26" ht="13.5" customHeight="1" x14ac:dyDescent="0.3">
      <c r="A703" s="54"/>
      <c r="B703" s="54"/>
      <c r="C703" s="54"/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</row>
    <row r="704" spans="1:26" ht="13.5" customHeight="1" x14ac:dyDescent="0.3">
      <c r="A704" s="54"/>
      <c r="B704" s="54"/>
      <c r="C704" s="54"/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</row>
    <row r="705" spans="1:26" ht="13.5" customHeight="1" x14ac:dyDescent="0.3">
      <c r="A705" s="54"/>
      <c r="B705" s="54"/>
      <c r="C705" s="54"/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</row>
    <row r="706" spans="1:26" ht="13.5" customHeight="1" x14ac:dyDescent="0.3">
      <c r="A706" s="54"/>
      <c r="B706" s="54"/>
      <c r="C706" s="54"/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</row>
    <row r="707" spans="1:26" ht="13.5" customHeight="1" x14ac:dyDescent="0.3">
      <c r="A707" s="54"/>
      <c r="B707" s="54"/>
      <c r="C707" s="54"/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</row>
    <row r="708" spans="1:26" ht="13.5" customHeight="1" x14ac:dyDescent="0.3">
      <c r="A708" s="54"/>
      <c r="B708" s="54"/>
      <c r="C708" s="54"/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</row>
    <row r="709" spans="1:26" ht="13.5" customHeight="1" x14ac:dyDescent="0.3">
      <c r="A709" s="54"/>
      <c r="B709" s="54"/>
      <c r="C709" s="54"/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</row>
    <row r="710" spans="1:26" ht="13.5" customHeight="1" x14ac:dyDescent="0.3">
      <c r="A710" s="54"/>
      <c r="B710" s="54"/>
      <c r="C710" s="54"/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</row>
    <row r="711" spans="1:26" ht="13.5" customHeight="1" x14ac:dyDescent="0.3">
      <c r="A711" s="54"/>
      <c r="B711" s="54"/>
      <c r="C711" s="54"/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</row>
    <row r="712" spans="1:26" ht="13.5" customHeight="1" x14ac:dyDescent="0.3">
      <c r="A712" s="54"/>
      <c r="B712" s="54"/>
      <c r="C712" s="54"/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</row>
    <row r="713" spans="1:26" ht="13.5" customHeight="1" x14ac:dyDescent="0.3">
      <c r="A713" s="54"/>
      <c r="B713" s="54"/>
      <c r="C713" s="54"/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</row>
    <row r="714" spans="1:26" ht="13.5" customHeight="1" x14ac:dyDescent="0.3">
      <c r="A714" s="54"/>
      <c r="B714" s="54"/>
      <c r="C714" s="54"/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</row>
    <row r="715" spans="1:26" ht="13.5" customHeight="1" x14ac:dyDescent="0.3">
      <c r="A715" s="54"/>
      <c r="B715" s="54"/>
      <c r="C715" s="54"/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</row>
    <row r="716" spans="1:26" ht="13.5" customHeight="1" x14ac:dyDescent="0.3">
      <c r="A716" s="54"/>
      <c r="B716" s="54"/>
      <c r="C716" s="54"/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</row>
    <row r="717" spans="1:26" ht="13.5" customHeight="1" x14ac:dyDescent="0.3">
      <c r="A717" s="54"/>
      <c r="B717" s="54"/>
      <c r="C717" s="54"/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</row>
    <row r="718" spans="1:26" ht="13.5" customHeight="1" x14ac:dyDescent="0.3">
      <c r="A718" s="54"/>
      <c r="B718" s="54"/>
      <c r="C718" s="54"/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</row>
    <row r="719" spans="1:26" ht="13.5" customHeight="1" x14ac:dyDescent="0.3">
      <c r="A719" s="54"/>
      <c r="B719" s="54"/>
      <c r="C719" s="54"/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</row>
    <row r="720" spans="1:26" ht="13.5" customHeight="1" x14ac:dyDescent="0.3">
      <c r="A720" s="54"/>
      <c r="B720" s="54"/>
      <c r="C720" s="54"/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</row>
    <row r="721" spans="1:26" ht="13.5" customHeight="1" x14ac:dyDescent="0.3">
      <c r="A721" s="54"/>
      <c r="B721" s="54"/>
      <c r="C721" s="54"/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</row>
    <row r="722" spans="1:26" ht="13.5" customHeight="1" x14ac:dyDescent="0.3">
      <c r="A722" s="54"/>
      <c r="B722" s="54"/>
      <c r="C722" s="54"/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</row>
    <row r="723" spans="1:26" ht="13.5" customHeight="1" x14ac:dyDescent="0.3">
      <c r="A723" s="54"/>
      <c r="B723" s="54"/>
      <c r="C723" s="54"/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</row>
    <row r="724" spans="1:26" ht="13.5" customHeight="1" x14ac:dyDescent="0.3">
      <c r="A724" s="54"/>
      <c r="B724" s="54"/>
      <c r="C724" s="54"/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</row>
    <row r="725" spans="1:26" ht="13.5" customHeight="1" x14ac:dyDescent="0.3">
      <c r="A725" s="54"/>
      <c r="B725" s="54"/>
      <c r="C725" s="54"/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</row>
    <row r="726" spans="1:26" ht="13.5" customHeight="1" x14ac:dyDescent="0.3">
      <c r="A726" s="54"/>
      <c r="B726" s="54"/>
      <c r="C726" s="54"/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</row>
    <row r="727" spans="1:26" ht="13.5" customHeight="1" x14ac:dyDescent="0.3">
      <c r="A727" s="54"/>
      <c r="B727" s="54"/>
      <c r="C727" s="54"/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</row>
    <row r="728" spans="1:26" ht="13.5" customHeight="1" x14ac:dyDescent="0.3">
      <c r="A728" s="54"/>
      <c r="B728" s="54"/>
      <c r="C728" s="54"/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</row>
    <row r="729" spans="1:26" ht="13.5" customHeight="1" x14ac:dyDescent="0.3">
      <c r="A729" s="54"/>
      <c r="B729" s="54"/>
      <c r="C729" s="54"/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</row>
    <row r="730" spans="1:26" ht="13.5" customHeight="1" x14ac:dyDescent="0.3">
      <c r="A730" s="54"/>
      <c r="B730" s="54"/>
      <c r="C730" s="54"/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</row>
    <row r="731" spans="1:26" ht="13.5" customHeight="1" x14ac:dyDescent="0.3">
      <c r="A731" s="54"/>
      <c r="B731" s="54"/>
      <c r="C731" s="54"/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</row>
    <row r="732" spans="1:26" ht="13.5" customHeight="1" x14ac:dyDescent="0.3">
      <c r="A732" s="54"/>
      <c r="B732" s="54"/>
      <c r="C732" s="54"/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</row>
    <row r="733" spans="1:26" ht="13.5" customHeight="1" x14ac:dyDescent="0.3">
      <c r="A733" s="54"/>
      <c r="B733" s="54"/>
      <c r="C733" s="54"/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</row>
    <row r="734" spans="1:26" ht="13.5" customHeight="1" x14ac:dyDescent="0.3">
      <c r="A734" s="54"/>
      <c r="B734" s="54"/>
      <c r="C734" s="54"/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</row>
    <row r="735" spans="1:26" ht="13.5" customHeight="1" x14ac:dyDescent="0.3">
      <c r="A735" s="54"/>
      <c r="B735" s="54"/>
      <c r="C735" s="54"/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</row>
    <row r="736" spans="1:26" ht="13.5" customHeight="1" x14ac:dyDescent="0.3">
      <c r="A736" s="54"/>
      <c r="B736" s="54"/>
      <c r="C736" s="54"/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</row>
    <row r="737" spans="1:26" ht="13.5" customHeight="1" x14ac:dyDescent="0.3">
      <c r="A737" s="54"/>
      <c r="B737" s="54"/>
      <c r="C737" s="54"/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</row>
    <row r="738" spans="1:26" ht="13.5" customHeight="1" x14ac:dyDescent="0.3">
      <c r="A738" s="54"/>
      <c r="B738" s="54"/>
      <c r="C738" s="54"/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</row>
    <row r="739" spans="1:26" ht="13.5" customHeight="1" x14ac:dyDescent="0.3">
      <c r="A739" s="54"/>
      <c r="B739" s="54"/>
      <c r="C739" s="54"/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  <c r="V739" s="54"/>
      <c r="W739" s="54"/>
      <c r="X739" s="54"/>
      <c r="Y739" s="54"/>
      <c r="Z739" s="54"/>
    </row>
    <row r="740" spans="1:26" ht="13.5" customHeight="1" x14ac:dyDescent="0.3">
      <c r="A740" s="54"/>
      <c r="B740" s="54"/>
      <c r="C740" s="54"/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  <c r="V740" s="54"/>
      <c r="W740" s="54"/>
      <c r="X740" s="54"/>
      <c r="Y740" s="54"/>
      <c r="Z740" s="54"/>
    </row>
    <row r="741" spans="1:26" ht="13.5" customHeight="1" x14ac:dyDescent="0.3">
      <c r="A741" s="54"/>
      <c r="B741" s="54"/>
      <c r="C741" s="54"/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</row>
    <row r="742" spans="1:26" ht="13.5" customHeight="1" x14ac:dyDescent="0.3">
      <c r="A742" s="54"/>
      <c r="B742" s="54"/>
      <c r="C742" s="54"/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</row>
    <row r="743" spans="1:26" ht="13.5" customHeight="1" x14ac:dyDescent="0.3">
      <c r="A743" s="54"/>
      <c r="B743" s="54"/>
      <c r="C743" s="54"/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</row>
    <row r="744" spans="1:26" ht="13.5" customHeight="1" x14ac:dyDescent="0.3">
      <c r="A744" s="54"/>
      <c r="B744" s="54"/>
      <c r="C744" s="54"/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</row>
    <row r="745" spans="1:26" ht="13.5" customHeight="1" x14ac:dyDescent="0.3">
      <c r="A745" s="54"/>
      <c r="B745" s="54"/>
      <c r="C745" s="54"/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</row>
    <row r="746" spans="1:26" ht="13.5" customHeight="1" x14ac:dyDescent="0.3">
      <c r="A746" s="54"/>
      <c r="B746" s="54"/>
      <c r="C746" s="54"/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</row>
    <row r="747" spans="1:26" ht="13.5" customHeight="1" x14ac:dyDescent="0.3">
      <c r="A747" s="54"/>
      <c r="B747" s="54"/>
      <c r="C747" s="54"/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</row>
    <row r="748" spans="1:26" ht="13.5" customHeight="1" x14ac:dyDescent="0.3">
      <c r="A748" s="54"/>
      <c r="B748" s="54"/>
      <c r="C748" s="54"/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</row>
    <row r="749" spans="1:26" ht="13.5" customHeight="1" x14ac:dyDescent="0.3">
      <c r="A749" s="54"/>
      <c r="B749" s="54"/>
      <c r="C749" s="54"/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</row>
    <row r="750" spans="1:26" ht="13.5" customHeight="1" x14ac:dyDescent="0.3">
      <c r="A750" s="54"/>
      <c r="B750" s="54"/>
      <c r="C750" s="54"/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</row>
    <row r="751" spans="1:26" ht="13.5" customHeight="1" x14ac:dyDescent="0.3">
      <c r="A751" s="54"/>
      <c r="B751" s="54"/>
      <c r="C751" s="54"/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</row>
    <row r="752" spans="1:26" ht="13.5" customHeight="1" x14ac:dyDescent="0.3">
      <c r="A752" s="54"/>
      <c r="B752" s="54"/>
      <c r="C752" s="54"/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</row>
    <row r="753" spans="1:26" ht="13.5" customHeight="1" x14ac:dyDescent="0.3">
      <c r="A753" s="54"/>
      <c r="B753" s="54"/>
      <c r="C753" s="54"/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</row>
    <row r="754" spans="1:26" ht="13.5" customHeight="1" x14ac:dyDescent="0.3">
      <c r="A754" s="54"/>
      <c r="B754" s="54"/>
      <c r="C754" s="54"/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</row>
    <row r="755" spans="1:26" ht="13.5" customHeight="1" x14ac:dyDescent="0.3">
      <c r="A755" s="54"/>
      <c r="B755" s="54"/>
      <c r="C755" s="54"/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  <c r="V755" s="54"/>
      <c r="W755" s="54"/>
      <c r="X755" s="54"/>
      <c r="Y755" s="54"/>
      <c r="Z755" s="54"/>
    </row>
    <row r="756" spans="1:26" ht="13.5" customHeight="1" x14ac:dyDescent="0.3">
      <c r="A756" s="54"/>
      <c r="B756" s="54"/>
      <c r="C756" s="54"/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  <c r="V756" s="54"/>
      <c r="W756" s="54"/>
      <c r="X756" s="54"/>
      <c r="Y756" s="54"/>
      <c r="Z756" s="54"/>
    </row>
    <row r="757" spans="1:26" ht="13.5" customHeight="1" x14ac:dyDescent="0.3">
      <c r="A757" s="54"/>
      <c r="B757" s="54"/>
      <c r="C757" s="54"/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</row>
    <row r="758" spans="1:26" ht="13.5" customHeight="1" x14ac:dyDescent="0.3">
      <c r="A758" s="54"/>
      <c r="B758" s="54"/>
      <c r="C758" s="54"/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</row>
    <row r="759" spans="1:26" ht="13.5" customHeight="1" x14ac:dyDescent="0.3">
      <c r="A759" s="54"/>
      <c r="B759" s="54"/>
      <c r="C759" s="54"/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</row>
    <row r="760" spans="1:26" ht="13.5" customHeight="1" x14ac:dyDescent="0.3">
      <c r="A760" s="54"/>
      <c r="B760" s="54"/>
      <c r="C760" s="54"/>
      <c r="D760" s="54"/>
      <c r="E760" s="54"/>
      <c r="F760" s="54"/>
      <c r="G760" s="54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</row>
    <row r="761" spans="1:26" ht="13.5" customHeight="1" x14ac:dyDescent="0.3">
      <c r="A761" s="54"/>
      <c r="B761" s="54"/>
      <c r="C761" s="54"/>
      <c r="D761" s="54"/>
      <c r="E761" s="54"/>
      <c r="F761" s="54"/>
      <c r="G761" s="54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</row>
    <row r="762" spans="1:26" ht="13.5" customHeight="1" x14ac:dyDescent="0.3">
      <c r="A762" s="54"/>
      <c r="B762" s="54"/>
      <c r="C762" s="54"/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</row>
    <row r="763" spans="1:26" ht="13.5" customHeight="1" x14ac:dyDescent="0.3">
      <c r="A763" s="54"/>
      <c r="B763" s="54"/>
      <c r="C763" s="54"/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</row>
    <row r="764" spans="1:26" ht="13.5" customHeight="1" x14ac:dyDescent="0.3">
      <c r="A764" s="54"/>
      <c r="B764" s="54"/>
      <c r="C764" s="54"/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</row>
    <row r="765" spans="1:26" ht="13.5" customHeight="1" x14ac:dyDescent="0.3">
      <c r="A765" s="54"/>
      <c r="B765" s="54"/>
      <c r="C765" s="54"/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</row>
    <row r="766" spans="1:26" ht="13.5" customHeight="1" x14ac:dyDescent="0.3">
      <c r="A766" s="54"/>
      <c r="B766" s="54"/>
      <c r="C766" s="54"/>
      <c r="D766" s="54"/>
      <c r="E766" s="54"/>
      <c r="F766" s="54"/>
      <c r="G766" s="54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</row>
    <row r="767" spans="1:26" ht="13.5" customHeight="1" x14ac:dyDescent="0.3">
      <c r="A767" s="54"/>
      <c r="B767" s="54"/>
      <c r="C767" s="54"/>
      <c r="D767" s="54"/>
      <c r="E767" s="54"/>
      <c r="F767" s="54"/>
      <c r="G767" s="54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</row>
    <row r="768" spans="1:26" ht="13.5" customHeight="1" x14ac:dyDescent="0.3">
      <c r="A768" s="54"/>
      <c r="B768" s="54"/>
      <c r="C768" s="54"/>
      <c r="D768" s="54"/>
      <c r="E768" s="54"/>
      <c r="F768" s="54"/>
      <c r="G768" s="54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</row>
    <row r="769" spans="1:26" ht="13.5" customHeight="1" x14ac:dyDescent="0.3">
      <c r="A769" s="54"/>
      <c r="B769" s="54"/>
      <c r="C769" s="54"/>
      <c r="D769" s="54"/>
      <c r="E769" s="54"/>
      <c r="F769" s="54"/>
      <c r="G769" s="54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</row>
    <row r="770" spans="1:26" ht="13.5" customHeight="1" x14ac:dyDescent="0.3">
      <c r="A770" s="54"/>
      <c r="B770" s="54"/>
      <c r="C770" s="54"/>
      <c r="D770" s="54"/>
      <c r="E770" s="54"/>
      <c r="F770" s="54"/>
      <c r="G770" s="54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</row>
    <row r="771" spans="1:26" ht="13.5" customHeight="1" x14ac:dyDescent="0.3">
      <c r="A771" s="54"/>
      <c r="B771" s="54"/>
      <c r="C771" s="54"/>
      <c r="D771" s="54"/>
      <c r="E771" s="54"/>
      <c r="F771" s="54"/>
      <c r="G771" s="54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  <c r="V771" s="54"/>
      <c r="W771" s="54"/>
      <c r="X771" s="54"/>
      <c r="Y771" s="54"/>
      <c r="Z771" s="54"/>
    </row>
    <row r="772" spans="1:26" ht="13.5" customHeight="1" x14ac:dyDescent="0.3">
      <c r="A772" s="54"/>
      <c r="B772" s="54"/>
      <c r="C772" s="54"/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  <c r="V772" s="54"/>
      <c r="W772" s="54"/>
      <c r="X772" s="54"/>
      <c r="Y772" s="54"/>
      <c r="Z772" s="54"/>
    </row>
    <row r="773" spans="1:26" ht="13.5" customHeight="1" x14ac:dyDescent="0.3">
      <c r="A773" s="54"/>
      <c r="B773" s="54"/>
      <c r="C773" s="54"/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</row>
    <row r="774" spans="1:26" ht="13.5" customHeight="1" x14ac:dyDescent="0.3">
      <c r="A774" s="54"/>
      <c r="B774" s="54"/>
      <c r="C774" s="54"/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</row>
    <row r="775" spans="1:26" ht="13.5" customHeight="1" x14ac:dyDescent="0.3">
      <c r="A775" s="54"/>
      <c r="B775" s="54"/>
      <c r="C775" s="54"/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</row>
    <row r="776" spans="1:26" ht="13.5" customHeight="1" x14ac:dyDescent="0.3">
      <c r="A776" s="54"/>
      <c r="B776" s="54"/>
      <c r="C776" s="54"/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</row>
    <row r="777" spans="1:26" ht="13.5" customHeight="1" x14ac:dyDescent="0.3">
      <c r="A777" s="54"/>
      <c r="B777" s="54"/>
      <c r="C777" s="54"/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</row>
    <row r="778" spans="1:26" ht="13.5" customHeight="1" x14ac:dyDescent="0.3">
      <c r="A778" s="54"/>
      <c r="B778" s="54"/>
      <c r="C778" s="54"/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</row>
    <row r="779" spans="1:26" ht="13.5" customHeight="1" x14ac:dyDescent="0.3">
      <c r="A779" s="54"/>
      <c r="B779" s="54"/>
      <c r="C779" s="54"/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</row>
    <row r="780" spans="1:26" ht="13.5" customHeight="1" x14ac:dyDescent="0.3">
      <c r="A780" s="54"/>
      <c r="B780" s="54"/>
      <c r="C780" s="54"/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</row>
    <row r="781" spans="1:26" ht="13.5" customHeight="1" x14ac:dyDescent="0.3">
      <c r="A781" s="54"/>
      <c r="B781" s="54"/>
      <c r="C781" s="54"/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</row>
    <row r="782" spans="1:26" ht="13.5" customHeight="1" x14ac:dyDescent="0.3">
      <c r="A782" s="54"/>
      <c r="B782" s="54"/>
      <c r="C782" s="54"/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</row>
    <row r="783" spans="1:26" ht="13.5" customHeight="1" x14ac:dyDescent="0.3">
      <c r="A783" s="54"/>
      <c r="B783" s="54"/>
      <c r="C783" s="54"/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</row>
    <row r="784" spans="1:26" ht="13.5" customHeight="1" x14ac:dyDescent="0.3">
      <c r="A784" s="54"/>
      <c r="B784" s="54"/>
      <c r="C784" s="54"/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</row>
    <row r="785" spans="1:26" ht="13.5" customHeight="1" x14ac:dyDescent="0.3">
      <c r="A785" s="54"/>
      <c r="B785" s="54"/>
      <c r="C785" s="54"/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</row>
    <row r="786" spans="1:26" ht="13.5" customHeight="1" x14ac:dyDescent="0.3">
      <c r="A786" s="54"/>
      <c r="B786" s="54"/>
      <c r="C786" s="54"/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</row>
    <row r="787" spans="1:26" ht="13.5" customHeight="1" x14ac:dyDescent="0.3">
      <c r="A787" s="54"/>
      <c r="B787" s="54"/>
      <c r="C787" s="54"/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  <c r="V787" s="54"/>
      <c r="W787" s="54"/>
      <c r="X787" s="54"/>
      <c r="Y787" s="54"/>
      <c r="Z787" s="54"/>
    </row>
    <row r="788" spans="1:26" ht="13.5" customHeight="1" x14ac:dyDescent="0.3">
      <c r="A788" s="54"/>
      <c r="B788" s="54"/>
      <c r="C788" s="54"/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  <c r="V788" s="54"/>
      <c r="W788" s="54"/>
      <c r="X788" s="54"/>
      <c r="Y788" s="54"/>
      <c r="Z788" s="54"/>
    </row>
    <row r="789" spans="1:26" ht="13.5" customHeight="1" x14ac:dyDescent="0.3">
      <c r="A789" s="54"/>
      <c r="B789" s="54"/>
      <c r="C789" s="54"/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</row>
    <row r="790" spans="1:26" ht="13.5" customHeight="1" x14ac:dyDescent="0.3">
      <c r="A790" s="54"/>
      <c r="B790" s="54"/>
      <c r="C790" s="54"/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</row>
    <row r="791" spans="1:26" ht="13.5" customHeight="1" x14ac:dyDescent="0.3">
      <c r="A791" s="54"/>
      <c r="B791" s="54"/>
      <c r="C791" s="54"/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</row>
    <row r="792" spans="1:26" ht="13.5" customHeight="1" x14ac:dyDescent="0.3">
      <c r="A792" s="54"/>
      <c r="B792" s="54"/>
      <c r="C792" s="54"/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</row>
    <row r="793" spans="1:26" ht="13.5" customHeight="1" x14ac:dyDescent="0.3">
      <c r="A793" s="54"/>
      <c r="B793" s="54"/>
      <c r="C793" s="54"/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</row>
    <row r="794" spans="1:26" ht="13.5" customHeight="1" x14ac:dyDescent="0.3">
      <c r="A794" s="54"/>
      <c r="B794" s="54"/>
      <c r="C794" s="54"/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</row>
    <row r="795" spans="1:26" ht="13.5" customHeight="1" x14ac:dyDescent="0.3">
      <c r="A795" s="54"/>
      <c r="B795" s="54"/>
      <c r="C795" s="54"/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</row>
    <row r="796" spans="1:26" ht="13.5" customHeight="1" x14ac:dyDescent="0.3">
      <c r="A796" s="54"/>
      <c r="B796" s="54"/>
      <c r="C796" s="54"/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</row>
    <row r="797" spans="1:26" ht="13.5" customHeight="1" x14ac:dyDescent="0.3">
      <c r="A797" s="54"/>
      <c r="B797" s="54"/>
      <c r="C797" s="54"/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</row>
    <row r="798" spans="1:26" ht="13.5" customHeight="1" x14ac:dyDescent="0.3">
      <c r="A798" s="54"/>
      <c r="B798" s="54"/>
      <c r="C798" s="54"/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</row>
    <row r="799" spans="1:26" ht="13.5" customHeight="1" x14ac:dyDescent="0.3">
      <c r="A799" s="54"/>
      <c r="B799" s="54"/>
      <c r="C799" s="54"/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</row>
    <row r="800" spans="1:26" ht="13.5" customHeight="1" x14ac:dyDescent="0.3">
      <c r="A800" s="54"/>
      <c r="B800" s="54"/>
      <c r="C800" s="54"/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</row>
    <row r="801" spans="1:26" ht="13.5" customHeight="1" x14ac:dyDescent="0.3">
      <c r="A801" s="54"/>
      <c r="B801" s="54"/>
      <c r="C801" s="54"/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</row>
    <row r="802" spans="1:26" ht="13.5" customHeight="1" x14ac:dyDescent="0.3">
      <c r="A802" s="54"/>
      <c r="B802" s="54"/>
      <c r="C802" s="54"/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</row>
    <row r="803" spans="1:26" ht="13.5" customHeight="1" x14ac:dyDescent="0.3">
      <c r="A803" s="54"/>
      <c r="B803" s="54"/>
      <c r="C803" s="54"/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  <c r="V803" s="54"/>
      <c r="W803" s="54"/>
      <c r="X803" s="54"/>
      <c r="Y803" s="54"/>
      <c r="Z803" s="54"/>
    </row>
    <row r="804" spans="1:26" ht="13.5" customHeight="1" x14ac:dyDescent="0.3">
      <c r="A804" s="54"/>
      <c r="B804" s="54"/>
      <c r="C804" s="54"/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  <c r="V804" s="54"/>
      <c r="W804" s="54"/>
      <c r="X804" s="54"/>
      <c r="Y804" s="54"/>
      <c r="Z804" s="54"/>
    </row>
    <row r="805" spans="1:26" ht="13.5" customHeight="1" x14ac:dyDescent="0.3">
      <c r="A805" s="54"/>
      <c r="B805" s="54"/>
      <c r="C805" s="54"/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</row>
    <row r="806" spans="1:26" ht="13.5" customHeight="1" x14ac:dyDescent="0.3">
      <c r="A806" s="54"/>
      <c r="B806" s="54"/>
      <c r="C806" s="54"/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</row>
    <row r="807" spans="1:26" ht="13.5" customHeight="1" x14ac:dyDescent="0.3">
      <c r="A807" s="54"/>
      <c r="B807" s="54"/>
      <c r="C807" s="54"/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</row>
    <row r="808" spans="1:26" ht="13.5" customHeight="1" x14ac:dyDescent="0.3">
      <c r="A808" s="54"/>
      <c r="B808" s="54"/>
      <c r="C808" s="54"/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</row>
    <row r="809" spans="1:26" ht="13.5" customHeight="1" x14ac:dyDescent="0.3">
      <c r="A809" s="54"/>
      <c r="B809" s="54"/>
      <c r="C809" s="54"/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</row>
    <row r="810" spans="1:26" ht="13.5" customHeight="1" x14ac:dyDescent="0.3">
      <c r="A810" s="54"/>
      <c r="B810" s="54"/>
      <c r="C810" s="54"/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</row>
    <row r="811" spans="1:26" ht="13.5" customHeight="1" x14ac:dyDescent="0.3">
      <c r="A811" s="54"/>
      <c r="B811" s="54"/>
      <c r="C811" s="54"/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</row>
    <row r="812" spans="1:26" ht="13.5" customHeight="1" x14ac:dyDescent="0.3">
      <c r="A812" s="54"/>
      <c r="B812" s="54"/>
      <c r="C812" s="54"/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</row>
    <row r="813" spans="1:26" ht="13.5" customHeight="1" x14ac:dyDescent="0.3">
      <c r="A813" s="54"/>
      <c r="B813" s="54"/>
      <c r="C813" s="54"/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</row>
    <row r="814" spans="1:26" ht="13.5" customHeight="1" x14ac:dyDescent="0.3">
      <c r="A814" s="54"/>
      <c r="B814" s="54"/>
      <c r="C814" s="54"/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</row>
    <row r="815" spans="1:26" ht="13.5" customHeight="1" x14ac:dyDescent="0.3">
      <c r="A815" s="54"/>
      <c r="B815" s="54"/>
      <c r="C815" s="54"/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</row>
    <row r="816" spans="1:26" ht="13.5" customHeight="1" x14ac:dyDescent="0.3">
      <c r="A816" s="54"/>
      <c r="B816" s="54"/>
      <c r="C816" s="54"/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</row>
    <row r="817" spans="1:26" ht="13.5" customHeight="1" x14ac:dyDescent="0.3">
      <c r="A817" s="54"/>
      <c r="B817" s="54"/>
      <c r="C817" s="54"/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</row>
    <row r="818" spans="1:26" ht="13.5" customHeight="1" x14ac:dyDescent="0.3">
      <c r="A818" s="54"/>
      <c r="B818" s="54"/>
      <c r="C818" s="54"/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</row>
    <row r="819" spans="1:26" ht="13.5" customHeight="1" x14ac:dyDescent="0.3">
      <c r="A819" s="54"/>
      <c r="B819" s="54"/>
      <c r="C819" s="54"/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  <c r="V819" s="54"/>
      <c r="W819" s="54"/>
      <c r="X819" s="54"/>
      <c r="Y819" s="54"/>
      <c r="Z819" s="54"/>
    </row>
    <row r="820" spans="1:26" ht="13.5" customHeight="1" x14ac:dyDescent="0.3">
      <c r="A820" s="54"/>
      <c r="B820" s="54"/>
      <c r="C820" s="54"/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</row>
    <row r="821" spans="1:26" ht="13.5" customHeight="1" x14ac:dyDescent="0.3">
      <c r="A821" s="54"/>
      <c r="B821" s="54"/>
      <c r="C821" s="54"/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</row>
    <row r="822" spans="1:26" ht="13.5" customHeight="1" x14ac:dyDescent="0.3">
      <c r="A822" s="54"/>
      <c r="B822" s="54"/>
      <c r="C822" s="54"/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</row>
    <row r="823" spans="1:26" ht="13.5" customHeight="1" x14ac:dyDescent="0.3">
      <c r="A823" s="54"/>
      <c r="B823" s="54"/>
      <c r="C823" s="54"/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</row>
    <row r="824" spans="1:26" ht="13.5" customHeight="1" x14ac:dyDescent="0.3">
      <c r="A824" s="54"/>
      <c r="B824" s="54"/>
      <c r="C824" s="54"/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</row>
    <row r="825" spans="1:26" ht="13.5" customHeight="1" x14ac:dyDescent="0.3">
      <c r="A825" s="54"/>
      <c r="B825" s="54"/>
      <c r="C825" s="54"/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</row>
    <row r="826" spans="1:26" ht="13.5" customHeight="1" x14ac:dyDescent="0.3">
      <c r="A826" s="54"/>
      <c r="B826" s="54"/>
      <c r="C826" s="54"/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</row>
    <row r="827" spans="1:26" ht="13.5" customHeight="1" x14ac:dyDescent="0.3">
      <c r="A827" s="54"/>
      <c r="B827" s="54"/>
      <c r="C827" s="54"/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</row>
    <row r="828" spans="1:26" ht="13.5" customHeight="1" x14ac:dyDescent="0.3">
      <c r="A828" s="54"/>
      <c r="B828" s="54"/>
      <c r="C828" s="54"/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</row>
    <row r="829" spans="1:26" ht="13.5" customHeight="1" x14ac:dyDescent="0.3">
      <c r="A829" s="54"/>
      <c r="B829" s="54"/>
      <c r="C829" s="54"/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</row>
    <row r="830" spans="1:26" ht="13.5" customHeight="1" x14ac:dyDescent="0.3">
      <c r="A830" s="54"/>
      <c r="B830" s="54"/>
      <c r="C830" s="54"/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</row>
    <row r="831" spans="1:26" ht="13.5" customHeight="1" x14ac:dyDescent="0.3">
      <c r="A831" s="54"/>
      <c r="B831" s="54"/>
      <c r="C831" s="54"/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</row>
    <row r="832" spans="1:26" ht="13.5" customHeight="1" x14ac:dyDescent="0.3">
      <c r="A832" s="54"/>
      <c r="B832" s="54"/>
      <c r="C832" s="54"/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</row>
    <row r="833" spans="1:26" ht="13.5" customHeight="1" x14ac:dyDescent="0.3">
      <c r="A833" s="54"/>
      <c r="B833" s="54"/>
      <c r="C833" s="54"/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</row>
    <row r="834" spans="1:26" ht="13.5" customHeight="1" x14ac:dyDescent="0.3">
      <c r="A834" s="54"/>
      <c r="B834" s="54"/>
      <c r="C834" s="54"/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</row>
    <row r="835" spans="1:26" ht="13.5" customHeight="1" x14ac:dyDescent="0.3">
      <c r="A835" s="54"/>
      <c r="B835" s="54"/>
      <c r="C835" s="54"/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  <c r="V835" s="54"/>
      <c r="W835" s="54"/>
      <c r="X835" s="54"/>
      <c r="Y835" s="54"/>
      <c r="Z835" s="54"/>
    </row>
    <row r="836" spans="1:26" ht="13.5" customHeight="1" x14ac:dyDescent="0.3">
      <c r="A836" s="54"/>
      <c r="B836" s="54"/>
      <c r="C836" s="54"/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  <c r="V836" s="54"/>
      <c r="W836" s="54"/>
      <c r="X836" s="54"/>
      <c r="Y836" s="54"/>
      <c r="Z836" s="54"/>
    </row>
    <row r="837" spans="1:26" ht="13.5" customHeight="1" x14ac:dyDescent="0.3">
      <c r="A837" s="54"/>
      <c r="B837" s="54"/>
      <c r="C837" s="54"/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</row>
    <row r="838" spans="1:26" ht="13.5" customHeight="1" x14ac:dyDescent="0.3">
      <c r="A838" s="54"/>
      <c r="B838" s="54"/>
      <c r="C838" s="54"/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</row>
    <row r="839" spans="1:26" ht="13.5" customHeight="1" x14ac:dyDescent="0.3">
      <c r="A839" s="54"/>
      <c r="B839" s="54"/>
      <c r="C839" s="54"/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</row>
    <row r="840" spans="1:26" ht="13.5" customHeight="1" x14ac:dyDescent="0.3">
      <c r="A840" s="54"/>
      <c r="B840" s="54"/>
      <c r="C840" s="54"/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</row>
    <row r="841" spans="1:26" ht="13.5" customHeight="1" x14ac:dyDescent="0.3">
      <c r="A841" s="54"/>
      <c r="B841" s="54"/>
      <c r="C841" s="54"/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</row>
    <row r="842" spans="1:26" ht="13.5" customHeight="1" x14ac:dyDescent="0.3">
      <c r="A842" s="54"/>
      <c r="B842" s="54"/>
      <c r="C842" s="54"/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</row>
    <row r="843" spans="1:26" ht="13.5" customHeight="1" x14ac:dyDescent="0.3">
      <c r="A843" s="54"/>
      <c r="B843" s="54"/>
      <c r="C843" s="54"/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</row>
    <row r="844" spans="1:26" ht="13.5" customHeight="1" x14ac:dyDescent="0.3">
      <c r="A844" s="54"/>
      <c r="B844" s="54"/>
      <c r="C844" s="54"/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</row>
    <row r="845" spans="1:26" ht="13.5" customHeight="1" x14ac:dyDescent="0.3">
      <c r="A845" s="54"/>
      <c r="B845" s="54"/>
      <c r="C845" s="54"/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</row>
    <row r="846" spans="1:26" ht="13.5" customHeight="1" x14ac:dyDescent="0.3">
      <c r="A846" s="54"/>
      <c r="B846" s="54"/>
      <c r="C846" s="54"/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</row>
    <row r="847" spans="1:26" ht="13.5" customHeight="1" x14ac:dyDescent="0.3">
      <c r="A847" s="54"/>
      <c r="B847" s="54"/>
      <c r="C847" s="54"/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</row>
    <row r="848" spans="1:26" ht="13.5" customHeight="1" x14ac:dyDescent="0.3">
      <c r="A848" s="54"/>
      <c r="B848" s="54"/>
      <c r="C848" s="54"/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</row>
    <row r="849" spans="1:26" ht="13.5" customHeight="1" x14ac:dyDescent="0.3">
      <c r="A849" s="54"/>
      <c r="B849" s="54"/>
      <c r="C849" s="54"/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</row>
    <row r="850" spans="1:26" ht="13.5" customHeight="1" x14ac:dyDescent="0.3">
      <c r="A850" s="54"/>
      <c r="B850" s="54"/>
      <c r="C850" s="54"/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</row>
    <row r="851" spans="1:26" ht="13.5" customHeight="1" x14ac:dyDescent="0.3">
      <c r="A851" s="54"/>
      <c r="B851" s="54"/>
      <c r="C851" s="54"/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  <c r="V851" s="54"/>
      <c r="W851" s="54"/>
      <c r="X851" s="54"/>
      <c r="Y851" s="54"/>
      <c r="Z851" s="54"/>
    </row>
    <row r="852" spans="1:26" ht="13.5" customHeight="1" x14ac:dyDescent="0.3">
      <c r="A852" s="54"/>
      <c r="B852" s="54"/>
      <c r="C852" s="54"/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  <c r="V852" s="54"/>
      <c r="W852" s="54"/>
      <c r="X852" s="54"/>
      <c r="Y852" s="54"/>
      <c r="Z852" s="54"/>
    </row>
    <row r="853" spans="1:26" ht="13.5" customHeight="1" x14ac:dyDescent="0.3">
      <c r="A853" s="54"/>
      <c r="B853" s="54"/>
      <c r="C853" s="54"/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</row>
    <row r="854" spans="1:26" ht="13.5" customHeight="1" x14ac:dyDescent="0.3">
      <c r="A854" s="54"/>
      <c r="B854" s="54"/>
      <c r="C854" s="54"/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</row>
    <row r="855" spans="1:26" ht="13.5" customHeight="1" x14ac:dyDescent="0.3">
      <c r="A855" s="54"/>
      <c r="B855" s="54"/>
      <c r="C855" s="54"/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</row>
    <row r="856" spans="1:26" ht="13.5" customHeight="1" x14ac:dyDescent="0.3">
      <c r="A856" s="54"/>
      <c r="B856" s="54"/>
      <c r="C856" s="54"/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</row>
    <row r="857" spans="1:26" ht="13.5" customHeight="1" x14ac:dyDescent="0.3">
      <c r="A857" s="54"/>
      <c r="B857" s="54"/>
      <c r="C857" s="54"/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</row>
    <row r="858" spans="1:26" ht="13.5" customHeight="1" x14ac:dyDescent="0.3">
      <c r="A858" s="54"/>
      <c r="B858" s="54"/>
      <c r="C858" s="54"/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</row>
    <row r="859" spans="1:26" ht="13.5" customHeight="1" x14ac:dyDescent="0.3">
      <c r="A859" s="54"/>
      <c r="B859" s="54"/>
      <c r="C859" s="54"/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</row>
    <row r="860" spans="1:26" ht="13.5" customHeight="1" x14ac:dyDescent="0.3">
      <c r="A860" s="54"/>
      <c r="B860" s="54"/>
      <c r="C860" s="54"/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</row>
    <row r="861" spans="1:26" ht="13.5" customHeight="1" x14ac:dyDescent="0.3">
      <c r="A861" s="54"/>
      <c r="B861" s="54"/>
      <c r="C861" s="54"/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</row>
    <row r="862" spans="1:26" ht="13.5" customHeight="1" x14ac:dyDescent="0.3">
      <c r="A862" s="54"/>
      <c r="B862" s="54"/>
      <c r="C862" s="54"/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</row>
    <row r="863" spans="1:26" ht="13.5" customHeight="1" x14ac:dyDescent="0.3">
      <c r="A863" s="54"/>
      <c r="B863" s="54"/>
      <c r="C863" s="54"/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</row>
    <row r="864" spans="1:26" ht="13.5" customHeight="1" x14ac:dyDescent="0.3">
      <c r="A864" s="54"/>
      <c r="B864" s="54"/>
      <c r="C864" s="54"/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</row>
    <row r="865" spans="1:26" ht="13.5" customHeight="1" x14ac:dyDescent="0.3">
      <c r="A865" s="54"/>
      <c r="B865" s="54"/>
      <c r="C865" s="54"/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</row>
    <row r="866" spans="1:26" ht="13.5" customHeight="1" x14ac:dyDescent="0.3">
      <c r="A866" s="54"/>
      <c r="B866" s="54"/>
      <c r="C866" s="54"/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</row>
    <row r="867" spans="1:26" ht="13.5" customHeight="1" x14ac:dyDescent="0.3">
      <c r="A867" s="54"/>
      <c r="B867" s="54"/>
      <c r="C867" s="54"/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  <c r="V867" s="54"/>
      <c r="W867" s="54"/>
      <c r="X867" s="54"/>
      <c r="Y867" s="54"/>
      <c r="Z867" s="54"/>
    </row>
    <row r="868" spans="1:26" ht="13.5" customHeight="1" x14ac:dyDescent="0.3">
      <c r="A868" s="54"/>
      <c r="B868" s="54"/>
      <c r="C868" s="54"/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  <c r="V868" s="54"/>
      <c r="W868" s="54"/>
      <c r="X868" s="54"/>
      <c r="Y868" s="54"/>
      <c r="Z868" s="54"/>
    </row>
    <row r="869" spans="1:26" ht="13.5" customHeight="1" x14ac:dyDescent="0.3">
      <c r="A869" s="54"/>
      <c r="B869" s="54"/>
      <c r="C869" s="54"/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</row>
    <row r="870" spans="1:26" ht="13.5" customHeight="1" x14ac:dyDescent="0.3">
      <c r="A870" s="54"/>
      <c r="B870" s="54"/>
      <c r="C870" s="54"/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</row>
    <row r="871" spans="1:26" ht="13.5" customHeight="1" x14ac:dyDescent="0.3">
      <c r="A871" s="54"/>
      <c r="B871" s="54"/>
      <c r="C871" s="54"/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</row>
    <row r="872" spans="1:26" ht="13.5" customHeight="1" x14ac:dyDescent="0.3">
      <c r="A872" s="54"/>
      <c r="B872" s="54"/>
      <c r="C872" s="54"/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</row>
    <row r="873" spans="1:26" ht="13.5" customHeight="1" x14ac:dyDescent="0.3">
      <c r="A873" s="54"/>
      <c r="B873" s="54"/>
      <c r="C873" s="54"/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</row>
    <row r="874" spans="1:26" ht="13.5" customHeight="1" x14ac:dyDescent="0.3">
      <c r="A874" s="54"/>
      <c r="B874" s="54"/>
      <c r="C874" s="54"/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</row>
    <row r="875" spans="1:26" ht="13.5" customHeight="1" x14ac:dyDescent="0.3">
      <c r="A875" s="54"/>
      <c r="B875" s="54"/>
      <c r="C875" s="54"/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</row>
    <row r="876" spans="1:26" ht="13.5" customHeight="1" x14ac:dyDescent="0.3">
      <c r="A876" s="54"/>
      <c r="B876" s="54"/>
      <c r="C876" s="54"/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</row>
    <row r="877" spans="1:26" ht="13.5" customHeight="1" x14ac:dyDescent="0.3">
      <c r="A877" s="54"/>
      <c r="B877" s="54"/>
      <c r="C877" s="54"/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</row>
    <row r="878" spans="1:26" ht="13.5" customHeight="1" x14ac:dyDescent="0.3">
      <c r="A878" s="54"/>
      <c r="B878" s="54"/>
      <c r="C878" s="54"/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</row>
    <row r="879" spans="1:26" ht="13.5" customHeight="1" x14ac:dyDescent="0.3">
      <c r="A879" s="54"/>
      <c r="B879" s="54"/>
      <c r="C879" s="54"/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</row>
    <row r="880" spans="1:26" ht="13.5" customHeight="1" x14ac:dyDescent="0.3">
      <c r="A880" s="54"/>
      <c r="B880" s="54"/>
      <c r="C880" s="54"/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</row>
    <row r="881" spans="1:26" ht="13.5" customHeight="1" x14ac:dyDescent="0.3">
      <c r="A881" s="54"/>
      <c r="B881" s="54"/>
      <c r="C881" s="54"/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</row>
    <row r="882" spans="1:26" ht="13.5" customHeight="1" x14ac:dyDescent="0.3">
      <c r="A882" s="54"/>
      <c r="B882" s="54"/>
      <c r="C882" s="54"/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</row>
    <row r="883" spans="1:26" ht="13.5" customHeight="1" x14ac:dyDescent="0.3">
      <c r="A883" s="54"/>
      <c r="B883" s="54"/>
      <c r="C883" s="54"/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  <c r="V883" s="54"/>
      <c r="W883" s="54"/>
      <c r="X883" s="54"/>
      <c r="Y883" s="54"/>
      <c r="Z883" s="54"/>
    </row>
    <row r="884" spans="1:26" ht="13.5" customHeight="1" x14ac:dyDescent="0.3">
      <c r="A884" s="54"/>
      <c r="B884" s="54"/>
      <c r="C884" s="54"/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  <c r="V884" s="54"/>
      <c r="W884" s="54"/>
      <c r="X884" s="54"/>
      <c r="Y884" s="54"/>
      <c r="Z884" s="54"/>
    </row>
    <row r="885" spans="1:26" ht="13.5" customHeight="1" x14ac:dyDescent="0.3">
      <c r="A885" s="54"/>
      <c r="B885" s="54"/>
      <c r="C885" s="54"/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</row>
    <row r="886" spans="1:26" ht="13.5" customHeight="1" x14ac:dyDescent="0.3">
      <c r="A886" s="54"/>
      <c r="B886" s="54"/>
      <c r="C886" s="54"/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</row>
    <row r="887" spans="1:26" ht="13.5" customHeight="1" x14ac:dyDescent="0.3">
      <c r="A887" s="54"/>
      <c r="B887" s="54"/>
      <c r="C887" s="54"/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</row>
    <row r="888" spans="1:26" ht="13.5" customHeight="1" x14ac:dyDescent="0.3">
      <c r="A888" s="54"/>
      <c r="B888" s="54"/>
      <c r="C888" s="54"/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</row>
    <row r="889" spans="1:26" ht="13.5" customHeight="1" x14ac:dyDescent="0.3">
      <c r="A889" s="54"/>
      <c r="B889" s="54"/>
      <c r="C889" s="54"/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</row>
    <row r="890" spans="1:26" ht="13.5" customHeight="1" x14ac:dyDescent="0.3">
      <c r="A890" s="54"/>
      <c r="B890" s="54"/>
      <c r="C890" s="54"/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</row>
    <row r="891" spans="1:26" ht="13.5" customHeight="1" x14ac:dyDescent="0.3">
      <c r="A891" s="54"/>
      <c r="B891" s="54"/>
      <c r="C891" s="54"/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</row>
    <row r="892" spans="1:26" ht="13.5" customHeight="1" x14ac:dyDescent="0.3">
      <c r="A892" s="54"/>
      <c r="B892" s="54"/>
      <c r="C892" s="54"/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</row>
    <row r="893" spans="1:26" ht="13.5" customHeight="1" x14ac:dyDescent="0.3">
      <c r="A893" s="54"/>
      <c r="B893" s="54"/>
      <c r="C893" s="54"/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</row>
    <row r="894" spans="1:26" ht="13.5" customHeight="1" x14ac:dyDescent="0.3">
      <c r="A894" s="54"/>
      <c r="B894" s="54"/>
      <c r="C894" s="54"/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</row>
    <row r="895" spans="1:26" ht="13.5" customHeight="1" x14ac:dyDescent="0.3">
      <c r="A895" s="54"/>
      <c r="B895" s="54"/>
      <c r="C895" s="54"/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</row>
    <row r="896" spans="1:26" ht="13.5" customHeight="1" x14ac:dyDescent="0.3">
      <c r="A896" s="54"/>
      <c r="B896" s="54"/>
      <c r="C896" s="54"/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</row>
    <row r="897" spans="1:26" ht="13.5" customHeight="1" x14ac:dyDescent="0.3">
      <c r="A897" s="54"/>
      <c r="B897" s="54"/>
      <c r="C897" s="54"/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</row>
    <row r="898" spans="1:26" ht="13.5" customHeight="1" x14ac:dyDescent="0.3">
      <c r="A898" s="54"/>
      <c r="B898" s="54"/>
      <c r="C898" s="54"/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</row>
    <row r="899" spans="1:26" ht="13.5" customHeight="1" x14ac:dyDescent="0.3">
      <c r="A899" s="54"/>
      <c r="B899" s="54"/>
      <c r="C899" s="54"/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/>
    </row>
    <row r="900" spans="1:26" ht="13.5" customHeight="1" x14ac:dyDescent="0.3">
      <c r="A900" s="54"/>
      <c r="B900" s="54"/>
      <c r="C900" s="54"/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/>
    </row>
    <row r="901" spans="1:26" ht="13.5" customHeight="1" x14ac:dyDescent="0.3">
      <c r="A901" s="54"/>
      <c r="B901" s="54"/>
      <c r="C901" s="54"/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</row>
    <row r="902" spans="1:26" ht="13.5" customHeight="1" x14ac:dyDescent="0.3">
      <c r="A902" s="54"/>
      <c r="B902" s="54"/>
      <c r="C902" s="54"/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</row>
    <row r="903" spans="1:26" ht="13.5" customHeight="1" x14ac:dyDescent="0.3">
      <c r="A903" s="54"/>
      <c r="B903" s="54"/>
      <c r="C903" s="54"/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</row>
    <row r="904" spans="1:26" ht="13.5" customHeight="1" x14ac:dyDescent="0.3">
      <c r="A904" s="54"/>
      <c r="B904" s="54"/>
      <c r="C904" s="54"/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</row>
    <row r="905" spans="1:26" ht="13.5" customHeight="1" x14ac:dyDescent="0.3">
      <c r="A905" s="54"/>
      <c r="B905" s="54"/>
      <c r="C905" s="54"/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</row>
    <row r="906" spans="1:26" ht="13.5" customHeight="1" x14ac:dyDescent="0.3">
      <c r="A906" s="54"/>
      <c r="B906" s="54"/>
      <c r="C906" s="54"/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</row>
    <row r="907" spans="1:26" ht="13.5" customHeight="1" x14ac:dyDescent="0.3">
      <c r="A907" s="54"/>
      <c r="B907" s="54"/>
      <c r="C907" s="54"/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</row>
    <row r="908" spans="1:26" ht="13.5" customHeight="1" x14ac:dyDescent="0.3">
      <c r="A908" s="54"/>
      <c r="B908" s="54"/>
      <c r="C908" s="54"/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</row>
    <row r="909" spans="1:26" ht="13.5" customHeight="1" x14ac:dyDescent="0.3">
      <c r="A909" s="54"/>
      <c r="B909" s="54"/>
      <c r="C909" s="54"/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</row>
    <row r="910" spans="1:26" ht="13.5" customHeight="1" x14ac:dyDescent="0.3">
      <c r="A910" s="54"/>
      <c r="B910" s="54"/>
      <c r="C910" s="54"/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</row>
    <row r="911" spans="1:26" ht="13.5" customHeight="1" x14ac:dyDescent="0.3">
      <c r="A911" s="54"/>
      <c r="B911" s="54"/>
      <c r="C911" s="54"/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</row>
    <row r="912" spans="1:26" ht="13.5" customHeight="1" x14ac:dyDescent="0.3">
      <c r="A912" s="54"/>
      <c r="B912" s="54"/>
      <c r="C912" s="54"/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</row>
    <row r="913" spans="1:26" ht="13.5" customHeight="1" x14ac:dyDescent="0.3">
      <c r="A913" s="54"/>
      <c r="B913" s="54"/>
      <c r="C913" s="54"/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</row>
    <row r="914" spans="1:26" ht="13.5" customHeight="1" x14ac:dyDescent="0.3">
      <c r="A914" s="54"/>
      <c r="B914" s="54"/>
      <c r="C914" s="54"/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</row>
    <row r="915" spans="1:26" ht="13.5" customHeight="1" x14ac:dyDescent="0.3">
      <c r="A915" s="54"/>
      <c r="B915" s="54"/>
      <c r="C915" s="54"/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  <c r="V915" s="54"/>
      <c r="W915" s="54"/>
      <c r="X915" s="54"/>
      <c r="Y915" s="54"/>
      <c r="Z915" s="54"/>
    </row>
    <row r="916" spans="1:26" ht="13.5" customHeight="1" x14ac:dyDescent="0.3">
      <c r="A916" s="54"/>
      <c r="B916" s="54"/>
      <c r="C916" s="54"/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  <c r="V916" s="54"/>
      <c r="W916" s="54"/>
      <c r="X916" s="54"/>
      <c r="Y916" s="54"/>
      <c r="Z916" s="54"/>
    </row>
    <row r="917" spans="1:26" ht="13.5" customHeight="1" x14ac:dyDescent="0.3">
      <c r="A917" s="54"/>
      <c r="B917" s="54"/>
      <c r="C917" s="54"/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</row>
    <row r="918" spans="1:26" ht="13.5" customHeight="1" x14ac:dyDescent="0.3">
      <c r="A918" s="54"/>
      <c r="B918" s="54"/>
      <c r="C918" s="54"/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</row>
    <row r="919" spans="1:26" ht="13.5" customHeight="1" x14ac:dyDescent="0.3">
      <c r="A919" s="54"/>
      <c r="B919" s="54"/>
      <c r="C919" s="54"/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</row>
    <row r="920" spans="1:26" ht="13.5" customHeight="1" x14ac:dyDescent="0.3">
      <c r="A920" s="54"/>
      <c r="B920" s="54"/>
      <c r="C920" s="54"/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</row>
    <row r="921" spans="1:26" ht="13.5" customHeight="1" x14ac:dyDescent="0.3">
      <c r="A921" s="54"/>
      <c r="B921" s="54"/>
      <c r="C921" s="54"/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</row>
    <row r="922" spans="1:26" ht="13.5" customHeight="1" x14ac:dyDescent="0.3">
      <c r="A922" s="54"/>
      <c r="B922" s="54"/>
      <c r="C922" s="54"/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</row>
    <row r="923" spans="1:26" ht="13.5" customHeight="1" x14ac:dyDescent="0.3">
      <c r="A923" s="54"/>
      <c r="B923" s="54"/>
      <c r="C923" s="54"/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</row>
    <row r="924" spans="1:26" ht="13.5" customHeight="1" x14ac:dyDescent="0.3">
      <c r="A924" s="54"/>
      <c r="B924" s="54"/>
      <c r="C924" s="54"/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</row>
    <row r="925" spans="1:26" ht="13.5" customHeight="1" x14ac:dyDescent="0.3">
      <c r="A925" s="54"/>
      <c r="B925" s="54"/>
      <c r="C925" s="54"/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</row>
    <row r="926" spans="1:26" ht="13.5" customHeight="1" x14ac:dyDescent="0.3">
      <c r="A926" s="54"/>
      <c r="B926" s="54"/>
      <c r="C926" s="54"/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</row>
    <row r="927" spans="1:26" ht="13.5" customHeight="1" x14ac:dyDescent="0.3">
      <c r="A927" s="54"/>
      <c r="B927" s="54"/>
      <c r="C927" s="54"/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</row>
    <row r="928" spans="1:26" ht="13.5" customHeight="1" x14ac:dyDescent="0.3">
      <c r="A928" s="54"/>
      <c r="B928" s="54"/>
      <c r="C928" s="54"/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</row>
    <row r="929" spans="1:26" ht="13.5" customHeight="1" x14ac:dyDescent="0.3">
      <c r="A929" s="54"/>
      <c r="B929" s="54"/>
      <c r="C929" s="54"/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</row>
    <row r="930" spans="1:26" ht="13.5" customHeight="1" x14ac:dyDescent="0.3">
      <c r="A930" s="54"/>
      <c r="B930" s="54"/>
      <c r="C930" s="54"/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</row>
    <row r="931" spans="1:26" ht="13.5" customHeight="1" x14ac:dyDescent="0.3">
      <c r="A931" s="54"/>
      <c r="B931" s="54"/>
      <c r="C931" s="54"/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  <c r="V931" s="54"/>
      <c r="W931" s="54"/>
      <c r="X931" s="54"/>
      <c r="Y931" s="54"/>
      <c r="Z931" s="54"/>
    </row>
    <row r="932" spans="1:26" ht="13.5" customHeight="1" x14ac:dyDescent="0.3">
      <c r="A932" s="54"/>
      <c r="B932" s="54"/>
      <c r="C932" s="54"/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  <c r="V932" s="54"/>
      <c r="W932" s="54"/>
      <c r="X932" s="54"/>
      <c r="Y932" s="54"/>
      <c r="Z932" s="54"/>
    </row>
    <row r="933" spans="1:26" ht="13.5" customHeight="1" x14ac:dyDescent="0.3">
      <c r="A933" s="54"/>
      <c r="B933" s="54"/>
      <c r="C933" s="54"/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</row>
    <row r="934" spans="1:26" ht="13.5" customHeight="1" x14ac:dyDescent="0.3">
      <c r="A934" s="54"/>
      <c r="B934" s="54"/>
      <c r="C934" s="54"/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</row>
    <row r="935" spans="1:26" ht="13.5" customHeight="1" x14ac:dyDescent="0.3">
      <c r="A935" s="54"/>
      <c r="B935" s="54"/>
      <c r="C935" s="54"/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</row>
    <row r="936" spans="1:26" ht="13.5" customHeight="1" x14ac:dyDescent="0.3">
      <c r="A936" s="54"/>
      <c r="B936" s="54"/>
      <c r="C936" s="54"/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</row>
    <row r="937" spans="1:26" ht="13.5" customHeight="1" x14ac:dyDescent="0.3">
      <c r="A937" s="54"/>
      <c r="B937" s="54"/>
      <c r="C937" s="54"/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</row>
    <row r="938" spans="1:26" ht="13.5" customHeight="1" x14ac:dyDescent="0.3">
      <c r="A938" s="54"/>
      <c r="B938" s="54"/>
      <c r="C938" s="54"/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</row>
    <row r="939" spans="1:26" ht="13.5" customHeight="1" x14ac:dyDescent="0.3">
      <c r="A939" s="54"/>
      <c r="B939" s="54"/>
      <c r="C939" s="54"/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</row>
    <row r="940" spans="1:26" ht="13.5" customHeight="1" x14ac:dyDescent="0.3">
      <c r="A940" s="54"/>
      <c r="B940" s="54"/>
      <c r="C940" s="54"/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</row>
    <row r="941" spans="1:26" ht="13.5" customHeight="1" x14ac:dyDescent="0.3">
      <c r="A941" s="54"/>
      <c r="B941" s="54"/>
      <c r="C941" s="54"/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</row>
    <row r="942" spans="1:26" ht="13.5" customHeight="1" x14ac:dyDescent="0.3">
      <c r="A942" s="54"/>
      <c r="B942" s="54"/>
      <c r="C942" s="54"/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</row>
    <row r="943" spans="1:26" ht="13.5" customHeight="1" x14ac:dyDescent="0.3">
      <c r="A943" s="54"/>
      <c r="B943" s="54"/>
      <c r="C943" s="54"/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</row>
    <row r="944" spans="1:26" ht="13.5" customHeight="1" x14ac:dyDescent="0.3">
      <c r="A944" s="54"/>
      <c r="B944" s="54"/>
      <c r="C944" s="54"/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</row>
    <row r="945" spans="1:26" ht="13.5" customHeight="1" x14ac:dyDescent="0.3">
      <c r="A945" s="54"/>
      <c r="B945" s="54"/>
      <c r="C945" s="54"/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</row>
    <row r="946" spans="1:26" ht="13.5" customHeight="1" x14ac:dyDescent="0.3">
      <c r="A946" s="54"/>
      <c r="B946" s="54"/>
      <c r="C946" s="54"/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</row>
    <row r="947" spans="1:26" ht="13.5" customHeight="1" x14ac:dyDescent="0.3">
      <c r="A947" s="54"/>
      <c r="B947" s="54"/>
      <c r="C947" s="54"/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</row>
    <row r="948" spans="1:26" ht="13.5" customHeight="1" x14ac:dyDescent="0.3">
      <c r="A948" s="54"/>
      <c r="B948" s="54"/>
      <c r="C948" s="54"/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</row>
    <row r="949" spans="1:26" ht="13.5" customHeight="1" x14ac:dyDescent="0.3">
      <c r="A949" s="54"/>
      <c r="B949" s="54"/>
      <c r="C949" s="54"/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</row>
    <row r="950" spans="1:26" ht="13.5" customHeight="1" x14ac:dyDescent="0.3">
      <c r="A950" s="54"/>
      <c r="B950" s="54"/>
      <c r="C950" s="54"/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</row>
    <row r="951" spans="1:26" ht="13.5" customHeight="1" x14ac:dyDescent="0.3">
      <c r="A951" s="54"/>
      <c r="B951" s="54"/>
      <c r="C951" s="54"/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</row>
    <row r="952" spans="1:26" ht="13.5" customHeight="1" x14ac:dyDescent="0.3">
      <c r="A952" s="54"/>
      <c r="B952" s="54"/>
      <c r="C952" s="54"/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</row>
    <row r="953" spans="1:26" ht="13.5" customHeight="1" x14ac:dyDescent="0.3">
      <c r="A953" s="54"/>
      <c r="B953" s="54"/>
      <c r="C953" s="54"/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</row>
    <row r="954" spans="1:26" ht="13.5" customHeight="1" x14ac:dyDescent="0.3">
      <c r="A954" s="54"/>
      <c r="B954" s="54"/>
      <c r="C954" s="54"/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</row>
    <row r="955" spans="1:26" ht="13.5" customHeight="1" x14ac:dyDescent="0.3">
      <c r="A955" s="54"/>
      <c r="B955" s="54"/>
      <c r="C955" s="54"/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</row>
    <row r="956" spans="1:26" ht="13.5" customHeight="1" x14ac:dyDescent="0.3">
      <c r="A956" s="54"/>
      <c r="B956" s="54"/>
      <c r="C956" s="54"/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</row>
    <row r="957" spans="1:26" ht="13.5" customHeight="1" x14ac:dyDescent="0.3">
      <c r="A957" s="54"/>
      <c r="B957" s="54"/>
      <c r="C957" s="54"/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</row>
    <row r="958" spans="1:26" ht="13.5" customHeight="1" x14ac:dyDescent="0.3">
      <c r="A958" s="54"/>
      <c r="B958" s="54"/>
      <c r="C958" s="54"/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</row>
    <row r="959" spans="1:26" ht="13.5" customHeight="1" x14ac:dyDescent="0.3">
      <c r="A959" s="54"/>
      <c r="B959" s="54"/>
      <c r="C959" s="54"/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</row>
    <row r="960" spans="1:26" ht="13.5" customHeight="1" x14ac:dyDescent="0.3">
      <c r="A960" s="54"/>
      <c r="B960" s="54"/>
      <c r="C960" s="54"/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</row>
    <row r="961" spans="1:26" ht="13.5" customHeight="1" x14ac:dyDescent="0.3">
      <c r="A961" s="54"/>
      <c r="B961" s="54"/>
      <c r="C961" s="54"/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</row>
    <row r="962" spans="1:26" ht="13.5" customHeight="1" x14ac:dyDescent="0.3">
      <c r="A962" s="54"/>
      <c r="B962" s="54"/>
      <c r="C962" s="54"/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</row>
    <row r="963" spans="1:26" ht="13.5" customHeight="1" x14ac:dyDescent="0.3">
      <c r="A963" s="54"/>
      <c r="B963" s="54"/>
      <c r="C963" s="54"/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</row>
    <row r="964" spans="1:26" ht="13.5" customHeight="1" x14ac:dyDescent="0.3">
      <c r="A964" s="54"/>
      <c r="B964" s="54"/>
      <c r="C964" s="54"/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</row>
    <row r="965" spans="1:26" ht="13.5" customHeight="1" x14ac:dyDescent="0.3">
      <c r="A965" s="54"/>
      <c r="B965" s="54"/>
      <c r="C965" s="54"/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</row>
    <row r="966" spans="1:26" ht="13.5" customHeight="1" x14ac:dyDescent="0.3">
      <c r="A966" s="54"/>
      <c r="B966" s="54"/>
      <c r="C966" s="54"/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</row>
    <row r="967" spans="1:26" ht="13.5" customHeight="1" x14ac:dyDescent="0.3">
      <c r="A967" s="54"/>
      <c r="B967" s="54"/>
      <c r="C967" s="54"/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</row>
    <row r="968" spans="1:26" ht="13.5" customHeight="1" x14ac:dyDescent="0.3">
      <c r="A968" s="54"/>
      <c r="B968" s="54"/>
      <c r="C968" s="54"/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</row>
    <row r="969" spans="1:26" ht="13.5" customHeight="1" x14ac:dyDescent="0.3">
      <c r="A969" s="54"/>
      <c r="B969" s="54"/>
      <c r="C969" s="54"/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</row>
    <row r="970" spans="1:26" ht="13.5" customHeight="1" x14ac:dyDescent="0.3">
      <c r="A970" s="54"/>
      <c r="B970" s="54"/>
      <c r="C970" s="54"/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</row>
    <row r="971" spans="1:26" ht="13.5" customHeight="1" x14ac:dyDescent="0.3">
      <c r="A971" s="54"/>
      <c r="B971" s="54"/>
      <c r="C971" s="54"/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</row>
    <row r="972" spans="1:26" ht="13.5" customHeight="1" x14ac:dyDescent="0.3">
      <c r="A972" s="54"/>
      <c r="B972" s="54"/>
      <c r="C972" s="54"/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</row>
    <row r="973" spans="1:26" ht="13.5" customHeight="1" x14ac:dyDescent="0.3">
      <c r="A973" s="54"/>
      <c r="B973" s="54"/>
      <c r="C973" s="54"/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</row>
    <row r="974" spans="1:26" ht="13.5" customHeight="1" x14ac:dyDescent="0.3">
      <c r="A974" s="54"/>
      <c r="B974" s="54"/>
      <c r="C974" s="54"/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</row>
    <row r="975" spans="1:26" ht="13.5" customHeight="1" x14ac:dyDescent="0.3">
      <c r="A975" s="54"/>
      <c r="B975" s="54"/>
      <c r="C975" s="54"/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</row>
    <row r="976" spans="1:26" ht="13.5" customHeight="1" x14ac:dyDescent="0.3">
      <c r="A976" s="54"/>
      <c r="B976" s="54"/>
      <c r="C976" s="54"/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</row>
    <row r="977" spans="1:26" ht="13.5" customHeight="1" x14ac:dyDescent="0.3">
      <c r="A977" s="54"/>
      <c r="B977" s="54"/>
      <c r="C977" s="54"/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</row>
    <row r="978" spans="1:26" ht="13.5" customHeight="1" x14ac:dyDescent="0.3">
      <c r="A978" s="54"/>
      <c r="B978" s="54"/>
      <c r="C978" s="54"/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</row>
    <row r="979" spans="1:26" ht="13.5" customHeight="1" x14ac:dyDescent="0.3">
      <c r="A979" s="54"/>
      <c r="B979" s="54"/>
      <c r="C979" s="54"/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  <c r="V979" s="54"/>
      <c r="W979" s="54"/>
      <c r="X979" s="54"/>
      <c r="Y979" s="54"/>
      <c r="Z979" s="54"/>
    </row>
    <row r="980" spans="1:26" ht="13.5" customHeight="1" x14ac:dyDescent="0.3">
      <c r="A980" s="54"/>
      <c r="B980" s="54"/>
      <c r="C980" s="54"/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  <c r="V980" s="54"/>
      <c r="W980" s="54"/>
      <c r="X980" s="54"/>
      <c r="Y980" s="54"/>
      <c r="Z980" s="54"/>
    </row>
    <row r="981" spans="1:26" ht="13.5" customHeight="1" x14ac:dyDescent="0.3">
      <c r="A981" s="54"/>
      <c r="B981" s="54"/>
      <c r="C981" s="54"/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  <c r="V981" s="54"/>
      <c r="W981" s="54"/>
      <c r="X981" s="54"/>
      <c r="Y981" s="54"/>
      <c r="Z981" s="54"/>
    </row>
    <row r="982" spans="1:26" ht="13.5" customHeight="1" x14ac:dyDescent="0.3">
      <c r="A982" s="54"/>
      <c r="B982" s="54"/>
      <c r="C982" s="54"/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  <c r="V982" s="54"/>
      <c r="W982" s="54"/>
      <c r="X982" s="54"/>
      <c r="Y982" s="54"/>
      <c r="Z982" s="54"/>
    </row>
    <row r="983" spans="1:26" ht="13.5" customHeight="1" x14ac:dyDescent="0.3">
      <c r="A983" s="54"/>
      <c r="B983" s="54"/>
      <c r="C983" s="54"/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  <c r="V983" s="54"/>
      <c r="W983" s="54"/>
      <c r="X983" s="54"/>
      <c r="Y983" s="54"/>
      <c r="Z983" s="54"/>
    </row>
    <row r="984" spans="1:26" ht="13.5" customHeight="1" x14ac:dyDescent="0.3">
      <c r="A984" s="54"/>
      <c r="B984" s="54"/>
      <c r="C984" s="54"/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  <c r="V984" s="54"/>
      <c r="W984" s="54"/>
      <c r="X984" s="54"/>
      <c r="Y984" s="54"/>
      <c r="Z984" s="54"/>
    </row>
    <row r="985" spans="1:26" ht="13.5" customHeight="1" x14ac:dyDescent="0.3">
      <c r="A985" s="54"/>
      <c r="B985" s="54"/>
      <c r="C985" s="54"/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  <c r="V985" s="54"/>
      <c r="W985" s="54"/>
      <c r="X985" s="54"/>
      <c r="Y985" s="54"/>
      <c r="Z985" s="54"/>
    </row>
    <row r="986" spans="1:26" ht="13.5" customHeight="1" x14ac:dyDescent="0.3">
      <c r="A986" s="54"/>
      <c r="B986" s="54"/>
      <c r="C986" s="54"/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  <c r="V986" s="54"/>
      <c r="W986" s="54"/>
      <c r="X986" s="54"/>
      <c r="Y986" s="54"/>
      <c r="Z986" s="54"/>
    </row>
    <row r="987" spans="1:26" ht="13.5" customHeight="1" x14ac:dyDescent="0.3">
      <c r="A987" s="54"/>
      <c r="B987" s="54"/>
      <c r="C987" s="54"/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  <c r="V987" s="54"/>
      <c r="W987" s="54"/>
      <c r="X987" s="54"/>
      <c r="Y987" s="54"/>
      <c r="Z987" s="54"/>
    </row>
    <row r="988" spans="1:26" ht="13.5" customHeight="1" x14ac:dyDescent="0.3">
      <c r="A988" s="54"/>
      <c r="B988" s="54"/>
      <c r="C988" s="54"/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  <c r="V988" s="54"/>
      <c r="W988" s="54"/>
      <c r="X988" s="54"/>
      <c r="Y988" s="54"/>
      <c r="Z988" s="54"/>
    </row>
    <row r="989" spans="1:26" ht="13.5" customHeight="1" x14ac:dyDescent="0.3">
      <c r="A989" s="54"/>
      <c r="B989" s="54"/>
      <c r="C989" s="54"/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  <c r="V989" s="54"/>
      <c r="W989" s="54"/>
      <c r="X989" s="54"/>
      <c r="Y989" s="54"/>
      <c r="Z989" s="54"/>
    </row>
    <row r="990" spans="1:26" ht="13.5" customHeight="1" x14ac:dyDescent="0.3">
      <c r="A990" s="54"/>
      <c r="B990" s="54"/>
      <c r="C990" s="54"/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  <c r="V990" s="54"/>
      <c r="W990" s="54"/>
      <c r="X990" s="54"/>
      <c r="Y990" s="54"/>
      <c r="Z990" s="54"/>
    </row>
    <row r="991" spans="1:26" ht="13.5" customHeight="1" x14ac:dyDescent="0.3">
      <c r="A991" s="54"/>
      <c r="B991" s="54"/>
      <c r="C991" s="54"/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  <c r="V991" s="54"/>
      <c r="W991" s="54"/>
      <c r="X991" s="54"/>
      <c r="Y991" s="54"/>
      <c r="Z991" s="54"/>
    </row>
    <row r="992" spans="1:26" ht="13.5" customHeight="1" x14ac:dyDescent="0.3">
      <c r="A992" s="54"/>
      <c r="B992" s="54"/>
      <c r="C992" s="54"/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  <c r="V992" s="54"/>
      <c r="W992" s="54"/>
      <c r="X992" s="54"/>
      <c r="Y992" s="54"/>
      <c r="Z992" s="54"/>
    </row>
    <row r="993" spans="1:26" ht="13.5" customHeight="1" x14ac:dyDescent="0.3">
      <c r="A993" s="54"/>
      <c r="B993" s="54"/>
      <c r="C993" s="54"/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  <c r="V993" s="54"/>
      <c r="W993" s="54"/>
      <c r="X993" s="54"/>
      <c r="Y993" s="54"/>
      <c r="Z993" s="54"/>
    </row>
    <row r="994" spans="1:26" ht="13.5" customHeight="1" x14ac:dyDescent="0.3">
      <c r="A994" s="54"/>
      <c r="B994" s="54"/>
      <c r="C994" s="54"/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  <c r="V994" s="54"/>
      <c r="W994" s="54"/>
      <c r="X994" s="54"/>
      <c r="Y994" s="54"/>
      <c r="Z994" s="54"/>
    </row>
    <row r="995" spans="1:26" ht="13.5" customHeight="1" x14ac:dyDescent="0.3">
      <c r="A995" s="54"/>
      <c r="B995" s="54"/>
      <c r="C995" s="54"/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  <c r="V995" s="54"/>
      <c r="W995" s="54"/>
      <c r="X995" s="54"/>
      <c r="Y995" s="54"/>
      <c r="Z995" s="54"/>
    </row>
    <row r="996" spans="1:26" ht="13.5" customHeight="1" x14ac:dyDescent="0.3">
      <c r="A996" s="54"/>
      <c r="B996" s="54"/>
      <c r="C996" s="54"/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  <c r="V996" s="54"/>
      <c r="W996" s="54"/>
      <c r="X996" s="54"/>
      <c r="Y996" s="54"/>
      <c r="Z996" s="54"/>
    </row>
    <row r="997" spans="1:26" ht="13.5" customHeight="1" x14ac:dyDescent="0.3">
      <c r="A997" s="54"/>
      <c r="B997" s="54"/>
      <c r="C997" s="54"/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  <c r="V997" s="54"/>
      <c r="W997" s="54"/>
      <c r="X997" s="54"/>
      <c r="Y997" s="54"/>
      <c r="Z997" s="54"/>
    </row>
    <row r="998" spans="1:26" ht="13.5" customHeight="1" x14ac:dyDescent="0.3">
      <c r="A998" s="54"/>
      <c r="B998" s="54"/>
      <c r="C998" s="54"/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  <c r="V998" s="54"/>
      <c r="W998" s="54"/>
      <c r="X998" s="54"/>
      <c r="Y998" s="54"/>
      <c r="Z998" s="54"/>
    </row>
    <row r="999" spans="1:26" ht="13.5" customHeight="1" x14ac:dyDescent="0.3">
      <c r="A999" s="54"/>
      <c r="B999" s="54"/>
      <c r="C999" s="54"/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  <c r="V999" s="54"/>
      <c r="W999" s="54"/>
      <c r="X999" s="54"/>
      <c r="Y999" s="54"/>
      <c r="Z999" s="54"/>
    </row>
    <row r="1000" spans="1:26" ht="13.5" customHeight="1" x14ac:dyDescent="0.3">
      <c r="A1000" s="54"/>
      <c r="B1000" s="54"/>
      <c r="C1000" s="54"/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  <c r="Y1000" s="54"/>
      <c r="Z1000" s="54"/>
    </row>
    <row r="1001" spans="1:26" ht="13.5" customHeight="1" x14ac:dyDescent="0.3">
      <c r="A1001" s="54"/>
      <c r="B1001" s="54"/>
      <c r="C1001" s="54"/>
      <c r="D1001" s="54"/>
      <c r="E1001" s="54"/>
      <c r="F1001" s="54"/>
      <c r="G1001" s="54"/>
      <c r="H1001" s="54"/>
      <c r="I1001" s="54"/>
      <c r="J1001" s="54"/>
      <c r="K1001" s="54"/>
      <c r="L1001" s="54"/>
      <c r="M1001" s="54"/>
      <c r="N1001" s="54"/>
      <c r="O1001" s="54"/>
      <c r="P1001" s="54"/>
      <c r="Q1001" s="54"/>
      <c r="R1001" s="54"/>
      <c r="S1001" s="54"/>
      <c r="T1001" s="54"/>
      <c r="U1001" s="54"/>
      <c r="V1001" s="54"/>
      <c r="W1001" s="54"/>
      <c r="X1001" s="54"/>
      <c r="Y1001" s="54"/>
      <c r="Z1001" s="54"/>
    </row>
    <row r="1002" spans="1:26" ht="13.5" customHeight="1" x14ac:dyDescent="0.3">
      <c r="A1002" s="54"/>
      <c r="B1002" s="54"/>
      <c r="C1002" s="54"/>
      <c r="D1002" s="54"/>
      <c r="E1002" s="54"/>
      <c r="F1002" s="54"/>
      <c r="G1002" s="54"/>
      <c r="H1002" s="54"/>
      <c r="I1002" s="54"/>
      <c r="J1002" s="54"/>
      <c r="K1002" s="54"/>
      <c r="L1002" s="54"/>
      <c r="M1002" s="54"/>
      <c r="N1002" s="54"/>
      <c r="O1002" s="54"/>
      <c r="P1002" s="54"/>
      <c r="Q1002" s="54"/>
      <c r="R1002" s="54"/>
      <c r="S1002" s="54"/>
      <c r="T1002" s="54"/>
      <c r="U1002" s="54"/>
      <c r="V1002" s="54"/>
      <c r="W1002" s="54"/>
      <c r="X1002" s="54"/>
      <c r="Y1002" s="54"/>
      <c r="Z1002" s="54"/>
    </row>
    <row r="1003" spans="1:26" ht="13.5" customHeight="1" x14ac:dyDescent="0.3">
      <c r="A1003" s="54"/>
      <c r="B1003" s="54"/>
      <c r="C1003" s="54"/>
      <c r="D1003" s="54"/>
      <c r="E1003" s="54"/>
      <c r="F1003" s="54"/>
      <c r="G1003" s="54"/>
      <c r="H1003" s="54"/>
      <c r="I1003" s="54"/>
      <c r="J1003" s="54"/>
      <c r="K1003" s="54"/>
      <c r="L1003" s="54"/>
      <c r="M1003" s="54"/>
      <c r="N1003" s="54"/>
      <c r="O1003" s="54"/>
      <c r="P1003" s="54"/>
      <c r="Q1003" s="54"/>
      <c r="R1003" s="54"/>
      <c r="S1003" s="54"/>
      <c r="T1003" s="54"/>
      <c r="U1003" s="54"/>
      <c r="V1003" s="54"/>
      <c r="W1003" s="54"/>
      <c r="X1003" s="54"/>
      <c r="Y1003" s="54"/>
      <c r="Z1003" s="54"/>
    </row>
    <row r="1004" spans="1:26" ht="13.5" customHeight="1" x14ac:dyDescent="0.3">
      <c r="A1004" s="54"/>
      <c r="B1004" s="54"/>
      <c r="C1004" s="54"/>
      <c r="D1004" s="54"/>
      <c r="E1004" s="54"/>
      <c r="F1004" s="54"/>
      <c r="G1004" s="54"/>
      <c r="H1004" s="54"/>
      <c r="I1004" s="54"/>
      <c r="J1004" s="54"/>
      <c r="K1004" s="54"/>
      <c r="L1004" s="54"/>
      <c r="M1004" s="54"/>
      <c r="N1004" s="54"/>
      <c r="O1004" s="54"/>
      <c r="P1004" s="54"/>
      <c r="Q1004" s="54"/>
      <c r="R1004" s="54"/>
      <c r="S1004" s="54"/>
      <c r="T1004" s="54"/>
      <c r="U1004" s="54"/>
      <c r="V1004" s="54"/>
      <c r="W1004" s="54"/>
      <c r="X1004" s="54"/>
      <c r="Y1004" s="54"/>
      <c r="Z1004" s="54"/>
    </row>
    <row r="1005" spans="1:26" ht="13.5" customHeight="1" x14ac:dyDescent="0.3">
      <c r="A1005" s="54"/>
      <c r="B1005" s="54"/>
      <c r="C1005" s="54"/>
      <c r="D1005" s="54"/>
      <c r="E1005" s="54"/>
      <c r="F1005" s="54"/>
      <c r="G1005" s="54"/>
      <c r="H1005" s="54"/>
      <c r="I1005" s="54"/>
      <c r="J1005" s="54"/>
      <c r="K1005" s="54"/>
      <c r="L1005" s="54"/>
      <c r="M1005" s="54"/>
      <c r="N1005" s="54"/>
      <c r="O1005" s="54"/>
      <c r="P1005" s="54"/>
      <c r="Q1005" s="54"/>
      <c r="R1005" s="54"/>
      <c r="S1005" s="54"/>
      <c r="T1005" s="54"/>
      <c r="U1005" s="54"/>
      <c r="V1005" s="54"/>
      <c r="W1005" s="54"/>
      <c r="X1005" s="54"/>
      <c r="Y1005" s="54"/>
      <c r="Z1005" s="54"/>
    </row>
    <row r="1006" spans="1:26" ht="13.5" customHeight="1" x14ac:dyDescent="0.3">
      <c r="A1006" s="54"/>
      <c r="B1006" s="54"/>
      <c r="C1006" s="54"/>
      <c r="D1006" s="54"/>
      <c r="E1006" s="54"/>
      <c r="F1006" s="54"/>
      <c r="G1006" s="54"/>
      <c r="H1006" s="54"/>
      <c r="I1006" s="54"/>
      <c r="J1006" s="54"/>
      <c r="K1006" s="54"/>
      <c r="L1006" s="54"/>
      <c r="M1006" s="54"/>
      <c r="N1006" s="54"/>
      <c r="O1006" s="54"/>
      <c r="P1006" s="54"/>
      <c r="Q1006" s="54"/>
      <c r="R1006" s="54"/>
      <c r="S1006" s="54"/>
      <c r="T1006" s="54"/>
      <c r="U1006" s="54"/>
      <c r="V1006" s="54"/>
      <c r="W1006" s="54"/>
      <c r="X1006" s="54"/>
      <c r="Y1006" s="54"/>
      <c r="Z1006" s="54"/>
    </row>
    <row r="1007" spans="1:26" ht="13.5" customHeight="1" x14ac:dyDescent="0.3">
      <c r="A1007" s="54"/>
      <c r="B1007" s="54"/>
      <c r="C1007" s="54"/>
      <c r="D1007" s="54"/>
      <c r="E1007" s="54"/>
      <c r="F1007" s="54"/>
      <c r="G1007" s="54"/>
      <c r="H1007" s="54"/>
      <c r="I1007" s="54"/>
      <c r="J1007" s="54"/>
      <c r="K1007" s="54"/>
      <c r="L1007" s="54"/>
      <c r="M1007" s="54"/>
      <c r="N1007" s="54"/>
      <c r="O1007" s="54"/>
      <c r="P1007" s="54"/>
      <c r="Q1007" s="54"/>
      <c r="R1007" s="54"/>
      <c r="S1007" s="54"/>
      <c r="T1007" s="54"/>
      <c r="U1007" s="54"/>
      <c r="V1007" s="54"/>
      <c r="W1007" s="54"/>
      <c r="X1007" s="54"/>
      <c r="Y1007" s="54"/>
      <c r="Z1007" s="54"/>
    </row>
    <row r="1008" spans="1:26" ht="13.5" customHeight="1" x14ac:dyDescent="0.3">
      <c r="A1008" s="54"/>
      <c r="B1008" s="54"/>
      <c r="C1008" s="54"/>
      <c r="D1008" s="54"/>
      <c r="E1008" s="54"/>
      <c r="F1008" s="54"/>
      <c r="G1008" s="54"/>
      <c r="H1008" s="54"/>
      <c r="I1008" s="54"/>
      <c r="J1008" s="54"/>
      <c r="K1008" s="54"/>
      <c r="L1008" s="54"/>
      <c r="M1008" s="54"/>
      <c r="N1008" s="54"/>
      <c r="O1008" s="54"/>
      <c r="P1008" s="54"/>
      <c r="Q1008" s="54"/>
      <c r="R1008" s="54"/>
      <c r="S1008" s="54"/>
      <c r="T1008" s="54"/>
      <c r="U1008" s="54"/>
      <c r="V1008" s="54"/>
      <c r="W1008" s="54"/>
      <c r="X1008" s="54"/>
      <c r="Y1008" s="54"/>
      <c r="Z1008" s="54"/>
    </row>
    <row r="1009" spans="1:26" ht="13.5" customHeight="1" x14ac:dyDescent="0.3">
      <c r="A1009" s="54"/>
      <c r="B1009" s="54"/>
      <c r="C1009" s="54"/>
      <c r="D1009" s="54"/>
      <c r="E1009" s="54"/>
      <c r="F1009" s="54"/>
      <c r="G1009" s="54"/>
      <c r="H1009" s="54"/>
      <c r="I1009" s="54"/>
      <c r="J1009" s="54"/>
      <c r="K1009" s="54"/>
      <c r="L1009" s="54"/>
      <c r="M1009" s="54"/>
      <c r="N1009" s="54"/>
      <c r="O1009" s="54"/>
      <c r="P1009" s="54"/>
      <c r="Q1009" s="54"/>
      <c r="R1009" s="54"/>
      <c r="S1009" s="54"/>
      <c r="T1009" s="54"/>
      <c r="U1009" s="54"/>
      <c r="V1009" s="54"/>
      <c r="W1009" s="54"/>
      <c r="X1009" s="54"/>
      <c r="Y1009" s="54"/>
      <c r="Z1009" s="54"/>
    </row>
    <row r="1010" spans="1:26" ht="13.5" customHeight="1" x14ac:dyDescent="0.3">
      <c r="A1010" s="54"/>
      <c r="B1010" s="54"/>
      <c r="C1010" s="54"/>
      <c r="D1010" s="54"/>
      <c r="E1010" s="54"/>
      <c r="F1010" s="54"/>
      <c r="G1010" s="54"/>
      <c r="H1010" s="54"/>
      <c r="I1010" s="54"/>
      <c r="J1010" s="54"/>
      <c r="K1010" s="54"/>
      <c r="L1010" s="54"/>
      <c r="M1010" s="54"/>
      <c r="N1010" s="54"/>
      <c r="O1010" s="54"/>
      <c r="P1010" s="54"/>
      <c r="Q1010" s="54"/>
      <c r="R1010" s="54"/>
      <c r="S1010" s="54"/>
      <c r="T1010" s="54"/>
      <c r="U1010" s="54"/>
      <c r="V1010" s="54"/>
      <c r="W1010" s="54"/>
      <c r="X1010" s="54"/>
      <c r="Y1010" s="54"/>
      <c r="Z1010" s="54"/>
    </row>
    <row r="1011" spans="1:26" ht="13.5" customHeight="1" x14ac:dyDescent="0.3">
      <c r="A1011" s="54"/>
      <c r="B1011" s="54"/>
      <c r="C1011" s="54"/>
      <c r="D1011" s="54"/>
      <c r="E1011" s="54"/>
      <c r="F1011" s="54"/>
      <c r="G1011" s="54"/>
      <c r="H1011" s="54"/>
      <c r="I1011" s="54"/>
      <c r="J1011" s="54"/>
      <c r="K1011" s="54"/>
      <c r="L1011" s="54"/>
      <c r="M1011" s="54"/>
      <c r="N1011" s="54"/>
      <c r="O1011" s="54"/>
      <c r="P1011" s="54"/>
      <c r="Q1011" s="54"/>
      <c r="R1011" s="54"/>
      <c r="S1011" s="54"/>
      <c r="T1011" s="54"/>
      <c r="U1011" s="54"/>
      <c r="V1011" s="54"/>
      <c r="W1011" s="54"/>
      <c r="X1011" s="54"/>
      <c r="Y1011" s="54"/>
      <c r="Z1011" s="54"/>
    </row>
    <row r="1012" spans="1:26" ht="13.5" customHeight="1" x14ac:dyDescent="0.3">
      <c r="A1012" s="54"/>
      <c r="B1012" s="54"/>
      <c r="C1012" s="54"/>
      <c r="D1012" s="54"/>
      <c r="E1012" s="54"/>
      <c r="F1012" s="54"/>
      <c r="G1012" s="54"/>
      <c r="H1012" s="54"/>
      <c r="I1012" s="54"/>
      <c r="J1012" s="54"/>
      <c r="K1012" s="54"/>
      <c r="L1012" s="54"/>
      <c r="M1012" s="54"/>
      <c r="N1012" s="54"/>
      <c r="O1012" s="54"/>
      <c r="P1012" s="54"/>
      <c r="Q1012" s="54"/>
      <c r="R1012" s="54"/>
      <c r="S1012" s="54"/>
      <c r="T1012" s="54"/>
      <c r="U1012" s="54"/>
      <c r="V1012" s="54"/>
      <c r="W1012" s="54"/>
      <c r="X1012" s="54"/>
      <c r="Y1012" s="54"/>
      <c r="Z1012" s="54"/>
    </row>
  </sheetData>
  <hyperlinks>
    <hyperlink ref="B70" r:id="rId1"/>
    <hyperlink ref="B71" r:id="rId2"/>
  </hyperlink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6.1Personnel List</vt:lpstr>
      <vt:lpstr>6.2 Staff Allocation</vt:lpstr>
      <vt:lpstr>SelectDept</vt:lpstr>
      <vt:lpstr>Level I_Departments</vt:lpstr>
      <vt:lpstr>Level IIandIII_Departments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Botero, Ivana Kim B.</cp:lastModifiedBy>
  <dcterms:created xsi:type="dcterms:W3CDTF">2018-04-04T01:42:34Z</dcterms:created>
  <dcterms:modified xsi:type="dcterms:W3CDTF">2018-08-31T07:41:29Z</dcterms:modified>
</cp:coreProperties>
</file>