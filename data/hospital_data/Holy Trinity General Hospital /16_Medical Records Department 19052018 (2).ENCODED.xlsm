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A\Desktop\Hospital visit August 24, 2018\Holy Trinity General Hospital\"/>
    </mc:Choice>
  </mc:AlternateContent>
  <workbookProtection lockStructure="1"/>
  <bookViews>
    <workbookView xWindow="0" yWindow="0" windowWidth="15525" windowHeight="7050" activeTab="2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</calcChain>
</file>

<file path=xl/sharedStrings.xml><?xml version="1.0" encoding="utf-8"?>
<sst xmlns="http://schemas.openxmlformats.org/spreadsheetml/2006/main" count="215" uniqueCount="133">
  <si>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</si>
  <si>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</si>
  <si>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</si>
  <si>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</si>
  <si>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</si>
  <si>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</si>
  <si>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</si>
  <si>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</si>
  <si>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</si>
  <si>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</si>
  <si>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</si>
  <si>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</si>
  <si>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</si>
  <si>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</si>
  <si>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</si>
  <si>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</si>
  <si>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</si>
  <si>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</si>
  <si>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</si>
  <si>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</si>
  <si>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</si>
  <si>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</si>
  <si>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</si>
  <si>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</si>
  <si>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</si>
  <si>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</si>
  <si>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</si>
  <si>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</si>
  <si>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</si>
  <si>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</si>
  <si>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</si>
  <si>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</si>
  <si>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</si>
  <si>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</si>
  <si>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</si>
  <si>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</si>
  <si>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</si>
  <si>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</si>
  <si>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</si>
  <si>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</si>
  <si>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</si>
  <si>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</si>
  <si>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</si>
  <si>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</si>
  <si>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</si>
  <si>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</si>
  <si>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</si>
  <si>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</si>
  <si>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</si>
  <si>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</si>
  <si>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</si>
  <si>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</si>
  <si>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</si>
  <si>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</si>
  <si>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</si>
  <si>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</si>
  <si>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</si>
  <si>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</si>
  <si>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</si>
  <si>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</si>
  <si>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</si>
  <si>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</si>
  <si>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</si>
  <si>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</si>
  <si>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</si>
  <si>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</si>
  <si>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</si>
  <si>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</si>
  <si>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</si>
  <si>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</si>
  <si>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</si>
  <si>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</si>
  <si>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</si>
  <si>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</si>
  <si>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</si>
  <si>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</si>
  <si>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</si>
  <si>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</si>
  <si>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</si>
  <si>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</si>
  <si>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</si>
  <si>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</si>
  <si>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</si>
  <si>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</si>
  <si>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</si>
  <si>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</si>
  <si>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</si>
  <si>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</si>
  <si>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</si>
  <si>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</si>
  <si>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</si>
  <si>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</si>
  <si>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</si>
  <si>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</si>
  <si>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</si>
  <si>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</si>
  <si>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</si>
  <si>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</si>
  <si>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</si>
  <si>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</si>
  <si>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</si>
  <si>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</si>
  <si>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</si>
  <si>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</si>
  <si>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</si>
  <si>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</si>
  <si>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</si>
  <si>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</si>
  <si>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</si>
  <si>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</si>
  <si>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</si>
  <si>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HOLY TRINITY GENERAL HOSPITAL</t>
  </si>
  <si>
    <t>PLAZANG LUMA ARAYAT PAMPANGA</t>
  </si>
  <si>
    <t>SINGLE PROPRIETORSHIP</t>
  </si>
  <si>
    <t>CVA</t>
  </si>
  <si>
    <t>I63.9</t>
  </si>
  <si>
    <t>CAP MR</t>
  </si>
  <si>
    <t>J18.9</t>
  </si>
  <si>
    <t>UNSTABLE ANGINA</t>
  </si>
  <si>
    <t>I20.0</t>
  </si>
  <si>
    <t>FATTY LIVER</t>
  </si>
  <si>
    <t>K76.0</t>
  </si>
  <si>
    <t>HYPERTENSION</t>
  </si>
  <si>
    <t>I10.1</t>
  </si>
  <si>
    <t>E11.6</t>
  </si>
  <si>
    <t>PTB</t>
  </si>
  <si>
    <t>A16.2</t>
  </si>
  <si>
    <t>COPD</t>
  </si>
  <si>
    <t>J44.0</t>
  </si>
  <si>
    <t>DIABETERS MELLITUS</t>
  </si>
  <si>
    <t>NSD</t>
  </si>
  <si>
    <t>D&amp;C</t>
  </si>
  <si>
    <t>May 28 - June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</si>
</sst>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b/>
      <sz val="11"/>
      <color rgb="FF0070C0"/>
      <name val="Arial Narrow"/>
      <family val="2"/>
    </font>
    <font>
      <sz val="11"/>
      <color indexed="63"/>
      <name val="Calibri"/>
      <family val="2"/>
      <scheme val="minor"/>
    </font>
    <font>
      <sz val="11"/>
      <color indexed="39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</cellStyleXfs>
  <cellXfs count="7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5" fillId="0" borderId="0" xfId="0" applyFont="1"/>
    <xf numFmtId="0" fontId="5" fillId="0" borderId="0" xfId="0" applyFont="1" applyAlignment="1">
      <alignment horizontal="center" wrapText="1"/>
    </xf>
    <xf numFmtId="0" fontId="3" fillId="2" borderId="1" xfId="0" applyFont="1" applyFill="1" applyBorder="1"/>
    <xf numFmtId="0" fontId="7" fillId="0" borderId="0" xfId="0" applyFont="1" applyAlignment="1" applyProtection="1">
      <alignment horizontal="center"/>
    </xf>
    <xf numFmtId="0" fontId="8" fillId="3" borderId="0" xfId="0" applyFont="1" applyFill="1" applyProtection="1"/>
    <xf numFmtId="0" fontId="9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10" fillId="2" borderId="1" xfId="0" applyFont="1" applyFill="1" applyBorder="1" applyAlignment="1" applyProtection="1">
      <alignment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164" fontId="10" fillId="2" borderId="1" xfId="1" applyFont="1" applyFill="1" applyBorder="1" applyProtection="1">
      <protection locked="0"/>
    </xf>
    <xf numFmtId="0" fontId="3" fillId="4" borderId="5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2" fillId="4" borderId="7" xfId="0" applyFont="1" applyFill="1" applyBorder="1"/>
    <xf numFmtId="0" fontId="3" fillId="4" borderId="9" xfId="0" applyFont="1" applyFill="1" applyBorder="1"/>
    <xf numFmtId="0" fontId="2" fillId="4" borderId="1" xfId="0" applyFont="1" applyFill="1" applyBorder="1"/>
    <xf numFmtId="0" fontId="3" fillId="4" borderId="1" xfId="0" applyFont="1" applyFill="1" applyBorder="1" applyAlignment="1">
      <alignment horizontal="right"/>
    </xf>
    <xf numFmtId="0" fontId="5" fillId="0" borderId="0" xfId="0" applyFont="1" applyProtection="1"/>
    <xf numFmtId="0" fontId="12" fillId="0" borderId="0" xfId="0" applyFont="1" applyProtection="1"/>
    <xf numFmtId="0" fontId="2" fillId="0" borderId="0" xfId="0" applyFont="1" applyProtection="1"/>
    <xf numFmtId="0" fontId="9" fillId="4" borderId="0" xfId="0" applyFont="1" applyFill="1" applyBorder="1" applyAlignment="1" applyProtection="1">
      <alignment horizontal="left" vertical="center"/>
    </xf>
    <xf numFmtId="0" fontId="9" fillId="0" borderId="0" xfId="0" applyFont="1" applyFill="1" applyBorder="1" applyAlignment="1" applyProtection="1">
      <alignment horizontal="left" vertical="center"/>
    </xf>
    <xf numFmtId="0" fontId="11" fillId="0" borderId="0" xfId="3" applyFont="1" applyAlignment="1" applyProtection="1"/>
    <xf numFmtId="0" fontId="4" fillId="4" borderId="1" xfId="0" applyFont="1" applyFill="1" applyBorder="1" applyAlignment="1">
      <alignment horizontal="center" wrapText="1"/>
    </xf>
    <xf numFmtId="0" fontId="3" fillId="4" borderId="11" xfId="0" applyFont="1" applyFill="1" applyBorder="1"/>
    <xf numFmtId="0" fontId="3" fillId="4" borderId="0" xfId="0" applyFont="1" applyFill="1" applyBorder="1"/>
    <xf numFmtId="0" fontId="3" fillId="4" borderId="10" xfId="0" applyFont="1" applyFill="1" applyBorder="1"/>
    <xf numFmtId="0" fontId="2" fillId="4" borderId="12" xfId="0" applyFont="1" applyFill="1" applyBorder="1"/>
    <xf numFmtId="9" fontId="2" fillId="0" borderId="1" xfId="2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7" fontId="4" fillId="4" borderId="1" xfId="0" applyNumberFormat="1" applyFont="1" applyFill="1" applyBorder="1" applyAlignment="1">
      <alignment horizontal="center" vertical="center"/>
    </xf>
    <xf numFmtId="0" fontId="9" fillId="0" borderId="1" xfId="3" applyFont="1" applyBorder="1" applyAlignment="1" applyProtection="1"/>
    <xf numFmtId="0" fontId="9" fillId="0" borderId="1" xfId="3" applyFont="1" applyBorder="1" applyProtection="1"/>
    <xf numFmtId="0" fontId="14" fillId="2" borderId="1" xfId="0" applyFont="1" applyFill="1" applyBorder="1" applyAlignment="1" applyProtection="1">
      <alignment wrapText="1"/>
      <protection locked="0"/>
    </xf>
    <xf numFmtId="0" fontId="9" fillId="4" borderId="1" xfId="3" applyFont="1" applyFill="1" applyBorder="1" applyAlignment="1" applyProtection="1">
      <alignment horizontal="center" textRotation="90"/>
    </xf>
    <xf numFmtId="0" fontId="14" fillId="2" borderId="1" xfId="0" applyFont="1" applyFill="1" applyBorder="1" applyAlignment="1" applyProtection="1">
      <alignment horizontal="center" textRotation="90" wrapText="1"/>
      <protection locked="0"/>
    </xf>
    <xf numFmtId="0" fontId="7" fillId="6" borderId="1" xfId="3" applyFont="1" applyFill="1" applyBorder="1"/>
    <xf numFmtId="14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9" fillId="4" borderId="1" xfId="3" applyFont="1" applyFill="1" applyBorder="1" applyAlignment="1" applyProtection="1">
      <alignment horizontal="center" textRotation="90" wrapText="1"/>
    </xf>
    <xf numFmtId="0" fontId="9" fillId="4" borderId="13" xfId="3" applyFont="1" applyFill="1" applyBorder="1" applyAlignment="1" applyProtection="1">
      <alignment horizontal="center" textRotation="90" wrapText="1"/>
    </xf>
    <xf numFmtId="0" fontId="5" fillId="0" borderId="0" xfId="0" applyFont="1" applyAlignment="1">
      <alignment horizontal="center" vertical="center" wrapText="1"/>
    </xf>
    <xf numFmtId="0" fontId="3" fillId="4" borderId="7" xfId="0" applyFont="1" applyFill="1" applyBorder="1" applyAlignment="1">
      <alignment horizontal="left" wrapText="1"/>
    </xf>
    <xf numFmtId="0" fontId="3" fillId="4" borderId="8" xfId="0" applyFont="1" applyFill="1" applyBorder="1" applyAlignment="1">
      <alignment horizontal="left" wrapText="1"/>
    </xf>
    <xf numFmtId="0" fontId="4" fillId="4" borderId="1" xfId="0" applyFont="1" applyFill="1" applyBorder="1" applyAlignment="1">
      <alignment horizontal="left"/>
    </xf>
    <xf numFmtId="0" fontId="7" fillId="5" borderId="1" xfId="3" applyFont="1" applyFill="1" applyBorder="1" applyAlignment="1" applyProtection="1">
      <alignment horizontal="center" vertical="top"/>
    </xf>
    <xf numFmtId="0" fontId="2" fillId="4" borderId="14" xfId="0" applyFont="1" applyFill="1" applyBorder="1" applyAlignment="1">
      <alignment horizontal="left" vertical="center" wrapText="1"/>
    </xf>
    <xf numFmtId="0" fontId="2" fillId="4" borderId="15" xfId="0" applyFont="1" applyFill="1" applyBorder="1" applyAlignment="1">
      <alignment horizontal="left" vertical="center" wrapText="1"/>
    </xf>
    <xf numFmtId="0" fontId="2" fillId="4" borderId="12" xfId="0" applyFont="1" applyFill="1" applyBorder="1" applyAlignment="1">
      <alignment horizontal="left" vertical="center" wrapText="1"/>
    </xf>
    <xf numFmtId="0" fontId="7" fillId="7" borderId="1" xfId="3" applyFont="1" applyFill="1" applyBorder="1" applyAlignment="1" applyProtection="1">
      <alignment horizontal="center" vertical="top"/>
    </xf>
    <xf numFmtId="0" fontId="7" fillId="3" borderId="2" xfId="3" applyFont="1" applyFill="1" applyBorder="1" applyAlignment="1" applyProtection="1">
      <alignment horizontal="center" vertical="top"/>
    </xf>
    <xf numFmtId="0" fontId="7" fillId="3" borderId="3" xfId="3" applyFont="1" applyFill="1" applyBorder="1" applyAlignment="1" applyProtection="1">
      <alignment horizontal="center" vertical="top"/>
    </xf>
    <xf numFmtId="0" fontId="4" fillId="5" borderId="1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left" wrapText="1"/>
    </xf>
    <xf numFmtId="0" fontId="3" fillId="4" borderId="6" xfId="0" applyFont="1" applyFill="1" applyBorder="1" applyAlignment="1">
      <alignment horizontal="left" wrapText="1"/>
    </xf>
    <xf numFmtId="0" fontId="3" fillId="4" borderId="1" xfId="0" applyFont="1" applyFill="1" applyBorder="1" applyAlignment="1">
      <alignment horizontal="left" wrapText="1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" fontId="4" fillId="4" borderId="1" xfId="0" applyNumberFormat="1" applyFont="1" applyFill="1" applyBorder="1" applyAlignment="1">
      <alignment horizontal="center" vertical="center"/>
    </xf>
    <xf numFmtId="17" fontId="4" fillId="5" borderId="2" xfId="0" applyNumberFormat="1" applyFont="1" applyFill="1" applyBorder="1" applyAlignment="1">
      <alignment horizontal="center" vertical="center"/>
    </xf>
    <xf numFmtId="17" fontId="4" fillId="5" borderId="4" xfId="0" applyNumberFormat="1" applyFont="1" applyFill="1" applyBorder="1" applyAlignment="1">
      <alignment horizontal="center" vertical="center"/>
    </xf>
    <xf numFmtId="17" fontId="4" fillId="5" borderId="3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</xdr:row>
          <xdr:rowOff>247650</xdr:rowOff>
        </xdr:from>
        <xdr:to>
          <xdr:col>2</xdr:col>
          <xdr:colOff>1809750</xdr:colOff>
          <xdr:row>8</xdr:row>
          <xdr:rowOff>209550</xdr:rowOff>
        </xdr:to>
        <xdr:sp macro="" textlink="">
          <xdr:nvSpPr>
            <xdr:cNvPr id="1026" name="SelectI" descr="Select Level I and II Health Facilit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2219325</xdr:colOff>
          <xdr:row>7</xdr:row>
          <xdr:rowOff>247650</xdr:rowOff>
        </xdr:from>
        <xdr:to>
          <xdr:col>3</xdr:col>
          <xdr:colOff>2382</xdr:colOff>
          <xdr:row>8</xdr:row>
          <xdr:rowOff>209550</xdr:rowOff>
        </xdr:to>
        <xdr:sp macro="" textlink="">
          <xdr:nvSpPr>
            <xdr:cNvPr id="1027" name="SelectIIandIII" descr="Select Level I and II Health Faciliti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1133475</xdr:colOff>
          <xdr:row>13</xdr:row>
          <xdr:rowOff>209550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13</xdr:row>
          <xdr:rowOff>9525</xdr:rowOff>
        </xdr:from>
        <xdr:to>
          <xdr:col>2</xdr:col>
          <xdr:colOff>4763</xdr:colOff>
          <xdr:row>13</xdr:row>
          <xdr:rowOff>209550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topLeftCell="B1" zoomScale="80" zoomScaleNormal="80" workbookViewId="0">
      <selection activeCell="C5" sqref="C5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hidden="1" customWidth="1"/>
    <col min="15" max="17" width="9.5703125" style="4" hidden="1" customWidth="1"/>
    <col min="18" max="23" width="9.5703125" style="2" hidden="1" customWidth="1"/>
    <col min="24" max="32" width="9.5703125" style="4" hidden="1" customWidth="1"/>
    <col min="33" max="35" width="9.5703125" style="2" hidden="1" customWidth="1"/>
    <col min="36" max="36" width="2.140625" style="2" customWidth="1"/>
    <col min="37" max="46" width="9.5703125" style="2" customWidth="1"/>
    <col min="47" max="51" width="9.5703125" style="4" customWidth="1"/>
    <col min="52" max="56" width="9.5703125" style="2" customWidth="1"/>
    <col min="57" max="65" width="9.5703125" style="4" customWidth="1"/>
    <col min="66" max="72" width="9.5703125" style="2" customWidth="1"/>
    <col min="73" max="73" width="10.5703125" style="4" customWidth="1"/>
    <col min="74" max="16384" width="8.7109375" style="2"/>
  </cols>
  <sheetData>
    <row r="2" spans="1:85" s="11" customFormat="1" ht="14.25" customHeight="1" x14ac:dyDescent="0.3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2017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x14ac:dyDescent="0.3">
      <c r="B12" s="3" t="s">
        <v>0</v>
      </c>
      <c r="C12" s="12" t="s">
        <v>111</v>
      </c>
      <c r="BU12" s="44"/>
    </row>
    <row r="13" spans="1:85" x14ac:dyDescent="0.3">
      <c r="B13" s="3" t="s">
        <v>1</v>
      </c>
      <c r="C13" s="12" t="s">
        <v>112</v>
      </c>
      <c r="BU13" s="47"/>
    </row>
    <row r="14" spans="1:85" x14ac:dyDescent="0.3">
      <c r="B14" s="3" t="s">
        <v>2</v>
      </c>
      <c r="C14" s="12">
        <v>111</v>
      </c>
    </row>
    <row r="15" spans="1:85" x14ac:dyDescent="0.3">
      <c r="B15" s="3" t="s">
        <v>3</v>
      </c>
      <c r="C15" s="12">
        <v>1</v>
      </c>
    </row>
    <row r="16" spans="1:85" x14ac:dyDescent="0.3">
      <c r="B16" s="3" t="s">
        <v>4</v>
      </c>
      <c r="C16" s="12" t="s">
        <v>113</v>
      </c>
    </row>
    <row r="17" spans="2:3" x14ac:dyDescent="0.3">
      <c r="B17" s="3" t="s">
        <v>5</v>
      </c>
      <c r="C17" s="14">
        <v>26</v>
      </c>
    </row>
    <row r="18" spans="2:3" x14ac:dyDescent="0.3">
      <c r="B18" s="3" t="s">
        <v>6</v>
      </c>
      <c r="C18" s="14">
        <v>26</v>
      </c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>
        <v>26</v>
      </c>
    </row>
    <row r="22" spans="2:3" x14ac:dyDescent="0.3">
      <c r="B22" s="6" t="s">
        <v>8</v>
      </c>
      <c r="C22" s="14">
        <v>26</v>
      </c>
    </row>
    <row r="23" spans="2:3" x14ac:dyDescent="0.3">
      <c r="B23" s="6" t="s">
        <v>9</v>
      </c>
      <c r="C23" s="14">
        <v>145</v>
      </c>
    </row>
    <row r="24" spans="2:3" x14ac:dyDescent="0.3">
      <c r="B24" s="6" t="s">
        <v>22</v>
      </c>
      <c r="C24" s="14">
        <v>84</v>
      </c>
    </row>
    <row r="25" spans="2:3" x14ac:dyDescent="0.3">
      <c r="B25" s="6" t="s">
        <v>10</v>
      </c>
      <c r="C25" s="14">
        <v>52</v>
      </c>
    </row>
    <row r="26" spans="2:3" x14ac:dyDescent="0.3">
      <c r="B26" s="6" t="s">
        <v>11</v>
      </c>
      <c r="C26" s="14">
        <v>55</v>
      </c>
    </row>
    <row r="27" spans="2:3" x14ac:dyDescent="0.3">
      <c r="B27" s="6" t="s">
        <v>12</v>
      </c>
      <c r="C27" s="14">
        <v>0</v>
      </c>
    </row>
    <row r="28" spans="2:3" x14ac:dyDescent="0.3">
      <c r="B28" s="6" t="s">
        <v>28</v>
      </c>
      <c r="C28" s="14">
        <v>1</v>
      </c>
    </row>
    <row r="29" spans="2:3" x14ac:dyDescent="0.3">
      <c r="B29" s="6" t="s">
        <v>13</v>
      </c>
      <c r="C29" s="34">
        <f>IFERROR(C28/C21,"Calculated automatically")</f>
        <v>3.8461538461538464E-2</v>
      </c>
    </row>
    <row r="30" spans="2:3" x14ac:dyDescent="0.3">
      <c r="B30" s="6" t="s">
        <v>14</v>
      </c>
      <c r="C30" s="35">
        <f>IFERROR(C28/(C26+C27),"Calculated automatically")</f>
        <v>1.8181818181818181E-2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>
        <v>0</v>
      </c>
    </row>
    <row r="34" spans="2:72" x14ac:dyDescent="0.3">
      <c r="B34" s="42" t="s">
        <v>79</v>
      </c>
      <c r="C34" s="12">
        <v>4</v>
      </c>
    </row>
    <row r="35" spans="2:72" x14ac:dyDescent="0.3">
      <c r="B35" s="42" t="s">
        <v>80</v>
      </c>
      <c r="C35" s="12">
        <v>3</v>
      </c>
    </row>
    <row r="36" spans="2:72" x14ac:dyDescent="0.3">
      <c r="B36" s="42" t="s">
        <v>81</v>
      </c>
      <c r="C36" s="12">
        <v>70</v>
      </c>
    </row>
    <row r="37" spans="2:72" x14ac:dyDescent="0.3">
      <c r="B37" s="42" t="s">
        <v>82</v>
      </c>
      <c r="C37" s="12">
        <v>22</v>
      </c>
    </row>
    <row r="38" spans="2:72" x14ac:dyDescent="0.3">
      <c r="B38" s="42" t="s">
        <v>83</v>
      </c>
      <c r="C38" s="12">
        <v>450</v>
      </c>
    </row>
    <row r="39" spans="2:72" x14ac:dyDescent="0.3">
      <c r="B39" s="42" t="s">
        <v>84</v>
      </c>
      <c r="C39" s="12">
        <v>96</v>
      </c>
    </row>
    <row r="40" spans="2:72" x14ac:dyDescent="0.3">
      <c r="B40" s="42" t="s">
        <v>85</v>
      </c>
      <c r="C40" s="12">
        <v>0</v>
      </c>
    </row>
    <row r="41" spans="2:72" x14ac:dyDescent="0.3">
      <c r="B41" s="42" t="s">
        <v>86</v>
      </c>
      <c r="C41" s="12">
        <v>0</v>
      </c>
    </row>
    <row r="42" spans="2:72" x14ac:dyDescent="0.3">
      <c r="B42" s="42" t="s">
        <v>87</v>
      </c>
      <c r="C42" s="12">
        <v>13</v>
      </c>
    </row>
    <row r="43" spans="2:72" x14ac:dyDescent="0.3">
      <c r="B43" s="42" t="s">
        <v>88</v>
      </c>
      <c r="C43" s="12">
        <v>0</v>
      </c>
    </row>
    <row r="44" spans="2:72" x14ac:dyDescent="0.3">
      <c r="B44" s="42" t="s">
        <v>89</v>
      </c>
      <c r="C44" s="12">
        <v>39</v>
      </c>
    </row>
    <row r="45" spans="2:72" x14ac:dyDescent="0.3">
      <c r="B45" s="42" t="s">
        <v>90</v>
      </c>
      <c r="C45" s="12">
        <v>34</v>
      </c>
    </row>
    <row r="47" spans="2:72" x14ac:dyDescent="0.3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 x14ac:dyDescent="0.3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165.75" thickBot="1" x14ac:dyDescent="0.35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12">
        <v>350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>
        <v>145</v>
      </c>
      <c r="AL50" s="14">
        <v>0</v>
      </c>
      <c r="AM50" s="14">
        <v>19</v>
      </c>
      <c r="AN50" s="14">
        <v>0</v>
      </c>
      <c r="AO50" s="14">
        <v>0</v>
      </c>
      <c r="AP50" s="14">
        <v>0</v>
      </c>
      <c r="AQ50" s="14">
        <v>0</v>
      </c>
      <c r="AR50" s="14">
        <v>16</v>
      </c>
      <c r="AS50" s="14">
        <v>24</v>
      </c>
      <c r="AT50" s="14">
        <v>0</v>
      </c>
      <c r="AU50" s="14">
        <v>70</v>
      </c>
      <c r="AV50" s="14">
        <v>0</v>
      </c>
      <c r="AW50" s="14">
        <v>0</v>
      </c>
      <c r="AX50" s="14">
        <v>0</v>
      </c>
      <c r="AY50" s="14">
        <v>0</v>
      </c>
      <c r="AZ50" s="14">
        <v>0</v>
      </c>
      <c r="BA50" s="14">
        <v>0</v>
      </c>
      <c r="BB50" s="14">
        <v>0</v>
      </c>
      <c r="BC50" s="14">
        <v>4</v>
      </c>
      <c r="BD50" s="14">
        <v>1</v>
      </c>
      <c r="BE50" s="14">
        <v>31</v>
      </c>
      <c r="BF50" s="14">
        <v>7</v>
      </c>
      <c r="BG50" s="14">
        <v>1</v>
      </c>
      <c r="BH50" s="14">
        <v>4</v>
      </c>
      <c r="BI50" s="14">
        <v>28</v>
      </c>
      <c r="BJ50" s="14">
        <v>0</v>
      </c>
      <c r="BK50" s="14">
        <v>0</v>
      </c>
      <c r="BL50" s="14">
        <v>0</v>
      </c>
      <c r="BM50" s="14">
        <v>0</v>
      </c>
      <c r="BN50" s="14">
        <v>0</v>
      </c>
      <c r="BO50" s="14">
        <v>0</v>
      </c>
      <c r="BP50" s="14">
        <v>0</v>
      </c>
      <c r="BQ50" s="14">
        <v>0</v>
      </c>
      <c r="BR50" s="14">
        <v>0</v>
      </c>
      <c r="BS50" s="14">
        <v>0</v>
      </c>
      <c r="BT50" s="14">
        <v>0</v>
      </c>
    </row>
    <row r="51" spans="2:72" x14ac:dyDescent="0.3">
      <c r="B51" s="42" t="s">
        <v>99</v>
      </c>
      <c r="C51" s="12">
        <v>0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0</v>
      </c>
      <c r="BB51" s="14">
        <v>0</v>
      </c>
      <c r="BC51" s="14">
        <v>0</v>
      </c>
      <c r="BD51" s="14">
        <v>0</v>
      </c>
      <c r="BE51" s="14">
        <v>0</v>
      </c>
      <c r="BF51" s="14">
        <v>0</v>
      </c>
      <c r="BG51" s="14">
        <v>0</v>
      </c>
      <c r="BH51" s="14">
        <v>0</v>
      </c>
      <c r="BI51" s="14">
        <v>0</v>
      </c>
      <c r="BJ51" s="14">
        <v>0</v>
      </c>
      <c r="BK51" s="14">
        <v>0</v>
      </c>
      <c r="BL51" s="14">
        <v>0</v>
      </c>
      <c r="BM51" s="14">
        <v>0</v>
      </c>
      <c r="BN51" s="14">
        <v>0</v>
      </c>
      <c r="BO51" s="14">
        <v>0</v>
      </c>
      <c r="BP51" s="14">
        <v>0</v>
      </c>
      <c r="BQ51" s="14">
        <v>0</v>
      </c>
      <c r="BR51" s="14">
        <v>0</v>
      </c>
      <c r="BS51" s="14">
        <v>0</v>
      </c>
      <c r="BT51" s="14">
        <v>0</v>
      </c>
    </row>
    <row r="52" spans="2:72" x14ac:dyDescent="0.3">
      <c r="B52" s="42" t="s">
        <v>100</v>
      </c>
      <c r="C52" s="12">
        <v>426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K52" s="14">
        <v>0</v>
      </c>
      <c r="AL52" s="14">
        <v>0</v>
      </c>
      <c r="AM52" s="14">
        <v>0</v>
      </c>
      <c r="AN52" s="14">
        <v>0</v>
      </c>
      <c r="AO52" s="14">
        <v>0</v>
      </c>
      <c r="AP52" s="14">
        <v>0</v>
      </c>
      <c r="AQ52" s="14">
        <v>0</v>
      </c>
      <c r="AR52" s="14">
        <v>0</v>
      </c>
      <c r="AS52" s="14">
        <v>0</v>
      </c>
      <c r="AT52" s="14">
        <v>0</v>
      </c>
      <c r="AU52" s="14">
        <v>0</v>
      </c>
      <c r="AV52" s="14">
        <v>0</v>
      </c>
      <c r="AW52" s="14">
        <v>0</v>
      </c>
      <c r="AX52" s="14">
        <v>0</v>
      </c>
      <c r="AY52" s="14">
        <v>0</v>
      </c>
      <c r="AZ52" s="14">
        <v>0</v>
      </c>
      <c r="BA52" s="14">
        <v>0</v>
      </c>
      <c r="BB52" s="14">
        <v>0</v>
      </c>
      <c r="BC52" s="14">
        <v>0</v>
      </c>
      <c r="BD52" s="14">
        <v>0</v>
      </c>
      <c r="BE52" s="14">
        <v>186</v>
      </c>
      <c r="BF52" s="14">
        <v>42</v>
      </c>
      <c r="BG52" s="14">
        <v>6</v>
      </c>
      <c r="BH52" s="14">
        <v>24</v>
      </c>
      <c r="BI52" s="14">
        <v>168</v>
      </c>
      <c r="BJ52" s="14">
        <v>0</v>
      </c>
      <c r="BK52" s="14">
        <v>0</v>
      </c>
      <c r="BL52" s="14">
        <v>0</v>
      </c>
      <c r="BM52" s="14">
        <v>0</v>
      </c>
      <c r="BN52" s="14">
        <v>0</v>
      </c>
      <c r="BO52" s="14">
        <v>0</v>
      </c>
      <c r="BP52" s="14">
        <v>0</v>
      </c>
      <c r="BQ52" s="14">
        <v>0</v>
      </c>
      <c r="BR52" s="14">
        <v>0</v>
      </c>
      <c r="BS52" s="14">
        <v>0</v>
      </c>
      <c r="BT52" s="14">
        <v>0</v>
      </c>
    </row>
    <row r="53" spans="2:72" x14ac:dyDescent="0.3">
      <c r="B53" s="42" t="s">
        <v>101</v>
      </c>
      <c r="C53" s="12">
        <v>76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>
        <v>0</v>
      </c>
      <c r="AL53" s="14">
        <v>0</v>
      </c>
      <c r="AM53" s="14">
        <v>0</v>
      </c>
      <c r="AN53" s="14">
        <v>0</v>
      </c>
      <c r="AO53" s="14">
        <v>0</v>
      </c>
      <c r="AP53" s="14">
        <v>0</v>
      </c>
      <c r="AQ53" s="14">
        <v>0</v>
      </c>
      <c r="AR53" s="14">
        <v>0</v>
      </c>
      <c r="AS53" s="14">
        <v>0</v>
      </c>
      <c r="AT53" s="14">
        <v>0</v>
      </c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0</v>
      </c>
      <c r="BB53" s="14">
        <v>0</v>
      </c>
      <c r="BC53" s="14">
        <v>4</v>
      </c>
      <c r="BD53" s="14">
        <v>1</v>
      </c>
      <c r="BE53" s="14">
        <v>31</v>
      </c>
      <c r="BF53" s="14">
        <v>7</v>
      </c>
      <c r="BG53" s="14">
        <v>1</v>
      </c>
      <c r="BH53" s="14">
        <v>4</v>
      </c>
      <c r="BI53" s="14">
        <v>28</v>
      </c>
      <c r="BJ53" s="14">
        <v>0</v>
      </c>
      <c r="BK53" s="14">
        <v>0</v>
      </c>
      <c r="BL53" s="14">
        <v>0</v>
      </c>
      <c r="BM53" s="14">
        <v>0</v>
      </c>
      <c r="BN53" s="14">
        <v>0</v>
      </c>
      <c r="BO53" s="14">
        <v>0</v>
      </c>
      <c r="BP53" s="14">
        <v>0</v>
      </c>
      <c r="BQ53" s="14">
        <v>0</v>
      </c>
      <c r="BR53" s="14">
        <v>0</v>
      </c>
      <c r="BS53" s="14">
        <v>0</v>
      </c>
      <c r="BT53" s="14">
        <v>0</v>
      </c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190500</xdr:colOff>
                    <xdr:row>7</xdr:row>
                    <xdr:rowOff>247650</xdr:rowOff>
                  </from>
                  <to>
                    <xdr:col>2</xdr:col>
                    <xdr:colOff>1809750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2219325</xdr:colOff>
                    <xdr:row>7</xdr:row>
                    <xdr:rowOff>247650</xdr:rowOff>
                  </from>
                  <to>
                    <xdr:col>2</xdr:col>
                    <xdr:colOff>3848100</xdr:colOff>
                    <xdr:row>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zoomScale="80" zoomScaleNormal="80" workbookViewId="0">
      <selection activeCell="C8" sqref="C8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6.5" x14ac:dyDescent="0.3"/>
    <row r="4" spans="1:15" s="2" customFormat="1" ht="25.5" customHeight="1" x14ac:dyDescent="0.3">
      <c r="B4" s="62" t="s">
        <v>94</v>
      </c>
      <c r="C4" s="63"/>
      <c r="D4" s="64" t="s">
        <v>96</v>
      </c>
      <c r="E4" s="64"/>
    </row>
    <row r="5" spans="1:15" s="2" customFormat="1" ht="16.5" x14ac:dyDescent="0.3">
      <c r="B5" s="17" t="s">
        <v>95</v>
      </c>
      <c r="C5" s="18"/>
      <c r="D5" s="64"/>
      <c r="E5" s="64"/>
    </row>
    <row r="6" spans="1:15" s="2" customFormat="1" ht="16.5" x14ac:dyDescent="0.3">
      <c r="B6" s="48" t="s">
        <v>30</v>
      </c>
      <c r="C6" s="49"/>
      <c r="D6" s="64"/>
      <c r="E6" s="64"/>
    </row>
    <row r="7" spans="1:15" s="2" customFormat="1" ht="16.5" x14ac:dyDescent="0.3">
      <c r="B7" s="33" t="s">
        <v>32</v>
      </c>
      <c r="C7" s="13" t="s">
        <v>132</v>
      </c>
      <c r="D7" s="64"/>
      <c r="E7" s="64"/>
    </row>
    <row r="9" spans="1:15" ht="15" customHeight="1" x14ac:dyDescent="0.2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 x14ac:dyDescent="0.2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2"/>
    <row r="12" spans="1:15" s="28" customFormat="1" ht="16.5" hidden="1" x14ac:dyDescent="0.3">
      <c r="B12" s="37" t="s">
        <v>44</v>
      </c>
      <c r="C12" s="14"/>
      <c r="D12" s="14"/>
      <c r="E12" s="14"/>
      <c r="F12" s="14"/>
      <c r="G12" s="14"/>
    </row>
    <row r="13" spans="1:15" s="28" customFormat="1" ht="16.5" hidden="1" x14ac:dyDescent="0.3">
      <c r="B13" s="37" t="s">
        <v>38</v>
      </c>
      <c r="C13" s="14"/>
      <c r="D13" s="14"/>
      <c r="E13" s="14"/>
      <c r="F13" s="14"/>
      <c r="G13" s="14"/>
    </row>
    <row r="14" spans="1:15" s="28" customFormat="1" ht="16.5" hidden="1" x14ac:dyDescent="0.3">
      <c r="B14" s="37" t="s">
        <v>39</v>
      </c>
      <c r="C14" s="14"/>
      <c r="D14" s="14"/>
      <c r="E14" s="14"/>
      <c r="F14" s="14"/>
      <c r="G14" s="14"/>
    </row>
    <row r="15" spans="1:15" s="28" customFormat="1" ht="16.5" hidden="1" x14ac:dyDescent="0.3">
      <c r="B15" s="37" t="s">
        <v>45</v>
      </c>
      <c r="C15" s="14"/>
      <c r="D15" s="14"/>
      <c r="E15" s="14"/>
      <c r="F15" s="14"/>
      <c r="G15" s="14"/>
    </row>
    <row r="16" spans="1:15" s="28" customFormat="1" ht="16.5" hidden="1" x14ac:dyDescent="0.3">
      <c r="B16" s="37" t="s">
        <v>40</v>
      </c>
      <c r="C16" s="14"/>
      <c r="D16" s="14"/>
      <c r="E16" s="14"/>
      <c r="F16" s="14"/>
      <c r="G16" s="14"/>
    </row>
    <row r="17" spans="2:7" s="28" customFormat="1" ht="16.5" hidden="1" x14ac:dyDescent="0.3">
      <c r="B17" s="39" t="s">
        <v>72</v>
      </c>
      <c r="C17" s="14"/>
      <c r="D17" s="14"/>
      <c r="E17" s="14"/>
      <c r="F17" s="14"/>
      <c r="G17" s="14"/>
    </row>
    <row r="18" spans="2:7" ht="3.4" customHeight="1" x14ac:dyDescent="0.2"/>
    <row r="19" spans="2:7" ht="16.5" x14ac:dyDescent="0.3">
      <c r="B19" s="38" t="s">
        <v>44</v>
      </c>
      <c r="C19" s="14">
        <v>1</v>
      </c>
      <c r="D19" s="14">
        <v>44</v>
      </c>
      <c r="E19" s="14">
        <v>44</v>
      </c>
      <c r="F19" s="14">
        <v>0</v>
      </c>
      <c r="G19" s="14"/>
    </row>
    <row r="20" spans="2:7" ht="16.5" x14ac:dyDescent="0.3">
      <c r="B20" s="38" t="s">
        <v>38</v>
      </c>
      <c r="C20" s="14">
        <v>2</v>
      </c>
      <c r="D20" s="14">
        <v>8</v>
      </c>
      <c r="E20" s="14">
        <v>8</v>
      </c>
      <c r="F20" s="14">
        <v>0</v>
      </c>
      <c r="G20" s="14"/>
    </row>
    <row r="21" spans="2:7" ht="16.5" x14ac:dyDescent="0.3">
      <c r="B21" s="38" t="s">
        <v>39</v>
      </c>
      <c r="C21" s="14">
        <v>2</v>
      </c>
      <c r="D21" s="14">
        <v>1</v>
      </c>
      <c r="E21" s="14">
        <v>1</v>
      </c>
      <c r="F21" s="14">
        <v>0</v>
      </c>
      <c r="G21" s="14"/>
    </row>
    <row r="22" spans="2:7" ht="16.5" x14ac:dyDescent="0.3">
      <c r="B22" s="38" t="s">
        <v>45</v>
      </c>
      <c r="C22" s="14">
        <v>1</v>
      </c>
      <c r="D22" s="14">
        <v>6</v>
      </c>
      <c r="E22" s="14">
        <v>6</v>
      </c>
      <c r="F22" s="14">
        <v>0</v>
      </c>
      <c r="G22" s="14"/>
    </row>
    <row r="23" spans="2:7" ht="16.5" x14ac:dyDescent="0.3">
      <c r="B23" s="38" t="s">
        <v>40</v>
      </c>
      <c r="C23" s="14"/>
      <c r="D23" s="14">
        <v>0</v>
      </c>
      <c r="E23" s="14">
        <v>0</v>
      </c>
      <c r="F23" s="14">
        <v>0</v>
      </c>
      <c r="G23" s="14"/>
    </row>
    <row r="24" spans="2:7" ht="16.5" x14ac:dyDescent="0.3">
      <c r="B24" s="38" t="s">
        <v>46</v>
      </c>
      <c r="C24" s="14"/>
      <c r="D24" s="14">
        <v>0</v>
      </c>
      <c r="E24" s="14">
        <v>0</v>
      </c>
      <c r="F24" s="14">
        <v>0</v>
      </c>
      <c r="G24" s="14"/>
    </row>
    <row r="25" spans="2:7" ht="16.5" x14ac:dyDescent="0.3">
      <c r="B25" s="38" t="s">
        <v>47</v>
      </c>
      <c r="C25" s="14"/>
      <c r="D25" s="14">
        <v>0</v>
      </c>
      <c r="E25" s="14">
        <v>0</v>
      </c>
      <c r="F25" s="14">
        <v>0</v>
      </c>
      <c r="G25" s="14"/>
    </row>
    <row r="26" spans="2:7" ht="16.5" x14ac:dyDescent="0.3">
      <c r="B26" s="38" t="s">
        <v>48</v>
      </c>
      <c r="C26" s="14"/>
      <c r="D26" s="14">
        <v>0</v>
      </c>
      <c r="E26" s="14">
        <v>0</v>
      </c>
      <c r="F26" s="14">
        <v>0</v>
      </c>
      <c r="G26" s="14"/>
    </row>
    <row r="27" spans="2:7" ht="16.5" x14ac:dyDescent="0.3">
      <c r="B27" s="38" t="s">
        <v>49</v>
      </c>
      <c r="C27" s="14"/>
      <c r="D27" s="14">
        <v>0</v>
      </c>
      <c r="E27" s="14">
        <v>0</v>
      </c>
      <c r="F27" s="14">
        <v>0</v>
      </c>
      <c r="G27" s="14"/>
    </row>
    <row r="28" spans="2:7" ht="16.5" x14ac:dyDescent="0.3">
      <c r="B28" s="39" t="s">
        <v>72</v>
      </c>
      <c r="C28" s="14"/>
      <c r="D28" s="14">
        <v>0</v>
      </c>
      <c r="E28" s="14">
        <v>0</v>
      </c>
      <c r="F28" s="14">
        <v>0</v>
      </c>
      <c r="G28" s="14"/>
    </row>
  </sheetData>
  <sheetProtection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K23"/>
  <sheetViews>
    <sheetView tabSelected="1" topLeftCell="E11" zoomScale="80" zoomScaleNormal="80" workbookViewId="0">
      <selection activeCell="G24" sqref="G24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hidden="1" customWidth="1"/>
    <col min="21" max="21" width="1.5703125" style="2" customWidth="1"/>
    <col min="22" max="37" width="9.5703125" style="2" customWidth="1"/>
    <col min="38" max="16384" width="8.7109375" style="2"/>
  </cols>
  <sheetData>
    <row r="2" spans="2:37" x14ac:dyDescent="0.3">
      <c r="B2" s="1" t="s">
        <v>24</v>
      </c>
    </row>
    <row r="4" spans="2:37" hidden="1" outlineLevel="1" x14ac:dyDescent="0.3">
      <c r="B4" s="2" t="s">
        <v>75</v>
      </c>
      <c r="C4" s="2">
        <v>10</v>
      </c>
    </row>
    <row r="5" spans="2:37" collapsed="1" x14ac:dyDescent="0.3">
      <c r="B5" s="15" t="s">
        <v>37</v>
      </c>
      <c r="C5" s="30"/>
      <c r="D5" s="30"/>
      <c r="E5" s="30"/>
      <c r="F5" s="30"/>
      <c r="G5" s="30"/>
    </row>
    <row r="6" spans="2:37" x14ac:dyDescent="0.3">
      <c r="B6" s="17" t="s">
        <v>29</v>
      </c>
      <c r="C6" s="31"/>
      <c r="D6" s="31"/>
      <c r="E6" s="31"/>
      <c r="F6" s="31"/>
      <c r="G6" s="31"/>
    </row>
    <row r="7" spans="2:37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2017</v>
      </c>
      <c r="D8" s="31"/>
      <c r="E8" s="31"/>
      <c r="F8" s="31"/>
      <c r="G8" s="31"/>
    </row>
    <row r="9" spans="2:37" x14ac:dyDescent="0.3">
      <c r="B9" s="19" t="s">
        <v>42</v>
      </c>
      <c r="C9" s="31"/>
      <c r="D9" s="31"/>
      <c r="E9" s="31"/>
      <c r="F9" s="31"/>
      <c r="G9" s="31"/>
    </row>
    <row r="10" spans="2:37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111.75" x14ac:dyDescent="0.3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x14ac:dyDescent="0.3">
      <c r="B14" s="3">
        <v>1</v>
      </c>
      <c r="C14" s="12" t="s">
        <v>122</v>
      </c>
      <c r="D14" s="12" t="s">
        <v>123</v>
      </c>
      <c r="E14" s="12"/>
      <c r="F14" s="12"/>
      <c r="G14" s="14">
        <v>10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V14" s="14">
        <v>10</v>
      </c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 t="s">
        <v>116</v>
      </c>
      <c r="D15" s="12" t="s">
        <v>117</v>
      </c>
      <c r="E15" s="12"/>
      <c r="F15" s="12"/>
      <c r="G15" s="14">
        <v>7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>
        <v>4</v>
      </c>
      <c r="W15" s="14">
        <v>3</v>
      </c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x14ac:dyDescent="0.3">
      <c r="B16" s="3">
        <v>3</v>
      </c>
      <c r="C16" s="12" t="s">
        <v>120</v>
      </c>
      <c r="D16" s="12" t="s">
        <v>121</v>
      </c>
      <c r="E16" s="12"/>
      <c r="F16" s="12"/>
      <c r="G16" s="14">
        <v>5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V16" s="14">
        <v>5</v>
      </c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x14ac:dyDescent="0.3">
      <c r="B17" s="3">
        <v>4</v>
      </c>
      <c r="C17" s="12" t="s">
        <v>129</v>
      </c>
      <c r="D17" s="12" t="s">
        <v>124</v>
      </c>
      <c r="E17" s="12"/>
      <c r="F17" s="12"/>
      <c r="G17" s="14">
        <v>4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>
        <v>4</v>
      </c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x14ac:dyDescent="0.3">
      <c r="B18" s="3">
        <v>5</v>
      </c>
      <c r="C18" s="12" t="s">
        <v>118</v>
      </c>
      <c r="D18" s="12" t="s">
        <v>119</v>
      </c>
      <c r="E18" s="12"/>
      <c r="F18" s="12"/>
      <c r="G18" s="14">
        <v>3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V18" s="14">
        <v>3</v>
      </c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x14ac:dyDescent="0.3">
      <c r="B19" s="3">
        <v>6</v>
      </c>
      <c r="C19" s="12" t="s">
        <v>127</v>
      </c>
      <c r="D19" s="12" t="s">
        <v>128</v>
      </c>
      <c r="E19" s="12"/>
      <c r="F19" s="12"/>
      <c r="G19" s="14">
        <v>3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>
        <v>3</v>
      </c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x14ac:dyDescent="0.3">
      <c r="B20" s="3">
        <v>7</v>
      </c>
      <c r="C20" s="12" t="s">
        <v>130</v>
      </c>
      <c r="D20" s="12">
        <v>59409</v>
      </c>
      <c r="E20" s="12"/>
      <c r="F20" s="12"/>
      <c r="G20" s="14">
        <v>3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>
        <v>3</v>
      </c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x14ac:dyDescent="0.3">
      <c r="B21" s="3">
        <v>8</v>
      </c>
      <c r="C21" s="12" t="s">
        <v>131</v>
      </c>
      <c r="D21" s="12">
        <v>58120</v>
      </c>
      <c r="E21" s="12"/>
      <c r="F21" s="12"/>
      <c r="G21" s="14">
        <v>3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>
        <v>3</v>
      </c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x14ac:dyDescent="0.3">
      <c r="B22" s="3">
        <v>9</v>
      </c>
      <c r="C22" s="12" t="s">
        <v>114</v>
      </c>
      <c r="D22" s="12" t="s">
        <v>115</v>
      </c>
      <c r="E22" s="12"/>
      <c r="F22" s="12"/>
      <c r="G22" s="14">
        <v>2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>
        <v>2</v>
      </c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x14ac:dyDescent="0.3">
      <c r="B23" s="3">
        <v>10</v>
      </c>
      <c r="C23" s="12" t="s">
        <v>125</v>
      </c>
      <c r="D23" s="12" t="s">
        <v>126</v>
      </c>
      <c r="E23" s="12"/>
      <c r="F23" s="12"/>
      <c r="G23" s="14">
        <v>2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>
        <v>2</v>
      </c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</sheetData>
  <sheetProtection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23 I14:T23 V14:AK23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1133475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1200150</xdr:colOff>
                    <xdr:row>13</xdr:row>
                    <xdr:rowOff>9525</xdr:rowOff>
                  </from>
                  <to>
                    <xdr:col>1</xdr:col>
                    <xdr:colOff>2286000</xdr:colOff>
                    <xdr:row>13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kim</cp:lastModifiedBy>
  <dcterms:created xsi:type="dcterms:W3CDTF">2018-04-04T01:58:18Z</dcterms:created>
  <dcterms:modified xsi:type="dcterms:W3CDTF">2018-08-24T03:15:39Z</dcterms:modified>
</cp:coreProperties>
</file>