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120" windowWidth="15525" windowHeight="726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data_general'!$B$1:$F$78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23" i="2" l="1"/>
  <c r="J21" i="2" l="1"/>
  <c r="J20" i="2"/>
  <c r="J19" i="2" l="1"/>
  <c r="J18" i="2" l="1"/>
  <c r="G22" i="9" l="1"/>
  <c r="G21" i="9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8" i="1"/>
  <c r="E78" i="1"/>
  <c r="D78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<sst xmlns="http://schemas.openxmlformats.org/spreadsheetml/2006/main" count="501" uniqueCount="202">
  <si>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</si>
  <si>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</si>
  <si>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</si>
  <si>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</si>
  <si>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</si>
  <si>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</si>
  <si>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</si>
  <si>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</si>
  <si>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</si>
  <si>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</si>
  <si>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</si>
  <si>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</si>
  <si>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</si>
  <si>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</si>
  <si>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</si>
  <si>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</si>
  <si>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</si>
  <si>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</si>
  <si>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</si>
  <si>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</si>
  <si>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</si>
  <si>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</si>
  <si>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</si>
  <si>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</si>
  <si>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</si>
  <si>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</si>
  <si>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</si>
  <si>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</si>
  <si>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</si>
  <si>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</si>
  <si>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</si>
  <si>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</si>
  <si>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</si>
  <si>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</si>
  <si>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</si>
  <si>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</si>
  <si>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</si>
  <si>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</si>
  <si>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</si>
  <si>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</si>
  <si>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</si>
  <si>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</si>
  <si>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</si>
  <si>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</si>
  <si>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</si>
  <si>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</si>
  <si>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</si>
  <si>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</si>
  <si>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</si>
  <si>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</si>
  <si>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</si>
  <si>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</si>
  <si>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</si>
  <si>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</si>
  <si>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</si>
  <si>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</si>
  <si>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</si>
  <si>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</si>
  <si>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</si>
  <si>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</si>
  <si>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</si>
  <si>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</si>
  <si>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</si>
  <si>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</si>
  <si>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</si>
  <si>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</si>
  <si>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</si>
  <si>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</si>
  <si>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</si>
  <si>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</si>
  <si>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</si>
  <si>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</si>
  <si>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</si>
  <si>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</si>
  <si>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</si>
  <si>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</si>
  <si>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</si>
  <si>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</si>
  <si>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</si>
  <si>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</si>
  <si>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</si>
  <si>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</si>
  <si>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</si>
  <si>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</si>
  <si>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</si>
  <si>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</si>
  <si>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</si>
  <si>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</si>
  <si>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</si>
  <si>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</si>
  <si>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</si>
  <si>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</si>
  <si>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</si>
  <si>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</si>
  <si>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</si>
  <si>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</si>
  <si>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</si>
  <si>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</si>
  <si>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</si>
  <si>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</si>
  <si>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</si>
  <si>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</si>
  <si>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</si>
  <si>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</si>
  <si>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</si>
  <si>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</si>
  <si>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</si>
  <si>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</si>
  <si>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</si>
  <si>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</si>
  <si>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</si>
  <si>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</si>
  <si>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</si>
  <si>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</si>
  <si>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</si>
  <si>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</si>
  <si>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</si>
  <si>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</si>
  <si>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</si>
  <si>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</si>
  <si>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</si>
  <si>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</si>
  <si>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</si>
  <si>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</si>
  <si>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</si>
  <si>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</si>
  <si>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</si>
  <si>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</si>
  <si>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</si>
  <si>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</si>
  <si>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</si>
  <si>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</si>
  <si>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</si>
  <si>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</si>
  <si>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</si>
  <si>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</si>
  <si>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</si>
  <si>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</si>
  <si>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</si>
  <si>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</si>
  <si>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</si>
  <si>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</si>
  <si>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</si>
  <si>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</si>
  <si>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</si>
  <si>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</si>
  <si>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</si>
  <si>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</si>
  <si>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</si>
  <si>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</si>
  <si>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</si>
  <si>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</si>
  <si>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</si>
  <si>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</si>
  <si>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</si>
  <si>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</si>
  <si>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</si>
  <si>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</si>
  <si>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</si>
  <si>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</si>
  <si>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</si>
  <si>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</si>
  <si>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</si>
  <si>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</si>
  <si>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</si>
  <si>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</si>
  <si>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PER PIECE</t>
  </si>
  <si>
    <t>CASE RATE(room,labs,meds, etc.)</t>
  </si>
  <si>
    <t>PF CASE RATE</t>
  </si>
  <si>
    <t>CBC W/ PLATELET COUNT</t>
  </si>
  <si>
    <t>URINALYSIS</t>
  </si>
  <si>
    <t>I20.0</t>
  </si>
  <si>
    <t>SENIOR</t>
  </si>
  <si>
    <t>PNSS</t>
  </si>
  <si>
    <t>1L</t>
  </si>
  <si>
    <t>TABLET</t>
  </si>
  <si>
    <t>500MG</t>
  </si>
  <si>
    <t>INSYTE G22</t>
  </si>
  <si>
    <t>ECG</t>
  </si>
  <si>
    <t>ISOSORBIDE DINITRATE</t>
  </si>
  <si>
    <t>10MG</t>
  </si>
  <si>
    <t xml:space="preserve">CLOPIDOGREL </t>
  </si>
  <si>
    <t>75MG</t>
  </si>
  <si>
    <t>MICROSET</t>
  </si>
  <si>
    <t>TROPONIN I</t>
  </si>
  <si>
    <t>LIPID PROFILE</t>
  </si>
  <si>
    <t>CEFUROXIME</t>
  </si>
  <si>
    <t>VIAL</t>
  </si>
  <si>
    <t>750MG</t>
  </si>
  <si>
    <t xml:space="preserve">AMIKACIN </t>
  </si>
  <si>
    <t xml:space="preserve">FLUIMUCIL </t>
  </si>
  <si>
    <t>600MG</t>
  </si>
  <si>
    <t>D5 WATER</t>
  </si>
  <si>
    <t>500ML</t>
  </si>
  <si>
    <t xml:space="preserve">CAPTOPRIL </t>
  </si>
  <si>
    <t>25MG</t>
  </si>
  <si>
    <t>ATORVASTATIN</t>
  </si>
  <si>
    <t>20MG</t>
  </si>
  <si>
    <t>FUROSEMIDE</t>
  </si>
  <si>
    <t>AMPOULE</t>
  </si>
  <si>
    <t xml:space="preserve">5CC SYRINGE </t>
  </si>
  <si>
    <t xml:space="preserve">3CC SYRINGE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</si>
</sst>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66</xdr:row>
          <xdr:rowOff>19050</xdr:rowOff>
        </xdr:from>
        <xdr:to>
          <xdr:col>1</xdr:col>
          <xdr:colOff>733425</xdr:colOff>
          <xdr:row>66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66</xdr:row>
          <xdr:rowOff>19050</xdr:rowOff>
        </xdr:from>
        <xdr:to>
          <xdr:col>1</xdr:col>
          <xdr:colOff>1504950</xdr:colOff>
          <xdr:row>66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5"/>
  <sheetViews>
    <sheetView zoomScaleNormal="100" workbookViewId="0">
      <selection activeCell="F69" sqref="F6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170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184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185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19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2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3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4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8" t="s">
        <v>45</v>
      </c>
      <c r="C50" s="119"/>
      <c r="D50" s="116"/>
      <c r="E50" s="119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4" t="s">
        <v>46</v>
      </c>
      <c r="C51" s="13"/>
      <c r="D51" s="13"/>
      <c r="E51" s="16"/>
      <c r="F51" s="13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54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1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30">
        <v>2</v>
      </c>
      <c r="C54" s="31"/>
      <c r="D54" s="32"/>
      <c r="E54" s="57"/>
      <c r="F54" s="5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thickBot="1" x14ac:dyDescent="0.35">
      <c r="A57" s="1"/>
      <c r="B57" s="115" t="s">
        <v>20</v>
      </c>
      <c r="C57" s="116"/>
      <c r="D57" s="116"/>
      <c r="E57" s="116"/>
      <c r="F57" s="117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1</v>
      </c>
      <c r="C58" s="27" t="s">
        <v>178</v>
      </c>
      <c r="D58" s="28"/>
      <c r="E58" s="55">
        <v>1</v>
      </c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2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3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4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5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6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5"/>
      <c r="C64" s="25"/>
      <c r="D64" s="25"/>
      <c r="E64" s="25"/>
      <c r="F64" s="2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57.75" customHeight="1" thickBot="1" x14ac:dyDescent="0.35">
      <c r="A66" s="1"/>
      <c r="B66" s="17" t="s">
        <v>56</v>
      </c>
      <c r="C66" s="17" t="s">
        <v>52</v>
      </c>
      <c r="D66" s="17" t="s">
        <v>57</v>
      </c>
      <c r="E66" s="18" t="s">
        <v>58</v>
      </c>
      <c r="F66" s="19" t="s">
        <v>21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2">
        <v>1</v>
      </c>
      <c r="C67" s="27" t="s">
        <v>167</v>
      </c>
      <c r="D67" s="55">
        <v>8400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2</v>
      </c>
      <c r="C68" s="27" t="s">
        <v>172</v>
      </c>
      <c r="D68" s="55"/>
      <c r="E68" s="55">
        <v>988</v>
      </c>
      <c r="F68" s="55">
        <v>3952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3</v>
      </c>
      <c r="C69" s="27" t="s">
        <v>168</v>
      </c>
      <c r="D69" s="55">
        <v>3600</v>
      </c>
      <c r="E69" s="55"/>
      <c r="F69" s="55">
        <v>500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4</v>
      </c>
      <c r="C70" s="27" t="s">
        <v>172</v>
      </c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5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6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7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8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9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10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4.9000000000000004" customHeight="1" thickBot="1" x14ac:dyDescent="0.35">
      <c r="A77" s="1"/>
      <c r="B77" s="1"/>
      <c r="C77" s="1"/>
      <c r="D77" s="58"/>
      <c r="E77" s="58"/>
      <c r="F77" s="58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thickTop="1" x14ac:dyDescent="0.3">
      <c r="A78" s="1"/>
      <c r="B78" s="11"/>
      <c r="C78" s="4" t="s">
        <v>22</v>
      </c>
      <c r="D78" s="59">
        <f>SUM(D67:D77)</f>
        <v>12000</v>
      </c>
      <c r="E78" s="59">
        <f>SUM(E67:E77)</f>
        <v>988</v>
      </c>
      <c r="F78" s="59">
        <f>SUM(F67:F77)</f>
        <v>4452</v>
      </c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</sheetData>
  <sheetProtection password="C2E9" sheet="1" objects="1" scenarios="1" formatColumns="0" formatRows="0" sort="0" autoFilter="0"/>
  <mergeCells count="12">
    <mergeCell ref="B57:F57"/>
    <mergeCell ref="B50:F50"/>
    <mergeCell ref="B12:F12"/>
    <mergeCell ref="B13:F13"/>
    <mergeCell ref="B14:F14"/>
    <mergeCell ref="B15:F15"/>
    <mergeCell ref="B18:F18"/>
    <mergeCell ref="B22:F22"/>
    <mergeCell ref="B33:F33"/>
    <mergeCell ref="B28:F28"/>
    <mergeCell ref="B45:F45"/>
    <mergeCell ref="B52:F52"/>
  </mergeCells>
  <dataValidations count="1">
    <dataValidation type="decimal" operator="greaterThanOrEqual" allowBlank="1" showInputMessage="1" showErrorMessage="1" sqref="E32 E46:E49 E51 E23:F27 E53:F56 E58:F63 D67:F76 E34:E36 E37:E4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66</xdr:row>
                    <xdr:rowOff>19050</xdr:rowOff>
                  </from>
                  <to>
                    <xdr:col>1</xdr:col>
                    <xdr:colOff>733425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66</xdr:row>
                    <xdr:rowOff>19050</xdr:rowOff>
                  </from>
                  <to>
                    <xdr:col>1</xdr:col>
                    <xdr:colOff>1504950</xdr:colOff>
                    <xdr:row>66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C8" workbookViewId="0">
      <selection activeCell="J24" sqref="J2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I20.0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165</v>
      </c>
      <c r="E11" s="27" t="s">
        <v>174</v>
      </c>
      <c r="F11" s="55">
        <v>1</v>
      </c>
      <c r="G11" s="55">
        <v>1</v>
      </c>
      <c r="H11" s="55">
        <v>2</v>
      </c>
      <c r="I11" s="55">
        <v>260</v>
      </c>
      <c r="J11" s="55">
        <f t="shared" ref="J11:J21" si="0">H11*I11</f>
        <v>520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186</v>
      </c>
      <c r="D12" s="27" t="s">
        <v>187</v>
      </c>
      <c r="E12" s="27" t="s">
        <v>188</v>
      </c>
      <c r="F12" s="55">
        <v>2</v>
      </c>
      <c r="G12" s="55">
        <v>1</v>
      </c>
      <c r="H12" s="55">
        <v>5</v>
      </c>
      <c r="I12" s="55">
        <v>350</v>
      </c>
      <c r="J12" s="55">
        <f t="shared" si="0"/>
        <v>1750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189</v>
      </c>
      <c r="D13" s="27" t="s">
        <v>187</v>
      </c>
      <c r="E13" s="27" t="s">
        <v>176</v>
      </c>
      <c r="F13" s="55">
        <v>1</v>
      </c>
      <c r="G13" s="55">
        <v>1</v>
      </c>
      <c r="H13" s="55">
        <v>2</v>
      </c>
      <c r="I13" s="55">
        <v>500</v>
      </c>
      <c r="J13" s="55">
        <f t="shared" si="0"/>
        <v>1000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190</v>
      </c>
      <c r="D14" s="27" t="s">
        <v>175</v>
      </c>
      <c r="E14" s="27" t="s">
        <v>191</v>
      </c>
      <c r="F14" s="55">
        <v>2</v>
      </c>
      <c r="G14" s="55">
        <v>1</v>
      </c>
      <c r="H14" s="55">
        <v>4</v>
      </c>
      <c r="I14" s="55">
        <v>100</v>
      </c>
      <c r="J14" s="55">
        <f t="shared" si="0"/>
        <v>400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192</v>
      </c>
      <c r="D15" s="27" t="s">
        <v>165</v>
      </c>
      <c r="E15" s="27" t="s">
        <v>193</v>
      </c>
      <c r="F15" s="55">
        <v>1</v>
      </c>
      <c r="G15" s="55">
        <v>1</v>
      </c>
      <c r="H15" s="55">
        <v>1</v>
      </c>
      <c r="I15" s="55">
        <v>260</v>
      </c>
      <c r="J15" s="55">
        <f t="shared" si="0"/>
        <v>260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186</v>
      </c>
      <c r="D16" s="27" t="s">
        <v>175</v>
      </c>
      <c r="E16" s="27" t="s">
        <v>176</v>
      </c>
      <c r="F16" s="55">
        <v>1</v>
      </c>
      <c r="G16" s="55">
        <v>1</v>
      </c>
      <c r="H16" s="55">
        <v>1</v>
      </c>
      <c r="I16" s="55">
        <v>70</v>
      </c>
      <c r="J16" s="55">
        <f t="shared" si="0"/>
        <v>70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179</v>
      </c>
      <c r="D17" s="27" t="s">
        <v>175</v>
      </c>
      <c r="E17" s="27" t="s">
        <v>180</v>
      </c>
      <c r="F17" s="55">
        <v>2</v>
      </c>
      <c r="G17" s="55">
        <v>1</v>
      </c>
      <c r="H17" s="55">
        <v>4</v>
      </c>
      <c r="I17" s="55">
        <v>30</v>
      </c>
      <c r="J17" s="55">
        <f t="shared" si="0"/>
        <v>120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181</v>
      </c>
      <c r="D18" s="27" t="s">
        <v>175</v>
      </c>
      <c r="E18" s="27" t="s">
        <v>182</v>
      </c>
      <c r="F18" s="55">
        <v>1</v>
      </c>
      <c r="G18" s="55">
        <v>1</v>
      </c>
      <c r="H18" s="55">
        <v>1</v>
      </c>
      <c r="I18" s="55">
        <v>60</v>
      </c>
      <c r="J18" s="55">
        <f t="shared" si="0"/>
        <v>60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194</v>
      </c>
      <c r="D19" s="27" t="s">
        <v>175</v>
      </c>
      <c r="E19" s="27" t="s">
        <v>195</v>
      </c>
      <c r="F19" s="55">
        <v>1</v>
      </c>
      <c r="G19" s="55">
        <v>1</v>
      </c>
      <c r="H19" s="55">
        <v>2</v>
      </c>
      <c r="I19" s="55">
        <v>30</v>
      </c>
      <c r="J19" s="55">
        <f t="shared" si="0"/>
        <v>60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196</v>
      </c>
      <c r="D20" s="27" t="s">
        <v>175</v>
      </c>
      <c r="E20" s="27" t="s">
        <v>197</v>
      </c>
      <c r="F20" s="55">
        <v>1</v>
      </c>
      <c r="G20" s="55">
        <v>1</v>
      </c>
      <c r="H20" s="55">
        <v>1</v>
      </c>
      <c r="I20" s="55">
        <v>40</v>
      </c>
      <c r="J20" s="55">
        <f t="shared" si="0"/>
        <v>40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198</v>
      </c>
      <c r="D21" s="27" t="s">
        <v>199</v>
      </c>
      <c r="E21" s="27" t="s">
        <v>197</v>
      </c>
      <c r="F21" s="55">
        <v>2</v>
      </c>
      <c r="G21" s="55">
        <v>1</v>
      </c>
      <c r="H21" s="55">
        <v>6</v>
      </c>
      <c r="I21" s="55">
        <v>250</v>
      </c>
      <c r="J21" s="55">
        <f t="shared" si="0"/>
        <v>1500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>SUM(J11:J21)</f>
        <v>5780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20" sqref="F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I20.0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183</v>
      </c>
      <c r="D16" s="70" t="s">
        <v>166</v>
      </c>
      <c r="E16" s="55">
        <v>1</v>
      </c>
      <c r="F16" s="55">
        <v>150</v>
      </c>
      <c r="G16" s="55">
        <f t="shared" ref="G16:G22" si="0"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177</v>
      </c>
      <c r="D17" s="70" t="s">
        <v>166</v>
      </c>
      <c r="E17" s="55">
        <v>1</v>
      </c>
      <c r="F17" s="55">
        <v>150</v>
      </c>
      <c r="G17" s="55">
        <f t="shared" si="0"/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200</v>
      </c>
      <c r="D18" s="70" t="s">
        <v>166</v>
      </c>
      <c r="E18" s="55">
        <v>11</v>
      </c>
      <c r="F18" s="55">
        <v>20</v>
      </c>
      <c r="G18" s="55">
        <f t="shared" si="0"/>
        <v>220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201</v>
      </c>
      <c r="D19" s="70" t="s">
        <v>166</v>
      </c>
      <c r="E19" s="55">
        <v>2</v>
      </c>
      <c r="F19" s="55">
        <v>20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6" workbookViewId="0">
      <selection activeCell="K14" sqref="K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I20.0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20</v>
      </c>
      <c r="E13" s="55"/>
      <c r="F13" s="55"/>
      <c r="G13" s="55">
        <v>110</v>
      </c>
      <c r="H13" s="55">
        <v>180</v>
      </c>
      <c r="I13" s="55"/>
      <c r="J13" s="55"/>
      <c r="K13" s="55"/>
      <c r="L13" s="55"/>
      <c r="M13" s="55"/>
      <c r="N13" s="55"/>
      <c r="P13" s="88">
        <f>SUM(D13:N13)</f>
        <v>310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0</v>
      </c>
      <c r="G30" s="88">
        <f t="shared" si="1"/>
        <v>110</v>
      </c>
      <c r="H30" s="88">
        <f t="shared" si="1"/>
        <v>180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310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2018-06-04T06:54:48Z</dcterms:modified>
</cp:coreProperties>
</file>