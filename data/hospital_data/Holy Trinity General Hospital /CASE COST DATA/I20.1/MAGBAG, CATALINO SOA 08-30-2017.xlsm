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0" i="2" l="1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<sst xmlns="http://schemas.openxmlformats.org/spreadsheetml/2006/main" count="498" uniqueCount="202">
  <si>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</si>
  <si>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</si>
  <si>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</si>
  <si>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</si>
  <si>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</si>
  <si>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</si>
  <si>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</si>
  <si>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</si>
  <si>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</si>
  <si>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</si>
  <si>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</si>
  <si>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</si>
  <si>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</si>
  <si>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</si>
  <si>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</si>
  <si>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</si>
  <si>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</si>
  <si>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</si>
  <si>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</si>
  <si>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</si>
  <si>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</si>
  <si>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</si>
  <si>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</si>
  <si>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</si>
  <si>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</si>
  <si>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</si>
  <si>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</si>
  <si>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</si>
  <si>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</si>
  <si>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</si>
  <si>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</si>
  <si>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</si>
  <si>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</si>
  <si>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</si>
  <si>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</si>
  <si>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</si>
  <si>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</si>
  <si>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</si>
  <si>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</si>
  <si>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</si>
  <si>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</si>
  <si>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</si>
  <si>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</si>
  <si>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</si>
  <si>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</si>
  <si>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</si>
  <si>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</si>
  <si>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</si>
  <si>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</si>
  <si>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</si>
  <si>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</si>
  <si>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</si>
  <si>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</si>
  <si>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</si>
  <si>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</si>
  <si>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</si>
  <si>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</si>
  <si>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</si>
  <si>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</si>
  <si>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</si>
  <si>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</si>
  <si>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</si>
  <si>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</si>
  <si>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</si>
  <si>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</si>
  <si>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</si>
  <si>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</si>
  <si>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</si>
  <si>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</si>
  <si>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</si>
  <si>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</si>
  <si>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</si>
  <si>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</si>
  <si>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</si>
  <si>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</si>
  <si>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</si>
  <si>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</si>
  <si>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</si>
  <si>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</si>
  <si>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</si>
  <si>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</si>
  <si>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</si>
  <si>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</si>
  <si>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</si>
  <si>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</si>
  <si>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</si>
  <si>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</si>
  <si>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</si>
  <si>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</si>
  <si>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</si>
  <si>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</si>
  <si>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</si>
  <si>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</si>
  <si>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</si>
  <si>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</si>
  <si>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</si>
  <si>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</si>
  <si>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</si>
  <si>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</si>
  <si>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</si>
  <si>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</si>
  <si>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</si>
  <si>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</si>
  <si>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</si>
  <si>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</si>
  <si>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</si>
  <si>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</si>
  <si>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</si>
  <si>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</si>
  <si>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</si>
  <si>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</si>
  <si>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</si>
  <si>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</si>
  <si>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</si>
  <si>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</si>
  <si>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</si>
  <si>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</si>
  <si>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</si>
  <si>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</si>
  <si>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</si>
  <si>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</si>
  <si>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</si>
  <si>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</si>
  <si>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</si>
  <si>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</si>
  <si>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</si>
  <si>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</si>
  <si>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</si>
  <si>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</si>
  <si>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</si>
  <si>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</si>
  <si>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</si>
  <si>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</si>
  <si>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</si>
  <si>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</si>
  <si>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</si>
  <si>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</si>
  <si>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</si>
  <si>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</si>
  <si>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</si>
  <si>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</si>
  <si>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</si>
  <si>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</si>
  <si>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</si>
  <si>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</si>
  <si>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</si>
  <si>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</si>
  <si>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</si>
  <si>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</si>
  <si>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</si>
  <si>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</si>
  <si>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</si>
  <si>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</si>
  <si>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</si>
  <si>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</si>
  <si>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</si>
  <si>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</si>
  <si>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</si>
  <si>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</si>
  <si>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</si>
  <si>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</si>
  <si>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</si>
  <si>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</si>
  <si>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</si>
  <si>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</si>
  <si>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</si>
  <si>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</si>
  <si>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</si>
  <si>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</si>
  <si>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I20.0</t>
  </si>
  <si>
    <t>TABLET</t>
  </si>
  <si>
    <t>INSYTE G22</t>
  </si>
  <si>
    <t>ECG</t>
  </si>
  <si>
    <t>MICROSET</t>
  </si>
  <si>
    <t>30MG</t>
  </si>
  <si>
    <t>VIAL</t>
  </si>
  <si>
    <t>CXR PA</t>
  </si>
  <si>
    <t>CLOPIDOGREL</t>
  </si>
  <si>
    <t>75MG</t>
  </si>
  <si>
    <t>ATORVASTATIN</t>
  </si>
  <si>
    <t>10CC SYRINGE</t>
  </si>
  <si>
    <t>TROPONIN I</t>
  </si>
  <si>
    <t>2D ECHO</t>
  </si>
  <si>
    <t>OXYGEN</t>
  </si>
  <si>
    <t>SENIOR</t>
  </si>
  <si>
    <t>D5 WATER</t>
  </si>
  <si>
    <t>500ML</t>
  </si>
  <si>
    <t>HYDROCOTISONE</t>
  </si>
  <si>
    <t>100MG</t>
  </si>
  <si>
    <t>SALBUTAMOL+IPRATROPIUM</t>
  </si>
  <si>
    <t>NEBULE</t>
  </si>
  <si>
    <t>2.5MG/500MCG</t>
  </si>
  <si>
    <t>ISOSORBIDE MONONITRATE</t>
  </si>
  <si>
    <t>40MG</t>
  </si>
  <si>
    <t xml:space="preserve">CLONIDINE </t>
  </si>
  <si>
    <t>ISOSORBIDE DINATRATE</t>
  </si>
  <si>
    <t>5MG</t>
  </si>
  <si>
    <t>5CC SYRINGE</t>
  </si>
  <si>
    <t>O2 CANNULA ADULT</t>
  </si>
  <si>
    <t>NEBULIZING</t>
  </si>
  <si>
    <t>KIT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</si>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</sst>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topLeftCell="A42" zoomScaleNormal="100" workbookViewId="0">
      <selection activeCell="G56" sqref="G5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182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 t="s">
        <v>176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172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183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184</v>
      </c>
      <c r="D68" s="55"/>
      <c r="E68" s="55">
        <v>2603</v>
      </c>
      <c r="F68" s="55">
        <v>2012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184</v>
      </c>
      <c r="D70" s="55"/>
      <c r="E70" s="55">
        <v>140</v>
      </c>
      <c r="F70" s="55">
        <v>550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2743</v>
      </c>
      <c r="F78" s="59">
        <f>SUM(F67:F77)</f>
        <v>2562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G20" sqref="G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165</v>
      </c>
      <c r="E11" s="27" t="s">
        <v>186</v>
      </c>
      <c r="F11" s="55">
        <v>1</v>
      </c>
      <c r="G11" s="55">
        <v>1</v>
      </c>
      <c r="H11" s="55">
        <v>1</v>
      </c>
      <c r="I11" s="55">
        <v>310</v>
      </c>
      <c r="J11" s="55">
        <f t="shared" ref="J11:J20" si="0">H11*I11</f>
        <v>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175</v>
      </c>
      <c r="E12" s="27" t="s">
        <v>188</v>
      </c>
      <c r="F12" s="55">
        <v>2</v>
      </c>
      <c r="G12" s="55">
        <v>1</v>
      </c>
      <c r="H12" s="55">
        <v>4</v>
      </c>
      <c r="I12" s="55">
        <v>350</v>
      </c>
      <c r="J12" s="55">
        <f t="shared" si="0"/>
        <v>1400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190</v>
      </c>
      <c r="E13" s="27" t="s">
        <v>191</v>
      </c>
      <c r="F13" s="55">
        <v>4</v>
      </c>
      <c r="G13" s="55">
        <v>1</v>
      </c>
      <c r="H13" s="55">
        <v>8</v>
      </c>
      <c r="I13" s="55">
        <v>60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170</v>
      </c>
      <c r="E14" s="27" t="s">
        <v>174</v>
      </c>
      <c r="F14" s="55">
        <v>1</v>
      </c>
      <c r="G14" s="55">
        <v>1</v>
      </c>
      <c r="H14" s="55">
        <v>1</v>
      </c>
      <c r="I14" s="55">
        <v>30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170</v>
      </c>
      <c r="E15" s="27" t="s">
        <v>193</v>
      </c>
      <c r="F15" s="55">
        <v>1</v>
      </c>
      <c r="G15" s="55">
        <v>1</v>
      </c>
      <c r="H15" s="55">
        <v>2</v>
      </c>
      <c r="I15" s="55">
        <v>50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170</v>
      </c>
      <c r="E16" s="27" t="s">
        <v>178</v>
      </c>
      <c r="F16" s="55">
        <v>1</v>
      </c>
      <c r="G16" s="55">
        <v>1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170</v>
      </c>
      <c r="E17" s="27" t="s">
        <v>196</v>
      </c>
      <c r="F17" s="55">
        <v>1</v>
      </c>
      <c r="G17" s="55">
        <v>1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177</v>
      </c>
      <c r="D18" s="27" t="s">
        <v>170</v>
      </c>
      <c r="E18" s="27" t="s">
        <v>178</v>
      </c>
      <c r="F18" s="55">
        <v>1</v>
      </c>
      <c r="G18" s="55">
        <v>1</v>
      </c>
      <c r="H18" s="55">
        <v>1</v>
      </c>
      <c r="I18" s="55">
        <v>60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171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166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197</v>
      </c>
      <c r="D19" s="70" t="s">
        <v>166</v>
      </c>
      <c r="E19" s="55">
        <v>4</v>
      </c>
      <c r="F19" s="55">
        <v>20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198</v>
      </c>
      <c r="D20" s="70" t="s">
        <v>166</v>
      </c>
      <c r="E20" s="55">
        <v>1</v>
      </c>
      <c r="F20" s="55">
        <v>180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200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166</v>
      </c>
      <c r="E22" s="55">
        <v>1</v>
      </c>
      <c r="F22" s="55">
        <v>20</v>
      </c>
      <c r="G22" s="55">
        <f t="shared" si="0"/>
        <v>20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95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95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2018-06-06T11:40:02Z</dcterms:modified>
</cp:coreProperties>
</file>