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8" i="2" l="1"/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<sst xmlns="http://schemas.openxmlformats.org/spreadsheetml/2006/main" count="486" uniqueCount="195">
  <si>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</si>
  <si>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</si>
  <si>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</si>
  <si>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</si>
  <si>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</si>
  <si>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</si>
  <si>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</si>
  <si>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</si>
  <si>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</si>
  <si>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</si>
  <si>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</si>
  <si>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</si>
  <si>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</si>
  <si>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</si>
  <si>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</si>
  <si>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</si>
  <si>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</si>
  <si>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</si>
  <si>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</si>
  <si>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</si>
  <si>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</si>
  <si>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</si>
  <si>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</si>
  <si>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</si>
  <si>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</si>
  <si>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</si>
  <si>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</si>
  <si>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</si>
  <si>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</si>
  <si>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</si>
  <si>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</si>
  <si>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</si>
  <si>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</si>
  <si>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</si>
  <si>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</si>
  <si>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</si>
  <si>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</si>
  <si>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</si>
  <si>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</si>
  <si>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</si>
  <si>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</si>
  <si>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</si>
  <si>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</si>
  <si>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</si>
  <si>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</si>
  <si>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</si>
  <si>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</si>
  <si>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</si>
  <si>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</si>
  <si>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</si>
  <si>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</si>
  <si>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</si>
  <si>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</si>
  <si>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</si>
  <si>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</si>
  <si>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</si>
  <si>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</si>
  <si>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</si>
  <si>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</si>
  <si>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</si>
  <si>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</si>
  <si>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</si>
  <si>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</si>
  <si>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</si>
  <si>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</si>
  <si>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</si>
  <si>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</si>
  <si>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</si>
  <si>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</si>
  <si>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</si>
  <si>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</si>
  <si>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</si>
  <si>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</si>
  <si>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</si>
  <si>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</si>
  <si>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</si>
  <si>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</si>
  <si>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</si>
  <si>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</si>
  <si>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</si>
  <si>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</si>
  <si>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</si>
  <si>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</si>
  <si>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</si>
  <si>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</si>
  <si>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</si>
  <si>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</si>
  <si>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</si>
  <si>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</si>
  <si>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</si>
  <si>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</si>
  <si>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</si>
  <si>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</si>
  <si>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</si>
  <si>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</si>
  <si>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</si>
  <si>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</si>
  <si>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</si>
  <si>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</si>
  <si>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</si>
  <si>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</si>
  <si>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</si>
  <si>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</si>
  <si>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</si>
  <si>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</si>
  <si>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</si>
  <si>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</si>
  <si>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</si>
  <si>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</si>
  <si>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</si>
  <si>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</si>
  <si>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</si>
  <si>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</si>
  <si>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</si>
  <si>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</si>
  <si>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</si>
  <si>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</si>
  <si>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</si>
  <si>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</si>
  <si>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</si>
  <si>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</si>
  <si>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</si>
  <si>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</si>
  <si>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</si>
  <si>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</si>
  <si>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</si>
  <si>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</si>
  <si>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</si>
  <si>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</si>
  <si>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</si>
  <si>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</si>
  <si>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</si>
  <si>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</si>
  <si>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</si>
  <si>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</si>
  <si>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</si>
  <si>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</si>
  <si>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</si>
  <si>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</si>
  <si>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</si>
  <si>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</si>
  <si>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</si>
  <si>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</si>
  <si>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</si>
  <si>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</si>
  <si>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</si>
  <si>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</si>
  <si>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</si>
  <si>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</si>
  <si>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</si>
  <si>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</si>
  <si>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</si>
  <si>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</si>
  <si>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</si>
  <si>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</si>
  <si>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</si>
  <si>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</si>
  <si>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</si>
  <si>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</si>
  <si>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</si>
  <si>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</si>
  <si>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</si>
  <si>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</si>
  <si>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</si>
  <si>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</si>
  <si>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</si>
  <si>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PER PIECE</t>
  </si>
  <si>
    <t>CASE RATE(room,labs,meds, etc.)</t>
  </si>
  <si>
    <t>PF CASE RATE</t>
  </si>
  <si>
    <t>CBC W/ PLATELET COUNT</t>
  </si>
  <si>
    <t>URINALYSIS</t>
  </si>
  <si>
    <t>3CC SYRINGE</t>
  </si>
  <si>
    <t>I20.0</t>
  </si>
  <si>
    <t>CREATININE</t>
  </si>
  <si>
    <t>CXR PA</t>
  </si>
  <si>
    <t>SENIOR</t>
  </si>
  <si>
    <t>PNSS</t>
  </si>
  <si>
    <t>1L</t>
  </si>
  <si>
    <t>50MG</t>
  </si>
  <si>
    <t>INSYTE G22</t>
  </si>
  <si>
    <t>SGPT</t>
  </si>
  <si>
    <t>GLUCOSE</t>
  </si>
  <si>
    <t>CHOLESTEROL</t>
  </si>
  <si>
    <t>TRIGLYCERIDES</t>
  </si>
  <si>
    <t>ECG</t>
  </si>
  <si>
    <t>D5 WATER</t>
  </si>
  <si>
    <t>500ML</t>
  </si>
  <si>
    <t xml:space="preserve">LOSARTAN </t>
  </si>
  <si>
    <t xml:space="preserve">TABLET </t>
  </si>
  <si>
    <t xml:space="preserve">CLOPIDOGREL </t>
  </si>
  <si>
    <t>75MG</t>
  </si>
  <si>
    <t>NUTRIDETOX</t>
  </si>
  <si>
    <t>ISOSORBIDE DINITRATE</t>
  </si>
  <si>
    <t>10MG</t>
  </si>
  <si>
    <t>MICROSET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</si>
</sst>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abSelected="1" zoomScaleNormal="100" workbookViewId="0">
      <selection activeCell="E59" sqref="E5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180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181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182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183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174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 t="s">
        <v>184</v>
      </c>
      <c r="D58" s="28"/>
      <c r="E58" s="55">
        <v>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167</v>
      </c>
      <c r="D67" s="55">
        <v>8400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175</v>
      </c>
      <c r="D68" s="55"/>
      <c r="E68" s="55">
        <v>63</v>
      </c>
      <c r="F68" s="55">
        <v>252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 t="s">
        <v>168</v>
      </c>
      <c r="D69" s="55">
        <v>3600</v>
      </c>
      <c r="E69" s="55"/>
      <c r="F69" s="55">
        <v>500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12000</v>
      </c>
      <c r="E78" s="59">
        <f>SUM(E67:E77)</f>
        <v>63</v>
      </c>
      <c r="F78" s="59">
        <f>SUM(F67:F77)</f>
        <v>752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I20.0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185</v>
      </c>
      <c r="D11" s="27" t="s">
        <v>165</v>
      </c>
      <c r="E11" s="27" t="s">
        <v>186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8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187</v>
      </c>
      <c r="D12" s="27" t="s">
        <v>188</v>
      </c>
      <c r="E12" s="27" t="s">
        <v>178</v>
      </c>
      <c r="F12" s="55">
        <v>1</v>
      </c>
      <c r="G12" s="55">
        <v>1</v>
      </c>
      <c r="H12" s="55">
        <v>3</v>
      </c>
      <c r="I12" s="55">
        <v>200</v>
      </c>
      <c r="J12" s="55">
        <f t="shared" si="0"/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189</v>
      </c>
      <c r="D13" s="27" t="s">
        <v>188</v>
      </c>
      <c r="E13" s="27" t="s">
        <v>190</v>
      </c>
      <c r="F13" s="55">
        <v>1</v>
      </c>
      <c r="G13" s="55">
        <v>1</v>
      </c>
      <c r="H13" s="55">
        <v>3</v>
      </c>
      <c r="I13" s="55">
        <v>300</v>
      </c>
      <c r="J13" s="55">
        <f t="shared" si="0"/>
        <v>900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188</v>
      </c>
      <c r="E14" s="27"/>
      <c r="F14" s="55">
        <v>2</v>
      </c>
      <c r="G14" s="55">
        <v>1</v>
      </c>
      <c r="H14" s="55">
        <v>4</v>
      </c>
      <c r="I14" s="55">
        <v>200</v>
      </c>
      <c r="J14" s="55">
        <f t="shared" si="0"/>
        <v>800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192</v>
      </c>
      <c r="D15" s="27" t="s">
        <v>188</v>
      </c>
      <c r="E15" s="27" t="s">
        <v>193</v>
      </c>
      <c r="F15" s="55">
        <v>2</v>
      </c>
      <c r="G15" s="55">
        <v>1</v>
      </c>
      <c r="H15" s="55">
        <v>5</v>
      </c>
      <c r="I15" s="55">
        <v>150</v>
      </c>
      <c r="J15" s="55">
        <f t="shared" si="0"/>
        <v>750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176</v>
      </c>
      <c r="D16" s="27" t="s">
        <v>165</v>
      </c>
      <c r="E16" s="27" t="s">
        <v>177</v>
      </c>
      <c r="F16" s="55">
        <v>1</v>
      </c>
      <c r="G16" s="55">
        <v>1</v>
      </c>
      <c r="H16" s="55">
        <v>1</v>
      </c>
      <c r="I16" s="55">
        <v>260</v>
      </c>
      <c r="J16" s="55">
        <f t="shared" si="0"/>
        <v>260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19" sqref="F19:F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194</v>
      </c>
      <c r="D16" s="70" t="s">
        <v>166</v>
      </c>
      <c r="E16" s="55">
        <v>1</v>
      </c>
      <c r="F16" s="55">
        <v>200</v>
      </c>
      <c r="G16" s="55">
        <f t="shared" ref="G16:G22" si="0"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166</v>
      </c>
      <c r="E17" s="55">
        <v>1</v>
      </c>
      <c r="F17" s="55">
        <v>200</v>
      </c>
      <c r="G17" s="55">
        <f t="shared" si="0"/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171</v>
      </c>
      <c r="D18" s="70" t="s">
        <v>166</v>
      </c>
      <c r="E18" s="55">
        <v>3</v>
      </c>
      <c r="F18" s="55">
        <v>50</v>
      </c>
      <c r="G18" s="55">
        <f t="shared" si="0"/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3" workbookViewId="0">
      <selection activeCell="O14" sqref="O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v>60</v>
      </c>
      <c r="H13" s="55">
        <v>75</v>
      </c>
      <c r="I13" s="55"/>
      <c r="J13" s="55"/>
      <c r="K13" s="55"/>
      <c r="L13" s="55"/>
      <c r="M13" s="55"/>
      <c r="N13" s="55"/>
      <c r="P13" s="88">
        <f>SUM(D13:N13)</f>
        <v>150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60</v>
      </c>
      <c r="H30" s="88">
        <f t="shared" si="1"/>
        <v>75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2018-06-06T11:38:56Z</dcterms:modified>
</cp:coreProperties>
</file>