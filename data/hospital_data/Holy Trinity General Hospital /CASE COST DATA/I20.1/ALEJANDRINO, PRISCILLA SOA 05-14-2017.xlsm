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<sst xmlns="http://schemas.openxmlformats.org/spreadsheetml/2006/main" count="484" uniqueCount="194">
  <si>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</si>
  <si>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</si>
  <si>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</si>
  <si>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</si>
  <si>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</si>
  <si>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</si>
  <si>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</si>
  <si>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</si>
  <si>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</si>
  <si>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</si>
  <si>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</si>
  <si>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</si>
  <si>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</si>
  <si>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</si>
  <si>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</si>
  <si>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</si>
  <si>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</si>
  <si>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</si>
  <si>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</si>
  <si>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</si>
  <si>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</si>
  <si>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</si>
  <si>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</si>
  <si>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</si>
  <si>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</si>
  <si>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</si>
  <si>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</si>
  <si>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</si>
  <si>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</si>
  <si>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</si>
  <si>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</si>
  <si>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</si>
  <si>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</si>
  <si>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</si>
  <si>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</si>
  <si>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</si>
  <si>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</si>
  <si>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</si>
  <si>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</si>
  <si>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</si>
  <si>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</si>
  <si>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</si>
  <si>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</si>
  <si>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</si>
  <si>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</si>
  <si>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</si>
  <si>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</si>
  <si>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</si>
  <si>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</si>
  <si>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</si>
  <si>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</si>
  <si>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</si>
  <si>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</si>
  <si>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</si>
  <si>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</si>
  <si>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</si>
  <si>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</si>
  <si>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</si>
  <si>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</si>
  <si>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</si>
  <si>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</si>
  <si>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</si>
  <si>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</si>
  <si>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</si>
  <si>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</si>
  <si>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</si>
  <si>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</si>
  <si>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</si>
  <si>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</si>
  <si>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</si>
  <si>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</si>
  <si>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</si>
  <si>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</si>
  <si>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</si>
  <si>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</si>
  <si>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</si>
  <si>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</si>
  <si>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</si>
  <si>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</si>
  <si>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</si>
  <si>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</si>
  <si>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</si>
  <si>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</si>
  <si>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</si>
  <si>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</si>
  <si>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</si>
  <si>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</si>
  <si>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</si>
  <si>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</si>
  <si>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</si>
  <si>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</si>
  <si>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</si>
  <si>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</si>
  <si>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</si>
  <si>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</si>
  <si>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</si>
  <si>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</si>
  <si>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</si>
  <si>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</si>
  <si>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</si>
  <si>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</si>
  <si>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</si>
  <si>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</si>
  <si>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</si>
  <si>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</si>
  <si>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</si>
  <si>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</si>
  <si>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</si>
  <si>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</si>
  <si>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</si>
  <si>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</si>
  <si>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</si>
  <si>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</si>
  <si>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</si>
  <si>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</si>
  <si>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</si>
  <si>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</si>
  <si>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</si>
  <si>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</si>
  <si>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</si>
  <si>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</si>
  <si>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</si>
  <si>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</si>
  <si>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</si>
  <si>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</si>
  <si>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</si>
  <si>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</si>
  <si>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</si>
  <si>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</si>
  <si>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</si>
  <si>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</si>
  <si>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</si>
  <si>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</si>
  <si>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</si>
  <si>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</si>
  <si>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</si>
  <si>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</si>
  <si>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</si>
  <si>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</si>
  <si>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</si>
  <si>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</si>
  <si>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</si>
  <si>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</si>
  <si>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</si>
  <si>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</si>
  <si>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</si>
  <si>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</si>
  <si>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</si>
  <si>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</si>
  <si>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</si>
  <si>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</si>
  <si>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</si>
  <si>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</si>
  <si>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</si>
  <si>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</si>
  <si>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</si>
  <si>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</si>
  <si>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</si>
  <si>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</si>
  <si>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</si>
  <si>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</si>
  <si>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</si>
  <si>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</si>
  <si>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</si>
  <si>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</si>
  <si>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</si>
  <si>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</si>
  <si>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</si>
  <si>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</si>
  <si>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</si>
  <si>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I20.0</t>
  </si>
  <si>
    <t>CREATININE</t>
  </si>
  <si>
    <t>SENIOR</t>
  </si>
  <si>
    <t>PNSS</t>
  </si>
  <si>
    <t>1L</t>
  </si>
  <si>
    <t>TABLET</t>
  </si>
  <si>
    <t>INSYTE G22</t>
  </si>
  <si>
    <t>ECG</t>
  </si>
  <si>
    <t>MICROSET</t>
  </si>
  <si>
    <t>SGPT</t>
  </si>
  <si>
    <t>ELECTROLYTES (NA,K)</t>
  </si>
  <si>
    <t>CBG</t>
  </si>
  <si>
    <t xml:space="preserve">DIGOXIN </t>
  </si>
  <si>
    <t>250MCG</t>
  </si>
  <si>
    <t>ISOSORBIDE MONONITRATE</t>
  </si>
  <si>
    <t>30MG</t>
  </si>
  <si>
    <t xml:space="preserve">LOSARTAN </t>
  </si>
  <si>
    <t>50MG</t>
  </si>
  <si>
    <t xml:space="preserve">PIOGLITAZONE+GLIMEPIRIDE </t>
  </si>
  <si>
    <t>30MG/2MG</t>
  </si>
  <si>
    <t>HUMULIN R</t>
  </si>
  <si>
    <t>VIAL</t>
  </si>
  <si>
    <t>100UNITS/ML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</si>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</sst>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3" zoomScaleNormal="100" workbookViewId="0">
      <selection activeCell="E70" sqref="E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181</v>
      </c>
      <c r="D38" s="23"/>
      <c r="E38" s="55">
        <v>4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177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3600</v>
      </c>
      <c r="E68" s="55"/>
      <c r="F68" s="55">
        <v>550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172</v>
      </c>
      <c r="D69" s="55"/>
      <c r="E69" s="55">
        <v>140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140</v>
      </c>
      <c r="F78" s="59">
        <f>SUM(F67:F77)</f>
        <v>550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F8" workbookViewId="0">
      <selection activeCell="J22" sqref="J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165</v>
      </c>
      <c r="E11" s="27" t="s">
        <v>174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21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175</v>
      </c>
      <c r="E12" s="27" t="s">
        <v>183</v>
      </c>
      <c r="F12" s="55">
        <v>2</v>
      </c>
      <c r="G12" s="55">
        <v>1</v>
      </c>
      <c r="H12" s="55">
        <v>3</v>
      </c>
      <c r="I12" s="55">
        <v>100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175</v>
      </c>
      <c r="E13" s="27" t="s">
        <v>185</v>
      </c>
      <c r="F13" s="55">
        <v>2</v>
      </c>
      <c r="G13" s="55">
        <v>1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175</v>
      </c>
      <c r="E14" s="27" t="s">
        <v>187</v>
      </c>
      <c r="F14" s="55">
        <v>2</v>
      </c>
      <c r="G14" s="55">
        <v>1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175</v>
      </c>
      <c r="E15" s="27" t="s">
        <v>189</v>
      </c>
      <c r="F15" s="55">
        <v>2</v>
      </c>
      <c r="G15" s="55">
        <v>1</v>
      </c>
      <c r="H15" s="55">
        <v>3</v>
      </c>
      <c r="I15" s="55">
        <v>150</v>
      </c>
      <c r="J15" s="55">
        <f t="shared" si="0"/>
        <v>450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191</v>
      </c>
      <c r="E16" s="27" t="s">
        <v>192</v>
      </c>
      <c r="F16" s="55">
        <v>4</v>
      </c>
      <c r="G16" s="55">
        <v>1</v>
      </c>
      <c r="H16" s="55">
        <v>12</v>
      </c>
      <c r="I16" s="55">
        <v>50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166</v>
      </c>
      <c r="E16" s="55">
        <v>1</v>
      </c>
      <c r="F16" s="55">
        <v>200</v>
      </c>
      <c r="G16" s="55">
        <f t="shared" ref="G16:G22" si="0"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166</v>
      </c>
      <c r="E17" s="55">
        <v>3</v>
      </c>
      <c r="F17" s="55">
        <v>200</v>
      </c>
      <c r="G17" s="55">
        <f t="shared" si="0"/>
        <v>600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166</v>
      </c>
      <c r="E18" s="55">
        <v>1</v>
      </c>
      <c r="F18" s="55">
        <v>20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Q14" sqref="Q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90</v>
      </c>
      <c r="H13" s="55">
        <v>120</v>
      </c>
      <c r="I13" s="55"/>
      <c r="J13" s="55"/>
      <c r="K13" s="55"/>
      <c r="L13" s="55"/>
      <c r="M13" s="55"/>
      <c r="N13" s="55"/>
      <c r="P13" s="88">
        <f>SUM(D13:N13)</f>
        <v>250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90</v>
      </c>
      <c r="H30" s="88">
        <f t="shared" si="1"/>
        <v>120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2018-06-04T06:53:28Z</dcterms:modified>
</cp:coreProperties>
</file>