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<sst xmlns="http://schemas.openxmlformats.org/spreadsheetml/2006/main" count="493" uniqueCount="201">
  <si>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</si>
  <si>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</si>
  <si>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</si>
  <si>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</si>
  <si>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</si>
  <si>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</si>
  <si>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</si>
  <si>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</si>
  <si>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</si>
  <si>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</si>
  <si>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</si>
  <si>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</si>
  <si>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</si>
  <si>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</si>
  <si>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</si>
  <si>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</si>
  <si>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</si>
  <si>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</si>
  <si>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</si>
  <si>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</si>
  <si>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</si>
  <si>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</si>
  <si>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</si>
  <si>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</si>
  <si>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</si>
  <si>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</si>
  <si>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</si>
  <si>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</si>
  <si>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</si>
  <si>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</si>
  <si>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</si>
  <si>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</si>
  <si>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</si>
  <si>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</si>
  <si>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</si>
  <si>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</si>
  <si>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</si>
  <si>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</si>
  <si>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</si>
  <si>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</si>
  <si>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</si>
  <si>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</si>
  <si>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</si>
  <si>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</si>
  <si>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</si>
  <si>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</si>
  <si>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</si>
  <si>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</si>
  <si>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</si>
  <si>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</si>
  <si>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</si>
  <si>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</si>
  <si>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</si>
  <si>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</si>
  <si>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</si>
  <si>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</si>
  <si>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</si>
  <si>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</si>
  <si>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</si>
  <si>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</si>
  <si>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</si>
  <si>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</si>
  <si>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</si>
  <si>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</si>
  <si>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</si>
  <si>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</si>
  <si>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</si>
  <si>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</si>
  <si>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</si>
  <si>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</si>
  <si>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</si>
  <si>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</si>
  <si>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</si>
  <si>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</si>
  <si>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</si>
  <si>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</si>
  <si>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</si>
  <si>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</si>
  <si>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</si>
  <si>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</si>
  <si>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</si>
  <si>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</si>
  <si>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</si>
  <si>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</si>
  <si>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</si>
  <si>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</si>
  <si>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</si>
  <si>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</si>
  <si>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</si>
  <si>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</si>
  <si>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</si>
  <si>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</si>
  <si>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</si>
  <si>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</si>
  <si>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</si>
  <si>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</si>
  <si>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</si>
  <si>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</si>
  <si>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</si>
  <si>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</si>
  <si>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</si>
  <si>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</si>
  <si>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</si>
  <si>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</si>
  <si>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</si>
  <si>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</si>
  <si>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</si>
  <si>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</si>
  <si>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</si>
  <si>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</si>
  <si>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</si>
  <si>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</si>
  <si>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</si>
  <si>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</si>
  <si>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</si>
  <si>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</si>
  <si>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</si>
  <si>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</si>
  <si>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</si>
  <si>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</si>
  <si>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</si>
  <si>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</si>
  <si>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</si>
  <si>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</si>
  <si>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</si>
  <si>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</si>
  <si>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</si>
  <si>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</si>
  <si>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</si>
  <si>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</si>
  <si>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</si>
  <si>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</si>
  <si>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</si>
  <si>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</si>
  <si>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</si>
  <si>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</si>
  <si>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</si>
  <si>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</si>
  <si>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</si>
  <si>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</si>
  <si>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</si>
  <si>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</si>
  <si>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</si>
  <si>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</si>
  <si>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</si>
  <si>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</si>
  <si>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</si>
  <si>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</si>
  <si>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</si>
  <si>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</si>
  <si>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</si>
  <si>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</si>
  <si>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</si>
  <si>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</si>
  <si>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</si>
  <si>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</si>
  <si>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</si>
  <si>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</si>
  <si>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</si>
  <si>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</si>
  <si>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</si>
  <si>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</si>
  <si>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</si>
  <si>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</si>
  <si>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</si>
  <si>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</si>
  <si>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</si>
  <si>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</si>
  <si>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</si>
  <si>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MACROSET</t>
  </si>
  <si>
    <t>CBC W/ PLATELET COUNT</t>
  </si>
  <si>
    <t>URINALYSIS</t>
  </si>
  <si>
    <t>AMPOULE</t>
  </si>
  <si>
    <t>3CC SYRINGE</t>
  </si>
  <si>
    <t>VIAL</t>
  </si>
  <si>
    <t>750MG</t>
  </si>
  <si>
    <t>5CC SYRINGE</t>
  </si>
  <si>
    <t>I20.0</t>
  </si>
  <si>
    <t>CREATININE</t>
  </si>
  <si>
    <t>CXR PA</t>
  </si>
  <si>
    <t>SENIOR</t>
  </si>
  <si>
    <t>PNSS</t>
  </si>
  <si>
    <t>1L</t>
  </si>
  <si>
    <t>AZITHROMYCIN</t>
  </si>
  <si>
    <t>TABLET</t>
  </si>
  <si>
    <t>500MG</t>
  </si>
  <si>
    <t xml:space="preserve">OMEPRAZOLE </t>
  </si>
  <si>
    <t>40MG</t>
  </si>
  <si>
    <t xml:space="preserve">MUCOTYL </t>
  </si>
  <si>
    <t>SACHET</t>
  </si>
  <si>
    <t>600MG</t>
  </si>
  <si>
    <t>PREMIUM C</t>
  </si>
  <si>
    <t>CAPSULE</t>
  </si>
  <si>
    <t>LOSARTAN</t>
  </si>
  <si>
    <t>50MG</t>
  </si>
  <si>
    <t xml:space="preserve">CEFUROXIME </t>
  </si>
  <si>
    <t xml:space="preserve">GENTAMICIN </t>
  </si>
  <si>
    <t>80MG</t>
  </si>
  <si>
    <t>10CC SYRINGE</t>
  </si>
  <si>
    <t>INSYTE G22</t>
  </si>
  <si>
    <t>ECG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</si>
</sst>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abSelected="1" zoomScaleNormal="100" workbookViewId="0">
      <selection activeCell="I21" sqref="I2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179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200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8400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180</v>
      </c>
      <c r="D68" s="55"/>
      <c r="E68" s="55">
        <v>1026</v>
      </c>
      <c r="F68" s="55">
        <v>4184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168</v>
      </c>
      <c r="D69" s="55">
        <v>3600</v>
      </c>
      <c r="E69" s="55"/>
      <c r="F69" s="55">
        <v>2400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12000</v>
      </c>
      <c r="E78" s="59">
        <f>SUM(E67:E77)</f>
        <v>1026</v>
      </c>
      <c r="F78" s="59">
        <f>SUM(F67:F77)</f>
        <v>6584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D19" sqref="D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I20.0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165</v>
      </c>
      <c r="E11" s="27" t="s">
        <v>182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8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184</v>
      </c>
      <c r="E12" s="27" t="s">
        <v>185</v>
      </c>
      <c r="F12" s="55">
        <v>1</v>
      </c>
      <c r="G12" s="55">
        <v>1</v>
      </c>
      <c r="H12" s="55">
        <v>2</v>
      </c>
      <c r="I12" s="55">
        <v>200</v>
      </c>
      <c r="J12" s="55">
        <f t="shared" si="0"/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174</v>
      </c>
      <c r="E13" s="27" t="s">
        <v>187</v>
      </c>
      <c r="F13" s="55">
        <v>2</v>
      </c>
      <c r="G13" s="55">
        <v>1</v>
      </c>
      <c r="H13" s="55">
        <v>4</v>
      </c>
      <c r="I13" s="55">
        <v>1200</v>
      </c>
      <c r="J13" s="55">
        <f t="shared" si="0"/>
        <v>4800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189</v>
      </c>
      <c r="E14" s="27" t="s">
        <v>190</v>
      </c>
      <c r="F14" s="55">
        <v>2</v>
      </c>
      <c r="G14" s="55">
        <v>1</v>
      </c>
      <c r="H14" s="55">
        <v>4</v>
      </c>
      <c r="I14" s="55">
        <v>70</v>
      </c>
      <c r="J14" s="55">
        <f t="shared" si="0"/>
        <v>280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192</v>
      </c>
      <c r="E15" s="27" t="s">
        <v>185</v>
      </c>
      <c r="F15" s="55">
        <v>1</v>
      </c>
      <c r="G15" s="55">
        <v>1</v>
      </c>
      <c r="H15" s="55">
        <v>2</v>
      </c>
      <c r="I15" s="55">
        <v>25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184</v>
      </c>
      <c r="E16" s="27" t="s">
        <v>194</v>
      </c>
      <c r="F16" s="55">
        <v>1</v>
      </c>
      <c r="G16" s="55">
        <v>1</v>
      </c>
      <c r="H16" s="55">
        <v>2</v>
      </c>
      <c r="I16" s="55">
        <v>30</v>
      </c>
      <c r="J16" s="55">
        <f t="shared" si="0"/>
        <v>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174</v>
      </c>
      <c r="E17" s="27" t="s">
        <v>175</v>
      </c>
      <c r="F17" s="55">
        <v>2</v>
      </c>
      <c r="G17" s="55">
        <v>1</v>
      </c>
      <c r="H17" s="55">
        <v>6</v>
      </c>
      <c r="I17" s="55">
        <v>350</v>
      </c>
      <c r="J17" s="55">
        <f t="shared" si="0"/>
        <v>2100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196</v>
      </c>
      <c r="D18" s="27" t="s">
        <v>172</v>
      </c>
      <c r="E18" s="27" t="s">
        <v>197</v>
      </c>
      <c r="F18" s="55">
        <v>1</v>
      </c>
      <c r="G18" s="55">
        <v>1</v>
      </c>
      <c r="H18" s="55">
        <v>3</v>
      </c>
      <c r="I18" s="55">
        <v>350</v>
      </c>
      <c r="J18" s="55">
        <f t="shared" si="0"/>
        <v>1050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166</v>
      </c>
      <c r="E16" s="55">
        <v>9</v>
      </c>
      <c r="F16" s="55">
        <v>20</v>
      </c>
      <c r="G16" s="55">
        <f t="shared" ref="G16:G22" si="0"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198</v>
      </c>
      <c r="D17" s="70" t="s">
        <v>166</v>
      </c>
      <c r="E17" s="55">
        <v>1</v>
      </c>
      <c r="F17" s="55">
        <v>40</v>
      </c>
      <c r="G17" s="55">
        <f t="shared" si="0"/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166</v>
      </c>
      <c r="E18" s="55">
        <v>1</v>
      </c>
      <c r="F18" s="55">
        <v>150</v>
      </c>
      <c r="G18" s="55">
        <f t="shared" si="0"/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199</v>
      </c>
      <c r="D19" s="70" t="s">
        <v>166</v>
      </c>
      <c r="E19" s="55">
        <v>1</v>
      </c>
      <c r="F19" s="55">
        <v>150</v>
      </c>
      <c r="G19" s="55">
        <f t="shared" si="0"/>
        <v>150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166</v>
      </c>
      <c r="E20" s="55">
        <v>3</v>
      </c>
      <c r="F20" s="55">
        <v>20</v>
      </c>
      <c r="G20" s="55">
        <f t="shared" si="0"/>
        <v>60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9" workbookViewId="0">
      <selection activeCell="N14" sqref="N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50</v>
      </c>
      <c r="H13" s="55">
        <v>110</v>
      </c>
      <c r="I13" s="55"/>
      <c r="J13" s="55"/>
      <c r="K13" s="55"/>
      <c r="L13" s="55"/>
      <c r="M13" s="55"/>
      <c r="N13" s="55"/>
      <c r="P13" s="88">
        <f>SUM(D13:N13)</f>
        <v>180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50</v>
      </c>
      <c r="H30" s="88">
        <f t="shared" si="1"/>
        <v>110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2018-06-06T11:36:52Z</dcterms:modified>
</cp:coreProperties>
</file>