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<sst xmlns="http://schemas.openxmlformats.org/spreadsheetml/2006/main" count="494" uniqueCount="203">
  <si>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</si>
  <si>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</si>
  <si>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</si>
  <si>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</si>
  <si>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</si>
  <si>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</si>
  <si>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</si>
  <si>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</si>
  <si>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</si>
  <si>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</si>
  <si>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</si>
  <si>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</si>
  <si>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</si>
  <si>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</si>
  <si>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</si>
  <si>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</si>
  <si>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</si>
  <si>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</si>
  <si>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</si>
  <si>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</si>
  <si>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</si>
  <si>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</si>
  <si>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</si>
  <si>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</si>
  <si>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</si>
  <si>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</si>
  <si>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</si>
  <si>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</si>
  <si>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</si>
  <si>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</si>
  <si>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</si>
  <si>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</si>
  <si>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</si>
  <si>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</si>
  <si>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</si>
  <si>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</si>
  <si>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</si>
  <si>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</si>
  <si>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</si>
  <si>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</si>
  <si>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</si>
  <si>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</si>
  <si>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</si>
  <si>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</si>
  <si>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</si>
  <si>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</si>
  <si>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</si>
  <si>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</si>
  <si>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</si>
  <si>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</si>
  <si>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</si>
  <si>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</si>
  <si>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</si>
  <si>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</si>
  <si>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</si>
  <si>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</si>
  <si>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</si>
  <si>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</si>
  <si>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</si>
  <si>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</si>
  <si>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</si>
  <si>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</si>
  <si>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</si>
  <si>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</si>
  <si>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</si>
  <si>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</si>
  <si>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</si>
  <si>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</si>
  <si>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</si>
  <si>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</si>
  <si>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</si>
  <si>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</si>
  <si>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</si>
  <si>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</si>
  <si>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</si>
  <si>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</si>
  <si>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</si>
  <si>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</si>
  <si>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</si>
  <si>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</si>
  <si>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</si>
  <si>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</si>
  <si>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</si>
  <si>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</si>
  <si>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</si>
  <si>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</si>
  <si>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</si>
  <si>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</si>
  <si>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</si>
  <si>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</si>
  <si>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</si>
  <si>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</si>
  <si>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</si>
  <si>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</si>
  <si>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</si>
  <si>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</si>
  <si>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</si>
  <si>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</si>
  <si>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</si>
  <si>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</si>
  <si>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</si>
  <si>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</si>
  <si>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</si>
  <si>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</si>
  <si>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</si>
  <si>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</si>
  <si>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</si>
  <si>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</si>
  <si>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</si>
  <si>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</si>
  <si>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</si>
  <si>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</si>
  <si>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</si>
  <si>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</si>
  <si>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</si>
  <si>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</si>
  <si>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</si>
  <si>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</si>
  <si>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</si>
  <si>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</si>
  <si>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</si>
  <si>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</si>
  <si>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</si>
  <si>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</si>
  <si>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</si>
  <si>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</si>
  <si>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</si>
  <si>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</si>
  <si>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</si>
  <si>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</si>
  <si>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</si>
  <si>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</si>
  <si>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</si>
  <si>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</si>
  <si>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</si>
  <si>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</si>
  <si>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</si>
  <si>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</si>
  <si>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</si>
  <si>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</si>
  <si>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</si>
  <si>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</si>
  <si>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</si>
  <si>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</si>
  <si>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</si>
  <si>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</si>
  <si>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</si>
  <si>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</si>
  <si>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</si>
  <si>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</si>
  <si>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</si>
  <si>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</si>
  <si>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</si>
  <si>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</si>
  <si>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</si>
  <si>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</si>
  <si>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</si>
  <si>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</si>
  <si>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</si>
  <si>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</si>
  <si>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</si>
  <si>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</si>
  <si>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</si>
  <si>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</si>
  <si>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</si>
  <si>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</si>
  <si>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</si>
  <si>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</si>
  <si>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</si>
  <si>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</si>
  <si>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URINALYSIS</t>
  </si>
  <si>
    <t>I20.0</t>
  </si>
  <si>
    <t>CREATININE</t>
  </si>
  <si>
    <t>CXR PA</t>
  </si>
  <si>
    <t>PNSS</t>
  </si>
  <si>
    <t>1L</t>
  </si>
  <si>
    <t>TABLET</t>
  </si>
  <si>
    <t>CAPSULE</t>
  </si>
  <si>
    <t>INSYTE G22</t>
  </si>
  <si>
    <t>ECG</t>
  </si>
  <si>
    <t>CHOLESTEROL</t>
  </si>
  <si>
    <t>75MG</t>
  </si>
  <si>
    <t>MICROSET</t>
  </si>
  <si>
    <t>SGPT</t>
  </si>
  <si>
    <t>CKMB</t>
  </si>
  <si>
    <t>GLUCOSE</t>
  </si>
  <si>
    <t>OXYGEN</t>
  </si>
  <si>
    <t>O2 CANNULA ADULT</t>
  </si>
  <si>
    <t>TRIGYCERIDES</t>
  </si>
  <si>
    <t>IONIZED CALCIUM</t>
  </si>
  <si>
    <t>URIC ACID</t>
  </si>
  <si>
    <t>2D ECHO</t>
  </si>
  <si>
    <t>INDIGENT</t>
  </si>
  <si>
    <t>CLONIDINE</t>
  </si>
  <si>
    <t>ATORVASTATIN</t>
  </si>
  <si>
    <t>80MG</t>
  </si>
  <si>
    <t>MORPHINE</t>
  </si>
  <si>
    <t>AMPOULE</t>
  </si>
  <si>
    <t>10MG/ML</t>
  </si>
  <si>
    <t xml:space="preserve">CELECOXIB </t>
  </si>
  <si>
    <t>200MG</t>
  </si>
  <si>
    <t>CLOPIDOGREL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</si>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</sst>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abSelected="1" topLeftCell="A48" zoomScaleNormal="100" workbookViewId="0">
      <selection activeCell="E60" sqref="E60:E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172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189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185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180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188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190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184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173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 t="s">
        <v>191</v>
      </c>
      <c r="D47" s="23"/>
      <c r="E47" s="55">
        <v>1</v>
      </c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 t="s">
        <v>179</v>
      </c>
      <c r="D58" s="28"/>
      <c r="E58" s="55">
        <v>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 t="s">
        <v>186</v>
      </c>
      <c r="D59" s="28"/>
      <c r="E59" s="55">
        <v>1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8400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192</v>
      </c>
      <c r="D68" s="55"/>
      <c r="E68" s="55">
        <v>812</v>
      </c>
      <c r="F68" s="55">
        <v>3248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 t="s">
        <v>168</v>
      </c>
      <c r="D69" s="55">
        <v>3600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>
        <v>700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12000</v>
      </c>
      <c r="E78" s="59">
        <f>SUM(E67:E77)</f>
        <v>812</v>
      </c>
      <c r="F78" s="59">
        <f>SUM(F67:F77)</f>
        <v>3948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6" workbookViewId="0">
      <selection activeCell="J24" sqref="J2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I20.0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165</v>
      </c>
      <c r="E11" s="27" t="s">
        <v>175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21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176</v>
      </c>
      <c r="E12" s="27" t="s">
        <v>181</v>
      </c>
      <c r="F12" s="55">
        <v>2</v>
      </c>
      <c r="G12" s="55">
        <v>1</v>
      </c>
      <c r="H12" s="55">
        <v>3</v>
      </c>
      <c r="I12" s="55">
        <v>30</v>
      </c>
      <c r="J12" s="55">
        <f t="shared" si="0"/>
        <v>90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176</v>
      </c>
      <c r="E13" s="27" t="s">
        <v>195</v>
      </c>
      <c r="F13" s="55">
        <v>2</v>
      </c>
      <c r="G13" s="55">
        <v>1</v>
      </c>
      <c r="H13" s="55">
        <v>3</v>
      </c>
      <c r="I13" s="55">
        <v>150</v>
      </c>
      <c r="J13" s="55">
        <f t="shared" si="0"/>
        <v>450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196</v>
      </c>
      <c r="D14" s="27" t="s">
        <v>197</v>
      </c>
      <c r="E14" s="27" t="s">
        <v>198</v>
      </c>
      <c r="F14" s="55">
        <v>1</v>
      </c>
      <c r="G14" s="55">
        <v>1</v>
      </c>
      <c r="H14" s="55">
        <v>1</v>
      </c>
      <c r="I14" s="55">
        <v>400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177</v>
      </c>
      <c r="E15" s="27" t="s">
        <v>200</v>
      </c>
      <c r="F15" s="55">
        <v>2</v>
      </c>
      <c r="G15" s="55">
        <v>1</v>
      </c>
      <c r="H15" s="55">
        <v>3</v>
      </c>
      <c r="I15" s="55">
        <v>150</v>
      </c>
      <c r="J15" s="55">
        <f t="shared" si="0"/>
        <v>450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201</v>
      </c>
      <c r="D16" s="27" t="s">
        <v>176</v>
      </c>
      <c r="E16" s="27" t="s">
        <v>181</v>
      </c>
      <c r="F16" s="55">
        <v>2</v>
      </c>
      <c r="G16" s="55">
        <v>1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19" sqref="C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182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166</v>
      </c>
      <c r="E18" s="55">
        <v>1</v>
      </c>
      <c r="F18" s="55">
        <v>180</v>
      </c>
      <c r="G18" s="55">
        <f t="shared" si="0"/>
        <v>180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202</v>
      </c>
      <c r="D19" s="70" t="s">
        <v>166</v>
      </c>
      <c r="E19" s="55">
        <v>1</v>
      </c>
      <c r="F19" s="55">
        <v>50</v>
      </c>
      <c r="G19" s="55">
        <f t="shared" si="0"/>
        <v>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6" workbookViewId="0">
      <selection activeCell="O14" sqref="O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I20.0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60</v>
      </c>
      <c r="H13" s="55">
        <v>55</v>
      </c>
      <c r="I13" s="55"/>
      <c r="J13" s="55"/>
      <c r="K13" s="55"/>
      <c r="L13" s="55"/>
      <c r="M13" s="55"/>
      <c r="N13" s="55"/>
      <c r="P13" s="88">
        <f>SUM(D13:N13)</f>
        <v>135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60</v>
      </c>
      <c r="H30" s="88">
        <f t="shared" si="1"/>
        <v>55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2018-06-06T11:36:17Z</dcterms:modified>
</cp:coreProperties>
</file>