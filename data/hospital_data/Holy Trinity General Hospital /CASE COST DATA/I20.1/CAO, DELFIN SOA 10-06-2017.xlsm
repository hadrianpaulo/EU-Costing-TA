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<sst xmlns="http://schemas.openxmlformats.org/spreadsheetml/2006/main" count="506" uniqueCount="205">
  <si>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</si>
  <si>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</si>
  <si>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</si>
  <si>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</si>
  <si>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</si>
  <si>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</si>
  <si>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</si>
  <si>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</si>
  <si>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</si>
  <si>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</si>
  <si>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</si>
  <si>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</si>
  <si>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</si>
  <si>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</si>
  <si>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</si>
  <si>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</si>
  <si>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</si>
  <si>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</si>
  <si>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</si>
  <si>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</si>
  <si>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</si>
  <si>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</si>
  <si>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</si>
  <si>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</si>
  <si>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</si>
  <si>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</si>
  <si>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</si>
  <si>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</si>
  <si>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</si>
  <si>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</si>
  <si>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</si>
  <si>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</si>
  <si>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</si>
  <si>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</si>
  <si>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</si>
  <si>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</si>
  <si>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</si>
  <si>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</si>
  <si>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</si>
  <si>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</si>
  <si>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</si>
  <si>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</si>
  <si>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</si>
  <si>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</si>
  <si>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</si>
  <si>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</si>
  <si>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</si>
  <si>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</si>
  <si>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</si>
  <si>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</si>
  <si>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</si>
  <si>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</si>
  <si>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</si>
  <si>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</si>
  <si>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</si>
  <si>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</si>
  <si>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</si>
  <si>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</si>
  <si>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</si>
  <si>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</si>
  <si>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</si>
  <si>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</si>
  <si>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</si>
  <si>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</si>
  <si>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</si>
  <si>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</si>
  <si>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</si>
  <si>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</si>
  <si>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</si>
  <si>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</si>
  <si>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</si>
  <si>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</si>
  <si>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</si>
  <si>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</si>
  <si>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</si>
  <si>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</si>
  <si>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</si>
  <si>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</si>
  <si>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</si>
  <si>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</si>
  <si>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</si>
  <si>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</si>
  <si>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</si>
  <si>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</si>
  <si>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</si>
  <si>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</si>
  <si>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</si>
  <si>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</si>
  <si>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</si>
  <si>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</si>
  <si>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</si>
  <si>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</si>
  <si>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</si>
  <si>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</si>
  <si>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</si>
  <si>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</si>
  <si>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</si>
  <si>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</si>
  <si>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</si>
  <si>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</si>
  <si>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</si>
  <si>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</si>
  <si>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</si>
  <si>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</si>
  <si>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</si>
  <si>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</si>
  <si>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</si>
  <si>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</si>
  <si>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</si>
  <si>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</si>
  <si>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</si>
  <si>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</si>
  <si>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</si>
  <si>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</si>
  <si>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</si>
  <si>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</si>
  <si>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</si>
  <si>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</si>
  <si>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</si>
  <si>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</si>
  <si>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</si>
  <si>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</si>
  <si>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</si>
  <si>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</si>
  <si>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</si>
  <si>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</si>
  <si>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</si>
  <si>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</si>
  <si>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</si>
  <si>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</si>
  <si>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</si>
  <si>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</si>
  <si>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</si>
  <si>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</si>
  <si>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</si>
  <si>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</si>
  <si>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</si>
  <si>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</si>
  <si>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</si>
  <si>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</si>
  <si>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</si>
  <si>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</si>
  <si>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</si>
  <si>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</si>
  <si>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</si>
  <si>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</si>
  <si>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</si>
  <si>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</si>
  <si>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</si>
  <si>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</si>
  <si>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</si>
  <si>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</si>
  <si>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</si>
  <si>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</si>
  <si>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</si>
  <si>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</si>
  <si>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</si>
  <si>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</si>
  <si>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</si>
  <si>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</si>
  <si>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</si>
  <si>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</si>
  <si>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</si>
  <si>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</si>
  <si>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</si>
  <si>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</si>
  <si>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</si>
  <si>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</si>
  <si>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</si>
  <si>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</si>
  <si>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URINALYSIS</t>
  </si>
  <si>
    <t>I20.0</t>
  </si>
  <si>
    <t>CREATININE</t>
  </si>
  <si>
    <t>CXR PA</t>
  </si>
  <si>
    <t>SENIOR</t>
  </si>
  <si>
    <t>PNSS</t>
  </si>
  <si>
    <t>1L</t>
  </si>
  <si>
    <t>TABLET</t>
  </si>
  <si>
    <t>500MG</t>
  </si>
  <si>
    <t>40MG</t>
  </si>
  <si>
    <t>CAPSULE</t>
  </si>
  <si>
    <t>INSYTE G22</t>
  </si>
  <si>
    <t>ECG</t>
  </si>
  <si>
    <t>CHOLESTEROL</t>
  </si>
  <si>
    <t>ISOSORBIDE DINITRATE</t>
  </si>
  <si>
    <t>10MG</t>
  </si>
  <si>
    <t xml:space="preserve">CLOPIDOGREL </t>
  </si>
  <si>
    <t>75MG</t>
  </si>
  <si>
    <t>MICROSET</t>
  </si>
  <si>
    <t>SGPT</t>
  </si>
  <si>
    <t>CKMB</t>
  </si>
  <si>
    <t>GLUCOSE</t>
  </si>
  <si>
    <t>OXYGEN</t>
  </si>
  <si>
    <t>5MG</t>
  </si>
  <si>
    <t>ENALAPRIL</t>
  </si>
  <si>
    <t xml:space="preserve">ATORVASTATIN </t>
  </si>
  <si>
    <t>FOLIC ACID</t>
  </si>
  <si>
    <t>NUTRI DOX</t>
  </si>
  <si>
    <t xml:space="preserve">METFORMIN </t>
  </si>
  <si>
    <t xml:space="preserve">AMLODIPINE </t>
  </si>
  <si>
    <t>DIAZEPAM</t>
  </si>
  <si>
    <t>O2 CANNULA ADULT</t>
  </si>
  <si>
    <t>ELECTROLYTES (NA,K)</t>
  </si>
  <si>
    <t>TROPONIN I</t>
  </si>
  <si>
    <t>TRIGYCERIDES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</si>
</sst>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topLeftCell="A42" zoomScaleNormal="10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190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203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191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183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204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173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182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192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174</v>
      </c>
      <c r="D68" s="55"/>
      <c r="E68" s="55">
        <v>888</v>
      </c>
      <c r="F68" s="55">
        <v>3554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3600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174</v>
      </c>
      <c r="D70" s="55"/>
      <c r="E70" s="55">
        <v>265</v>
      </c>
      <c r="F70" s="55">
        <v>1050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1153</v>
      </c>
      <c r="F78" s="59">
        <f>SUM(F67:F77)</f>
        <v>4604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E31" sqref="E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165</v>
      </c>
      <c r="E11" s="27" t="s">
        <v>176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21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177</v>
      </c>
      <c r="E12" s="27" t="s">
        <v>193</v>
      </c>
      <c r="F12" s="55">
        <v>1</v>
      </c>
      <c r="G12" s="55">
        <v>1</v>
      </c>
      <c r="H12" s="55">
        <v>2</v>
      </c>
      <c r="I12" s="55">
        <v>56</v>
      </c>
      <c r="J12" s="55">
        <f t="shared" si="0"/>
        <v>112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177</v>
      </c>
      <c r="E13" s="27" t="s">
        <v>193</v>
      </c>
      <c r="F13" s="55">
        <v>1</v>
      </c>
      <c r="G13" s="55">
        <v>1</v>
      </c>
      <c r="H13" s="55">
        <v>3</v>
      </c>
      <c r="I13" s="55">
        <v>25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177</v>
      </c>
      <c r="E14" s="27" t="s">
        <v>187</v>
      </c>
      <c r="F14" s="55">
        <v>1</v>
      </c>
      <c r="G14" s="55">
        <v>1</v>
      </c>
      <c r="H14" s="55">
        <v>3</v>
      </c>
      <c r="I14" s="55">
        <v>60</v>
      </c>
      <c r="J14" s="55">
        <f t="shared" si="0"/>
        <v>180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177</v>
      </c>
      <c r="E15" s="27" t="s">
        <v>179</v>
      </c>
      <c r="F15" s="55">
        <v>1</v>
      </c>
      <c r="G15" s="55">
        <v>1</v>
      </c>
      <c r="H15" s="55">
        <v>2</v>
      </c>
      <c r="I15" s="55">
        <v>50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180</v>
      </c>
      <c r="E16" s="27" t="s">
        <v>193</v>
      </c>
      <c r="F16" s="55">
        <v>1</v>
      </c>
      <c r="G16" s="55">
        <v>1</v>
      </c>
      <c r="H16" s="55">
        <v>3</v>
      </c>
      <c r="I16" s="55">
        <v>25</v>
      </c>
      <c r="J16" s="55">
        <f t="shared" si="0"/>
        <v>75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180</v>
      </c>
      <c r="E17" s="27"/>
      <c r="F17" s="55">
        <v>2</v>
      </c>
      <c r="G17" s="55">
        <v>1</v>
      </c>
      <c r="H17" s="55">
        <v>5</v>
      </c>
      <c r="I17" s="55">
        <v>50</v>
      </c>
      <c r="J17" s="55">
        <f t="shared" si="0"/>
        <v>250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177</v>
      </c>
      <c r="E18" s="27" t="s">
        <v>178</v>
      </c>
      <c r="F18" s="55">
        <v>1</v>
      </c>
      <c r="G18" s="55">
        <v>1</v>
      </c>
      <c r="H18" s="55">
        <v>3</v>
      </c>
      <c r="I18" s="55">
        <v>25</v>
      </c>
      <c r="J18" s="55">
        <f t="shared" si="0"/>
        <v>75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199</v>
      </c>
      <c r="D19" s="27" t="s">
        <v>177</v>
      </c>
      <c r="E19" s="27" t="s">
        <v>193</v>
      </c>
      <c r="F19" s="55">
        <v>1</v>
      </c>
      <c r="G19" s="55">
        <v>1</v>
      </c>
      <c r="H19" s="55">
        <v>1</v>
      </c>
      <c r="I19" s="55">
        <v>25</v>
      </c>
      <c r="J19" s="55">
        <f t="shared" si="0"/>
        <v>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184</v>
      </c>
      <c r="D20" s="27" t="s">
        <v>177</v>
      </c>
      <c r="E20" s="27" t="s">
        <v>185</v>
      </c>
      <c r="F20" s="55">
        <v>1</v>
      </c>
      <c r="G20" s="55">
        <v>1</v>
      </c>
      <c r="H20" s="55">
        <v>3</v>
      </c>
      <c r="I20" s="55">
        <v>30</v>
      </c>
      <c r="J20" s="55">
        <f t="shared" si="0"/>
        <v>90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200</v>
      </c>
      <c r="D21" s="27" t="s">
        <v>177</v>
      </c>
      <c r="E21" s="27" t="s">
        <v>193</v>
      </c>
      <c r="F21" s="55">
        <v>1</v>
      </c>
      <c r="G21" s="55">
        <v>1</v>
      </c>
      <c r="H21" s="55">
        <v>1</v>
      </c>
      <c r="I21" s="55">
        <v>40</v>
      </c>
      <c r="J21" s="55">
        <f t="shared" si="0"/>
        <v>40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201</v>
      </c>
      <c r="D18" s="70" t="s">
        <v>166</v>
      </c>
      <c r="E18" s="55">
        <v>1</v>
      </c>
      <c r="F18" s="55">
        <v>180</v>
      </c>
      <c r="G18" s="55">
        <f t="shared" si="0"/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2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/>
      <c r="G13" s="55">
        <v>80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215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0</v>
      </c>
      <c r="G30" s="88">
        <f t="shared" si="1"/>
        <v>80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2018-06-06T11:34:53Z</dcterms:modified>
</cp:coreProperties>
</file>