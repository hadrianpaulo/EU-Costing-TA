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120" windowWidth="15525" windowHeight="726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21" i="2" l="1"/>
  <c r="J20" i="2"/>
  <c r="J19" i="2" l="1"/>
  <c r="J18" i="2" l="1"/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<sst xmlns="http://schemas.openxmlformats.org/spreadsheetml/2006/main" count="488" uniqueCount="197">
  <si>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</si>
  <si>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</si>
  <si>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</si>
  <si>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</si>
  <si>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</si>
  <si>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</si>
  <si>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</si>
  <si>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</si>
  <si>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</si>
  <si>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</si>
  <si>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</si>
  <si>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</si>
  <si>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</si>
  <si>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</si>
  <si>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</si>
  <si>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</si>
  <si>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</si>
  <si>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</si>
  <si>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</si>
  <si>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</si>
  <si>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</si>
  <si>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</si>
  <si>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</si>
  <si>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</si>
  <si>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</si>
  <si>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</si>
  <si>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</si>
  <si>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</si>
  <si>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</si>
  <si>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</si>
  <si>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</si>
  <si>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</si>
  <si>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</si>
  <si>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</si>
  <si>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</si>
  <si>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</si>
  <si>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</si>
  <si>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</si>
  <si>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</si>
  <si>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</si>
  <si>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</si>
  <si>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</si>
  <si>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</si>
  <si>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</si>
  <si>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</si>
  <si>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</si>
  <si>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</si>
  <si>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</si>
  <si>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</si>
  <si>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</si>
  <si>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</si>
  <si>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</si>
  <si>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</si>
  <si>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</si>
  <si>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</si>
  <si>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</si>
  <si>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</si>
  <si>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</si>
  <si>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</si>
  <si>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</si>
  <si>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</si>
  <si>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</si>
  <si>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</si>
  <si>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</si>
  <si>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</si>
  <si>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</si>
  <si>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</si>
  <si>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</si>
  <si>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</si>
  <si>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</si>
  <si>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</si>
  <si>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</si>
  <si>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</si>
  <si>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</si>
  <si>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</si>
  <si>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</si>
  <si>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</si>
  <si>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</si>
  <si>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</si>
  <si>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</si>
  <si>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</si>
  <si>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</si>
  <si>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</si>
  <si>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</si>
  <si>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</si>
  <si>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</si>
  <si>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</si>
  <si>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</si>
  <si>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</si>
  <si>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</si>
  <si>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</si>
  <si>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</si>
  <si>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</si>
  <si>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</si>
  <si>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</si>
  <si>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</si>
  <si>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</si>
  <si>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</si>
  <si>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</si>
  <si>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</si>
  <si>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</si>
  <si>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</si>
  <si>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</si>
  <si>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</si>
  <si>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</si>
  <si>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</si>
  <si>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</si>
  <si>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</si>
  <si>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</si>
  <si>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</si>
  <si>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</si>
  <si>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</si>
  <si>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</si>
  <si>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</si>
  <si>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</si>
  <si>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</si>
  <si>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</si>
  <si>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</si>
  <si>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</si>
  <si>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</si>
  <si>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</si>
  <si>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</si>
  <si>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</si>
  <si>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</si>
  <si>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</si>
  <si>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</si>
  <si>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</si>
  <si>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</si>
  <si>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</si>
  <si>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</si>
  <si>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</si>
  <si>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</si>
  <si>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</si>
  <si>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</si>
  <si>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</si>
  <si>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</si>
  <si>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</si>
  <si>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</si>
  <si>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</si>
  <si>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</si>
  <si>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</si>
  <si>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</si>
  <si>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</si>
  <si>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</si>
  <si>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</si>
  <si>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</si>
  <si>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</si>
  <si>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</si>
  <si>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</si>
  <si>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</si>
  <si>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</si>
  <si>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</si>
  <si>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</si>
  <si>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</si>
  <si>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</si>
  <si>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</si>
  <si>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</si>
  <si>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</si>
  <si>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</si>
  <si>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</si>
  <si>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</si>
  <si>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</si>
  <si>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</si>
  <si>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</si>
  <si>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</si>
  <si>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</si>
  <si>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PER PIECE</t>
  </si>
  <si>
    <t>CASE RATE(room,labs,meds, etc.)</t>
  </si>
  <si>
    <t>PF CASE RATE</t>
  </si>
  <si>
    <t>CBC W/ PLATELET COUNT</t>
  </si>
  <si>
    <t>I20.0</t>
  </si>
  <si>
    <t>CREATININE</t>
  </si>
  <si>
    <t>PNSS</t>
  </si>
  <si>
    <t>1L</t>
  </si>
  <si>
    <t>TABLET</t>
  </si>
  <si>
    <t>INSYTE G22</t>
  </si>
  <si>
    <t>ECG</t>
  </si>
  <si>
    <t>MICROSET</t>
  </si>
  <si>
    <t>SGPT</t>
  </si>
  <si>
    <t>30MG</t>
  </si>
  <si>
    <t>VIAL</t>
  </si>
  <si>
    <t>IONIZED CALCIUM</t>
  </si>
  <si>
    <t>POTASSIUM</t>
  </si>
  <si>
    <t>CKMB</t>
  </si>
  <si>
    <t>GLUCOSE</t>
  </si>
  <si>
    <t>URIC ACID</t>
  </si>
  <si>
    <t>LIPID PROFILE</t>
  </si>
  <si>
    <t>CXR PA</t>
  </si>
  <si>
    <t xml:space="preserve">ENALAPRIL </t>
  </si>
  <si>
    <t>500MG</t>
  </si>
  <si>
    <t>ISOSOSRBIDE MONONITRATE</t>
  </si>
  <si>
    <t>CLOPIDOGREL</t>
  </si>
  <si>
    <t>75MG</t>
  </si>
  <si>
    <t>ATORVASTATIN</t>
  </si>
  <si>
    <t>20MG</t>
  </si>
  <si>
    <t>40MEQ</t>
  </si>
  <si>
    <t>10CC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</si>
</sst>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abSelected="1" zoomScaleNormal="100" workbookViewId="0">
      <selection activeCell="E59" sqref="E5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182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171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183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184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185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186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19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 t="s">
        <v>187</v>
      </c>
      <c r="D46" s="23"/>
      <c r="E46" s="55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45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46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54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20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 t="s">
        <v>176</v>
      </c>
      <c r="D58" s="28"/>
      <c r="E58" s="55">
        <v>1</v>
      </c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56</v>
      </c>
      <c r="C66" s="17" t="s">
        <v>52</v>
      </c>
      <c r="D66" s="17" t="s">
        <v>57</v>
      </c>
      <c r="E66" s="18" t="s">
        <v>58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167</v>
      </c>
      <c r="D67" s="55">
        <v>8400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168</v>
      </c>
      <c r="D68" s="55">
        <v>3600</v>
      </c>
      <c r="E68" s="55"/>
      <c r="F68" s="55">
        <v>1050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12000</v>
      </c>
      <c r="E78" s="59">
        <f>SUM(E67:E77)</f>
        <v>0</v>
      </c>
      <c r="F78" s="59">
        <f>SUM(F67:F77)</f>
        <v>1050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password="C2E9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D8" workbookViewId="0">
      <selection activeCell="J22" sqref="J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I20.0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165</v>
      </c>
      <c r="E11" s="27" t="s">
        <v>173</v>
      </c>
      <c r="F11" s="55">
        <v>1</v>
      </c>
      <c r="G11" s="55">
        <v>1</v>
      </c>
      <c r="H11" s="55">
        <v>2</v>
      </c>
      <c r="I11" s="55">
        <v>310</v>
      </c>
      <c r="J11" s="55">
        <f t="shared" ref="J11:J21" si="0">H11*I11</f>
        <v>620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188</v>
      </c>
      <c r="D12" s="27" t="s">
        <v>174</v>
      </c>
      <c r="E12" s="27" t="s">
        <v>189</v>
      </c>
      <c r="F12" s="55">
        <v>1</v>
      </c>
      <c r="G12" s="55">
        <v>1</v>
      </c>
      <c r="H12" s="55">
        <v>1</v>
      </c>
      <c r="I12" s="55">
        <v>25</v>
      </c>
      <c r="J12" s="55">
        <f t="shared" si="0"/>
        <v>25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190</v>
      </c>
      <c r="D13" s="27" t="s">
        <v>174</v>
      </c>
      <c r="E13" s="27" t="s">
        <v>179</v>
      </c>
      <c r="F13" s="55">
        <v>3</v>
      </c>
      <c r="G13" s="55">
        <v>1</v>
      </c>
      <c r="H13" s="55">
        <v>3</v>
      </c>
      <c r="I13" s="55">
        <v>30</v>
      </c>
      <c r="J13" s="55">
        <f t="shared" si="0"/>
        <v>90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174</v>
      </c>
      <c r="E14" s="27" t="s">
        <v>192</v>
      </c>
      <c r="F14" s="55">
        <v>1</v>
      </c>
      <c r="G14" s="55">
        <v>1</v>
      </c>
      <c r="H14" s="55">
        <v>2</v>
      </c>
      <c r="I14" s="55">
        <v>60</v>
      </c>
      <c r="J14" s="55">
        <f t="shared" si="0"/>
        <v>120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193</v>
      </c>
      <c r="D15" s="27" t="s">
        <v>174</v>
      </c>
      <c r="E15" s="27" t="s">
        <v>194</v>
      </c>
      <c r="F15" s="55">
        <v>1</v>
      </c>
      <c r="G15" s="55">
        <v>1</v>
      </c>
      <c r="H15" s="55">
        <v>1</v>
      </c>
      <c r="I15" s="55">
        <v>40</v>
      </c>
      <c r="J15" s="55">
        <f t="shared" si="0"/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182</v>
      </c>
      <c r="D16" s="27" t="s">
        <v>180</v>
      </c>
      <c r="E16" s="27" t="s">
        <v>195</v>
      </c>
      <c r="F16" s="55">
        <v>1</v>
      </c>
      <c r="G16" s="55">
        <v>1</v>
      </c>
      <c r="H16" s="55">
        <v>1</v>
      </c>
      <c r="I16" s="55">
        <v>300</v>
      </c>
      <c r="J16" s="55">
        <f t="shared" si="0"/>
        <v>300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8" sqref="F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I20.0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166</v>
      </c>
      <c r="E16" s="55">
        <v>1</v>
      </c>
      <c r="F16" s="55">
        <v>150</v>
      </c>
      <c r="G16" s="55">
        <f t="shared" ref="G16:G22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175</v>
      </c>
      <c r="D17" s="70" t="s">
        <v>166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196</v>
      </c>
      <c r="D18" s="70" t="s">
        <v>166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A14" sqref="A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I20.0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v>30</v>
      </c>
      <c r="H13" s="55">
        <v>50</v>
      </c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30</v>
      </c>
      <c r="H30" s="88">
        <f t="shared" si="1"/>
        <v>50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2018-06-06T11:33:51Z</dcterms:modified>
</cp:coreProperties>
</file>