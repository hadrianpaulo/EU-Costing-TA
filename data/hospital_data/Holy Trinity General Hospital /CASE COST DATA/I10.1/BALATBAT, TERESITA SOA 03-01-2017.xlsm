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data_general'!$B$1:$F$79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8" i="2" l="1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9" i="1"/>
  <c r="E79" i="1"/>
  <c r="D7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<sst xmlns="http://schemas.openxmlformats.org/spreadsheetml/2006/main" count="484" uniqueCount="194">
  <si>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</si>
  <si>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</si>
  <si>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</si>
  <si>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</si>
  <si>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</si>
  <si>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</si>
  <si>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</si>
  <si>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</si>
  <si>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</si>
  <si>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</si>
  <si>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</si>
  <si>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</si>
  <si>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</si>
  <si>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</si>
  <si>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</si>
  <si>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</si>
  <si>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</si>
  <si>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</si>
  <si>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</si>
  <si>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</si>
  <si>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</si>
  <si>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</si>
  <si>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</si>
  <si>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</si>
  <si>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</si>
  <si>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</si>
  <si>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</si>
  <si>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</si>
  <si>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</si>
  <si>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</si>
  <si>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</si>
  <si>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</si>
  <si>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</si>
  <si>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</si>
  <si>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</si>
  <si>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</si>
  <si>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</si>
  <si>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</si>
  <si>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</si>
  <si>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</si>
  <si>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</si>
  <si>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</si>
  <si>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</si>
  <si>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</si>
  <si>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</si>
  <si>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</si>
  <si>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</si>
  <si>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</si>
  <si>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</si>
  <si>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</si>
  <si>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</si>
  <si>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</si>
  <si>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</si>
  <si>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</si>
  <si>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</si>
  <si>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</si>
  <si>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</si>
  <si>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</si>
  <si>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</si>
  <si>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</si>
  <si>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</si>
  <si>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</si>
  <si>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</si>
  <si>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</si>
  <si>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</si>
  <si>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</si>
  <si>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</si>
  <si>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</si>
  <si>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</si>
  <si>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</si>
  <si>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</si>
  <si>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</si>
  <si>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</si>
  <si>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</si>
  <si>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</si>
  <si>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</si>
  <si>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</si>
  <si>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</si>
  <si>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</si>
  <si>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</si>
  <si>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</si>
  <si>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</si>
  <si>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</si>
  <si>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</si>
  <si>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</si>
  <si>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</si>
  <si>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</si>
  <si>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</si>
  <si>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</si>
  <si>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</si>
  <si>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</si>
  <si>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</si>
  <si>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</si>
  <si>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</si>
  <si>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</si>
  <si>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</si>
  <si>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</si>
  <si>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</si>
  <si>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</si>
  <si>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</si>
  <si>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</si>
  <si>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</si>
  <si>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</si>
  <si>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</si>
  <si>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</si>
  <si>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</si>
  <si>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</si>
  <si>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</si>
  <si>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</si>
  <si>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</si>
  <si>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</si>
  <si>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</si>
  <si>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</si>
  <si>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</si>
  <si>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</si>
  <si>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</si>
  <si>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</si>
  <si>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</si>
  <si>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</si>
  <si>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</si>
  <si>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</si>
  <si>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</si>
  <si>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</si>
  <si>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</si>
  <si>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</si>
  <si>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</si>
  <si>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</si>
  <si>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</si>
  <si>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</si>
  <si>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</si>
  <si>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</si>
  <si>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</si>
  <si>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</si>
  <si>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</si>
  <si>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</si>
  <si>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</si>
  <si>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</si>
  <si>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</si>
  <si>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</si>
  <si>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</si>
  <si>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</si>
  <si>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</si>
  <si>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</si>
  <si>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</si>
  <si>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</si>
  <si>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</si>
  <si>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</si>
  <si>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</si>
  <si>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</si>
  <si>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</si>
  <si>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</si>
  <si>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</si>
  <si>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</si>
  <si>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</si>
  <si>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</si>
  <si>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</si>
  <si>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</si>
  <si>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</si>
  <si>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</si>
  <si>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</si>
  <si>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</si>
  <si>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</si>
  <si>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</si>
  <si>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</si>
  <si>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</si>
  <si>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MACROSET</t>
  </si>
  <si>
    <t>PER PIECE</t>
  </si>
  <si>
    <t>CASE RATE (room,labs,meds, etc.)</t>
  </si>
  <si>
    <t>PF CASE RATE</t>
  </si>
  <si>
    <t>I10.1</t>
  </si>
  <si>
    <t>CBC W/ PLATELET COUNT</t>
  </si>
  <si>
    <t>ECG</t>
  </si>
  <si>
    <t>PNSS</t>
  </si>
  <si>
    <t>CLONIDINE</t>
  </si>
  <si>
    <t>IV FLUID</t>
  </si>
  <si>
    <t>TABLET</t>
  </si>
  <si>
    <t>75MG</t>
  </si>
  <si>
    <t>INSYTE G22</t>
  </si>
  <si>
    <t>CHOLESTEROL</t>
  </si>
  <si>
    <t>TRIGLYCERIDES</t>
  </si>
  <si>
    <t>1L</t>
  </si>
  <si>
    <t>5MG</t>
  </si>
  <si>
    <t>CREATININE</t>
  </si>
  <si>
    <t>SGPT</t>
  </si>
  <si>
    <t>URINALYSIS</t>
  </si>
  <si>
    <t>GLUCOSE</t>
  </si>
  <si>
    <t>CXR</t>
  </si>
  <si>
    <t>50MG</t>
  </si>
  <si>
    <t>URIC ACID</t>
  </si>
  <si>
    <t xml:space="preserve">LEVOFLOXACIN </t>
  </si>
  <si>
    <t>500MG</t>
  </si>
  <si>
    <t>AMLODIPINE</t>
  </si>
  <si>
    <t xml:space="preserve">LOSARTAN </t>
  </si>
  <si>
    <t>3CC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</si>
</sst>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67</xdr:row>
          <xdr:rowOff>19050</xdr:rowOff>
        </xdr:from>
        <xdr:to>
          <xdr:col>1</xdr:col>
          <xdr:colOff>733425</xdr:colOff>
          <xdr:row>67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67</xdr:row>
          <xdr:rowOff>19050</xdr:rowOff>
        </xdr:from>
        <xdr:to>
          <xdr:col>1</xdr:col>
          <xdr:colOff>1504950</xdr:colOff>
          <xdr:row>67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6"/>
  <sheetViews>
    <sheetView topLeftCell="A63" zoomScaleNormal="100" workbookViewId="0">
      <selection activeCell="F69" sqref="F6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182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183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188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178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179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170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184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8" t="s">
        <v>19</v>
      </c>
      <c r="C46" s="119"/>
      <c r="D46" s="116"/>
      <c r="E46" s="119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2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3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4</v>
      </c>
      <c r="C50" s="27"/>
      <c r="D50" s="23"/>
      <c r="E50" s="55"/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8" t="s">
        <v>45</v>
      </c>
      <c r="C51" s="119"/>
      <c r="D51" s="116"/>
      <c r="E51" s="119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4" t="s">
        <v>46</v>
      </c>
      <c r="C52" s="13"/>
      <c r="D52" s="13"/>
      <c r="E52" s="16"/>
      <c r="F52" s="13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5" t="s">
        <v>54</v>
      </c>
      <c r="C53" s="116"/>
      <c r="D53" s="116"/>
      <c r="E53" s="116"/>
      <c r="F53" s="11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1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30">
        <v>2</v>
      </c>
      <c r="C55" s="31"/>
      <c r="D55" s="32"/>
      <c r="E55" s="57"/>
      <c r="F55" s="5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20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thickBot="1" x14ac:dyDescent="0.35">
      <c r="A58" s="1"/>
      <c r="B58" s="115" t="s">
        <v>20</v>
      </c>
      <c r="C58" s="116"/>
      <c r="D58" s="116"/>
      <c r="E58" s="116"/>
      <c r="F58" s="117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1</v>
      </c>
      <c r="C59" s="27" t="s">
        <v>171</v>
      </c>
      <c r="D59" s="28"/>
      <c r="E59" s="55">
        <v>1</v>
      </c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2</v>
      </c>
      <c r="C60" s="27" t="s">
        <v>186</v>
      </c>
      <c r="D60" s="28"/>
      <c r="E60" s="55">
        <v>1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3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4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5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6</v>
      </c>
      <c r="C64" s="27"/>
      <c r="D64" s="28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5"/>
      <c r="C65" s="25"/>
      <c r="D65" s="25"/>
      <c r="E65" s="25"/>
      <c r="F65" s="2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57.75" customHeight="1" thickBot="1" x14ac:dyDescent="0.35">
      <c r="A67" s="1"/>
      <c r="B67" s="17" t="s">
        <v>56</v>
      </c>
      <c r="C67" s="17" t="s">
        <v>52</v>
      </c>
      <c r="D67" s="17" t="s">
        <v>57</v>
      </c>
      <c r="E67" s="18" t="s">
        <v>58</v>
      </c>
      <c r="F67" s="19" t="s">
        <v>21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2">
        <v>1</v>
      </c>
      <c r="C68" s="27" t="s">
        <v>167</v>
      </c>
      <c r="D68" s="55">
        <v>6300</v>
      </c>
      <c r="E68" s="55"/>
      <c r="F68" s="55">
        <v>245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2</v>
      </c>
      <c r="C69" s="27" t="s">
        <v>168</v>
      </c>
      <c r="D69" s="55">
        <v>2700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3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4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5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6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7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8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9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10</v>
      </c>
      <c r="C77" s="27"/>
      <c r="D77" s="55"/>
      <c r="E77" s="55"/>
      <c r="F77" s="5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4.9000000000000004" customHeight="1" thickBot="1" x14ac:dyDescent="0.35">
      <c r="A78" s="1"/>
      <c r="B78" s="1"/>
      <c r="C78" s="1"/>
      <c r="D78" s="58"/>
      <c r="E78" s="58"/>
      <c r="F78" s="58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thickTop="1" x14ac:dyDescent="0.3">
      <c r="A79" s="1"/>
      <c r="B79" s="11"/>
      <c r="C79" s="4" t="s">
        <v>22</v>
      </c>
      <c r="D79" s="59">
        <f>SUM(D68:D78)</f>
        <v>9000</v>
      </c>
      <c r="E79" s="59">
        <f>SUM(E68:E78)</f>
        <v>0</v>
      </c>
      <c r="F79" s="59">
        <f>SUM(F68:F78)</f>
        <v>245</v>
      </c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</sheetData>
  <sheetProtection password="C2E9" sheet="1" objects="1" scenarios="1" formatColumns="0" formatRows="0" sort="0" autoFilter="0"/>
  <mergeCells count="12">
    <mergeCell ref="B58:F58"/>
    <mergeCell ref="B51:F51"/>
    <mergeCell ref="B12:F12"/>
    <mergeCell ref="B13:F13"/>
    <mergeCell ref="B14:F14"/>
    <mergeCell ref="B15:F15"/>
    <mergeCell ref="B18:F18"/>
    <mergeCell ref="B22:F22"/>
    <mergeCell ref="B33:F33"/>
    <mergeCell ref="B28:F28"/>
    <mergeCell ref="B46:F46"/>
    <mergeCell ref="B53:F53"/>
  </mergeCells>
  <dataValidations count="1">
    <dataValidation type="decimal" operator="greaterThanOrEqual" allowBlank="1" showInputMessage="1" showErrorMessage="1" sqref="E32 E47:E50 E52 E23:F27 E54:F57 E59:F64 D68:F77 E34:E36 E37:E4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67</xdr:row>
                    <xdr:rowOff>19050</xdr:rowOff>
                  </from>
                  <to>
                    <xdr:col>1</xdr:col>
                    <xdr:colOff>733425</xdr:colOff>
                    <xdr:row>67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67</xdr:row>
                    <xdr:rowOff>19050</xdr:rowOff>
                  </from>
                  <to>
                    <xdr:col>1</xdr:col>
                    <xdr:colOff>1504950</xdr:colOff>
                    <xdr:row>67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I10.1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189</v>
      </c>
      <c r="D11" s="27" t="s">
        <v>175</v>
      </c>
      <c r="E11" s="27" t="s">
        <v>190</v>
      </c>
      <c r="F11" s="55">
        <v>3</v>
      </c>
      <c r="G11" s="55">
        <v>1</v>
      </c>
      <c r="H11" s="55">
        <v>3</v>
      </c>
      <c r="I11" s="55">
        <v>60</v>
      </c>
      <c r="J11" s="55">
        <f t="shared" ref="J11:J18" si="0">H11*I11</f>
        <v>180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172</v>
      </c>
      <c r="D12" s="27" t="s">
        <v>174</v>
      </c>
      <c r="E12" s="27" t="s">
        <v>180</v>
      </c>
      <c r="F12" s="55">
        <v>1</v>
      </c>
      <c r="G12" s="55">
        <v>1</v>
      </c>
      <c r="H12" s="55">
        <v>1</v>
      </c>
      <c r="I12" s="55">
        <v>260</v>
      </c>
      <c r="J12" s="55">
        <f t="shared" si="0"/>
        <v>260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191</v>
      </c>
      <c r="D13" s="27" t="s">
        <v>175</v>
      </c>
      <c r="E13" s="27" t="s">
        <v>181</v>
      </c>
      <c r="F13" s="55">
        <v>3</v>
      </c>
      <c r="G13" s="55">
        <v>1</v>
      </c>
      <c r="H13" s="55">
        <v>3</v>
      </c>
      <c r="I13" s="55">
        <v>100</v>
      </c>
      <c r="J13" s="55">
        <f t="shared" si="0"/>
        <v>300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192</v>
      </c>
      <c r="D14" s="27" t="s">
        <v>175</v>
      </c>
      <c r="E14" s="27" t="s">
        <v>187</v>
      </c>
      <c r="F14" s="55">
        <v>3</v>
      </c>
      <c r="G14" s="55">
        <v>1</v>
      </c>
      <c r="H14" s="55">
        <v>3</v>
      </c>
      <c r="I14" s="55">
        <v>150</v>
      </c>
      <c r="J14" s="55">
        <f t="shared" si="0"/>
        <v>450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173</v>
      </c>
      <c r="D15" s="27" t="s">
        <v>175</v>
      </c>
      <c r="E15" s="27" t="s">
        <v>176</v>
      </c>
      <c r="F15" s="55">
        <v>3</v>
      </c>
      <c r="G15" s="55">
        <v>1</v>
      </c>
      <c r="H15" s="55">
        <v>3</v>
      </c>
      <c r="I15" s="55">
        <v>100</v>
      </c>
      <c r="J15" s="55">
        <f t="shared" si="0"/>
        <v>300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E19" sqref="E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165</v>
      </c>
      <c r="D16" s="70" t="s">
        <v>166</v>
      </c>
      <c r="E16" s="55">
        <v>1</v>
      </c>
      <c r="F16" s="55">
        <v>200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177</v>
      </c>
      <c r="D17" s="70" t="s">
        <v>166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193</v>
      </c>
      <c r="D18" s="70" t="s">
        <v>166</v>
      </c>
      <c r="E18" s="55">
        <v>3</v>
      </c>
      <c r="F18" s="55">
        <v>50</v>
      </c>
      <c r="G18" s="55">
        <f>E18*F18</f>
        <v>150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15</v>
      </c>
      <c r="E13" s="55"/>
      <c r="F13" s="55"/>
      <c r="G13" s="55">
        <v>35</v>
      </c>
      <c r="H13" s="55">
        <v>55</v>
      </c>
      <c r="I13" s="55"/>
      <c r="J13" s="55"/>
      <c r="K13" s="55"/>
      <c r="L13" s="55"/>
      <c r="M13" s="55"/>
      <c r="N13" s="55"/>
      <c r="P13" s="88">
        <f>SUM(D13:N13)</f>
        <v>105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15</v>
      </c>
      <c r="E30" s="88">
        <f t="shared" si="1"/>
        <v>0</v>
      </c>
      <c r="F30" s="88">
        <f t="shared" si="1"/>
        <v>0</v>
      </c>
      <c r="G30" s="88">
        <f t="shared" si="1"/>
        <v>35</v>
      </c>
      <c r="H30" s="88">
        <f t="shared" si="1"/>
        <v>55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105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2018-06-04T16:11:48Z</dcterms:modified>
</cp:coreProperties>
</file>