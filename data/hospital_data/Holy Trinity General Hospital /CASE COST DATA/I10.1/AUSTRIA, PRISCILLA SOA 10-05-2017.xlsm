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data_general'!$B$1:$F$82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8" i="2" l="1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2" i="1"/>
  <c r="E82" i="1"/>
  <c r="D82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<sst xmlns="http://schemas.openxmlformats.org/spreadsheetml/2006/main" count="483" uniqueCount="195">
  <si>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</si>
  <si>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</si>
  <si>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</si>
  <si>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</si>
  <si>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</si>
  <si>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</si>
  <si>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</si>
  <si>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</si>
  <si>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</si>
  <si>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</si>
  <si>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</si>
  <si>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</si>
  <si>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</si>
  <si>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</si>
  <si>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</si>
  <si>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</si>
  <si>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</si>
  <si>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</si>
  <si>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</si>
  <si>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</si>
  <si>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</si>
  <si>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</si>
  <si>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</si>
  <si>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</si>
  <si>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</si>
  <si>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</si>
  <si>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</si>
  <si>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</si>
  <si>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</si>
  <si>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</si>
  <si>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</si>
  <si>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</si>
  <si>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</si>
  <si>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</si>
  <si>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</si>
  <si>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</si>
  <si>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</si>
  <si>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</si>
  <si>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</si>
  <si>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</si>
  <si>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</si>
  <si>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</si>
  <si>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</si>
  <si>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</si>
  <si>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</si>
  <si>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</si>
  <si>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</si>
  <si>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</si>
  <si>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</si>
  <si>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</si>
  <si>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</si>
  <si>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</si>
  <si>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</si>
  <si>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</si>
  <si>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</si>
  <si>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</si>
  <si>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</si>
  <si>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</si>
  <si>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</si>
  <si>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</si>
  <si>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</si>
  <si>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</si>
  <si>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</si>
  <si>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</si>
  <si>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</si>
  <si>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</si>
  <si>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</si>
  <si>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</si>
  <si>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</si>
  <si>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</si>
  <si>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</si>
  <si>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</si>
  <si>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</si>
  <si>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</si>
  <si>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</si>
  <si>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</si>
  <si>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</si>
  <si>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</si>
  <si>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</si>
  <si>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</si>
  <si>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</si>
  <si>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</si>
  <si>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</si>
  <si>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</si>
  <si>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</si>
  <si>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</si>
  <si>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</si>
  <si>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</si>
  <si>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</si>
  <si>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</si>
  <si>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</si>
  <si>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</si>
  <si>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</si>
  <si>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</si>
  <si>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</si>
  <si>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</si>
  <si>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</si>
  <si>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</si>
  <si>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</si>
  <si>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</si>
  <si>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</si>
  <si>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</si>
  <si>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</si>
  <si>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</si>
  <si>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</si>
  <si>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</si>
  <si>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</si>
  <si>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</si>
  <si>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</si>
  <si>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</si>
  <si>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</si>
  <si>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</si>
  <si>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</si>
  <si>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</si>
  <si>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</si>
  <si>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</si>
  <si>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</si>
  <si>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</si>
  <si>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</si>
  <si>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</si>
  <si>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</si>
  <si>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</si>
  <si>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</si>
  <si>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</si>
  <si>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</si>
  <si>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</si>
  <si>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</si>
  <si>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</si>
  <si>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</si>
  <si>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</si>
  <si>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</si>
  <si>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</si>
  <si>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</si>
  <si>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</si>
  <si>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</si>
  <si>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</si>
  <si>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</si>
  <si>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</si>
  <si>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</si>
  <si>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</si>
  <si>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</si>
  <si>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</si>
  <si>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</si>
  <si>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</si>
  <si>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</si>
  <si>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</si>
  <si>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</si>
  <si>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</si>
  <si>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</si>
  <si>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</si>
  <si>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</si>
  <si>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</si>
  <si>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</si>
  <si>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</si>
  <si>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</si>
  <si>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</si>
  <si>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</si>
  <si>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</si>
  <si>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</si>
  <si>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</si>
  <si>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</si>
  <si>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</si>
  <si>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</si>
  <si>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</si>
  <si>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</si>
  <si>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</si>
  <si>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</si>
  <si>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</si>
  <si>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PF CASE RATE</t>
  </si>
  <si>
    <t>I10.1</t>
  </si>
  <si>
    <t>CBC W/ PLATELET COUNT</t>
  </si>
  <si>
    <t>ELECTROLYTES (NA,K)</t>
  </si>
  <si>
    <t>ECG</t>
  </si>
  <si>
    <t>PNSS</t>
  </si>
  <si>
    <t>CLONIDINE</t>
  </si>
  <si>
    <t>IV FLUID</t>
  </si>
  <si>
    <t>TABLET</t>
  </si>
  <si>
    <t>75MG</t>
  </si>
  <si>
    <t>INSYTE G22</t>
  </si>
  <si>
    <t>5CC SYRINGE</t>
  </si>
  <si>
    <t>AMPOULE</t>
  </si>
  <si>
    <t>1L</t>
  </si>
  <si>
    <t>URINALYSIS</t>
  </si>
  <si>
    <t>CREATININE</t>
  </si>
  <si>
    <t>IONIZED CALCIUM</t>
  </si>
  <si>
    <t>SGPT</t>
  </si>
  <si>
    <t>LIPID PROFILE</t>
  </si>
  <si>
    <t>GLUCOSE</t>
  </si>
  <si>
    <t>URIC ACID</t>
  </si>
  <si>
    <t>CXR</t>
  </si>
  <si>
    <t>SENIOR</t>
  </si>
  <si>
    <t>FUROSEMIDE</t>
  </si>
  <si>
    <t>20MG/2ML</t>
  </si>
  <si>
    <t>OLMESARTAN+AMLODIPINE</t>
  </si>
  <si>
    <t>20MG/5MG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</si>
</sst>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19050</xdr:rowOff>
        </xdr:from>
        <xdr:to>
          <xdr:col>1</xdr:col>
          <xdr:colOff>733425</xdr:colOff>
          <xdr:row>70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70</xdr:row>
          <xdr:rowOff>19050</xdr:rowOff>
        </xdr:from>
        <xdr:to>
          <xdr:col>1</xdr:col>
          <xdr:colOff>1504950</xdr:colOff>
          <xdr:row>70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9"/>
  <sheetViews>
    <sheetView tabSelected="1" topLeftCell="A60" zoomScaleNormal="100" workbookViewId="0">
      <selection activeCell="F74" sqref="F7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184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185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186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187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188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15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8" t="s">
        <v>19</v>
      </c>
      <c r="C49" s="119"/>
      <c r="D49" s="116"/>
      <c r="E49" s="119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3"/>
      <c r="E51" s="55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3"/>
      <c r="E52" s="55"/>
      <c r="F52" s="24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3"/>
      <c r="E53" s="55"/>
      <c r="F53" s="24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8" t="s">
        <v>45</v>
      </c>
      <c r="C54" s="119"/>
      <c r="D54" s="116"/>
      <c r="E54" s="119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4" t="s">
        <v>46</v>
      </c>
      <c r="C55" s="13"/>
      <c r="D55" s="13"/>
      <c r="E55" s="16"/>
      <c r="F55" s="13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15" t="s">
        <v>54</v>
      </c>
      <c r="C56" s="116"/>
      <c r="D56" s="116"/>
      <c r="E56" s="116"/>
      <c r="F56" s="11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30">
        <v>1</v>
      </c>
      <c r="C57" s="31"/>
      <c r="D57" s="32"/>
      <c r="E57" s="57"/>
      <c r="F57" s="5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30">
        <v>2</v>
      </c>
      <c r="C58" s="31"/>
      <c r="D58" s="32"/>
      <c r="E58" s="57"/>
      <c r="F58" s="57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20"/>
      <c r="B59" s="26">
        <v>3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20"/>
      <c r="B60" s="26">
        <v>4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thickBot="1" x14ac:dyDescent="0.35">
      <c r="A61" s="1"/>
      <c r="B61" s="115" t="s">
        <v>20</v>
      </c>
      <c r="C61" s="116"/>
      <c r="D61" s="116"/>
      <c r="E61" s="116"/>
      <c r="F61" s="117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1</v>
      </c>
      <c r="C62" s="27" t="s">
        <v>172</v>
      </c>
      <c r="D62" s="28"/>
      <c r="E62" s="55">
        <v>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2</v>
      </c>
      <c r="C63" s="27" t="s">
        <v>189</v>
      </c>
      <c r="D63" s="28"/>
      <c r="E63" s="55">
        <v>1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3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4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6">
        <v>5</v>
      </c>
      <c r="C66" s="27"/>
      <c r="D66" s="28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26">
        <v>6</v>
      </c>
      <c r="C67" s="27"/>
      <c r="D67" s="28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25"/>
      <c r="C68" s="25"/>
      <c r="D68" s="25"/>
      <c r="E68" s="25"/>
      <c r="F68" s="2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57.75" customHeight="1" thickBot="1" x14ac:dyDescent="0.35">
      <c r="A70" s="1"/>
      <c r="B70" s="17" t="s">
        <v>56</v>
      </c>
      <c r="C70" s="17" t="s">
        <v>52</v>
      </c>
      <c r="D70" s="17" t="s">
        <v>57</v>
      </c>
      <c r="E70" s="18" t="s">
        <v>58</v>
      </c>
      <c r="F70" s="19" t="s">
        <v>21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2">
        <v>1</v>
      </c>
      <c r="C71" s="27" t="s">
        <v>167</v>
      </c>
      <c r="D71" s="55">
        <v>6300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2</v>
      </c>
      <c r="C72" s="27" t="s">
        <v>190</v>
      </c>
      <c r="D72" s="55"/>
      <c r="E72" s="55">
        <v>995</v>
      </c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3</v>
      </c>
      <c r="C73" s="27" t="s">
        <v>168</v>
      </c>
      <c r="D73" s="55">
        <v>2700</v>
      </c>
      <c r="E73" s="55"/>
      <c r="F73" s="55">
        <v>50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4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5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6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7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8</v>
      </c>
      <c r="C78" s="27"/>
      <c r="D78" s="55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0">
        <v>9</v>
      </c>
      <c r="C79" s="27"/>
      <c r="D79" s="55"/>
      <c r="E79" s="55"/>
      <c r="F79" s="55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0">
        <v>10</v>
      </c>
      <c r="C80" s="27"/>
      <c r="D80" s="55"/>
      <c r="E80" s="55"/>
      <c r="F80" s="55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4.9000000000000004" customHeight="1" thickBot="1" x14ac:dyDescent="0.35">
      <c r="A81" s="1"/>
      <c r="B81" s="1"/>
      <c r="C81" s="1"/>
      <c r="D81" s="58"/>
      <c r="E81" s="58"/>
      <c r="F81" s="58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thickTop="1" x14ac:dyDescent="0.3">
      <c r="A82" s="1"/>
      <c r="B82" s="11"/>
      <c r="C82" s="4" t="s">
        <v>22</v>
      </c>
      <c r="D82" s="59">
        <f>SUM(D71:D81)</f>
        <v>9000</v>
      </c>
      <c r="E82" s="59">
        <f>SUM(E71:E81)</f>
        <v>995</v>
      </c>
      <c r="F82" s="59">
        <f>SUM(F71:F81)</f>
        <v>50</v>
      </c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1:25" ht="13.5" customHeight="1" x14ac:dyDescent="0.3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1:25" ht="13.5" customHeight="1" x14ac:dyDescent="0.3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</sheetData>
  <sheetProtection password="C2E9" sheet="1" objects="1" scenarios="1" formatColumns="0" formatRows="0" sort="0" autoFilter="0"/>
  <mergeCells count="12">
    <mergeCell ref="B61:F61"/>
    <mergeCell ref="B54:F54"/>
    <mergeCell ref="B12:F12"/>
    <mergeCell ref="B13:F13"/>
    <mergeCell ref="B14:F14"/>
    <mergeCell ref="B15:F15"/>
    <mergeCell ref="B18:F18"/>
    <mergeCell ref="B22:F22"/>
    <mergeCell ref="B33:F33"/>
    <mergeCell ref="B28:F28"/>
    <mergeCell ref="B49:F49"/>
    <mergeCell ref="B56:F56"/>
  </mergeCells>
  <dataValidations count="1">
    <dataValidation type="decimal" operator="greaterThanOrEqual" allowBlank="1" showInputMessage="1" showErrorMessage="1" sqref="E32 E50:E53 E55 E23:F27 E57:F60 E62:F67 D71:F80 E34:E36 E37:E4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70</xdr:row>
                    <xdr:rowOff>19050</xdr:rowOff>
                  </from>
                  <to>
                    <xdr:col>1</xdr:col>
                    <xdr:colOff>733425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70</xdr:row>
                    <xdr:rowOff>19050</xdr:rowOff>
                  </from>
                  <to>
                    <xdr:col>1</xdr:col>
                    <xdr:colOff>1504950</xdr:colOff>
                    <xdr:row>70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G15" sqref="G15:G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175</v>
      </c>
      <c r="E11" s="27" t="s">
        <v>181</v>
      </c>
      <c r="F11" s="55">
        <v>1</v>
      </c>
      <c r="G11" s="55">
        <v>1</v>
      </c>
      <c r="H11" s="55">
        <v>1</v>
      </c>
      <c r="I11" s="55">
        <v>310</v>
      </c>
      <c r="J11" s="55">
        <f t="shared" ref="J11:J18" si="0">H11*I11</f>
        <v>310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176</v>
      </c>
      <c r="E12" s="27" t="s">
        <v>177</v>
      </c>
      <c r="F12" s="55">
        <v>1</v>
      </c>
      <c r="G12" s="55">
        <v>1</v>
      </c>
      <c r="H12" s="55">
        <v>1</v>
      </c>
      <c r="I12" s="55">
        <v>35</v>
      </c>
      <c r="J12" s="55">
        <f t="shared" si="0"/>
        <v>35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191</v>
      </c>
      <c r="D13" s="27" t="s">
        <v>180</v>
      </c>
      <c r="E13" s="27" t="s">
        <v>192</v>
      </c>
      <c r="F13" s="55">
        <v>2</v>
      </c>
      <c r="G13" s="55">
        <v>1</v>
      </c>
      <c r="H13" s="55">
        <v>2</v>
      </c>
      <c r="I13" s="55">
        <v>250</v>
      </c>
      <c r="J13" s="55">
        <f t="shared" si="0"/>
        <v>500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193</v>
      </c>
      <c r="D14" s="27" t="s">
        <v>176</v>
      </c>
      <c r="E14" s="27" t="s">
        <v>194</v>
      </c>
      <c r="F14" s="55">
        <v>1</v>
      </c>
      <c r="G14" s="55">
        <v>1</v>
      </c>
      <c r="H14" s="55">
        <v>1</v>
      </c>
      <c r="I14" s="55">
        <v>60</v>
      </c>
      <c r="J14" s="55">
        <f t="shared" si="0"/>
        <v>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22" sqref="G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166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166</v>
      </c>
      <c r="E18" s="55">
        <v>1</v>
      </c>
      <c r="F18" s="55">
        <v>20</v>
      </c>
      <c r="G18" s="55">
        <f>E18*F18</f>
        <v>20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45</v>
      </c>
      <c r="H13" s="55">
        <v>75</v>
      </c>
      <c r="I13" s="55"/>
      <c r="J13" s="55"/>
      <c r="K13" s="55"/>
      <c r="L13" s="55"/>
      <c r="M13" s="55"/>
      <c r="N13" s="55"/>
      <c r="P13" s="88">
        <f>SUM(D13:N13)</f>
        <v>140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45</v>
      </c>
      <c r="H30" s="88">
        <f t="shared" si="1"/>
        <v>75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2018-06-04T14:53:48Z</dcterms:modified>
</cp:coreProperties>
</file>