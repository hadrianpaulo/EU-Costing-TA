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data_general'!$B$1:$F$76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6" i="1"/>
  <c r="E76" i="1"/>
  <c r="D76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<sst xmlns="http://schemas.openxmlformats.org/spreadsheetml/2006/main" count="477" uniqueCount="191">
  <si>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</si>
  <si>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</si>
  <si>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</si>
  <si>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</si>
  <si>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</si>
  <si>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</si>
  <si>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</si>
  <si>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</si>
  <si>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</si>
  <si>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</si>
  <si>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</si>
  <si>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</si>
  <si>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</si>
  <si>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</si>
  <si>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</si>
  <si>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</si>
  <si>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</si>
  <si>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</si>
  <si>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</si>
  <si>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</si>
  <si>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</si>
  <si>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</si>
  <si>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</si>
  <si>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</si>
  <si>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</si>
  <si>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</si>
  <si>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</si>
  <si>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</si>
  <si>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</si>
  <si>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</si>
  <si>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</si>
  <si>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</si>
  <si>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</si>
  <si>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</si>
  <si>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</si>
  <si>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</si>
  <si>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</si>
  <si>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</si>
  <si>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</si>
  <si>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</si>
  <si>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</si>
  <si>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</si>
  <si>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</si>
  <si>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</si>
  <si>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</si>
  <si>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</si>
  <si>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</si>
  <si>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</si>
  <si>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</si>
  <si>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</si>
  <si>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</si>
  <si>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</si>
  <si>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</si>
  <si>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</si>
  <si>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</si>
  <si>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</si>
  <si>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</si>
  <si>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</si>
  <si>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</si>
  <si>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</si>
  <si>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</si>
  <si>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</si>
  <si>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</si>
  <si>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</si>
  <si>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</si>
  <si>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</si>
  <si>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</si>
  <si>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</si>
  <si>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</si>
  <si>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</si>
  <si>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</si>
  <si>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</si>
  <si>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</si>
  <si>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</si>
  <si>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</si>
  <si>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</si>
  <si>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</si>
  <si>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</si>
  <si>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</si>
  <si>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</si>
  <si>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</si>
  <si>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</si>
  <si>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</si>
  <si>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</si>
  <si>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</si>
  <si>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</si>
  <si>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</si>
  <si>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</si>
  <si>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</si>
  <si>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</si>
  <si>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</si>
  <si>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</si>
  <si>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</si>
  <si>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</si>
  <si>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</si>
  <si>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</si>
  <si>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</si>
  <si>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</si>
  <si>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</si>
  <si>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</si>
  <si>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</si>
  <si>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</si>
  <si>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</si>
  <si>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</si>
  <si>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</si>
  <si>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</si>
  <si>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</si>
  <si>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</si>
  <si>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</si>
  <si>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</si>
  <si>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</si>
  <si>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</si>
  <si>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</si>
  <si>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</si>
  <si>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</si>
  <si>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</si>
  <si>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</si>
  <si>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</si>
  <si>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</si>
  <si>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</si>
  <si>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</si>
  <si>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</si>
  <si>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</si>
  <si>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</si>
  <si>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</si>
  <si>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</si>
  <si>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</si>
  <si>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</si>
  <si>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</si>
  <si>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</si>
  <si>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</si>
  <si>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</si>
  <si>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</si>
  <si>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</si>
  <si>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</si>
  <si>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</si>
  <si>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</si>
  <si>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</si>
  <si>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</si>
  <si>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</si>
  <si>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</si>
  <si>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</si>
  <si>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</si>
  <si>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</si>
  <si>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</si>
  <si>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</si>
  <si>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</si>
  <si>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</si>
  <si>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</si>
  <si>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</si>
  <si>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</si>
  <si>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</si>
  <si>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</si>
  <si>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</si>
  <si>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</si>
  <si>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</si>
  <si>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</si>
  <si>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</si>
  <si>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</si>
  <si>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</si>
  <si>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</si>
  <si>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</si>
  <si>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</si>
  <si>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</si>
  <si>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</si>
  <si>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</si>
  <si>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</si>
  <si>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</si>
  <si>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PF CASE RATE</t>
  </si>
  <si>
    <t>I10.1</t>
  </si>
  <si>
    <t>CBC W/ PLATELET COUNT</t>
  </si>
  <si>
    <t>CHOLESTEROL</t>
  </si>
  <si>
    <t>TRIGLYCERIDES</t>
  </si>
  <si>
    <t>ECG</t>
  </si>
  <si>
    <t>PNSS</t>
  </si>
  <si>
    <t>IV FLUID</t>
  </si>
  <si>
    <t>TABLET</t>
  </si>
  <si>
    <t>1L</t>
  </si>
  <si>
    <t>5MG</t>
  </si>
  <si>
    <t>INSYTE G22</t>
  </si>
  <si>
    <t>CREATININE</t>
  </si>
  <si>
    <t>SGPT</t>
  </si>
  <si>
    <t>URINALYSIS</t>
  </si>
  <si>
    <t>GLUCOSE</t>
  </si>
  <si>
    <t>URIC ACID</t>
  </si>
  <si>
    <t>CXR</t>
  </si>
  <si>
    <t>SENIOR</t>
  </si>
  <si>
    <t xml:space="preserve">OMEPRAZOLE </t>
  </si>
  <si>
    <t>CAPSULE</t>
  </si>
  <si>
    <t>40MG</t>
  </si>
  <si>
    <t xml:space="preserve">AMLODIPINE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</si>
</sst>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64</xdr:row>
          <xdr:rowOff>19050</xdr:rowOff>
        </xdr:from>
        <xdr:to>
          <xdr:col>1</xdr:col>
          <xdr:colOff>733425</xdr:colOff>
          <xdr:row>64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1504950</xdr:colOff>
          <xdr:row>64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3"/>
  <sheetViews>
    <sheetView zoomScaleNormal="100" workbookViewId="0">
      <selection activeCell="K23" sqref="K2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181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182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183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184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171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172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19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</v>
      </c>
      <c r="C44" s="27"/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4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45</v>
      </c>
      <c r="C48" s="119"/>
      <c r="D48" s="116"/>
      <c r="E48" s="119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14" t="s">
        <v>46</v>
      </c>
      <c r="C49" s="13"/>
      <c r="D49" s="13"/>
      <c r="E49" s="16"/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54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1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2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thickBot="1" x14ac:dyDescent="0.35">
      <c r="A55" s="1"/>
      <c r="B55" s="115" t="s">
        <v>20</v>
      </c>
      <c r="C55" s="116"/>
      <c r="D55" s="116"/>
      <c r="E55" s="116"/>
      <c r="F55" s="11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1</v>
      </c>
      <c r="C56" s="27" t="s">
        <v>173</v>
      </c>
      <c r="D56" s="28"/>
      <c r="E56" s="55">
        <v>1</v>
      </c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2</v>
      </c>
      <c r="C57" s="27" t="s">
        <v>185</v>
      </c>
      <c r="D57" s="28"/>
      <c r="E57" s="55">
        <v>1</v>
      </c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3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4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5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6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5"/>
      <c r="C62" s="25"/>
      <c r="D62" s="25"/>
      <c r="E62" s="25"/>
      <c r="F62" s="2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57.75" customHeight="1" thickBot="1" x14ac:dyDescent="0.35">
      <c r="A64" s="1"/>
      <c r="B64" s="17" t="s">
        <v>56</v>
      </c>
      <c r="C64" s="17" t="s">
        <v>52</v>
      </c>
      <c r="D64" s="17" t="s">
        <v>57</v>
      </c>
      <c r="E64" s="18" t="s">
        <v>58</v>
      </c>
      <c r="F64" s="19" t="s">
        <v>21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2">
        <v>1</v>
      </c>
      <c r="C65" s="27" t="s">
        <v>167</v>
      </c>
      <c r="D65" s="55">
        <v>6300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2</v>
      </c>
      <c r="C66" s="27" t="s">
        <v>186</v>
      </c>
      <c r="D66" s="55"/>
      <c r="E66" s="55">
        <v>51</v>
      </c>
      <c r="F66" s="55">
        <v>204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3</v>
      </c>
      <c r="C67" s="27" t="s">
        <v>168</v>
      </c>
      <c r="D67" s="55">
        <v>2700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4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5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6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7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8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9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10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4.9000000000000004" customHeight="1" thickBot="1" x14ac:dyDescent="0.35">
      <c r="A75" s="1"/>
      <c r="B75" s="1"/>
      <c r="C75" s="1"/>
      <c r="D75" s="58"/>
      <c r="E75" s="58"/>
      <c r="F75" s="58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thickTop="1" x14ac:dyDescent="0.3">
      <c r="A76" s="1"/>
      <c r="B76" s="11"/>
      <c r="C76" s="4" t="s">
        <v>22</v>
      </c>
      <c r="D76" s="59">
        <f>SUM(D65:D75)</f>
        <v>9000</v>
      </c>
      <c r="E76" s="59">
        <f>SUM(E65:E75)</f>
        <v>51</v>
      </c>
      <c r="F76" s="59">
        <f>SUM(F65:F75)</f>
        <v>204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</sheetData>
  <sheetProtection password="C2E9" sheet="1" objects="1" scenarios="1" formatColumns="0" formatRows="0" sort="0" autoFilter="0"/>
  <mergeCells count="12">
    <mergeCell ref="B55:F55"/>
    <mergeCell ref="B48:F48"/>
    <mergeCell ref="B12:F12"/>
    <mergeCell ref="B13:F13"/>
    <mergeCell ref="B14:F14"/>
    <mergeCell ref="B15:F15"/>
    <mergeCell ref="B18:F18"/>
    <mergeCell ref="B22:F22"/>
    <mergeCell ref="B33:F33"/>
    <mergeCell ref="B28:F28"/>
    <mergeCell ref="B43:F43"/>
    <mergeCell ref="B50:F50"/>
  </mergeCells>
  <dataValidations count="1">
    <dataValidation type="decimal" operator="greaterThanOrEqual" allowBlank="1" showInputMessage="1" showErrorMessage="1" sqref="E32 E44:E47 E49 E23:F27 E51:F54 E56:F61 D65:F74 E34:E36 E37:E4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64</xdr:row>
                    <xdr:rowOff>19050</xdr:rowOff>
                  </from>
                  <to>
                    <xdr:col>1</xdr:col>
                    <xdr:colOff>733425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1504950</xdr:colOff>
                    <xdr:row>64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I14" sqref="I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I10.1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175</v>
      </c>
      <c r="E11" s="27" t="s">
        <v>177</v>
      </c>
      <c r="F11" s="55">
        <v>1</v>
      </c>
      <c r="G11" s="55">
        <v>1</v>
      </c>
      <c r="H11" s="55">
        <v>1</v>
      </c>
      <c r="I11" s="55">
        <v>260</v>
      </c>
      <c r="J11" s="55">
        <f t="shared" ref="J11:J17" si="0">H11*I11</f>
        <v>260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187</v>
      </c>
      <c r="D12" s="27" t="s">
        <v>188</v>
      </c>
      <c r="E12" s="27" t="s">
        <v>189</v>
      </c>
      <c r="F12" s="55">
        <v>2</v>
      </c>
      <c r="G12" s="55">
        <v>1</v>
      </c>
      <c r="H12" s="55">
        <v>2</v>
      </c>
      <c r="I12" s="55">
        <v>50</v>
      </c>
      <c r="J12" s="55">
        <f t="shared" si="0"/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190</v>
      </c>
      <c r="D13" s="27" t="s">
        <v>176</v>
      </c>
      <c r="E13" s="27" t="s">
        <v>178</v>
      </c>
      <c r="F13" s="55">
        <v>2</v>
      </c>
      <c r="G13" s="55">
        <v>1</v>
      </c>
      <c r="H13" s="55">
        <v>2</v>
      </c>
      <c r="I13" s="55">
        <v>30</v>
      </c>
      <c r="J13" s="55">
        <f t="shared" si="0"/>
        <v>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>
        <v>1</v>
      </c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>
        <v>1</v>
      </c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>
        <v>1</v>
      </c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G24" sqref="G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179</v>
      </c>
      <c r="D17" s="70" t="s">
        <v>166</v>
      </c>
      <c r="E17" s="55">
        <v>1</v>
      </c>
      <c r="F17" s="55">
        <v>150</v>
      </c>
      <c r="G17" s="55">
        <f>E17*F17</f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>E18*F18</f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O14" sqref="O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I10.1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15</v>
      </c>
      <c r="E13" s="55"/>
      <c r="F13" s="55"/>
      <c r="G13" s="55">
        <v>40</v>
      </c>
      <c r="H13" s="55">
        <v>60</v>
      </c>
      <c r="I13" s="55"/>
      <c r="J13" s="55"/>
      <c r="K13" s="55"/>
      <c r="L13" s="55"/>
      <c r="M13" s="55"/>
      <c r="N13" s="55"/>
      <c r="P13" s="88">
        <f>SUM(D13:N13)</f>
        <v>115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0</v>
      </c>
      <c r="G30" s="88">
        <f t="shared" si="1"/>
        <v>40</v>
      </c>
      <c r="H30" s="88">
        <f t="shared" si="1"/>
        <v>60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115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2018-06-04T06:48:33Z</dcterms:modified>
</cp:coreProperties>
</file>