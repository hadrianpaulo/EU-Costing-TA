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9" l="1"/>
  <c r="G21" i="9"/>
  <c r="J23" i="2"/>
  <c r="J22" i="2"/>
  <c r="J21" i="2"/>
  <c r="J20" i="2"/>
  <c r="J19" i="2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<sst xmlns="http://schemas.openxmlformats.org/spreadsheetml/2006/main" count="516" uniqueCount="213">
  <si>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</si>
  <si>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</si>
  <si>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</si>
  <si>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</si>
  <si>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</si>
  <si>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</si>
  <si>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</si>
  <si>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</si>
  <si>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</si>
  <si>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</si>
  <si>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</si>
  <si>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</si>
  <si>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</si>
  <si>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</si>
  <si>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</si>
  <si>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</si>
  <si>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</si>
  <si>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</si>
  <si>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</si>
  <si>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</si>
  <si>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</si>
  <si>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</si>
  <si>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</si>
  <si>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</si>
  <si>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</si>
  <si>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</si>
  <si>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</si>
  <si>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</si>
  <si>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</si>
  <si>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</si>
  <si>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</si>
  <si>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</si>
  <si>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</si>
  <si>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</si>
  <si>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</si>
  <si>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</si>
  <si>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</si>
  <si>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</si>
  <si>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</si>
  <si>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</si>
  <si>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</si>
  <si>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</si>
  <si>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</si>
  <si>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</si>
  <si>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</si>
  <si>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</si>
  <si>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</si>
  <si>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</si>
  <si>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</si>
  <si>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</si>
  <si>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</si>
  <si>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</si>
  <si>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</si>
  <si>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</si>
  <si>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</si>
  <si>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</si>
  <si>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</si>
  <si>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</si>
  <si>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</si>
  <si>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</si>
  <si>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</si>
  <si>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</si>
  <si>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</si>
  <si>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</si>
  <si>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</si>
  <si>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</si>
  <si>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</si>
  <si>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</si>
  <si>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</si>
  <si>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</si>
  <si>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</si>
  <si>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</si>
  <si>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</si>
  <si>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</si>
  <si>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</si>
  <si>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</si>
  <si>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</si>
  <si>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</si>
  <si>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</si>
  <si>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</si>
  <si>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</si>
  <si>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</si>
  <si>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</si>
  <si>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</si>
  <si>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</si>
  <si>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</si>
  <si>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</si>
  <si>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</si>
  <si>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</si>
  <si>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</si>
  <si>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</si>
  <si>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</si>
  <si>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</si>
  <si>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</si>
  <si>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</si>
  <si>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</si>
  <si>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</si>
  <si>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</si>
  <si>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</si>
  <si>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</si>
  <si>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</si>
  <si>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</si>
  <si>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</si>
  <si>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</si>
  <si>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</si>
  <si>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</si>
  <si>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</si>
  <si>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</si>
  <si>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</si>
  <si>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</si>
  <si>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</si>
  <si>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</si>
  <si>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</si>
  <si>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</si>
  <si>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</si>
  <si>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</si>
  <si>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</si>
  <si>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</si>
  <si>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</si>
  <si>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</si>
  <si>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</si>
  <si>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</si>
  <si>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</si>
  <si>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</si>
  <si>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</si>
  <si>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</si>
  <si>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</si>
  <si>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</si>
  <si>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</si>
  <si>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</si>
  <si>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</si>
  <si>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</si>
  <si>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</si>
  <si>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</si>
  <si>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</si>
  <si>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</si>
  <si>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</si>
  <si>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</si>
  <si>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</si>
  <si>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</si>
  <si>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</si>
  <si>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</si>
  <si>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</si>
  <si>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</si>
  <si>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</si>
  <si>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</si>
  <si>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</si>
  <si>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</si>
  <si>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</si>
  <si>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</si>
  <si>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</si>
  <si>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</si>
  <si>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</si>
  <si>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</si>
  <si>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</si>
  <si>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</si>
  <si>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</si>
  <si>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</si>
  <si>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</si>
  <si>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</si>
  <si>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</si>
  <si>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</si>
  <si>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</si>
  <si>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</si>
  <si>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</si>
  <si>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VIAL</t>
  </si>
  <si>
    <t>MACROSET</t>
  </si>
  <si>
    <t>PER PIECE</t>
  </si>
  <si>
    <t>CASE RATE (room,labs,meds, etc.)</t>
  </si>
  <si>
    <t>PF CASE RATE</t>
  </si>
  <si>
    <t>I10.1</t>
  </si>
  <si>
    <t>CBC W/ PLATELET COUNT</t>
  </si>
  <si>
    <t>ELECTROLYTES (NA,K)</t>
  </si>
  <si>
    <t>ECG</t>
  </si>
  <si>
    <t>PNSS</t>
  </si>
  <si>
    <t>CLONIDINE</t>
  </si>
  <si>
    <t>OMEPRAZOLE</t>
  </si>
  <si>
    <t>IV FLUID</t>
  </si>
  <si>
    <t>TABLET</t>
  </si>
  <si>
    <t>AMPOULE</t>
  </si>
  <si>
    <t>1L</t>
  </si>
  <si>
    <t>75MG</t>
  </si>
  <si>
    <t>5MG</t>
  </si>
  <si>
    <t>20MG</t>
  </si>
  <si>
    <t>INSYTE G22</t>
  </si>
  <si>
    <t>5CC SYRINGE</t>
  </si>
  <si>
    <t>3CC SYRINGE</t>
  </si>
  <si>
    <t>BLOOD UREA NITROGEN</t>
  </si>
  <si>
    <t>CREATININE</t>
  </si>
  <si>
    <t>URINALYSIS</t>
  </si>
  <si>
    <t>LIPID PROFILE</t>
  </si>
  <si>
    <t>CXR</t>
  </si>
  <si>
    <t>SENIOR</t>
  </si>
  <si>
    <t xml:space="preserve">IRBESARTAN </t>
  </si>
  <si>
    <t>150MG</t>
  </si>
  <si>
    <t xml:space="preserve">ATORVASTATIN </t>
  </si>
  <si>
    <t>40MG</t>
  </si>
  <si>
    <t>CITICHOLINE</t>
  </si>
  <si>
    <t>1000MG/ML</t>
  </si>
  <si>
    <t>PARACETAMOL</t>
  </si>
  <si>
    <t>300MG</t>
  </si>
  <si>
    <t>CAPSULE</t>
  </si>
  <si>
    <t>BETAHISTINE</t>
  </si>
  <si>
    <t>24MG</t>
  </si>
  <si>
    <t xml:space="preserve">AMLODIPINE </t>
  </si>
  <si>
    <t>D5 WATER</t>
  </si>
  <si>
    <t>500ML</t>
  </si>
  <si>
    <t>CEFTRIAXONE</t>
  </si>
  <si>
    <t>1G</t>
  </si>
  <si>
    <t>FUROSEMIDE</t>
  </si>
  <si>
    <t>SOLUSET</t>
  </si>
  <si>
    <t>1CC SYRINGE</t>
  </si>
  <si>
    <t>10CC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</si>
</sst>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18" zoomScaleNormal="100" workbookViewId="0">
      <selection activeCell="F68" sqref="F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189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190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45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46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54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 t="s">
        <v>173</v>
      </c>
      <c r="D55" s="28"/>
      <c r="E55" s="55">
        <v>1</v>
      </c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 t="s">
        <v>191</v>
      </c>
      <c r="D56" s="28"/>
      <c r="E56" s="55">
        <v>1</v>
      </c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56</v>
      </c>
      <c r="C63" s="17" t="s">
        <v>52</v>
      </c>
      <c r="D63" s="17" t="s">
        <v>57</v>
      </c>
      <c r="E63" s="18" t="s">
        <v>58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168</v>
      </c>
      <c r="D64" s="55">
        <v>6300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192</v>
      </c>
      <c r="D65" s="55"/>
      <c r="E65" s="55">
        <v>3323</v>
      </c>
      <c r="F65" s="55">
        <v>13292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169</v>
      </c>
      <c r="D66" s="55">
        <v>2700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 t="s">
        <v>192</v>
      </c>
      <c r="D67" s="55"/>
      <c r="E67" s="55">
        <v>515</v>
      </c>
      <c r="F67" s="55">
        <v>2050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9000</v>
      </c>
      <c r="E75" s="59">
        <f>SUM(E64:E74)</f>
        <v>3838</v>
      </c>
      <c r="F75" s="59">
        <f>SUM(F64:F74)</f>
        <v>15342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password="C2E9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topLeftCell="A8" workbookViewId="0">
      <selection activeCell="F22" sqref="F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193</v>
      </c>
      <c r="D11" s="27" t="s">
        <v>178</v>
      </c>
      <c r="E11" s="27" t="s">
        <v>194</v>
      </c>
      <c r="F11" s="55">
        <v>2</v>
      </c>
      <c r="G11" s="55">
        <v>1</v>
      </c>
      <c r="H11" s="55">
        <v>5</v>
      </c>
      <c r="I11" s="55">
        <v>50</v>
      </c>
      <c r="J11" s="55">
        <f t="shared" ref="J11:J23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195</v>
      </c>
      <c r="D12" s="27" t="s">
        <v>178</v>
      </c>
      <c r="E12" s="27" t="s">
        <v>196</v>
      </c>
      <c r="F12" s="55">
        <v>2</v>
      </c>
      <c r="G12" s="55">
        <v>1</v>
      </c>
      <c r="H12" s="55">
        <v>5</v>
      </c>
      <c r="I12" s="55">
        <v>50</v>
      </c>
      <c r="J12" s="55">
        <f t="shared" si="0"/>
        <v>250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197</v>
      </c>
      <c r="D13" s="27" t="s">
        <v>179</v>
      </c>
      <c r="E13" s="27" t="s">
        <v>198</v>
      </c>
      <c r="F13" s="55">
        <v>2</v>
      </c>
      <c r="G13" s="55">
        <v>1</v>
      </c>
      <c r="H13" s="55">
        <v>6</v>
      </c>
      <c r="I13" s="55">
        <v>850</v>
      </c>
      <c r="J13" s="55">
        <f t="shared" si="0"/>
        <v>5100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174</v>
      </c>
      <c r="D14" s="27" t="s">
        <v>177</v>
      </c>
      <c r="E14" s="27" t="s">
        <v>180</v>
      </c>
      <c r="F14" s="55">
        <v>2</v>
      </c>
      <c r="G14" s="55">
        <v>1</v>
      </c>
      <c r="H14" s="55">
        <v>5</v>
      </c>
      <c r="I14" s="55">
        <v>310</v>
      </c>
      <c r="J14" s="55">
        <f t="shared" si="0"/>
        <v>1550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199</v>
      </c>
      <c r="D15" s="27" t="s">
        <v>179</v>
      </c>
      <c r="E15" s="27" t="s">
        <v>200</v>
      </c>
      <c r="F15" s="55">
        <v>3</v>
      </c>
      <c r="G15" s="55">
        <v>1</v>
      </c>
      <c r="H15" s="55">
        <v>8</v>
      </c>
      <c r="I15" s="55">
        <v>200</v>
      </c>
      <c r="J15" s="55">
        <f t="shared" si="0"/>
        <v>1600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175</v>
      </c>
      <c r="D16" s="27" t="s">
        <v>178</v>
      </c>
      <c r="E16" s="27" t="s">
        <v>181</v>
      </c>
      <c r="F16" s="55">
        <v>1</v>
      </c>
      <c r="G16" s="55">
        <v>1</v>
      </c>
      <c r="H16" s="55">
        <v>2</v>
      </c>
      <c r="I16" s="55">
        <v>35</v>
      </c>
      <c r="J16" s="55">
        <f t="shared" si="0"/>
        <v>70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176</v>
      </c>
      <c r="D17" s="27" t="s">
        <v>201</v>
      </c>
      <c r="E17" s="27" t="s">
        <v>196</v>
      </c>
      <c r="F17" s="55">
        <v>1</v>
      </c>
      <c r="G17" s="55">
        <v>1</v>
      </c>
      <c r="H17" s="55">
        <v>2</v>
      </c>
      <c r="I17" s="55">
        <v>50</v>
      </c>
      <c r="J17" s="55">
        <f t="shared" si="0"/>
        <v>100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202</v>
      </c>
      <c r="D18" s="27" t="s">
        <v>178</v>
      </c>
      <c r="E18" s="27" t="s">
        <v>203</v>
      </c>
      <c r="F18" s="55">
        <v>1</v>
      </c>
      <c r="G18" s="55">
        <v>1</v>
      </c>
      <c r="H18" s="55">
        <v>3</v>
      </c>
      <c r="I18" s="55">
        <v>110</v>
      </c>
      <c r="J18" s="55">
        <f t="shared" si="0"/>
        <v>330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204</v>
      </c>
      <c r="D19" s="27" t="s">
        <v>178</v>
      </c>
      <c r="E19" s="27" t="s">
        <v>182</v>
      </c>
      <c r="F19" s="55">
        <v>2</v>
      </c>
      <c r="G19" s="55">
        <v>1</v>
      </c>
      <c r="H19" s="55">
        <v>5</v>
      </c>
      <c r="I19" s="55">
        <v>25</v>
      </c>
      <c r="J19" s="55">
        <f t="shared" si="0"/>
        <v>125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205</v>
      </c>
      <c r="D20" s="27" t="s">
        <v>177</v>
      </c>
      <c r="E20" s="27" t="s">
        <v>206</v>
      </c>
      <c r="F20" s="55">
        <v>1</v>
      </c>
      <c r="G20" s="55">
        <v>1</v>
      </c>
      <c r="H20" s="55">
        <v>1</v>
      </c>
      <c r="I20" s="55">
        <v>310</v>
      </c>
      <c r="J20" s="55">
        <f t="shared" si="0"/>
        <v>310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207</v>
      </c>
      <c r="D21" s="27" t="s">
        <v>165</v>
      </c>
      <c r="E21" s="27" t="s">
        <v>208</v>
      </c>
      <c r="F21" s="55">
        <v>2</v>
      </c>
      <c r="G21" s="55">
        <v>1</v>
      </c>
      <c r="H21" s="55">
        <v>4</v>
      </c>
      <c r="I21" s="55">
        <v>1000</v>
      </c>
      <c r="J21" s="55">
        <f t="shared" si="0"/>
        <v>4000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209</v>
      </c>
      <c r="D22" s="27" t="s">
        <v>179</v>
      </c>
      <c r="E22" s="27" t="s">
        <v>183</v>
      </c>
      <c r="F22" s="55">
        <v>1</v>
      </c>
      <c r="G22" s="55">
        <v>1</v>
      </c>
      <c r="H22" s="55">
        <v>2</v>
      </c>
      <c r="I22" s="55">
        <v>250</v>
      </c>
      <c r="J22" s="55">
        <f t="shared" si="0"/>
        <v>500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197</v>
      </c>
      <c r="D23" s="27" t="s">
        <v>178</v>
      </c>
      <c r="E23" s="27" t="s">
        <v>208</v>
      </c>
      <c r="F23" s="55">
        <v>1</v>
      </c>
      <c r="G23" s="55">
        <v>1</v>
      </c>
      <c r="H23" s="55">
        <v>2</v>
      </c>
      <c r="I23" s="55">
        <v>200</v>
      </c>
      <c r="J23" s="55">
        <f t="shared" si="0"/>
        <v>400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24" sqref="G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185</v>
      </c>
      <c r="D16" s="70" t="s">
        <v>167</v>
      </c>
      <c r="E16" s="55">
        <v>5</v>
      </c>
      <c r="F16" s="55">
        <v>20</v>
      </c>
      <c r="G16" s="55">
        <f t="shared" ref="G16:G22" si="0">E16*F16</f>
        <v>100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166</v>
      </c>
      <c r="D17" s="70" t="s">
        <v>167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184</v>
      </c>
      <c r="D18" s="70" t="s">
        <v>167</v>
      </c>
      <c r="E18" s="55">
        <v>1</v>
      </c>
      <c r="F18" s="55">
        <v>150</v>
      </c>
      <c r="G18" s="55">
        <f t="shared" si="0"/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186</v>
      </c>
      <c r="D19" s="70" t="s">
        <v>167</v>
      </c>
      <c r="E19" s="55">
        <v>10</v>
      </c>
      <c r="F19" s="55">
        <v>20</v>
      </c>
      <c r="G19" s="55">
        <f t="shared" si="0"/>
        <v>200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210</v>
      </c>
      <c r="D20" s="70" t="s">
        <v>167</v>
      </c>
      <c r="E20" s="55">
        <v>1</v>
      </c>
      <c r="F20" s="55">
        <v>350</v>
      </c>
      <c r="G20" s="55">
        <f t="shared" si="0"/>
        <v>350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211</v>
      </c>
      <c r="D21" s="70" t="s">
        <v>167</v>
      </c>
      <c r="E21" s="55">
        <v>1</v>
      </c>
      <c r="F21" s="55">
        <v>20</v>
      </c>
      <c r="G21" s="55">
        <f t="shared" si="0"/>
        <v>20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212</v>
      </c>
      <c r="D22" s="70" t="s">
        <v>167</v>
      </c>
      <c r="E22" s="55">
        <v>4</v>
      </c>
      <c r="F22" s="55">
        <v>40</v>
      </c>
      <c r="G22" s="55">
        <f t="shared" si="0"/>
        <v>160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5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v>65</v>
      </c>
      <c r="H13" s="55">
        <v>220</v>
      </c>
      <c r="I13" s="55"/>
      <c r="J13" s="55"/>
      <c r="K13" s="55"/>
      <c r="L13" s="55"/>
      <c r="M13" s="55"/>
      <c r="N13" s="55"/>
      <c r="P13" s="88">
        <f>SUM(D13:N13)</f>
        <v>315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65</v>
      </c>
      <c r="H30" s="88">
        <f t="shared" si="1"/>
        <v>220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2018-06-04T07:47:42Z</dcterms:modified>
</cp:coreProperties>
</file>