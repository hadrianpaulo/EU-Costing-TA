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6" i="1"/>
  <c r="E86" i="1"/>
  <c r="D8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<sst xmlns="http://schemas.openxmlformats.org/spreadsheetml/2006/main" count="489" uniqueCount="198">
  <si>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</si>
  <si>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</si>
  <si>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</si>
  <si>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</si>
  <si>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</si>
  <si>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</si>
  <si>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</si>
  <si>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</si>
  <si>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</si>
  <si>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</si>
  <si>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</si>
  <si>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</si>
  <si>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</si>
  <si>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</si>
  <si>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</si>
  <si>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</si>
  <si>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</si>
  <si>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</si>
  <si>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</si>
  <si>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</si>
  <si>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</si>
  <si>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</si>
  <si>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</si>
  <si>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</si>
  <si>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</si>
  <si>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</si>
  <si>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</si>
  <si>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</si>
  <si>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</si>
  <si>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</si>
  <si>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</si>
  <si>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</si>
  <si>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</si>
  <si>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</si>
  <si>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</si>
  <si>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</si>
  <si>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</si>
  <si>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</si>
  <si>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</si>
  <si>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</si>
  <si>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</si>
  <si>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</si>
  <si>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</si>
  <si>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</si>
  <si>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</si>
  <si>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</si>
  <si>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</si>
  <si>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</si>
  <si>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</si>
  <si>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</si>
  <si>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</si>
  <si>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</si>
  <si>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</si>
  <si>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</si>
  <si>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</si>
  <si>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</si>
  <si>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</si>
  <si>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</si>
  <si>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</si>
  <si>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</si>
  <si>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</si>
  <si>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</si>
  <si>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</si>
  <si>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</si>
  <si>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</si>
  <si>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</si>
  <si>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</si>
  <si>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</si>
  <si>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</si>
  <si>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</si>
  <si>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</si>
  <si>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</si>
  <si>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</si>
  <si>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</si>
  <si>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</si>
  <si>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</si>
  <si>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</si>
  <si>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</si>
  <si>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</si>
  <si>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</si>
  <si>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</si>
  <si>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</si>
  <si>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</si>
  <si>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</si>
  <si>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</si>
  <si>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</si>
  <si>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</si>
  <si>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</si>
  <si>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</si>
  <si>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</si>
  <si>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</si>
  <si>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</si>
  <si>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</si>
  <si>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</si>
  <si>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</si>
  <si>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</si>
  <si>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</si>
  <si>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</si>
  <si>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</si>
  <si>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</si>
  <si>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</si>
  <si>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</si>
  <si>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</si>
  <si>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</si>
  <si>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</si>
  <si>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</si>
  <si>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</si>
  <si>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</si>
  <si>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</si>
  <si>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</si>
  <si>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</si>
  <si>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</si>
  <si>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</si>
  <si>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</si>
  <si>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</si>
  <si>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</si>
  <si>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</si>
  <si>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</si>
  <si>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</si>
  <si>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</si>
  <si>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</si>
  <si>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</si>
  <si>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</si>
  <si>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</si>
  <si>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</si>
  <si>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</si>
  <si>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</si>
  <si>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</si>
  <si>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</si>
  <si>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</si>
  <si>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</si>
  <si>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</si>
  <si>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</si>
  <si>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</si>
  <si>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</si>
  <si>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</si>
  <si>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</si>
  <si>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</si>
  <si>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</si>
  <si>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</si>
  <si>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</si>
  <si>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</si>
  <si>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</si>
  <si>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</si>
  <si>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</si>
  <si>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</si>
  <si>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</si>
  <si>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</si>
  <si>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</si>
  <si>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</si>
  <si>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</si>
  <si>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</si>
  <si>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</si>
  <si>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</si>
  <si>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</si>
  <si>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</si>
  <si>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</si>
  <si>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</si>
  <si>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</si>
  <si>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</si>
  <si>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</si>
  <si>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</si>
  <si>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</si>
  <si>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</si>
  <si>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</si>
  <si>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</si>
  <si>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</si>
  <si>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</si>
  <si>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</si>
  <si>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</si>
  <si>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</si>
  <si>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</si>
  <si>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</si>
  <si>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</si>
  <si>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</si>
  <si>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</si>
  <si>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</si>
  <si>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1L</t>
  </si>
  <si>
    <t>75MG</t>
  </si>
  <si>
    <t>INSYTE G22</t>
  </si>
  <si>
    <t>IONIZED CALCIUM</t>
  </si>
  <si>
    <t>SGPT</t>
  </si>
  <si>
    <t>CREATININE</t>
  </si>
  <si>
    <t>URINALYSIS</t>
  </si>
  <si>
    <t>LIPID PROFILE</t>
  </si>
  <si>
    <t>GLUCOSE</t>
  </si>
  <si>
    <t>URIC ACID</t>
  </si>
  <si>
    <t>HBAIC</t>
  </si>
  <si>
    <t>RBS</t>
  </si>
  <si>
    <t>CBG</t>
  </si>
  <si>
    <t xml:space="preserve">CXR </t>
  </si>
  <si>
    <t>SENIOR</t>
  </si>
  <si>
    <t xml:space="preserve">BETAHISTINE </t>
  </si>
  <si>
    <t>24MG</t>
  </si>
  <si>
    <t>CALCIUM + VITAMIN D3</t>
  </si>
  <si>
    <t>1.5MG/200I,U</t>
  </si>
  <si>
    <t>CITICHOLINE</t>
  </si>
  <si>
    <t>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</si>
</sst>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74</xdr:row>
          <xdr:rowOff>19050</xdr:rowOff>
        </xdr:from>
        <xdr:to>
          <xdr:col>1</xdr:col>
          <xdr:colOff>733425</xdr:colOff>
          <xdr:row>74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74</xdr:row>
          <xdr:rowOff>19050</xdr:rowOff>
        </xdr:from>
        <xdr:to>
          <xdr:col>1</xdr:col>
          <xdr:colOff>1504950</xdr:colOff>
          <xdr:row>74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3"/>
  <sheetViews>
    <sheetView zoomScaleNormal="100" workbookViewId="0">
      <selection activeCell="K20" sqref="K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187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188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189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15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16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17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18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19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19</v>
      </c>
      <c r="C53" s="119"/>
      <c r="D53" s="116"/>
      <c r="E53" s="119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172</v>
      </c>
      <c r="D54" s="23"/>
      <c r="E54" s="55">
        <v>1</v>
      </c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 t="s">
        <v>190</v>
      </c>
      <c r="D55" s="23"/>
      <c r="E55" s="55">
        <v>1</v>
      </c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3"/>
      <c r="E56" s="55"/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3"/>
      <c r="E57" s="55"/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8" t="s">
        <v>45</v>
      </c>
      <c r="C58" s="119"/>
      <c r="D58" s="116"/>
      <c r="E58" s="119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4" t="s">
        <v>46</v>
      </c>
      <c r="C59" s="13"/>
      <c r="D59" s="13"/>
      <c r="E59" s="16"/>
      <c r="F59" s="13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thickBot="1" x14ac:dyDescent="0.35">
      <c r="A60" s="1"/>
      <c r="B60" s="115" t="s">
        <v>54</v>
      </c>
      <c r="C60" s="116"/>
      <c r="D60" s="116"/>
      <c r="E60" s="116"/>
      <c r="F60" s="117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20"/>
      <c r="B61" s="30">
        <v>1</v>
      </c>
      <c r="C61" s="31"/>
      <c r="D61" s="32"/>
      <c r="E61" s="57"/>
      <c r="F61" s="57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20"/>
      <c r="B62" s="30">
        <v>2</v>
      </c>
      <c r="C62" s="31"/>
      <c r="D62" s="32"/>
      <c r="E62" s="57"/>
      <c r="F62" s="57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20"/>
      <c r="B63" s="26">
        <v>3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20"/>
      <c r="B64" s="26">
        <v>4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Bot="1" x14ac:dyDescent="0.35">
      <c r="A65" s="1"/>
      <c r="B65" s="115" t="s">
        <v>20</v>
      </c>
      <c r="C65" s="116"/>
      <c r="D65" s="116"/>
      <c r="E65" s="116"/>
      <c r="F65" s="117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1</v>
      </c>
      <c r="C66" s="27" t="s">
        <v>172</v>
      </c>
      <c r="D66" s="28"/>
      <c r="E66" s="55">
        <v>1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2</v>
      </c>
      <c r="C67" s="27" t="s">
        <v>190</v>
      </c>
      <c r="D67" s="28"/>
      <c r="E67" s="55">
        <v>1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3</v>
      </c>
      <c r="C68" s="27"/>
      <c r="D68" s="28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6">
        <v>4</v>
      </c>
      <c r="C69" s="27"/>
      <c r="D69" s="28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6">
        <v>5</v>
      </c>
      <c r="C70" s="27"/>
      <c r="D70" s="28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6">
        <v>6</v>
      </c>
      <c r="C71" s="27"/>
      <c r="D71" s="28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5"/>
      <c r="C72" s="25"/>
      <c r="D72" s="25"/>
      <c r="E72" s="25"/>
      <c r="F72" s="2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57.75" customHeight="1" thickBot="1" x14ac:dyDescent="0.35">
      <c r="A74" s="1"/>
      <c r="B74" s="17" t="s">
        <v>56</v>
      </c>
      <c r="C74" s="17" t="s">
        <v>52</v>
      </c>
      <c r="D74" s="17" t="s">
        <v>57</v>
      </c>
      <c r="E74" s="18" t="s">
        <v>58</v>
      </c>
      <c r="F74" s="19" t="s">
        <v>21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2">
        <v>1</v>
      </c>
      <c r="C75" s="27" t="s">
        <v>167</v>
      </c>
      <c r="D75" s="55">
        <v>6300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2</v>
      </c>
      <c r="C76" s="27" t="s">
        <v>191</v>
      </c>
      <c r="D76" s="55"/>
      <c r="E76" s="55">
        <v>1382</v>
      </c>
      <c r="F76" s="55">
        <v>3488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3</v>
      </c>
      <c r="C77" s="27" t="s">
        <v>168</v>
      </c>
      <c r="D77" s="55">
        <v>2700</v>
      </c>
      <c r="E77" s="55"/>
      <c r="F77" s="55">
        <v>50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4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5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6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7</v>
      </c>
      <c r="C81" s="27"/>
      <c r="D81" s="55"/>
      <c r="E81" s="55"/>
      <c r="F81" s="5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8</v>
      </c>
      <c r="C82" s="27"/>
      <c r="D82" s="55"/>
      <c r="E82" s="55"/>
      <c r="F82" s="5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9</v>
      </c>
      <c r="C83" s="27"/>
      <c r="D83" s="55"/>
      <c r="E83" s="55"/>
      <c r="F83" s="55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10</v>
      </c>
      <c r="C84" s="27"/>
      <c r="D84" s="55"/>
      <c r="E84" s="55"/>
      <c r="F84" s="55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4.9000000000000004" customHeight="1" thickBot="1" x14ac:dyDescent="0.35">
      <c r="A85" s="1"/>
      <c r="B85" s="1"/>
      <c r="C85" s="1"/>
      <c r="D85" s="58"/>
      <c r="E85" s="58"/>
      <c r="F85" s="58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thickTop="1" x14ac:dyDescent="0.3">
      <c r="A86" s="1"/>
      <c r="B86" s="11"/>
      <c r="C86" s="4" t="s">
        <v>22</v>
      </c>
      <c r="D86" s="59">
        <f>SUM(D75:D85)</f>
        <v>9000</v>
      </c>
      <c r="E86" s="59">
        <f>SUM(E75:E85)</f>
        <v>1382</v>
      </c>
      <c r="F86" s="59">
        <f>SUM(F75:F85)</f>
        <v>3538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</sheetData>
  <sheetProtection password="C2E9" sheet="1" objects="1" scenarios="1" formatColumns="0" formatRows="0" sort="0" autoFilter="0"/>
  <mergeCells count="12">
    <mergeCell ref="B65:F65"/>
    <mergeCell ref="B58:F58"/>
    <mergeCell ref="B12:F12"/>
    <mergeCell ref="B13:F13"/>
    <mergeCell ref="B14:F14"/>
    <mergeCell ref="B15:F15"/>
    <mergeCell ref="B18:F18"/>
    <mergeCell ref="B22:F22"/>
    <mergeCell ref="B33:F33"/>
    <mergeCell ref="B28:F28"/>
    <mergeCell ref="B53:F53"/>
    <mergeCell ref="B60:F60"/>
  </mergeCells>
  <dataValidations count="1">
    <dataValidation type="decimal" operator="greaterThanOrEqual" allowBlank="1" showInputMessage="1" showErrorMessage="1" sqref="E32 E54:E57 E59 E23:F27 E61:F64 E66:F71 D75:F84 E34:E36 E37:E5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74</xdr:row>
                    <xdr:rowOff>19050</xdr:rowOff>
                  </from>
                  <to>
                    <xdr:col>1</xdr:col>
                    <xdr:colOff>733425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74</xdr:row>
                    <xdr:rowOff>19050</xdr:rowOff>
                  </from>
                  <to>
                    <xdr:col>1</xdr:col>
                    <xdr:colOff>1504950</xdr:colOff>
                    <xdr:row>74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21" sqref="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176</v>
      </c>
      <c r="E11" s="27" t="s">
        <v>193</v>
      </c>
      <c r="F11" s="55">
        <v>3</v>
      </c>
      <c r="G11" s="55">
        <v>1</v>
      </c>
      <c r="H11" s="55">
        <v>8</v>
      </c>
      <c r="I11" s="55">
        <v>110</v>
      </c>
      <c r="J11" s="55">
        <f t="shared" ref="J11:J17" si="0">H11*I11</f>
        <v>880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176</v>
      </c>
      <c r="E12" s="27" t="s">
        <v>195</v>
      </c>
      <c r="F12" s="55">
        <v>1</v>
      </c>
      <c r="G12" s="55">
        <v>1</v>
      </c>
      <c r="H12" s="55">
        <v>3</v>
      </c>
      <c r="I12" s="55">
        <v>30</v>
      </c>
      <c r="J12" s="55">
        <f t="shared" si="0"/>
        <v>90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175</v>
      </c>
      <c r="E13" s="27" t="s">
        <v>177</v>
      </c>
      <c r="F13" s="55">
        <v>1</v>
      </c>
      <c r="G13" s="55">
        <v>1</v>
      </c>
      <c r="H13" s="55">
        <v>2</v>
      </c>
      <c r="I13" s="55">
        <v>310</v>
      </c>
      <c r="J13" s="55">
        <f t="shared" si="0"/>
        <v>620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176</v>
      </c>
      <c r="E14" s="27" t="s">
        <v>178</v>
      </c>
      <c r="F14" s="55">
        <v>1</v>
      </c>
      <c r="G14" s="55">
        <v>1</v>
      </c>
      <c r="H14" s="55">
        <v>2</v>
      </c>
      <c r="I14" s="55">
        <v>35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176</v>
      </c>
      <c r="E15" s="27" t="s">
        <v>197</v>
      </c>
      <c r="F15" s="55">
        <v>1</v>
      </c>
      <c r="G15" s="55">
        <v>1</v>
      </c>
      <c r="H15" s="55">
        <v>2</v>
      </c>
      <c r="I15" s="55">
        <v>200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F21" sqref="F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120</v>
      </c>
      <c r="H13" s="55">
        <v>180</v>
      </c>
      <c r="I13" s="55"/>
      <c r="J13" s="55"/>
      <c r="K13" s="55"/>
      <c r="L13" s="55"/>
      <c r="M13" s="55"/>
      <c r="N13" s="55"/>
      <c r="P13" s="88">
        <f>SUM(D13:N13)</f>
        <v>330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120</v>
      </c>
      <c r="H30" s="88">
        <f t="shared" si="1"/>
        <v>180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2018-06-04T06:49:13Z</dcterms:modified>
</cp:coreProperties>
</file>