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8" i="2" l="1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<sst xmlns="http://schemas.openxmlformats.org/spreadsheetml/2006/main" count="496" uniqueCount="203">
  <si>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</si>
  <si>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</si>
  <si>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</si>
  <si>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</si>
  <si>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</si>
  <si>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</si>
  <si>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</si>
  <si>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</si>
  <si>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</si>
  <si>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</si>
  <si>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</si>
  <si>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</si>
  <si>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</si>
  <si>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</si>
  <si>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</si>
  <si>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</si>
  <si>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</si>
  <si>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</si>
  <si>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</si>
  <si>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</si>
  <si>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</si>
  <si>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</si>
  <si>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</si>
  <si>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</si>
  <si>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</si>
  <si>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</si>
  <si>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</si>
  <si>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</si>
  <si>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</si>
  <si>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</si>
  <si>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</si>
  <si>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</si>
  <si>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</si>
  <si>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</si>
  <si>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</si>
  <si>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</si>
  <si>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</si>
  <si>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</si>
  <si>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</si>
  <si>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</si>
  <si>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</si>
  <si>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</si>
  <si>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</si>
  <si>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</si>
  <si>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</si>
  <si>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</si>
  <si>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</si>
  <si>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</si>
  <si>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</si>
  <si>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</si>
  <si>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</si>
  <si>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</si>
  <si>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</si>
  <si>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</si>
  <si>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</si>
  <si>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</si>
  <si>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</si>
  <si>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</si>
  <si>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</si>
  <si>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</si>
  <si>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</si>
  <si>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</si>
  <si>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</si>
  <si>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</si>
  <si>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</si>
  <si>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</si>
  <si>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</si>
  <si>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</si>
  <si>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</si>
  <si>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</si>
  <si>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</si>
  <si>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</si>
  <si>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</si>
  <si>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</si>
  <si>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</si>
  <si>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</si>
  <si>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</si>
  <si>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</si>
  <si>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</si>
  <si>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</si>
  <si>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</si>
  <si>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</si>
  <si>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</si>
  <si>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</si>
  <si>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</si>
  <si>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</si>
  <si>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</si>
  <si>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</si>
  <si>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</si>
  <si>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</si>
  <si>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</si>
  <si>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</si>
  <si>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</si>
  <si>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</si>
  <si>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</si>
  <si>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</si>
  <si>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</si>
  <si>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</si>
  <si>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</si>
  <si>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</si>
  <si>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</si>
  <si>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</si>
  <si>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</si>
  <si>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</si>
  <si>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</si>
  <si>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</si>
  <si>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</si>
  <si>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</si>
  <si>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</si>
  <si>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</si>
  <si>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</si>
  <si>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</si>
  <si>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</si>
  <si>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</si>
  <si>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</si>
  <si>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</si>
  <si>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</si>
  <si>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</si>
  <si>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</si>
  <si>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</si>
  <si>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</si>
  <si>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</si>
  <si>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</si>
  <si>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</si>
  <si>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</si>
  <si>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</si>
  <si>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</si>
  <si>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</si>
  <si>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</si>
  <si>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</si>
  <si>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</si>
  <si>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</si>
  <si>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</si>
  <si>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</si>
  <si>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</si>
  <si>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</si>
  <si>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</si>
  <si>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</si>
  <si>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</si>
  <si>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</si>
  <si>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</si>
  <si>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</si>
  <si>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</si>
  <si>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</si>
  <si>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</si>
  <si>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</si>
  <si>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</si>
  <si>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</si>
  <si>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</si>
  <si>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</si>
  <si>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</si>
  <si>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</si>
  <si>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</si>
  <si>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</si>
  <si>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</si>
  <si>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</si>
  <si>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</si>
  <si>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</si>
  <si>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</si>
  <si>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</si>
  <si>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</si>
  <si>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</si>
  <si>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</si>
  <si>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</si>
  <si>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</si>
  <si>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VIAL</t>
  </si>
  <si>
    <t>MACROSET</t>
  </si>
  <si>
    <t>PER PIECE</t>
  </si>
  <si>
    <t>CASE RATE (room,labs,meds, etc.)</t>
  </si>
  <si>
    <t>PF CASE RATE</t>
  </si>
  <si>
    <t>I10.1</t>
  </si>
  <si>
    <t>CBC W/ PLATELET COUNT</t>
  </si>
  <si>
    <t>ELECTROLYTES (NA,K)</t>
  </si>
  <si>
    <t>ECG</t>
  </si>
  <si>
    <t>PNSS</t>
  </si>
  <si>
    <t>CLONIDINE</t>
  </si>
  <si>
    <t>IV FLUID</t>
  </si>
  <si>
    <t>TABLET</t>
  </si>
  <si>
    <t>75MG</t>
  </si>
  <si>
    <t>INSYTE G22</t>
  </si>
  <si>
    <t>5CC SYRINGE</t>
  </si>
  <si>
    <t>3CC SYRINGE</t>
  </si>
  <si>
    <t>SGPT</t>
  </si>
  <si>
    <t>CREATININE</t>
  </si>
  <si>
    <t>IONIZED CALCIUM</t>
  </si>
  <si>
    <t>LIPID PROFILE</t>
  </si>
  <si>
    <t xml:space="preserve">GLUCOSE </t>
  </si>
  <si>
    <t>CXR</t>
  </si>
  <si>
    <t>SENIOR</t>
  </si>
  <si>
    <t>SALBUTAMOL+IPRATROPIUM</t>
  </si>
  <si>
    <t>NEBULE</t>
  </si>
  <si>
    <t>2.5MG/500MCG</t>
  </si>
  <si>
    <t>ACETYLCYSTEINE</t>
  </si>
  <si>
    <t>600MG</t>
  </si>
  <si>
    <t>SODIUM ASCORBATE</t>
  </si>
  <si>
    <t>CAPSULE</t>
  </si>
  <si>
    <t>112.5MG/9MG</t>
  </si>
  <si>
    <t xml:space="preserve">LOSARTAN </t>
  </si>
  <si>
    <t>50MG</t>
  </si>
  <si>
    <t>CEFUROXIME</t>
  </si>
  <si>
    <t>750MG</t>
  </si>
  <si>
    <t>100MG</t>
  </si>
  <si>
    <t>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</si>
</sst>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opLeftCell="A27" zoomScaleNormal="100" workbookViewId="0">
      <selection activeCell="F66" sqref="F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172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184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185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186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45</v>
      </c>
      <c r="C48" s="119"/>
      <c r="D48" s="116"/>
      <c r="E48" s="119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46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54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5" t="s">
        <v>20</v>
      </c>
      <c r="C55" s="116"/>
      <c r="D55" s="116"/>
      <c r="E55" s="116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 t="s">
        <v>173</v>
      </c>
      <c r="D56" s="28"/>
      <c r="E56" s="55">
        <v>1</v>
      </c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 t="s">
        <v>187</v>
      </c>
      <c r="D57" s="28"/>
      <c r="E57" s="55">
        <v>1</v>
      </c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56</v>
      </c>
      <c r="C64" s="17" t="s">
        <v>52</v>
      </c>
      <c r="D64" s="17" t="s">
        <v>57</v>
      </c>
      <c r="E64" s="18" t="s">
        <v>58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168</v>
      </c>
      <c r="D65" s="55">
        <v>6300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188</v>
      </c>
      <c r="D66" s="55"/>
      <c r="E66" s="55">
        <v>98</v>
      </c>
      <c r="F66" s="55">
        <v>392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169</v>
      </c>
      <c r="D67" s="55">
        <v>2700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 t="s">
        <v>188</v>
      </c>
      <c r="D68" s="55"/>
      <c r="E68" s="55">
        <v>500</v>
      </c>
      <c r="F68" s="55">
        <v>550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9000</v>
      </c>
      <c r="E76" s="59">
        <f>SUM(E65:E75)</f>
        <v>598</v>
      </c>
      <c r="F76" s="59">
        <f>SUM(F65:F75)</f>
        <v>942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password="C2E9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9" sqref="I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189</v>
      </c>
      <c r="D11" s="27" t="s">
        <v>190</v>
      </c>
      <c r="E11" s="27" t="s">
        <v>191</v>
      </c>
      <c r="F11" s="55">
        <v>1</v>
      </c>
      <c r="G11" s="55">
        <v>1</v>
      </c>
      <c r="H11" s="55">
        <v>3</v>
      </c>
      <c r="I11" s="55">
        <v>60</v>
      </c>
      <c r="J11" s="55">
        <f t="shared" ref="J11:J18" si="0">H11*I11</f>
        <v>180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177</v>
      </c>
      <c r="E12" s="27" t="s">
        <v>178</v>
      </c>
      <c r="F12" s="55">
        <v>1</v>
      </c>
      <c r="G12" s="55">
        <v>1</v>
      </c>
      <c r="H12" s="55">
        <v>2</v>
      </c>
      <c r="I12" s="55">
        <v>35</v>
      </c>
      <c r="J12" s="55">
        <f t="shared" si="0"/>
        <v>70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192</v>
      </c>
      <c r="D13" s="27" t="s">
        <v>177</v>
      </c>
      <c r="E13" s="27" t="s">
        <v>193</v>
      </c>
      <c r="F13" s="55">
        <v>1</v>
      </c>
      <c r="G13" s="55">
        <v>1</v>
      </c>
      <c r="H13" s="55">
        <v>2</v>
      </c>
      <c r="I13" s="55">
        <v>100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194</v>
      </c>
      <c r="D14" s="27" t="s">
        <v>195</v>
      </c>
      <c r="E14" s="27" t="s">
        <v>196</v>
      </c>
      <c r="F14" s="55">
        <v>1</v>
      </c>
      <c r="G14" s="55">
        <v>1</v>
      </c>
      <c r="H14" s="55">
        <v>1</v>
      </c>
      <c r="I14" s="55">
        <v>30</v>
      </c>
      <c r="J14" s="55">
        <f t="shared" si="0"/>
        <v>30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197</v>
      </c>
      <c r="D15" s="27" t="s">
        <v>177</v>
      </c>
      <c r="E15" s="27" t="s">
        <v>198</v>
      </c>
      <c r="F15" s="55">
        <v>1</v>
      </c>
      <c r="G15" s="55">
        <v>1</v>
      </c>
      <c r="H15" s="55">
        <v>2</v>
      </c>
      <c r="I15" s="55">
        <v>30</v>
      </c>
      <c r="J15" s="55">
        <f t="shared" si="0"/>
        <v>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199</v>
      </c>
      <c r="D16" s="27" t="s">
        <v>165</v>
      </c>
      <c r="E16" s="27" t="s">
        <v>200</v>
      </c>
      <c r="F16" s="55">
        <v>1</v>
      </c>
      <c r="G16" s="55">
        <v>1</v>
      </c>
      <c r="H16" s="55">
        <v>2</v>
      </c>
      <c r="I16" s="55">
        <v>350</v>
      </c>
      <c r="J16" s="55">
        <f t="shared" si="0"/>
        <v>700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197</v>
      </c>
      <c r="D17" s="27" t="s">
        <v>177</v>
      </c>
      <c r="E17" s="27" t="s">
        <v>201</v>
      </c>
      <c r="F17" s="55">
        <v>1</v>
      </c>
      <c r="G17" s="55">
        <v>1</v>
      </c>
      <c r="H17" s="55">
        <v>1</v>
      </c>
      <c r="I17" s="55">
        <v>50</v>
      </c>
      <c r="J17" s="55">
        <f t="shared" si="0"/>
        <v>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174</v>
      </c>
      <c r="D18" s="27" t="s">
        <v>176</v>
      </c>
      <c r="E18" s="27" t="s">
        <v>202</v>
      </c>
      <c r="F18" s="55">
        <v>1</v>
      </c>
      <c r="G18" s="55">
        <v>1</v>
      </c>
      <c r="H18" s="55">
        <v>1</v>
      </c>
      <c r="I18" s="55">
        <v>350</v>
      </c>
      <c r="J18" s="55">
        <f t="shared" si="0"/>
        <v>350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0" sqref="F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166</v>
      </c>
      <c r="D16" s="70" t="s">
        <v>167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167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167</v>
      </c>
      <c r="E18" s="55">
        <v>1</v>
      </c>
      <c r="F18" s="55">
        <v>20</v>
      </c>
      <c r="G18" s="55">
        <f>E18*F18</f>
        <v>20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167</v>
      </c>
      <c r="E19" s="55">
        <v>1</v>
      </c>
      <c r="F19" s="55">
        <v>20</v>
      </c>
      <c r="G19" s="55">
        <f>E19*F19</f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>
        <v>10</v>
      </c>
      <c r="G13" s="55">
        <v>70</v>
      </c>
      <c r="H13" s="55">
        <v>100</v>
      </c>
      <c r="I13" s="55"/>
      <c r="J13" s="55"/>
      <c r="K13" s="55"/>
      <c r="L13" s="55"/>
      <c r="M13" s="55"/>
      <c r="N13" s="55"/>
      <c r="P13" s="88">
        <f>SUM(D13:N13)</f>
        <v>200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10</v>
      </c>
      <c r="G30" s="88">
        <f t="shared" si="1"/>
        <v>70</v>
      </c>
      <c r="H30" s="88">
        <f t="shared" si="1"/>
        <v>100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2018-06-04T08:07:36Z</dcterms:modified>
</cp:coreProperties>
</file>