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<sst xmlns="http://schemas.openxmlformats.org/spreadsheetml/2006/main" count="493" uniqueCount="200">
  <si>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</si>
  <si>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</si>
  <si>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</si>
  <si>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</si>
  <si>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</si>
  <si>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</si>
  <si>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</si>
  <si>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</si>
  <si>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</si>
  <si>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</si>
  <si>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</si>
  <si>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</si>
  <si>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</si>
  <si>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</si>
  <si>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</si>
  <si>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</si>
  <si>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</si>
  <si>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</si>
  <si>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</si>
  <si>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</si>
  <si>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</si>
  <si>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</si>
  <si>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</si>
  <si>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</si>
  <si>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</si>
  <si>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</si>
  <si>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</si>
  <si>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</si>
  <si>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</si>
  <si>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</si>
  <si>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</si>
  <si>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</si>
  <si>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</si>
  <si>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</si>
  <si>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</si>
  <si>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</si>
  <si>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</si>
  <si>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</si>
  <si>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</si>
  <si>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</si>
  <si>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</si>
  <si>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</si>
  <si>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</si>
  <si>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</si>
  <si>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</si>
  <si>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</si>
  <si>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</si>
  <si>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</si>
  <si>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</si>
  <si>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</si>
  <si>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</si>
  <si>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</si>
  <si>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</si>
  <si>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</si>
  <si>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</si>
  <si>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</si>
  <si>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</si>
  <si>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</si>
  <si>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</si>
  <si>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</si>
  <si>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</si>
  <si>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</si>
  <si>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</si>
  <si>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</si>
  <si>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</si>
  <si>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</si>
  <si>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</si>
  <si>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</si>
  <si>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</si>
  <si>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</si>
  <si>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</si>
  <si>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</si>
  <si>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</si>
  <si>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</si>
  <si>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</si>
  <si>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</si>
  <si>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</si>
  <si>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</si>
  <si>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</si>
  <si>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</si>
  <si>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</si>
  <si>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</si>
  <si>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</si>
  <si>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</si>
  <si>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</si>
  <si>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</si>
  <si>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</si>
  <si>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</si>
  <si>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</si>
  <si>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</si>
  <si>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</si>
  <si>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</si>
  <si>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</si>
  <si>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</si>
  <si>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</si>
  <si>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</si>
  <si>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</si>
  <si>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</si>
  <si>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</si>
  <si>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</si>
  <si>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</si>
  <si>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</si>
  <si>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</si>
  <si>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</si>
  <si>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</si>
  <si>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</si>
  <si>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</si>
  <si>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</si>
  <si>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</si>
  <si>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</si>
  <si>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</si>
  <si>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</si>
  <si>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</si>
  <si>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</si>
  <si>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</si>
  <si>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</si>
  <si>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</si>
  <si>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</si>
  <si>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</si>
  <si>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</si>
  <si>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</si>
  <si>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</si>
  <si>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</si>
  <si>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</si>
  <si>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</si>
  <si>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</si>
  <si>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</si>
  <si>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</si>
  <si>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</si>
  <si>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</si>
  <si>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</si>
  <si>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</si>
  <si>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</si>
  <si>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</si>
  <si>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</si>
  <si>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</si>
  <si>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</si>
  <si>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</si>
  <si>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</si>
  <si>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</si>
  <si>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</si>
  <si>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</si>
  <si>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</si>
  <si>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</si>
  <si>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</si>
  <si>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</si>
  <si>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</si>
  <si>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</si>
  <si>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</si>
  <si>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</si>
  <si>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</si>
  <si>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</si>
  <si>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</si>
  <si>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</si>
  <si>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</si>
  <si>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</si>
  <si>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</si>
  <si>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</si>
  <si>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</si>
  <si>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</si>
  <si>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</si>
  <si>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</si>
  <si>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</si>
  <si>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</si>
  <si>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</si>
  <si>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</si>
  <si>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</si>
  <si>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</si>
  <si>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</si>
  <si>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</si>
  <si>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</si>
  <si>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</si>
  <si>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</si>
  <si>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</si>
  <si>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</si>
  <si>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IV FLUID</t>
  </si>
  <si>
    <t>TABLET</t>
  </si>
  <si>
    <t>INSYTE G22</t>
  </si>
  <si>
    <t>5CC SYRINGE</t>
  </si>
  <si>
    <t>3CC SYRINGE</t>
  </si>
  <si>
    <t>AMLODIPINE</t>
  </si>
  <si>
    <t>AMPOULE</t>
  </si>
  <si>
    <t>1L</t>
  </si>
  <si>
    <t>5MG</t>
  </si>
  <si>
    <t>URINALYSIS</t>
  </si>
  <si>
    <t>CREATININE</t>
  </si>
  <si>
    <t>GLUCOSE</t>
  </si>
  <si>
    <t>LIPID PROFILE</t>
  </si>
  <si>
    <t>POTASSIUM</t>
  </si>
  <si>
    <t>CXR</t>
  </si>
  <si>
    <t>INDIGENT DISCOUNT</t>
  </si>
  <si>
    <t>PARACETAMOL</t>
  </si>
  <si>
    <t>300MG</t>
  </si>
  <si>
    <t>40MG</t>
  </si>
  <si>
    <t xml:space="preserve">AMINOGEN </t>
  </si>
  <si>
    <t>500ML</t>
  </si>
  <si>
    <t>SIMVASTATIN</t>
  </si>
  <si>
    <t>20MG</t>
  </si>
  <si>
    <t>10CC SYRINGE</t>
  </si>
  <si>
    <t>FREE NEEDLE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</si>
</sst>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zoomScaleNormal="100" workbookViewId="0">
      <selection activeCell="K24" sqref="K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173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 t="s">
        <v>189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168</v>
      </c>
      <c r="D65" s="55">
        <v>6300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190</v>
      </c>
      <c r="D66" s="55"/>
      <c r="E66" s="55">
        <v>490</v>
      </c>
      <c r="F66" s="55">
        <v>2040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2700</v>
      </c>
      <c r="E67" s="55"/>
      <c r="F67" s="55">
        <v>1500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9000</v>
      </c>
      <c r="E76" s="59">
        <f>SUM(E65:E75)</f>
        <v>490</v>
      </c>
      <c r="F76" s="59">
        <f>SUM(F65:F75)</f>
        <v>3540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D21" sqref="D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182</v>
      </c>
      <c r="F11" s="55">
        <v>2</v>
      </c>
      <c r="G11" s="55">
        <v>1</v>
      </c>
      <c r="H11" s="55">
        <v>2</v>
      </c>
      <c r="I11" s="55">
        <v>260</v>
      </c>
      <c r="J11" s="55">
        <f t="shared" ref="J11:J18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181</v>
      </c>
      <c r="E12" s="27" t="s">
        <v>192</v>
      </c>
      <c r="F12" s="55">
        <v>2</v>
      </c>
      <c r="G12" s="55">
        <v>1</v>
      </c>
      <c r="H12" s="55">
        <v>3</v>
      </c>
      <c r="I12" s="55">
        <v>200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176</v>
      </c>
      <c r="E13" s="27" t="s">
        <v>183</v>
      </c>
      <c r="F13" s="55">
        <v>2</v>
      </c>
      <c r="G13" s="55">
        <v>1</v>
      </c>
      <c r="H13" s="55">
        <v>2</v>
      </c>
      <c r="I13" s="55">
        <v>30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165</v>
      </c>
      <c r="E14" s="27" t="s">
        <v>193</v>
      </c>
      <c r="F14" s="55">
        <v>1</v>
      </c>
      <c r="G14" s="55">
        <v>1</v>
      </c>
      <c r="H14" s="55">
        <v>1</v>
      </c>
      <c r="I14" s="55">
        <v>300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175</v>
      </c>
      <c r="E15" s="27" t="s">
        <v>195</v>
      </c>
      <c r="F15" s="55">
        <v>1</v>
      </c>
      <c r="G15" s="55">
        <v>1</v>
      </c>
      <c r="H15" s="55">
        <v>1</v>
      </c>
      <c r="I15" s="55">
        <v>1500</v>
      </c>
      <c r="J15" s="55">
        <f t="shared" si="0"/>
        <v>1500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176</v>
      </c>
      <c r="E16" s="27" t="s">
        <v>197</v>
      </c>
      <c r="F16" s="55">
        <v>1</v>
      </c>
      <c r="G16" s="55">
        <v>1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2</v>
      </c>
      <c r="F16" s="55">
        <v>150</v>
      </c>
      <c r="G16" s="55">
        <f>E16*F16</f>
        <v>300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167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167</v>
      </c>
      <c r="E18" s="55">
        <v>3</v>
      </c>
      <c r="F18" s="55">
        <v>20</v>
      </c>
      <c r="G18" s="55">
        <f>E18*F18</f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167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198</v>
      </c>
      <c r="D20" s="70" t="s">
        <v>167</v>
      </c>
      <c r="E20" s="55">
        <v>1</v>
      </c>
      <c r="F20" s="55">
        <v>40</v>
      </c>
      <c r="G20" s="55">
        <f>E20*F20</f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167</v>
      </c>
      <c r="E21" s="55">
        <v>1</v>
      </c>
      <c r="F21" s="55">
        <v>20</v>
      </c>
      <c r="G21" s="55">
        <f>E21*F21</f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65</v>
      </c>
      <c r="H13" s="55">
        <v>105</v>
      </c>
      <c r="I13" s="55"/>
      <c r="J13" s="55"/>
      <c r="K13" s="55"/>
      <c r="L13" s="55"/>
      <c r="M13" s="55"/>
      <c r="N13" s="55"/>
      <c r="P13" s="88">
        <f>SUM(D13:N13)</f>
        <v>190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65</v>
      </c>
      <c r="H30" s="88">
        <f t="shared" si="1"/>
        <v>105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2018-06-04T15:09:28Z</dcterms:modified>
</cp:coreProperties>
</file>