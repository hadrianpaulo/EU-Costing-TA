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data_general'!$B$1:$F$83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83" i="1"/>
  <c r="E83" i="1"/>
  <c r="D83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<sst xmlns="http://schemas.openxmlformats.org/spreadsheetml/2006/main" count="487" uniqueCount="199">
  <si>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</si>
  <si>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</si>
  <si>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</si>
  <si>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</si>
  <si>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</si>
  <si>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</si>
  <si>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</si>
  <si>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</si>
  <si>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</si>
  <si>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</si>
  <si>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</si>
  <si>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</si>
  <si>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</si>
  <si>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</si>
  <si>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</si>
  <si>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</si>
  <si>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</si>
  <si>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</si>
  <si>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</si>
  <si>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</si>
  <si>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</si>
  <si>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</si>
  <si>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</si>
  <si>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</si>
  <si>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</si>
  <si>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</si>
  <si>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</si>
  <si>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</si>
  <si>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</si>
  <si>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</si>
  <si>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</si>
  <si>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</si>
  <si>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</si>
  <si>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</si>
  <si>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</si>
  <si>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</si>
  <si>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</si>
  <si>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</si>
  <si>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</si>
  <si>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</si>
  <si>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</si>
  <si>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</si>
  <si>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</si>
  <si>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</si>
  <si>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</si>
  <si>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</si>
  <si>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</si>
  <si>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</si>
  <si>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</si>
  <si>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</si>
  <si>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</si>
  <si>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</si>
  <si>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</si>
  <si>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</si>
  <si>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</si>
  <si>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</si>
  <si>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</si>
  <si>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</si>
  <si>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</si>
  <si>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</si>
  <si>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</si>
  <si>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</si>
  <si>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</si>
  <si>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</si>
  <si>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</si>
  <si>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</si>
  <si>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</si>
  <si>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</si>
  <si>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</si>
  <si>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</si>
  <si>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</si>
  <si>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</si>
  <si>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</si>
  <si>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</si>
  <si>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</si>
  <si>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</si>
  <si>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</si>
  <si>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</si>
  <si>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</si>
  <si>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</si>
  <si>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</si>
  <si>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</si>
  <si>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</si>
  <si>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</si>
  <si>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</si>
  <si>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</si>
  <si>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</si>
  <si>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</si>
  <si>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</si>
  <si>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</si>
  <si>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</si>
  <si>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</si>
  <si>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</si>
  <si>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</si>
  <si>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</si>
  <si>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</si>
  <si>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</si>
  <si>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</si>
  <si>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</si>
  <si>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</si>
  <si>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</si>
  <si>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</si>
  <si>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</si>
  <si>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</si>
  <si>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</si>
  <si>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</si>
  <si>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</si>
  <si>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</si>
  <si>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</si>
  <si>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</si>
  <si>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</si>
  <si>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</si>
  <si>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</si>
  <si>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</si>
  <si>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</si>
  <si>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</si>
  <si>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</si>
  <si>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</si>
  <si>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</si>
  <si>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</si>
  <si>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</si>
  <si>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</si>
  <si>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</si>
  <si>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</si>
  <si>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</si>
  <si>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</si>
  <si>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</si>
  <si>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</si>
  <si>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</si>
  <si>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</si>
  <si>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</si>
  <si>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</si>
  <si>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</si>
  <si>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</si>
  <si>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</si>
  <si>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</si>
  <si>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</si>
  <si>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</si>
  <si>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</si>
  <si>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</si>
  <si>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</si>
  <si>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</si>
  <si>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</si>
  <si>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</si>
  <si>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</si>
  <si>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</si>
  <si>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</si>
  <si>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</si>
  <si>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</si>
  <si>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</si>
  <si>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</si>
  <si>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</si>
  <si>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</si>
  <si>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</si>
  <si>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</si>
  <si>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</si>
  <si>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</si>
  <si>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</si>
  <si>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</si>
  <si>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</si>
  <si>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</si>
  <si>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</si>
  <si>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</si>
  <si>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</si>
  <si>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</si>
  <si>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MACROSET</t>
  </si>
  <si>
    <t>PER PIECE</t>
  </si>
  <si>
    <t>CASE RATE (room,labs,meds, etc.)</t>
  </si>
  <si>
    <t>PF CASE RATE</t>
  </si>
  <si>
    <t>I10.1</t>
  </si>
  <si>
    <t>CBC W/ PLATELET COUNT</t>
  </si>
  <si>
    <t>CHOLESTEROL</t>
  </si>
  <si>
    <t>ECG</t>
  </si>
  <si>
    <t>PNSS</t>
  </si>
  <si>
    <t>CLONIDINE</t>
  </si>
  <si>
    <t>IV FLUID</t>
  </si>
  <si>
    <t>TABLET</t>
  </si>
  <si>
    <t>AMPOULE</t>
  </si>
  <si>
    <t>1L</t>
  </si>
  <si>
    <t>75MG</t>
  </si>
  <si>
    <t>10MG</t>
  </si>
  <si>
    <t>20MG</t>
  </si>
  <si>
    <t>INSYTE G22</t>
  </si>
  <si>
    <t>IONIZED CALCIUM</t>
  </si>
  <si>
    <t>POTASSIUM</t>
  </si>
  <si>
    <t>SGPT</t>
  </si>
  <si>
    <t>CREATININE</t>
  </si>
  <si>
    <t>GLUCOSE</t>
  </si>
  <si>
    <t>TRIGLYCERIDES</t>
  </si>
  <si>
    <t>URIC ACID</t>
  </si>
  <si>
    <t>URINALYSIS</t>
  </si>
  <si>
    <t>CXR PA</t>
  </si>
  <si>
    <t>EMPLOYEE DISCOUNT</t>
  </si>
  <si>
    <t xml:space="preserve">PIROXICAM </t>
  </si>
  <si>
    <t>NICARDIPINE</t>
  </si>
  <si>
    <t>PHOSPOLIPIDS+MULTIVITAMINS</t>
  </si>
  <si>
    <t>CAPSULE</t>
  </si>
  <si>
    <t>300MG</t>
  </si>
  <si>
    <t>SOLUSET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</si>
</sst>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71</xdr:row>
          <xdr:rowOff>19050</xdr:rowOff>
        </xdr:from>
        <xdr:to>
          <xdr:col>1</xdr:col>
          <xdr:colOff>733425</xdr:colOff>
          <xdr:row>71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71</xdr:row>
          <xdr:rowOff>19050</xdr:rowOff>
        </xdr:from>
        <xdr:to>
          <xdr:col>1</xdr:col>
          <xdr:colOff>1504950</xdr:colOff>
          <xdr:row>71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20"/>
  <sheetViews>
    <sheetView topLeftCell="A42" zoomScaleNormal="100" workbookViewId="0">
      <selection activeCell="E79" sqref="E79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169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16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183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184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185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170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186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187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171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 t="s">
        <v>188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 t="s">
        <v>189</v>
      </c>
      <c r="D42" s="23"/>
      <c r="E42" s="55">
        <v>1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10</v>
      </c>
      <c r="C43" s="27" t="s">
        <v>190</v>
      </c>
      <c r="D43" s="23"/>
      <c r="E43" s="55">
        <v>1</v>
      </c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11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12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13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14</v>
      </c>
      <c r="C47" s="27"/>
      <c r="D47" s="23"/>
      <c r="E47" s="55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15</v>
      </c>
      <c r="C48" s="27"/>
      <c r="D48" s="23"/>
      <c r="E48" s="55"/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16</v>
      </c>
      <c r="C49" s="27"/>
      <c r="D49" s="23"/>
      <c r="E49" s="55"/>
      <c r="F49" s="24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8" t="s">
        <v>19</v>
      </c>
      <c r="C50" s="119"/>
      <c r="D50" s="116"/>
      <c r="E50" s="119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3"/>
      <c r="E51" s="55">
        <v>1</v>
      </c>
      <c r="F51" s="24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3"/>
      <c r="E52" s="55"/>
      <c r="F52" s="24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3"/>
      <c r="E53" s="55"/>
      <c r="F53" s="24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3"/>
      <c r="E54" s="55"/>
      <c r="F54" s="24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thickBot="1" x14ac:dyDescent="0.35">
      <c r="A55" s="1"/>
      <c r="B55" s="118" t="s">
        <v>45</v>
      </c>
      <c r="C55" s="119"/>
      <c r="D55" s="116"/>
      <c r="E55" s="119"/>
      <c r="F55" s="117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4" t="s">
        <v>46</v>
      </c>
      <c r="C56" s="13"/>
      <c r="D56" s="13"/>
      <c r="E56" s="16"/>
      <c r="F56" s="13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thickBot="1" x14ac:dyDescent="0.35">
      <c r="A57" s="1"/>
      <c r="B57" s="115" t="s">
        <v>54</v>
      </c>
      <c r="C57" s="116"/>
      <c r="D57" s="116"/>
      <c r="E57" s="116"/>
      <c r="F57" s="117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20"/>
      <c r="B58" s="30">
        <v>1</v>
      </c>
      <c r="C58" s="31"/>
      <c r="D58" s="32"/>
      <c r="E58" s="57"/>
      <c r="F58" s="57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20"/>
      <c r="B59" s="30">
        <v>2</v>
      </c>
      <c r="C59" s="31"/>
      <c r="D59" s="32"/>
      <c r="E59" s="57"/>
      <c r="F59" s="57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20"/>
      <c r="B60" s="26">
        <v>3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20"/>
      <c r="B61" s="26">
        <v>4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thickBot="1" x14ac:dyDescent="0.35">
      <c r="A62" s="1"/>
      <c r="B62" s="115" t="s">
        <v>20</v>
      </c>
      <c r="C62" s="116"/>
      <c r="D62" s="116"/>
      <c r="E62" s="116"/>
      <c r="F62" s="117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6">
        <v>1</v>
      </c>
      <c r="C63" s="27" t="s">
        <v>172</v>
      </c>
      <c r="D63" s="28"/>
      <c r="E63" s="55">
        <v>1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26">
        <v>2</v>
      </c>
      <c r="C64" s="27" t="s">
        <v>191</v>
      </c>
      <c r="D64" s="28"/>
      <c r="E64" s="55">
        <v>1</v>
      </c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26">
        <v>3</v>
      </c>
      <c r="C65" s="27"/>
      <c r="D65" s="28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26">
        <v>4</v>
      </c>
      <c r="C66" s="27"/>
      <c r="D66" s="28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26">
        <v>5</v>
      </c>
      <c r="C67" s="27"/>
      <c r="D67" s="28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26">
        <v>6</v>
      </c>
      <c r="C68" s="27"/>
      <c r="D68" s="28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25"/>
      <c r="C69" s="25"/>
      <c r="D69" s="25"/>
      <c r="E69" s="25"/>
      <c r="F69" s="2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57.75" customHeight="1" thickBot="1" x14ac:dyDescent="0.35">
      <c r="A71" s="1"/>
      <c r="B71" s="17" t="s">
        <v>56</v>
      </c>
      <c r="C71" s="17" t="s">
        <v>52</v>
      </c>
      <c r="D71" s="17" t="s">
        <v>57</v>
      </c>
      <c r="E71" s="18" t="s">
        <v>58</v>
      </c>
      <c r="F71" s="19" t="s">
        <v>21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2">
        <v>1</v>
      </c>
      <c r="C72" s="27" t="s">
        <v>167</v>
      </c>
      <c r="D72" s="55">
        <v>6300</v>
      </c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2</v>
      </c>
      <c r="C73" s="27" t="s">
        <v>192</v>
      </c>
      <c r="D73" s="55"/>
      <c r="E73" s="55">
        <v>1397</v>
      </c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3</v>
      </c>
      <c r="C74" s="27" t="s">
        <v>168</v>
      </c>
      <c r="D74" s="55">
        <v>2700</v>
      </c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4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0">
        <v>5</v>
      </c>
      <c r="C76" s="27"/>
      <c r="D76" s="55"/>
      <c r="E76" s="55"/>
      <c r="F76" s="55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0">
        <v>6</v>
      </c>
      <c r="C77" s="27"/>
      <c r="D77" s="55"/>
      <c r="E77" s="55"/>
      <c r="F77" s="55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0">
        <v>7</v>
      </c>
      <c r="C78" s="27"/>
      <c r="D78" s="55"/>
      <c r="E78" s="55"/>
      <c r="F78" s="55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0">
        <v>8</v>
      </c>
      <c r="C79" s="27"/>
      <c r="D79" s="55"/>
      <c r="E79" s="55"/>
      <c r="F79" s="55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0">
        <v>9</v>
      </c>
      <c r="C80" s="27"/>
      <c r="D80" s="55"/>
      <c r="E80" s="55"/>
      <c r="F80" s="55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0">
        <v>10</v>
      </c>
      <c r="C81" s="27"/>
      <c r="D81" s="55"/>
      <c r="E81" s="55"/>
      <c r="F81" s="55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4.9000000000000004" customHeight="1" thickBot="1" x14ac:dyDescent="0.35">
      <c r="A82" s="1"/>
      <c r="B82" s="1"/>
      <c r="C82" s="1"/>
      <c r="D82" s="58"/>
      <c r="E82" s="58"/>
      <c r="F82" s="58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thickTop="1" x14ac:dyDescent="0.3">
      <c r="A83" s="1"/>
      <c r="B83" s="11"/>
      <c r="C83" s="4" t="s">
        <v>22</v>
      </c>
      <c r="D83" s="59">
        <f>SUM(D72:D82)</f>
        <v>9000</v>
      </c>
      <c r="E83" s="59">
        <f>SUM(E72:E82)</f>
        <v>1397</v>
      </c>
      <c r="F83" s="59">
        <f>SUM(F72:F82)</f>
        <v>0</v>
      </c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ht="13.5" customHeight="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  <row r="1016" spans="1:25" ht="13.5" customHeight="1" x14ac:dyDescent="0.3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</row>
    <row r="1017" spans="1:25" ht="13.5" customHeight="1" x14ac:dyDescent="0.3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</row>
    <row r="1018" spans="1:25" ht="13.5" customHeight="1" x14ac:dyDescent="0.3">
      <c r="A1018" s="1"/>
      <c r="B1018" s="1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</row>
    <row r="1019" spans="1:25" ht="13.5" customHeight="1" x14ac:dyDescent="0.3">
      <c r="A1019" s="1"/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</row>
    <row r="1020" spans="1:25" ht="13.5" customHeight="1" x14ac:dyDescent="0.3">
      <c r="A1020" s="1"/>
      <c r="B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</row>
  </sheetData>
  <sheetProtection password="C2E9" sheet="1" objects="1" scenarios="1" formatColumns="0" formatRows="0" sort="0" autoFilter="0"/>
  <mergeCells count="12">
    <mergeCell ref="B62:F62"/>
    <mergeCell ref="B55:F55"/>
    <mergeCell ref="B12:F12"/>
    <mergeCell ref="B13:F13"/>
    <mergeCell ref="B14:F14"/>
    <mergeCell ref="B15:F15"/>
    <mergeCell ref="B18:F18"/>
    <mergeCell ref="B22:F22"/>
    <mergeCell ref="B33:F33"/>
    <mergeCell ref="B28:F28"/>
    <mergeCell ref="B50:F50"/>
    <mergeCell ref="B57:F57"/>
  </mergeCells>
  <dataValidations count="1">
    <dataValidation type="decimal" operator="greaterThanOrEqual" allowBlank="1" showInputMessage="1" showErrorMessage="1" sqref="E32 E51:E54 E56 E23:F27 E58:F61 E63:F68 D72:F81 E34:E36 E37:E49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70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71</xdr:row>
                    <xdr:rowOff>19050</xdr:rowOff>
                  </from>
                  <to>
                    <xdr:col>1</xdr:col>
                    <xdr:colOff>733425</xdr:colOff>
                    <xdr:row>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71</xdr:row>
                    <xdr:rowOff>19050</xdr:rowOff>
                  </from>
                  <to>
                    <xdr:col>1</xdr:col>
                    <xdr:colOff>1504950</xdr:colOff>
                    <xdr:row>71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5" workbookViewId="0">
      <selection activeCell="G21" sqref="G2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I10.1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173</v>
      </c>
      <c r="D11" s="27" t="s">
        <v>175</v>
      </c>
      <c r="E11" s="27" t="s">
        <v>178</v>
      </c>
      <c r="F11" s="55">
        <v>2</v>
      </c>
      <c r="G11" s="55">
        <v>1</v>
      </c>
      <c r="H11" s="55">
        <v>2</v>
      </c>
      <c r="I11" s="55">
        <v>310</v>
      </c>
      <c r="J11" s="55">
        <f t="shared" ref="J11:J17" si="0">H11*I11</f>
        <v>620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174</v>
      </c>
      <c r="D12" s="27" t="s">
        <v>176</v>
      </c>
      <c r="E12" s="27" t="s">
        <v>179</v>
      </c>
      <c r="F12" s="55">
        <v>1</v>
      </c>
      <c r="G12" s="55">
        <v>1</v>
      </c>
      <c r="H12" s="55">
        <v>1</v>
      </c>
      <c r="I12" s="55">
        <v>35</v>
      </c>
      <c r="J12" s="55">
        <f t="shared" si="0"/>
        <v>35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193</v>
      </c>
      <c r="D13" s="27" t="s">
        <v>176</v>
      </c>
      <c r="E13" s="27" t="s">
        <v>181</v>
      </c>
      <c r="F13" s="55">
        <v>1</v>
      </c>
      <c r="G13" s="55">
        <v>1</v>
      </c>
      <c r="H13" s="55">
        <v>1</v>
      </c>
      <c r="I13" s="55">
        <v>150</v>
      </c>
      <c r="J13" s="55">
        <f t="shared" si="0"/>
        <v>150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194</v>
      </c>
      <c r="D14" s="27" t="s">
        <v>177</v>
      </c>
      <c r="E14" s="27" t="s">
        <v>180</v>
      </c>
      <c r="F14" s="55">
        <v>1</v>
      </c>
      <c r="G14" s="55">
        <v>1</v>
      </c>
      <c r="H14" s="55">
        <v>1</v>
      </c>
      <c r="I14" s="55">
        <v>1200</v>
      </c>
      <c r="J14" s="55">
        <f t="shared" si="0"/>
        <v>1200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195</v>
      </c>
      <c r="D15" s="27" t="s">
        <v>196</v>
      </c>
      <c r="E15" s="27" t="s">
        <v>197</v>
      </c>
      <c r="F15" s="55">
        <v>2</v>
      </c>
      <c r="G15" s="55">
        <v>1</v>
      </c>
      <c r="H15" s="55">
        <v>8</v>
      </c>
      <c r="I15" s="55">
        <v>59</v>
      </c>
      <c r="J15" s="55">
        <f t="shared" si="0"/>
        <v>472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F19" sqref="F1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I10.1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165</v>
      </c>
      <c r="D16" s="70" t="s">
        <v>166</v>
      </c>
      <c r="E16" s="55">
        <v>1</v>
      </c>
      <c r="F16" s="55">
        <v>150</v>
      </c>
      <c r="G16" s="55">
        <f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182</v>
      </c>
      <c r="D17" s="70" t="s">
        <v>166</v>
      </c>
      <c r="E17" s="55">
        <v>1</v>
      </c>
      <c r="F17" s="55">
        <v>150</v>
      </c>
      <c r="G17" s="55">
        <f>E17*F17</f>
        <v>150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198</v>
      </c>
      <c r="D18" s="70" t="s">
        <v>166</v>
      </c>
      <c r="E18" s="55">
        <v>1</v>
      </c>
      <c r="F18" s="55">
        <v>350</v>
      </c>
      <c r="G18" s="55">
        <f>E18*F18</f>
        <v>350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>E19*F19</f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3" workbookViewId="0">
      <selection activeCell="F19" sqref="F19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I10.1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10</v>
      </c>
      <c r="E13" s="55"/>
      <c r="F13" s="55">
        <v>10</v>
      </c>
      <c r="G13" s="55">
        <v>50</v>
      </c>
      <c r="H13" s="55">
        <v>135</v>
      </c>
      <c r="I13" s="55"/>
      <c r="J13" s="55"/>
      <c r="K13" s="55"/>
      <c r="L13" s="55"/>
      <c r="M13" s="55"/>
      <c r="N13" s="55"/>
      <c r="P13" s="88">
        <f>SUM(D13:N13)</f>
        <v>205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10</v>
      </c>
      <c r="E30" s="88">
        <f t="shared" si="1"/>
        <v>0</v>
      </c>
      <c r="F30" s="88">
        <f t="shared" si="1"/>
        <v>10</v>
      </c>
      <c r="G30" s="88">
        <f t="shared" si="1"/>
        <v>50</v>
      </c>
      <c r="H30" s="88">
        <f t="shared" si="1"/>
        <v>135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205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2018-06-04T06:51:00Z</dcterms:modified>
</cp:coreProperties>
</file>