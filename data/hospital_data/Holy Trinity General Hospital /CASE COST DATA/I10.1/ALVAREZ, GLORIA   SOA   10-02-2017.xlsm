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<sst xmlns="http://schemas.openxmlformats.org/spreadsheetml/2006/main" count="485" uniqueCount="195">
  <si>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</si>
  <si>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</si>
  <si>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</si>
  <si>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</si>
  <si>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</si>
  <si>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</si>
  <si>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</si>
  <si>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</si>
  <si>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</si>
  <si>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</si>
  <si>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</si>
  <si>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</si>
  <si>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</si>
  <si>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</si>
  <si>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</si>
  <si>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</si>
  <si>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</si>
  <si>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</si>
  <si>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</si>
  <si>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</si>
  <si>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</si>
  <si>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</si>
  <si>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</si>
  <si>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</si>
  <si>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</si>
  <si>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</si>
  <si>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</si>
  <si>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</si>
  <si>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</si>
  <si>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</si>
  <si>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</si>
  <si>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</si>
  <si>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</si>
  <si>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</si>
  <si>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</si>
  <si>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</si>
  <si>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</si>
  <si>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</si>
  <si>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</si>
  <si>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</si>
  <si>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</si>
  <si>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</si>
  <si>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</si>
  <si>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</si>
  <si>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</si>
  <si>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</si>
  <si>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</si>
  <si>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</si>
  <si>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</si>
  <si>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</si>
  <si>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</si>
  <si>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</si>
  <si>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</si>
  <si>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</si>
  <si>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</si>
  <si>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</si>
  <si>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</si>
  <si>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</si>
  <si>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</si>
  <si>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</si>
  <si>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</si>
  <si>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</si>
  <si>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</si>
  <si>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</si>
  <si>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</si>
  <si>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</si>
  <si>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</si>
  <si>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</si>
  <si>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</si>
  <si>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</si>
  <si>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</si>
  <si>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</si>
  <si>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</si>
  <si>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</si>
  <si>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</si>
  <si>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</si>
  <si>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</si>
  <si>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</si>
  <si>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</si>
  <si>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</si>
  <si>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</si>
  <si>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</si>
  <si>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</si>
  <si>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</si>
  <si>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</si>
  <si>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</si>
  <si>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</si>
  <si>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</si>
  <si>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</si>
  <si>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</si>
  <si>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</si>
  <si>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</si>
  <si>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</si>
  <si>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</si>
  <si>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</si>
  <si>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</si>
  <si>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</si>
  <si>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</si>
  <si>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</si>
  <si>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</si>
  <si>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</si>
  <si>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</si>
  <si>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</si>
  <si>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</si>
  <si>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</si>
  <si>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</si>
  <si>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</si>
  <si>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</si>
  <si>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</si>
  <si>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</si>
  <si>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</si>
  <si>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</si>
  <si>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</si>
  <si>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</si>
  <si>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</si>
  <si>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</si>
  <si>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</si>
  <si>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</si>
  <si>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</si>
  <si>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</si>
  <si>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</si>
  <si>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</si>
  <si>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</si>
  <si>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</si>
  <si>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</si>
  <si>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</si>
  <si>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</si>
  <si>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</si>
  <si>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</si>
  <si>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</si>
  <si>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</si>
  <si>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</si>
  <si>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</si>
  <si>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</si>
  <si>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</si>
  <si>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</si>
  <si>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</si>
  <si>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</si>
  <si>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</si>
  <si>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</si>
  <si>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</si>
  <si>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</si>
  <si>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</si>
  <si>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</si>
  <si>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</si>
  <si>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</si>
  <si>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</si>
  <si>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</si>
  <si>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</si>
  <si>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</si>
  <si>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</si>
  <si>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</si>
  <si>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</si>
  <si>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</si>
  <si>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</si>
  <si>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</si>
  <si>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</si>
  <si>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</si>
  <si>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</si>
  <si>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</si>
  <si>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</si>
  <si>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</si>
  <si>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</si>
  <si>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</si>
  <si>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</si>
  <si>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</si>
  <si>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</si>
  <si>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</si>
  <si>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</si>
  <si>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</si>
  <si>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</si>
  <si>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</si>
  <si>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</si>
  <si>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ECG</t>
  </si>
  <si>
    <t>PNSS</t>
  </si>
  <si>
    <t>CLONIDINE</t>
  </si>
  <si>
    <t>IV FLUID</t>
  </si>
  <si>
    <t>TABLET</t>
  </si>
  <si>
    <t>75MG</t>
  </si>
  <si>
    <t>INSYTE G22</t>
  </si>
  <si>
    <t>5CC SYRINGE</t>
  </si>
  <si>
    <t>3CC SYRINGE</t>
  </si>
  <si>
    <t>CHOLESTEROL</t>
  </si>
  <si>
    <t>TRIGLYCERIDES</t>
  </si>
  <si>
    <t>RBS</t>
  </si>
  <si>
    <t>METOCLOPRAMIDE</t>
  </si>
  <si>
    <t>OMPEPRAZOLE</t>
  </si>
  <si>
    <t>AMLODIPINE</t>
  </si>
  <si>
    <t>DIMENHYDRINATE+CINNARIZINE</t>
  </si>
  <si>
    <t>AMPOULE</t>
  </si>
  <si>
    <t>1L</t>
  </si>
  <si>
    <t>10MG</t>
  </si>
  <si>
    <t>40MG/VIAL</t>
  </si>
  <si>
    <t>5MG</t>
  </si>
  <si>
    <t>40MG/20MG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</si>
</sst>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63" zoomScaleNormal="100" workbookViewId="0">
      <selection activeCell="F67" sqref="F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45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46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54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173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56</v>
      </c>
      <c r="C64" s="17" t="s">
        <v>52</v>
      </c>
      <c r="D64" s="17" t="s">
        <v>57</v>
      </c>
      <c r="E64" s="18" t="s">
        <v>58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168</v>
      </c>
      <c r="D65" s="55">
        <v>6300</v>
      </c>
      <c r="E65" s="55"/>
      <c r="F65" s="55">
        <v>450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169</v>
      </c>
      <c r="D66" s="55">
        <v>2700</v>
      </c>
      <c r="E66" s="55"/>
      <c r="F66" s="55">
        <v>50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9000</v>
      </c>
      <c r="E76" s="59">
        <f>SUM(E65:E75)</f>
        <v>0</v>
      </c>
      <c r="F76" s="59">
        <f>SUM(F65:F75)</f>
        <v>500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workbookViewId="0">
      <selection activeCell="H20" sqref="H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176</v>
      </c>
      <c r="E11" s="27" t="s">
        <v>190</v>
      </c>
      <c r="F11" s="55">
        <v>2</v>
      </c>
      <c r="G11" s="55">
        <v>1</v>
      </c>
      <c r="H11" s="55">
        <v>3</v>
      </c>
      <c r="I11" s="55">
        <v>310</v>
      </c>
      <c r="J11" s="55">
        <f t="shared" ref="J11:J18" si="0">H11*I11</f>
        <v>930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177</v>
      </c>
      <c r="E12" s="27" t="s">
        <v>178</v>
      </c>
      <c r="F12" s="55">
        <v>1</v>
      </c>
      <c r="G12" s="55">
        <v>1</v>
      </c>
      <c r="H12" s="55">
        <v>1</v>
      </c>
      <c r="I12" s="55">
        <v>35</v>
      </c>
      <c r="J12" s="55">
        <f t="shared" si="0"/>
        <v>35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189</v>
      </c>
      <c r="E13" s="27" t="s">
        <v>191</v>
      </c>
      <c r="F13" s="55">
        <v>1</v>
      </c>
      <c r="G13" s="55">
        <v>1</v>
      </c>
      <c r="H13" s="55">
        <v>1</v>
      </c>
      <c r="I13" s="55">
        <v>300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165</v>
      </c>
      <c r="E14" s="27" t="s">
        <v>192</v>
      </c>
      <c r="F14" s="55">
        <v>1</v>
      </c>
      <c r="G14" s="55">
        <v>1</v>
      </c>
      <c r="H14" s="55">
        <v>1</v>
      </c>
      <c r="I14" s="55">
        <v>1200</v>
      </c>
      <c r="J14" s="55">
        <f t="shared" si="0"/>
        <v>1200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177</v>
      </c>
      <c r="E15" s="27" t="s">
        <v>193</v>
      </c>
      <c r="F15" s="55">
        <v>1</v>
      </c>
      <c r="G15" s="55">
        <v>1</v>
      </c>
      <c r="H15" s="55">
        <v>1</v>
      </c>
      <c r="I15" s="55">
        <v>25</v>
      </c>
      <c r="J15" s="55">
        <f t="shared" si="0"/>
        <v>25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188</v>
      </c>
      <c r="D16" s="27" t="s">
        <v>177</v>
      </c>
      <c r="E16" s="27" t="s">
        <v>194</v>
      </c>
      <c r="F16" s="55">
        <v>1</v>
      </c>
      <c r="G16" s="55">
        <v>1</v>
      </c>
      <c r="H16" s="55">
        <v>2</v>
      </c>
      <c r="I16" s="55">
        <v>60</v>
      </c>
      <c r="J16" s="55">
        <f t="shared" si="0"/>
        <v>120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167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167</v>
      </c>
      <c r="E18" s="55">
        <v>1</v>
      </c>
      <c r="F18" s="55">
        <v>20</v>
      </c>
      <c r="G18" s="55">
        <f>E18*F18</f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167</v>
      </c>
      <c r="E19" s="55">
        <v>1</v>
      </c>
      <c r="F19" s="55">
        <v>20</v>
      </c>
      <c r="G19" s="55">
        <f>E19*F19</f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45</v>
      </c>
      <c r="H13" s="55">
        <v>90</v>
      </c>
      <c r="I13" s="55"/>
      <c r="J13" s="55"/>
      <c r="K13" s="55"/>
      <c r="L13" s="55"/>
      <c r="M13" s="55"/>
      <c r="N13" s="55"/>
      <c r="P13" s="88">
        <f>SUM(D13:N13)</f>
        <v>155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45</v>
      </c>
      <c r="H30" s="88">
        <f t="shared" si="1"/>
        <v>90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2018-06-04T14:48:35Z</dcterms:modified>
</cp:coreProperties>
</file>