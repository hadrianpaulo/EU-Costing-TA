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<sst xmlns="http://schemas.openxmlformats.org/spreadsheetml/2006/main" count="480" uniqueCount="193">
  <si>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</si>
  <si>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</si>
  <si>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</si>
  <si>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</si>
  <si>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</si>
  <si>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</si>
  <si>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</si>
  <si>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</si>
  <si>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</si>
  <si>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</si>
  <si>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</si>
  <si>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</si>
  <si>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</si>
  <si>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</si>
  <si>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</si>
  <si>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</si>
  <si>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</si>
  <si>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</si>
  <si>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</si>
  <si>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</si>
  <si>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</si>
  <si>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</si>
  <si>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</si>
  <si>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</si>
  <si>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</si>
  <si>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</si>
  <si>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</si>
  <si>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</si>
  <si>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</si>
  <si>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</si>
  <si>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</si>
  <si>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</si>
  <si>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</si>
  <si>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</si>
  <si>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</si>
  <si>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</si>
  <si>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</si>
  <si>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</si>
  <si>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</si>
  <si>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</si>
  <si>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</si>
  <si>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</si>
  <si>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</si>
  <si>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</si>
  <si>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</si>
  <si>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</si>
  <si>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</si>
  <si>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</si>
  <si>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</si>
  <si>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</si>
  <si>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</si>
  <si>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</si>
  <si>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</si>
  <si>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</si>
  <si>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</si>
  <si>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</si>
  <si>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</si>
  <si>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</si>
  <si>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</si>
  <si>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</si>
  <si>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</si>
  <si>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</si>
  <si>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</si>
  <si>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</si>
  <si>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</si>
  <si>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</si>
  <si>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</si>
  <si>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</si>
  <si>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</si>
  <si>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</si>
  <si>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</si>
  <si>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</si>
  <si>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</si>
  <si>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</si>
  <si>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</si>
  <si>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</si>
  <si>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</si>
  <si>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</si>
  <si>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</si>
  <si>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</si>
  <si>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</si>
  <si>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</si>
  <si>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</si>
  <si>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</si>
  <si>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</si>
  <si>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</si>
  <si>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</si>
  <si>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</si>
  <si>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</si>
  <si>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</si>
  <si>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</si>
  <si>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</si>
  <si>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</si>
  <si>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</si>
  <si>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</si>
  <si>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</si>
  <si>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</si>
  <si>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</si>
  <si>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</si>
  <si>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</si>
  <si>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</si>
  <si>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</si>
  <si>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</si>
  <si>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</si>
  <si>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</si>
  <si>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</si>
  <si>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</si>
  <si>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</si>
  <si>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</si>
  <si>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</si>
  <si>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</si>
  <si>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</si>
  <si>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</si>
  <si>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</si>
  <si>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</si>
  <si>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</si>
  <si>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</si>
  <si>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</si>
  <si>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</si>
  <si>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</si>
  <si>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</si>
  <si>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</si>
  <si>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</si>
  <si>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</si>
  <si>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</si>
  <si>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</si>
  <si>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</si>
  <si>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</si>
  <si>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</si>
  <si>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</si>
  <si>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</si>
  <si>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</si>
  <si>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</si>
  <si>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</si>
  <si>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</si>
  <si>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</si>
  <si>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</si>
  <si>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</si>
  <si>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</si>
  <si>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</si>
  <si>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</si>
  <si>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</si>
  <si>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</si>
  <si>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</si>
  <si>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</si>
  <si>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</si>
  <si>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</si>
  <si>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</si>
  <si>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</si>
  <si>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</si>
  <si>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</si>
  <si>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</si>
  <si>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</si>
  <si>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</si>
  <si>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</si>
  <si>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</si>
  <si>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</si>
  <si>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</si>
  <si>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</si>
  <si>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</si>
  <si>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</si>
  <si>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</si>
  <si>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</si>
  <si>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</si>
  <si>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</si>
  <si>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</si>
  <si>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</si>
  <si>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</si>
  <si>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</si>
  <si>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</si>
  <si>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</si>
  <si>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</si>
  <si>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CHOLESTEROL</t>
  </si>
  <si>
    <t>TRIGLYCERIDES</t>
  </si>
  <si>
    <t>ECG</t>
  </si>
  <si>
    <t>PNSS</t>
  </si>
  <si>
    <t>CLONIDINE</t>
  </si>
  <si>
    <t>OMEPRAZOLE</t>
  </si>
  <si>
    <t>IV FLUID</t>
  </si>
  <si>
    <t>TABLET</t>
  </si>
  <si>
    <t>1L</t>
  </si>
  <si>
    <t>75MG</t>
  </si>
  <si>
    <t>INSYTE G22</t>
  </si>
  <si>
    <t>URINALYSIS</t>
  </si>
  <si>
    <t>CREATININE</t>
  </si>
  <si>
    <t>GLUCOSE</t>
  </si>
  <si>
    <t>URIC ACID</t>
  </si>
  <si>
    <t xml:space="preserve">CXR </t>
  </si>
  <si>
    <t>SENIOR</t>
  </si>
  <si>
    <t xml:space="preserve">ETORICOXIB </t>
  </si>
  <si>
    <t>120MG</t>
  </si>
  <si>
    <t>CAPSULE</t>
  </si>
  <si>
    <t>40MG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</si>
</sst>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zoomScaleNormal="100" workbookViewId="0">
      <selection activeCell="L18" sqref="L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174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 t="s">
        <v>187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6300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188</v>
      </c>
      <c r="D66" s="55"/>
      <c r="E66" s="55">
        <v>80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168</v>
      </c>
      <c r="D67" s="55">
        <v>2700</v>
      </c>
      <c r="E67" s="55"/>
      <c r="F67" s="55">
        <v>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80</v>
      </c>
      <c r="F76" s="59">
        <f>SUM(F65:F75)</f>
        <v>50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179</v>
      </c>
      <c r="E11" s="27" t="s">
        <v>190</v>
      </c>
      <c r="F11" s="55">
        <v>1</v>
      </c>
      <c r="G11" s="55">
        <v>1</v>
      </c>
      <c r="H11" s="55">
        <v>1</v>
      </c>
      <c r="I11" s="55">
        <v>130</v>
      </c>
      <c r="J11" s="55">
        <f t="shared" ref="J11:J17" si="0">H11*I11</f>
        <v>130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191</v>
      </c>
      <c r="E12" s="27" t="s">
        <v>192</v>
      </c>
      <c r="F12" s="55">
        <v>2</v>
      </c>
      <c r="G12" s="55">
        <v>1</v>
      </c>
      <c r="H12" s="55">
        <v>2</v>
      </c>
      <c r="I12" s="55">
        <v>50</v>
      </c>
      <c r="J12" s="55">
        <f t="shared" si="0"/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178</v>
      </c>
      <c r="E13" s="27" t="s">
        <v>180</v>
      </c>
      <c r="F13" s="55">
        <v>1</v>
      </c>
      <c r="G13" s="55">
        <v>1</v>
      </c>
      <c r="H13" s="55">
        <v>1</v>
      </c>
      <c r="I13" s="55">
        <v>310</v>
      </c>
      <c r="J13" s="55">
        <f t="shared" si="0"/>
        <v>310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179</v>
      </c>
      <c r="E14" s="27" t="s">
        <v>181</v>
      </c>
      <c r="F14" s="55">
        <v>1</v>
      </c>
      <c r="G14" s="55">
        <v>1</v>
      </c>
      <c r="H14" s="55">
        <v>1</v>
      </c>
      <c r="I14" s="55">
        <v>35</v>
      </c>
      <c r="J14" s="55">
        <f t="shared" si="0"/>
        <v>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G22" sqref="G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40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2018-06-04T06:49:25Z</dcterms:modified>
</cp:coreProperties>
</file>