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9" i="2" l="1"/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<sst xmlns="http://schemas.openxmlformats.org/spreadsheetml/2006/main" count="496" uniqueCount="203">
  <si>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</si>
  <si>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</si>
  <si>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</si>
  <si>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</si>
  <si>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</si>
  <si>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</si>
  <si>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</si>
  <si>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</si>
  <si>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</si>
  <si>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</si>
  <si>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</si>
  <si>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</si>
  <si>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</si>
  <si>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</si>
  <si>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</si>
  <si>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</si>
  <si>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</si>
  <si>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</si>
  <si>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</si>
  <si>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</si>
  <si>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</si>
  <si>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</si>
  <si>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</si>
  <si>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</si>
  <si>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</si>
  <si>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</si>
  <si>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</si>
  <si>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</si>
  <si>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</si>
  <si>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</si>
  <si>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</si>
  <si>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</si>
  <si>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</si>
  <si>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</si>
  <si>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</si>
  <si>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</si>
  <si>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</si>
  <si>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</si>
  <si>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</si>
  <si>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</si>
  <si>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</si>
  <si>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</si>
  <si>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</si>
  <si>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</si>
  <si>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</si>
  <si>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</si>
  <si>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</si>
  <si>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</si>
  <si>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</si>
  <si>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</si>
  <si>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</si>
  <si>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</si>
  <si>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</si>
  <si>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</si>
  <si>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</si>
  <si>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</si>
  <si>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</si>
  <si>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</si>
  <si>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</si>
  <si>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</si>
  <si>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</si>
  <si>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</si>
  <si>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</si>
  <si>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</si>
  <si>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</si>
  <si>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</si>
  <si>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</si>
  <si>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</si>
  <si>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</si>
  <si>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</si>
  <si>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</si>
  <si>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</si>
  <si>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</si>
  <si>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</si>
  <si>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</si>
  <si>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</si>
  <si>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</si>
  <si>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</si>
  <si>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</si>
  <si>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</si>
  <si>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</si>
  <si>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</si>
  <si>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</si>
  <si>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</si>
  <si>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</si>
  <si>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</si>
  <si>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</si>
  <si>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</si>
  <si>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</si>
  <si>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</si>
  <si>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</si>
  <si>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</si>
  <si>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</si>
  <si>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</si>
  <si>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</si>
  <si>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</si>
  <si>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</si>
  <si>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</si>
  <si>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</si>
  <si>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</si>
  <si>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</si>
  <si>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</si>
  <si>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</si>
  <si>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</si>
  <si>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</si>
  <si>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</si>
  <si>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</si>
  <si>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</si>
  <si>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</si>
  <si>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</si>
  <si>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</si>
  <si>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</si>
  <si>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</si>
  <si>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</si>
  <si>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</si>
  <si>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</si>
  <si>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</si>
  <si>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</si>
  <si>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</si>
  <si>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</si>
  <si>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</si>
  <si>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</si>
  <si>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</si>
  <si>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</si>
  <si>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</si>
  <si>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</si>
  <si>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</si>
  <si>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</si>
  <si>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</si>
  <si>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</si>
  <si>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</si>
  <si>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</si>
  <si>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</si>
  <si>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</si>
  <si>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</si>
  <si>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</si>
  <si>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</si>
  <si>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</si>
  <si>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</si>
  <si>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</si>
  <si>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</si>
  <si>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</si>
  <si>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</si>
  <si>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</si>
  <si>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</si>
  <si>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</si>
  <si>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</si>
  <si>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</si>
  <si>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</si>
  <si>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</si>
  <si>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</si>
  <si>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</si>
  <si>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</si>
  <si>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</si>
  <si>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</si>
  <si>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</si>
  <si>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</si>
  <si>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</si>
  <si>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</si>
  <si>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</si>
  <si>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</si>
  <si>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</si>
  <si>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</si>
  <si>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</si>
  <si>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</si>
  <si>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</si>
  <si>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</si>
  <si>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</si>
  <si>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</si>
  <si>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</si>
  <si>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</si>
  <si>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</si>
  <si>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</si>
  <si>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</si>
  <si>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IV FLUID</t>
  </si>
  <si>
    <t>TABLET</t>
  </si>
  <si>
    <t>INSYTE G22</t>
  </si>
  <si>
    <t>CHOLESTEROL</t>
  </si>
  <si>
    <t>TRIGLYCERIDES</t>
  </si>
  <si>
    <t>1L</t>
  </si>
  <si>
    <t>IONIZED CALCIUM</t>
  </si>
  <si>
    <t>CREATININE</t>
  </si>
  <si>
    <t>SGPT</t>
  </si>
  <si>
    <t>GLUCOSE</t>
  </si>
  <si>
    <t>CXR</t>
  </si>
  <si>
    <t>POTASSIUM CHLORIDE</t>
  </si>
  <si>
    <t>600MG</t>
  </si>
  <si>
    <t>50MG</t>
  </si>
  <si>
    <t>URIC ACID</t>
  </si>
  <si>
    <t>EMPLOYEE DISCOUNT</t>
  </si>
  <si>
    <t xml:space="preserve">LOSARTAN </t>
  </si>
  <si>
    <t>CELECOXIB</t>
  </si>
  <si>
    <t>CAPSULE</t>
  </si>
  <si>
    <t>200MG</t>
  </si>
  <si>
    <t>VITAMIN B COMPLEX</t>
  </si>
  <si>
    <t>PIROXICAM</t>
  </si>
  <si>
    <t>20MG</t>
  </si>
  <si>
    <t>VIAL</t>
  </si>
  <si>
    <t>40MEQ</t>
  </si>
  <si>
    <t>CALTRATE PLUS</t>
  </si>
  <si>
    <t xml:space="preserve">DIMENHYDRINATE+CINNARIZINE </t>
  </si>
  <si>
    <t>40MG/20MG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</si>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</sst>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6" zoomScaleNormal="100" workbookViewId="0">
      <selection activeCell="F71" sqref="F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172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184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189</v>
      </c>
      <c r="D69" s="55"/>
      <c r="E69" s="55">
        <v>1318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 t="s">
        <v>168</v>
      </c>
      <c r="D70" s="55">
        <v>2700</v>
      </c>
      <c r="E70" s="55"/>
      <c r="F70" s="55">
        <v>50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1318</v>
      </c>
      <c r="F79" s="59">
        <f>SUM(F68:F78)</f>
        <v>50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44" workbookViewId="0">
      <selection activeCell="J22" sqref="J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175</v>
      </c>
      <c r="E11" s="27" t="s">
        <v>187</v>
      </c>
      <c r="F11" s="55">
        <v>1</v>
      </c>
      <c r="G11" s="55">
        <v>1</v>
      </c>
      <c r="H11" s="55">
        <v>1</v>
      </c>
      <c r="I11" s="55">
        <v>30</v>
      </c>
      <c r="J11" s="55">
        <f t="shared" ref="J11:J19" si="0">H11*I11</f>
        <v>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192</v>
      </c>
      <c r="E12" s="27" t="s">
        <v>193</v>
      </c>
      <c r="F12" s="55">
        <v>2</v>
      </c>
      <c r="G12" s="55">
        <v>1</v>
      </c>
      <c r="H12" s="55">
        <v>3</v>
      </c>
      <c r="I12" s="55">
        <v>100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192</v>
      </c>
      <c r="E13" s="27"/>
      <c r="F13" s="55">
        <v>1</v>
      </c>
      <c r="G13" s="55">
        <v>1</v>
      </c>
      <c r="H13" s="55">
        <v>2</v>
      </c>
      <c r="I13" s="55">
        <v>30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175</v>
      </c>
      <c r="E14" s="27" t="s">
        <v>196</v>
      </c>
      <c r="F14" s="55">
        <v>1</v>
      </c>
      <c r="G14" s="55">
        <v>1</v>
      </c>
      <c r="H14" s="55">
        <v>1</v>
      </c>
      <c r="I14" s="55">
        <v>150</v>
      </c>
      <c r="J14" s="55">
        <f t="shared" si="0"/>
        <v>150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197</v>
      </c>
      <c r="E15" s="27" t="s">
        <v>198</v>
      </c>
      <c r="F15" s="55">
        <v>1</v>
      </c>
      <c r="G15" s="55">
        <v>1</v>
      </c>
      <c r="H15" s="55">
        <v>1</v>
      </c>
      <c r="I15" s="55">
        <v>300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173</v>
      </c>
      <c r="D16" s="27" t="s">
        <v>174</v>
      </c>
      <c r="E16" s="27" t="s">
        <v>179</v>
      </c>
      <c r="F16" s="55">
        <v>1</v>
      </c>
      <c r="G16" s="55">
        <v>1</v>
      </c>
      <c r="H16" s="55">
        <v>2</v>
      </c>
      <c r="I16" s="55">
        <v>310</v>
      </c>
      <c r="J16" s="55">
        <f t="shared" si="0"/>
        <v>620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175</v>
      </c>
      <c r="E17" s="27"/>
      <c r="F17" s="55">
        <v>2</v>
      </c>
      <c r="G17" s="55">
        <v>1</v>
      </c>
      <c r="H17" s="55">
        <v>3</v>
      </c>
      <c r="I17" s="55">
        <v>16</v>
      </c>
      <c r="J17" s="55">
        <f t="shared" si="0"/>
        <v>48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185</v>
      </c>
      <c r="D18" s="27" t="s">
        <v>175</v>
      </c>
      <c r="E18" s="27" t="s">
        <v>186</v>
      </c>
      <c r="F18" s="55">
        <v>3</v>
      </c>
      <c r="G18" s="55">
        <v>1</v>
      </c>
      <c r="H18" s="55">
        <v>6</v>
      </c>
      <c r="I18" s="55">
        <v>70</v>
      </c>
      <c r="J18" s="55">
        <f t="shared" si="0"/>
        <v>420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175</v>
      </c>
      <c r="E19" s="27" t="s">
        <v>201</v>
      </c>
      <c r="F19" s="55">
        <v>1</v>
      </c>
      <c r="G19" s="55">
        <v>1</v>
      </c>
      <c r="H19" s="55">
        <v>1</v>
      </c>
      <c r="I19" s="55">
        <v>60</v>
      </c>
      <c r="J19" s="55">
        <f t="shared" si="0"/>
        <v>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19" sqref="C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202</v>
      </c>
      <c r="D18" s="70" t="s">
        <v>166</v>
      </c>
      <c r="E18" s="55">
        <v>1</v>
      </c>
      <c r="F18" s="55">
        <v>40</v>
      </c>
      <c r="G18" s="55">
        <f>E18*F18</f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v>40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2018-06-04T23:21:39Z</dcterms:modified>
</cp:coreProperties>
</file>