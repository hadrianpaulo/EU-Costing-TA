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<sst xmlns="http://schemas.openxmlformats.org/spreadsheetml/2006/main" count="485" uniqueCount="195">
  <si>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</si>
  <si>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</si>
  <si>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</si>
  <si>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</si>
  <si>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</si>
  <si>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</si>
  <si>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</si>
  <si>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</si>
  <si>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</si>
  <si>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</si>
  <si>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</si>
  <si>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</si>
  <si>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</si>
  <si>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</si>
  <si>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</si>
  <si>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</si>
  <si>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</si>
  <si>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</si>
  <si>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</si>
  <si>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</si>
  <si>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</si>
  <si>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</si>
  <si>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</si>
  <si>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</si>
  <si>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</si>
  <si>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</si>
  <si>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</si>
  <si>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</si>
  <si>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</si>
  <si>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</si>
  <si>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</si>
  <si>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</si>
  <si>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</si>
  <si>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</si>
  <si>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</si>
  <si>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</si>
  <si>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</si>
  <si>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</si>
  <si>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</si>
  <si>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</si>
  <si>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</si>
  <si>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</si>
  <si>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</si>
  <si>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</si>
  <si>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</si>
  <si>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</si>
  <si>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</si>
  <si>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</si>
  <si>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</si>
  <si>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</si>
  <si>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</si>
  <si>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</si>
  <si>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</si>
  <si>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</si>
  <si>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</si>
  <si>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</si>
  <si>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</si>
  <si>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</si>
  <si>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</si>
  <si>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</si>
  <si>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</si>
  <si>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</si>
  <si>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</si>
  <si>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</si>
  <si>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</si>
  <si>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</si>
  <si>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</si>
  <si>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</si>
  <si>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</si>
  <si>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</si>
  <si>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</si>
  <si>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</si>
  <si>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</si>
  <si>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</si>
  <si>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</si>
  <si>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</si>
  <si>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</si>
  <si>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</si>
  <si>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</si>
  <si>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</si>
  <si>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</si>
  <si>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</si>
  <si>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</si>
  <si>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</si>
  <si>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</si>
  <si>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</si>
  <si>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</si>
  <si>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</si>
  <si>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</si>
  <si>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</si>
  <si>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</si>
  <si>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</si>
  <si>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</si>
  <si>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</si>
  <si>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</si>
  <si>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</si>
  <si>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</si>
  <si>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</si>
  <si>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</si>
  <si>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</si>
  <si>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</si>
  <si>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</si>
  <si>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</si>
  <si>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</si>
  <si>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</si>
  <si>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</si>
  <si>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</si>
  <si>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</si>
  <si>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</si>
  <si>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</si>
  <si>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</si>
  <si>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</si>
  <si>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</si>
  <si>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</si>
  <si>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</si>
  <si>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</si>
  <si>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</si>
  <si>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</si>
  <si>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</si>
  <si>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</si>
  <si>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</si>
  <si>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</si>
  <si>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</si>
  <si>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</si>
  <si>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</si>
  <si>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</si>
  <si>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</si>
  <si>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</si>
  <si>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</si>
  <si>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</si>
  <si>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</si>
  <si>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</si>
  <si>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</si>
  <si>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</si>
  <si>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</si>
  <si>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</si>
  <si>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</si>
  <si>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</si>
  <si>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</si>
  <si>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</si>
  <si>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</si>
  <si>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</si>
  <si>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</si>
  <si>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</si>
  <si>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</si>
  <si>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</si>
  <si>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</si>
  <si>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</si>
  <si>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</si>
  <si>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</si>
  <si>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</si>
  <si>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</si>
  <si>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</si>
  <si>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</si>
  <si>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</si>
  <si>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</si>
  <si>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</si>
  <si>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</si>
  <si>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</si>
  <si>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</si>
  <si>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</si>
  <si>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</si>
  <si>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</si>
  <si>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</si>
  <si>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</si>
  <si>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</si>
  <si>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</si>
  <si>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</si>
  <si>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</si>
  <si>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</si>
  <si>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I10.1</t>
  </si>
  <si>
    <t>CBC W/ PLATELET COUNT</t>
  </si>
  <si>
    <t>ELECTROLYTES (NA,K)</t>
  </si>
  <si>
    <t>SGPT</t>
  </si>
  <si>
    <t>CREATININE</t>
  </si>
  <si>
    <t>LIPID PROFILE</t>
  </si>
  <si>
    <t>GLUCOSE (FASTING)</t>
  </si>
  <si>
    <t>CXR PA</t>
  </si>
  <si>
    <t>ECG</t>
  </si>
  <si>
    <t>AMLODIPINE</t>
  </si>
  <si>
    <t>CELECOXIB</t>
  </si>
  <si>
    <t>BETAHISTINE</t>
  </si>
  <si>
    <t>PNSS</t>
  </si>
  <si>
    <t>LOSARTAN</t>
  </si>
  <si>
    <t>TABLET</t>
  </si>
  <si>
    <t>CAPSULE</t>
  </si>
  <si>
    <t>IV FLUID</t>
  </si>
  <si>
    <t>10MG</t>
  </si>
  <si>
    <t>200MG</t>
  </si>
  <si>
    <t>16MG</t>
  </si>
  <si>
    <t>1L</t>
  </si>
  <si>
    <t>50MG</t>
  </si>
  <si>
    <t>INSYTE G22</t>
  </si>
  <si>
    <t>HEPLOCK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</si>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</sst>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178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167</v>
      </c>
      <c r="D62" s="55">
        <v>6300</v>
      </c>
      <c r="E62" s="55"/>
      <c r="F62" s="55">
        <v>160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168</v>
      </c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169</v>
      </c>
      <c r="D64" s="55">
        <v>2700</v>
      </c>
      <c r="E64" s="55"/>
      <c r="F64" s="55">
        <v>1550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9000</v>
      </c>
      <c r="E73" s="59">
        <f>SUM(E62:E72)</f>
        <v>0</v>
      </c>
      <c r="F73" s="59">
        <f>SUM(F62:F72)</f>
        <v>1710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184</v>
      </c>
      <c r="E11" s="27" t="s">
        <v>187</v>
      </c>
      <c r="F11" s="55">
        <v>2</v>
      </c>
      <c r="G11" s="55">
        <v>1</v>
      </c>
      <c r="H11" s="55">
        <v>2</v>
      </c>
      <c r="I11" s="55">
        <v>30</v>
      </c>
      <c r="J11" s="55">
        <f t="shared" ref="J11:J17" si="0">H11*I11</f>
        <v>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185</v>
      </c>
      <c r="E12" s="27" t="s">
        <v>188</v>
      </c>
      <c r="F12" s="55">
        <v>2</v>
      </c>
      <c r="G12" s="55">
        <v>1</v>
      </c>
      <c r="H12" s="55">
        <v>4</v>
      </c>
      <c r="I12" s="55">
        <v>100</v>
      </c>
      <c r="J12" s="55">
        <f t="shared" si="0"/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184</v>
      </c>
      <c r="E13" s="27" t="s">
        <v>189</v>
      </c>
      <c r="F13" s="55">
        <v>2</v>
      </c>
      <c r="G13" s="55">
        <v>1</v>
      </c>
      <c r="H13" s="55">
        <v>5</v>
      </c>
      <c r="I13" s="55">
        <v>60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186</v>
      </c>
      <c r="E14" s="27" t="s">
        <v>190</v>
      </c>
      <c r="F14" s="55">
        <v>1</v>
      </c>
      <c r="G14" s="55">
        <v>1</v>
      </c>
      <c r="H14" s="55">
        <v>1</v>
      </c>
      <c r="I14" s="55">
        <v>310</v>
      </c>
      <c r="J14" s="55">
        <f t="shared" si="0"/>
        <v>310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184</v>
      </c>
      <c r="E15" s="27" t="s">
        <v>191</v>
      </c>
      <c r="F15" s="55">
        <v>1</v>
      </c>
      <c r="G15" s="55">
        <v>1</v>
      </c>
      <c r="H15" s="55">
        <v>1</v>
      </c>
      <c r="I15" s="55">
        <v>30</v>
      </c>
      <c r="J15" s="55">
        <f t="shared" si="0"/>
        <v>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166</v>
      </c>
      <c r="E18" s="55">
        <v>1</v>
      </c>
      <c r="F18" s="55">
        <v>100</v>
      </c>
      <c r="G18" s="55">
        <f>E18*F18</f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166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45</v>
      </c>
      <c r="H13" s="55">
        <v>120</v>
      </c>
      <c r="I13" s="55"/>
      <c r="J13" s="55"/>
      <c r="K13" s="55"/>
      <c r="L13" s="55"/>
      <c r="M13" s="55"/>
      <c r="N13" s="55"/>
      <c r="P13" s="88">
        <f>SUM(D13:N13)</f>
        <v>185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55</v>
      </c>
      <c r="H30" s="88">
        <f t="shared" si="1"/>
        <v>120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2018-06-04T03:38:51Z</dcterms:modified>
</cp:coreProperties>
</file>