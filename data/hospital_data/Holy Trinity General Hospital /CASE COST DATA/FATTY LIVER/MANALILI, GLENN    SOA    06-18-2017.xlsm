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J22" i="2"/>
  <c r="J21" i="2"/>
  <c r="J20" i="2"/>
  <c r="J19" i="2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<sst xmlns="http://schemas.openxmlformats.org/spreadsheetml/2006/main" count="510" uniqueCount="211">
  <si>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</si>
  <si>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</si>
  <si>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</si>
  <si>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</si>
  <si>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</si>
  <si>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</si>
  <si>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</si>
  <si>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</si>
  <si>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</si>
  <si>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</si>
  <si>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</si>
  <si>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</si>
  <si>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</si>
  <si>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</si>
  <si>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</si>
  <si>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</si>
  <si>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</si>
  <si>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</si>
  <si>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</si>
  <si>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</si>
  <si>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</si>
  <si>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</si>
  <si>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</si>
  <si>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</si>
  <si>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</si>
  <si>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</si>
  <si>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</si>
  <si>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</si>
  <si>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</si>
  <si>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</si>
  <si>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</si>
  <si>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</si>
  <si>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</si>
  <si>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</si>
  <si>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</si>
  <si>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</si>
  <si>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</si>
  <si>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</si>
  <si>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</si>
  <si>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</si>
  <si>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</si>
  <si>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</si>
  <si>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</si>
  <si>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</si>
  <si>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</si>
  <si>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</si>
  <si>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</si>
  <si>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</si>
  <si>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</si>
  <si>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</si>
  <si>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</si>
  <si>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</si>
  <si>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</si>
  <si>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</si>
  <si>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</si>
  <si>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</si>
  <si>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</si>
  <si>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</si>
  <si>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</si>
  <si>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</si>
  <si>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</si>
  <si>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</si>
  <si>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</si>
  <si>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</si>
  <si>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</si>
  <si>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</si>
  <si>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</si>
  <si>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</si>
  <si>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</si>
  <si>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</si>
  <si>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</si>
  <si>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</si>
  <si>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</si>
  <si>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</si>
  <si>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</si>
  <si>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</si>
  <si>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</si>
  <si>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</si>
  <si>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</si>
  <si>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</si>
  <si>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</si>
  <si>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</si>
  <si>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</si>
  <si>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</si>
  <si>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</si>
  <si>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</si>
  <si>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</si>
  <si>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</si>
  <si>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</si>
  <si>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</si>
  <si>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</si>
  <si>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</si>
  <si>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</si>
  <si>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</si>
  <si>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</si>
  <si>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</si>
  <si>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</si>
  <si>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</si>
  <si>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</si>
  <si>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</si>
  <si>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</si>
  <si>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</si>
  <si>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</si>
  <si>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</si>
  <si>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</si>
  <si>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</si>
  <si>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</si>
  <si>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</si>
  <si>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</si>
  <si>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</si>
  <si>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</si>
  <si>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</si>
  <si>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</si>
  <si>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</si>
  <si>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</si>
  <si>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</si>
  <si>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</si>
  <si>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</si>
  <si>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</si>
  <si>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</si>
  <si>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</si>
  <si>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</si>
  <si>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</si>
  <si>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</si>
  <si>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</si>
  <si>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</si>
  <si>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</si>
  <si>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</si>
  <si>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</si>
  <si>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</si>
  <si>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</si>
  <si>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</si>
  <si>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</si>
  <si>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</si>
  <si>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</si>
  <si>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</si>
  <si>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</si>
  <si>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</si>
  <si>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</si>
  <si>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</si>
  <si>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</si>
  <si>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</si>
  <si>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</si>
  <si>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</si>
  <si>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</si>
  <si>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</si>
  <si>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</si>
  <si>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</si>
  <si>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</si>
  <si>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</si>
  <si>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</si>
  <si>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</si>
  <si>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</si>
  <si>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</si>
  <si>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</si>
  <si>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</si>
  <si>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</si>
  <si>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</si>
  <si>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</si>
  <si>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</si>
  <si>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</si>
  <si>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</si>
  <si>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</si>
  <si>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</si>
  <si>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VIAL</t>
  </si>
  <si>
    <t>MACROSET</t>
  </si>
  <si>
    <t>PER PIECE</t>
  </si>
  <si>
    <t>CASE RATE (room,labs,meds, etc.)</t>
  </si>
  <si>
    <t>DISCOUNT</t>
  </si>
  <si>
    <t>PF CASE RATE</t>
  </si>
  <si>
    <t>K76.0</t>
  </si>
  <si>
    <t>POTASSIUM</t>
  </si>
  <si>
    <t>SGPT</t>
  </si>
  <si>
    <t>CBC W/ PLATELET COUNT</t>
  </si>
  <si>
    <t>CREATININE</t>
  </si>
  <si>
    <t>URINALYSIS</t>
  </si>
  <si>
    <t>CXR PA</t>
  </si>
  <si>
    <t>OXYGEN</t>
  </si>
  <si>
    <t>PNSS</t>
  </si>
  <si>
    <t xml:space="preserve">OMEPRAZOLE </t>
  </si>
  <si>
    <t>METOCLOPRAMIDE</t>
  </si>
  <si>
    <t>MUCOSTA</t>
  </si>
  <si>
    <t>IV FLUI</t>
  </si>
  <si>
    <t>AMPOULE</t>
  </si>
  <si>
    <t>TABLET</t>
  </si>
  <si>
    <t>1L</t>
  </si>
  <si>
    <t>40MG</t>
  </si>
  <si>
    <t>10MG</t>
  </si>
  <si>
    <t>100MG</t>
  </si>
  <si>
    <t>MAALOX</t>
  </si>
  <si>
    <t>SUSPENSION</t>
  </si>
  <si>
    <t>BUSCOPAN</t>
  </si>
  <si>
    <t>LEVOFLOXACIN</t>
  </si>
  <si>
    <t>DULCOLAX</t>
  </si>
  <si>
    <t>PARACETAMOL</t>
  </si>
  <si>
    <t>SALRESP-I</t>
  </si>
  <si>
    <t>ESSENTIALE FORTE</t>
  </si>
  <si>
    <t>CAPSULE</t>
  </si>
  <si>
    <t>NEBULE</t>
  </si>
  <si>
    <t>180ML</t>
  </si>
  <si>
    <t>20MG</t>
  </si>
  <si>
    <t>500MG</t>
  </si>
  <si>
    <t>5MG</t>
  </si>
  <si>
    <t>2.5MG/500MCG</t>
  </si>
  <si>
    <t>300MG</t>
  </si>
  <si>
    <t>INSYTE G22</t>
  </si>
  <si>
    <t>5CC SYRINGE</t>
  </si>
  <si>
    <t>3CC SYRINGE</t>
  </si>
  <si>
    <t>1CC SYRINGE</t>
  </si>
  <si>
    <t>O2 CANNULA</t>
  </si>
  <si>
    <t>NEB 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</si>
</sst>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abSelected="1" topLeftCell="A63" zoomScaleNormal="100" workbookViewId="0">
      <selection activeCell="D3" sqref="D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176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44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45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53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 t="s">
        <v>177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55</v>
      </c>
      <c r="C60" s="17" t="s">
        <v>51</v>
      </c>
      <c r="D60" s="17" t="s">
        <v>56</v>
      </c>
      <c r="E60" s="18" t="s">
        <v>57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167</v>
      </c>
      <c r="D61" s="55">
        <v>8260</v>
      </c>
      <c r="E61" s="55"/>
      <c r="F61" s="55">
        <v>2050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168</v>
      </c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169</v>
      </c>
      <c r="D63" s="55">
        <v>3540</v>
      </c>
      <c r="E63" s="55"/>
      <c r="F63" s="55">
        <v>2450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11800</v>
      </c>
      <c r="E72" s="59">
        <f>SUM(E61:E71)</f>
        <v>0</v>
      </c>
      <c r="F72" s="59">
        <f>SUM(F61:F71)</f>
        <v>4500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password="C2E9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23" sqref="I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K76.0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182</v>
      </c>
      <c r="E11" s="27" t="s">
        <v>185</v>
      </c>
      <c r="F11" s="55">
        <v>2</v>
      </c>
      <c r="G11" s="55">
        <v>1</v>
      </c>
      <c r="H11" s="55">
        <v>4</v>
      </c>
      <c r="I11" s="55">
        <v>310</v>
      </c>
      <c r="J11" s="55">
        <f t="shared" ref="J11:J22" si="0">H11*I11</f>
        <v>1240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164</v>
      </c>
      <c r="E12" s="27" t="s">
        <v>186</v>
      </c>
      <c r="F12" s="55">
        <v>1</v>
      </c>
      <c r="G12" s="55">
        <v>1</v>
      </c>
      <c r="H12" s="55">
        <v>1</v>
      </c>
      <c r="I12" s="55">
        <v>800</v>
      </c>
      <c r="J12" s="55">
        <f t="shared" si="0"/>
        <v>800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183</v>
      </c>
      <c r="E13" s="27" t="s">
        <v>187</v>
      </c>
      <c r="F13" s="55">
        <v>1</v>
      </c>
      <c r="G13" s="55">
        <v>1</v>
      </c>
      <c r="H13" s="55">
        <v>1</v>
      </c>
      <c r="I13" s="55">
        <v>300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181</v>
      </c>
      <c r="D14" s="27" t="s">
        <v>184</v>
      </c>
      <c r="E14" s="27" t="s">
        <v>188</v>
      </c>
      <c r="F14" s="55">
        <v>2</v>
      </c>
      <c r="G14" s="55">
        <v>1</v>
      </c>
      <c r="H14" s="55">
        <v>8</v>
      </c>
      <c r="I14" s="55">
        <v>62</v>
      </c>
      <c r="J14" s="55">
        <f t="shared" si="0"/>
        <v>496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190</v>
      </c>
      <c r="E15" s="27" t="s">
        <v>199</v>
      </c>
      <c r="F15" s="55">
        <v>1</v>
      </c>
      <c r="G15" s="55">
        <v>1</v>
      </c>
      <c r="H15" s="55">
        <v>1</v>
      </c>
      <c r="I15" s="55">
        <v>533</v>
      </c>
      <c r="J15" s="55">
        <f t="shared" si="0"/>
        <v>533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191</v>
      </c>
      <c r="D16" s="27" t="s">
        <v>183</v>
      </c>
      <c r="E16" s="27" t="s">
        <v>200</v>
      </c>
      <c r="F16" s="55">
        <v>1</v>
      </c>
      <c r="G16" s="55">
        <v>1</v>
      </c>
      <c r="H16" s="55">
        <v>1</v>
      </c>
      <c r="I16" s="55">
        <v>250</v>
      </c>
      <c r="J16" s="55">
        <f t="shared" si="0"/>
        <v>250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179</v>
      </c>
      <c r="D17" s="27" t="s">
        <v>197</v>
      </c>
      <c r="E17" s="27" t="s">
        <v>186</v>
      </c>
      <c r="F17" s="55">
        <v>1</v>
      </c>
      <c r="G17" s="55">
        <v>1</v>
      </c>
      <c r="H17" s="55">
        <v>5</v>
      </c>
      <c r="I17" s="55">
        <v>50</v>
      </c>
      <c r="J17" s="55">
        <f t="shared" si="0"/>
        <v>250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192</v>
      </c>
      <c r="D18" s="27" t="s">
        <v>184</v>
      </c>
      <c r="E18" s="27" t="s">
        <v>201</v>
      </c>
      <c r="F18" s="55">
        <v>1</v>
      </c>
      <c r="G18" s="55">
        <v>1</v>
      </c>
      <c r="H18" s="55">
        <v>2</v>
      </c>
      <c r="I18" s="55">
        <v>60</v>
      </c>
      <c r="J18" s="55">
        <f t="shared" si="0"/>
        <v>120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193</v>
      </c>
      <c r="D19" s="27" t="s">
        <v>184</v>
      </c>
      <c r="E19" s="27" t="s">
        <v>202</v>
      </c>
      <c r="F19" s="55">
        <v>1</v>
      </c>
      <c r="G19" s="55">
        <v>1</v>
      </c>
      <c r="H19" s="55">
        <v>1</v>
      </c>
      <c r="I19" s="55">
        <v>40</v>
      </c>
      <c r="J19" s="55">
        <f t="shared" si="0"/>
        <v>40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194</v>
      </c>
      <c r="D20" s="27" t="s">
        <v>184</v>
      </c>
      <c r="E20" s="27" t="s">
        <v>201</v>
      </c>
      <c r="F20" s="55">
        <v>1</v>
      </c>
      <c r="G20" s="55">
        <v>1</v>
      </c>
      <c r="H20" s="55">
        <v>1</v>
      </c>
      <c r="I20" s="55">
        <v>15</v>
      </c>
      <c r="J20" s="55">
        <f t="shared" si="0"/>
        <v>15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195</v>
      </c>
      <c r="D21" s="27" t="s">
        <v>198</v>
      </c>
      <c r="E21" s="27" t="s">
        <v>203</v>
      </c>
      <c r="F21" s="55">
        <v>1</v>
      </c>
      <c r="G21" s="55">
        <v>1</v>
      </c>
      <c r="H21" s="55">
        <v>1</v>
      </c>
      <c r="I21" s="55">
        <v>60</v>
      </c>
      <c r="J21" s="55">
        <f t="shared" si="0"/>
        <v>60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196</v>
      </c>
      <c r="D22" s="27" t="s">
        <v>197</v>
      </c>
      <c r="E22" s="27" t="s">
        <v>204</v>
      </c>
      <c r="F22" s="55">
        <v>1</v>
      </c>
      <c r="G22" s="55">
        <v>1</v>
      </c>
      <c r="H22" s="55">
        <v>1</v>
      </c>
      <c r="I22" s="55">
        <v>66</v>
      </c>
      <c r="J22" s="55">
        <f t="shared" si="0"/>
        <v>66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9" workbookViewId="0">
      <selection activeCell="F23" sqref="F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205</v>
      </c>
      <c r="D17" s="70" t="s">
        <v>166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206</v>
      </c>
      <c r="D18" s="70" t="s">
        <v>166</v>
      </c>
      <c r="E18" s="55">
        <v>1</v>
      </c>
      <c r="F18" s="55">
        <v>20</v>
      </c>
      <c r="G18" s="55">
        <f t="shared" si="0"/>
        <v>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207</v>
      </c>
      <c r="D19" s="70" t="s">
        <v>166</v>
      </c>
      <c r="E19" s="55">
        <v>1</v>
      </c>
      <c r="F19" s="55">
        <v>20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208</v>
      </c>
      <c r="D20" s="70" t="s">
        <v>166</v>
      </c>
      <c r="E20" s="55">
        <v>1</v>
      </c>
      <c r="F20" s="55">
        <v>20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209</v>
      </c>
      <c r="D21" s="70" t="s">
        <v>166</v>
      </c>
      <c r="E21" s="55">
        <v>1</v>
      </c>
      <c r="F21" s="55">
        <v>180</v>
      </c>
      <c r="G21" s="55">
        <f t="shared" si="0"/>
        <v>180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210</v>
      </c>
      <c r="D22" s="70" t="s">
        <v>166</v>
      </c>
      <c r="E22" s="55">
        <v>1</v>
      </c>
      <c r="F22" s="55">
        <v>200</v>
      </c>
      <c r="G22" s="55">
        <f t="shared" si="0"/>
        <v>200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D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85</v>
      </c>
      <c r="E13" s="55"/>
      <c r="F13" s="55"/>
      <c r="G13" s="55">
        <v>180</v>
      </c>
      <c r="H13" s="55">
        <v>170</v>
      </c>
      <c r="I13" s="55"/>
      <c r="J13" s="55"/>
      <c r="K13" s="55"/>
      <c r="L13" s="55"/>
      <c r="M13" s="55"/>
      <c r="N13" s="55"/>
      <c r="P13" s="88">
        <f>SUM(D13:N13)</f>
        <v>435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85</v>
      </c>
      <c r="E30" s="88">
        <f t="shared" si="1"/>
        <v>0</v>
      </c>
      <c r="F30" s="88">
        <f t="shared" si="1"/>
        <v>0</v>
      </c>
      <c r="G30" s="88">
        <f t="shared" si="1"/>
        <v>180</v>
      </c>
      <c r="H30" s="88">
        <f t="shared" si="1"/>
        <v>170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2018-06-06T12:08:55Z</dcterms:modified>
</cp:coreProperties>
</file>