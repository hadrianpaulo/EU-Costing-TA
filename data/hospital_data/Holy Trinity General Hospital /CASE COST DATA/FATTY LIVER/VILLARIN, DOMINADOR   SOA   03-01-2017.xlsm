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<sst xmlns="http://schemas.openxmlformats.org/spreadsheetml/2006/main" count="481" uniqueCount="192">
  <si>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</si>
  <si>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</si>
  <si>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</si>
  <si>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</si>
  <si>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</si>
  <si>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</si>
  <si>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</si>
  <si>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</si>
  <si>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</si>
  <si>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</si>
  <si>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</si>
  <si>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</si>
  <si>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</si>
  <si>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</si>
  <si>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</si>
  <si>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</si>
  <si>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</si>
  <si>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</si>
  <si>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</si>
  <si>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</si>
  <si>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</si>
  <si>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</si>
  <si>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</si>
  <si>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</si>
  <si>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</si>
  <si>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</si>
  <si>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</si>
  <si>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</si>
  <si>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</si>
  <si>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</si>
  <si>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</si>
  <si>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</si>
  <si>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</si>
  <si>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</si>
  <si>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</si>
  <si>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</si>
  <si>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</si>
  <si>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</si>
  <si>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</si>
  <si>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</si>
  <si>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</si>
  <si>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</si>
  <si>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</si>
  <si>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</si>
  <si>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</si>
  <si>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</si>
  <si>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</si>
  <si>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</si>
  <si>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</si>
  <si>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</si>
  <si>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</si>
  <si>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</si>
  <si>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</si>
  <si>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</si>
  <si>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</si>
  <si>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</si>
  <si>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</si>
  <si>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</si>
  <si>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</si>
  <si>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</si>
  <si>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</si>
  <si>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</si>
  <si>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</si>
  <si>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</si>
  <si>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</si>
  <si>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</si>
  <si>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</si>
  <si>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</si>
  <si>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</si>
  <si>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</si>
  <si>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</si>
  <si>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</si>
  <si>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</si>
  <si>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</si>
  <si>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</si>
  <si>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</si>
  <si>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</si>
  <si>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</si>
  <si>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</si>
  <si>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</si>
  <si>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</si>
  <si>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</si>
  <si>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</si>
  <si>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</si>
  <si>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</si>
  <si>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</si>
  <si>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</si>
  <si>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</si>
  <si>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</si>
  <si>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</si>
  <si>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</si>
  <si>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</si>
  <si>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</si>
  <si>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</si>
  <si>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</si>
  <si>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</si>
  <si>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</si>
  <si>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</si>
  <si>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</si>
  <si>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</si>
  <si>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</si>
  <si>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</si>
  <si>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</si>
  <si>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</si>
  <si>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</si>
  <si>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</si>
  <si>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</si>
  <si>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</si>
  <si>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</si>
  <si>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</si>
  <si>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</si>
  <si>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</si>
  <si>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</si>
  <si>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</si>
  <si>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</si>
  <si>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</si>
  <si>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</si>
  <si>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</si>
  <si>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</si>
  <si>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</si>
  <si>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</si>
  <si>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</si>
  <si>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</si>
  <si>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</si>
  <si>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</si>
  <si>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</si>
  <si>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</si>
  <si>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</si>
  <si>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</si>
  <si>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</si>
  <si>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</si>
  <si>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</si>
  <si>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</si>
  <si>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</si>
  <si>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</si>
  <si>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</si>
  <si>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</si>
  <si>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</si>
  <si>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</si>
  <si>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</si>
  <si>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</si>
  <si>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</si>
  <si>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</si>
  <si>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</si>
  <si>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</si>
  <si>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</si>
  <si>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</si>
  <si>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</si>
  <si>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</si>
  <si>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</si>
  <si>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</si>
  <si>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</si>
  <si>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</si>
  <si>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</si>
  <si>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</si>
  <si>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</si>
  <si>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</si>
  <si>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</si>
  <si>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</si>
  <si>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</si>
  <si>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</si>
  <si>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</si>
  <si>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</si>
  <si>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</si>
  <si>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CASE RATE (room,labs,meds, etc.)</t>
  </si>
  <si>
    <t>PF CASE RATE</t>
  </si>
  <si>
    <t>K76.0</t>
  </si>
  <si>
    <t>CBC W/ PALTELET COUNT</t>
  </si>
  <si>
    <t>SGPT</t>
  </si>
  <si>
    <t>CREATININE</t>
  </si>
  <si>
    <t>POTASSIUM</t>
  </si>
  <si>
    <t>GLUCOSE (FASTING)</t>
  </si>
  <si>
    <t>URIC ACID</t>
  </si>
  <si>
    <t>CHOLESTEROL</t>
  </si>
  <si>
    <t>TRIGLYCERIDES</t>
  </si>
  <si>
    <t>CXR PA</t>
  </si>
  <si>
    <t>WHOLE ABDOMEN</t>
  </si>
  <si>
    <t>ECG</t>
  </si>
  <si>
    <t>D5 LRS</t>
  </si>
  <si>
    <t>IV FLUID</t>
  </si>
  <si>
    <t>1L</t>
  </si>
  <si>
    <t>RANITIDINE</t>
  </si>
  <si>
    <t>AMPOULE</t>
  </si>
  <si>
    <t>50MG</t>
  </si>
  <si>
    <t>BUSCOPAN</t>
  </si>
  <si>
    <t>20MG</t>
  </si>
  <si>
    <t xml:space="preserve">PLASIL </t>
  </si>
  <si>
    <t>10MG</t>
  </si>
  <si>
    <t>MACROSET</t>
  </si>
  <si>
    <t>INSYTE G22</t>
  </si>
  <si>
    <t>3CC SYRINGE</t>
  </si>
  <si>
    <t>PER PIECE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</si>
</sst>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abSelected="1" zoomScaleNormal="100" workbookViewId="0">
      <selection activeCell="J18" sqref="J1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170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171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172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173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174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 t="s">
        <v>175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 t="s">
        <v>176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44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45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53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20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 t="s">
        <v>177</v>
      </c>
      <c r="D55" s="28"/>
      <c r="E55" s="55">
        <v>1</v>
      </c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55</v>
      </c>
      <c r="C63" s="17" t="s">
        <v>51</v>
      </c>
      <c r="D63" s="17" t="s">
        <v>56</v>
      </c>
      <c r="E63" s="18" t="s">
        <v>57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164</v>
      </c>
      <c r="D64" s="55">
        <v>8260</v>
      </c>
      <c r="E64" s="55"/>
      <c r="F64" s="55">
        <v>1866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165</v>
      </c>
      <c r="D65" s="55">
        <v>3540</v>
      </c>
      <c r="E65" s="55"/>
      <c r="F65" s="55">
        <v>1000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11800</v>
      </c>
      <c r="E75" s="59">
        <f>SUM(E64:E74)</f>
        <v>0</v>
      </c>
      <c r="F75" s="59">
        <f>SUM(F64:F74)</f>
        <v>2866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password="C2E9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36 E37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1" workbookViewId="0">
      <selection activeCell="I15" sqref="I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K76.0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179</v>
      </c>
      <c r="E11" s="27" t="s">
        <v>180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17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182</v>
      </c>
      <c r="E12" s="27" t="s">
        <v>183</v>
      </c>
      <c r="F12" s="55">
        <v>1</v>
      </c>
      <c r="G12" s="55">
        <v>1</v>
      </c>
      <c r="H12" s="55">
        <v>1</v>
      </c>
      <c r="I12" s="55">
        <v>300</v>
      </c>
      <c r="J12" s="55">
        <f t="shared" si="0"/>
        <v>300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182</v>
      </c>
      <c r="E13" s="27" t="s">
        <v>185</v>
      </c>
      <c r="F13" s="55">
        <v>1</v>
      </c>
      <c r="G13" s="55">
        <v>1</v>
      </c>
      <c r="H13" s="55">
        <v>1</v>
      </c>
      <c r="I13" s="55">
        <v>450</v>
      </c>
      <c r="J13" s="55">
        <f t="shared" si="0"/>
        <v>450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182</v>
      </c>
      <c r="E14" s="27" t="s">
        <v>187</v>
      </c>
      <c r="F14" s="55">
        <v>1</v>
      </c>
      <c r="G14" s="55">
        <v>1</v>
      </c>
      <c r="H14" s="55">
        <v>1</v>
      </c>
      <c r="I14" s="55">
        <v>500</v>
      </c>
      <c r="J14" s="55">
        <f t="shared" si="0"/>
        <v>500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K76.0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188</v>
      </c>
      <c r="D16" s="70" t="s">
        <v>191</v>
      </c>
      <c r="E16" s="5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189</v>
      </c>
      <c r="D17" s="70" t="s">
        <v>191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190</v>
      </c>
      <c r="D18" s="70" t="s">
        <v>191</v>
      </c>
      <c r="E18" s="55">
        <v>3</v>
      </c>
      <c r="F18" s="55">
        <v>50</v>
      </c>
      <c r="G18" s="55">
        <f>E18*F18</f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K76.0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30</v>
      </c>
      <c r="H13" s="55">
        <v>70</v>
      </c>
      <c r="I13" s="55"/>
      <c r="J13" s="55"/>
      <c r="K13" s="55"/>
      <c r="L13" s="55"/>
      <c r="M13" s="55"/>
      <c r="N13" s="55"/>
      <c r="P13" s="88">
        <f>SUM(D13:N13)</f>
        <v>120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30</v>
      </c>
      <c r="H30" s="88">
        <f t="shared" si="1"/>
        <v>70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2018-06-06T11:30:45Z</dcterms:modified>
</cp:coreProperties>
</file>