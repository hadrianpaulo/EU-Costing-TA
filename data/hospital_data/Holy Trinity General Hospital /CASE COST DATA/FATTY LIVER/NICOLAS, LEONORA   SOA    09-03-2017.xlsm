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<sst xmlns="http://schemas.openxmlformats.org/spreadsheetml/2006/main" count="485" uniqueCount="194">
  <si>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</si>
  <si>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</si>
  <si>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</si>
  <si>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</si>
  <si>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</si>
  <si>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</si>
  <si>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</si>
  <si>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</si>
  <si>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</si>
  <si>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</si>
  <si>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</si>
  <si>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</si>
  <si>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</si>
  <si>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</si>
  <si>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</si>
  <si>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</si>
  <si>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</si>
  <si>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</si>
  <si>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</si>
  <si>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</si>
  <si>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</si>
  <si>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</si>
  <si>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</si>
  <si>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</si>
  <si>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</si>
  <si>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</si>
  <si>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</si>
  <si>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</si>
  <si>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</si>
  <si>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</si>
  <si>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</si>
  <si>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</si>
  <si>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</si>
  <si>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</si>
  <si>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</si>
  <si>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</si>
  <si>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</si>
  <si>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</si>
  <si>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</si>
  <si>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</si>
  <si>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</si>
  <si>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</si>
  <si>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</si>
  <si>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</si>
  <si>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</si>
  <si>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</si>
  <si>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</si>
  <si>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</si>
  <si>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</si>
  <si>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</si>
  <si>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</si>
  <si>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</si>
  <si>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</si>
  <si>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</si>
  <si>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</si>
  <si>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</si>
  <si>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</si>
  <si>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</si>
  <si>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</si>
  <si>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</si>
  <si>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</si>
  <si>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</si>
  <si>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</si>
  <si>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</si>
  <si>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</si>
  <si>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</si>
  <si>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</si>
  <si>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</si>
  <si>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</si>
  <si>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</si>
  <si>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</si>
  <si>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</si>
  <si>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</si>
  <si>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</si>
  <si>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</si>
  <si>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</si>
  <si>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</si>
  <si>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</si>
  <si>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</si>
  <si>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</si>
  <si>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</si>
  <si>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</si>
  <si>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</si>
  <si>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</si>
  <si>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</si>
  <si>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</si>
  <si>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</si>
  <si>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</si>
  <si>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</si>
  <si>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</si>
  <si>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</si>
  <si>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</si>
  <si>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</si>
  <si>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</si>
  <si>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</si>
  <si>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</si>
  <si>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</si>
  <si>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</si>
  <si>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</si>
  <si>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</si>
  <si>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</si>
  <si>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</si>
  <si>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</si>
  <si>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</si>
  <si>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</si>
  <si>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</si>
  <si>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</si>
  <si>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</si>
  <si>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</si>
  <si>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</si>
  <si>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</si>
  <si>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</si>
  <si>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</si>
  <si>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</si>
  <si>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</si>
  <si>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</si>
  <si>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</si>
  <si>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</si>
  <si>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</si>
  <si>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</si>
  <si>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</si>
  <si>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</si>
  <si>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</si>
  <si>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</si>
  <si>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</si>
  <si>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</si>
  <si>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</si>
  <si>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</si>
  <si>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</si>
  <si>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</si>
  <si>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</si>
  <si>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</si>
  <si>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</si>
  <si>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</si>
  <si>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</si>
  <si>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</si>
  <si>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</si>
  <si>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</si>
  <si>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</si>
  <si>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</si>
  <si>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</si>
  <si>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</si>
  <si>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</si>
  <si>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</si>
  <si>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</si>
  <si>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</si>
  <si>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</si>
  <si>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</si>
  <si>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</si>
  <si>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</si>
  <si>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</si>
  <si>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</si>
  <si>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</si>
  <si>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</si>
  <si>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</si>
  <si>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</si>
  <si>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</si>
  <si>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</si>
  <si>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</si>
  <si>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</si>
  <si>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</si>
  <si>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</si>
  <si>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</si>
  <si>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</si>
  <si>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</si>
  <si>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MACROSET</t>
  </si>
  <si>
    <t>PER PIECE</t>
  </si>
  <si>
    <t>CASE RATE (room,labs,meds, etc.)</t>
  </si>
  <si>
    <t>DISCOUNT</t>
  </si>
  <si>
    <t>PF CASE RATE</t>
  </si>
  <si>
    <t>K76.0</t>
  </si>
  <si>
    <t>IONIZED CALCIUM</t>
  </si>
  <si>
    <t>AMYLASE</t>
  </si>
  <si>
    <t>WHOLE ABDOMEN UTZ</t>
  </si>
  <si>
    <t>ECG</t>
  </si>
  <si>
    <t>CEFTRIAXONE</t>
  </si>
  <si>
    <t>PNSS</t>
  </si>
  <si>
    <t>FERROUS SULFATE</t>
  </si>
  <si>
    <t>PRAZOLE PLUS</t>
  </si>
  <si>
    <t>SENOKOT</t>
  </si>
  <si>
    <t>APPETITE PLUS W/ IRON</t>
  </si>
  <si>
    <t>IV FLUID</t>
  </si>
  <si>
    <t>TABLET</t>
  </si>
  <si>
    <t>CAPSULE</t>
  </si>
  <si>
    <t>1G</t>
  </si>
  <si>
    <t>1L</t>
  </si>
  <si>
    <t>250MG</t>
  </si>
  <si>
    <t>40/30MG</t>
  </si>
  <si>
    <t>374MG</t>
  </si>
  <si>
    <t>MG</t>
  </si>
  <si>
    <t>INSYTE G22</t>
  </si>
  <si>
    <t>SOLUSET</t>
  </si>
  <si>
    <t>5CC SYRINGE</t>
  </si>
  <si>
    <t>1CC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</si>
</sst>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C39" sqref="C3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174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8260</v>
      </c>
      <c r="E60" s="55"/>
      <c r="F60" s="55">
        <v>4049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/>
      <c r="E61" s="55">
        <v>1012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3540</v>
      </c>
      <c r="E62" s="55"/>
      <c r="F62" s="55">
        <v>2210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11800</v>
      </c>
      <c r="E71" s="59">
        <f>SUM(E60:E70)</f>
        <v>1012</v>
      </c>
      <c r="F71" s="59">
        <f>SUM(F60:F70)</f>
        <v>6259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164</v>
      </c>
      <c r="E11" s="27" t="s">
        <v>184</v>
      </c>
      <c r="F11" s="55">
        <v>2</v>
      </c>
      <c r="G11" s="55">
        <v>1</v>
      </c>
      <c r="H11" s="55">
        <v>4</v>
      </c>
      <c r="I11" s="55">
        <v>1000</v>
      </c>
      <c r="J11" s="55">
        <f t="shared" ref="J11:J17" si="0">H11*I11</f>
        <v>4000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181</v>
      </c>
      <c r="E12" s="27" t="s">
        <v>185</v>
      </c>
      <c r="F12" s="55">
        <v>3</v>
      </c>
      <c r="G12" s="55">
        <v>1</v>
      </c>
      <c r="H12" s="55">
        <v>3</v>
      </c>
      <c r="I12" s="55">
        <v>310</v>
      </c>
      <c r="J12" s="55">
        <f t="shared" si="0"/>
        <v>930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182</v>
      </c>
      <c r="E13" s="27" t="s">
        <v>186</v>
      </c>
      <c r="F13" s="55">
        <v>1</v>
      </c>
      <c r="G13" s="55">
        <v>1</v>
      </c>
      <c r="H13" s="55">
        <v>1</v>
      </c>
      <c r="I13" s="55">
        <v>15</v>
      </c>
      <c r="J13" s="55">
        <f t="shared" si="0"/>
        <v>15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183</v>
      </c>
      <c r="E14" s="27" t="s">
        <v>187</v>
      </c>
      <c r="F14" s="55">
        <v>1</v>
      </c>
      <c r="G14" s="55">
        <v>1</v>
      </c>
      <c r="H14" s="55">
        <v>1</v>
      </c>
      <c r="I14" s="55">
        <v>128</v>
      </c>
      <c r="J14" s="55">
        <f t="shared" si="0"/>
        <v>128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182</v>
      </c>
      <c r="E15" s="27" t="s">
        <v>188</v>
      </c>
      <c r="F15" s="55">
        <v>2</v>
      </c>
      <c r="G15" s="55">
        <v>1</v>
      </c>
      <c r="H15" s="55">
        <v>3</v>
      </c>
      <c r="I15" s="55">
        <v>25</v>
      </c>
      <c r="J15" s="55">
        <f t="shared" si="0"/>
        <v>75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183</v>
      </c>
      <c r="E16" s="27" t="s">
        <v>189</v>
      </c>
      <c r="F16" s="55">
        <v>1</v>
      </c>
      <c r="G16" s="55">
        <v>1</v>
      </c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I21" sqref="I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166</v>
      </c>
      <c r="E18" s="55">
        <v>1</v>
      </c>
      <c r="F18" s="55">
        <v>350</v>
      </c>
      <c r="G18" s="55">
        <f>E18*F18</f>
        <v>350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166</v>
      </c>
      <c r="E19" s="55">
        <v>5</v>
      </c>
      <c r="F19" s="55">
        <v>20</v>
      </c>
      <c r="G19" s="55">
        <f>E19*F19</f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166</v>
      </c>
      <c r="E20" s="55">
        <v>1</v>
      </c>
      <c r="F20" s="55">
        <v>20</v>
      </c>
      <c r="G20" s="55">
        <f>E20*F20</f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18" sqref="H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45</v>
      </c>
      <c r="E13" s="55"/>
      <c r="F13" s="55"/>
      <c r="G13" s="55">
        <v>90</v>
      </c>
      <c r="H13" s="55">
        <v>120</v>
      </c>
      <c r="I13" s="55"/>
      <c r="J13" s="55"/>
      <c r="K13" s="55"/>
      <c r="L13" s="55"/>
      <c r="M13" s="55"/>
      <c r="N13" s="55"/>
      <c r="P13" s="88">
        <f>SUM(D13:N13)</f>
        <v>255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45</v>
      </c>
      <c r="E30" s="88">
        <f t="shared" si="1"/>
        <v>0</v>
      </c>
      <c r="F30" s="88">
        <f t="shared" si="1"/>
        <v>0</v>
      </c>
      <c r="G30" s="88">
        <f t="shared" si="1"/>
        <v>90</v>
      </c>
      <c r="H30" s="88">
        <f t="shared" si="1"/>
        <v>120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2018-06-06T22:04:00Z</dcterms:modified>
</cp:coreProperties>
</file>