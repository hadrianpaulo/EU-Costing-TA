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<sst xmlns="http://schemas.openxmlformats.org/spreadsheetml/2006/main" count="490" uniqueCount="199">
  <si>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</si>
  <si>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</si>
  <si>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</si>
  <si>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</si>
  <si>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</si>
  <si>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</si>
  <si>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</si>
  <si>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</si>
  <si>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</si>
  <si>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</si>
  <si>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</si>
  <si>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</si>
  <si>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</si>
  <si>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</si>
  <si>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</si>
  <si>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</si>
  <si>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</si>
  <si>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</si>
  <si>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</si>
  <si>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</si>
  <si>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</si>
  <si>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</si>
  <si>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</si>
  <si>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</si>
  <si>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</si>
  <si>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</si>
  <si>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</si>
  <si>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</si>
  <si>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</si>
  <si>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</si>
  <si>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</si>
  <si>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</si>
  <si>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</si>
  <si>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</si>
  <si>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</si>
  <si>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</si>
  <si>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</si>
  <si>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</si>
  <si>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</si>
  <si>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</si>
  <si>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</si>
  <si>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</si>
  <si>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</si>
  <si>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</si>
  <si>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</si>
  <si>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</si>
  <si>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</si>
  <si>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</si>
  <si>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</si>
  <si>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</si>
  <si>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</si>
  <si>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</si>
  <si>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</si>
  <si>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</si>
  <si>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</si>
  <si>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</si>
  <si>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</si>
  <si>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</si>
  <si>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</si>
  <si>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</si>
  <si>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</si>
  <si>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</si>
  <si>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</si>
  <si>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</si>
  <si>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</si>
  <si>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</si>
  <si>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</si>
  <si>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</si>
  <si>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</si>
  <si>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</si>
  <si>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</si>
  <si>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</si>
  <si>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</si>
  <si>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</si>
  <si>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</si>
  <si>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</si>
  <si>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</si>
  <si>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</si>
  <si>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</si>
  <si>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</si>
  <si>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</si>
  <si>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</si>
  <si>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</si>
  <si>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</si>
  <si>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</si>
  <si>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</si>
  <si>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</si>
  <si>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</si>
  <si>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</si>
  <si>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</si>
  <si>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</si>
  <si>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</si>
  <si>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</si>
  <si>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</si>
  <si>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</si>
  <si>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</si>
  <si>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</si>
  <si>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</si>
  <si>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</si>
  <si>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</si>
  <si>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</si>
  <si>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</si>
  <si>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</si>
  <si>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</si>
  <si>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</si>
  <si>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</si>
  <si>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</si>
  <si>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</si>
  <si>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</si>
  <si>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</si>
  <si>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</si>
  <si>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</si>
  <si>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</si>
  <si>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</si>
  <si>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</si>
  <si>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</si>
  <si>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</si>
  <si>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</si>
  <si>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</si>
  <si>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</si>
  <si>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</si>
  <si>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</si>
  <si>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</si>
  <si>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</si>
  <si>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</si>
  <si>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</si>
  <si>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</si>
  <si>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</si>
  <si>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</si>
  <si>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</si>
  <si>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</si>
  <si>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</si>
  <si>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</si>
  <si>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</si>
  <si>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</si>
  <si>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</si>
  <si>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</si>
  <si>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</si>
  <si>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</si>
  <si>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</si>
  <si>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</si>
  <si>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</si>
  <si>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</si>
  <si>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</si>
  <si>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</si>
  <si>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</si>
  <si>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</si>
  <si>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</si>
  <si>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</si>
  <si>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</si>
  <si>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</si>
  <si>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</si>
  <si>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</si>
  <si>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</si>
  <si>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</si>
  <si>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</si>
  <si>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</si>
  <si>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</si>
  <si>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</si>
  <si>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</si>
  <si>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</si>
  <si>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</si>
  <si>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</si>
  <si>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</si>
  <si>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750MG</t>
  </si>
  <si>
    <t>MACROSET</t>
  </si>
  <si>
    <t>PER PIECE</t>
  </si>
  <si>
    <t>CASE RATE (room,labs,meds, etc.)</t>
  </si>
  <si>
    <t>DISCOUNT</t>
  </si>
  <si>
    <t>PF CASE RATE</t>
  </si>
  <si>
    <t>K76.0</t>
  </si>
  <si>
    <t>CBC W/ PLATELET COUNT</t>
  </si>
  <si>
    <t>SGPT</t>
  </si>
  <si>
    <t>CREATININE</t>
  </si>
  <si>
    <t>POTASSIUM</t>
  </si>
  <si>
    <t>LIPID PROFILE</t>
  </si>
  <si>
    <t>GLUCOSE (FASTING)</t>
  </si>
  <si>
    <t>URIC ACID</t>
  </si>
  <si>
    <t>CXR PA</t>
  </si>
  <si>
    <t>WHOLE ABDOMEN UTZ</t>
  </si>
  <si>
    <t>ROBITUSIN</t>
  </si>
  <si>
    <t>DAFLON</t>
  </si>
  <si>
    <t>ASCORZEE</t>
  </si>
  <si>
    <t>PNSS</t>
  </si>
  <si>
    <t>LEVOFLOXACIN</t>
  </si>
  <si>
    <t>ESSENTIALE FORTE</t>
  </si>
  <si>
    <t>SALRESP-I</t>
  </si>
  <si>
    <t>CAPSULE</t>
  </si>
  <si>
    <t>TABLET</t>
  </si>
  <si>
    <t>IV FLUID</t>
  </si>
  <si>
    <t>NEBULE</t>
  </si>
  <si>
    <t>500MG</t>
  </si>
  <si>
    <t>112.5MG/9MG</t>
  </si>
  <si>
    <t>1L</t>
  </si>
  <si>
    <t>300MG</t>
  </si>
  <si>
    <t>2.5MG/500MCG</t>
  </si>
  <si>
    <t>INSYTE G22</t>
  </si>
  <si>
    <t>NEB KIT</t>
  </si>
  <si>
    <t>ECG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</si>
</sst>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63" zoomScaleNormal="100" workbookViewId="0">
      <selection activeCell="F75" sqref="F7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178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 t="s">
        <v>179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 t="s">
        <v>198</v>
      </c>
      <c r="D55" s="28"/>
      <c r="E55" s="55">
        <v>1</v>
      </c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167</v>
      </c>
      <c r="D64" s="55">
        <v>8260</v>
      </c>
      <c r="E64" s="55"/>
      <c r="F64" s="55">
        <v>284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168</v>
      </c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169</v>
      </c>
      <c r="D66" s="55">
        <v>3540</v>
      </c>
      <c r="E66" s="55"/>
      <c r="F66" s="55">
        <v>550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11800</v>
      </c>
      <c r="E75" s="59">
        <f>SUM(E64:E74)</f>
        <v>0</v>
      </c>
      <c r="F75" s="59">
        <f>SUM(F64:F74)</f>
        <v>834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K76.0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187</v>
      </c>
      <c r="E11" s="27" t="s">
        <v>164</v>
      </c>
      <c r="F11" s="55">
        <v>2</v>
      </c>
      <c r="G11" s="55">
        <v>1</v>
      </c>
      <c r="H11" s="55">
        <v>4</v>
      </c>
      <c r="I11" s="55">
        <v>24</v>
      </c>
      <c r="J11" s="55">
        <f t="shared" ref="J11:J17" si="0">H11*I11</f>
        <v>96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188</v>
      </c>
      <c r="E12" s="27" t="s">
        <v>191</v>
      </c>
      <c r="F12" s="55">
        <v>1</v>
      </c>
      <c r="G12" s="55">
        <v>1</v>
      </c>
      <c r="H12" s="55">
        <v>4</v>
      </c>
      <c r="I12" s="55">
        <v>88</v>
      </c>
      <c r="J12" s="55">
        <f t="shared" si="0"/>
        <v>352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187</v>
      </c>
      <c r="E13" s="27" t="s">
        <v>192</v>
      </c>
      <c r="F13" s="55">
        <v>1</v>
      </c>
      <c r="G13" s="55">
        <v>1</v>
      </c>
      <c r="H13" s="55">
        <v>1</v>
      </c>
      <c r="I13" s="55">
        <v>30</v>
      </c>
      <c r="J13" s="55">
        <f t="shared" si="0"/>
        <v>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189</v>
      </c>
      <c r="E14" s="27" t="s">
        <v>193</v>
      </c>
      <c r="F14" s="55">
        <v>1</v>
      </c>
      <c r="G14" s="55">
        <v>1</v>
      </c>
      <c r="H14" s="55">
        <v>1</v>
      </c>
      <c r="I14" s="55">
        <v>310</v>
      </c>
      <c r="J14" s="55">
        <f t="shared" si="0"/>
        <v>310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188</v>
      </c>
      <c r="E15" s="27" t="s">
        <v>191</v>
      </c>
      <c r="F15" s="55">
        <v>1</v>
      </c>
      <c r="G15" s="55">
        <v>1</v>
      </c>
      <c r="H15" s="55">
        <v>1</v>
      </c>
      <c r="I15" s="55">
        <v>60</v>
      </c>
      <c r="J15" s="55">
        <f t="shared" si="0"/>
        <v>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187</v>
      </c>
      <c r="E16" s="27" t="s">
        <v>194</v>
      </c>
      <c r="F16" s="55">
        <v>1</v>
      </c>
      <c r="G16" s="55">
        <v>1</v>
      </c>
      <c r="H16" s="55">
        <v>1</v>
      </c>
      <c r="I16" s="55">
        <v>66</v>
      </c>
      <c r="J16" s="55">
        <f t="shared" si="0"/>
        <v>66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190</v>
      </c>
      <c r="E17" s="27" t="s">
        <v>195</v>
      </c>
      <c r="F17" s="55">
        <v>1</v>
      </c>
      <c r="G17" s="55">
        <v>1</v>
      </c>
      <c r="H17" s="55">
        <v>3</v>
      </c>
      <c r="I17" s="55">
        <v>60</v>
      </c>
      <c r="J17" s="55">
        <f t="shared" si="0"/>
        <v>180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196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197</v>
      </c>
      <c r="D18" s="70" t="s">
        <v>166</v>
      </c>
      <c r="E18" s="55">
        <v>1</v>
      </c>
      <c r="F18" s="55">
        <v>200</v>
      </c>
      <c r="G18" s="55">
        <f>E18*F18</f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45</v>
      </c>
      <c r="E13" s="55"/>
      <c r="F13" s="55"/>
      <c r="G13" s="55">
        <v>80</v>
      </c>
      <c r="H13" s="55">
        <v>100</v>
      </c>
      <c r="I13" s="55"/>
      <c r="J13" s="55"/>
      <c r="K13" s="55"/>
      <c r="L13" s="55"/>
      <c r="M13" s="55"/>
      <c r="N13" s="55"/>
      <c r="P13" s="88">
        <f>SUM(D13:N13)</f>
        <v>225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45</v>
      </c>
      <c r="E30" s="88">
        <f t="shared" si="1"/>
        <v>0</v>
      </c>
      <c r="F30" s="88">
        <f t="shared" si="1"/>
        <v>0</v>
      </c>
      <c r="G30" s="88">
        <f t="shared" si="1"/>
        <v>80</v>
      </c>
      <c r="H30" s="88">
        <f t="shared" si="1"/>
        <v>100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2018-06-06T12:12:31Z</dcterms:modified>
</cp:coreProperties>
</file>