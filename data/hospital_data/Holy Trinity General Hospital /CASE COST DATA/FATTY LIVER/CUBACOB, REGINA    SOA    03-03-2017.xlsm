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<sst xmlns="http://schemas.openxmlformats.org/spreadsheetml/2006/main" count="484" uniqueCount="193">
  <si>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</si>
  <si>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</si>
  <si>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</si>
  <si>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</si>
  <si>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</si>
  <si>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</si>
  <si>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</si>
  <si>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</si>
  <si>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</si>
  <si>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</si>
  <si>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</si>
  <si>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</si>
  <si>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</si>
  <si>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</si>
  <si>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</si>
  <si>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</si>
  <si>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</si>
  <si>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</si>
  <si>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</si>
  <si>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</si>
  <si>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</si>
  <si>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</si>
  <si>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</si>
  <si>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</si>
  <si>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</si>
  <si>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</si>
  <si>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</si>
  <si>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</si>
  <si>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</si>
  <si>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</si>
  <si>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</si>
  <si>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</si>
  <si>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</si>
  <si>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</si>
  <si>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</si>
  <si>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</si>
  <si>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</si>
  <si>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</si>
  <si>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</si>
  <si>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</si>
  <si>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</si>
  <si>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</si>
  <si>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</si>
  <si>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</si>
  <si>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</si>
  <si>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</si>
  <si>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</si>
  <si>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</si>
  <si>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</si>
  <si>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</si>
  <si>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</si>
  <si>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</si>
  <si>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</si>
  <si>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</si>
  <si>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</si>
  <si>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</si>
  <si>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</si>
  <si>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</si>
  <si>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</si>
  <si>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</si>
  <si>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</si>
  <si>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</si>
  <si>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</si>
  <si>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</si>
  <si>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</si>
  <si>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</si>
  <si>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</si>
  <si>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</si>
  <si>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</si>
  <si>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</si>
  <si>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</si>
  <si>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</si>
  <si>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</si>
  <si>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</si>
  <si>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</si>
  <si>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</si>
  <si>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</si>
  <si>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</si>
  <si>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</si>
  <si>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</si>
  <si>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</si>
  <si>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</si>
  <si>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</si>
  <si>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</si>
  <si>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</si>
  <si>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</si>
  <si>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</si>
  <si>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</si>
  <si>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</si>
  <si>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</si>
  <si>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</si>
  <si>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</si>
  <si>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</si>
  <si>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</si>
  <si>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</si>
  <si>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</si>
  <si>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</si>
  <si>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</si>
  <si>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</si>
  <si>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</si>
  <si>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</si>
  <si>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</si>
  <si>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</si>
  <si>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</si>
  <si>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</si>
  <si>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</si>
  <si>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</si>
  <si>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</si>
  <si>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</si>
  <si>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</si>
  <si>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</si>
  <si>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</si>
  <si>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</si>
  <si>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</si>
  <si>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</si>
  <si>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</si>
  <si>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</si>
  <si>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</si>
  <si>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</si>
  <si>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</si>
  <si>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</si>
  <si>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</si>
  <si>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</si>
  <si>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</si>
  <si>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</si>
  <si>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</si>
  <si>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</si>
  <si>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</si>
  <si>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</si>
  <si>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</si>
  <si>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</si>
  <si>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</si>
  <si>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</si>
  <si>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</si>
  <si>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</si>
  <si>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</si>
  <si>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</si>
  <si>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</si>
  <si>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</si>
  <si>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</si>
  <si>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</si>
  <si>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</si>
  <si>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</si>
  <si>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</si>
  <si>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</si>
  <si>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</si>
  <si>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</si>
  <si>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</si>
  <si>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</si>
  <si>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</si>
  <si>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</si>
  <si>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</si>
  <si>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</si>
  <si>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</si>
  <si>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</si>
  <si>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</si>
  <si>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</si>
  <si>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</si>
  <si>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</si>
  <si>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</si>
  <si>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</si>
  <si>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</si>
  <si>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</si>
  <si>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</si>
  <si>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CASE RATE (room,labs,meds, etc.)</t>
  </si>
  <si>
    <t>PF CASE RATE</t>
  </si>
  <si>
    <t>K76.0</t>
  </si>
  <si>
    <t>URINALYSIS</t>
  </si>
  <si>
    <t>GLUCOSE (FASTING)</t>
  </si>
  <si>
    <t>CHOLESTEROL</t>
  </si>
  <si>
    <t>TRIGLYCERIDES</t>
  </si>
  <si>
    <t>URIC ACID</t>
  </si>
  <si>
    <t>CBC W/ PLATELEST COUNT</t>
  </si>
  <si>
    <t>CXR PA</t>
  </si>
  <si>
    <t>WHOLE ABDOMEN UTZ</t>
  </si>
  <si>
    <t>D5 LRS</t>
  </si>
  <si>
    <t>1L</t>
  </si>
  <si>
    <t>IV FLUID</t>
  </si>
  <si>
    <t>OMEPRAZOLE</t>
  </si>
  <si>
    <t>VIAL</t>
  </si>
  <si>
    <t>40MG</t>
  </si>
  <si>
    <t>RANITIDINE</t>
  </si>
  <si>
    <t>AMPOULE</t>
  </si>
  <si>
    <t>50MG</t>
  </si>
  <si>
    <t>BUSCOPAN</t>
  </si>
  <si>
    <t>20MG</t>
  </si>
  <si>
    <t xml:space="preserve">PLASIL </t>
  </si>
  <si>
    <t>10MG</t>
  </si>
  <si>
    <t>CAPSULE</t>
  </si>
  <si>
    <t>MACROSET</t>
  </si>
  <si>
    <t>INSYTE G22</t>
  </si>
  <si>
    <t xml:space="preserve">3CC SYRINGE </t>
  </si>
  <si>
    <t>PER 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</si>
</sst>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I16" sqref="I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 t="s">
        <v>174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164</v>
      </c>
      <c r="D62" s="55">
        <v>8260</v>
      </c>
      <c r="E62" s="55"/>
      <c r="F62" s="55">
        <v>1746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165</v>
      </c>
      <c r="D63" s="55">
        <v>3540</v>
      </c>
      <c r="E63" s="55"/>
      <c r="F63" s="55">
        <v>1000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11800</v>
      </c>
      <c r="E73" s="59">
        <f>SUM(E62:E72)</f>
        <v>0</v>
      </c>
      <c r="F73" s="59">
        <f>SUM(F62:F72)</f>
        <v>2746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K76.0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177</v>
      </c>
      <c r="E11" s="27" t="s">
        <v>176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27" t="s">
        <v>180</v>
      </c>
      <c r="F12" s="55">
        <v>1</v>
      </c>
      <c r="G12" s="55">
        <v>1</v>
      </c>
      <c r="H12" s="55">
        <v>1</v>
      </c>
      <c r="I12" s="55">
        <v>1200</v>
      </c>
      <c r="J12" s="55">
        <f t="shared" si="0"/>
        <v>1200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182</v>
      </c>
      <c r="E13" s="27" t="s">
        <v>183</v>
      </c>
      <c r="F13" s="55">
        <v>1</v>
      </c>
      <c r="G13" s="55">
        <v>1</v>
      </c>
      <c r="H13" s="55">
        <v>1</v>
      </c>
      <c r="I13" s="55">
        <v>300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182</v>
      </c>
      <c r="E14" s="27" t="s">
        <v>185</v>
      </c>
      <c r="F14" s="55">
        <v>1</v>
      </c>
      <c r="G14" s="55">
        <v>1</v>
      </c>
      <c r="H14" s="55">
        <v>1</v>
      </c>
      <c r="I14" s="55">
        <v>300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182</v>
      </c>
      <c r="E15" s="27" t="s">
        <v>187</v>
      </c>
      <c r="F15" s="55">
        <v>1</v>
      </c>
      <c r="G15" s="55">
        <v>1</v>
      </c>
      <c r="H15" s="55">
        <v>1</v>
      </c>
      <c r="I15" s="55">
        <v>300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188</v>
      </c>
      <c r="E16" s="27" t="s">
        <v>180</v>
      </c>
      <c r="F16" s="55">
        <v>1</v>
      </c>
      <c r="G16" s="55">
        <v>1</v>
      </c>
      <c r="H16" s="55">
        <v>1</v>
      </c>
      <c r="I16" s="55">
        <v>70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192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192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192</v>
      </c>
      <c r="E18" s="55">
        <v>1</v>
      </c>
      <c r="F18" s="55">
        <v>50</v>
      </c>
      <c r="G18" s="55">
        <f>E18*F18</f>
        <v>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K76.0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30</v>
      </c>
      <c r="H13" s="55">
        <v>60</v>
      </c>
      <c r="I13" s="55"/>
      <c r="J13" s="55"/>
      <c r="K13" s="55"/>
      <c r="L13" s="55"/>
      <c r="M13" s="55"/>
      <c r="N13" s="55"/>
      <c r="P13" s="88">
        <f>SUM(D13:N13)</f>
        <v>105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30</v>
      </c>
      <c r="H30" s="88">
        <f t="shared" si="1"/>
        <v>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2018-06-06T11:24:05Z</dcterms:modified>
</cp:coreProperties>
</file>