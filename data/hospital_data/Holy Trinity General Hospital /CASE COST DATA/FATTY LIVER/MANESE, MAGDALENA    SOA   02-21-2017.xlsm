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<sst xmlns="http://schemas.openxmlformats.org/spreadsheetml/2006/main" count="484" uniqueCount="194">
  <si>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</si>
  <si>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</si>
  <si>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</si>
  <si>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</si>
  <si>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</si>
  <si>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</si>
  <si>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</si>
  <si>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</si>
  <si>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</si>
  <si>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</si>
  <si>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</si>
  <si>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</si>
  <si>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</si>
  <si>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</si>
  <si>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</si>
  <si>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</si>
  <si>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</si>
  <si>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</si>
  <si>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</si>
  <si>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</si>
  <si>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</si>
  <si>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</si>
  <si>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</si>
  <si>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</si>
  <si>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</si>
  <si>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</si>
  <si>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</si>
  <si>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</si>
  <si>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</si>
  <si>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</si>
  <si>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</si>
  <si>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</si>
  <si>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</si>
  <si>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</si>
  <si>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</si>
  <si>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</si>
  <si>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</si>
  <si>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</si>
  <si>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</si>
  <si>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</si>
  <si>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</si>
  <si>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</si>
  <si>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</si>
  <si>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</si>
  <si>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</si>
  <si>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</si>
  <si>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</si>
  <si>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</si>
  <si>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</si>
  <si>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</si>
  <si>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</si>
  <si>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</si>
  <si>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</si>
  <si>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</si>
  <si>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</si>
  <si>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</si>
  <si>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</si>
  <si>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</si>
  <si>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</si>
  <si>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</si>
  <si>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</si>
  <si>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</si>
  <si>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</si>
  <si>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</si>
  <si>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</si>
  <si>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</si>
  <si>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</si>
  <si>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</si>
  <si>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</si>
  <si>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</si>
  <si>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</si>
  <si>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</si>
  <si>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</si>
  <si>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</si>
  <si>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</si>
  <si>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</si>
  <si>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</si>
  <si>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</si>
  <si>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</si>
  <si>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</si>
  <si>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</si>
  <si>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</si>
  <si>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</si>
  <si>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</si>
  <si>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</si>
  <si>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</si>
  <si>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</si>
  <si>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</si>
  <si>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</si>
  <si>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</si>
  <si>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</si>
  <si>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</si>
  <si>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</si>
  <si>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</si>
  <si>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</si>
  <si>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</si>
  <si>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</si>
  <si>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</si>
  <si>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</si>
  <si>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</si>
  <si>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</si>
  <si>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</si>
  <si>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</si>
  <si>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</si>
  <si>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</si>
  <si>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</si>
  <si>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</si>
  <si>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</si>
  <si>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</si>
  <si>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</si>
  <si>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</si>
  <si>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</si>
  <si>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</si>
  <si>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</si>
  <si>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</si>
  <si>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</si>
  <si>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</si>
  <si>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</si>
  <si>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</si>
  <si>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</si>
  <si>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</si>
  <si>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</si>
  <si>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</si>
  <si>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</si>
  <si>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</si>
  <si>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</si>
  <si>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</si>
  <si>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</si>
  <si>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</si>
  <si>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</si>
  <si>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</si>
  <si>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</si>
  <si>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</si>
  <si>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</si>
  <si>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</si>
  <si>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</si>
  <si>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</si>
  <si>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</si>
  <si>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</si>
  <si>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</si>
  <si>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</si>
  <si>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</si>
  <si>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</si>
  <si>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</si>
  <si>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</si>
  <si>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</si>
  <si>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</si>
  <si>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</si>
  <si>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</si>
  <si>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</si>
  <si>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</si>
  <si>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</si>
  <si>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</si>
  <si>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</si>
  <si>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</si>
  <si>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</si>
  <si>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</si>
  <si>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</si>
  <si>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</si>
  <si>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</si>
  <si>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</si>
  <si>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</si>
  <si>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</si>
  <si>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</si>
  <si>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</si>
  <si>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</si>
  <si>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</si>
  <si>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</si>
  <si>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K76.0</t>
  </si>
  <si>
    <t>CBC W/ PLATELET COUNT</t>
  </si>
  <si>
    <t>CREATININE</t>
  </si>
  <si>
    <t>SGPT</t>
  </si>
  <si>
    <t>URINALYSIS</t>
  </si>
  <si>
    <t>LIPID PROFILE</t>
  </si>
  <si>
    <t>WHOLE ABDOMEN</t>
  </si>
  <si>
    <t>ECG</t>
  </si>
  <si>
    <t>PNSS</t>
  </si>
  <si>
    <t>OMEPRAZOLE</t>
  </si>
  <si>
    <t>PLASIL</t>
  </si>
  <si>
    <t>AMINOGEN-S</t>
  </si>
  <si>
    <t>IV FLUID</t>
  </si>
  <si>
    <t>CAPSULE</t>
  </si>
  <si>
    <t>AMPOULE</t>
  </si>
  <si>
    <t>IL</t>
  </si>
  <si>
    <t>40MG</t>
  </si>
  <si>
    <t>10MG</t>
  </si>
  <si>
    <t>500ML</t>
  </si>
  <si>
    <t>INSYTE G22</t>
  </si>
  <si>
    <t>TABLET</t>
  </si>
  <si>
    <t>30MG</t>
  </si>
  <si>
    <t>FREE NEEDLE G23</t>
  </si>
  <si>
    <t>3CC SYRINGE</t>
  </si>
  <si>
    <t>5CC SYRINGE</t>
  </si>
  <si>
    <t>PREVACID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</si>
</sst>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15" zoomScaleNormal="100" workbookViewId="0">
      <selection activeCell="J19" sqref="J1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173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174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44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45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53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175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55</v>
      </c>
      <c r="C60" s="17" t="s">
        <v>51</v>
      </c>
      <c r="D60" s="17" t="s">
        <v>56</v>
      </c>
      <c r="E60" s="18" t="s">
        <v>57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166</v>
      </c>
      <c r="D61" s="55">
        <v>8260</v>
      </c>
      <c r="E61" s="55"/>
      <c r="F61" s="55">
        <v>1120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167</v>
      </c>
      <c r="D62" s="55">
        <v>3540</v>
      </c>
      <c r="E62" s="55"/>
      <c r="F62" s="55">
        <v>800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11800</v>
      </c>
      <c r="E72" s="59">
        <f>SUM(E61:E71)</f>
        <v>0</v>
      </c>
      <c r="F72" s="59">
        <f>SUM(F61:F71)</f>
        <v>1920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K76.0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180</v>
      </c>
      <c r="E11" s="27" t="s">
        <v>183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7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181</v>
      </c>
      <c r="E12" s="27" t="s">
        <v>184</v>
      </c>
      <c r="F12" s="55">
        <v>1</v>
      </c>
      <c r="G12" s="55">
        <v>1</v>
      </c>
      <c r="H12" s="55">
        <v>3</v>
      </c>
      <c r="I12" s="55">
        <v>50</v>
      </c>
      <c r="J12" s="55">
        <f t="shared" si="0"/>
        <v>150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182</v>
      </c>
      <c r="E13" s="27" t="s">
        <v>185</v>
      </c>
      <c r="F13" s="55">
        <v>1</v>
      </c>
      <c r="G13" s="55">
        <v>1</v>
      </c>
      <c r="H13" s="55">
        <v>2</v>
      </c>
      <c r="I13" s="55">
        <v>300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180</v>
      </c>
      <c r="E14" s="27" t="s">
        <v>186</v>
      </c>
      <c r="F14" s="55">
        <v>1</v>
      </c>
      <c r="G14" s="55">
        <v>1</v>
      </c>
      <c r="H14" s="55">
        <v>1</v>
      </c>
      <c r="I14" s="55">
        <v>1500</v>
      </c>
      <c r="J14" s="55">
        <f t="shared" si="0"/>
        <v>1500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188</v>
      </c>
      <c r="E15" s="27" t="s">
        <v>189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E18" sqref="E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164</v>
      </c>
      <c r="D16" s="70" t="s">
        <v>165</v>
      </c>
      <c r="E16" s="55">
        <v>2</v>
      </c>
      <c r="F16" s="55">
        <v>150</v>
      </c>
      <c r="G16" s="55">
        <f>E16*F16</f>
        <v>300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187</v>
      </c>
      <c r="D17" s="70" t="s">
        <v>165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165</v>
      </c>
      <c r="E18" s="55">
        <v>1</v>
      </c>
      <c r="F18" s="55">
        <v>20</v>
      </c>
      <c r="G18" s="55">
        <f>E18*F18</f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191</v>
      </c>
      <c r="D19" s="70" t="s">
        <v>165</v>
      </c>
      <c r="E19" s="55">
        <v>1</v>
      </c>
      <c r="F19" s="55">
        <v>20</v>
      </c>
      <c r="G19" s="55">
        <f>E19*F19</f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192</v>
      </c>
      <c r="D20" s="70" t="s">
        <v>165</v>
      </c>
      <c r="E20" s="55">
        <v>1</v>
      </c>
      <c r="F20" s="55">
        <v>20</v>
      </c>
      <c r="G20" s="55">
        <f>E20*F20</f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20</v>
      </c>
      <c r="H13" s="55">
        <v>56</v>
      </c>
      <c r="I13" s="55"/>
      <c r="J13" s="55"/>
      <c r="K13" s="55"/>
      <c r="L13" s="55"/>
      <c r="M13" s="55"/>
      <c r="N13" s="55"/>
      <c r="P13" s="88">
        <f>SUM(D13:N13)</f>
        <v>106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20</v>
      </c>
      <c r="H30" s="88">
        <f t="shared" si="1"/>
        <v>56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106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2018-06-06T22:05:39Z</dcterms:modified>
</cp:coreProperties>
</file>