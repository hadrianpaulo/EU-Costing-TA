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<sst xmlns="http://schemas.openxmlformats.org/spreadsheetml/2006/main" count="489" uniqueCount="196">
  <si>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</si>
  <si>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</si>
  <si>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</si>
  <si>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</si>
  <si>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</si>
  <si>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</si>
  <si>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</si>
  <si>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</si>
  <si>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</si>
  <si>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</si>
  <si>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</si>
  <si>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</si>
  <si>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</si>
  <si>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</si>
  <si>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</si>
  <si>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</si>
  <si>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</si>
  <si>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</si>
  <si>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</si>
  <si>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</si>
  <si>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</si>
  <si>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</si>
  <si>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</si>
  <si>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</si>
  <si>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</si>
  <si>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</si>
  <si>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</si>
  <si>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</si>
  <si>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</si>
  <si>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</si>
  <si>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</si>
  <si>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</si>
  <si>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</si>
  <si>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</si>
  <si>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</si>
  <si>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</si>
  <si>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</si>
  <si>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</si>
  <si>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</si>
  <si>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</si>
  <si>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</si>
  <si>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</si>
  <si>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</si>
  <si>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</si>
  <si>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</si>
  <si>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</si>
  <si>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</si>
  <si>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</si>
  <si>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</si>
  <si>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</si>
  <si>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</si>
  <si>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</si>
  <si>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</si>
  <si>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</si>
  <si>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</si>
  <si>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</si>
  <si>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</si>
  <si>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</si>
  <si>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</si>
  <si>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</si>
  <si>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</si>
  <si>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</si>
  <si>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</si>
  <si>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</si>
  <si>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</si>
  <si>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</si>
  <si>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</si>
  <si>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</si>
  <si>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</si>
  <si>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</si>
  <si>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</si>
  <si>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</si>
  <si>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</si>
  <si>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</si>
  <si>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</si>
  <si>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</si>
  <si>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</si>
  <si>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</si>
  <si>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</si>
  <si>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</si>
  <si>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</si>
  <si>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</si>
  <si>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</si>
  <si>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</si>
  <si>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</si>
  <si>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</si>
  <si>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</si>
  <si>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</si>
  <si>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</si>
  <si>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</si>
  <si>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</si>
  <si>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</si>
  <si>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</si>
  <si>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</si>
  <si>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</si>
  <si>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</si>
  <si>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</si>
  <si>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</si>
  <si>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</si>
  <si>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</si>
  <si>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</si>
  <si>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</si>
  <si>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</si>
  <si>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</si>
  <si>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</si>
  <si>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</si>
  <si>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</si>
  <si>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</si>
  <si>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</si>
  <si>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</si>
  <si>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</si>
  <si>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</si>
  <si>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</si>
  <si>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</si>
  <si>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</si>
  <si>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</si>
  <si>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</si>
  <si>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</si>
  <si>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</si>
  <si>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</si>
  <si>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</si>
  <si>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</si>
  <si>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</si>
  <si>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</si>
  <si>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</si>
  <si>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</si>
  <si>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</si>
  <si>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</si>
  <si>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</si>
  <si>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</si>
  <si>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</si>
  <si>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</si>
  <si>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</si>
  <si>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</si>
  <si>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</si>
  <si>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</si>
  <si>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</si>
  <si>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</si>
  <si>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</si>
  <si>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</si>
  <si>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</si>
  <si>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</si>
  <si>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</si>
  <si>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</si>
  <si>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</si>
  <si>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</si>
  <si>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</si>
  <si>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</si>
  <si>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</si>
  <si>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</si>
  <si>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</si>
  <si>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</si>
  <si>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</si>
  <si>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</si>
  <si>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</si>
  <si>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</si>
  <si>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</si>
  <si>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</si>
  <si>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</si>
  <si>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</si>
  <si>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</si>
  <si>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</si>
  <si>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</si>
  <si>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</si>
  <si>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</si>
  <si>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</si>
  <si>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</si>
  <si>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</si>
  <si>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</si>
  <si>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K76.0</t>
  </si>
  <si>
    <t>CBC W/ PLATELET COUNT</t>
  </si>
  <si>
    <t>SGPT</t>
  </si>
  <si>
    <t>CREATININE</t>
  </si>
  <si>
    <t>CAPSULE</t>
  </si>
  <si>
    <t>TABLET</t>
  </si>
  <si>
    <t>IV FLUID</t>
  </si>
  <si>
    <t>500MG</t>
  </si>
  <si>
    <t>1L</t>
  </si>
  <si>
    <t>300MG</t>
  </si>
  <si>
    <t>INSYTE G22</t>
  </si>
  <si>
    <t>URINALYSIS</t>
  </si>
  <si>
    <t>FECALYSIS</t>
  </si>
  <si>
    <t>ELECTROLYTES (NA,K)</t>
  </si>
  <si>
    <t>PLRS</t>
  </si>
  <si>
    <t xml:space="preserve">HIDRASEC </t>
  </si>
  <si>
    <t>100MG</t>
  </si>
  <si>
    <t>NORMAGUT</t>
  </si>
  <si>
    <t>CIPROFLOXACIN</t>
  </si>
  <si>
    <t>ESSEL FORTE</t>
  </si>
  <si>
    <t>METRONIDAZOLE</t>
  </si>
  <si>
    <t>VIAL</t>
  </si>
  <si>
    <t>BUSCOPAN</t>
  </si>
  <si>
    <t>10MG</t>
  </si>
  <si>
    <t>1CC SYRINGE</t>
  </si>
  <si>
    <t>FREE NEEDLE G23</t>
  </si>
  <si>
    <t>5CC SYRINGE TERUMO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</si>
</sst>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63" zoomScaleNormal="100" workbookViewId="0">
      <selection activeCell="F66" sqref="F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181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166</v>
      </c>
      <c r="D64" s="55">
        <v>8260</v>
      </c>
      <c r="E64" s="55"/>
      <c r="F64" s="55">
        <v>440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167</v>
      </c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168</v>
      </c>
      <c r="D66" s="55">
        <v>3540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11800</v>
      </c>
      <c r="E75" s="59">
        <f>SUM(E64:E74)</f>
        <v>0</v>
      </c>
      <c r="F75" s="59">
        <f>SUM(F64:F74)</f>
        <v>440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1" workbookViewId="0">
      <selection activeCell="J17" sqref="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175</v>
      </c>
      <c r="E11" s="27" t="s">
        <v>177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173</v>
      </c>
      <c r="E12" s="27" t="s">
        <v>185</v>
      </c>
      <c r="F12" s="55">
        <v>2</v>
      </c>
      <c r="G12" s="55">
        <v>1</v>
      </c>
      <c r="H12" s="55">
        <v>8</v>
      </c>
      <c r="I12" s="55">
        <v>70</v>
      </c>
      <c r="J12" s="55">
        <f t="shared" si="0"/>
        <v>560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173</v>
      </c>
      <c r="E13" s="27"/>
      <c r="F13" s="55">
        <v>1</v>
      </c>
      <c r="G13" s="55">
        <v>1</v>
      </c>
      <c r="H13" s="55">
        <v>3</v>
      </c>
      <c r="I13" s="55">
        <v>90</v>
      </c>
      <c r="J13" s="55">
        <f t="shared" si="0"/>
        <v>270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174</v>
      </c>
      <c r="E14" s="27" t="s">
        <v>176</v>
      </c>
      <c r="F14" s="55">
        <v>3</v>
      </c>
      <c r="G14" s="55">
        <v>1</v>
      </c>
      <c r="H14" s="55">
        <v>5</v>
      </c>
      <c r="I14" s="55">
        <v>50</v>
      </c>
      <c r="J14" s="55">
        <f t="shared" si="0"/>
        <v>250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173</v>
      </c>
      <c r="E15" s="27" t="s">
        <v>178</v>
      </c>
      <c r="F15" s="55">
        <v>2</v>
      </c>
      <c r="G15" s="55">
        <v>1</v>
      </c>
      <c r="H15" s="55">
        <v>6</v>
      </c>
      <c r="I15" s="55">
        <v>60</v>
      </c>
      <c r="J15" s="55">
        <f t="shared" si="0"/>
        <v>360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189</v>
      </c>
      <c r="D16" s="27" t="s">
        <v>190</v>
      </c>
      <c r="E16" s="27" t="s">
        <v>176</v>
      </c>
      <c r="F16" s="55">
        <v>3</v>
      </c>
      <c r="G16" s="55">
        <v>1</v>
      </c>
      <c r="H16" s="55">
        <v>8</v>
      </c>
      <c r="I16" s="55">
        <v>350</v>
      </c>
      <c r="J16" s="55">
        <f t="shared" si="0"/>
        <v>2800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191</v>
      </c>
      <c r="D17" s="27" t="s">
        <v>174</v>
      </c>
      <c r="E17" s="27" t="s">
        <v>192</v>
      </c>
      <c r="F17" s="55">
        <v>3</v>
      </c>
      <c r="G17" s="55">
        <v>1</v>
      </c>
      <c r="H17" s="55">
        <v>7</v>
      </c>
      <c r="I17" s="55">
        <v>30</v>
      </c>
      <c r="J17" s="55">
        <f t="shared" si="0"/>
        <v>210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164</v>
      </c>
      <c r="D16" s="70" t="s">
        <v>165</v>
      </c>
      <c r="E16" s="55">
        <v>2</v>
      </c>
      <c r="F16" s="55">
        <v>150</v>
      </c>
      <c r="G16" s="55">
        <f>E16*F16</f>
        <v>300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165</v>
      </c>
      <c r="E17" s="55">
        <v>1</v>
      </c>
      <c r="F17" s="55">
        <v>150</v>
      </c>
      <c r="G17" s="55">
        <f>E17*F17</f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193</v>
      </c>
      <c r="D18" s="70" t="s">
        <v>165</v>
      </c>
      <c r="E18" s="55">
        <v>2</v>
      </c>
      <c r="F18" s="55">
        <v>20</v>
      </c>
      <c r="G18" s="55">
        <f>E18*F18</f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165</v>
      </c>
      <c r="E19" s="55">
        <v>1</v>
      </c>
      <c r="F19" s="55">
        <v>20</v>
      </c>
      <c r="G19" s="55">
        <f>E19*F19</f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195</v>
      </c>
      <c r="D20" s="70" t="s">
        <v>165</v>
      </c>
      <c r="E20" s="55">
        <v>1</v>
      </c>
      <c r="F20" s="55">
        <v>20</v>
      </c>
      <c r="G20" s="55">
        <f>E20*F20</f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v>100</v>
      </c>
      <c r="H13" s="55">
        <v>80</v>
      </c>
      <c r="I13" s="55"/>
      <c r="J13" s="55"/>
      <c r="K13" s="55"/>
      <c r="L13" s="55"/>
      <c r="M13" s="55"/>
      <c r="N13" s="55"/>
      <c r="P13" s="88">
        <f>SUM(D13:N13)</f>
        <v>205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100</v>
      </c>
      <c r="H30" s="88">
        <f t="shared" si="1"/>
        <v>80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2018-06-06T22:05:58Z</dcterms:modified>
</cp:coreProperties>
</file>