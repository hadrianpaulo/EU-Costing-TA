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<sst xmlns="http://schemas.openxmlformats.org/spreadsheetml/2006/main" count="483" uniqueCount="193">
  <si>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</si>
  <si>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</si>
  <si>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</si>
  <si>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</si>
  <si>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</si>
  <si>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</si>
  <si>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</si>
  <si>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</si>
  <si>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</si>
  <si>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</si>
  <si>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</si>
  <si>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</si>
  <si>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</si>
  <si>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</si>
  <si>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</si>
  <si>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</si>
  <si>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</si>
  <si>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</si>
  <si>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</si>
  <si>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</si>
  <si>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</si>
  <si>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</si>
  <si>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</si>
  <si>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</si>
  <si>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</si>
  <si>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</si>
  <si>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</si>
  <si>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</si>
  <si>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</si>
  <si>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</si>
  <si>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</si>
  <si>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</si>
  <si>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</si>
  <si>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</si>
  <si>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</si>
  <si>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</si>
  <si>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</si>
  <si>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</si>
  <si>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</si>
  <si>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</si>
  <si>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</si>
  <si>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</si>
  <si>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</si>
  <si>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</si>
  <si>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</si>
  <si>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</si>
  <si>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</si>
  <si>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</si>
  <si>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</si>
  <si>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</si>
  <si>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</si>
  <si>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</si>
  <si>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</si>
  <si>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</si>
  <si>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</si>
  <si>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</si>
  <si>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</si>
  <si>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</si>
  <si>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</si>
  <si>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</si>
  <si>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</si>
  <si>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</si>
  <si>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</si>
  <si>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</si>
  <si>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</si>
  <si>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</si>
  <si>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</si>
  <si>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</si>
  <si>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</si>
  <si>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</si>
  <si>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</si>
  <si>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</si>
  <si>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</si>
  <si>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</si>
  <si>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</si>
  <si>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</si>
  <si>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</si>
  <si>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</si>
  <si>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</si>
  <si>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</si>
  <si>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</si>
  <si>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</si>
  <si>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</si>
  <si>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</si>
  <si>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</si>
  <si>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</si>
  <si>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</si>
  <si>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</si>
  <si>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</si>
  <si>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</si>
  <si>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</si>
  <si>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</si>
  <si>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</si>
  <si>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</si>
  <si>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</si>
  <si>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</si>
  <si>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</si>
  <si>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</si>
  <si>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</si>
  <si>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</si>
  <si>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</si>
  <si>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</si>
  <si>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</si>
  <si>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</si>
  <si>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</si>
  <si>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</si>
  <si>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</si>
  <si>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</si>
  <si>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</si>
  <si>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</si>
  <si>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</si>
  <si>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</si>
  <si>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</si>
  <si>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</si>
  <si>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</si>
  <si>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</si>
  <si>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</si>
  <si>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</si>
  <si>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</si>
  <si>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</si>
  <si>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</si>
  <si>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</si>
  <si>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</si>
  <si>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</si>
  <si>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</si>
  <si>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</si>
  <si>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</si>
  <si>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</si>
  <si>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</si>
  <si>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</si>
  <si>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</si>
  <si>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</si>
  <si>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</si>
  <si>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</si>
  <si>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</si>
  <si>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</si>
  <si>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</si>
  <si>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</si>
  <si>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</si>
  <si>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</si>
  <si>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</si>
  <si>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</si>
  <si>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</si>
  <si>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</si>
  <si>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</si>
  <si>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</si>
  <si>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</si>
  <si>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</si>
  <si>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</si>
  <si>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</si>
  <si>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</si>
  <si>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</si>
  <si>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</si>
  <si>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</si>
  <si>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</si>
  <si>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</si>
  <si>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</si>
  <si>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</si>
  <si>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</si>
  <si>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</si>
  <si>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</si>
  <si>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</si>
  <si>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</si>
  <si>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</si>
  <si>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CASE RATE (room,labs,meds, etc.)</t>
  </si>
  <si>
    <t>PF CASE RATE</t>
  </si>
  <si>
    <t>K76.0</t>
  </si>
  <si>
    <t>CBC W/ PLATELET COUNT</t>
  </si>
  <si>
    <t>CREATININE</t>
  </si>
  <si>
    <t>SGPT</t>
  </si>
  <si>
    <t>GLUCOSE (FASTING0</t>
  </si>
  <si>
    <t>CHOLESTEROL</t>
  </si>
  <si>
    <t>TRIGLYCERIDES</t>
  </si>
  <si>
    <t>URIC ACID</t>
  </si>
  <si>
    <t>CXR AP</t>
  </si>
  <si>
    <t>WHOLE ABDOMEN UTZ</t>
  </si>
  <si>
    <t>ECG</t>
  </si>
  <si>
    <t xml:space="preserve">D5 LRS </t>
  </si>
  <si>
    <t>1L</t>
  </si>
  <si>
    <t>IV FLUID</t>
  </si>
  <si>
    <t xml:space="preserve">OMEPRAZOLE </t>
  </si>
  <si>
    <t>VIAL</t>
  </si>
  <si>
    <t>40MG</t>
  </si>
  <si>
    <t>BUSCOPAN</t>
  </si>
  <si>
    <t>AMPOULE</t>
  </si>
  <si>
    <t>20MG</t>
  </si>
  <si>
    <t xml:space="preserve">PLASIL </t>
  </si>
  <si>
    <t>10MG</t>
  </si>
  <si>
    <t>CAPSULE</t>
  </si>
  <si>
    <t>MACROSET</t>
  </si>
  <si>
    <t>INSYTE G22</t>
  </si>
  <si>
    <t>3CC SYRINGE (TERUMO)</t>
  </si>
  <si>
    <t>PER PIECE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</si>
</sst>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J18" sqref="J1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174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 t="s">
        <v>175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176</v>
      </c>
      <c r="D54" s="28"/>
      <c r="E54" s="55">
        <v>1</v>
      </c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164</v>
      </c>
      <c r="D63" s="55">
        <v>8260</v>
      </c>
      <c r="E63" s="55"/>
      <c r="F63" s="55">
        <v>1901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165</v>
      </c>
      <c r="D64" s="55">
        <v>3540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11800</v>
      </c>
      <c r="E74" s="59">
        <f>SUM(E63:E73)</f>
        <v>0</v>
      </c>
      <c r="F74" s="59">
        <f>SUM(F63:F73)</f>
        <v>1901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179</v>
      </c>
      <c r="E11" s="27" t="s">
        <v>178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 t="s">
        <v>182</v>
      </c>
      <c r="F12" s="55">
        <v>1</v>
      </c>
      <c r="G12" s="55">
        <v>1</v>
      </c>
      <c r="H12" s="55">
        <v>1</v>
      </c>
      <c r="I12" s="55">
        <v>1200</v>
      </c>
      <c r="J12" s="55">
        <f t="shared" si="0"/>
        <v>1200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184</v>
      </c>
      <c r="E13" s="27" t="s">
        <v>185</v>
      </c>
      <c r="F13" s="55">
        <v>1</v>
      </c>
      <c r="G13" s="55">
        <v>1</v>
      </c>
      <c r="H13" s="55">
        <v>1</v>
      </c>
      <c r="I13" s="55">
        <v>300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184</v>
      </c>
      <c r="E14" s="27" t="s">
        <v>187</v>
      </c>
      <c r="F14" s="55">
        <v>1</v>
      </c>
      <c r="G14" s="55">
        <v>1</v>
      </c>
      <c r="H14" s="55">
        <v>1</v>
      </c>
      <c r="I14" s="55">
        <v>300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180</v>
      </c>
      <c r="D15" s="27" t="s">
        <v>188</v>
      </c>
      <c r="E15" s="27" t="s">
        <v>182</v>
      </c>
      <c r="F15" s="55">
        <v>1</v>
      </c>
      <c r="G15" s="55">
        <v>1</v>
      </c>
      <c r="H15" s="55">
        <v>1</v>
      </c>
      <c r="I15" s="55">
        <v>70</v>
      </c>
      <c r="J15" s="55">
        <f t="shared" si="0"/>
        <v>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192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192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192</v>
      </c>
      <c r="E18" s="55">
        <v>1</v>
      </c>
      <c r="F18" s="55">
        <v>50</v>
      </c>
      <c r="G18" s="55">
        <f>E18*F18</f>
        <v>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F20" sqref="F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30</v>
      </c>
      <c r="H13" s="55">
        <v>70</v>
      </c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70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120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2018-06-06T11:11:16Z</dcterms:modified>
</cp:coreProperties>
</file>