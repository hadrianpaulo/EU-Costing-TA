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<sst xmlns="http://schemas.openxmlformats.org/spreadsheetml/2006/main" count="483" uniqueCount="192">
  <si>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</si>
  <si>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</si>
  <si>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</si>
  <si>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</si>
  <si>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</si>
  <si>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</si>
  <si>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</si>
  <si>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</si>
  <si>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</si>
  <si>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</si>
  <si>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</si>
  <si>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</si>
  <si>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</si>
  <si>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</si>
  <si>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</si>
  <si>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</si>
  <si>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</si>
  <si>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</si>
  <si>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</si>
  <si>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</si>
  <si>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</si>
  <si>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</si>
  <si>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</si>
  <si>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</si>
  <si>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</si>
  <si>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</si>
  <si>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</si>
  <si>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</si>
  <si>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</si>
  <si>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</si>
  <si>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</si>
  <si>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</si>
  <si>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</si>
  <si>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</si>
  <si>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</si>
  <si>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</si>
  <si>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</si>
  <si>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</si>
  <si>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</si>
  <si>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</si>
  <si>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</si>
  <si>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</si>
  <si>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</si>
  <si>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</si>
  <si>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</si>
  <si>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</si>
  <si>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</si>
  <si>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</si>
  <si>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</si>
  <si>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</si>
  <si>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</si>
  <si>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</si>
  <si>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</si>
  <si>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</si>
  <si>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</si>
  <si>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</si>
  <si>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</si>
  <si>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</si>
  <si>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</si>
  <si>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</si>
  <si>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</si>
  <si>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</si>
  <si>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</si>
  <si>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</si>
  <si>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</si>
  <si>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</si>
  <si>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</si>
  <si>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</si>
  <si>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</si>
  <si>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</si>
  <si>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</si>
  <si>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</si>
  <si>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</si>
  <si>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</si>
  <si>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</si>
  <si>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</si>
  <si>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</si>
  <si>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</si>
  <si>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</si>
  <si>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</si>
  <si>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</si>
  <si>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</si>
  <si>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</si>
  <si>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</si>
  <si>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</si>
  <si>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</si>
  <si>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</si>
  <si>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</si>
  <si>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</si>
  <si>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</si>
  <si>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</si>
  <si>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</si>
  <si>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</si>
  <si>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</si>
  <si>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</si>
  <si>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</si>
  <si>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</si>
  <si>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</si>
  <si>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</si>
  <si>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</si>
  <si>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</si>
  <si>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</si>
  <si>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</si>
  <si>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</si>
  <si>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</si>
  <si>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</si>
  <si>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</si>
  <si>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</si>
  <si>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</si>
  <si>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</si>
  <si>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</si>
  <si>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</si>
  <si>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</si>
  <si>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</si>
  <si>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</si>
  <si>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</si>
  <si>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</si>
  <si>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</si>
  <si>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</si>
  <si>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</si>
  <si>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</si>
  <si>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</si>
  <si>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</si>
  <si>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</si>
  <si>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</si>
  <si>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</si>
  <si>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</si>
  <si>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</si>
  <si>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</si>
  <si>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</si>
  <si>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</si>
  <si>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</si>
  <si>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</si>
  <si>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</si>
  <si>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</si>
  <si>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</si>
  <si>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</si>
  <si>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</si>
  <si>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</si>
  <si>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</si>
  <si>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</si>
  <si>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</si>
  <si>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</si>
  <si>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</si>
  <si>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</si>
  <si>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</si>
  <si>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</si>
  <si>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</si>
  <si>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</si>
  <si>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</si>
  <si>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</si>
  <si>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</si>
  <si>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</si>
  <si>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</si>
  <si>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</si>
  <si>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</si>
  <si>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</si>
  <si>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</si>
  <si>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</si>
  <si>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</si>
  <si>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</si>
  <si>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</si>
  <si>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</si>
  <si>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</si>
  <si>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</si>
  <si>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</si>
  <si>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</si>
  <si>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</si>
  <si>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K76.0</t>
  </si>
  <si>
    <t>POTASSIUM</t>
  </si>
  <si>
    <t>SGPT</t>
  </si>
  <si>
    <t>CBC W/ PLATELET COUNT</t>
  </si>
  <si>
    <t>CREATININE</t>
  </si>
  <si>
    <t>PNSS</t>
  </si>
  <si>
    <t>OMEPRAZOLE</t>
  </si>
  <si>
    <t>IV FLUID</t>
  </si>
  <si>
    <t>CAPSULE</t>
  </si>
  <si>
    <t>AMPOULE</t>
  </si>
  <si>
    <t>1L</t>
  </si>
  <si>
    <t>40MG</t>
  </si>
  <si>
    <t>INSYTE G22</t>
  </si>
  <si>
    <t>3CC SYRINGE</t>
  </si>
  <si>
    <t>INDIGENT</t>
  </si>
  <si>
    <t>MAALOX</t>
  </si>
  <si>
    <t>SUSPENSION</t>
  </si>
  <si>
    <t>225MG/200MG</t>
  </si>
  <si>
    <t>RANITIDINE</t>
  </si>
  <si>
    <t>50MG/2ML</t>
  </si>
  <si>
    <t>VIAL</t>
  </si>
  <si>
    <t>HYOSCINE</t>
  </si>
  <si>
    <t>20MG</t>
  </si>
  <si>
    <t>5CC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</si>
</sst>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opLeftCell="A63" zoomScaleNormal="100" workbookViewId="0">
      <selection activeCell="F64" sqref="F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44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45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53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55</v>
      </c>
      <c r="C60" s="17" t="s">
        <v>51</v>
      </c>
      <c r="D60" s="17" t="s">
        <v>56</v>
      </c>
      <c r="E60" s="18" t="s">
        <v>57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166</v>
      </c>
      <c r="D61" s="55">
        <v>8260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182</v>
      </c>
      <c r="D62" s="55"/>
      <c r="E62" s="55">
        <v>1310</v>
      </c>
      <c r="F62" s="55">
        <v>1292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167</v>
      </c>
      <c r="D63" s="55">
        <v>3540</v>
      </c>
      <c r="E63" s="55"/>
      <c r="F63" s="55">
        <v>950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11800</v>
      </c>
      <c r="E72" s="59">
        <f>SUM(E61:E71)</f>
        <v>1310</v>
      </c>
      <c r="F72" s="59">
        <f>SUM(F61:F71)</f>
        <v>2242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password="C2E9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5" workbookViewId="0">
      <selection activeCell="H13" sqref="H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K76.0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184</v>
      </c>
      <c r="E11" s="27" t="s">
        <v>185</v>
      </c>
      <c r="F11" s="55">
        <v>1</v>
      </c>
      <c r="G11" s="55">
        <v>1</v>
      </c>
      <c r="H11" s="55">
        <v>1</v>
      </c>
      <c r="I11" s="55">
        <v>582</v>
      </c>
      <c r="J11" s="55">
        <f t="shared" ref="J11:J17" si="0">H11*I11</f>
        <v>582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177</v>
      </c>
      <c r="E12" s="27" t="s">
        <v>187</v>
      </c>
      <c r="F12" s="55">
        <v>1</v>
      </c>
      <c r="G12" s="55">
        <v>1</v>
      </c>
      <c r="H12" s="55">
        <v>1</v>
      </c>
      <c r="I12" s="55">
        <v>300</v>
      </c>
      <c r="J12" s="55">
        <f t="shared" si="0"/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175</v>
      </c>
      <c r="E13" s="27" t="s">
        <v>178</v>
      </c>
      <c r="F13" s="55">
        <v>1</v>
      </c>
      <c r="G13" s="55">
        <v>1</v>
      </c>
      <c r="H13" s="55">
        <v>2</v>
      </c>
      <c r="I13" s="55">
        <v>372</v>
      </c>
      <c r="J13" s="55">
        <f t="shared" si="0"/>
        <v>744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174</v>
      </c>
      <c r="D14" s="27" t="s">
        <v>188</v>
      </c>
      <c r="E14" s="27" t="s">
        <v>179</v>
      </c>
      <c r="F14" s="55">
        <v>1</v>
      </c>
      <c r="G14" s="55">
        <v>1</v>
      </c>
      <c r="H14" s="55">
        <v>1</v>
      </c>
      <c r="I14" s="55">
        <v>1440</v>
      </c>
      <c r="J14" s="55">
        <f t="shared" si="0"/>
        <v>1440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177</v>
      </c>
      <c r="E15" s="27" t="s">
        <v>190</v>
      </c>
      <c r="F15" s="55">
        <v>1</v>
      </c>
      <c r="G15" s="55">
        <v>1</v>
      </c>
      <c r="H15" s="55">
        <v>1</v>
      </c>
      <c r="I15" s="55">
        <v>300</v>
      </c>
      <c r="J15" s="55">
        <f t="shared" si="0"/>
        <v>300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174</v>
      </c>
      <c r="D16" s="27" t="s">
        <v>176</v>
      </c>
      <c r="E16" s="27" t="s">
        <v>179</v>
      </c>
      <c r="F16" s="55">
        <v>1</v>
      </c>
      <c r="G16" s="55">
        <v>1</v>
      </c>
      <c r="H16" s="55">
        <v>1</v>
      </c>
      <c r="I16" s="55">
        <v>60</v>
      </c>
      <c r="J16" s="55">
        <f t="shared" si="0"/>
        <v>60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8" sqref="F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164</v>
      </c>
      <c r="D16" s="70" t="s">
        <v>165</v>
      </c>
      <c r="E16" s="55">
        <v>1</v>
      </c>
      <c r="F16" s="55">
        <v>180</v>
      </c>
      <c r="G16" s="55">
        <f>E16*F16</f>
        <v>180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165</v>
      </c>
      <c r="E17" s="55">
        <v>1</v>
      </c>
      <c r="F17" s="55">
        <v>180</v>
      </c>
      <c r="G17" s="55">
        <f>E17*F17</f>
        <v>180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181</v>
      </c>
      <c r="D18" s="70" t="s">
        <v>165</v>
      </c>
      <c r="E18" s="55">
        <v>3</v>
      </c>
      <c r="F18" s="55">
        <v>24</v>
      </c>
      <c r="G18" s="55">
        <f>E18*F18</f>
        <v>72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191</v>
      </c>
      <c r="D19" s="70" t="s">
        <v>165</v>
      </c>
      <c r="E19" s="55">
        <v>1</v>
      </c>
      <c r="F19" s="55">
        <v>24</v>
      </c>
      <c r="G19" s="55">
        <f>E19*F19</f>
        <v>24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L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40</v>
      </c>
      <c r="E13" s="55"/>
      <c r="F13" s="55"/>
      <c r="G13" s="55">
        <v>60</v>
      </c>
      <c r="H13" s="55">
        <v>90</v>
      </c>
      <c r="I13" s="55"/>
      <c r="J13" s="55"/>
      <c r="K13" s="55"/>
      <c r="L13" s="55"/>
      <c r="M13" s="55"/>
      <c r="N13" s="55"/>
      <c r="P13" s="88">
        <f>SUM(D13:N13)</f>
        <v>190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40</v>
      </c>
      <c r="E30" s="88">
        <f t="shared" si="1"/>
        <v>0</v>
      </c>
      <c r="F30" s="88">
        <f t="shared" si="1"/>
        <v>0</v>
      </c>
      <c r="G30" s="88">
        <f t="shared" si="1"/>
        <v>60</v>
      </c>
      <c r="H30" s="88">
        <f t="shared" si="1"/>
        <v>90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2018-06-06T22:15:33Z</dcterms:modified>
</cp:coreProperties>
</file>