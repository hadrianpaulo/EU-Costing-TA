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<sst xmlns="http://schemas.openxmlformats.org/spreadsheetml/2006/main" count="483" uniqueCount="192">
  <si>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</si>
  <si>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</si>
  <si>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</si>
  <si>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</si>
  <si>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</si>
  <si>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</si>
  <si>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</si>
  <si>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</si>
  <si>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</si>
  <si>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</si>
  <si>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</si>
  <si>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</si>
  <si>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</si>
  <si>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</si>
  <si>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</si>
  <si>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</si>
  <si>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</si>
  <si>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</si>
  <si>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</si>
  <si>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</si>
  <si>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</si>
  <si>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</si>
  <si>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</si>
  <si>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</si>
  <si>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</si>
  <si>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</si>
  <si>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</si>
  <si>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</si>
  <si>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</si>
  <si>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</si>
  <si>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</si>
  <si>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</si>
  <si>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</si>
  <si>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</si>
  <si>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</si>
  <si>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</si>
  <si>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</si>
  <si>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</si>
  <si>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</si>
  <si>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</si>
  <si>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</si>
  <si>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</si>
  <si>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</si>
  <si>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</si>
  <si>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</si>
  <si>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</si>
  <si>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</si>
  <si>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</si>
  <si>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</si>
  <si>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</si>
  <si>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</si>
  <si>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</si>
  <si>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</si>
  <si>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</si>
  <si>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</si>
  <si>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</si>
  <si>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</si>
  <si>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</si>
  <si>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</si>
  <si>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</si>
  <si>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</si>
  <si>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</si>
  <si>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</si>
  <si>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</si>
  <si>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</si>
  <si>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</si>
  <si>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</si>
  <si>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</si>
  <si>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</si>
  <si>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</si>
  <si>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</si>
  <si>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</si>
  <si>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</si>
  <si>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</si>
  <si>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</si>
  <si>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</si>
  <si>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</si>
  <si>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</si>
  <si>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</si>
  <si>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</si>
  <si>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</si>
  <si>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</si>
  <si>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</si>
  <si>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</si>
  <si>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</si>
  <si>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</si>
  <si>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</si>
  <si>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</si>
  <si>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</si>
  <si>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</si>
  <si>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</si>
  <si>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</si>
  <si>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</si>
  <si>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</si>
  <si>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</si>
  <si>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</si>
  <si>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</si>
  <si>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</si>
  <si>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</si>
  <si>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</si>
  <si>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</si>
  <si>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</si>
  <si>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</si>
  <si>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</si>
  <si>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</si>
  <si>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</si>
  <si>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</si>
  <si>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</si>
  <si>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</si>
  <si>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</si>
  <si>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</si>
  <si>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</si>
  <si>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</si>
  <si>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</si>
  <si>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</si>
  <si>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</si>
  <si>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</si>
  <si>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</si>
  <si>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</si>
  <si>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</si>
  <si>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</si>
  <si>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</si>
  <si>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</si>
  <si>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</si>
  <si>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</si>
  <si>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</si>
  <si>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</si>
  <si>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</si>
  <si>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</si>
  <si>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</si>
  <si>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</si>
  <si>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</si>
  <si>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</si>
  <si>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</si>
  <si>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</si>
  <si>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</si>
  <si>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</si>
  <si>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</si>
  <si>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</si>
  <si>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</si>
  <si>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</si>
  <si>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</si>
  <si>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</si>
  <si>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</si>
  <si>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</si>
  <si>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</si>
  <si>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</si>
  <si>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</si>
  <si>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</si>
  <si>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</si>
  <si>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</si>
  <si>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</si>
  <si>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</si>
  <si>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</si>
  <si>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</si>
  <si>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</si>
  <si>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</si>
  <si>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</si>
  <si>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</si>
  <si>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</si>
  <si>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</si>
  <si>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</si>
  <si>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</si>
  <si>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</si>
  <si>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</si>
  <si>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</si>
  <si>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</si>
  <si>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</si>
  <si>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</si>
  <si>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A09.9</t>
  </si>
  <si>
    <t>CBC W/ PLATELET COUNT</t>
  </si>
  <si>
    <t>URINALYSIS</t>
  </si>
  <si>
    <t>D5 SODIUM CHLORIDE</t>
  </si>
  <si>
    <t>500ML</t>
  </si>
  <si>
    <t>AMPOULE</t>
  </si>
  <si>
    <t>50MG/ML</t>
  </si>
  <si>
    <t>ZINC SULFATE</t>
  </si>
  <si>
    <t>INSYTE G24</t>
  </si>
  <si>
    <t>1CC SYRINGE</t>
  </si>
  <si>
    <t>FECALYSIS</t>
  </si>
  <si>
    <t>ERCEFLORA</t>
  </si>
  <si>
    <t>SUSPENSION</t>
  </si>
  <si>
    <t>ORAL</t>
  </si>
  <si>
    <t>DROPS</t>
  </si>
  <si>
    <t>27.5MG/ML</t>
  </si>
  <si>
    <t>DIPHENHYDRAMINE</t>
  </si>
  <si>
    <t>PARACETAMOL</t>
  </si>
  <si>
    <t>300MG</t>
  </si>
  <si>
    <t>MICROSET</t>
  </si>
  <si>
    <t>5CC SYRINGE</t>
  </si>
  <si>
    <t>WEE BAG</t>
  </si>
  <si>
    <t>INSYTE G26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</si>
</sst>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60"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4200</v>
      </c>
      <c r="E67" s="55"/>
      <c r="F67" s="55">
        <v>3130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168</v>
      </c>
      <c r="D68" s="55">
        <v>1800</v>
      </c>
      <c r="E68" s="55"/>
      <c r="F68" s="55">
        <v>2450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6000</v>
      </c>
      <c r="E78" s="59">
        <f>SUM(E67:E77)</f>
        <v>0</v>
      </c>
      <c r="F78" s="59">
        <f>SUM(F67:F77)</f>
        <v>5580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1" workbookViewId="0">
      <selection activeCell="J16" sqref="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A09.9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165</v>
      </c>
      <c r="E11" s="27" t="s">
        <v>173</v>
      </c>
      <c r="F11" s="55">
        <v>1</v>
      </c>
      <c r="G11" s="55">
        <v>1</v>
      </c>
      <c r="H11" s="55">
        <v>3</v>
      </c>
      <c r="I11" s="55">
        <v>310</v>
      </c>
      <c r="J11" s="55">
        <f t="shared" ref="J11:J17" si="0">H11*I11</f>
        <v>930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181</v>
      </c>
      <c r="E12" s="27" t="s">
        <v>182</v>
      </c>
      <c r="F12" s="55">
        <v>2</v>
      </c>
      <c r="G12" s="55">
        <v>1</v>
      </c>
      <c r="H12" s="55">
        <v>6</v>
      </c>
      <c r="I12" s="55">
        <v>80</v>
      </c>
      <c r="J12" s="55">
        <f t="shared" si="0"/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183</v>
      </c>
      <c r="E13" s="27" t="s">
        <v>184</v>
      </c>
      <c r="F13" s="55">
        <v>1</v>
      </c>
      <c r="G13" s="55">
        <v>1</v>
      </c>
      <c r="H13" s="55">
        <v>1</v>
      </c>
      <c r="I13" s="55">
        <v>130</v>
      </c>
      <c r="J13" s="55">
        <f t="shared" si="0"/>
        <v>130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174</v>
      </c>
      <c r="E14" s="27" t="s">
        <v>175</v>
      </c>
      <c r="F14" s="55">
        <v>1</v>
      </c>
      <c r="G14" s="55">
        <v>1</v>
      </c>
      <c r="H14" s="55">
        <v>1</v>
      </c>
      <c r="I14" s="55">
        <v>350</v>
      </c>
      <c r="J14" s="55">
        <f t="shared" si="0"/>
        <v>350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174</v>
      </c>
      <c r="E15" s="27" t="s">
        <v>187</v>
      </c>
      <c r="F15" s="55">
        <v>1</v>
      </c>
      <c r="G15" s="55">
        <v>1</v>
      </c>
      <c r="H15" s="55">
        <v>1</v>
      </c>
      <c r="I15" s="55">
        <v>200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A09.9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188</v>
      </c>
      <c r="D17" s="70" t="s">
        <v>166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166</v>
      </c>
      <c r="E18" s="55">
        <v>2</v>
      </c>
      <c r="F18" s="55">
        <v>20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189</v>
      </c>
      <c r="D19" s="70" t="s">
        <v>166</v>
      </c>
      <c r="E19" s="55">
        <v>1</v>
      </c>
      <c r="F19" s="55">
        <v>20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190</v>
      </c>
      <c r="D20" s="70" t="s">
        <v>166</v>
      </c>
      <c r="E20" s="55">
        <v>3</v>
      </c>
      <c r="F20" s="55">
        <v>100</v>
      </c>
      <c r="G20" s="55">
        <f t="shared" si="0"/>
        <v>300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191</v>
      </c>
      <c r="D21" s="70" t="s">
        <v>166</v>
      </c>
      <c r="E21" s="55">
        <v>1</v>
      </c>
      <c r="F21" s="55">
        <v>350</v>
      </c>
      <c r="G21" s="55">
        <f t="shared" si="0"/>
        <v>350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A09.9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>
        <v>5</v>
      </c>
      <c r="G13" s="55">
        <v>70</v>
      </c>
      <c r="H13" s="55">
        <v>165</v>
      </c>
      <c r="I13" s="55"/>
      <c r="J13" s="55"/>
      <c r="K13" s="55"/>
      <c r="L13" s="55"/>
      <c r="M13" s="55"/>
      <c r="N13" s="55"/>
      <c r="P13" s="88">
        <f>SUM(D13:N13)</f>
        <v>270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5</v>
      </c>
      <c r="G30" s="88">
        <f t="shared" si="1"/>
        <v>70</v>
      </c>
      <c r="H30" s="88">
        <f t="shared" si="1"/>
        <v>165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2018-06-10T14:38:04Z</dcterms:modified>
</cp:coreProperties>
</file>