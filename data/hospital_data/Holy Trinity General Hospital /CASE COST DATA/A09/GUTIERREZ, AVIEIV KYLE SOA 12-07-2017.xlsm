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<sst xmlns="http://schemas.openxmlformats.org/spreadsheetml/2006/main" count="477" uniqueCount="187">
  <si>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</si>
  <si>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</si>
  <si>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</si>
  <si>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</si>
  <si>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</si>
  <si>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</si>
  <si>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</si>
  <si>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</si>
  <si>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</si>
  <si>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</si>
  <si>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</si>
  <si>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</si>
  <si>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</si>
  <si>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</si>
  <si>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</si>
  <si>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</si>
  <si>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</si>
  <si>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</si>
  <si>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</si>
  <si>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</si>
  <si>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</si>
  <si>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</si>
  <si>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</si>
  <si>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</si>
  <si>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</si>
  <si>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</si>
  <si>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</si>
  <si>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</si>
  <si>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</si>
  <si>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</si>
  <si>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</si>
  <si>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</si>
  <si>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</si>
  <si>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</si>
  <si>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</si>
  <si>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</si>
  <si>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</si>
  <si>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</si>
  <si>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</si>
  <si>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</si>
  <si>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</si>
  <si>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</si>
  <si>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</si>
  <si>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</si>
  <si>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</si>
  <si>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</si>
  <si>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</si>
  <si>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</si>
  <si>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</si>
  <si>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</si>
  <si>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</si>
  <si>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</si>
  <si>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</si>
  <si>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</si>
  <si>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</si>
  <si>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</si>
  <si>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</si>
  <si>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</si>
  <si>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</si>
  <si>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</si>
  <si>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</si>
  <si>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</si>
  <si>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</si>
  <si>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</si>
  <si>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</si>
  <si>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</si>
  <si>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</si>
  <si>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</si>
  <si>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</si>
  <si>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</si>
  <si>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</si>
  <si>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</si>
  <si>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</si>
  <si>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</si>
  <si>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</si>
  <si>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</si>
  <si>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</si>
  <si>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</si>
  <si>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</si>
  <si>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</si>
  <si>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</si>
  <si>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</si>
  <si>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</si>
  <si>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</si>
  <si>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</si>
  <si>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</si>
  <si>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</si>
  <si>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</si>
  <si>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</si>
  <si>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</si>
  <si>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</si>
  <si>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</si>
  <si>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</si>
  <si>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</si>
  <si>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</si>
  <si>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</si>
  <si>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</si>
  <si>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</si>
  <si>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</si>
  <si>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</si>
  <si>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</si>
  <si>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</si>
  <si>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</si>
  <si>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</si>
  <si>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</si>
  <si>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</si>
  <si>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</si>
  <si>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</si>
  <si>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</si>
  <si>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</si>
  <si>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</si>
  <si>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</si>
  <si>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</si>
  <si>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</si>
  <si>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</si>
  <si>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</si>
  <si>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</si>
  <si>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</si>
  <si>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</si>
  <si>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</si>
  <si>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</si>
  <si>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</si>
  <si>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</si>
  <si>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</si>
  <si>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</si>
  <si>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</si>
  <si>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</si>
  <si>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</si>
  <si>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</si>
  <si>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</si>
  <si>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</si>
  <si>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</si>
  <si>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</si>
  <si>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</si>
  <si>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</si>
  <si>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</si>
  <si>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</si>
  <si>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</si>
  <si>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</si>
  <si>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</si>
  <si>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</si>
  <si>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</si>
  <si>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</si>
  <si>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</si>
  <si>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</si>
  <si>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</si>
  <si>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</si>
  <si>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</si>
  <si>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</si>
  <si>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</si>
  <si>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</si>
  <si>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</si>
  <si>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</si>
  <si>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</si>
  <si>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</si>
  <si>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</si>
  <si>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</si>
  <si>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</si>
  <si>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</si>
  <si>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</si>
  <si>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</si>
  <si>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</si>
  <si>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</si>
  <si>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</si>
  <si>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</si>
  <si>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</si>
  <si>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</si>
  <si>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</si>
  <si>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</si>
  <si>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A09.9</t>
  </si>
  <si>
    <t>MACROSET</t>
  </si>
  <si>
    <t>CBC W/ PLATELET COUNT</t>
  </si>
  <si>
    <t>URINALYSIS</t>
  </si>
  <si>
    <t>D5 SODIUM CHLORIDE</t>
  </si>
  <si>
    <t>500ML</t>
  </si>
  <si>
    <t xml:space="preserve">RANITIDINE </t>
  </si>
  <si>
    <t>AMPOULE</t>
  </si>
  <si>
    <t>50MG/2ML</t>
  </si>
  <si>
    <t xml:space="preserve">DIPHENHYDRAMINE </t>
  </si>
  <si>
    <t>50MG/ML</t>
  </si>
  <si>
    <t>ZINC SULFATE</t>
  </si>
  <si>
    <t>SYRUP</t>
  </si>
  <si>
    <t>55MG/ML</t>
  </si>
  <si>
    <t>INSYTE G24</t>
  </si>
  <si>
    <t>1CC SYRINGE</t>
  </si>
  <si>
    <t>3CC SYRINGE</t>
  </si>
  <si>
    <t>HAND SPLINT PEDIA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</si>
</sst>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zoomScaleNormal="100" workbookViewId="0">
      <selection activeCell="F69" sqref="F6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172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19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8" t="s">
        <v>45</v>
      </c>
      <c r="C50" s="119"/>
      <c r="D50" s="116"/>
      <c r="E50" s="119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54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5" t="s">
        <v>20</v>
      </c>
      <c r="C57" s="116"/>
      <c r="D57" s="116"/>
      <c r="E57" s="116"/>
      <c r="F57" s="11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4200</v>
      </c>
      <c r="E67" s="55"/>
      <c r="F67" s="55">
        <v>2024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168</v>
      </c>
      <c r="D68" s="55">
        <v>1800</v>
      </c>
      <c r="E68" s="55"/>
      <c r="F68" s="55">
        <v>1150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6000</v>
      </c>
      <c r="E78" s="59">
        <f>SUM(E67:E77)</f>
        <v>0</v>
      </c>
      <c r="F78" s="59">
        <f>SUM(F67:F77)</f>
        <v>3174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G17" sqref="G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A09.9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165</v>
      </c>
      <c r="E11" s="27" t="s">
        <v>174</v>
      </c>
      <c r="F11" s="55">
        <v>1</v>
      </c>
      <c r="G11" s="55">
        <v>1</v>
      </c>
      <c r="H11" s="55">
        <v>2</v>
      </c>
      <c r="I11" s="55">
        <v>372</v>
      </c>
      <c r="J11" s="55">
        <f t="shared" ref="J11:J17" si="0">H11*I11</f>
        <v>744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176</v>
      </c>
      <c r="E12" s="27" t="s">
        <v>177</v>
      </c>
      <c r="F12" s="55">
        <v>1</v>
      </c>
      <c r="G12" s="55">
        <v>1</v>
      </c>
      <c r="H12" s="55">
        <v>2</v>
      </c>
      <c r="I12" s="55">
        <v>300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178</v>
      </c>
      <c r="D13" s="27" t="s">
        <v>176</v>
      </c>
      <c r="E13" s="27" t="s">
        <v>179</v>
      </c>
      <c r="F13" s="55">
        <v>1</v>
      </c>
      <c r="G13" s="55">
        <v>1</v>
      </c>
      <c r="H13" s="55">
        <v>1</v>
      </c>
      <c r="I13" s="55">
        <v>420</v>
      </c>
      <c r="J13" s="55">
        <f t="shared" si="0"/>
        <v>420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181</v>
      </c>
      <c r="E14" s="27" t="s">
        <v>182</v>
      </c>
      <c r="F14" s="55">
        <v>1</v>
      </c>
      <c r="G14" s="55">
        <v>1</v>
      </c>
      <c r="H14" s="55">
        <v>1</v>
      </c>
      <c r="I14" s="55">
        <v>168</v>
      </c>
      <c r="J14" s="55">
        <f t="shared" si="0"/>
        <v>168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A09.9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183</v>
      </c>
      <c r="D16" s="70" t="s">
        <v>166</v>
      </c>
      <c r="E16" s="55">
        <v>5</v>
      </c>
      <c r="F16" s="55">
        <v>180</v>
      </c>
      <c r="G16" s="55">
        <f t="shared" ref="G16:G22" si="0">E16*F16</f>
        <v>900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170</v>
      </c>
      <c r="D17" s="70" t="s">
        <v>166</v>
      </c>
      <c r="E17" s="55">
        <v>1</v>
      </c>
      <c r="F17" s="55">
        <v>180</v>
      </c>
      <c r="G17" s="55">
        <f t="shared" si="0"/>
        <v>180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184</v>
      </c>
      <c r="D18" s="70" t="s">
        <v>166</v>
      </c>
      <c r="E18" s="55">
        <v>2</v>
      </c>
      <c r="F18" s="55">
        <v>24</v>
      </c>
      <c r="G18" s="55">
        <f t="shared" si="0"/>
        <v>48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185</v>
      </c>
      <c r="D19" s="70" t="s">
        <v>166</v>
      </c>
      <c r="E19" s="55">
        <v>1</v>
      </c>
      <c r="F19" s="55">
        <v>24</v>
      </c>
      <c r="G19" s="55">
        <f t="shared" si="0"/>
        <v>24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186</v>
      </c>
      <c r="D20" s="70" t="s">
        <v>166</v>
      </c>
      <c r="E20" s="55">
        <v>1</v>
      </c>
      <c r="F20" s="55">
        <v>240</v>
      </c>
      <c r="G20" s="55">
        <f t="shared" si="0"/>
        <v>240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I13" sqref="I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A09.9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v>40</v>
      </c>
      <c r="H13" s="55">
        <v>75</v>
      </c>
      <c r="I13" s="55"/>
      <c r="J13" s="55"/>
      <c r="K13" s="55"/>
      <c r="L13" s="55"/>
      <c r="M13" s="55"/>
      <c r="N13" s="55"/>
      <c r="P13" s="88">
        <f>SUM(D13:N13)</f>
        <v>135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40</v>
      </c>
      <c r="H30" s="88">
        <f t="shared" si="1"/>
        <v>75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2018-06-10T14:33:23Z</dcterms:modified>
</cp:coreProperties>
</file>