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<sst xmlns="http://schemas.openxmlformats.org/spreadsheetml/2006/main" count="490" uniqueCount="197">
  <si>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</si>
  <si>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</si>
  <si>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</si>
  <si>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</si>
  <si>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</si>
  <si>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</si>
  <si>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</si>
  <si>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</si>
  <si>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</si>
  <si>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</si>
  <si>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</si>
  <si>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</si>
  <si>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</si>
  <si>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</si>
  <si>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</si>
  <si>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</si>
  <si>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</si>
  <si>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</si>
  <si>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</si>
  <si>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</si>
  <si>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</si>
  <si>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</si>
  <si>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</si>
  <si>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</si>
  <si>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</si>
  <si>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</si>
  <si>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</si>
  <si>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</si>
  <si>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</si>
  <si>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</si>
  <si>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</si>
  <si>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</si>
  <si>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</si>
  <si>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</si>
  <si>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</si>
  <si>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</si>
  <si>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</si>
  <si>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</si>
  <si>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</si>
  <si>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</si>
  <si>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</si>
  <si>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</si>
  <si>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</si>
  <si>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</si>
  <si>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</si>
  <si>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</si>
  <si>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</si>
  <si>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</si>
  <si>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</si>
  <si>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</si>
  <si>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</si>
  <si>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</si>
  <si>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</si>
  <si>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</si>
  <si>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</si>
  <si>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</si>
  <si>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</si>
  <si>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</si>
  <si>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</si>
  <si>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</si>
  <si>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</si>
  <si>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</si>
  <si>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</si>
  <si>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</si>
  <si>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</si>
  <si>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</si>
  <si>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</si>
  <si>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</si>
  <si>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</si>
  <si>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</si>
  <si>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</si>
  <si>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</si>
  <si>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</si>
  <si>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</si>
  <si>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</si>
  <si>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</si>
  <si>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</si>
  <si>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</si>
  <si>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</si>
  <si>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</si>
  <si>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</si>
  <si>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</si>
  <si>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</si>
  <si>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</si>
  <si>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</si>
  <si>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</si>
  <si>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</si>
  <si>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</si>
  <si>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</si>
  <si>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</si>
  <si>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</si>
  <si>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</si>
  <si>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</si>
  <si>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</si>
  <si>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</si>
  <si>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</si>
  <si>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</si>
  <si>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</si>
  <si>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</si>
  <si>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</si>
  <si>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</si>
  <si>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</si>
  <si>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</si>
  <si>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</si>
  <si>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</si>
  <si>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</si>
  <si>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</si>
  <si>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</si>
  <si>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</si>
  <si>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</si>
  <si>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</si>
  <si>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</si>
  <si>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</si>
  <si>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</si>
  <si>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</si>
  <si>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</si>
  <si>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</si>
  <si>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</si>
  <si>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</si>
  <si>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</si>
  <si>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</si>
  <si>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</si>
  <si>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</si>
  <si>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</si>
  <si>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</si>
  <si>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</si>
  <si>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</si>
  <si>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</si>
  <si>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</si>
  <si>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</si>
  <si>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</si>
  <si>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</si>
  <si>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</si>
  <si>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</si>
  <si>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</si>
  <si>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</si>
  <si>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</si>
  <si>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</si>
  <si>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</si>
  <si>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</si>
  <si>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</si>
  <si>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</si>
  <si>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</si>
  <si>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</si>
  <si>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</si>
  <si>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</si>
  <si>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</si>
  <si>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</si>
  <si>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</si>
  <si>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</si>
  <si>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</si>
  <si>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</si>
  <si>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</si>
  <si>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</si>
  <si>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</si>
  <si>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</si>
  <si>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</si>
  <si>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</si>
  <si>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</si>
  <si>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</si>
  <si>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</si>
  <si>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</si>
  <si>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</si>
  <si>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</si>
  <si>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</si>
  <si>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</si>
  <si>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</si>
  <si>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</si>
  <si>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</si>
  <si>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A09.9</t>
  </si>
  <si>
    <t>MACROSET</t>
  </si>
  <si>
    <t>CBC W/ PLATELET COUNT</t>
  </si>
  <si>
    <t>URINALYSIS</t>
  </si>
  <si>
    <t>D5 SODIUM CHLORIDE</t>
  </si>
  <si>
    <t>500ML</t>
  </si>
  <si>
    <t xml:space="preserve">RANITIDINE </t>
  </si>
  <si>
    <t>AMPOULE</t>
  </si>
  <si>
    <t>50MG/ML</t>
  </si>
  <si>
    <t>ZINC SULFATE</t>
  </si>
  <si>
    <t>INSYTE G24</t>
  </si>
  <si>
    <t>1CC SYRINGE</t>
  </si>
  <si>
    <t>3CC SYRINGE</t>
  </si>
  <si>
    <t>FECALYSIS</t>
  </si>
  <si>
    <t>EMPLOYEE DISCOUNT</t>
  </si>
  <si>
    <t xml:space="preserve">PARACETAMOL </t>
  </si>
  <si>
    <t>300MG</t>
  </si>
  <si>
    <t xml:space="preserve">ERCEFLORA </t>
  </si>
  <si>
    <t>SUSPENSION</t>
  </si>
  <si>
    <t>ORAL</t>
  </si>
  <si>
    <t>55MG/5ML</t>
  </si>
  <si>
    <t>50MG/5ML</t>
  </si>
  <si>
    <t>DIPHENHYDRAMINE</t>
  </si>
  <si>
    <t>CEFUROXIME</t>
  </si>
  <si>
    <t>VIAL</t>
  </si>
  <si>
    <t>750MG</t>
  </si>
  <si>
    <t>5CC SYRINGE</t>
  </si>
  <si>
    <t>MICROSET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</si>
</sst>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6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4200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183</v>
      </c>
      <c r="D68" s="55"/>
      <c r="E68" s="55">
        <v>2990</v>
      </c>
      <c r="F68" s="55">
        <v>2950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168</v>
      </c>
      <c r="D69" s="55">
        <v>1800</v>
      </c>
      <c r="E69" s="55"/>
      <c r="F69" s="55">
        <v>1050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6000</v>
      </c>
      <c r="E78" s="59">
        <f>SUM(E67:E77)</f>
        <v>2990</v>
      </c>
      <c r="F78" s="59">
        <f>SUM(F67:F77)</f>
        <v>4000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workbookViewId="0">
      <selection activeCell="H18" sqref="H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A09.9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176</v>
      </c>
      <c r="E11" s="27" t="s">
        <v>185</v>
      </c>
      <c r="F11" s="55">
        <v>2</v>
      </c>
      <c r="G11" s="55">
        <v>1</v>
      </c>
      <c r="H11" s="55">
        <v>4</v>
      </c>
      <c r="I11" s="55">
        <v>200</v>
      </c>
      <c r="J11" s="55">
        <f t="shared" ref="J11:J17" si="0"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187</v>
      </c>
      <c r="E12" s="27" t="s">
        <v>188</v>
      </c>
      <c r="F12" s="55">
        <v>3</v>
      </c>
      <c r="G12" s="55">
        <v>1</v>
      </c>
      <c r="H12" s="55">
        <v>6</v>
      </c>
      <c r="I12" s="55">
        <v>80</v>
      </c>
      <c r="J12" s="55">
        <f t="shared" si="0"/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187</v>
      </c>
      <c r="E13" s="27" t="s">
        <v>189</v>
      </c>
      <c r="F13" s="55">
        <v>2</v>
      </c>
      <c r="G13" s="55">
        <v>1</v>
      </c>
      <c r="H13" s="55">
        <v>2</v>
      </c>
      <c r="I13" s="55">
        <v>140</v>
      </c>
      <c r="J13" s="55">
        <f t="shared" si="0"/>
        <v>280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176</v>
      </c>
      <c r="E14" s="27" t="s">
        <v>190</v>
      </c>
      <c r="F14" s="55">
        <v>1</v>
      </c>
      <c r="G14" s="55">
        <v>1</v>
      </c>
      <c r="H14" s="55">
        <v>3</v>
      </c>
      <c r="I14" s="55">
        <v>250</v>
      </c>
      <c r="J14" s="55">
        <f t="shared" si="0"/>
        <v>750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176</v>
      </c>
      <c r="E15" s="27" t="s">
        <v>177</v>
      </c>
      <c r="F15" s="55">
        <v>1</v>
      </c>
      <c r="G15" s="55">
        <v>1</v>
      </c>
      <c r="H15" s="55">
        <v>3</v>
      </c>
      <c r="I15" s="55">
        <v>350</v>
      </c>
      <c r="J15" s="55">
        <f t="shared" si="0"/>
        <v>1050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193</v>
      </c>
      <c r="E16" s="27" t="s">
        <v>194</v>
      </c>
      <c r="F16" s="55">
        <v>3</v>
      </c>
      <c r="G16" s="55">
        <v>1</v>
      </c>
      <c r="H16" s="55">
        <v>6</v>
      </c>
      <c r="I16" s="55">
        <v>350</v>
      </c>
      <c r="J16" s="55">
        <f t="shared" si="0"/>
        <v>2100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173</v>
      </c>
      <c r="D17" s="27" t="s">
        <v>165</v>
      </c>
      <c r="E17" s="27" t="s">
        <v>174</v>
      </c>
      <c r="F17" s="55">
        <v>1</v>
      </c>
      <c r="G17" s="55">
        <v>1</v>
      </c>
      <c r="H17" s="55">
        <v>4</v>
      </c>
      <c r="I17" s="55">
        <v>310</v>
      </c>
      <c r="J17" s="55">
        <f t="shared" si="0"/>
        <v>1240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195</v>
      </c>
      <c r="D16" s="70" t="s">
        <v>166</v>
      </c>
      <c r="E16" s="55">
        <v>8</v>
      </c>
      <c r="F16" s="55">
        <v>20</v>
      </c>
      <c r="G16" s="55">
        <f t="shared" ref="G16:G22" si="0">E16*F16</f>
        <v>160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166</v>
      </c>
      <c r="E17" s="55">
        <v>4</v>
      </c>
      <c r="F17" s="55">
        <v>20</v>
      </c>
      <c r="G17" s="55">
        <f t="shared" si="0"/>
        <v>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166</v>
      </c>
      <c r="E18" s="55">
        <v>1</v>
      </c>
      <c r="F18" s="55">
        <v>150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166</v>
      </c>
      <c r="E19" s="55">
        <v>2</v>
      </c>
      <c r="F19" s="55">
        <v>150</v>
      </c>
      <c r="G19" s="55">
        <f t="shared" si="0"/>
        <v>300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 t="s">
        <v>166</v>
      </c>
      <c r="E20" s="55">
        <v>10</v>
      </c>
      <c r="F20" s="55">
        <v>20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196</v>
      </c>
      <c r="D21" s="70" t="s">
        <v>166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N14" sqref="N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</v>
      </c>
      <c r="E13" s="55"/>
      <c r="F13" s="55">
        <v>7</v>
      </c>
      <c r="G13" s="55">
        <v>50</v>
      </c>
      <c r="H13" s="55">
        <v>115</v>
      </c>
      <c r="I13" s="55"/>
      <c r="J13" s="55"/>
      <c r="K13" s="55"/>
      <c r="L13" s="55"/>
      <c r="M13" s="55"/>
      <c r="N13" s="55"/>
      <c r="P13" s="88">
        <f>SUM(D13:N13)</f>
        <v>179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7</v>
      </c>
      <c r="E30" s="88">
        <f t="shared" si="1"/>
        <v>0</v>
      </c>
      <c r="F30" s="88">
        <f t="shared" si="1"/>
        <v>7</v>
      </c>
      <c r="G30" s="88">
        <f t="shared" si="1"/>
        <v>50</v>
      </c>
      <c r="H30" s="88">
        <f t="shared" si="1"/>
        <v>115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179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2018-06-10T14:35:42Z</dcterms:modified>
</cp:coreProperties>
</file>