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20" i="2" l="1"/>
  <c r="J19" i="2"/>
  <c r="J18" i="2"/>
  <c r="G22" i="9" l="1"/>
  <c r="G21" i="9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<sst xmlns="http://schemas.openxmlformats.org/spreadsheetml/2006/main" count="497" uniqueCount="199">
  <si>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</si>
  <si>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</si>
  <si>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</si>
  <si>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</si>
  <si>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</si>
  <si>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</si>
  <si>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</si>
  <si>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</si>
  <si>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</si>
  <si>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</si>
  <si>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</si>
  <si>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</si>
  <si>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</si>
  <si>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</si>
  <si>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</si>
  <si>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</si>
  <si>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</si>
  <si>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</si>
  <si>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</si>
  <si>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</si>
  <si>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</si>
  <si>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</si>
  <si>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</si>
  <si>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</si>
  <si>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</si>
  <si>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</si>
  <si>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</si>
  <si>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</si>
  <si>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</si>
  <si>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</si>
  <si>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</si>
  <si>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</si>
  <si>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</si>
  <si>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</si>
  <si>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</si>
  <si>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</si>
  <si>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</si>
  <si>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</si>
  <si>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</si>
  <si>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</si>
  <si>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</si>
  <si>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</si>
  <si>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</si>
  <si>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</si>
  <si>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</si>
  <si>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</si>
  <si>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</si>
  <si>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</si>
  <si>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</si>
  <si>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</si>
  <si>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</si>
  <si>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</si>
  <si>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</si>
  <si>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</si>
  <si>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</si>
  <si>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</si>
  <si>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</si>
  <si>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</si>
  <si>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</si>
  <si>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</si>
  <si>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</si>
  <si>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</si>
  <si>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</si>
  <si>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</si>
  <si>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</si>
  <si>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</si>
  <si>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</si>
  <si>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</si>
  <si>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</si>
  <si>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</si>
  <si>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</si>
  <si>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</si>
  <si>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</si>
  <si>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</si>
  <si>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</si>
  <si>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</si>
  <si>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</si>
  <si>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</si>
  <si>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</si>
  <si>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</si>
  <si>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</si>
  <si>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</si>
  <si>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</si>
  <si>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</si>
  <si>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</si>
  <si>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</si>
  <si>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</si>
  <si>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</si>
  <si>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</si>
  <si>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</si>
  <si>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</si>
  <si>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</si>
  <si>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</si>
  <si>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</si>
  <si>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</si>
  <si>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</si>
  <si>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</si>
  <si>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</si>
  <si>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</si>
  <si>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</si>
  <si>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</si>
  <si>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</si>
  <si>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</si>
  <si>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</si>
  <si>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</si>
  <si>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</si>
  <si>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</si>
  <si>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</si>
  <si>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</si>
  <si>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</si>
  <si>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</si>
  <si>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</si>
  <si>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</si>
  <si>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</si>
  <si>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</si>
  <si>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</si>
  <si>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</si>
  <si>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</si>
  <si>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</si>
  <si>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</si>
  <si>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</si>
  <si>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</si>
  <si>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</si>
  <si>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</si>
  <si>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</si>
  <si>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</si>
  <si>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</si>
  <si>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</si>
  <si>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</si>
  <si>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</si>
  <si>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</si>
  <si>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</si>
  <si>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</si>
  <si>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</si>
  <si>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</si>
  <si>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</si>
  <si>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</si>
  <si>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</si>
  <si>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</si>
  <si>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</si>
  <si>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</si>
  <si>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</si>
  <si>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</si>
  <si>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</si>
  <si>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</si>
  <si>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</si>
  <si>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</si>
  <si>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</si>
  <si>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</si>
  <si>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</si>
  <si>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</si>
  <si>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</si>
  <si>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</si>
  <si>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</si>
  <si>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</si>
  <si>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</si>
  <si>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</si>
  <si>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</si>
  <si>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</si>
  <si>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</si>
  <si>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</si>
  <si>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</si>
  <si>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</si>
  <si>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</si>
  <si>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</si>
  <si>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CBC W/ PLATELET COUNT</t>
  </si>
  <si>
    <t>IV FLUID</t>
  </si>
  <si>
    <t>100MG</t>
  </si>
  <si>
    <t>PER PIECE</t>
  </si>
  <si>
    <t>CASE RATE(room,labs,meds, etc.)</t>
  </si>
  <si>
    <t>PF CASE RATE</t>
  </si>
  <si>
    <t>A09.9</t>
  </si>
  <si>
    <t>URINALYSIS</t>
  </si>
  <si>
    <t>FECALYSIS</t>
  </si>
  <si>
    <t>ELECTROLYTES (NA,K)</t>
  </si>
  <si>
    <t>CAPSULE</t>
  </si>
  <si>
    <t>TABLET</t>
  </si>
  <si>
    <t>10MG</t>
  </si>
  <si>
    <t>METRONIDAZOLE</t>
  </si>
  <si>
    <t>PNSS</t>
  </si>
  <si>
    <t>1L</t>
  </si>
  <si>
    <t>MACROSET</t>
  </si>
  <si>
    <t>INDIGENT</t>
  </si>
  <si>
    <t xml:space="preserve">PARACETAMOL </t>
  </si>
  <si>
    <t>AMPOULE</t>
  </si>
  <si>
    <t>300MG</t>
  </si>
  <si>
    <t>METOCLOPRAMIDE</t>
  </si>
  <si>
    <t>500MG</t>
  </si>
  <si>
    <t xml:space="preserve">CIPROFLOXACIN </t>
  </si>
  <si>
    <t xml:space="preserve">RACECADOTRIL </t>
  </si>
  <si>
    <t>PROBIOTIC</t>
  </si>
  <si>
    <t>250MG</t>
  </si>
  <si>
    <t>HYOSCINE</t>
  </si>
  <si>
    <t>20MG</t>
  </si>
  <si>
    <t>CLONIDINE</t>
  </si>
  <si>
    <t>75MG</t>
  </si>
  <si>
    <t>INSYTE G24</t>
  </si>
  <si>
    <t>3CC SYRINGE</t>
  </si>
  <si>
    <t>1CC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</si>
</sst>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topLeftCell="A60" zoomScaleNormal="100" workbookViewId="0">
      <selection activeCell="F71" sqref="F7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174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173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19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45</v>
      </c>
      <c r="C50" s="119"/>
      <c r="D50" s="116"/>
      <c r="E50" s="119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46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54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5" t="s">
        <v>20</v>
      </c>
      <c r="C57" s="116"/>
      <c r="D57" s="116"/>
      <c r="E57" s="116"/>
      <c r="F57" s="11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56</v>
      </c>
      <c r="C66" s="17" t="s">
        <v>52</v>
      </c>
      <c r="D66" s="17" t="s">
        <v>57</v>
      </c>
      <c r="E66" s="18" t="s">
        <v>58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169</v>
      </c>
      <c r="D67" s="55">
        <v>4200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182</v>
      </c>
      <c r="D68" s="55"/>
      <c r="E68" s="55">
        <v>1055</v>
      </c>
      <c r="F68" s="55">
        <v>1924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 t="s">
        <v>170</v>
      </c>
      <c r="D69" s="55">
        <v>1800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 t="s">
        <v>182</v>
      </c>
      <c r="D70" s="55"/>
      <c r="E70" s="55">
        <v>750</v>
      </c>
      <c r="F70" s="55">
        <v>800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6000</v>
      </c>
      <c r="E78" s="59">
        <f>SUM(E67:E77)</f>
        <v>1805</v>
      </c>
      <c r="F78" s="59">
        <f>SUM(F67:F77)</f>
        <v>2724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password="C2E9" sheet="1" objects="1" scenarios="1"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5:F45"/>
    <mergeCell ref="B52:F52"/>
  </mergeCells>
  <dataValidations count="1">
    <dataValidation type="decimal" operator="greaterThanOrEqual" allowBlank="1" showInputMessage="1" showErrorMessage="1" sqref="E32 E46:E49 E51 E23:F27 E53:F56 E58:F63 D67:F76 E34:E36 E37:E4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8" workbookViewId="0">
      <selection activeCell="J26" sqref="J2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A09.9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179</v>
      </c>
      <c r="D11" s="27" t="s">
        <v>166</v>
      </c>
      <c r="E11" s="27" t="s">
        <v>180</v>
      </c>
      <c r="F11" s="55">
        <v>2</v>
      </c>
      <c r="G11" s="55">
        <v>1</v>
      </c>
      <c r="H11" s="55">
        <v>3</v>
      </c>
      <c r="I11" s="55">
        <v>310</v>
      </c>
      <c r="J11" s="55">
        <f t="shared" ref="J11:J20" si="0">H11*I11</f>
        <v>930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183</v>
      </c>
      <c r="D12" s="27" t="s">
        <v>184</v>
      </c>
      <c r="E12" s="27" t="s">
        <v>185</v>
      </c>
      <c r="F12" s="55">
        <v>2</v>
      </c>
      <c r="G12" s="55">
        <v>1</v>
      </c>
      <c r="H12" s="55">
        <v>5</v>
      </c>
      <c r="I12" s="55">
        <v>200</v>
      </c>
      <c r="J12" s="55">
        <f t="shared" si="0"/>
        <v>1000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184</v>
      </c>
      <c r="E13" s="27" t="s">
        <v>177</v>
      </c>
      <c r="F13" s="55">
        <v>1</v>
      </c>
      <c r="G13" s="55">
        <v>1</v>
      </c>
      <c r="H13" s="55">
        <v>1</v>
      </c>
      <c r="I13" s="55">
        <v>300</v>
      </c>
      <c r="J13" s="55">
        <f t="shared" si="0"/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188</v>
      </c>
      <c r="D14" s="27" t="s">
        <v>176</v>
      </c>
      <c r="E14" s="27" t="s">
        <v>187</v>
      </c>
      <c r="F14" s="55">
        <v>2</v>
      </c>
      <c r="G14" s="55">
        <v>1</v>
      </c>
      <c r="H14" s="55">
        <v>5</v>
      </c>
      <c r="I14" s="55">
        <v>50</v>
      </c>
      <c r="J14" s="55">
        <f t="shared" si="0"/>
        <v>250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178</v>
      </c>
      <c r="D15" s="27" t="s">
        <v>176</v>
      </c>
      <c r="E15" s="27" t="s">
        <v>187</v>
      </c>
      <c r="F15" s="55">
        <v>3</v>
      </c>
      <c r="G15" s="55">
        <v>1</v>
      </c>
      <c r="H15" s="55">
        <v>6</v>
      </c>
      <c r="I15" s="55">
        <v>30</v>
      </c>
      <c r="J15" s="55">
        <f t="shared" si="0"/>
        <v>180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189</v>
      </c>
      <c r="D16" s="27" t="s">
        <v>175</v>
      </c>
      <c r="E16" s="27" t="s">
        <v>167</v>
      </c>
      <c r="F16" s="55">
        <v>2</v>
      </c>
      <c r="G16" s="55">
        <v>1</v>
      </c>
      <c r="H16" s="55">
        <v>5</v>
      </c>
      <c r="I16" s="55">
        <v>70</v>
      </c>
      <c r="J16" s="55">
        <f t="shared" si="0"/>
        <v>350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190</v>
      </c>
      <c r="D17" s="27" t="s">
        <v>175</v>
      </c>
      <c r="E17" s="27" t="s">
        <v>191</v>
      </c>
      <c r="F17" s="55">
        <v>2</v>
      </c>
      <c r="G17" s="55">
        <v>1</v>
      </c>
      <c r="H17" s="55">
        <v>4</v>
      </c>
      <c r="I17" s="55">
        <v>66</v>
      </c>
      <c r="J17" s="55">
        <f t="shared" si="0"/>
        <v>264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192</v>
      </c>
      <c r="D18" s="27" t="s">
        <v>184</v>
      </c>
      <c r="E18" s="27" t="s">
        <v>193</v>
      </c>
      <c r="F18" s="55">
        <v>1</v>
      </c>
      <c r="G18" s="55">
        <v>1</v>
      </c>
      <c r="H18" s="55">
        <v>1</v>
      </c>
      <c r="I18" s="55">
        <v>250</v>
      </c>
      <c r="J18" s="55">
        <f t="shared" si="0"/>
        <v>250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194</v>
      </c>
      <c r="D19" s="27" t="s">
        <v>176</v>
      </c>
      <c r="E19" s="27" t="s">
        <v>195</v>
      </c>
      <c r="F19" s="55">
        <v>1</v>
      </c>
      <c r="G19" s="55">
        <v>1</v>
      </c>
      <c r="H19" s="55">
        <v>1</v>
      </c>
      <c r="I19" s="55">
        <v>35</v>
      </c>
      <c r="J19" s="55">
        <f t="shared" si="0"/>
        <v>35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192</v>
      </c>
      <c r="D20" s="27" t="s">
        <v>176</v>
      </c>
      <c r="E20" s="27" t="s">
        <v>177</v>
      </c>
      <c r="F20" s="55">
        <v>2</v>
      </c>
      <c r="G20" s="55">
        <v>1</v>
      </c>
      <c r="H20" s="55">
        <v>4</v>
      </c>
      <c r="I20" s="55">
        <v>30</v>
      </c>
      <c r="J20" s="55">
        <f t="shared" si="0"/>
        <v>120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G17" sqref="G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A09.9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196</v>
      </c>
      <c r="D16" s="70" t="s">
        <v>168</v>
      </c>
      <c r="E16" s="55">
        <v>1</v>
      </c>
      <c r="F16" s="55">
        <v>150</v>
      </c>
      <c r="G16" s="55">
        <f t="shared" ref="G16:G22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168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198</v>
      </c>
      <c r="D18" s="70" t="s">
        <v>168</v>
      </c>
      <c r="E18" s="55">
        <v>1</v>
      </c>
      <c r="F18" s="55">
        <v>20</v>
      </c>
      <c r="G18" s="55">
        <f t="shared" si="0"/>
        <v>20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197</v>
      </c>
      <c r="D19" s="70" t="s">
        <v>168</v>
      </c>
      <c r="E19" s="55">
        <v>6</v>
      </c>
      <c r="F19" s="55">
        <v>20</v>
      </c>
      <c r="G19" s="55">
        <f t="shared" si="0"/>
        <v>120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K14" sqref="K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A09.9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/>
      <c r="G13" s="55">
        <v>120</v>
      </c>
      <c r="H13" s="55">
        <v>100</v>
      </c>
      <c r="I13" s="55"/>
      <c r="J13" s="55"/>
      <c r="K13" s="55"/>
      <c r="L13" s="55"/>
      <c r="M13" s="55"/>
      <c r="N13" s="55"/>
      <c r="P13" s="88">
        <f>SUM(D13:N13)</f>
        <v>250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0</v>
      </c>
      <c r="G30" s="88">
        <f t="shared" si="1"/>
        <v>120</v>
      </c>
      <c r="H30" s="88">
        <f t="shared" si="1"/>
        <v>100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2018-06-04T06:56:40Z</dcterms:modified>
</cp:coreProperties>
</file>