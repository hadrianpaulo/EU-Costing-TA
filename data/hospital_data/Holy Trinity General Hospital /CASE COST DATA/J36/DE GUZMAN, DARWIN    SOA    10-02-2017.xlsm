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<sst xmlns="http://schemas.openxmlformats.org/spreadsheetml/2006/main" count="480" uniqueCount="191">
  <si>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</si>
  <si>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</si>
  <si>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</si>
  <si>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</si>
  <si>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</si>
  <si>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</si>
  <si>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</si>
  <si>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</si>
  <si>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</si>
  <si>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</si>
  <si>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</si>
  <si>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</si>
  <si>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</si>
  <si>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</si>
  <si>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</si>
  <si>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</si>
  <si>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</si>
  <si>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</si>
  <si>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</si>
  <si>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</si>
  <si>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</si>
  <si>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</si>
  <si>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</si>
  <si>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</si>
  <si>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</si>
  <si>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</si>
  <si>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</si>
  <si>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</si>
  <si>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</si>
  <si>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</si>
  <si>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</si>
  <si>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</si>
  <si>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</si>
  <si>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</si>
  <si>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</si>
  <si>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</si>
  <si>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</si>
  <si>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</si>
  <si>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</si>
  <si>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</si>
  <si>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</si>
  <si>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</si>
  <si>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</si>
  <si>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</si>
  <si>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</si>
  <si>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</si>
  <si>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</si>
  <si>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</si>
  <si>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</si>
  <si>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</si>
  <si>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</si>
  <si>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</si>
  <si>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</si>
  <si>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</si>
  <si>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</si>
  <si>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</si>
  <si>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</si>
  <si>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</si>
  <si>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</si>
  <si>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</si>
  <si>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</si>
  <si>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</si>
  <si>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</si>
  <si>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</si>
  <si>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</si>
  <si>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</si>
  <si>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</si>
  <si>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</si>
  <si>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</si>
  <si>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</si>
  <si>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</si>
  <si>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</si>
  <si>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</si>
  <si>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</si>
  <si>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</si>
  <si>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</si>
  <si>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</si>
  <si>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</si>
  <si>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</si>
  <si>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</si>
  <si>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</si>
  <si>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</si>
  <si>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</si>
  <si>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</si>
  <si>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</si>
  <si>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</si>
  <si>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</si>
  <si>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</si>
  <si>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</si>
  <si>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</si>
  <si>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</si>
  <si>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</si>
  <si>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</si>
  <si>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</si>
  <si>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</si>
  <si>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</si>
  <si>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</si>
  <si>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</si>
  <si>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</si>
  <si>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</si>
  <si>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</si>
  <si>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</si>
  <si>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</si>
  <si>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</si>
  <si>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</si>
  <si>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</si>
  <si>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</si>
  <si>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</si>
  <si>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</si>
  <si>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</si>
  <si>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</si>
  <si>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</si>
  <si>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</si>
  <si>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</si>
  <si>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</si>
  <si>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</si>
  <si>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</si>
  <si>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</si>
  <si>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</si>
  <si>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</si>
  <si>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</si>
  <si>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</si>
  <si>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</si>
  <si>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</si>
  <si>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</si>
  <si>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</si>
  <si>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</si>
  <si>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</si>
  <si>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</si>
  <si>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</si>
  <si>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</si>
  <si>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</si>
  <si>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</si>
  <si>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</si>
  <si>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</si>
  <si>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</si>
  <si>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</si>
  <si>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</si>
  <si>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</si>
  <si>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</si>
  <si>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</si>
  <si>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</si>
  <si>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</si>
  <si>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</si>
  <si>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</si>
  <si>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</si>
  <si>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</si>
  <si>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</si>
  <si>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</si>
  <si>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</si>
  <si>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</si>
  <si>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</si>
  <si>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</si>
  <si>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</si>
  <si>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</si>
  <si>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</si>
  <si>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</si>
  <si>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</si>
  <si>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</si>
  <si>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</si>
  <si>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</si>
  <si>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</si>
  <si>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</si>
  <si>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</si>
  <si>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</si>
  <si>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</si>
  <si>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</si>
  <si>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</si>
  <si>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J36</t>
  </si>
  <si>
    <t>CXR AP-L</t>
  </si>
  <si>
    <t>CEFTAZIDIME</t>
  </si>
  <si>
    <t>1G/ML</t>
  </si>
  <si>
    <t>MONTELUKAST</t>
  </si>
  <si>
    <t>SACHET</t>
  </si>
  <si>
    <t>4MG</t>
  </si>
  <si>
    <t>SALRESP-I</t>
  </si>
  <si>
    <t>NEBULE</t>
  </si>
  <si>
    <t>2.5MG/500MCG</t>
  </si>
  <si>
    <t>AMIKACIN SULAFATE</t>
  </si>
  <si>
    <t>500MG/2ML</t>
  </si>
  <si>
    <t>D5 0.3 NACL</t>
  </si>
  <si>
    <t>IV FULID</t>
  </si>
  <si>
    <t>500ML</t>
  </si>
  <si>
    <t>MICROSET</t>
  </si>
  <si>
    <t>INSYTE G24</t>
  </si>
  <si>
    <t>5CC SYRINGE</t>
  </si>
  <si>
    <t>3CC SYRINGE</t>
  </si>
  <si>
    <t>1CC SYRINGE</t>
  </si>
  <si>
    <t>CASE RATE(room,labs, meds, etc,)</t>
  </si>
  <si>
    <t>PF CASEA RATE</t>
  </si>
  <si>
    <t>LGU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</si>
</sst>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F70" sqref="F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169</v>
      </c>
      <c r="D46" s="32"/>
      <c r="E46" s="57">
        <v>1</v>
      </c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188</v>
      </c>
      <c r="D60" s="55">
        <v>7000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189</v>
      </c>
      <c r="D61" s="55">
        <v>3000</v>
      </c>
      <c r="E61" s="55"/>
      <c r="F61" s="55">
        <v>550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190</v>
      </c>
      <c r="D62" s="55"/>
      <c r="E62" s="55">
        <v>327</v>
      </c>
      <c r="F62" s="55">
        <v>1250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10000</v>
      </c>
      <c r="E71" s="59">
        <f>SUM(E60:E70)</f>
        <v>327</v>
      </c>
      <c r="F71" s="59">
        <f>SUM(F60:F70)</f>
        <v>1800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166</v>
      </c>
      <c r="E11" s="27" t="s">
        <v>171</v>
      </c>
      <c r="F11" s="55">
        <v>3</v>
      </c>
      <c r="G11" s="55">
        <v>1</v>
      </c>
      <c r="H11" s="55">
        <v>3</v>
      </c>
      <c r="I11" s="55">
        <v>1000</v>
      </c>
      <c r="J11" s="55">
        <f t="shared" ref="J11:J17" si="0">H11*I11</f>
        <v>3000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173</v>
      </c>
      <c r="E12" s="27" t="s">
        <v>174</v>
      </c>
      <c r="F12" s="55">
        <v>2</v>
      </c>
      <c r="G12" s="55">
        <v>1</v>
      </c>
      <c r="H12" s="55">
        <v>3</v>
      </c>
      <c r="I12" s="55">
        <v>54</v>
      </c>
      <c r="J12" s="55">
        <f t="shared" si="0"/>
        <v>162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176</v>
      </c>
      <c r="E13" s="27" t="s">
        <v>177</v>
      </c>
      <c r="F13" s="55">
        <v>2</v>
      </c>
      <c r="G13" s="55">
        <v>1</v>
      </c>
      <c r="H13" s="55">
        <v>11</v>
      </c>
      <c r="I13" s="55">
        <v>60</v>
      </c>
      <c r="J13" s="55">
        <f t="shared" si="0"/>
        <v>660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166</v>
      </c>
      <c r="E14" s="27" t="s">
        <v>179</v>
      </c>
      <c r="F14" s="55">
        <v>1</v>
      </c>
      <c r="G14" s="55">
        <v>1</v>
      </c>
      <c r="H14" s="55">
        <v>1</v>
      </c>
      <c r="I14" s="55">
        <v>500</v>
      </c>
      <c r="J14" s="55">
        <f t="shared" si="0"/>
        <v>500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180</v>
      </c>
      <c r="D15" s="27" t="s">
        <v>181</v>
      </c>
      <c r="E15" s="27" t="s">
        <v>182</v>
      </c>
      <c r="F15" s="55">
        <v>3</v>
      </c>
      <c r="G15" s="55">
        <v>1</v>
      </c>
      <c r="H15" s="55">
        <v>4</v>
      </c>
      <c r="I15" s="55">
        <v>310</v>
      </c>
      <c r="J15" s="55">
        <f t="shared" si="0"/>
        <v>1240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167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167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167</v>
      </c>
      <c r="E18" s="55">
        <v>5</v>
      </c>
      <c r="F18" s="55">
        <v>2</v>
      </c>
      <c r="G18" s="55">
        <f>E18*F18</f>
        <v>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167</v>
      </c>
      <c r="E19" s="55">
        <v>6</v>
      </c>
      <c r="F19" s="55">
        <v>20</v>
      </c>
      <c r="G19" s="55">
        <f>E19*F19</f>
        <v>120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167</v>
      </c>
      <c r="E20" s="55">
        <v>1</v>
      </c>
      <c r="F20" s="55">
        <v>20</v>
      </c>
      <c r="G20" s="55">
        <f>E20*F20</f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4" sqref="O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130</v>
      </c>
      <c r="H13" s="55">
        <v>150</v>
      </c>
      <c r="I13" s="55"/>
      <c r="J13" s="55"/>
      <c r="K13" s="55"/>
      <c r="L13" s="55"/>
      <c r="M13" s="55"/>
      <c r="N13" s="55"/>
      <c r="P13" s="88">
        <f>SUM(D13:N13)</f>
        <v>310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130</v>
      </c>
      <c r="H30" s="88">
        <f t="shared" si="1"/>
        <v>150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2018-06-08T10:11:08Z</dcterms:modified>
</cp:coreProperties>
</file>