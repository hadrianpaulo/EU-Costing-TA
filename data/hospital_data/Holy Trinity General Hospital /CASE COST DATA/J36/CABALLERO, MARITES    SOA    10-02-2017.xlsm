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5" i="9" l="1"/>
  <c r="G24" i="9"/>
  <c r="G23" i="9"/>
  <c r="G22" i="9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<sst xmlns="http://schemas.openxmlformats.org/spreadsheetml/2006/main" count="492" uniqueCount="196">
  <si>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</si>
  <si>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</si>
  <si>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</si>
  <si>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</si>
  <si>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</si>
  <si>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</si>
  <si>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</si>
  <si>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</si>
  <si>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</si>
  <si>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</si>
  <si>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</si>
  <si>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</si>
  <si>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</si>
  <si>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</si>
  <si>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</si>
  <si>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</si>
  <si>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</si>
  <si>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</si>
  <si>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</si>
  <si>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</si>
  <si>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</si>
  <si>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</si>
  <si>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</si>
  <si>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</si>
  <si>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</si>
  <si>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</si>
  <si>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</si>
  <si>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</si>
  <si>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</si>
  <si>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</si>
  <si>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</si>
  <si>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</si>
  <si>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</si>
  <si>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</si>
  <si>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</si>
  <si>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</si>
  <si>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</si>
  <si>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</si>
  <si>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</si>
  <si>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</si>
  <si>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</si>
  <si>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</si>
  <si>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</si>
  <si>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</si>
  <si>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</si>
  <si>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</si>
  <si>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</si>
  <si>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</si>
  <si>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</si>
  <si>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</si>
  <si>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</si>
  <si>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</si>
  <si>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</si>
  <si>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</si>
  <si>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</si>
  <si>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</si>
  <si>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</si>
  <si>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</si>
  <si>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</si>
  <si>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</si>
  <si>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</si>
  <si>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</si>
  <si>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</si>
  <si>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</si>
  <si>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</si>
  <si>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</si>
  <si>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</si>
  <si>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</si>
  <si>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</si>
  <si>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</si>
  <si>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</si>
  <si>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</si>
  <si>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</si>
  <si>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</si>
  <si>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</si>
  <si>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</si>
  <si>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</si>
  <si>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</si>
  <si>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</si>
  <si>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</si>
  <si>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</si>
  <si>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</si>
  <si>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</si>
  <si>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</si>
  <si>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</si>
  <si>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</si>
  <si>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</si>
  <si>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</si>
  <si>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</si>
  <si>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</si>
  <si>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</si>
  <si>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</si>
  <si>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</si>
  <si>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</si>
  <si>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</si>
  <si>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</si>
  <si>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</si>
  <si>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</si>
  <si>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</si>
  <si>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</si>
  <si>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</si>
  <si>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</si>
  <si>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</si>
  <si>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</si>
  <si>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</si>
  <si>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</si>
  <si>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</si>
  <si>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</si>
  <si>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</si>
  <si>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</si>
  <si>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</si>
  <si>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</si>
  <si>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</si>
  <si>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</si>
  <si>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</si>
  <si>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</si>
  <si>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</si>
  <si>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</si>
  <si>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</si>
  <si>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</si>
  <si>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</si>
  <si>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</si>
  <si>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</si>
  <si>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</si>
  <si>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</si>
  <si>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</si>
  <si>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</si>
  <si>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</si>
  <si>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</si>
  <si>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</si>
  <si>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</si>
  <si>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</si>
  <si>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</si>
  <si>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</si>
  <si>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</si>
  <si>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</si>
  <si>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</si>
  <si>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</si>
  <si>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</si>
  <si>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</si>
  <si>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</si>
  <si>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</si>
  <si>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</si>
  <si>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</si>
  <si>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</si>
  <si>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</si>
  <si>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</si>
  <si>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</si>
  <si>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</si>
  <si>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</si>
  <si>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</si>
  <si>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</si>
  <si>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</si>
  <si>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</si>
  <si>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</si>
  <si>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</si>
  <si>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</si>
  <si>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</si>
  <si>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</si>
  <si>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</si>
  <si>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</si>
  <si>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</si>
  <si>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</si>
  <si>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</si>
  <si>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</si>
  <si>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</si>
  <si>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</si>
  <si>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</si>
  <si>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J36</t>
  </si>
  <si>
    <t>IV FULID</t>
  </si>
  <si>
    <t>500ML</t>
  </si>
  <si>
    <t>MICROSET</t>
  </si>
  <si>
    <t>INSYTE G24</t>
  </si>
  <si>
    <t>5CC SYRINGE</t>
  </si>
  <si>
    <t>3CC SYRINGE</t>
  </si>
  <si>
    <t>1CC SYRINGE</t>
  </si>
  <si>
    <t>CASE RATE(room,labs, meds, etc,)</t>
  </si>
  <si>
    <t>LGU DISCOUNT</t>
  </si>
  <si>
    <t>PF CASE RATE</t>
  </si>
  <si>
    <t xml:space="preserve">PNSS </t>
  </si>
  <si>
    <t>1L</t>
  </si>
  <si>
    <t>MIASYN</t>
  </si>
  <si>
    <t>1G/500MG</t>
  </si>
  <si>
    <t>PARACETAMOL</t>
  </si>
  <si>
    <t>AM[POULE</t>
  </si>
  <si>
    <t>300MG</t>
  </si>
  <si>
    <t>D5 LRS</t>
  </si>
  <si>
    <t>KAMILOSAN</t>
  </si>
  <si>
    <t>ORAL SPRAY</t>
  </si>
  <si>
    <t>MG</t>
  </si>
  <si>
    <t>AMINOGEN-S</t>
  </si>
  <si>
    <t>MACROSET</t>
  </si>
  <si>
    <t>INSYTE G22</t>
  </si>
  <si>
    <t>10CC SYRINGE</t>
  </si>
  <si>
    <t>SOLUSET</t>
  </si>
  <si>
    <t>FREE NEEDLE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</si>
</sst>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176</v>
      </c>
      <c r="D60" s="55">
        <v>7000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178</v>
      </c>
      <c r="D61" s="55">
        <v>3000</v>
      </c>
      <c r="E61" s="55"/>
      <c r="F61" s="55">
        <v>550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177</v>
      </c>
      <c r="D62" s="55"/>
      <c r="E62" s="55">
        <v>2330</v>
      </c>
      <c r="F62" s="55">
        <v>7450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10000</v>
      </c>
      <c r="E71" s="59">
        <f>SUM(E60:E70)</f>
        <v>2330</v>
      </c>
      <c r="F71" s="59">
        <f>SUM(F60:F70)</f>
        <v>8000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H17" sqref="H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169</v>
      </c>
      <c r="E11" s="27" t="s">
        <v>180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17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166</v>
      </c>
      <c r="E12" s="27" t="s">
        <v>182</v>
      </c>
      <c r="F12" s="55">
        <v>3</v>
      </c>
      <c r="G12" s="55">
        <v>1</v>
      </c>
      <c r="H12" s="55">
        <v>5</v>
      </c>
      <c r="I12" s="55">
        <v>1300</v>
      </c>
      <c r="J12" s="55">
        <f t="shared" si="0"/>
        <v>6500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184</v>
      </c>
      <c r="E13" s="27" t="s">
        <v>185</v>
      </c>
      <c r="F13" s="55">
        <v>1</v>
      </c>
      <c r="G13" s="55">
        <v>1</v>
      </c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169</v>
      </c>
      <c r="E14" s="27" t="s">
        <v>180</v>
      </c>
      <c r="F14" s="55">
        <v>3</v>
      </c>
      <c r="G14" s="55">
        <v>1</v>
      </c>
      <c r="H14" s="55">
        <v>5</v>
      </c>
      <c r="I14" s="55">
        <v>310</v>
      </c>
      <c r="J14" s="55">
        <f t="shared" si="0"/>
        <v>1550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188</v>
      </c>
      <c r="E15" s="27" t="s">
        <v>189</v>
      </c>
      <c r="F15" s="55">
        <v>1</v>
      </c>
      <c r="G15" s="55">
        <v>1</v>
      </c>
      <c r="H15" s="55">
        <v>1</v>
      </c>
      <c r="I15" s="55">
        <v>856</v>
      </c>
      <c r="J15" s="55">
        <f t="shared" si="0"/>
        <v>856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169</v>
      </c>
      <c r="E16" s="27" t="s">
        <v>170</v>
      </c>
      <c r="F16" s="55">
        <v>1</v>
      </c>
      <c r="G16" s="55">
        <v>1</v>
      </c>
      <c r="H16" s="55">
        <v>2</v>
      </c>
      <c r="I16" s="55">
        <v>1550</v>
      </c>
      <c r="J16" s="55">
        <f t="shared" si="0"/>
        <v>3100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F26" sqref="F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191</v>
      </c>
      <c r="D16" s="70" t="s">
        <v>167</v>
      </c>
      <c r="E16" s="55">
        <v>1</v>
      </c>
      <c r="F16" s="55">
        <v>150</v>
      </c>
      <c r="G16" s="55">
        <f t="shared" ref="G16:G25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167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167</v>
      </c>
      <c r="E18" s="55">
        <v>3</v>
      </c>
      <c r="F18" s="55">
        <v>2</v>
      </c>
      <c r="G18" s="55">
        <f t="shared" si="0"/>
        <v>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167</v>
      </c>
      <c r="E19" s="55">
        <v>3</v>
      </c>
      <c r="F19" s="55">
        <v>20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167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167</v>
      </c>
      <c r="E21" s="55">
        <v>2</v>
      </c>
      <c r="F21" s="55">
        <v>40</v>
      </c>
      <c r="G21" s="55">
        <f t="shared" si="0"/>
        <v>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195</v>
      </c>
      <c r="D22" s="70" t="s">
        <v>167</v>
      </c>
      <c r="E22" s="55">
        <v>2</v>
      </c>
      <c r="F22" s="55">
        <v>20</v>
      </c>
      <c r="G22" s="55">
        <f t="shared" si="0"/>
        <v>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194</v>
      </c>
      <c r="D23" s="70" t="s">
        <v>167</v>
      </c>
      <c r="E23" s="55">
        <v>1</v>
      </c>
      <c r="F23" s="55">
        <v>350</v>
      </c>
      <c r="G23" s="55">
        <f t="shared" si="0"/>
        <v>350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171</v>
      </c>
      <c r="D24" s="70" t="s">
        <v>167</v>
      </c>
      <c r="E24" s="55">
        <v>1</v>
      </c>
      <c r="F24" s="55">
        <v>150</v>
      </c>
      <c r="G24" s="55">
        <f t="shared" si="0"/>
        <v>150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172</v>
      </c>
      <c r="D25" s="70" t="s">
        <v>167</v>
      </c>
      <c r="E25" s="55">
        <v>1</v>
      </c>
      <c r="F25" s="55">
        <v>150</v>
      </c>
      <c r="G25" s="55">
        <f t="shared" si="0"/>
        <v>150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10</v>
      </c>
      <c r="G13" s="55">
        <v>200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390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10</v>
      </c>
      <c r="G30" s="88">
        <f t="shared" si="1"/>
        <v>200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2018-06-08T10:13:30Z</dcterms:modified>
</cp:coreProperties>
</file>