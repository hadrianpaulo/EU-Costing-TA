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<sst xmlns="http://schemas.openxmlformats.org/spreadsheetml/2006/main" count="477" uniqueCount="188">
  <si>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</si>
  <si>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</si>
  <si>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</si>
  <si>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</si>
  <si>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</si>
  <si>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</si>
  <si>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</si>
  <si>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</si>
  <si>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</si>
  <si>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</si>
  <si>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</si>
  <si>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</si>
  <si>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</si>
  <si>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</si>
  <si>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</si>
  <si>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</si>
  <si>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</si>
  <si>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</si>
  <si>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</si>
  <si>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</si>
  <si>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</si>
  <si>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</si>
  <si>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</si>
  <si>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</si>
  <si>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</si>
  <si>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</si>
  <si>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</si>
  <si>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</si>
  <si>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</si>
  <si>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</si>
  <si>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</si>
  <si>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</si>
  <si>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</si>
  <si>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</si>
  <si>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</si>
  <si>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</si>
  <si>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</si>
  <si>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</si>
  <si>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</si>
  <si>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</si>
  <si>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</si>
  <si>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</si>
  <si>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</si>
  <si>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</si>
  <si>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</si>
  <si>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</si>
  <si>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</si>
  <si>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</si>
  <si>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</si>
  <si>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</si>
  <si>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</si>
  <si>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</si>
  <si>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</si>
  <si>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</si>
  <si>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</si>
  <si>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</si>
  <si>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</si>
  <si>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</si>
  <si>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</si>
  <si>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</si>
  <si>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</si>
  <si>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</si>
  <si>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</si>
  <si>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</si>
  <si>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</si>
  <si>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</si>
  <si>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</si>
  <si>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</si>
  <si>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</si>
  <si>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</si>
  <si>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</si>
  <si>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</si>
  <si>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</si>
  <si>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</si>
  <si>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</si>
  <si>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</si>
  <si>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</si>
  <si>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</si>
  <si>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</si>
  <si>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</si>
  <si>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</si>
  <si>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</si>
  <si>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</si>
  <si>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</si>
  <si>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</si>
  <si>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</si>
  <si>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</si>
  <si>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</si>
  <si>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</si>
  <si>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</si>
  <si>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</si>
  <si>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</si>
  <si>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</si>
  <si>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</si>
  <si>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</si>
  <si>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</si>
  <si>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</si>
  <si>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</si>
  <si>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</si>
  <si>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</si>
  <si>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</si>
  <si>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</si>
  <si>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</si>
  <si>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</si>
  <si>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</si>
  <si>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</si>
  <si>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</si>
  <si>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</si>
  <si>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</si>
  <si>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</si>
  <si>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</si>
  <si>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</si>
  <si>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</si>
  <si>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</si>
  <si>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</si>
  <si>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</si>
  <si>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</si>
  <si>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</si>
  <si>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</si>
  <si>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</si>
  <si>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</si>
  <si>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</si>
  <si>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</si>
  <si>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</si>
  <si>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</si>
  <si>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</si>
  <si>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</si>
  <si>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</si>
  <si>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</si>
  <si>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</si>
  <si>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</si>
  <si>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</si>
  <si>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</si>
  <si>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</si>
  <si>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</si>
  <si>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</si>
  <si>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</si>
  <si>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</si>
  <si>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</si>
  <si>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</si>
  <si>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</si>
  <si>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</si>
  <si>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</si>
  <si>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</si>
  <si>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</si>
  <si>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</si>
  <si>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</si>
  <si>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</si>
  <si>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</si>
  <si>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</si>
  <si>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</si>
  <si>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</si>
  <si>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</si>
  <si>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</si>
  <si>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</si>
  <si>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</si>
  <si>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</si>
  <si>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</si>
  <si>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</si>
  <si>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</si>
  <si>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</si>
  <si>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</si>
  <si>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</si>
  <si>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</si>
  <si>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</si>
  <si>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</si>
  <si>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CEFUROXIME</t>
  </si>
  <si>
    <t>VIAL</t>
  </si>
  <si>
    <t>750MG</t>
  </si>
  <si>
    <t>MACROSET</t>
  </si>
  <si>
    <t>PER PIECE</t>
  </si>
  <si>
    <t>CASE RATE (room,labs,meds, etc.)</t>
  </si>
  <si>
    <t>DISCOUNT</t>
  </si>
  <si>
    <t>PF CASE RATE</t>
  </si>
  <si>
    <t>J36</t>
  </si>
  <si>
    <t>CXR AP-L</t>
  </si>
  <si>
    <t>D5 0.3 NACL</t>
  </si>
  <si>
    <t>IV FLUID</t>
  </si>
  <si>
    <t>500CC</t>
  </si>
  <si>
    <t>PARACETAMOL</t>
  </si>
  <si>
    <t>AMPOULE</t>
  </si>
  <si>
    <t>300MG</t>
  </si>
  <si>
    <t>D5 IMB</t>
  </si>
  <si>
    <t>IL</t>
  </si>
  <si>
    <t>INSYTE  G24</t>
  </si>
  <si>
    <t>3CC SYRINGE</t>
  </si>
  <si>
    <t>5CC SYRINGE</t>
  </si>
  <si>
    <t>1CC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</si>
</sst>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7000</v>
      </c>
      <c r="E60" s="55"/>
      <c r="F60" s="55">
        <v>955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3000</v>
      </c>
      <c r="E62" s="55"/>
      <c r="F62" s="55">
        <v>1500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10000</v>
      </c>
      <c r="E71" s="59">
        <f>SUM(E60:E70)</f>
        <v>0</v>
      </c>
      <c r="F71" s="59">
        <f>SUM(F60:F70)</f>
        <v>2455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G17" sqref="G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166</v>
      </c>
      <c r="D11" s="27" t="s">
        <v>167</v>
      </c>
      <c r="E11" s="27" t="s">
        <v>168</v>
      </c>
      <c r="F11" s="55">
        <v>1</v>
      </c>
      <c r="G11" s="55">
        <v>1</v>
      </c>
      <c r="H11" s="55">
        <v>8</v>
      </c>
      <c r="I11" s="55">
        <v>350</v>
      </c>
      <c r="J11" s="55">
        <f t="shared" ref="J11:J17" si="0">H11*I11</f>
        <v>2800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 t="s">
        <v>178</v>
      </c>
      <c r="F12" s="55">
        <v>1</v>
      </c>
      <c r="G12" s="55">
        <v>1</v>
      </c>
      <c r="H12" s="55">
        <v>1</v>
      </c>
      <c r="I12" s="55">
        <v>260</v>
      </c>
      <c r="J12" s="55">
        <f t="shared" si="0"/>
        <v>260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180</v>
      </c>
      <c r="E13" s="27" t="s">
        <v>181</v>
      </c>
      <c r="F13" s="55">
        <v>1</v>
      </c>
      <c r="G13" s="55">
        <v>1</v>
      </c>
      <c r="H13" s="55">
        <v>1</v>
      </c>
      <c r="I13" s="55">
        <v>200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177</v>
      </c>
      <c r="E14" s="27" t="s">
        <v>183</v>
      </c>
      <c r="F14" s="55">
        <v>1</v>
      </c>
      <c r="G14" s="55">
        <v>1</v>
      </c>
      <c r="H14" s="55">
        <v>2</v>
      </c>
      <c r="I14" s="55">
        <v>260</v>
      </c>
      <c r="J14" s="55">
        <f t="shared" si="0"/>
        <v>520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170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170</v>
      </c>
      <c r="E18" s="55">
        <v>1</v>
      </c>
      <c r="F18" s="55">
        <v>20</v>
      </c>
      <c r="G18" s="55">
        <f>E18*F18</f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186</v>
      </c>
      <c r="D19" s="70" t="s">
        <v>170</v>
      </c>
      <c r="E19" s="55">
        <v>8</v>
      </c>
      <c r="F19" s="55">
        <v>20</v>
      </c>
      <c r="G19" s="55">
        <f>E19*F19</f>
        <v>160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170</v>
      </c>
      <c r="E20" s="55">
        <v>1</v>
      </c>
      <c r="F20" s="55">
        <v>20</v>
      </c>
      <c r="G20" s="55">
        <f>E20*F20</f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60</v>
      </c>
      <c r="H13" s="55">
        <v>125</v>
      </c>
      <c r="I13" s="55"/>
      <c r="J13" s="55"/>
      <c r="K13" s="55"/>
      <c r="L13" s="55"/>
      <c r="M13" s="55"/>
      <c r="N13" s="55"/>
      <c r="P13" s="88">
        <f>SUM(D13:N13)</f>
        <v>215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60</v>
      </c>
      <c r="H30" s="88">
        <f t="shared" si="1"/>
        <v>125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2018-06-08T10:26:55Z</dcterms:modified>
</cp:coreProperties>
</file>