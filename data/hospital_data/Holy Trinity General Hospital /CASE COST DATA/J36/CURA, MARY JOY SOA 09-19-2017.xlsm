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<sst xmlns="http://schemas.openxmlformats.org/spreadsheetml/2006/main" count="485" uniqueCount="194">
  <si>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</si>
  <si>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</si>
  <si>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</si>
  <si>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</si>
  <si>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</si>
  <si>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</si>
  <si>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</si>
  <si>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</si>
  <si>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</si>
  <si>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</si>
  <si>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</si>
  <si>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</si>
  <si>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</si>
  <si>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</si>
  <si>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</si>
  <si>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</si>
  <si>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</si>
  <si>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</si>
  <si>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</si>
  <si>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</si>
  <si>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</si>
  <si>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</si>
  <si>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</si>
  <si>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</si>
  <si>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</si>
  <si>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</si>
  <si>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</si>
  <si>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</si>
  <si>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</si>
  <si>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</si>
  <si>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</si>
  <si>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</si>
  <si>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</si>
  <si>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</si>
  <si>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</si>
  <si>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</si>
  <si>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</si>
  <si>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</si>
  <si>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</si>
  <si>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</si>
  <si>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</si>
  <si>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</si>
  <si>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</si>
  <si>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</si>
  <si>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</si>
  <si>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</si>
  <si>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</si>
  <si>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</si>
  <si>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</si>
  <si>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</si>
  <si>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</si>
  <si>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</si>
  <si>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</si>
  <si>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</si>
  <si>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</si>
  <si>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</si>
  <si>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</si>
  <si>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</si>
  <si>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</si>
  <si>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</si>
  <si>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</si>
  <si>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</si>
  <si>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</si>
  <si>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</si>
  <si>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</si>
  <si>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</si>
  <si>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</si>
  <si>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</si>
  <si>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</si>
  <si>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</si>
  <si>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</si>
  <si>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</si>
  <si>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</si>
  <si>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</si>
  <si>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</si>
  <si>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</si>
  <si>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</si>
  <si>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</si>
  <si>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</si>
  <si>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</si>
  <si>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</si>
  <si>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</si>
  <si>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</si>
  <si>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</si>
  <si>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</si>
  <si>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</si>
  <si>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</si>
  <si>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</si>
  <si>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</si>
  <si>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</si>
  <si>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</si>
  <si>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</si>
  <si>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</si>
  <si>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</si>
  <si>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</si>
  <si>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</si>
  <si>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</si>
  <si>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</si>
  <si>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</si>
  <si>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</si>
  <si>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</si>
  <si>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</si>
  <si>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</si>
  <si>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</si>
  <si>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</si>
  <si>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</si>
  <si>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</si>
  <si>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</si>
  <si>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</si>
  <si>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</si>
  <si>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</si>
  <si>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</si>
  <si>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</si>
  <si>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</si>
  <si>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</si>
  <si>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</si>
  <si>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</si>
  <si>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</si>
  <si>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</si>
  <si>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</si>
  <si>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</si>
  <si>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</si>
  <si>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</si>
  <si>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</si>
  <si>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</si>
  <si>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</si>
  <si>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</si>
  <si>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</si>
  <si>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</si>
  <si>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</si>
  <si>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</si>
  <si>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</si>
  <si>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</si>
  <si>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</si>
  <si>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</si>
  <si>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</si>
  <si>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</si>
  <si>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</si>
  <si>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</si>
  <si>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</si>
  <si>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</si>
  <si>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</si>
  <si>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</si>
  <si>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</si>
  <si>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</si>
  <si>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</si>
  <si>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</si>
  <si>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</si>
  <si>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</si>
  <si>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</si>
  <si>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</si>
  <si>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</si>
  <si>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</si>
  <si>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</si>
  <si>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</si>
  <si>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</si>
  <si>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</si>
  <si>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</si>
  <si>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</si>
  <si>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</si>
  <si>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</si>
  <si>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</si>
  <si>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</si>
  <si>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</si>
  <si>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</si>
  <si>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</si>
  <si>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</si>
  <si>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</si>
  <si>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</si>
  <si>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</si>
  <si>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PNSS</t>
  </si>
  <si>
    <t>1L</t>
  </si>
  <si>
    <t>TABLET</t>
  </si>
  <si>
    <t>INSYTE G22</t>
  </si>
  <si>
    <t>ECG</t>
  </si>
  <si>
    <t>SGPT</t>
  </si>
  <si>
    <t>VIAL</t>
  </si>
  <si>
    <t>IONIZED CALCIUM</t>
  </si>
  <si>
    <t>CXR PA</t>
  </si>
  <si>
    <t>J36</t>
  </si>
  <si>
    <t>ELECTROLYTES (NA,K)</t>
  </si>
  <si>
    <t>URINALYSIS</t>
  </si>
  <si>
    <t>D5 LRS</t>
  </si>
  <si>
    <t xml:space="preserve">PARACETAMOL </t>
  </si>
  <si>
    <t>AMPOULE</t>
  </si>
  <si>
    <t>300MG</t>
  </si>
  <si>
    <t>CEFUROXIME</t>
  </si>
  <si>
    <t>750MG</t>
  </si>
  <si>
    <t>POTASSIUM CHLORIDE</t>
  </si>
  <si>
    <t>600MG</t>
  </si>
  <si>
    <t>MACROSET</t>
  </si>
  <si>
    <t>1CC SYRINGE</t>
  </si>
  <si>
    <t>3CC SYRINGE</t>
  </si>
  <si>
    <t>5CC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</si>
</sst>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0" zoomScaleNormal="100" workbookViewId="0">
      <selection activeCell="C68" sqref="C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178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 t="s">
        <v>174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7000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3000</v>
      </c>
      <c r="E68" s="55"/>
      <c r="F68" s="55">
        <v>550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10000</v>
      </c>
      <c r="E78" s="59">
        <f>SUM(E67:E77)</f>
        <v>0</v>
      </c>
      <c r="F78" s="59">
        <f>SUM(F67:F77)</f>
        <v>550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workbookViewId="0">
      <selection activeCell="J15" sqref="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J36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165</v>
      </c>
      <c r="E11" s="27" t="s">
        <v>171</v>
      </c>
      <c r="F11" s="55">
        <v>1</v>
      </c>
      <c r="G11" s="55">
        <v>1</v>
      </c>
      <c r="H11" s="55">
        <v>1</v>
      </c>
      <c r="I11" s="55">
        <v>310</v>
      </c>
      <c r="J11" s="55">
        <f t="shared" ref="J11:J21" si="0">H11*I11</f>
        <v>310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165</v>
      </c>
      <c r="E12" s="27" t="s">
        <v>171</v>
      </c>
      <c r="F12" s="55">
        <v>1</v>
      </c>
      <c r="G12" s="55">
        <v>1</v>
      </c>
      <c r="H12" s="55">
        <v>1</v>
      </c>
      <c r="I12" s="55">
        <v>310</v>
      </c>
      <c r="J12" s="55">
        <f t="shared" si="0"/>
        <v>310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184</v>
      </c>
      <c r="E13" s="27" t="s">
        <v>185</v>
      </c>
      <c r="F13" s="55">
        <v>1</v>
      </c>
      <c r="G13" s="55">
        <v>1</v>
      </c>
      <c r="H13" s="55">
        <v>1</v>
      </c>
      <c r="I13" s="55">
        <v>200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176</v>
      </c>
      <c r="E14" s="27" t="s">
        <v>187</v>
      </c>
      <c r="F14" s="55">
        <v>2</v>
      </c>
      <c r="G14" s="55">
        <v>1</v>
      </c>
      <c r="H14" s="55">
        <v>4</v>
      </c>
      <c r="I14" s="55">
        <v>350</v>
      </c>
      <c r="J14" s="55">
        <f t="shared" si="0"/>
        <v>1400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172</v>
      </c>
      <c r="E15" s="27" t="s">
        <v>189</v>
      </c>
      <c r="F15" s="55">
        <v>2</v>
      </c>
      <c r="G15" s="55">
        <v>1</v>
      </c>
      <c r="H15" s="55">
        <v>3</v>
      </c>
      <c r="I15" s="55">
        <v>100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J36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166</v>
      </c>
      <c r="E16" s="55">
        <v>1</v>
      </c>
      <c r="F16" s="55">
        <v>200</v>
      </c>
      <c r="G16" s="55">
        <f t="shared" ref="G16:G22" si="0"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173</v>
      </c>
      <c r="D17" s="70" t="s">
        <v>166</v>
      </c>
      <c r="E17" s="55">
        <v>1</v>
      </c>
      <c r="F17" s="55">
        <v>200</v>
      </c>
      <c r="G17" s="55">
        <f t="shared" si="0"/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166</v>
      </c>
      <c r="E18" s="55">
        <v>1</v>
      </c>
      <c r="F18" s="55">
        <v>20</v>
      </c>
      <c r="G18" s="55">
        <f t="shared" si="0"/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166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166</v>
      </c>
      <c r="E20" s="55">
        <v>4</v>
      </c>
      <c r="F20" s="55">
        <v>20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L20" sqref="L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J36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>
        <v>10</v>
      </c>
      <c r="G13" s="55">
        <v>50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10</v>
      </c>
      <c r="G30" s="88">
        <f t="shared" si="1"/>
        <v>50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2018-06-08T10:04:05Z</dcterms:modified>
</cp:coreProperties>
</file>