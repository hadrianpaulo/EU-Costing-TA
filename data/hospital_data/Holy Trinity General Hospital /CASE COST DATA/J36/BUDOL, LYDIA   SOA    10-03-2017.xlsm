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<sst xmlns="http://schemas.openxmlformats.org/spreadsheetml/2006/main" count="481" uniqueCount="192">
  <si>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</si>
  <si>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</si>
  <si>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</si>
  <si>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</si>
  <si>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</si>
  <si>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</si>
  <si>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</si>
  <si>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</si>
  <si>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</si>
  <si>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</si>
  <si>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</si>
  <si>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</si>
  <si>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</si>
  <si>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</si>
  <si>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</si>
  <si>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</si>
  <si>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</si>
  <si>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</si>
  <si>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</si>
  <si>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</si>
  <si>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</si>
  <si>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</si>
  <si>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</si>
  <si>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</si>
  <si>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</si>
  <si>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</si>
  <si>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</si>
  <si>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</si>
  <si>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</si>
  <si>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</si>
  <si>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</si>
  <si>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</si>
  <si>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</si>
  <si>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</si>
  <si>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</si>
  <si>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</si>
  <si>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</si>
  <si>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</si>
  <si>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</si>
  <si>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</si>
  <si>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</si>
  <si>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</si>
  <si>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</si>
  <si>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</si>
  <si>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</si>
  <si>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</si>
  <si>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</si>
  <si>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</si>
  <si>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</si>
  <si>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</si>
  <si>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</si>
  <si>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</si>
  <si>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</si>
  <si>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</si>
  <si>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</si>
  <si>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</si>
  <si>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</si>
  <si>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</si>
  <si>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</si>
  <si>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</si>
  <si>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</si>
  <si>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</si>
  <si>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</si>
  <si>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</si>
  <si>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</si>
  <si>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</si>
  <si>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</si>
  <si>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</si>
  <si>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</si>
  <si>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</si>
  <si>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</si>
  <si>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</si>
  <si>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</si>
  <si>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</si>
  <si>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</si>
  <si>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</si>
  <si>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</si>
  <si>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</si>
  <si>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</si>
  <si>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</si>
  <si>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</si>
  <si>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</si>
  <si>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</si>
  <si>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</si>
  <si>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</si>
  <si>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</si>
  <si>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</si>
  <si>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</si>
  <si>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</si>
  <si>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</si>
  <si>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</si>
  <si>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</si>
  <si>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</si>
  <si>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</si>
  <si>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</si>
  <si>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</si>
  <si>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</si>
  <si>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</si>
  <si>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</si>
  <si>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</si>
  <si>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</si>
  <si>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</si>
  <si>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</si>
  <si>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</si>
  <si>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</si>
  <si>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</si>
  <si>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</si>
  <si>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</si>
  <si>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</si>
  <si>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</si>
  <si>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</si>
  <si>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</si>
  <si>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</si>
  <si>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</si>
  <si>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</si>
  <si>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</si>
  <si>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</si>
  <si>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</si>
  <si>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</si>
  <si>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</si>
  <si>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</si>
  <si>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</si>
  <si>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</si>
  <si>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</si>
  <si>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</si>
  <si>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</si>
  <si>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</si>
  <si>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</si>
  <si>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</si>
  <si>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</si>
  <si>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</si>
  <si>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</si>
  <si>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</si>
  <si>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</si>
  <si>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</si>
  <si>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</si>
  <si>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</si>
  <si>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</si>
  <si>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</si>
  <si>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</si>
  <si>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</si>
  <si>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</si>
  <si>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</si>
  <si>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</si>
  <si>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</si>
  <si>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</si>
  <si>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</si>
  <si>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</si>
  <si>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</si>
  <si>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</si>
  <si>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</si>
  <si>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</si>
  <si>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</si>
  <si>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</si>
  <si>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</si>
  <si>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</si>
  <si>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</si>
  <si>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</si>
  <si>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</si>
  <si>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</si>
  <si>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</si>
  <si>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</si>
  <si>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</si>
  <si>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</si>
  <si>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</si>
  <si>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</si>
  <si>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</si>
  <si>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MACROSET</t>
  </si>
  <si>
    <t>PER PIECE</t>
  </si>
  <si>
    <t>CASE RATE (room,labs,meds, etc.)</t>
  </si>
  <si>
    <t>DISCOUNT</t>
  </si>
  <si>
    <t>PF CASE RATE</t>
  </si>
  <si>
    <t>J36</t>
  </si>
  <si>
    <t>CREATININE</t>
  </si>
  <si>
    <t>ELECTROLYTES (NA,K)</t>
  </si>
  <si>
    <t>SGPT</t>
  </si>
  <si>
    <t>CBC W/ PLATELET COUNT</t>
  </si>
  <si>
    <t>URINALYSIS</t>
  </si>
  <si>
    <t>CXR PA</t>
  </si>
  <si>
    <t>DUOTRAM</t>
  </si>
  <si>
    <t>TABLET</t>
  </si>
  <si>
    <t>325MG/37.5MG</t>
  </si>
  <si>
    <t>CEFTRIAXONE</t>
  </si>
  <si>
    <t>1G</t>
  </si>
  <si>
    <t>PNSS</t>
  </si>
  <si>
    <t>IV FLUID</t>
  </si>
  <si>
    <t>1L</t>
  </si>
  <si>
    <t>INSYTE G22</t>
  </si>
  <si>
    <t>INSYTE G24</t>
  </si>
  <si>
    <t>3CC SYRINGE</t>
  </si>
  <si>
    <t>1CC SYRINGE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</si>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</sst>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69" zoomScaleNormal="100" workbookViewId="0">
      <selection activeCell="F64" sqref="F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178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45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46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54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56</v>
      </c>
      <c r="C60" s="17" t="s">
        <v>52</v>
      </c>
      <c r="D60" s="17" t="s">
        <v>57</v>
      </c>
      <c r="E60" s="18" t="s">
        <v>58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169</v>
      </c>
      <c r="D61" s="55">
        <v>7000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170</v>
      </c>
      <c r="D62" s="55"/>
      <c r="E62" s="55">
        <v>190</v>
      </c>
      <c r="F62" s="55">
        <v>950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171</v>
      </c>
      <c r="D63" s="55">
        <v>3000</v>
      </c>
      <c r="E63" s="55"/>
      <c r="F63" s="55">
        <v>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10000</v>
      </c>
      <c r="E72" s="59">
        <f>SUM(E61:E71)</f>
        <v>190</v>
      </c>
      <c r="F72" s="59">
        <f>SUM(F61:F71)</f>
        <v>1000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password="C2E9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4" sqref="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180</v>
      </c>
      <c r="E11" s="27" t="s">
        <v>181</v>
      </c>
      <c r="F11" s="55">
        <v>1</v>
      </c>
      <c r="G11" s="55">
        <v>1</v>
      </c>
      <c r="H11" s="55">
        <v>2</v>
      </c>
      <c r="I11" s="55">
        <v>100</v>
      </c>
      <c r="J11" s="55">
        <f t="shared" ref="J11:J17" si="0">H11*I11</f>
        <v>200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166</v>
      </c>
      <c r="E12" s="27" t="s">
        <v>183</v>
      </c>
      <c r="F12" s="55">
        <v>1</v>
      </c>
      <c r="G12" s="55">
        <v>1</v>
      </c>
      <c r="H12" s="55">
        <v>3</v>
      </c>
      <c r="I12" s="55">
        <v>1000</v>
      </c>
      <c r="J12" s="55">
        <f t="shared" si="0"/>
        <v>3000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185</v>
      </c>
      <c r="E13" s="27" t="s">
        <v>186</v>
      </c>
      <c r="F13" s="55">
        <v>1</v>
      </c>
      <c r="G13" s="55">
        <v>1</v>
      </c>
      <c r="H13" s="55">
        <v>2</v>
      </c>
      <c r="I13" s="55">
        <v>310</v>
      </c>
      <c r="J13" s="55">
        <f t="shared" si="0"/>
        <v>620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F22" sqref="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150</v>
      </c>
      <c r="G16" s="55">
        <f t="shared" ref="G16:G21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187</v>
      </c>
      <c r="D17" s="70" t="s">
        <v>168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188</v>
      </c>
      <c r="D18" s="70" t="s">
        <v>168</v>
      </c>
      <c r="E18" s="55">
        <v>1</v>
      </c>
      <c r="F18" s="55">
        <v>150</v>
      </c>
      <c r="G18" s="55">
        <f t="shared" si="0"/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189</v>
      </c>
      <c r="D19" s="70" t="s">
        <v>168</v>
      </c>
      <c r="E19" s="55">
        <v>2</v>
      </c>
      <c r="F19" s="55">
        <v>20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190</v>
      </c>
      <c r="D20" s="70" t="s">
        <v>168</v>
      </c>
      <c r="E20" s="55">
        <v>2</v>
      </c>
      <c r="F20" s="55">
        <v>20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191</v>
      </c>
      <c r="D21" s="70" t="s">
        <v>168</v>
      </c>
      <c r="E21" s="55">
        <v>1</v>
      </c>
      <c r="F21" s="55">
        <v>400</v>
      </c>
      <c r="G21" s="55">
        <f t="shared" si="0"/>
        <v>400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3" sqref="O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60</v>
      </c>
      <c r="H13" s="55">
        <v>100</v>
      </c>
      <c r="I13" s="55"/>
      <c r="J13" s="55"/>
      <c r="K13" s="55"/>
      <c r="L13" s="55"/>
      <c r="M13" s="55"/>
      <c r="N13" s="55"/>
      <c r="P13" s="88">
        <f>SUM(D13:N13)</f>
        <v>180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60</v>
      </c>
      <c r="H30" s="88">
        <f t="shared" si="1"/>
        <v>100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2018-06-08T10:14:51Z</dcterms:modified>
</cp:coreProperties>
</file>