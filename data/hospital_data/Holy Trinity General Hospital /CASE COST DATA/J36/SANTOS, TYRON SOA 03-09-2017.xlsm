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20" windowWidth="15525" windowHeight="726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21" i="2" l="1"/>
  <c r="J20" i="2"/>
  <c r="J19" i="2" l="1"/>
  <c r="J18" i="2" l="1"/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<sst xmlns="http://schemas.openxmlformats.org/spreadsheetml/2006/main" count="473" uniqueCount="183">
  <si>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</si>
  <si>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</si>
  <si>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</si>
  <si>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</si>
  <si>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</si>
  <si>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</si>
  <si>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</si>
  <si>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</si>
  <si>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</si>
  <si>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</si>
  <si>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</si>
  <si>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</si>
  <si>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</si>
  <si>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</si>
  <si>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</si>
  <si>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</si>
  <si>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</si>
  <si>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</si>
  <si>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</si>
  <si>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</si>
  <si>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</si>
  <si>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</si>
  <si>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</si>
  <si>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</si>
  <si>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</si>
  <si>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</si>
  <si>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</si>
  <si>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</si>
  <si>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</si>
  <si>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</si>
  <si>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</si>
  <si>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</si>
  <si>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</si>
  <si>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</si>
  <si>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</si>
  <si>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</si>
  <si>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</si>
  <si>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</si>
  <si>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</si>
  <si>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</si>
  <si>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</si>
  <si>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</si>
  <si>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</si>
  <si>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</si>
  <si>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</si>
  <si>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</si>
  <si>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</si>
  <si>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</si>
  <si>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</si>
  <si>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</si>
  <si>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</si>
  <si>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</si>
  <si>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</si>
  <si>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</si>
  <si>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</si>
  <si>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</si>
  <si>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</si>
  <si>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</si>
  <si>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</si>
  <si>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</si>
  <si>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</si>
  <si>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</si>
  <si>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</si>
  <si>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</si>
  <si>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</si>
  <si>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</si>
  <si>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</si>
  <si>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</si>
  <si>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</si>
  <si>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</si>
  <si>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</si>
  <si>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</si>
  <si>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</si>
  <si>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</si>
  <si>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</si>
  <si>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</si>
  <si>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</si>
  <si>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</si>
  <si>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</si>
  <si>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</si>
  <si>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</si>
  <si>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</si>
  <si>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</si>
  <si>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</si>
  <si>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</si>
  <si>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</si>
  <si>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</si>
  <si>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</si>
  <si>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</si>
  <si>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</si>
  <si>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</si>
  <si>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</si>
  <si>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</si>
  <si>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</si>
  <si>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</si>
  <si>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</si>
  <si>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</si>
  <si>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</si>
  <si>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</si>
  <si>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</si>
  <si>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</si>
  <si>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</si>
  <si>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</si>
  <si>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</si>
  <si>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</si>
  <si>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</si>
  <si>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</si>
  <si>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</si>
  <si>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</si>
  <si>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</si>
  <si>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</si>
  <si>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</si>
  <si>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</si>
  <si>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</si>
  <si>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</si>
  <si>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</si>
  <si>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</si>
  <si>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</si>
  <si>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</si>
  <si>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</si>
  <si>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</si>
  <si>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</si>
  <si>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</si>
  <si>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</si>
  <si>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</si>
  <si>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</si>
  <si>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</si>
  <si>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</si>
  <si>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</si>
  <si>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</si>
  <si>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</si>
  <si>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</si>
  <si>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</si>
  <si>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</si>
  <si>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</si>
  <si>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</si>
  <si>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</si>
  <si>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</si>
  <si>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</si>
  <si>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</si>
  <si>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</si>
  <si>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</si>
  <si>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</si>
  <si>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</si>
  <si>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</si>
  <si>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</si>
  <si>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</si>
  <si>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</si>
  <si>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</si>
  <si>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</si>
  <si>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</si>
  <si>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</si>
  <si>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</si>
  <si>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</si>
  <si>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</si>
  <si>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</si>
  <si>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</si>
  <si>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</si>
  <si>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</si>
  <si>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</si>
  <si>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</si>
  <si>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</si>
  <si>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</si>
  <si>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</si>
  <si>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</si>
  <si>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</si>
  <si>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</si>
  <si>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</si>
  <si>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</si>
  <si>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CBC W/ PLATELET COUNT</t>
  </si>
  <si>
    <t>INSYTE G22</t>
  </si>
  <si>
    <t>VIAL</t>
  </si>
  <si>
    <t>CXR PA</t>
  </si>
  <si>
    <t>J36</t>
  </si>
  <si>
    <t>URINALYSIS</t>
  </si>
  <si>
    <t>MACROSET</t>
  </si>
  <si>
    <t>5CC SYRINGE</t>
  </si>
  <si>
    <t xml:space="preserve">D5 0.3 SODIUM CHLORIDE </t>
  </si>
  <si>
    <t>500ML</t>
  </si>
  <si>
    <t xml:space="preserve">OXACILLIN </t>
  </si>
  <si>
    <t>500MG</t>
  </si>
  <si>
    <t>D5 IMB</t>
  </si>
  <si>
    <t>10CC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</si>
</sst>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opLeftCell="A60" zoomScaleNormal="100" workbookViewId="0">
      <selection activeCell="F69" sqref="F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172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7000</v>
      </c>
      <c r="E67" s="55"/>
      <c r="F67" s="55">
        <v>5165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168</v>
      </c>
      <c r="D68" s="55">
        <v>3000</v>
      </c>
      <c r="E68" s="55"/>
      <c r="F68" s="55">
        <v>2000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10000</v>
      </c>
      <c r="E78" s="59">
        <f>SUM(E67:E77)</f>
        <v>0</v>
      </c>
      <c r="F78" s="59">
        <f>SUM(F67:F77)</f>
        <v>7165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D17" sqref="D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J36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165</v>
      </c>
      <c r="E11" s="27" t="s">
        <v>178</v>
      </c>
      <c r="F11" s="55">
        <v>1</v>
      </c>
      <c r="G11" s="55">
        <v>1</v>
      </c>
      <c r="H11" s="55">
        <v>2</v>
      </c>
      <c r="I11" s="55">
        <v>260</v>
      </c>
      <c r="J11" s="55">
        <f t="shared" ref="J11:J21" si="0">H11*I11</f>
        <v>520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171</v>
      </c>
      <c r="E12" s="27" t="s">
        <v>180</v>
      </c>
      <c r="F12" s="55">
        <v>4</v>
      </c>
      <c r="G12" s="55">
        <v>1</v>
      </c>
      <c r="H12" s="55">
        <v>14</v>
      </c>
      <c r="I12" s="55">
        <v>350</v>
      </c>
      <c r="J12" s="55">
        <f t="shared" si="0"/>
        <v>4900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165</v>
      </c>
      <c r="E13" s="27" t="s">
        <v>178</v>
      </c>
      <c r="F13" s="55">
        <v>2</v>
      </c>
      <c r="G13" s="55">
        <v>1</v>
      </c>
      <c r="H13" s="55">
        <v>3</v>
      </c>
      <c r="I13" s="55">
        <v>260</v>
      </c>
      <c r="J13" s="55">
        <f t="shared" si="0"/>
        <v>780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J36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175</v>
      </c>
      <c r="D16" s="70" t="s">
        <v>166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170</v>
      </c>
      <c r="D17" s="70" t="s">
        <v>166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182</v>
      </c>
      <c r="D18" s="70" t="s">
        <v>166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166</v>
      </c>
      <c r="E19" s="55">
        <v>1</v>
      </c>
      <c r="F19" s="55">
        <v>20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3" sqref="H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J36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>
        <v>10</v>
      </c>
      <c r="G13" s="55">
        <v>300</v>
      </c>
      <c r="H13" s="55">
        <v>275</v>
      </c>
      <c r="I13" s="55"/>
      <c r="J13" s="55"/>
      <c r="K13" s="55"/>
      <c r="L13" s="55"/>
      <c r="M13" s="55"/>
      <c r="N13" s="55"/>
      <c r="P13" s="88">
        <f>SUM(D13:N13)</f>
        <v>615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10</v>
      </c>
      <c r="G30" s="88">
        <f t="shared" si="1"/>
        <v>300</v>
      </c>
      <c r="H30" s="88">
        <f t="shared" si="1"/>
        <v>275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2018-06-08T10:05:07Z</dcterms:modified>
</cp:coreProperties>
</file>