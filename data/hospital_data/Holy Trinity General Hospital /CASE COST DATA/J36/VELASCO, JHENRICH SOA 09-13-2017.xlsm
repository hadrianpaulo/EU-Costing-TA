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120" windowWidth="15525" windowHeight="726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data_general'!$B$1:$F$78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21" i="2" l="1"/>
  <c r="J20" i="2"/>
  <c r="J19" i="2" l="1"/>
  <c r="J18" i="2" l="1"/>
  <c r="G22" i="9" l="1"/>
  <c r="G21" i="9"/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8" i="1"/>
  <c r="E78" i="1"/>
  <c r="D78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<sst xmlns="http://schemas.openxmlformats.org/spreadsheetml/2006/main" count="472" uniqueCount="183">
  <si>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</si>
  <si>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</si>
  <si>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</si>
  <si>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</si>
  <si>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</si>
  <si>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</si>
  <si>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</si>
  <si>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</si>
  <si>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</si>
  <si>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</si>
  <si>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</si>
  <si>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</si>
  <si>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</si>
  <si>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</si>
  <si>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</si>
  <si>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</si>
  <si>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</si>
  <si>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</si>
  <si>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</si>
  <si>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</si>
  <si>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</si>
  <si>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</si>
  <si>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</si>
  <si>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</si>
  <si>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</si>
  <si>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</si>
  <si>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</si>
  <si>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</si>
  <si>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</si>
  <si>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</si>
  <si>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</si>
  <si>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</si>
  <si>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</si>
  <si>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</si>
  <si>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</si>
  <si>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</si>
  <si>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</si>
  <si>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</si>
  <si>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</si>
  <si>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</si>
  <si>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</si>
  <si>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</si>
  <si>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</si>
  <si>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</si>
  <si>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</si>
  <si>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</si>
  <si>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</si>
  <si>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</si>
  <si>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</si>
  <si>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</si>
  <si>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</si>
  <si>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</si>
  <si>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</si>
  <si>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</si>
  <si>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</si>
  <si>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</si>
  <si>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</si>
  <si>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</si>
  <si>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</si>
  <si>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</si>
  <si>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</si>
  <si>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</si>
  <si>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</si>
  <si>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</si>
  <si>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</si>
  <si>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</si>
  <si>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</si>
  <si>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</si>
  <si>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</si>
  <si>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</si>
  <si>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</si>
  <si>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</si>
  <si>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</si>
  <si>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</si>
  <si>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</si>
  <si>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</si>
  <si>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</si>
  <si>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</si>
  <si>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</si>
  <si>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</si>
  <si>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</si>
  <si>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</si>
  <si>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</si>
  <si>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</si>
  <si>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</si>
  <si>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</si>
  <si>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</si>
  <si>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</si>
  <si>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</si>
  <si>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</si>
  <si>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</si>
  <si>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</si>
  <si>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</si>
  <si>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</si>
  <si>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</si>
  <si>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</si>
  <si>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</si>
  <si>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</si>
  <si>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</si>
  <si>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</si>
  <si>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</si>
  <si>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</si>
  <si>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</si>
  <si>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</si>
  <si>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</si>
  <si>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</si>
  <si>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</si>
  <si>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</si>
  <si>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</si>
  <si>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</si>
  <si>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</si>
  <si>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</si>
  <si>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</si>
  <si>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</si>
  <si>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</si>
  <si>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</si>
  <si>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</si>
  <si>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</si>
  <si>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</si>
  <si>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</si>
  <si>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</si>
  <si>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</si>
  <si>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</si>
  <si>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</si>
  <si>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</si>
  <si>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</si>
  <si>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</si>
  <si>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</si>
  <si>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</si>
  <si>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</si>
  <si>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</si>
  <si>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</si>
  <si>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</si>
  <si>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</si>
  <si>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</si>
  <si>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</si>
  <si>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</si>
  <si>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</si>
  <si>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</si>
  <si>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</si>
  <si>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</si>
  <si>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</si>
  <si>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</si>
  <si>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</si>
  <si>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</si>
  <si>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</si>
  <si>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</si>
  <si>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</si>
  <si>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</si>
  <si>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</si>
  <si>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</si>
  <si>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</si>
  <si>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</si>
  <si>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</si>
  <si>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</si>
  <si>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</si>
  <si>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</si>
  <si>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</si>
  <si>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</si>
  <si>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</si>
  <si>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</si>
  <si>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</si>
  <si>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</si>
  <si>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</si>
  <si>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</si>
  <si>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</si>
  <si>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PER PIECE</t>
  </si>
  <si>
    <t>CASE RATE(room,labs,meds, etc.)</t>
  </si>
  <si>
    <t>PF CASE RATE</t>
  </si>
  <si>
    <t>CBC W/ PLATELET COUNT</t>
  </si>
  <si>
    <t>VIAL</t>
  </si>
  <si>
    <t>J36</t>
  </si>
  <si>
    <t>750MG</t>
  </si>
  <si>
    <t>MACROSET</t>
  </si>
  <si>
    <t>1CC SYRINGE</t>
  </si>
  <si>
    <t>3CC SYRINGE</t>
  </si>
  <si>
    <t>5CC SYRINGE</t>
  </si>
  <si>
    <t xml:space="preserve">CEFUROXIME </t>
  </si>
  <si>
    <t>BACTIDOL</t>
  </si>
  <si>
    <t>ORAL SOLUTION</t>
  </si>
  <si>
    <t>D 5 0.3 NACL</t>
  </si>
  <si>
    <t>IL</t>
  </si>
  <si>
    <t>INSYTE G24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</si>
</sst>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10" fontId="10" fillId="5" borderId="21" xfId="0" applyNumberFormat="1" applyFont="1" applyFill="1" applyBorder="1" applyAlignment="1" applyProtection="1">
      <alignment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52</xdr:row>
          <xdr:rowOff>19050</xdr:rowOff>
        </xdr:from>
        <xdr:to>
          <xdr:col>1</xdr:col>
          <xdr:colOff>733425</xdr:colOff>
          <xdr:row>52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52</xdr:row>
          <xdr:rowOff>19050</xdr:rowOff>
        </xdr:from>
        <xdr:to>
          <xdr:col>1</xdr:col>
          <xdr:colOff>1504950</xdr:colOff>
          <xdr:row>52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57</xdr:row>
          <xdr:rowOff>19050</xdr:rowOff>
        </xdr:from>
        <xdr:to>
          <xdr:col>1</xdr:col>
          <xdr:colOff>733425</xdr:colOff>
          <xdr:row>57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57</xdr:row>
          <xdr:rowOff>19050</xdr:rowOff>
        </xdr:from>
        <xdr:to>
          <xdr:col>1</xdr:col>
          <xdr:colOff>1504950</xdr:colOff>
          <xdr:row>57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66</xdr:row>
          <xdr:rowOff>19050</xdr:rowOff>
        </xdr:from>
        <xdr:to>
          <xdr:col>1</xdr:col>
          <xdr:colOff>733425</xdr:colOff>
          <xdr:row>66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66</xdr:row>
          <xdr:rowOff>19050</xdr:rowOff>
        </xdr:from>
        <xdr:to>
          <xdr:col>1</xdr:col>
          <xdr:colOff>1504950</xdr:colOff>
          <xdr:row>66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5"/>
  <sheetViews>
    <sheetView topLeftCell="A54" zoomScaleNormal="100" workbookViewId="0">
      <selection activeCell="F73" sqref="F7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171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11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53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44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169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8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9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10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11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9" t="s">
        <v>19</v>
      </c>
      <c r="C45" s="120"/>
      <c r="D45" s="117"/>
      <c r="E45" s="120"/>
      <c r="F45" s="118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1"/>
      <c r="B46" s="26">
        <v>1</v>
      </c>
      <c r="C46" s="27"/>
      <c r="D46" s="23"/>
      <c r="E46" s="55"/>
      <c r="F46" s="24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26">
        <v>2</v>
      </c>
      <c r="C47" s="27"/>
      <c r="D47" s="23"/>
      <c r="E47" s="55"/>
      <c r="F47" s="24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1"/>
      <c r="B48" s="26">
        <v>3</v>
      </c>
      <c r="C48" s="27"/>
      <c r="D48" s="23"/>
      <c r="E48" s="55"/>
      <c r="F48" s="24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1"/>
      <c r="B49" s="26">
        <v>4</v>
      </c>
      <c r="C49" s="27"/>
      <c r="D49" s="23"/>
      <c r="E49" s="55"/>
      <c r="F49" s="24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9" t="s">
        <v>45</v>
      </c>
      <c r="C50" s="120"/>
      <c r="D50" s="117"/>
      <c r="E50" s="120"/>
      <c r="F50" s="118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14" t="s">
        <v>46</v>
      </c>
      <c r="C51" s="13"/>
      <c r="D51" s="13"/>
      <c r="E51" s="16"/>
      <c r="F51" s="13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thickBot="1" x14ac:dyDescent="0.35">
      <c r="A52" s="1"/>
      <c r="B52" s="116" t="s">
        <v>54</v>
      </c>
      <c r="C52" s="117"/>
      <c r="D52" s="117"/>
      <c r="E52" s="117"/>
      <c r="F52" s="118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20"/>
      <c r="B53" s="30">
        <v>1</v>
      </c>
      <c r="C53" s="31"/>
      <c r="D53" s="32"/>
      <c r="E53" s="57"/>
      <c r="F53" s="57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20"/>
      <c r="B54" s="30">
        <v>2</v>
      </c>
      <c r="C54" s="31"/>
      <c r="D54" s="32"/>
      <c r="E54" s="57"/>
      <c r="F54" s="57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20"/>
      <c r="B55" s="26">
        <v>3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20"/>
      <c r="B56" s="26">
        <v>4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thickBot="1" x14ac:dyDescent="0.35">
      <c r="A57" s="1"/>
      <c r="B57" s="116" t="s">
        <v>20</v>
      </c>
      <c r="C57" s="117"/>
      <c r="D57" s="117"/>
      <c r="E57" s="117"/>
      <c r="F57" s="118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1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2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6">
        <v>3</v>
      </c>
      <c r="C60" s="27"/>
      <c r="D60" s="28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26">
        <v>4</v>
      </c>
      <c r="C61" s="27"/>
      <c r="D61" s="28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26">
        <v>5</v>
      </c>
      <c r="C62" s="27"/>
      <c r="D62" s="28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26">
        <v>6</v>
      </c>
      <c r="C63" s="27"/>
      <c r="D63" s="28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25"/>
      <c r="C64" s="25"/>
      <c r="D64" s="25"/>
      <c r="E64" s="25"/>
      <c r="F64" s="2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57.75" customHeight="1" thickBot="1" x14ac:dyDescent="0.35">
      <c r="A66" s="1"/>
      <c r="B66" s="17" t="s">
        <v>56</v>
      </c>
      <c r="C66" s="17" t="s">
        <v>52</v>
      </c>
      <c r="D66" s="17" t="s">
        <v>57</v>
      </c>
      <c r="E66" s="18" t="s">
        <v>58</v>
      </c>
      <c r="F66" s="19" t="s">
        <v>21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2">
        <v>1</v>
      </c>
      <c r="C67" s="27" t="s">
        <v>167</v>
      </c>
      <c r="D67" s="55">
        <v>7000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2</v>
      </c>
      <c r="C68" s="27" t="s">
        <v>168</v>
      </c>
      <c r="D68" s="55">
        <v>3000</v>
      </c>
      <c r="E68" s="55"/>
      <c r="F68" s="55">
        <v>50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3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4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5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6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7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8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9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0">
        <v>10</v>
      </c>
      <c r="C76" s="27"/>
      <c r="D76" s="55"/>
      <c r="E76" s="55"/>
      <c r="F76" s="55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4.9000000000000004" customHeight="1" thickBot="1" x14ac:dyDescent="0.35">
      <c r="A77" s="1"/>
      <c r="B77" s="1"/>
      <c r="C77" s="1"/>
      <c r="D77" s="58"/>
      <c r="E77" s="58"/>
      <c r="F77" s="58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thickTop="1" x14ac:dyDescent="0.3">
      <c r="A78" s="1"/>
      <c r="B78" s="11"/>
      <c r="C78" s="4" t="s">
        <v>22</v>
      </c>
      <c r="D78" s="59">
        <f>SUM(D67:D77)</f>
        <v>10000</v>
      </c>
      <c r="E78" s="59">
        <f>SUM(E67:E77)</f>
        <v>0</v>
      </c>
      <c r="F78" s="59">
        <f>SUM(F67:F77)</f>
        <v>50</v>
      </c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  <row r="1015" spans="1:25" ht="13.5" customHeight="1" x14ac:dyDescent="0.3">
      <c r="A1015" s="1"/>
      <c r="B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</row>
  </sheetData>
  <sheetProtection password="C2E9" sheet="1" objects="1" scenarios="1" formatColumns="0" formatRows="0" sort="0" autoFilter="0"/>
  <mergeCells count="12">
    <mergeCell ref="B57:F57"/>
    <mergeCell ref="B50:F50"/>
    <mergeCell ref="B12:F12"/>
    <mergeCell ref="B13:F13"/>
    <mergeCell ref="B14:F14"/>
    <mergeCell ref="B15:F15"/>
    <mergeCell ref="B18:F18"/>
    <mergeCell ref="B22:F22"/>
    <mergeCell ref="B33:F33"/>
    <mergeCell ref="B28:F28"/>
    <mergeCell ref="B45:F45"/>
    <mergeCell ref="B52:F52"/>
  </mergeCells>
  <dataValidations count="1">
    <dataValidation type="decimal" operator="greaterThanOrEqual" allowBlank="1" showInputMessage="1" showErrorMessage="1" sqref="E32 E46:E49 E51 E23:F27 E53:F56 E58:F63 D67:F76 E34:E36 E37:E44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5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52</xdr:row>
                    <xdr:rowOff>19050</xdr:rowOff>
                  </from>
                  <to>
                    <xdr:col>1</xdr:col>
                    <xdr:colOff>733425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52</xdr:row>
                    <xdr:rowOff>19050</xdr:rowOff>
                  </from>
                  <to>
                    <xdr:col>1</xdr:col>
                    <xdr:colOff>1504950</xdr:colOff>
                    <xdr:row>52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57</xdr:row>
                    <xdr:rowOff>19050</xdr:rowOff>
                  </from>
                  <to>
                    <xdr:col>1</xdr:col>
                    <xdr:colOff>733425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57</xdr:row>
                    <xdr:rowOff>19050</xdr:rowOff>
                  </from>
                  <to>
                    <xdr:col>1</xdr:col>
                    <xdr:colOff>1504950</xdr:colOff>
                    <xdr:row>57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66</xdr:row>
                    <xdr:rowOff>19050</xdr:rowOff>
                  </from>
                  <to>
                    <xdr:col>1</xdr:col>
                    <xdr:colOff>733425</xdr:colOff>
                    <xdr:row>66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66</xdr:row>
                    <xdr:rowOff>19050</xdr:rowOff>
                  </from>
                  <to>
                    <xdr:col>1</xdr:col>
                    <xdr:colOff>1504950</xdr:colOff>
                    <xdr:row>66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G17" sqref="G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J36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177</v>
      </c>
      <c r="D11" s="27" t="s">
        <v>170</v>
      </c>
      <c r="E11" s="27" t="s">
        <v>172</v>
      </c>
      <c r="F11" s="55">
        <v>2</v>
      </c>
      <c r="G11" s="55">
        <v>1</v>
      </c>
      <c r="H11" s="55">
        <v>4</v>
      </c>
      <c r="I11" s="55">
        <v>350</v>
      </c>
      <c r="J11" s="55">
        <f t="shared" ref="J11:J21" si="0">H11*I11</f>
        <v>1400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178</v>
      </c>
      <c r="D12" s="27" t="s">
        <v>179</v>
      </c>
      <c r="E12" s="115">
        <v>1E-3</v>
      </c>
      <c r="F12" s="55">
        <v>1</v>
      </c>
      <c r="G12" s="55">
        <v>1</v>
      </c>
      <c r="H12" s="55">
        <v>1</v>
      </c>
      <c r="I12" s="55">
        <v>310</v>
      </c>
      <c r="J12" s="55">
        <f t="shared" si="0"/>
        <v>310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180</v>
      </c>
      <c r="D13" s="27" t="s">
        <v>165</v>
      </c>
      <c r="E13" s="27" t="s">
        <v>181</v>
      </c>
      <c r="F13" s="55">
        <v>2</v>
      </c>
      <c r="G13" s="55">
        <v>1</v>
      </c>
      <c r="H13" s="55">
        <v>3</v>
      </c>
      <c r="I13" s="55">
        <v>310</v>
      </c>
      <c r="J13" s="55">
        <f t="shared" si="0"/>
        <v>930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E20" sqref="E20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J36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173</v>
      </c>
      <c r="D16" s="70" t="s">
        <v>166</v>
      </c>
      <c r="E16" s="55">
        <v>1</v>
      </c>
      <c r="F16" s="55">
        <v>150</v>
      </c>
      <c r="G16" s="55">
        <f t="shared" ref="G16:G22" si="0"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182</v>
      </c>
      <c r="D17" s="70" t="s">
        <v>166</v>
      </c>
      <c r="E17" s="55">
        <v>1</v>
      </c>
      <c r="F17" s="55">
        <v>150</v>
      </c>
      <c r="G17" s="55">
        <f t="shared" si="0"/>
        <v>150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174</v>
      </c>
      <c r="D18" s="70" t="s">
        <v>166</v>
      </c>
      <c r="E18" s="55">
        <v>1</v>
      </c>
      <c r="F18" s="55">
        <v>20</v>
      </c>
      <c r="G18" s="55">
        <f t="shared" si="0"/>
        <v>20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175</v>
      </c>
      <c r="D19" s="70" t="s">
        <v>166</v>
      </c>
      <c r="E19" s="55">
        <v>2</v>
      </c>
      <c r="F19" s="55">
        <v>20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176</v>
      </c>
      <c r="D20" s="70" t="s">
        <v>166</v>
      </c>
      <c r="E20" s="55">
        <v>6</v>
      </c>
      <c r="F20" s="55">
        <v>20</v>
      </c>
      <c r="G20" s="55">
        <f t="shared" si="0"/>
        <v>120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>
        <f t="shared" si="0"/>
        <v>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H20" sqref="H20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J36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25</v>
      </c>
      <c r="E13" s="55"/>
      <c r="F13" s="55"/>
      <c r="G13" s="55">
        <v>150</v>
      </c>
      <c r="H13" s="55">
        <v>150</v>
      </c>
      <c r="I13" s="55"/>
      <c r="J13" s="55"/>
      <c r="K13" s="55"/>
      <c r="L13" s="55"/>
      <c r="M13" s="55"/>
      <c r="N13" s="55"/>
      <c r="P13" s="88">
        <f>SUM(D13:N13)</f>
        <v>325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25</v>
      </c>
      <c r="E30" s="88">
        <f t="shared" si="1"/>
        <v>0</v>
      </c>
      <c r="F30" s="88">
        <f t="shared" si="1"/>
        <v>0</v>
      </c>
      <c r="G30" s="88">
        <f t="shared" si="1"/>
        <v>150</v>
      </c>
      <c r="H30" s="88">
        <f t="shared" si="1"/>
        <v>150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325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2018-06-08T10:09:42Z</dcterms:modified>
</cp:coreProperties>
</file>