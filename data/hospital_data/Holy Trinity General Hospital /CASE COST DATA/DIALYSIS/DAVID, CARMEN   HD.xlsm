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J17" i="2" l="1"/>
  <c r="G20" i="9" l="1"/>
  <c r="G19" i="9"/>
  <c r="G18" i="9"/>
  <c r="G17" i="9"/>
  <c r="G16" i="9"/>
  <c r="J16" i="2"/>
  <c r="J15" i="2"/>
  <c r="J14" i="2"/>
  <c r="J13" i="2"/>
  <c r="J12" i="2"/>
  <c r="J11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<sst xmlns="http://schemas.openxmlformats.org/spreadsheetml/2006/main" count="466" uniqueCount="180">
  <si>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</si>
  <si>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</si>
  <si>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</si>
  <si>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</si>
  <si>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</si>
  <si>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</si>
  <si>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</si>
  <si>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</si>
  <si>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</si>
  <si>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</si>
  <si>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</si>
  <si>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</si>
  <si>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</si>
  <si>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</si>
  <si>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</si>
  <si>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</si>
  <si>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</si>
  <si>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</si>
  <si>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</si>
  <si>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</si>
  <si>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</si>
  <si>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</si>
  <si>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</si>
  <si>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</si>
  <si>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</si>
  <si>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</si>
  <si>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</si>
  <si>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</si>
  <si>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</si>
  <si>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</si>
  <si>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</si>
  <si>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</si>
  <si>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</si>
  <si>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</si>
  <si>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</si>
  <si>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</si>
  <si>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</si>
  <si>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</si>
  <si>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</si>
  <si>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</si>
  <si>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</si>
  <si>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</si>
  <si>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</si>
  <si>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</si>
  <si>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</si>
  <si>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</si>
  <si>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</si>
  <si>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</si>
  <si>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</si>
  <si>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</si>
  <si>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</si>
  <si>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</si>
  <si>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</si>
  <si>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</si>
  <si>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</si>
  <si>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</si>
  <si>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</si>
  <si>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</si>
  <si>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</si>
  <si>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</si>
  <si>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</si>
  <si>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</si>
  <si>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</si>
  <si>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</si>
  <si>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</si>
  <si>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</si>
  <si>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</si>
  <si>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</si>
  <si>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</si>
  <si>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</si>
  <si>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</si>
  <si>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</si>
  <si>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</si>
  <si>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</si>
  <si>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</si>
  <si>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</si>
  <si>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</si>
  <si>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</si>
  <si>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</si>
  <si>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</si>
  <si>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</si>
  <si>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</si>
  <si>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</si>
  <si>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</si>
  <si>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</si>
  <si>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</si>
  <si>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</si>
  <si>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</si>
  <si>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</si>
  <si>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</si>
  <si>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</si>
  <si>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</si>
  <si>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</si>
  <si>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</si>
  <si>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</si>
  <si>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</si>
  <si>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</si>
  <si>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</si>
  <si>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</si>
  <si>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</si>
  <si>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</si>
  <si>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</si>
  <si>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</si>
  <si>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</si>
  <si>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</si>
  <si>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</si>
  <si>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</si>
  <si>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</si>
  <si>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</si>
  <si>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</si>
  <si>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</si>
  <si>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</si>
  <si>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</si>
  <si>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</si>
  <si>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</si>
  <si>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</si>
  <si>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</si>
  <si>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</si>
  <si>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</si>
  <si>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</si>
  <si>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</si>
  <si>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</si>
  <si>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</si>
  <si>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</si>
  <si>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</si>
  <si>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</si>
  <si>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</si>
  <si>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</si>
  <si>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</si>
  <si>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</si>
  <si>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</si>
  <si>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</si>
  <si>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</si>
  <si>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</si>
  <si>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</si>
  <si>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</si>
  <si>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</si>
  <si>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</si>
  <si>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</si>
  <si>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</si>
  <si>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</si>
  <si>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</si>
  <si>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</si>
  <si>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</si>
  <si>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</si>
  <si>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</si>
  <si>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</si>
  <si>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</si>
  <si>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</si>
  <si>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</si>
  <si>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</si>
  <si>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</si>
  <si>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</si>
  <si>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</si>
  <si>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</si>
  <si>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</si>
  <si>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</si>
  <si>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</si>
  <si>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</si>
  <si>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</si>
  <si>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</si>
  <si>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</si>
  <si>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</si>
  <si>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CAP III</t>
  </si>
  <si>
    <t>VIAL</t>
  </si>
  <si>
    <t>PER PIECE</t>
  </si>
  <si>
    <t>CASE RATE (room,labs,meds, etc.)</t>
  </si>
  <si>
    <t>DISCOUNT</t>
  </si>
  <si>
    <t>PF CASE RATE</t>
  </si>
  <si>
    <t>HEMODIALYSIS-90935</t>
  </si>
  <si>
    <t>R.O</t>
  </si>
  <si>
    <t>PNSS</t>
  </si>
  <si>
    <t>HEPARIN</t>
  </si>
  <si>
    <t>IV FLUID</t>
  </si>
  <si>
    <t>1L</t>
  </si>
  <si>
    <t>1000IU</t>
  </si>
  <si>
    <t>AV FISTULA NEEDLE</t>
  </si>
  <si>
    <t>VENOSET</t>
  </si>
  <si>
    <t>BLOOD LINES</t>
  </si>
  <si>
    <t xml:space="preserve">HD SESSION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</si>
</sst>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abSelected="1" zoomScaleNormal="100" workbookViewId="0">
      <selection activeCell="F61" sqref="F61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163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59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60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51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42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161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137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/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43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44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52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 t="s">
        <v>170</v>
      </c>
      <c r="D51" s="28"/>
      <c r="E51" s="55">
        <v>1</v>
      </c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54</v>
      </c>
      <c r="C59" s="17" t="s">
        <v>50</v>
      </c>
      <c r="D59" s="17" t="s">
        <v>55</v>
      </c>
      <c r="E59" s="18" t="s">
        <v>56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166</v>
      </c>
      <c r="D60" s="55">
        <v>2250</v>
      </c>
      <c r="E60" s="55"/>
      <c r="F60" s="55">
        <v>300</v>
      </c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167</v>
      </c>
      <c r="D61" s="55"/>
      <c r="E61" s="55">
        <v>700</v>
      </c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168</v>
      </c>
      <c r="D62" s="55">
        <v>350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/>
      <c r="D63" s="55"/>
      <c r="E63" s="55">
        <v>150</v>
      </c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2600</v>
      </c>
      <c r="E71" s="59">
        <f>SUM(E60:E70)</f>
        <v>850</v>
      </c>
      <c r="F71" s="59">
        <f>SUM(F60:F70)</f>
        <v>300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I13" sqref="I13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CAP III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63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171</v>
      </c>
      <c r="D11" s="27" t="s">
        <v>173</v>
      </c>
      <c r="E11" s="27" t="s">
        <v>174</v>
      </c>
      <c r="F11" s="55">
        <v>1</v>
      </c>
      <c r="G11" s="55">
        <v>1</v>
      </c>
      <c r="H11" s="55">
        <v>1</v>
      </c>
      <c r="I11" s="55">
        <v>250</v>
      </c>
      <c r="J11" s="55">
        <f t="shared" ref="J11:J17" si="0">H11*I11</f>
        <v>250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172</v>
      </c>
      <c r="D12" s="27" t="s">
        <v>164</v>
      </c>
      <c r="E12" s="27" t="s">
        <v>175</v>
      </c>
      <c r="F12" s="55">
        <v>1</v>
      </c>
      <c r="G12" s="55">
        <v>1</v>
      </c>
      <c r="H12" s="55">
        <v>1</v>
      </c>
      <c r="I12" s="55">
        <v>200</v>
      </c>
      <c r="J12" s="55">
        <f t="shared" si="0"/>
        <v>200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si="0"/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/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/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/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/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/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0" workbookViewId="0">
      <selection activeCell="F19" sqref="F19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68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71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176</v>
      </c>
      <c r="D16" s="70" t="s">
        <v>165</v>
      </c>
      <c r="E16" s="55">
        <v>1</v>
      </c>
      <c r="F16" s="55">
        <v>150</v>
      </c>
      <c r="G16" s="55">
        <f>E16*F16</f>
        <v>150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177</v>
      </c>
      <c r="D17" s="70" t="s">
        <v>165</v>
      </c>
      <c r="E17" s="55">
        <v>1</v>
      </c>
      <c r="F17" s="55">
        <v>200</v>
      </c>
      <c r="G17" s="55">
        <f>E17*F17</f>
        <v>200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178</v>
      </c>
      <c r="D18" s="70" t="s">
        <v>165</v>
      </c>
      <c r="E18" s="55">
        <v>1</v>
      </c>
      <c r="F18" s="55">
        <v>250</v>
      </c>
      <c r="G18" s="55">
        <f>E18*F18</f>
        <v>250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>
        <f>E19*F19</f>
        <v>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>
        <f>E20*F20</f>
        <v>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75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3" workbookViewId="0">
      <selection activeCell="H14" sqref="H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CAP III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179</v>
      </c>
      <c r="D13" s="55">
        <v>15</v>
      </c>
      <c r="E13" s="55"/>
      <c r="F13" s="55">
        <v>5</v>
      </c>
      <c r="G13" s="55">
        <v>240</v>
      </c>
      <c r="H13" s="55">
        <v>20</v>
      </c>
      <c r="I13" s="55"/>
      <c r="J13" s="55"/>
      <c r="K13" s="55"/>
      <c r="L13" s="55"/>
      <c r="M13" s="55"/>
      <c r="N13" s="55"/>
      <c r="P13" s="88">
        <f>SUM(D13:N13)</f>
        <v>280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15</v>
      </c>
      <c r="E30" s="88">
        <f t="shared" si="1"/>
        <v>0</v>
      </c>
      <c r="F30" s="88">
        <f t="shared" si="1"/>
        <v>5</v>
      </c>
      <c r="G30" s="88">
        <f t="shared" si="1"/>
        <v>240</v>
      </c>
      <c r="H30" s="88">
        <f t="shared" si="1"/>
        <v>20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280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Cecile P. Guevarra</cp:lastModifiedBy>
  <dcterms:created xsi:type="dcterms:W3CDTF">2018-05-11T08:46:15Z</dcterms:created>
  <dcterms:modified xsi:type="dcterms:W3CDTF">2018-06-11T04:08:21Z</dcterms:modified>
</cp:coreProperties>
</file>