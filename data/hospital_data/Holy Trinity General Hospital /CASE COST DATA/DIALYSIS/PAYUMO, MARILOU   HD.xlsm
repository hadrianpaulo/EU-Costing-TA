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<sst xmlns="http://schemas.openxmlformats.org/spreadsheetml/2006/main" count="466" uniqueCount="180">
  <si>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</si>
  <si>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</si>
  <si>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</si>
  <si>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</si>
  <si>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</si>
  <si>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</si>
  <si>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</si>
  <si>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</si>
  <si>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</si>
  <si>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</si>
  <si>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</si>
  <si>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</si>
  <si>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</si>
  <si>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</si>
  <si>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</si>
  <si>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</si>
  <si>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</si>
  <si>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</si>
  <si>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</si>
  <si>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</si>
  <si>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</si>
  <si>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</si>
  <si>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</si>
  <si>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</si>
  <si>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</si>
  <si>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</si>
  <si>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</si>
  <si>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</si>
  <si>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</si>
  <si>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</si>
  <si>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</si>
  <si>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</si>
  <si>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</si>
  <si>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</si>
  <si>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</si>
  <si>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</si>
  <si>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</si>
  <si>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</si>
  <si>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</si>
  <si>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</si>
  <si>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</si>
  <si>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</si>
  <si>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</si>
  <si>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</si>
  <si>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</si>
  <si>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</si>
  <si>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</si>
  <si>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</si>
  <si>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</si>
  <si>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</si>
  <si>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</si>
  <si>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</si>
  <si>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</si>
  <si>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</si>
  <si>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</si>
  <si>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</si>
  <si>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</si>
  <si>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</si>
  <si>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</si>
  <si>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</si>
  <si>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</si>
  <si>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</si>
  <si>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</si>
  <si>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</si>
  <si>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</si>
  <si>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</si>
  <si>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</si>
  <si>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</si>
  <si>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</si>
  <si>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</si>
  <si>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</si>
  <si>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</si>
  <si>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</si>
  <si>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</si>
  <si>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</si>
  <si>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</si>
  <si>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</si>
  <si>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</si>
  <si>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</si>
  <si>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</si>
  <si>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</si>
  <si>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</si>
  <si>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</si>
  <si>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</si>
  <si>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</si>
  <si>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</si>
  <si>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</si>
  <si>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</si>
  <si>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</si>
  <si>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</si>
  <si>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</si>
  <si>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</si>
  <si>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</si>
  <si>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</si>
  <si>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</si>
  <si>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</si>
  <si>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</si>
  <si>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</si>
  <si>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</si>
  <si>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</si>
  <si>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</si>
  <si>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</si>
  <si>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</si>
  <si>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</si>
  <si>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</si>
  <si>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</si>
  <si>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</si>
  <si>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</si>
  <si>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</si>
  <si>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</si>
  <si>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</si>
  <si>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</si>
  <si>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</si>
  <si>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</si>
  <si>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</si>
  <si>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</si>
  <si>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</si>
  <si>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</si>
  <si>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</si>
  <si>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</si>
  <si>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</si>
  <si>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</si>
  <si>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</si>
  <si>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</si>
  <si>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</si>
  <si>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</si>
  <si>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</si>
  <si>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</si>
  <si>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</si>
  <si>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</si>
  <si>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</si>
  <si>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</si>
  <si>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</si>
  <si>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</si>
  <si>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</si>
  <si>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</si>
  <si>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</si>
  <si>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</si>
  <si>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</si>
  <si>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</si>
  <si>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</si>
  <si>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</si>
  <si>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</si>
  <si>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</si>
  <si>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</si>
  <si>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</si>
  <si>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</si>
  <si>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</si>
  <si>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</si>
  <si>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</si>
  <si>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</si>
  <si>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</si>
  <si>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</si>
  <si>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</si>
  <si>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</si>
  <si>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</si>
  <si>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</si>
  <si>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</si>
  <si>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</si>
  <si>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</si>
  <si>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</si>
  <si>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</si>
  <si>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</si>
  <si>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</si>
  <si>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</si>
  <si>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</si>
  <si>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</si>
  <si>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DISCOUNT</t>
  </si>
  <si>
    <t>PF CASE RATE</t>
  </si>
  <si>
    <t>HEMODIALYSIS-90935</t>
  </si>
  <si>
    <t>R.O</t>
  </si>
  <si>
    <t>PNSS</t>
  </si>
  <si>
    <t>HEPARIN</t>
  </si>
  <si>
    <t>IV FLUID</t>
  </si>
  <si>
    <t>1L</t>
  </si>
  <si>
    <t>1000IU</t>
  </si>
  <si>
    <t>AV FISTULA NEEDLE</t>
  </si>
  <si>
    <t>VENOSET</t>
  </si>
  <si>
    <t>BLOOD LINES</t>
  </si>
  <si>
    <t>HD SESSION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</si>
</sst>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F61" sqref="F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170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2250</v>
      </c>
      <c r="E60" s="55"/>
      <c r="F60" s="55">
        <v>300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>
        <v>700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350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>
        <v>150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2600</v>
      </c>
      <c r="E71" s="59">
        <f>SUM(E60:E70)</f>
        <v>850</v>
      </c>
      <c r="F71" s="59">
        <f>SUM(F60:F70)</f>
        <v>300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3" sqref="I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173</v>
      </c>
      <c r="E11" s="27" t="s">
        <v>174</v>
      </c>
      <c r="F11" s="55">
        <v>1</v>
      </c>
      <c r="G11" s="55">
        <v>1</v>
      </c>
      <c r="H11" s="55">
        <v>1</v>
      </c>
      <c r="I11" s="55">
        <v>250</v>
      </c>
      <c r="J11" s="55">
        <f t="shared" ref="J11:J17" si="0">H11*I11</f>
        <v>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172</v>
      </c>
      <c r="D12" s="27" t="s">
        <v>164</v>
      </c>
      <c r="E12" s="27" t="s">
        <v>175</v>
      </c>
      <c r="F12" s="55">
        <v>1</v>
      </c>
      <c r="G12" s="55">
        <v>1</v>
      </c>
      <c r="H12" s="55">
        <v>1</v>
      </c>
      <c r="I12" s="55">
        <v>200</v>
      </c>
      <c r="J12" s="55">
        <f t="shared" si="0"/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B35" sqref="B3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165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 t="s">
        <v>165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165</v>
      </c>
      <c r="E18" s="55">
        <v>1</v>
      </c>
      <c r="F18" s="55">
        <v>250</v>
      </c>
      <c r="G18" s="55">
        <f>E18*F18</f>
        <v>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3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179</v>
      </c>
      <c r="D13" s="55"/>
      <c r="E13" s="55"/>
      <c r="F13" s="55">
        <v>10</v>
      </c>
      <c r="G13" s="55">
        <v>240</v>
      </c>
      <c r="H13" s="55">
        <v>20</v>
      </c>
      <c r="I13" s="55"/>
      <c r="J13" s="55"/>
      <c r="K13" s="55"/>
      <c r="L13" s="55"/>
      <c r="M13" s="55"/>
      <c r="N13" s="55"/>
      <c r="P13" s="88">
        <f>SUM(D13:N13)</f>
        <v>270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10</v>
      </c>
      <c r="G30" s="88">
        <f t="shared" si="1"/>
        <v>240</v>
      </c>
      <c r="H30" s="88">
        <f t="shared" si="1"/>
        <v>20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270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2018-06-11T03:18:41Z</dcterms:modified>
</cp:coreProperties>
</file>