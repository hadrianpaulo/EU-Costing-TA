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2" i="9" l="1"/>
  <c r="G21" i="9"/>
  <c r="J23" i="2"/>
  <c r="J22" i="2"/>
  <c r="J21" i="2"/>
  <c r="J20" i="2"/>
  <c r="J19" i="2"/>
  <c r="J18" i="2"/>
  <c r="J17" i="2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<sst xmlns="http://schemas.openxmlformats.org/spreadsheetml/2006/main" count="513" uniqueCount="213">
  <si>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</si>
  <si>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</si>
  <si>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</si>
  <si>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</si>
  <si>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</si>
  <si>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</si>
  <si>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</si>
  <si>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</si>
  <si>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</si>
  <si>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</si>
  <si>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</si>
  <si>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</si>
  <si>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</si>
  <si>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</si>
  <si>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</si>
  <si>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</si>
  <si>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</si>
  <si>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</si>
  <si>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</si>
  <si>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</si>
  <si>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</si>
  <si>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</si>
  <si>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</si>
  <si>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</si>
  <si>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</si>
  <si>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</si>
  <si>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</si>
  <si>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</si>
  <si>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</si>
  <si>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</si>
  <si>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</si>
  <si>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</si>
  <si>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</si>
  <si>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</si>
  <si>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</si>
  <si>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</si>
  <si>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</si>
  <si>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</si>
  <si>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</si>
  <si>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</si>
  <si>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</si>
  <si>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</si>
  <si>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</si>
  <si>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</si>
  <si>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</si>
  <si>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</si>
  <si>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</si>
  <si>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</si>
  <si>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</si>
  <si>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</si>
  <si>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</si>
  <si>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</si>
  <si>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</si>
  <si>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</si>
  <si>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</si>
  <si>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</si>
  <si>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</si>
  <si>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</si>
  <si>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</si>
  <si>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</si>
  <si>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</si>
  <si>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</si>
  <si>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</si>
  <si>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</si>
  <si>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</si>
  <si>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</si>
  <si>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</si>
  <si>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</si>
  <si>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</si>
  <si>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</si>
  <si>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</si>
  <si>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</si>
  <si>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</si>
  <si>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</si>
  <si>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</si>
  <si>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</si>
  <si>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</si>
  <si>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</si>
  <si>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</si>
  <si>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</si>
  <si>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</si>
  <si>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</si>
  <si>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</si>
  <si>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</si>
  <si>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</si>
  <si>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</si>
  <si>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</si>
  <si>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</si>
  <si>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</si>
  <si>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</si>
  <si>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</si>
  <si>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</si>
  <si>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</si>
  <si>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</si>
  <si>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</si>
  <si>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</si>
  <si>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</si>
  <si>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</si>
  <si>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</si>
  <si>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</si>
  <si>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</si>
  <si>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</si>
  <si>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</si>
  <si>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</si>
  <si>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</si>
  <si>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</si>
  <si>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</si>
  <si>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</si>
  <si>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</si>
  <si>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</si>
  <si>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</si>
  <si>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</si>
  <si>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</si>
  <si>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</si>
  <si>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</si>
  <si>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</si>
  <si>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</si>
  <si>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</si>
  <si>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</si>
  <si>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</si>
  <si>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</si>
  <si>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</si>
  <si>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</si>
  <si>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</si>
  <si>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</si>
  <si>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</si>
  <si>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</si>
  <si>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</si>
  <si>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</si>
  <si>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</si>
  <si>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</si>
  <si>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</si>
  <si>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</si>
  <si>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</si>
  <si>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</si>
  <si>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</si>
  <si>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</si>
  <si>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</si>
  <si>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</si>
  <si>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</si>
  <si>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</si>
  <si>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</si>
  <si>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</si>
  <si>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</si>
  <si>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</si>
  <si>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</si>
  <si>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</si>
  <si>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</si>
  <si>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</si>
  <si>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</si>
  <si>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</si>
  <si>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</si>
  <si>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</si>
  <si>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</si>
  <si>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</si>
  <si>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</si>
  <si>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</si>
  <si>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</si>
  <si>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</si>
  <si>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</si>
  <si>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</si>
  <si>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</si>
  <si>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</si>
  <si>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</si>
  <si>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</si>
  <si>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</si>
  <si>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</si>
  <si>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SGPT</t>
  </si>
  <si>
    <t>CEATININE</t>
  </si>
  <si>
    <t>ELECTROLYTES(NA,K)</t>
  </si>
  <si>
    <t>CXR PA</t>
  </si>
  <si>
    <t>WHOLE ABDOMEN</t>
  </si>
  <si>
    <t>ECG</t>
  </si>
  <si>
    <t>PNSS</t>
  </si>
  <si>
    <t>IV FLUID</t>
  </si>
  <si>
    <t>IL</t>
  </si>
  <si>
    <t>DUOTRAM</t>
  </si>
  <si>
    <t>TABLET</t>
  </si>
  <si>
    <t>325MG/37.5MG</t>
  </si>
  <si>
    <t>PROVINERV</t>
  </si>
  <si>
    <t>250MG</t>
  </si>
  <si>
    <t>CEFUROXIME</t>
  </si>
  <si>
    <t>VIAL</t>
  </si>
  <si>
    <t>750MG</t>
  </si>
  <si>
    <t>AZITHROMYCIN</t>
  </si>
  <si>
    <t>500MG</t>
  </si>
  <si>
    <t>FLUIMUCIL</t>
  </si>
  <si>
    <t>60MG</t>
  </si>
  <si>
    <t>MONTELUKAST</t>
  </si>
  <si>
    <t>10MG</t>
  </si>
  <si>
    <t>K-LYTE</t>
  </si>
  <si>
    <t>600MG</t>
  </si>
  <si>
    <t>SALRESP-I</t>
  </si>
  <si>
    <t>2.5MG/500MCG</t>
  </si>
  <si>
    <t>PARACETAMOL</t>
  </si>
  <si>
    <t>HYDROCORTISONE</t>
  </si>
  <si>
    <t>100MG</t>
  </si>
  <si>
    <t>OMEPRAZOLE</t>
  </si>
  <si>
    <t>CAPSULE</t>
  </si>
  <si>
    <t>40MG</t>
  </si>
  <si>
    <t>LEVOFLOXACIN</t>
  </si>
  <si>
    <t>MACROSET</t>
  </si>
  <si>
    <t>INSYTE G22</t>
  </si>
  <si>
    <t>10CC SYRINGE</t>
  </si>
  <si>
    <t>1CC SYRINGE</t>
  </si>
  <si>
    <t>NEBULIZING</t>
  </si>
  <si>
    <t>5CC SYRINGE</t>
  </si>
  <si>
    <t>INSYTE G24</t>
  </si>
  <si>
    <t>PER PICE</t>
  </si>
  <si>
    <t>KIT</t>
  </si>
  <si>
    <t>CASE RATE (room, labs, meds, etc)</t>
  </si>
  <si>
    <t>DISCOUNT</t>
  </si>
  <si>
    <t>PF CASE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</si>
</sst>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60" zoomScaleNormal="100" workbookViewId="0">
      <selection activeCell="F63" sqref="F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169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170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 t="s">
        <v>171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172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210</v>
      </c>
      <c r="D60" s="55">
        <v>10500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211</v>
      </c>
      <c r="D61" s="55"/>
      <c r="E61" s="55">
        <v>2809</v>
      </c>
      <c r="F61" s="55">
        <v>11157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212</v>
      </c>
      <c r="D62" s="55">
        <v>4500</v>
      </c>
      <c r="E62" s="55"/>
      <c r="F62" s="55">
        <v>50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15000</v>
      </c>
      <c r="E71" s="59">
        <f>SUM(E60:E70)</f>
        <v>2809</v>
      </c>
      <c r="F71" s="59">
        <f>SUM(F60:F70)</f>
        <v>11207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I24" sqref="I2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3</v>
      </c>
      <c r="G11" s="55">
        <v>1</v>
      </c>
      <c r="H11" s="55">
        <v>3</v>
      </c>
      <c r="I11" s="55">
        <v>372</v>
      </c>
      <c r="J11" s="55">
        <f t="shared" ref="J11:J23" si="0">H11*I11</f>
        <v>1116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176</v>
      </c>
      <c r="D12" s="27" t="s">
        <v>177</v>
      </c>
      <c r="E12" s="27" t="s">
        <v>178</v>
      </c>
      <c r="F12" s="55">
        <v>3</v>
      </c>
      <c r="G12" s="55">
        <v>1</v>
      </c>
      <c r="H12" s="55">
        <v>9</v>
      </c>
      <c r="I12" s="55">
        <v>120</v>
      </c>
      <c r="J12" s="55">
        <f t="shared" si="0"/>
        <v>1080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179</v>
      </c>
      <c r="D13" s="27" t="s">
        <v>177</v>
      </c>
      <c r="E13" s="27" t="s">
        <v>180</v>
      </c>
      <c r="F13" s="55">
        <v>2</v>
      </c>
      <c r="G13" s="55">
        <v>1</v>
      </c>
      <c r="H13" s="55">
        <v>3</v>
      </c>
      <c r="I13" s="55">
        <v>36</v>
      </c>
      <c r="J13" s="55">
        <f t="shared" si="0"/>
        <v>108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181</v>
      </c>
      <c r="D14" s="27" t="s">
        <v>182</v>
      </c>
      <c r="E14" s="27" t="s">
        <v>183</v>
      </c>
      <c r="F14" s="55">
        <v>2</v>
      </c>
      <c r="G14" s="55">
        <v>1</v>
      </c>
      <c r="H14" s="55">
        <v>14</v>
      </c>
      <c r="I14" s="55">
        <v>420</v>
      </c>
      <c r="J14" s="55">
        <f t="shared" si="0"/>
        <v>5880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177</v>
      </c>
      <c r="E15" s="27" t="s">
        <v>185</v>
      </c>
      <c r="F15" s="55">
        <v>2</v>
      </c>
      <c r="G15" s="55">
        <v>1</v>
      </c>
      <c r="H15" s="55">
        <v>3</v>
      </c>
      <c r="I15" s="55">
        <v>240</v>
      </c>
      <c r="J15" s="55">
        <f t="shared" si="0"/>
        <v>720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186</v>
      </c>
      <c r="D16" s="27" t="s">
        <v>177</v>
      </c>
      <c r="E16" s="27" t="s">
        <v>187</v>
      </c>
      <c r="F16" s="55">
        <v>3</v>
      </c>
      <c r="G16" s="55">
        <v>1</v>
      </c>
      <c r="H16" s="55">
        <v>7</v>
      </c>
      <c r="I16" s="55">
        <v>96</v>
      </c>
      <c r="J16" s="55">
        <f t="shared" si="0"/>
        <v>672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188</v>
      </c>
      <c r="D17" s="27" t="s">
        <v>177</v>
      </c>
      <c r="E17" s="27" t="s">
        <v>189</v>
      </c>
      <c r="F17" s="55">
        <v>3</v>
      </c>
      <c r="G17" s="55">
        <v>1</v>
      </c>
      <c r="H17" s="55">
        <v>3</v>
      </c>
      <c r="I17" s="55">
        <v>60</v>
      </c>
      <c r="J17" s="55">
        <f t="shared" si="0"/>
        <v>180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190</v>
      </c>
      <c r="D18" s="27" t="s">
        <v>177</v>
      </c>
      <c r="E18" s="27" t="s">
        <v>191</v>
      </c>
      <c r="F18" s="55">
        <v>3</v>
      </c>
      <c r="G18" s="55">
        <v>1</v>
      </c>
      <c r="H18" s="55">
        <v>7</v>
      </c>
      <c r="I18" s="55">
        <v>84</v>
      </c>
      <c r="J18" s="55">
        <f t="shared" si="0"/>
        <v>588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192</v>
      </c>
      <c r="D19" s="27" t="s">
        <v>177</v>
      </c>
      <c r="E19" s="27" t="s">
        <v>193</v>
      </c>
      <c r="F19" s="55">
        <v>3</v>
      </c>
      <c r="G19" s="55">
        <v>1</v>
      </c>
      <c r="H19" s="55">
        <v>9</v>
      </c>
      <c r="I19" s="55">
        <v>72</v>
      </c>
      <c r="J19" s="55">
        <f t="shared" si="0"/>
        <v>648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194</v>
      </c>
      <c r="D20" s="27" t="s">
        <v>177</v>
      </c>
      <c r="E20" s="27" t="s">
        <v>185</v>
      </c>
      <c r="F20" s="55">
        <v>1</v>
      </c>
      <c r="G20" s="55">
        <v>1</v>
      </c>
      <c r="H20" s="55">
        <v>1</v>
      </c>
      <c r="I20" s="55">
        <v>18</v>
      </c>
      <c r="J20" s="55">
        <f t="shared" si="0"/>
        <v>18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195</v>
      </c>
      <c r="D21" s="27" t="s">
        <v>182</v>
      </c>
      <c r="E21" s="27" t="s">
        <v>196</v>
      </c>
      <c r="F21" s="55">
        <v>1</v>
      </c>
      <c r="G21" s="55">
        <v>1</v>
      </c>
      <c r="H21" s="55">
        <v>3</v>
      </c>
      <c r="I21" s="55">
        <v>420</v>
      </c>
      <c r="J21" s="55">
        <f t="shared" si="0"/>
        <v>1260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197</v>
      </c>
      <c r="D22" s="27" t="s">
        <v>198</v>
      </c>
      <c r="E22" s="27" t="s">
        <v>199</v>
      </c>
      <c r="F22" s="55">
        <v>2</v>
      </c>
      <c r="G22" s="55">
        <v>1</v>
      </c>
      <c r="H22" s="55">
        <v>5</v>
      </c>
      <c r="I22" s="55">
        <v>60</v>
      </c>
      <c r="J22" s="55">
        <f t="shared" si="0"/>
        <v>300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200</v>
      </c>
      <c r="D23" s="27" t="s">
        <v>177</v>
      </c>
      <c r="E23" s="27" t="s">
        <v>185</v>
      </c>
      <c r="F23" s="55">
        <v>1</v>
      </c>
      <c r="G23" s="55">
        <v>1</v>
      </c>
      <c r="H23" s="55">
        <v>1</v>
      </c>
      <c r="I23" s="55">
        <v>72</v>
      </c>
      <c r="J23" s="55">
        <f t="shared" si="0"/>
        <v>72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22" workbookViewId="0">
      <selection activeCell="F23" sqref="F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201</v>
      </c>
      <c r="D16" s="70" t="s">
        <v>208</v>
      </c>
      <c r="E16" s="55">
        <v>1</v>
      </c>
      <c r="F16" s="55">
        <v>180</v>
      </c>
      <c r="G16" s="55">
        <f t="shared" ref="G16:G22" si="0">E16*F16</f>
        <v>180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202</v>
      </c>
      <c r="D17" s="70" t="s">
        <v>208</v>
      </c>
      <c r="E17" s="55">
        <v>2</v>
      </c>
      <c r="F17" s="55">
        <v>180</v>
      </c>
      <c r="G17" s="55">
        <f t="shared" si="0"/>
        <v>360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203</v>
      </c>
      <c r="D18" s="70" t="s">
        <v>208</v>
      </c>
      <c r="E18" s="55">
        <v>7</v>
      </c>
      <c r="F18" s="55">
        <v>48</v>
      </c>
      <c r="G18" s="55">
        <f t="shared" si="0"/>
        <v>336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204</v>
      </c>
      <c r="D19" s="70" t="s">
        <v>208</v>
      </c>
      <c r="E19" s="55">
        <v>1</v>
      </c>
      <c r="F19" s="55">
        <v>24</v>
      </c>
      <c r="G19" s="55">
        <f t="shared" si="0"/>
        <v>24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205</v>
      </c>
      <c r="D20" s="70" t="s">
        <v>209</v>
      </c>
      <c r="E20" s="55">
        <v>1</v>
      </c>
      <c r="F20" s="55">
        <v>240</v>
      </c>
      <c r="G20" s="55">
        <f t="shared" si="0"/>
        <v>240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206</v>
      </c>
      <c r="D21" s="70" t="s">
        <v>208</v>
      </c>
      <c r="E21" s="55">
        <v>4</v>
      </c>
      <c r="F21" s="55">
        <v>24</v>
      </c>
      <c r="G21" s="55">
        <f t="shared" si="0"/>
        <v>96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207</v>
      </c>
      <c r="D22" s="70" t="s">
        <v>208</v>
      </c>
      <c r="E22" s="55">
        <v>1</v>
      </c>
      <c r="F22" s="55">
        <v>180</v>
      </c>
      <c r="G22" s="55">
        <f t="shared" si="0"/>
        <v>180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O13" sqref="O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/>
      <c r="G13" s="55">
        <v>55</v>
      </c>
      <c r="H13" s="55">
        <v>180</v>
      </c>
      <c r="I13" s="55"/>
      <c r="J13" s="55"/>
      <c r="K13" s="55"/>
      <c r="L13" s="55"/>
      <c r="M13" s="55"/>
      <c r="N13" s="55"/>
      <c r="P13" s="88">
        <f>SUM(D13:N13)</f>
        <v>255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55</v>
      </c>
      <c r="H30" s="88">
        <f t="shared" si="1"/>
        <v>180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255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2018-06-08T08:54:07Z</dcterms:modified>
</cp:coreProperties>
</file>