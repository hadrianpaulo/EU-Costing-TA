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<sst xmlns="http://schemas.openxmlformats.org/spreadsheetml/2006/main" count="478" uniqueCount="191">
  <si>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</si>
  <si>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</si>
  <si>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</si>
  <si>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</si>
  <si>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</si>
  <si>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</si>
  <si>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</si>
  <si>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</si>
  <si>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</si>
  <si>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</si>
  <si>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</si>
  <si>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</si>
  <si>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</si>
  <si>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</si>
  <si>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</si>
  <si>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</si>
  <si>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</si>
  <si>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</si>
  <si>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</si>
  <si>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</si>
  <si>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</si>
  <si>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</si>
  <si>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</si>
  <si>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</si>
  <si>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</si>
  <si>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</si>
  <si>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</si>
  <si>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</si>
  <si>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</si>
  <si>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</si>
  <si>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</si>
  <si>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</si>
  <si>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</si>
  <si>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</si>
  <si>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</si>
  <si>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</si>
  <si>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</si>
  <si>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</si>
  <si>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</si>
  <si>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</si>
  <si>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</si>
  <si>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</si>
  <si>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</si>
  <si>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</si>
  <si>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</si>
  <si>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</si>
  <si>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</si>
  <si>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</si>
  <si>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</si>
  <si>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</si>
  <si>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</si>
  <si>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</si>
  <si>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</si>
  <si>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</si>
  <si>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</si>
  <si>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</si>
  <si>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</si>
  <si>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</si>
  <si>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</si>
  <si>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</si>
  <si>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</si>
  <si>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</si>
  <si>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</si>
  <si>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</si>
  <si>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</si>
  <si>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</si>
  <si>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</si>
  <si>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</si>
  <si>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</si>
  <si>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</si>
  <si>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</si>
  <si>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</si>
  <si>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</si>
  <si>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</si>
  <si>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</si>
  <si>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</si>
  <si>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</si>
  <si>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</si>
  <si>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</si>
  <si>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</si>
  <si>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</si>
  <si>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</si>
  <si>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</si>
  <si>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</si>
  <si>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</si>
  <si>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</si>
  <si>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</si>
  <si>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</si>
  <si>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</si>
  <si>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</si>
  <si>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</si>
  <si>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</si>
  <si>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</si>
  <si>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</si>
  <si>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</si>
  <si>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</si>
  <si>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</si>
  <si>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</si>
  <si>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</si>
  <si>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</si>
  <si>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</si>
  <si>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</si>
  <si>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</si>
  <si>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</si>
  <si>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</si>
  <si>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</si>
  <si>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</si>
  <si>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</si>
  <si>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</si>
  <si>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</si>
  <si>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</si>
  <si>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</si>
  <si>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</si>
  <si>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</si>
  <si>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</si>
  <si>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</si>
  <si>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</si>
  <si>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</si>
  <si>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</si>
  <si>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</si>
  <si>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</si>
  <si>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</si>
  <si>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</si>
  <si>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</si>
  <si>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</si>
  <si>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</si>
  <si>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</si>
  <si>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</si>
  <si>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</si>
  <si>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</si>
  <si>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</si>
  <si>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</si>
  <si>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</si>
  <si>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</si>
  <si>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</si>
  <si>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</si>
  <si>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</si>
  <si>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</si>
  <si>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</si>
  <si>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</si>
  <si>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</si>
  <si>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</si>
  <si>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</si>
  <si>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</si>
  <si>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</si>
  <si>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</si>
  <si>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</si>
  <si>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</si>
  <si>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</si>
  <si>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</si>
  <si>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</si>
  <si>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</si>
  <si>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</si>
  <si>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</si>
  <si>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</si>
  <si>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</si>
  <si>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</si>
  <si>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</si>
  <si>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</si>
  <si>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</si>
  <si>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</si>
  <si>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</si>
  <si>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</si>
  <si>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</si>
  <si>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</si>
  <si>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</si>
  <si>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</si>
  <si>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</si>
  <si>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ELECTROLYTES (NA,K)</t>
  </si>
  <si>
    <t>IONIZED CALCIUM</t>
  </si>
  <si>
    <t>CREATININE</t>
  </si>
  <si>
    <t>LIPID PROFILE</t>
  </si>
  <si>
    <t>GLUCOSE (FASTING)</t>
  </si>
  <si>
    <t>CXR PA</t>
  </si>
  <si>
    <t>ECG</t>
  </si>
  <si>
    <t>CEFUROXIME</t>
  </si>
  <si>
    <t>VIAL</t>
  </si>
  <si>
    <t>750MG</t>
  </si>
  <si>
    <t>AZITHROMYCIN</t>
  </si>
  <si>
    <t>TABLET</t>
  </si>
  <si>
    <t>500MG</t>
  </si>
  <si>
    <t>PARACETAMOL</t>
  </si>
  <si>
    <t>AMPOULE</t>
  </si>
  <si>
    <t>300MG</t>
  </si>
  <si>
    <t>3CC SYRINGE</t>
  </si>
  <si>
    <t>HEPLOCK</t>
  </si>
  <si>
    <t>INSYTE G24</t>
  </si>
  <si>
    <t>5CC SYRINGE</t>
  </si>
  <si>
    <t>PER PIECE</t>
  </si>
  <si>
    <t>CASE RATE (room, labs, meds, etc)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</si>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</sst>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1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174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189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190</v>
      </c>
      <c r="D63" s="55">
        <v>4500</v>
      </c>
      <c r="E63" s="55"/>
      <c r="F63" s="55">
        <v>1650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0</v>
      </c>
      <c r="F73" s="59">
        <f>SUM(F62:F72)</f>
        <v>1650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8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177</v>
      </c>
      <c r="F11" s="55">
        <v>2</v>
      </c>
      <c r="G11" s="55">
        <v>1</v>
      </c>
      <c r="H11" s="55">
        <v>5</v>
      </c>
      <c r="I11" s="55">
        <v>350</v>
      </c>
      <c r="J11" s="55">
        <f t="shared" ref="J11:J16" si="0">H11*I11</f>
        <v>1750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 t="s">
        <v>180</v>
      </c>
      <c r="F12" s="55">
        <v>2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182</v>
      </c>
      <c r="E13" s="27" t="s">
        <v>183</v>
      </c>
      <c r="F13" s="55">
        <v>1</v>
      </c>
      <c r="G13" s="55">
        <v>1</v>
      </c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188</v>
      </c>
      <c r="E16" s="55">
        <v>3</v>
      </c>
      <c r="F16" s="55">
        <v>20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188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188</v>
      </c>
      <c r="E18" s="55">
        <v>2</v>
      </c>
      <c r="F18" s="55">
        <v>150</v>
      </c>
      <c r="G18" s="55">
        <f>E18*F18</f>
        <v>300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187</v>
      </c>
      <c r="D19" s="70" t="s">
        <v>188</v>
      </c>
      <c r="E19" s="55">
        <v>5</v>
      </c>
      <c r="F19" s="55">
        <v>20</v>
      </c>
      <c r="G19" s="55">
        <f>E19*F19</f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20</v>
      </c>
      <c r="G13" s="55">
        <v>55</v>
      </c>
      <c r="H13" s="55">
        <v>110</v>
      </c>
      <c r="I13" s="55"/>
      <c r="J13" s="55"/>
      <c r="K13" s="55"/>
      <c r="L13" s="55"/>
      <c r="M13" s="55"/>
      <c r="N13" s="55"/>
      <c r="P13" s="88">
        <f>SUM(D13:N13)</f>
        <v>205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>
        <v>10</v>
      </c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20</v>
      </c>
      <c r="G30" s="88">
        <f t="shared" si="1"/>
        <v>55</v>
      </c>
      <c r="H30" s="88">
        <f t="shared" si="1"/>
        <v>120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2018-06-08T05:03:45Z</dcterms:modified>
</cp:coreProperties>
</file>