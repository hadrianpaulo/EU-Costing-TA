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3" i="9" l="1"/>
  <c r="G22" i="9"/>
  <c r="G21" i="9"/>
  <c r="J24" i="2"/>
  <c r="J23" i="2"/>
  <c r="J22" i="2"/>
  <c r="J21" i="2"/>
  <c r="J20" i="2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<sst xmlns="http://schemas.openxmlformats.org/spreadsheetml/2006/main" count="523" uniqueCount="221">
  <si>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</si>
  <si>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</si>
  <si>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</si>
  <si>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</si>
  <si>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</si>
  <si>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</si>
  <si>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</si>
  <si>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</si>
  <si>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</si>
  <si>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</si>
  <si>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</si>
  <si>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</si>
  <si>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</si>
  <si>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</si>
  <si>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</si>
  <si>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</si>
  <si>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</si>
  <si>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</si>
  <si>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</si>
  <si>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</si>
  <si>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</si>
  <si>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</si>
  <si>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</si>
  <si>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</si>
  <si>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</si>
  <si>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</si>
  <si>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</si>
  <si>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</si>
  <si>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</si>
  <si>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</si>
  <si>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</si>
  <si>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</si>
  <si>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</si>
  <si>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</si>
  <si>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</si>
  <si>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</si>
  <si>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</si>
  <si>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</si>
  <si>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</si>
  <si>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</si>
  <si>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</si>
  <si>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</si>
  <si>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</si>
  <si>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</si>
  <si>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</si>
  <si>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</si>
  <si>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</si>
  <si>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</si>
  <si>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</si>
  <si>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</si>
  <si>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</si>
  <si>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</si>
  <si>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</si>
  <si>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</si>
  <si>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</si>
  <si>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</si>
  <si>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</si>
  <si>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</si>
  <si>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</si>
  <si>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</si>
  <si>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</si>
  <si>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</si>
  <si>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</si>
  <si>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</si>
  <si>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</si>
  <si>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</si>
  <si>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</si>
  <si>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</si>
  <si>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</si>
  <si>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</si>
  <si>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</si>
  <si>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</si>
  <si>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</si>
  <si>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</si>
  <si>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</si>
  <si>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</si>
  <si>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</si>
  <si>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</si>
  <si>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</si>
  <si>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</si>
  <si>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</si>
  <si>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</si>
  <si>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</si>
  <si>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</si>
  <si>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</si>
  <si>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</si>
  <si>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</si>
  <si>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</si>
  <si>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</si>
  <si>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</si>
  <si>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</si>
  <si>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</si>
  <si>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</si>
  <si>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</si>
  <si>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</si>
  <si>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</si>
  <si>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</si>
  <si>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</si>
  <si>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</si>
  <si>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</si>
  <si>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</si>
  <si>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</si>
  <si>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</si>
  <si>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</si>
  <si>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</si>
  <si>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</si>
  <si>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</si>
  <si>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</si>
  <si>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</si>
  <si>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</si>
  <si>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</si>
  <si>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</si>
  <si>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</si>
  <si>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</si>
  <si>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</si>
  <si>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</si>
  <si>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</si>
  <si>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</si>
  <si>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</si>
  <si>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</si>
  <si>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</si>
  <si>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</si>
  <si>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</si>
  <si>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</si>
  <si>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</si>
  <si>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</si>
  <si>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</si>
  <si>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</si>
  <si>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</si>
  <si>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</si>
  <si>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</si>
  <si>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</si>
  <si>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</si>
  <si>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</si>
  <si>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</si>
  <si>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</si>
  <si>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</si>
  <si>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</si>
  <si>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</si>
  <si>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</si>
  <si>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</si>
  <si>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</si>
  <si>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</si>
  <si>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</si>
  <si>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</si>
  <si>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</si>
  <si>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</si>
  <si>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</si>
  <si>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</si>
  <si>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</si>
  <si>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</si>
  <si>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</si>
  <si>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</si>
  <si>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</si>
  <si>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</si>
  <si>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</si>
  <si>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</si>
  <si>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</si>
  <si>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</si>
  <si>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</si>
  <si>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</si>
  <si>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</si>
  <si>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</si>
  <si>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</si>
  <si>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</si>
  <si>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</si>
  <si>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</si>
  <si>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750MG</t>
  </si>
  <si>
    <t>PER PIECE</t>
  </si>
  <si>
    <t>CASE RATE (room,labs,meds, etc.)</t>
  </si>
  <si>
    <t>DISCOUNT</t>
  </si>
  <si>
    <t>PF CASE RATE</t>
  </si>
  <si>
    <t>J18.92</t>
  </si>
  <si>
    <t>CBC W/ PLATELET COUNT</t>
  </si>
  <si>
    <t>CREATININE</t>
  </si>
  <si>
    <t>ELECTROLYTES (NA,K)</t>
  </si>
  <si>
    <t>TROPONIN I</t>
  </si>
  <si>
    <t>POTASSIUM</t>
  </si>
  <si>
    <t>CXR PA</t>
  </si>
  <si>
    <t>ECG</t>
  </si>
  <si>
    <t>K-LYTE</t>
  </si>
  <si>
    <t>POTASSIUM CHLORIDE</t>
  </si>
  <si>
    <t>PARACETAMOL</t>
  </si>
  <si>
    <t>HYDROCORTISONE</t>
  </si>
  <si>
    <t>SALRESP-I</t>
  </si>
  <si>
    <t>BUDOSENIDE</t>
  </si>
  <si>
    <t>PNSS</t>
  </si>
  <si>
    <t>MONTELUKAST</t>
  </si>
  <si>
    <t>MAXIVENT</t>
  </si>
  <si>
    <t>CLARITHROMYCIN</t>
  </si>
  <si>
    <t>MIASYN</t>
  </si>
  <si>
    <t>LOSARTAN</t>
  </si>
  <si>
    <t>AMLODIPINE</t>
  </si>
  <si>
    <t>SULTAMICILLIN</t>
  </si>
  <si>
    <t>TABLET</t>
  </si>
  <si>
    <t>NEBULE</t>
  </si>
  <si>
    <t>IV FLUID</t>
  </si>
  <si>
    <t>600MG</t>
  </si>
  <si>
    <t>40MEQ</t>
  </si>
  <si>
    <t>500MG</t>
  </si>
  <si>
    <t>100MG</t>
  </si>
  <si>
    <t>2.5MG/500MCG</t>
  </si>
  <si>
    <t>250MCG/ML</t>
  </si>
  <si>
    <t>1L</t>
  </si>
  <si>
    <t>10MG</t>
  </si>
  <si>
    <t>400MG</t>
  </si>
  <si>
    <t>1G/500MG</t>
  </si>
  <si>
    <t>50MG</t>
  </si>
  <si>
    <t>5MG</t>
  </si>
  <si>
    <t>SYMBICORT</t>
  </si>
  <si>
    <t>INHALER</t>
  </si>
  <si>
    <t>MG</t>
  </si>
  <si>
    <t>MICROSET</t>
  </si>
  <si>
    <t>INSYTE G22</t>
  </si>
  <si>
    <t>10CC SYRINGE</t>
  </si>
  <si>
    <t>HEPLOCK</t>
  </si>
  <si>
    <t>5CC SYRINGE</t>
  </si>
  <si>
    <t>3CC SYRINGE</t>
  </si>
  <si>
    <t>1CC SYRINGE</t>
  </si>
  <si>
    <t>SOLUSET</t>
  </si>
  <si>
    <t>OXYGEN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</si>
</sst>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54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178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179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 t="s">
        <v>220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169</v>
      </c>
      <c r="D61" s="55">
        <v>10500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170</v>
      </c>
      <c r="D62" s="55"/>
      <c r="E62" s="55">
        <v>5105</v>
      </c>
      <c r="F62" s="55">
        <v>20420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171</v>
      </c>
      <c r="D63" s="55">
        <v>4500</v>
      </c>
      <c r="E63" s="55"/>
      <c r="F63" s="55">
        <v>1550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15000</v>
      </c>
      <c r="E72" s="59">
        <f>SUM(E61:E71)</f>
        <v>5105</v>
      </c>
      <c r="F72" s="59">
        <f>SUM(F61:F71)</f>
        <v>21970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29" sqref="F2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194</v>
      </c>
      <c r="E11" s="27" t="s">
        <v>197</v>
      </c>
      <c r="F11" s="55">
        <v>5</v>
      </c>
      <c r="G11" s="55">
        <v>1</v>
      </c>
      <c r="H11" s="55">
        <v>19</v>
      </c>
      <c r="I11" s="55">
        <v>70</v>
      </c>
      <c r="J11" s="55">
        <f t="shared" ref="J11:J24" si="0">H11*I11</f>
        <v>1330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166</v>
      </c>
      <c r="E12" s="27" t="s">
        <v>198</v>
      </c>
      <c r="F12" s="55">
        <v>1</v>
      </c>
      <c r="G12" s="55">
        <v>1</v>
      </c>
      <c r="H12" s="55">
        <v>2</v>
      </c>
      <c r="I12" s="55">
        <v>300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194</v>
      </c>
      <c r="E13" s="27" t="s">
        <v>199</v>
      </c>
      <c r="F13" s="55">
        <v>1</v>
      </c>
      <c r="G13" s="55">
        <v>1</v>
      </c>
      <c r="H13" s="55">
        <v>1</v>
      </c>
      <c r="I13" s="55">
        <v>15</v>
      </c>
      <c r="J13" s="55">
        <f t="shared" si="0"/>
        <v>15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166</v>
      </c>
      <c r="E14" s="27" t="s">
        <v>200</v>
      </c>
      <c r="F14" s="55">
        <v>1</v>
      </c>
      <c r="G14" s="55">
        <v>1</v>
      </c>
      <c r="H14" s="55">
        <v>3</v>
      </c>
      <c r="I14" s="55">
        <v>350</v>
      </c>
      <c r="J14" s="55">
        <f t="shared" si="0"/>
        <v>1050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195</v>
      </c>
      <c r="E15" s="27" t="s">
        <v>201</v>
      </c>
      <c r="F15" s="55">
        <v>4</v>
      </c>
      <c r="G15" s="55">
        <v>1</v>
      </c>
      <c r="H15" s="55">
        <v>22</v>
      </c>
      <c r="I15" s="55">
        <v>100</v>
      </c>
      <c r="J15" s="55">
        <f t="shared" si="0"/>
        <v>2200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195</v>
      </c>
      <c r="E16" s="27" t="s">
        <v>202</v>
      </c>
      <c r="F16" s="55">
        <v>5</v>
      </c>
      <c r="G16" s="55">
        <v>1</v>
      </c>
      <c r="H16" s="55">
        <v>12</v>
      </c>
      <c r="I16" s="55">
        <v>40</v>
      </c>
      <c r="J16" s="55">
        <f t="shared" si="0"/>
        <v>480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196</v>
      </c>
      <c r="E17" s="27" t="s">
        <v>203</v>
      </c>
      <c r="F17" s="55">
        <v>2</v>
      </c>
      <c r="G17" s="55">
        <v>1</v>
      </c>
      <c r="H17" s="55">
        <v>3</v>
      </c>
      <c r="I17" s="55">
        <v>260</v>
      </c>
      <c r="J17" s="55">
        <f t="shared" si="0"/>
        <v>780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187</v>
      </c>
      <c r="D18" s="27" t="s">
        <v>194</v>
      </c>
      <c r="E18" s="27" t="s">
        <v>204</v>
      </c>
      <c r="F18" s="55">
        <v>5</v>
      </c>
      <c r="G18" s="55">
        <v>1</v>
      </c>
      <c r="H18" s="55">
        <v>7</v>
      </c>
      <c r="I18" s="55">
        <v>50</v>
      </c>
      <c r="J18" s="55">
        <f t="shared" si="0"/>
        <v>350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194</v>
      </c>
      <c r="E19" s="27" t="s">
        <v>205</v>
      </c>
      <c r="F19" s="55">
        <v>2</v>
      </c>
      <c r="G19" s="55">
        <v>1</v>
      </c>
      <c r="H19" s="55">
        <v>5</v>
      </c>
      <c r="I19" s="55">
        <v>50</v>
      </c>
      <c r="J19" s="55">
        <f t="shared" si="0"/>
        <v>250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189</v>
      </c>
      <c r="D20" s="27" t="s">
        <v>194</v>
      </c>
      <c r="E20" s="27" t="s">
        <v>199</v>
      </c>
      <c r="F20" s="55">
        <v>5</v>
      </c>
      <c r="G20" s="55">
        <v>1</v>
      </c>
      <c r="H20" s="55">
        <v>9</v>
      </c>
      <c r="I20" s="55">
        <v>130</v>
      </c>
      <c r="J20" s="55">
        <f t="shared" si="0"/>
        <v>1170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190</v>
      </c>
      <c r="D21" s="27" t="s">
        <v>166</v>
      </c>
      <c r="E21" s="27" t="s">
        <v>206</v>
      </c>
      <c r="F21" s="55">
        <v>4</v>
      </c>
      <c r="G21" s="55">
        <v>1</v>
      </c>
      <c r="H21" s="55">
        <v>10</v>
      </c>
      <c r="I21" s="55">
        <v>1500</v>
      </c>
      <c r="J21" s="55">
        <f t="shared" si="0"/>
        <v>15000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191</v>
      </c>
      <c r="D22" s="27" t="s">
        <v>194</v>
      </c>
      <c r="E22" s="27" t="s">
        <v>207</v>
      </c>
      <c r="F22" s="55">
        <v>3</v>
      </c>
      <c r="G22" s="55">
        <v>1</v>
      </c>
      <c r="H22" s="55">
        <v>3</v>
      </c>
      <c r="I22" s="55">
        <v>30</v>
      </c>
      <c r="J22" s="55">
        <f t="shared" si="0"/>
        <v>90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192</v>
      </c>
      <c r="D23" s="27" t="s">
        <v>194</v>
      </c>
      <c r="E23" s="27" t="s">
        <v>208</v>
      </c>
      <c r="F23" s="55">
        <v>1</v>
      </c>
      <c r="G23" s="55">
        <v>1</v>
      </c>
      <c r="H23" s="55">
        <v>2</v>
      </c>
      <c r="I23" s="55">
        <v>50</v>
      </c>
      <c r="J23" s="55">
        <f t="shared" si="0"/>
        <v>100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193</v>
      </c>
      <c r="D24" s="27" t="s">
        <v>194</v>
      </c>
      <c r="E24" s="27" t="s">
        <v>167</v>
      </c>
      <c r="F24" s="55">
        <v>1</v>
      </c>
      <c r="G24" s="55">
        <v>1</v>
      </c>
      <c r="H24" s="55">
        <v>1</v>
      </c>
      <c r="I24" s="55">
        <v>130</v>
      </c>
      <c r="J24" s="55">
        <f t="shared" si="0"/>
        <v>130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209</v>
      </c>
      <c r="D25" s="27" t="s">
        <v>210</v>
      </c>
      <c r="E25" s="27" t="s">
        <v>211</v>
      </c>
      <c r="F25" s="55">
        <v>1</v>
      </c>
      <c r="G25" s="55">
        <v>1</v>
      </c>
      <c r="H25" s="55">
        <v>1</v>
      </c>
      <c r="I25" s="55">
        <v>2120</v>
      </c>
      <c r="J25" s="55">
        <v>2120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>
        <v>1</v>
      </c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212</v>
      </c>
      <c r="D16" s="70" t="s">
        <v>168</v>
      </c>
      <c r="E16" s="55">
        <v>1</v>
      </c>
      <c r="F16" s="55">
        <v>150</v>
      </c>
      <c r="G16" s="55">
        <f t="shared" ref="G16:G23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213</v>
      </c>
      <c r="D17" s="70" t="s">
        <v>168</v>
      </c>
      <c r="E17" s="55">
        <v>2</v>
      </c>
      <c r="F17" s="55">
        <v>150</v>
      </c>
      <c r="G17" s="55">
        <f t="shared" si="0"/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214</v>
      </c>
      <c r="D18" s="70" t="s">
        <v>168</v>
      </c>
      <c r="E18" s="55">
        <v>6</v>
      </c>
      <c r="F18" s="55">
        <v>40</v>
      </c>
      <c r="G18" s="55">
        <f t="shared" si="0"/>
        <v>240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215</v>
      </c>
      <c r="D19" s="70" t="s">
        <v>168</v>
      </c>
      <c r="E19" s="55">
        <v>2</v>
      </c>
      <c r="F19" s="55">
        <v>100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216</v>
      </c>
      <c r="D20" s="70" t="s">
        <v>168</v>
      </c>
      <c r="E20" s="55">
        <v>3</v>
      </c>
      <c r="F20" s="55">
        <v>20</v>
      </c>
      <c r="G20" s="55">
        <f t="shared" si="0"/>
        <v>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217</v>
      </c>
      <c r="D21" s="70" t="s">
        <v>168</v>
      </c>
      <c r="E21" s="55">
        <v>2</v>
      </c>
      <c r="F21" s="55">
        <v>20</v>
      </c>
      <c r="G21" s="55">
        <f t="shared" si="0"/>
        <v>40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219</v>
      </c>
      <c r="D22" s="70" t="s">
        <v>168</v>
      </c>
      <c r="E22" s="55">
        <v>2</v>
      </c>
      <c r="F22" s="55">
        <v>350</v>
      </c>
      <c r="G22" s="55">
        <f t="shared" si="0"/>
        <v>700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218</v>
      </c>
      <c r="D23" s="70" t="s">
        <v>168</v>
      </c>
      <c r="E23" s="55">
        <v>1</v>
      </c>
      <c r="F23" s="55">
        <v>20</v>
      </c>
      <c r="G23" s="55">
        <f t="shared" si="0"/>
        <v>20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20</v>
      </c>
      <c r="G13" s="55">
        <v>70</v>
      </c>
      <c r="H13" s="55">
        <v>80</v>
      </c>
      <c r="I13" s="55"/>
      <c r="J13" s="55"/>
      <c r="K13" s="55"/>
      <c r="L13" s="55"/>
      <c r="M13" s="55"/>
      <c r="N13" s="55"/>
      <c r="P13" s="88">
        <f>SUM(D13:N13)</f>
        <v>200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20</v>
      </c>
      <c r="G30" s="88">
        <f t="shared" si="1"/>
        <v>80</v>
      </c>
      <c r="H30" s="88">
        <f t="shared" si="1"/>
        <v>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2018-06-08T08:30:13Z</dcterms:modified>
</cp:coreProperties>
</file>