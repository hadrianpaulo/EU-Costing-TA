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3" i="9" l="1"/>
  <c r="G22" i="9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<sst xmlns="http://schemas.openxmlformats.org/spreadsheetml/2006/main" count="489" uniqueCount="195">
  <si>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</si>
  <si>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</si>
  <si>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</si>
  <si>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</si>
  <si>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</si>
  <si>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</si>
  <si>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</si>
  <si>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</si>
  <si>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</si>
  <si>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</si>
  <si>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</si>
  <si>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</si>
  <si>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</si>
  <si>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</si>
  <si>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</si>
  <si>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</si>
  <si>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</si>
  <si>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</si>
  <si>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</si>
  <si>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</si>
  <si>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</si>
  <si>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</si>
  <si>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</si>
  <si>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</si>
  <si>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</si>
  <si>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</si>
  <si>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</si>
  <si>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</si>
  <si>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</si>
  <si>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</si>
  <si>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</si>
  <si>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</si>
  <si>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</si>
  <si>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</si>
  <si>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</si>
  <si>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</si>
  <si>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</si>
  <si>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</si>
  <si>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</si>
  <si>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</si>
  <si>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</si>
  <si>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</si>
  <si>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</si>
  <si>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</si>
  <si>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</si>
  <si>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</si>
  <si>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</si>
  <si>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</si>
  <si>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</si>
  <si>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</si>
  <si>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</si>
  <si>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</si>
  <si>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</si>
  <si>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</si>
  <si>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</si>
  <si>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</si>
  <si>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</si>
  <si>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</si>
  <si>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</si>
  <si>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</si>
  <si>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</si>
  <si>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</si>
  <si>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</si>
  <si>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</si>
  <si>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</si>
  <si>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</si>
  <si>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</si>
  <si>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</si>
  <si>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</si>
  <si>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</si>
  <si>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</si>
  <si>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</si>
  <si>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</si>
  <si>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</si>
  <si>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</si>
  <si>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</si>
  <si>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</si>
  <si>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</si>
  <si>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</si>
  <si>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</si>
  <si>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</si>
  <si>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</si>
  <si>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</si>
  <si>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</si>
  <si>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</si>
  <si>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</si>
  <si>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</si>
  <si>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</si>
  <si>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</si>
  <si>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</si>
  <si>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</si>
  <si>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</si>
  <si>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</si>
  <si>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</si>
  <si>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</si>
  <si>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</si>
  <si>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</si>
  <si>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</si>
  <si>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</si>
  <si>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</si>
  <si>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</si>
  <si>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</si>
  <si>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</si>
  <si>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</si>
  <si>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</si>
  <si>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</si>
  <si>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</si>
  <si>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</si>
  <si>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</si>
  <si>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</si>
  <si>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</si>
  <si>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</si>
  <si>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</si>
  <si>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</si>
  <si>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</si>
  <si>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</si>
  <si>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</si>
  <si>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</si>
  <si>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</si>
  <si>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</si>
  <si>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</si>
  <si>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</si>
  <si>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</si>
  <si>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</si>
  <si>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</si>
  <si>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</si>
  <si>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</si>
  <si>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</si>
  <si>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</si>
  <si>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</si>
  <si>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</si>
  <si>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</si>
  <si>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</si>
  <si>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</si>
  <si>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</si>
  <si>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</si>
  <si>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</si>
  <si>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</si>
  <si>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</si>
  <si>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</si>
  <si>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</si>
  <si>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</si>
  <si>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</si>
  <si>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</si>
  <si>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</si>
  <si>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</si>
  <si>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</si>
  <si>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</si>
  <si>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</si>
  <si>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</si>
  <si>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</si>
  <si>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</si>
  <si>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</si>
  <si>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</si>
  <si>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</si>
  <si>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</si>
  <si>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</si>
  <si>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</si>
  <si>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</si>
  <si>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</si>
  <si>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</si>
  <si>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</si>
  <si>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</si>
  <si>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</si>
  <si>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</si>
  <si>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</si>
  <si>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</si>
  <si>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</si>
  <si>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CXR AP-L</t>
  </si>
  <si>
    <t>CEFUROXIME</t>
  </si>
  <si>
    <t>VIAL</t>
  </si>
  <si>
    <t>750MG</t>
  </si>
  <si>
    <t>SALRESP-I</t>
  </si>
  <si>
    <t>NEBULE</t>
  </si>
  <si>
    <t>2.5MG/500MCG</t>
  </si>
  <si>
    <t>D5 0.3 NACL</t>
  </si>
  <si>
    <t>IV FLUID</t>
  </si>
  <si>
    <t>500ML</t>
  </si>
  <si>
    <t>D5 IMB</t>
  </si>
  <si>
    <t>3CC SYRINGE</t>
  </si>
  <si>
    <t>PER PIECE</t>
  </si>
  <si>
    <t>CARBOCISTEIN</t>
  </si>
  <si>
    <t>ORAL DROPS</t>
  </si>
  <si>
    <t>40MG/15ML</t>
  </si>
  <si>
    <t>CETIRIZINE</t>
  </si>
  <si>
    <t>2.5MG/ML</t>
  </si>
  <si>
    <t>MICROSET</t>
  </si>
  <si>
    <t>INSYTE G24</t>
  </si>
  <si>
    <t>NEB KIT</t>
  </si>
  <si>
    <t>5CC SYRINGE</t>
  </si>
  <si>
    <t>1CC SYRINGE</t>
  </si>
  <si>
    <t>WEE BAG</t>
  </si>
  <si>
    <t>SUCTION CATHETER FR.NO.8</t>
  </si>
  <si>
    <t>CASE RATE (room,labs,meds, etc.)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</si>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</sst>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F62" sqref="F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193</v>
      </c>
      <c r="D60" s="55">
        <v>10500</v>
      </c>
      <c r="E60" s="55"/>
      <c r="F60" s="55">
        <v>4721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194</v>
      </c>
      <c r="D61" s="55">
        <v>4500</v>
      </c>
      <c r="E61" s="55"/>
      <c r="F61" s="55">
        <v>1050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5771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170</v>
      </c>
      <c r="E11" s="27" t="s">
        <v>171</v>
      </c>
      <c r="F11" s="55">
        <v>4</v>
      </c>
      <c r="G11" s="55">
        <v>1</v>
      </c>
      <c r="H11" s="55">
        <v>7</v>
      </c>
      <c r="I11" s="55">
        <v>350</v>
      </c>
      <c r="J11" s="55">
        <f t="shared" ref="J11:J17" si="0">H11*I11</f>
        <v>2450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176</v>
      </c>
      <c r="E12" s="27" t="s">
        <v>177</v>
      </c>
      <c r="F12" s="55">
        <v>1</v>
      </c>
      <c r="G12" s="55">
        <v>1</v>
      </c>
      <c r="H12" s="55">
        <v>2</v>
      </c>
      <c r="I12" s="55">
        <v>310</v>
      </c>
      <c r="J12" s="55">
        <f t="shared" si="0"/>
        <v>620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182</v>
      </c>
      <c r="E13" s="27" t="s">
        <v>183</v>
      </c>
      <c r="F13" s="55">
        <v>1</v>
      </c>
      <c r="G13" s="55">
        <v>1</v>
      </c>
      <c r="H13" s="55">
        <v>1</v>
      </c>
      <c r="I13" s="55">
        <v>182</v>
      </c>
      <c r="J13" s="55">
        <f t="shared" si="0"/>
        <v>182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182</v>
      </c>
      <c r="E14" s="27" t="s">
        <v>185</v>
      </c>
      <c r="F14" s="55">
        <v>1</v>
      </c>
      <c r="G14" s="55">
        <v>1</v>
      </c>
      <c r="H14" s="55">
        <v>1</v>
      </c>
      <c r="I14" s="55">
        <v>314</v>
      </c>
      <c r="J14" s="55">
        <f t="shared" si="0"/>
        <v>314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176</v>
      </c>
      <c r="E15" s="27" t="s">
        <v>177</v>
      </c>
      <c r="F15" s="55">
        <v>3</v>
      </c>
      <c r="G15" s="55">
        <v>1</v>
      </c>
      <c r="H15" s="55">
        <v>3</v>
      </c>
      <c r="I15" s="55">
        <v>310</v>
      </c>
      <c r="J15" s="55">
        <f t="shared" si="0"/>
        <v>930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172</v>
      </c>
      <c r="D16" s="27" t="s">
        <v>173</v>
      </c>
      <c r="E16" s="27" t="s">
        <v>174</v>
      </c>
      <c r="F16" s="55">
        <v>2</v>
      </c>
      <c r="G16" s="55">
        <v>1</v>
      </c>
      <c r="H16" s="55">
        <v>5</v>
      </c>
      <c r="I16" s="55">
        <v>310</v>
      </c>
      <c r="J16" s="55">
        <f t="shared" si="0"/>
        <v>1550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180</v>
      </c>
      <c r="E16" s="55">
        <v>1</v>
      </c>
      <c r="F16" s="55">
        <v>150</v>
      </c>
      <c r="G16" s="55">
        <f t="shared" ref="G16:G23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180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180</v>
      </c>
      <c r="E18" s="55">
        <v>1</v>
      </c>
      <c r="F18" s="55">
        <v>200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180</v>
      </c>
      <c r="E19" s="55">
        <v>6</v>
      </c>
      <c r="F19" s="55">
        <v>20</v>
      </c>
      <c r="G19" s="55">
        <f t="shared" si="0"/>
        <v>120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180</v>
      </c>
      <c r="E20" s="55">
        <v>10</v>
      </c>
      <c r="F20" s="55">
        <v>20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190</v>
      </c>
      <c r="D21" s="70" t="s">
        <v>180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191</v>
      </c>
      <c r="D22" s="70" t="s">
        <v>180</v>
      </c>
      <c r="E22" s="55">
        <v>1</v>
      </c>
      <c r="F22" s="55">
        <v>100</v>
      </c>
      <c r="G22" s="55">
        <f t="shared" si="0"/>
        <v>100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192</v>
      </c>
      <c r="D23" s="70" t="s">
        <v>180</v>
      </c>
      <c r="E23" s="55">
        <v>1</v>
      </c>
      <c r="F23" s="55">
        <v>150</v>
      </c>
      <c r="G23" s="55">
        <f t="shared" si="0"/>
        <v>150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>
        <v>105</v>
      </c>
      <c r="G13" s="55">
        <v>315</v>
      </c>
      <c r="H13" s="55"/>
      <c r="I13" s="55"/>
      <c r="J13" s="55"/>
      <c r="K13" s="55"/>
      <c r="L13" s="55"/>
      <c r="M13" s="55"/>
      <c r="N13" s="55"/>
      <c r="P13" s="88">
        <f>SUM(D13:N13)</f>
        <v>460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105</v>
      </c>
      <c r="G30" s="88">
        <f t="shared" si="1"/>
        <v>315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2018-06-08T09:06:41Z</dcterms:modified>
</cp:coreProperties>
</file>