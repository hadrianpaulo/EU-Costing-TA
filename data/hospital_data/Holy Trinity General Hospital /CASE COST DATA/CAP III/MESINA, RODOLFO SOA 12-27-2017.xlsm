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3" i="9" l="1"/>
  <c r="G22" i="9"/>
  <c r="J24" i="2" l="1"/>
  <c r="J23" i="2"/>
  <c r="J22" i="2"/>
  <c r="J21" i="2"/>
  <c r="J20" i="2"/>
  <c r="J19" i="2" l="1"/>
  <c r="J18" i="2"/>
  <c r="J17" i="2"/>
  <c r="G21" i="9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<sst xmlns="http://schemas.openxmlformats.org/spreadsheetml/2006/main" count="520" uniqueCount="217">
  <si>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</si>
  <si>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</si>
  <si>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</si>
  <si>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</si>
  <si>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</si>
  <si>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</si>
  <si>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</si>
  <si>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</si>
  <si>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</si>
  <si>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</si>
  <si>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</si>
  <si>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</si>
  <si>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</si>
  <si>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</si>
  <si>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</si>
  <si>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</si>
  <si>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</si>
  <si>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</si>
  <si>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</si>
  <si>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</si>
  <si>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</si>
  <si>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</si>
  <si>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</si>
  <si>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</si>
  <si>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</si>
  <si>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</si>
  <si>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</si>
  <si>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</si>
  <si>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</si>
  <si>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</si>
  <si>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</si>
  <si>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</si>
  <si>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</si>
  <si>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</si>
  <si>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</si>
  <si>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</si>
  <si>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</si>
  <si>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</si>
  <si>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</si>
  <si>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</si>
  <si>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</si>
  <si>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</si>
  <si>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</si>
  <si>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</si>
  <si>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</si>
  <si>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</si>
  <si>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</si>
  <si>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</si>
  <si>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</si>
  <si>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</si>
  <si>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</si>
  <si>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</si>
  <si>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</si>
  <si>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</si>
  <si>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</si>
  <si>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</si>
  <si>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</si>
  <si>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</si>
  <si>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</si>
  <si>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</si>
  <si>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</si>
  <si>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</si>
  <si>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</si>
  <si>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</si>
  <si>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</si>
  <si>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</si>
  <si>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</si>
  <si>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</si>
  <si>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</si>
  <si>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</si>
  <si>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</si>
  <si>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</si>
  <si>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</si>
  <si>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</si>
  <si>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</si>
  <si>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</si>
  <si>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</si>
  <si>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</si>
  <si>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</si>
  <si>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</si>
  <si>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</si>
  <si>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</si>
  <si>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</si>
  <si>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</si>
  <si>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</si>
  <si>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</si>
  <si>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</si>
  <si>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</si>
  <si>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</si>
  <si>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</si>
  <si>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</si>
  <si>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</si>
  <si>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</si>
  <si>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</si>
  <si>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</si>
  <si>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</si>
  <si>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</si>
  <si>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</si>
  <si>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</si>
  <si>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</si>
  <si>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</si>
  <si>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</si>
  <si>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</si>
  <si>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</si>
  <si>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</si>
  <si>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</si>
  <si>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</si>
  <si>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</si>
  <si>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</si>
  <si>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</si>
  <si>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</si>
  <si>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</si>
  <si>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</si>
  <si>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</si>
  <si>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</si>
  <si>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</si>
  <si>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</si>
  <si>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</si>
  <si>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</si>
  <si>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</si>
  <si>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</si>
  <si>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</si>
  <si>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</si>
  <si>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</si>
  <si>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</si>
  <si>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</si>
  <si>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</si>
  <si>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</si>
  <si>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</si>
  <si>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</si>
  <si>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</si>
  <si>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</si>
  <si>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</si>
  <si>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</si>
  <si>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</si>
  <si>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</si>
  <si>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</si>
  <si>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</si>
  <si>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</si>
  <si>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</si>
  <si>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</si>
  <si>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</si>
  <si>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</si>
  <si>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</si>
  <si>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</si>
  <si>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</si>
  <si>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</si>
  <si>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</si>
  <si>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</si>
  <si>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</si>
  <si>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</si>
  <si>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</si>
  <si>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</si>
  <si>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</si>
  <si>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</si>
  <si>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</si>
  <si>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</si>
  <si>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</si>
  <si>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</si>
  <si>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</si>
  <si>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</si>
  <si>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</si>
  <si>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</si>
  <si>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</si>
  <si>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</si>
  <si>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</si>
  <si>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</si>
  <si>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SGPT</t>
  </si>
  <si>
    <t>CBC W/ PLATELET COUNT</t>
  </si>
  <si>
    <t>ELECTROLYTES IMBALANCE</t>
  </si>
  <si>
    <t>CXR PA</t>
  </si>
  <si>
    <t xml:space="preserve">PNSS </t>
  </si>
  <si>
    <t>IV FLUID</t>
  </si>
  <si>
    <t>1L</t>
  </si>
  <si>
    <t>VIAL</t>
  </si>
  <si>
    <t>TABLET</t>
  </si>
  <si>
    <t>500MG</t>
  </si>
  <si>
    <t>600MG</t>
  </si>
  <si>
    <t>MACROSET</t>
  </si>
  <si>
    <t>INSYTE G22</t>
  </si>
  <si>
    <t>10CC SYRINGE</t>
  </si>
  <si>
    <t>1CC SYRINGE</t>
  </si>
  <si>
    <t>PER PIECE</t>
  </si>
  <si>
    <t>CASE RATE (room,labs,meds, etc)</t>
  </si>
  <si>
    <t>PF CASE RATE</t>
  </si>
  <si>
    <t>ECG</t>
  </si>
  <si>
    <t>URINALYSIS</t>
  </si>
  <si>
    <t>KETONE</t>
  </si>
  <si>
    <t>CBG MONITORING</t>
  </si>
  <si>
    <t>SENIOR</t>
  </si>
  <si>
    <t>CEFUROXIME</t>
  </si>
  <si>
    <t xml:space="preserve">750MG </t>
  </si>
  <si>
    <t>10MG</t>
  </si>
  <si>
    <t>PARACETAMOL (BIOGESIC)</t>
  </si>
  <si>
    <t>MONTELUKAST (AUROHEX)</t>
  </si>
  <si>
    <t>ACETYLCYSTEINE (FLUIMUCIL)</t>
  </si>
  <si>
    <t>AZITHROMYCIN (AZIHOLD)</t>
  </si>
  <si>
    <t>NEBULE</t>
  </si>
  <si>
    <t>2.5MG/500MCG</t>
  </si>
  <si>
    <t>POTASSIUM (K-LYTE)</t>
  </si>
  <si>
    <t>HUMULIN ®</t>
  </si>
  <si>
    <t>100UNITS</t>
  </si>
  <si>
    <t>DOXOFYLLINE (MAXIVENT)</t>
  </si>
  <si>
    <t>400MG</t>
  </si>
  <si>
    <t>TOUJEO</t>
  </si>
  <si>
    <t xml:space="preserve">INSULIN </t>
  </si>
  <si>
    <t>300 UNITS</t>
  </si>
  <si>
    <t xml:space="preserve">ISOSORBIDE MONONITRATE </t>
  </si>
  <si>
    <t>30MG</t>
  </si>
  <si>
    <t xml:space="preserve">CARVEDILOL </t>
  </si>
  <si>
    <t>6.25MG</t>
  </si>
  <si>
    <t>5CC SYRINGE</t>
  </si>
  <si>
    <t>INSULIN SYRINGE</t>
  </si>
  <si>
    <t>NEBULIZING</t>
  </si>
  <si>
    <t>KIT</t>
  </si>
  <si>
    <t>FLEXPEN NEEDLE</t>
  </si>
  <si>
    <t>SALBUTAMOL+IPRATROPIUM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</si>
</sst>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zoomScaleNormal="100" workbookViewId="0">
      <selection activeCell="F64" sqref="F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188</v>
      </c>
      <c r="D39" s="23"/>
      <c r="E39" s="55">
        <v>7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185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183</v>
      </c>
      <c r="D62" s="55">
        <v>10500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189</v>
      </c>
      <c r="D63" s="55"/>
      <c r="E63" s="55">
        <v>3960</v>
      </c>
      <c r="F63" s="55">
        <v>9664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184</v>
      </c>
      <c r="D64" s="55">
        <v>4500</v>
      </c>
      <c r="E64" s="55"/>
      <c r="F64" s="55">
        <v>50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15000</v>
      </c>
      <c r="E73" s="59">
        <f>SUM(E62:E72)</f>
        <v>3960</v>
      </c>
      <c r="F73" s="59">
        <f>SUM(F62:F72)</f>
        <v>9714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C20" sqref="C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172</v>
      </c>
      <c r="E11" s="27" t="s">
        <v>173</v>
      </c>
      <c r="F11" s="55">
        <v>4</v>
      </c>
      <c r="G11" s="55">
        <v>1</v>
      </c>
      <c r="H11" s="55">
        <v>4</v>
      </c>
      <c r="I11" s="55">
        <v>372</v>
      </c>
      <c r="J11" s="55">
        <f t="shared" ref="J11:J24" si="0">H11*I11</f>
        <v>1488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174</v>
      </c>
      <c r="E12" s="27" t="s">
        <v>191</v>
      </c>
      <c r="F12" s="55">
        <v>4</v>
      </c>
      <c r="G12" s="55">
        <v>1</v>
      </c>
      <c r="H12" s="55">
        <v>17</v>
      </c>
      <c r="I12" s="55">
        <v>420</v>
      </c>
      <c r="J12" s="55">
        <f t="shared" si="0"/>
        <v>7140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196</v>
      </c>
      <c r="D13" s="27" t="s">
        <v>175</v>
      </c>
      <c r="E13" s="27" t="s">
        <v>176</v>
      </c>
      <c r="F13" s="55">
        <v>1</v>
      </c>
      <c r="G13" s="55">
        <v>1</v>
      </c>
      <c r="H13" s="55">
        <v>5</v>
      </c>
      <c r="I13" s="55">
        <v>240</v>
      </c>
      <c r="J13" s="55">
        <f t="shared" si="0"/>
        <v>1200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175</v>
      </c>
      <c r="E14" s="27" t="s">
        <v>177</v>
      </c>
      <c r="F14" s="55">
        <v>3</v>
      </c>
      <c r="G14" s="55">
        <v>1</v>
      </c>
      <c r="H14" s="55">
        <v>7</v>
      </c>
      <c r="I14" s="55">
        <v>96</v>
      </c>
      <c r="J14" s="55">
        <f t="shared" si="0"/>
        <v>672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194</v>
      </c>
      <c r="D15" s="27" t="s">
        <v>175</v>
      </c>
      <c r="E15" s="27" t="s">
        <v>192</v>
      </c>
      <c r="F15" s="55">
        <v>1</v>
      </c>
      <c r="G15" s="55">
        <v>1</v>
      </c>
      <c r="H15" s="55">
        <v>4</v>
      </c>
      <c r="I15" s="55">
        <v>60</v>
      </c>
      <c r="J15" s="55">
        <f t="shared" si="0"/>
        <v>240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175</v>
      </c>
      <c r="E16" s="27" t="s">
        <v>176</v>
      </c>
      <c r="F16" s="55">
        <v>1</v>
      </c>
      <c r="G16" s="55">
        <v>1</v>
      </c>
      <c r="H16" s="55">
        <v>1</v>
      </c>
      <c r="I16" s="55">
        <v>18</v>
      </c>
      <c r="J16" s="55">
        <f t="shared" si="0"/>
        <v>18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216</v>
      </c>
      <c r="D17" s="27" t="s">
        <v>197</v>
      </c>
      <c r="E17" s="27" t="s">
        <v>198</v>
      </c>
      <c r="F17" s="55">
        <v>4</v>
      </c>
      <c r="G17" s="55">
        <v>1</v>
      </c>
      <c r="H17" s="55">
        <v>10</v>
      </c>
      <c r="I17" s="55">
        <v>72</v>
      </c>
      <c r="J17" s="55">
        <f t="shared" si="0"/>
        <v>720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199</v>
      </c>
      <c r="D18" s="27" t="s">
        <v>175</v>
      </c>
      <c r="E18" s="27" t="s">
        <v>177</v>
      </c>
      <c r="F18" s="55">
        <v>4</v>
      </c>
      <c r="G18" s="55">
        <v>1</v>
      </c>
      <c r="H18" s="55">
        <v>8</v>
      </c>
      <c r="I18" s="55">
        <v>84</v>
      </c>
      <c r="J18" s="55">
        <f t="shared" si="0"/>
        <v>672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200</v>
      </c>
      <c r="D19" s="27" t="s">
        <v>174</v>
      </c>
      <c r="E19" s="27" t="s">
        <v>201</v>
      </c>
      <c r="F19" s="55">
        <v>1</v>
      </c>
      <c r="G19" s="55">
        <v>1</v>
      </c>
      <c r="H19" s="55">
        <v>20</v>
      </c>
      <c r="I19" s="55">
        <v>29</v>
      </c>
      <c r="J19" s="55">
        <f t="shared" si="0"/>
        <v>580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202</v>
      </c>
      <c r="D20" s="27" t="s">
        <v>175</v>
      </c>
      <c r="E20" s="27" t="s">
        <v>203</v>
      </c>
      <c r="F20" s="55">
        <v>1</v>
      </c>
      <c r="G20" s="55">
        <v>1</v>
      </c>
      <c r="H20" s="55">
        <v>3</v>
      </c>
      <c r="I20" s="55">
        <v>60</v>
      </c>
      <c r="J20" s="55">
        <f t="shared" si="0"/>
        <v>180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204</v>
      </c>
      <c r="D21" s="27" t="s">
        <v>205</v>
      </c>
      <c r="E21" s="27" t="s">
        <v>206</v>
      </c>
      <c r="F21" s="55">
        <v>1</v>
      </c>
      <c r="G21" s="55">
        <v>1</v>
      </c>
      <c r="H21" s="55">
        <v>1</v>
      </c>
      <c r="I21" s="55">
        <v>2004</v>
      </c>
      <c r="J21" s="55">
        <f t="shared" si="0"/>
        <v>2004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207</v>
      </c>
      <c r="D22" s="27" t="s">
        <v>175</v>
      </c>
      <c r="E22" s="27" t="s">
        <v>208</v>
      </c>
      <c r="F22" s="55">
        <v>1</v>
      </c>
      <c r="G22" s="55">
        <v>1</v>
      </c>
      <c r="H22" s="55">
        <v>2</v>
      </c>
      <c r="I22" s="55">
        <v>36</v>
      </c>
      <c r="J22" s="55">
        <f t="shared" si="0"/>
        <v>72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209</v>
      </c>
      <c r="D23" s="27" t="s">
        <v>175</v>
      </c>
      <c r="E23" s="27" t="s">
        <v>210</v>
      </c>
      <c r="F23" s="55">
        <v>1</v>
      </c>
      <c r="G23" s="55">
        <v>1</v>
      </c>
      <c r="H23" s="55">
        <v>4</v>
      </c>
      <c r="I23" s="55">
        <v>30</v>
      </c>
      <c r="J23" s="55">
        <f t="shared" si="0"/>
        <v>120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190</v>
      </c>
      <c r="D24" s="27" t="s">
        <v>175</v>
      </c>
      <c r="E24" s="27" t="s">
        <v>176</v>
      </c>
      <c r="F24" s="55">
        <v>1</v>
      </c>
      <c r="G24" s="55">
        <v>1</v>
      </c>
      <c r="H24" s="55">
        <v>2</v>
      </c>
      <c r="I24" s="55">
        <v>84</v>
      </c>
      <c r="J24" s="55">
        <f t="shared" si="0"/>
        <v>168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1" workbookViewId="0">
      <selection activeCell="G16" sqref="G1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182</v>
      </c>
      <c r="E16" s="55">
        <v>1</v>
      </c>
      <c r="F16" s="55">
        <v>180</v>
      </c>
      <c r="G16" s="55">
        <f t="shared" ref="G16:G23" si="0">E16*F16</f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182</v>
      </c>
      <c r="E17" s="55">
        <v>1</v>
      </c>
      <c r="F17" s="55">
        <v>180</v>
      </c>
      <c r="G17" s="55">
        <f t="shared" si="0"/>
        <v>180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182</v>
      </c>
      <c r="E18" s="55">
        <v>8</v>
      </c>
      <c r="F18" s="55">
        <v>48</v>
      </c>
      <c r="G18" s="55">
        <f t="shared" si="0"/>
        <v>384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211</v>
      </c>
      <c r="D19" s="70" t="s">
        <v>182</v>
      </c>
      <c r="E19" s="55">
        <v>4</v>
      </c>
      <c r="F19" s="55">
        <v>24</v>
      </c>
      <c r="G19" s="55">
        <f t="shared" si="0"/>
        <v>96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212</v>
      </c>
      <c r="D20" s="70" t="s">
        <v>182</v>
      </c>
      <c r="E20" s="55">
        <v>3</v>
      </c>
      <c r="F20" s="55">
        <v>24</v>
      </c>
      <c r="G20" s="55">
        <f t="shared" si="0"/>
        <v>72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181</v>
      </c>
      <c r="D21" s="70" t="s">
        <v>182</v>
      </c>
      <c r="E21" s="55">
        <v>1</v>
      </c>
      <c r="F21" s="55">
        <v>24</v>
      </c>
      <c r="G21" s="55">
        <f t="shared" si="0"/>
        <v>24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213</v>
      </c>
      <c r="D22" s="70" t="s">
        <v>214</v>
      </c>
      <c r="E22" s="55">
        <v>1</v>
      </c>
      <c r="F22" s="55">
        <v>240</v>
      </c>
      <c r="G22" s="55">
        <f t="shared" si="0"/>
        <v>240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215</v>
      </c>
      <c r="D23" s="70" t="s">
        <v>182</v>
      </c>
      <c r="E23" s="55">
        <v>1</v>
      </c>
      <c r="F23" s="55">
        <v>12</v>
      </c>
      <c r="G23" s="55">
        <f t="shared" si="0"/>
        <v>12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1" workbookViewId="0">
      <selection activeCell="Q14" sqref="Q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>
        <v>20</v>
      </c>
      <c r="G13" s="55">
        <v>75</v>
      </c>
      <c r="H13" s="55">
        <v>125</v>
      </c>
      <c r="I13" s="55"/>
      <c r="J13" s="55"/>
      <c r="K13" s="55"/>
      <c r="L13" s="55"/>
      <c r="M13" s="55"/>
      <c r="N13" s="55"/>
      <c r="P13" s="88">
        <f>SUM(D13:N13)</f>
        <v>250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20</v>
      </c>
      <c r="G30" s="88">
        <f t="shared" si="1"/>
        <v>95</v>
      </c>
      <c r="H30" s="88">
        <f t="shared" si="1"/>
        <v>125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2018-06-08T05:03:03Z</dcterms:modified>
</cp:coreProperties>
</file>