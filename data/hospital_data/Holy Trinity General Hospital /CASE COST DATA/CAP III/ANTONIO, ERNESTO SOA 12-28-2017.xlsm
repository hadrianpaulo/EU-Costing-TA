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6" i="9" l="1"/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18" i="9"/>
  <c r="G17" i="9"/>
  <c r="G16" i="9"/>
  <c r="J16" i="2"/>
  <c r="J15" i="2"/>
  <c r="J14" i="2"/>
  <c r="J13" i="2"/>
  <c r="J25" i="2" s="1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<sst xmlns="http://schemas.openxmlformats.org/spreadsheetml/2006/main" count="523" uniqueCount="223">
  <si>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</si>
  <si>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</si>
  <si>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</si>
  <si>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</si>
  <si>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</si>
  <si>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</si>
  <si>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</si>
  <si>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</si>
  <si>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</si>
  <si>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</si>
  <si>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</si>
  <si>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</si>
  <si>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</si>
  <si>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</si>
  <si>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</si>
  <si>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</si>
  <si>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</si>
  <si>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</si>
  <si>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</si>
  <si>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</si>
  <si>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</si>
  <si>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</si>
  <si>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</si>
  <si>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</si>
  <si>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</si>
  <si>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</si>
  <si>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</si>
  <si>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</si>
  <si>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</si>
  <si>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</si>
  <si>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</si>
  <si>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</si>
  <si>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</si>
  <si>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</si>
  <si>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</si>
  <si>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</si>
  <si>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</si>
  <si>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</si>
  <si>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</si>
  <si>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</si>
  <si>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</si>
  <si>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</si>
  <si>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</si>
  <si>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</si>
  <si>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</si>
  <si>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</si>
  <si>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</si>
  <si>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</si>
  <si>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</si>
  <si>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</si>
  <si>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</si>
  <si>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</si>
  <si>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</si>
  <si>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</si>
  <si>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</si>
  <si>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</si>
  <si>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</si>
  <si>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</si>
  <si>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</si>
  <si>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</si>
  <si>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</si>
  <si>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</si>
  <si>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</si>
  <si>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</si>
  <si>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</si>
  <si>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</si>
  <si>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</si>
  <si>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</si>
  <si>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</si>
  <si>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</si>
  <si>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</si>
  <si>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</si>
  <si>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</si>
  <si>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</si>
  <si>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</si>
  <si>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</si>
  <si>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</si>
  <si>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</si>
  <si>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</si>
  <si>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</si>
  <si>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</si>
  <si>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</si>
  <si>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</si>
  <si>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</si>
  <si>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</si>
  <si>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</si>
  <si>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</si>
  <si>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</si>
  <si>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</si>
  <si>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</si>
  <si>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</si>
  <si>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</si>
  <si>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</si>
  <si>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</si>
  <si>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</si>
  <si>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</si>
  <si>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</si>
  <si>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</si>
  <si>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</si>
  <si>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</si>
  <si>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</si>
  <si>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</si>
  <si>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</si>
  <si>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</si>
  <si>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</si>
  <si>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</si>
  <si>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</si>
  <si>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</si>
  <si>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</si>
  <si>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</si>
  <si>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</si>
  <si>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</si>
  <si>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</si>
  <si>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</si>
  <si>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</si>
  <si>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</si>
  <si>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</si>
  <si>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</si>
  <si>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</si>
  <si>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</si>
  <si>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</si>
  <si>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</si>
  <si>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</si>
  <si>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</si>
  <si>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</si>
  <si>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</si>
  <si>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</si>
  <si>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</si>
  <si>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</si>
  <si>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</si>
  <si>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</si>
  <si>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</si>
  <si>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</si>
  <si>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</si>
  <si>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</si>
  <si>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</si>
  <si>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</si>
  <si>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</si>
  <si>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</si>
  <si>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</si>
  <si>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</si>
  <si>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</si>
  <si>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</si>
  <si>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</si>
  <si>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</si>
  <si>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</si>
  <si>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</si>
  <si>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</si>
  <si>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</si>
  <si>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</si>
  <si>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</si>
  <si>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</si>
  <si>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</si>
  <si>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</si>
  <si>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</si>
  <si>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</si>
  <si>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</si>
  <si>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</si>
  <si>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</si>
  <si>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</si>
  <si>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</si>
  <si>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</si>
  <si>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</si>
  <si>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</si>
  <si>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</si>
  <si>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</si>
  <si>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</si>
  <si>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</si>
  <si>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 xml:space="preserve">PNSS </t>
  </si>
  <si>
    <t>IV FLUID</t>
  </si>
  <si>
    <t>1L</t>
  </si>
  <si>
    <t>VIAL</t>
  </si>
  <si>
    <t>AZITHROMYCIN</t>
  </si>
  <si>
    <t>TABLET</t>
  </si>
  <si>
    <t>500MG</t>
  </si>
  <si>
    <t>MACROSET</t>
  </si>
  <si>
    <t>INSYTE G22</t>
  </si>
  <si>
    <t>SOLUSET</t>
  </si>
  <si>
    <t>10CC SYRINGE</t>
  </si>
  <si>
    <t>1CC SYRINGE</t>
  </si>
  <si>
    <t>PER PIECE</t>
  </si>
  <si>
    <t>CASE RATE (room,labs,meds, etc)</t>
  </si>
  <si>
    <t>PF CASE RATE</t>
  </si>
  <si>
    <t>ECG</t>
  </si>
  <si>
    <t>POTASSIUM</t>
  </si>
  <si>
    <t>CBC W/ PLATELETCOUNT</t>
  </si>
  <si>
    <t>CREATININE</t>
  </si>
  <si>
    <t>CKMB</t>
  </si>
  <si>
    <t>TROPONIN I</t>
  </si>
  <si>
    <t>RBS</t>
  </si>
  <si>
    <t>SENIOR</t>
  </si>
  <si>
    <t>DUAVENT</t>
  </si>
  <si>
    <t>NEBULE</t>
  </si>
  <si>
    <t>2.5MG/500MCG</t>
  </si>
  <si>
    <t>HYDROCORTISONE</t>
  </si>
  <si>
    <t>100MG</t>
  </si>
  <si>
    <t xml:space="preserve">OMEPRAZOLE </t>
  </si>
  <si>
    <t>CAPSULE</t>
  </si>
  <si>
    <t>40MG</t>
  </si>
  <si>
    <t xml:space="preserve">DOXOFYLLINE </t>
  </si>
  <si>
    <t>400MG</t>
  </si>
  <si>
    <t xml:space="preserve">MONTELUKAST </t>
  </si>
  <si>
    <t>10MG</t>
  </si>
  <si>
    <t xml:space="preserve">ASPIRIN </t>
  </si>
  <si>
    <t>80MG</t>
  </si>
  <si>
    <t xml:space="preserve">ENOXAPARIN </t>
  </si>
  <si>
    <t>SYRINGE</t>
  </si>
  <si>
    <t>40ML/0.4ML</t>
  </si>
  <si>
    <t xml:space="preserve">FUROSEMIDE </t>
  </si>
  <si>
    <t>AMPOULE</t>
  </si>
  <si>
    <t>20MG/2ML</t>
  </si>
  <si>
    <t>D5 WATER</t>
  </si>
  <si>
    <t>500ML</t>
  </si>
  <si>
    <t>ISOKET</t>
  </si>
  <si>
    <t>10MG/10ML</t>
  </si>
  <si>
    <t>ISOSORBIDE DINITRATE</t>
  </si>
  <si>
    <t>NEBULIZING</t>
  </si>
  <si>
    <t>KIT</t>
  </si>
  <si>
    <t>O2 CANNULA (ADULT)</t>
  </si>
  <si>
    <t>5CC SYRINGE</t>
  </si>
  <si>
    <t>3CC SYRINGE</t>
  </si>
  <si>
    <t>MICROSET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</si>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</sst>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F65" sqref="F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183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 t="s">
        <v>222</v>
      </c>
      <c r="D54" s="28"/>
      <c r="E54" s="55">
        <v>1</v>
      </c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181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190</v>
      </c>
      <c r="D63" s="55"/>
      <c r="E63" s="55">
        <v>5762</v>
      </c>
      <c r="F63" s="55">
        <v>8250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182</v>
      </c>
      <c r="D64" s="55">
        <v>4500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190</v>
      </c>
      <c r="D65" s="55"/>
      <c r="E65" s="55">
        <v>315</v>
      </c>
      <c r="F65" s="55">
        <v>1250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6077</v>
      </c>
      <c r="F73" s="59">
        <f>SUM(F62:F72)</f>
        <v>9500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H14" sqref="H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170</v>
      </c>
      <c r="F11" s="55">
        <v>1</v>
      </c>
      <c r="G11" s="55">
        <v>1</v>
      </c>
      <c r="H11" s="55">
        <v>1</v>
      </c>
      <c r="I11" s="55">
        <v>372</v>
      </c>
      <c r="J11" s="55">
        <f t="shared" ref="J11:J23" si="0">H11*I11</f>
        <v>372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192</v>
      </c>
      <c r="E12" s="27" t="s">
        <v>193</v>
      </c>
      <c r="F12" s="55">
        <v>4</v>
      </c>
      <c r="G12" s="55">
        <v>1</v>
      </c>
      <c r="H12" s="55">
        <v>15</v>
      </c>
      <c r="I12" s="55">
        <v>72</v>
      </c>
      <c r="J12" s="55">
        <f t="shared" si="0"/>
        <v>1080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171</v>
      </c>
      <c r="E13" s="27" t="s">
        <v>195</v>
      </c>
      <c r="F13" s="55">
        <v>2</v>
      </c>
      <c r="G13" s="55">
        <v>1</v>
      </c>
      <c r="H13" s="55">
        <v>6</v>
      </c>
      <c r="I13" s="55">
        <v>420</v>
      </c>
      <c r="J13" s="55">
        <f t="shared" si="0"/>
        <v>2520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173</v>
      </c>
      <c r="E14" s="27" t="s">
        <v>174</v>
      </c>
      <c r="F14" s="55">
        <v>1</v>
      </c>
      <c r="G14" s="55">
        <v>1</v>
      </c>
      <c r="H14" s="55">
        <v>3</v>
      </c>
      <c r="I14" s="55">
        <v>240</v>
      </c>
      <c r="J14" s="55">
        <f t="shared" si="0"/>
        <v>720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197</v>
      </c>
      <c r="E15" s="27" t="s">
        <v>198</v>
      </c>
      <c r="F15" s="55">
        <v>1</v>
      </c>
      <c r="G15" s="55">
        <v>1</v>
      </c>
      <c r="H15" s="55">
        <v>4</v>
      </c>
      <c r="I15" s="55">
        <v>60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199</v>
      </c>
      <c r="D16" s="27" t="s">
        <v>173</v>
      </c>
      <c r="E16" s="27" t="s">
        <v>200</v>
      </c>
      <c r="F16" s="55">
        <v>1</v>
      </c>
      <c r="G16" s="55">
        <v>1</v>
      </c>
      <c r="H16" s="55">
        <v>3</v>
      </c>
      <c r="I16" s="55">
        <v>60</v>
      </c>
      <c r="J16" s="55">
        <f t="shared" si="0"/>
        <v>180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173</v>
      </c>
      <c r="E17" s="27" t="s">
        <v>202</v>
      </c>
      <c r="F17" s="55">
        <v>1</v>
      </c>
      <c r="G17" s="55">
        <v>1</v>
      </c>
      <c r="H17" s="55">
        <v>3</v>
      </c>
      <c r="I17" s="55">
        <v>60</v>
      </c>
      <c r="J17" s="55">
        <f t="shared" si="0"/>
        <v>180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203</v>
      </c>
      <c r="D18" s="27" t="s">
        <v>173</v>
      </c>
      <c r="E18" s="27" t="s">
        <v>204</v>
      </c>
      <c r="F18" s="55">
        <v>1</v>
      </c>
      <c r="G18" s="55">
        <v>1</v>
      </c>
      <c r="H18" s="55">
        <v>5</v>
      </c>
      <c r="I18" s="55">
        <v>18</v>
      </c>
      <c r="J18" s="55">
        <f t="shared" si="0"/>
        <v>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205</v>
      </c>
      <c r="D19" s="27" t="s">
        <v>206</v>
      </c>
      <c r="E19" s="27" t="s">
        <v>207</v>
      </c>
      <c r="F19" s="55">
        <v>1</v>
      </c>
      <c r="G19" s="55">
        <v>1</v>
      </c>
      <c r="H19" s="55">
        <v>2</v>
      </c>
      <c r="I19" s="55">
        <v>1800</v>
      </c>
      <c r="J19" s="55">
        <f t="shared" si="0"/>
        <v>3600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208</v>
      </c>
      <c r="D20" s="27" t="s">
        <v>209</v>
      </c>
      <c r="E20" s="27" t="s">
        <v>210</v>
      </c>
      <c r="F20" s="55">
        <v>1</v>
      </c>
      <c r="G20" s="55">
        <v>1</v>
      </c>
      <c r="H20" s="55">
        <v>4</v>
      </c>
      <c r="I20" s="55">
        <v>300</v>
      </c>
      <c r="J20" s="55">
        <f t="shared" si="0"/>
        <v>1200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211</v>
      </c>
      <c r="D21" s="27" t="s">
        <v>169</v>
      </c>
      <c r="E21" s="27" t="s">
        <v>212</v>
      </c>
      <c r="F21" s="55">
        <v>1</v>
      </c>
      <c r="G21" s="55">
        <v>1</v>
      </c>
      <c r="H21" s="55">
        <v>2</v>
      </c>
      <c r="I21" s="55">
        <v>372</v>
      </c>
      <c r="J21" s="55">
        <f t="shared" si="0"/>
        <v>744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213</v>
      </c>
      <c r="D22" s="27" t="s">
        <v>209</v>
      </c>
      <c r="E22" s="27" t="s">
        <v>214</v>
      </c>
      <c r="F22" s="55">
        <v>1</v>
      </c>
      <c r="G22" s="55">
        <v>1</v>
      </c>
      <c r="H22" s="55">
        <v>1</v>
      </c>
      <c r="I22" s="55">
        <v>1800</v>
      </c>
      <c r="J22" s="55">
        <f t="shared" si="0"/>
        <v>1800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215</v>
      </c>
      <c r="D23" s="27" t="s">
        <v>173</v>
      </c>
      <c r="E23" s="27" t="s">
        <v>202</v>
      </c>
      <c r="F23" s="55">
        <v>1</v>
      </c>
      <c r="G23" s="55">
        <v>1</v>
      </c>
      <c r="H23" s="55">
        <v>2</v>
      </c>
      <c r="I23" s="55">
        <v>36</v>
      </c>
      <c r="J23" s="55">
        <f t="shared" si="0"/>
        <v>72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>SUM(J11:J23)</f>
        <v>12798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30" sqref="D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175</v>
      </c>
      <c r="D16" s="70" t="s">
        <v>180</v>
      </c>
      <c r="E16" s="55">
        <v>1</v>
      </c>
      <c r="F16" s="55">
        <v>180</v>
      </c>
      <c r="G16" s="55">
        <f t="shared" ref="G16:G26" si="0"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180</v>
      </c>
      <c r="E17" s="55">
        <v>4</v>
      </c>
      <c r="F17" s="55">
        <v>180</v>
      </c>
      <c r="G17" s="55">
        <f t="shared" si="0"/>
        <v>720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216</v>
      </c>
      <c r="D18" s="70" t="s">
        <v>217</v>
      </c>
      <c r="E18" s="55">
        <v>1</v>
      </c>
      <c r="F18" s="55">
        <v>240</v>
      </c>
      <c r="G18" s="55">
        <f t="shared" si="0"/>
        <v>240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218</v>
      </c>
      <c r="D19" s="70" t="s">
        <v>180</v>
      </c>
      <c r="E19" s="55">
        <v>1</v>
      </c>
      <c r="F19" s="55">
        <v>216</v>
      </c>
      <c r="G19" s="55">
        <f t="shared" si="0"/>
        <v>216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219</v>
      </c>
      <c r="D20" s="70" t="s">
        <v>180</v>
      </c>
      <c r="E20" s="55">
        <v>6</v>
      </c>
      <c r="F20" s="55">
        <v>24</v>
      </c>
      <c r="G20" s="55">
        <f t="shared" si="0"/>
        <v>144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220</v>
      </c>
      <c r="D21" s="70" t="s">
        <v>180</v>
      </c>
      <c r="E21" s="55">
        <v>4</v>
      </c>
      <c r="F21" s="55">
        <v>24</v>
      </c>
      <c r="G21" s="55">
        <f t="shared" si="0"/>
        <v>96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180</v>
      </c>
      <c r="E22" s="55">
        <v>1</v>
      </c>
      <c r="F22" s="55">
        <v>24</v>
      </c>
      <c r="G22" s="55">
        <f t="shared" si="0"/>
        <v>24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221</v>
      </c>
      <c r="D23" s="70" t="s">
        <v>180</v>
      </c>
      <c r="E23" s="55">
        <v>1</v>
      </c>
      <c r="F23" s="55">
        <v>180</v>
      </c>
      <c r="G23" s="55">
        <f t="shared" si="0"/>
        <v>180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177</v>
      </c>
      <c r="D24" s="70" t="s">
        <v>180</v>
      </c>
      <c r="E24" s="55">
        <v>1</v>
      </c>
      <c r="F24" s="55">
        <v>420</v>
      </c>
      <c r="G24" s="55">
        <f t="shared" si="0"/>
        <v>420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178</v>
      </c>
      <c r="D25" s="70" t="s">
        <v>180</v>
      </c>
      <c r="E25" s="55">
        <v>1</v>
      </c>
      <c r="F25" s="55">
        <v>48</v>
      </c>
      <c r="G25" s="55">
        <f t="shared" si="0"/>
        <v>48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30</v>
      </c>
      <c r="G13" s="55">
        <v>80</v>
      </c>
      <c r="H13" s="55">
        <v>160</v>
      </c>
      <c r="I13" s="55"/>
      <c r="J13" s="55"/>
      <c r="K13" s="55"/>
      <c r="L13" s="55"/>
      <c r="M13" s="55"/>
      <c r="N13" s="55"/>
      <c r="P13" s="88">
        <f>SUM(D13:N13)</f>
        <v>290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30</v>
      </c>
      <c r="G30" s="88">
        <f t="shared" si="1"/>
        <v>100</v>
      </c>
      <c r="H30" s="88">
        <f t="shared" si="1"/>
        <v>160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2018-06-08T05:02:15Z</dcterms:modified>
</cp:coreProperties>
</file>