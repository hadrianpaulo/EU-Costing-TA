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<sst xmlns="http://schemas.openxmlformats.org/spreadsheetml/2006/main" count="492" uniqueCount="200">
  <si>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</si>
  <si>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</si>
  <si>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</si>
  <si>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</si>
  <si>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</si>
  <si>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</si>
  <si>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</si>
  <si>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</si>
  <si>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</si>
  <si>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</si>
  <si>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</si>
  <si>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</si>
  <si>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</si>
  <si>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</si>
  <si>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</si>
  <si>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</si>
  <si>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</si>
  <si>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</si>
  <si>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</si>
  <si>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</si>
  <si>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</si>
  <si>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</si>
  <si>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</si>
  <si>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</si>
  <si>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</si>
  <si>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</si>
  <si>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</si>
  <si>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</si>
  <si>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</si>
  <si>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</si>
  <si>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</si>
  <si>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</si>
  <si>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</si>
  <si>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</si>
  <si>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</si>
  <si>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</si>
  <si>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</si>
  <si>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</si>
  <si>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</si>
  <si>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</si>
  <si>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</si>
  <si>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</si>
  <si>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</si>
  <si>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</si>
  <si>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</si>
  <si>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</si>
  <si>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</si>
  <si>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</si>
  <si>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</si>
  <si>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</si>
  <si>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</si>
  <si>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</si>
  <si>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</si>
  <si>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</si>
  <si>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</si>
  <si>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</si>
  <si>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</si>
  <si>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</si>
  <si>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</si>
  <si>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</si>
  <si>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</si>
  <si>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</si>
  <si>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</si>
  <si>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</si>
  <si>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</si>
  <si>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</si>
  <si>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</si>
  <si>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</si>
  <si>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</si>
  <si>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</si>
  <si>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</si>
  <si>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</si>
  <si>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</si>
  <si>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</si>
  <si>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</si>
  <si>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</si>
  <si>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</si>
  <si>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</si>
  <si>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</si>
  <si>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</si>
  <si>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</si>
  <si>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</si>
  <si>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</si>
  <si>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</si>
  <si>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</si>
  <si>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</si>
  <si>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</si>
  <si>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</si>
  <si>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</si>
  <si>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</si>
  <si>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</si>
  <si>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</si>
  <si>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</si>
  <si>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</si>
  <si>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</si>
  <si>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</si>
  <si>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</si>
  <si>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</si>
  <si>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</si>
  <si>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</si>
  <si>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</si>
  <si>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</si>
  <si>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</si>
  <si>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</si>
  <si>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</si>
  <si>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</si>
  <si>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</si>
  <si>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</si>
  <si>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</si>
  <si>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</si>
  <si>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</si>
  <si>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</si>
  <si>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</si>
  <si>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</si>
  <si>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</si>
  <si>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</si>
  <si>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</si>
  <si>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</si>
  <si>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</si>
  <si>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</si>
  <si>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</si>
  <si>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</si>
  <si>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</si>
  <si>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</si>
  <si>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</si>
  <si>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</si>
  <si>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</si>
  <si>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</si>
  <si>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</si>
  <si>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</si>
  <si>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</si>
  <si>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</si>
  <si>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</si>
  <si>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</si>
  <si>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</si>
  <si>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</si>
  <si>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</si>
  <si>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</si>
  <si>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</si>
  <si>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</si>
  <si>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</si>
  <si>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</si>
  <si>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</si>
  <si>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</si>
  <si>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</si>
  <si>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</si>
  <si>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</si>
  <si>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</si>
  <si>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</si>
  <si>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</si>
  <si>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</si>
  <si>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</si>
  <si>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</si>
  <si>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</si>
  <si>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</si>
  <si>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</si>
  <si>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</si>
  <si>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</si>
  <si>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</si>
  <si>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</si>
  <si>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</si>
  <si>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</si>
  <si>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</si>
  <si>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</si>
  <si>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</si>
  <si>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</si>
  <si>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</si>
  <si>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</si>
  <si>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</si>
  <si>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PF CASE RATE</t>
  </si>
  <si>
    <t>J18.92</t>
  </si>
  <si>
    <t>CBC W/ PLATELET COUNT</t>
  </si>
  <si>
    <t>URINALYSIS</t>
  </si>
  <si>
    <t>CXR AP-L</t>
  </si>
  <si>
    <t>D5 IMB</t>
  </si>
  <si>
    <t>CEFTRIAXONE</t>
  </si>
  <si>
    <t>SALRESP-I</t>
  </si>
  <si>
    <t>HYDROCORTISONE</t>
  </si>
  <si>
    <t>PNSS</t>
  </si>
  <si>
    <t>FUROSEMIDE</t>
  </si>
  <si>
    <t>CETIRIZINE</t>
  </si>
  <si>
    <t>IV FLUID</t>
  </si>
  <si>
    <t>NEBULE</t>
  </si>
  <si>
    <t>AMPOULE</t>
  </si>
  <si>
    <t>SYRUP</t>
  </si>
  <si>
    <t>500CC</t>
  </si>
  <si>
    <t>1G</t>
  </si>
  <si>
    <t>2.5MG/500MCG</t>
  </si>
  <si>
    <t>100MG</t>
  </si>
  <si>
    <t>1L</t>
  </si>
  <si>
    <t>20MG</t>
  </si>
  <si>
    <t>5MG/5ML</t>
  </si>
  <si>
    <t>MICROSET</t>
  </si>
  <si>
    <t>INSYTE G24</t>
  </si>
  <si>
    <t>3CC SYRINGE</t>
  </si>
  <si>
    <t>10CC SYRINGE</t>
  </si>
  <si>
    <t>5CC SYRINGE</t>
  </si>
  <si>
    <t>SOLUSET</t>
  </si>
  <si>
    <t>O2 CANNULA</t>
  </si>
  <si>
    <t>INDIGENT 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</si>
</sst>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F63" sqref="F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168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199</v>
      </c>
      <c r="D61" s="55"/>
      <c r="E61" s="55">
        <v>368</v>
      </c>
      <c r="F61" s="55">
        <v>1587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>
        <v>4500</v>
      </c>
      <c r="E62" s="55"/>
      <c r="F62" s="55">
        <v>500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368</v>
      </c>
      <c r="F71" s="59">
        <f>SUM(F60:F70)</f>
        <v>2087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8" sqref="I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181</v>
      </c>
      <c r="E11" s="27" t="s">
        <v>185</v>
      </c>
      <c r="F11" s="55">
        <v>1</v>
      </c>
      <c r="G11" s="55">
        <v>1</v>
      </c>
      <c r="H11" s="55">
        <v>5</v>
      </c>
      <c r="I11" s="55">
        <v>260</v>
      </c>
      <c r="J11" s="55">
        <f t="shared" ref="J11:J17" si="0">H11*I11</f>
        <v>1300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166</v>
      </c>
      <c r="E12" s="27" t="s">
        <v>186</v>
      </c>
      <c r="F12" s="55">
        <v>1</v>
      </c>
      <c r="G12" s="55">
        <v>1</v>
      </c>
      <c r="H12" s="55">
        <v>2</v>
      </c>
      <c r="I12" s="55">
        <v>1000</v>
      </c>
      <c r="J12" s="55">
        <f t="shared" si="0"/>
        <v>2000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182</v>
      </c>
      <c r="E13" s="27" t="s">
        <v>187</v>
      </c>
      <c r="F13" s="55">
        <v>1</v>
      </c>
      <c r="G13" s="55">
        <v>1</v>
      </c>
      <c r="H13" s="55">
        <v>20</v>
      </c>
      <c r="I13" s="55">
        <v>100</v>
      </c>
      <c r="J13" s="55">
        <f t="shared" si="0"/>
        <v>2000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166</v>
      </c>
      <c r="E14" s="27" t="s">
        <v>188</v>
      </c>
      <c r="F14" s="55">
        <v>1</v>
      </c>
      <c r="G14" s="55">
        <v>1</v>
      </c>
      <c r="H14" s="55">
        <v>3</v>
      </c>
      <c r="I14" s="55">
        <v>350</v>
      </c>
      <c r="J14" s="55">
        <f t="shared" si="0"/>
        <v>1050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181</v>
      </c>
      <c r="E15" s="27" t="s">
        <v>189</v>
      </c>
      <c r="F15" s="55">
        <v>1</v>
      </c>
      <c r="G15" s="55">
        <v>1</v>
      </c>
      <c r="H15" s="55">
        <v>1</v>
      </c>
      <c r="I15" s="55">
        <v>260</v>
      </c>
      <c r="J15" s="55">
        <f t="shared" si="0"/>
        <v>260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179</v>
      </c>
      <c r="D16" s="27" t="s">
        <v>183</v>
      </c>
      <c r="E16" s="27" t="s">
        <v>190</v>
      </c>
      <c r="F16" s="55">
        <v>1</v>
      </c>
      <c r="G16" s="55">
        <v>1</v>
      </c>
      <c r="H16" s="55">
        <v>1</v>
      </c>
      <c r="I16" s="55">
        <v>250</v>
      </c>
      <c r="J16" s="55">
        <f t="shared" si="0"/>
        <v>250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180</v>
      </c>
      <c r="D17" s="27" t="s">
        <v>184</v>
      </c>
      <c r="E17" s="27" t="s">
        <v>191</v>
      </c>
      <c r="F17" s="55">
        <v>1</v>
      </c>
      <c r="G17" s="55">
        <v>1</v>
      </c>
      <c r="H17" s="55">
        <v>1</v>
      </c>
      <c r="I17" s="55">
        <v>200</v>
      </c>
      <c r="J17" s="55">
        <f t="shared" si="0"/>
        <v>200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23" sqref="F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192</v>
      </c>
      <c r="D16" s="70" t="s">
        <v>167</v>
      </c>
      <c r="E16" s="55">
        <v>1</v>
      </c>
      <c r="F16" s="55">
        <v>150</v>
      </c>
      <c r="G16" s="55">
        <f t="shared" ref="G16:G22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193</v>
      </c>
      <c r="D17" s="70" t="s">
        <v>167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194</v>
      </c>
      <c r="D18" s="70" t="s">
        <v>167</v>
      </c>
      <c r="E18" s="55">
        <v>7</v>
      </c>
      <c r="F18" s="55">
        <v>20</v>
      </c>
      <c r="G18" s="55">
        <f t="shared" si="0"/>
        <v>140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195</v>
      </c>
      <c r="D19" s="70" t="s">
        <v>167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196</v>
      </c>
      <c r="D20" s="70" t="s">
        <v>167</v>
      </c>
      <c r="E20" s="55">
        <v>4</v>
      </c>
      <c r="F20" s="55">
        <v>20</v>
      </c>
      <c r="G20" s="55">
        <f t="shared" si="0"/>
        <v>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197</v>
      </c>
      <c r="D21" s="70" t="s">
        <v>167</v>
      </c>
      <c r="E21" s="55">
        <v>1</v>
      </c>
      <c r="F21" s="55">
        <v>350</v>
      </c>
      <c r="G21" s="55">
        <f t="shared" si="0"/>
        <v>350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198</v>
      </c>
      <c r="D22" s="70" t="s">
        <v>167</v>
      </c>
      <c r="E22" s="55">
        <v>1</v>
      </c>
      <c r="F22" s="55">
        <v>180</v>
      </c>
      <c r="G22" s="55">
        <f t="shared" si="0"/>
        <v>180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O13" sqref="O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40</v>
      </c>
      <c r="E13" s="55"/>
      <c r="F13" s="55"/>
      <c r="G13" s="55">
        <v>120</v>
      </c>
      <c r="H13" s="55">
        <v>138</v>
      </c>
      <c r="I13" s="55"/>
      <c r="J13" s="55"/>
      <c r="K13" s="55"/>
      <c r="L13" s="55"/>
      <c r="M13" s="55"/>
      <c r="N13" s="55"/>
      <c r="P13" s="88">
        <f>SUM(D13:N13)</f>
        <v>298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40</v>
      </c>
      <c r="E30" s="88">
        <f t="shared" si="1"/>
        <v>0</v>
      </c>
      <c r="F30" s="88">
        <f t="shared" si="1"/>
        <v>0</v>
      </c>
      <c r="G30" s="88">
        <f t="shared" si="1"/>
        <v>120</v>
      </c>
      <c r="H30" s="88">
        <f t="shared" si="1"/>
        <v>138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298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2018-06-08T09:25:14Z</dcterms:modified>
</cp:coreProperties>
</file>