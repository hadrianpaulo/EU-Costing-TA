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<sst xmlns="http://schemas.openxmlformats.org/spreadsheetml/2006/main" count="491" uniqueCount="199">
  <si>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</si>
  <si>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</si>
  <si>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</si>
  <si>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</si>
  <si>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</si>
  <si>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</si>
  <si>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</si>
  <si>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</si>
  <si>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</si>
  <si>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</si>
  <si>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</si>
  <si>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</si>
  <si>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</si>
  <si>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</si>
  <si>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</si>
  <si>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</si>
  <si>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</si>
  <si>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</si>
  <si>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</si>
  <si>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</si>
  <si>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</si>
  <si>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</si>
  <si>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</si>
  <si>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</si>
  <si>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</si>
  <si>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</si>
  <si>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</si>
  <si>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</si>
  <si>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</si>
  <si>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</si>
  <si>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</si>
  <si>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</si>
  <si>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</si>
  <si>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</si>
  <si>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</si>
  <si>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</si>
  <si>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</si>
  <si>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</si>
  <si>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</si>
  <si>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</si>
  <si>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</si>
  <si>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</si>
  <si>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</si>
  <si>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</si>
  <si>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</si>
  <si>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</si>
  <si>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</si>
  <si>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</si>
  <si>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</si>
  <si>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</si>
  <si>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</si>
  <si>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</si>
  <si>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</si>
  <si>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</si>
  <si>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</si>
  <si>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</si>
  <si>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</si>
  <si>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</si>
  <si>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</si>
  <si>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</si>
  <si>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</si>
  <si>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</si>
  <si>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</si>
  <si>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</si>
  <si>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</si>
  <si>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</si>
  <si>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</si>
  <si>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</si>
  <si>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</si>
  <si>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</si>
  <si>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</si>
  <si>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</si>
  <si>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</si>
  <si>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</si>
  <si>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</si>
  <si>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</si>
  <si>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</si>
  <si>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</si>
  <si>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</si>
  <si>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</si>
  <si>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</si>
  <si>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</si>
  <si>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</si>
  <si>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</si>
  <si>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</si>
  <si>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</si>
  <si>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</si>
  <si>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</si>
  <si>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</si>
  <si>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</si>
  <si>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</si>
  <si>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</si>
  <si>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</si>
  <si>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</si>
  <si>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</si>
  <si>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</si>
  <si>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</si>
  <si>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</si>
  <si>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</si>
  <si>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</si>
  <si>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</si>
  <si>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</si>
  <si>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</si>
  <si>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</si>
  <si>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</si>
  <si>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</si>
  <si>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</si>
  <si>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</si>
  <si>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</si>
  <si>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</si>
  <si>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</si>
  <si>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</si>
  <si>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</si>
  <si>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</si>
  <si>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</si>
  <si>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</si>
  <si>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</si>
  <si>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</si>
  <si>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</si>
  <si>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</si>
  <si>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</si>
  <si>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</si>
  <si>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</si>
  <si>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</si>
  <si>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</si>
  <si>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</si>
  <si>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</si>
  <si>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</si>
  <si>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</si>
  <si>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</si>
  <si>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</si>
  <si>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</si>
  <si>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</si>
  <si>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</si>
  <si>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</si>
  <si>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</si>
  <si>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</si>
  <si>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</si>
  <si>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</si>
  <si>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</si>
  <si>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</si>
  <si>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</si>
  <si>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</si>
  <si>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</si>
  <si>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</si>
  <si>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</si>
  <si>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</si>
  <si>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</si>
  <si>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</si>
  <si>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</si>
  <si>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</si>
  <si>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</si>
  <si>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</si>
  <si>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</si>
  <si>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</si>
  <si>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</si>
  <si>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</si>
  <si>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</si>
  <si>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</si>
  <si>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</si>
  <si>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</si>
  <si>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</si>
  <si>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</si>
  <si>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</si>
  <si>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</si>
  <si>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</si>
  <si>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J18.92</t>
  </si>
  <si>
    <t>SGPT</t>
  </si>
  <si>
    <t>CBC W/ PLATELET COUNT</t>
  </si>
  <si>
    <t>CEATININE</t>
  </si>
  <si>
    <t>ELECTROLYTES IMBALANCE</t>
  </si>
  <si>
    <t>GLUCOSE (FASTING)</t>
  </si>
  <si>
    <t>LIPID PROFILE</t>
  </si>
  <si>
    <t>CXR PA</t>
  </si>
  <si>
    <t xml:space="preserve">PNSS </t>
  </si>
  <si>
    <t>IV FLUID</t>
  </si>
  <si>
    <t>1L</t>
  </si>
  <si>
    <t>CEFTRIAXONE</t>
  </si>
  <si>
    <t>VIAL</t>
  </si>
  <si>
    <t>1G</t>
  </si>
  <si>
    <t>AZITHROMYCIN</t>
  </si>
  <si>
    <t>TABLET</t>
  </si>
  <si>
    <t>500MG</t>
  </si>
  <si>
    <t>FLUIMUCIL</t>
  </si>
  <si>
    <t>600MG</t>
  </si>
  <si>
    <t>ZYKAST</t>
  </si>
  <si>
    <t>10MG/5MG</t>
  </si>
  <si>
    <t xml:space="preserve">METHYLPREDNISONE </t>
  </si>
  <si>
    <t>16MG</t>
  </si>
  <si>
    <t>MACROSET</t>
  </si>
  <si>
    <t>INSYTE G22</t>
  </si>
  <si>
    <t>FREE NEEDLE G23</t>
  </si>
  <si>
    <t>SOLUSET</t>
  </si>
  <si>
    <t>10CC SYRINGE</t>
  </si>
  <si>
    <t>1CC SYRINGE</t>
  </si>
  <si>
    <t>PER PIECE</t>
  </si>
  <si>
    <t>CASE RATE (room,labs,meds, etc)</t>
  </si>
  <si>
    <t>PF CASE RATE</t>
  </si>
  <si>
    <t>ECG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</si>
</sst>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40</xdr:row>
          <xdr:rowOff>19050</xdr:rowOff>
        </xdr:from>
        <xdr:to>
          <xdr:col>1</xdr:col>
          <xdr:colOff>733425</xdr:colOff>
          <xdr:row>40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40</xdr:row>
          <xdr:rowOff>19050</xdr:rowOff>
        </xdr:from>
        <xdr:to>
          <xdr:col>1</xdr:col>
          <xdr:colOff>1504950</xdr:colOff>
          <xdr:row>40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47</xdr:row>
          <xdr:rowOff>19050</xdr:rowOff>
        </xdr:from>
        <xdr:to>
          <xdr:col>1</xdr:col>
          <xdr:colOff>733425</xdr:colOff>
          <xdr:row>47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47</xdr:row>
          <xdr:rowOff>19050</xdr:rowOff>
        </xdr:from>
        <xdr:to>
          <xdr:col>1</xdr:col>
          <xdr:colOff>1504950</xdr:colOff>
          <xdr:row>47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61</xdr:row>
          <xdr:rowOff>19050</xdr:rowOff>
        </xdr:from>
        <xdr:to>
          <xdr:col>1</xdr:col>
          <xdr:colOff>733425</xdr:colOff>
          <xdr:row>61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61</xdr:row>
          <xdr:rowOff>19050</xdr:rowOff>
        </xdr:from>
        <xdr:to>
          <xdr:col>1</xdr:col>
          <xdr:colOff>1504950</xdr:colOff>
          <xdr:row>61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57" zoomScaleNormal="100" workbookViewId="0">
      <selection activeCell="F64" sqref="F6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6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167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168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169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170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 t="s">
        <v>171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 t="s">
        <v>172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thickBot="1" x14ac:dyDescent="0.35">
      <c r="A40" s="1"/>
      <c r="B40" s="118" t="s">
        <v>19</v>
      </c>
      <c r="C40" s="119"/>
      <c r="D40" s="116"/>
      <c r="E40" s="119"/>
      <c r="F40" s="117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1</v>
      </c>
      <c r="C41" s="27" t="s">
        <v>173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2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3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4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8" t="s">
        <v>45</v>
      </c>
      <c r="C45" s="119"/>
      <c r="D45" s="116"/>
      <c r="E45" s="119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14" t="s">
        <v>46</v>
      </c>
      <c r="C46" s="13"/>
      <c r="D46" s="13"/>
      <c r="E46" s="16"/>
      <c r="F46" s="13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thickBot="1" x14ac:dyDescent="0.35">
      <c r="A47" s="1"/>
      <c r="B47" s="115" t="s">
        <v>54</v>
      </c>
      <c r="C47" s="116"/>
      <c r="D47" s="116"/>
      <c r="E47" s="116"/>
      <c r="F47" s="11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1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2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3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4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5" t="s">
        <v>20</v>
      </c>
      <c r="C52" s="116"/>
      <c r="D52" s="116"/>
      <c r="E52" s="116"/>
      <c r="F52" s="117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1</v>
      </c>
      <c r="C53" s="27" t="s">
        <v>198</v>
      </c>
      <c r="D53" s="28"/>
      <c r="E53" s="55">
        <v>1</v>
      </c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2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5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6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5"/>
      <c r="C59" s="25"/>
      <c r="D59" s="25"/>
      <c r="E59" s="25"/>
      <c r="F59" s="2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57.75" customHeight="1" thickBot="1" x14ac:dyDescent="0.35">
      <c r="A61" s="1"/>
      <c r="B61" s="17" t="s">
        <v>56</v>
      </c>
      <c r="C61" s="17" t="s">
        <v>52</v>
      </c>
      <c r="D61" s="17" t="s">
        <v>57</v>
      </c>
      <c r="E61" s="18" t="s">
        <v>58</v>
      </c>
      <c r="F61" s="19" t="s">
        <v>21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2">
        <v>1</v>
      </c>
      <c r="C62" s="27" t="s">
        <v>196</v>
      </c>
      <c r="D62" s="55">
        <v>10500</v>
      </c>
      <c r="E62" s="55"/>
      <c r="F62" s="55">
        <v>6634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2</v>
      </c>
      <c r="C63" s="27" t="s">
        <v>197</v>
      </c>
      <c r="D63" s="55">
        <v>4500</v>
      </c>
      <c r="E63" s="55"/>
      <c r="F63" s="55">
        <v>2050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3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4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5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6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7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8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9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10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SUM(D62:D72)</f>
        <v>15000</v>
      </c>
      <c r="E73" s="59">
        <f>SUM(E62:E72)</f>
        <v>0</v>
      </c>
      <c r="F73" s="59">
        <f>SUM(F62:F72)</f>
        <v>8684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password="C2E9" sheet="1" objects="1" scenarios="1" formatColumns="0" formatRows="0" sort="0" autoFilter="0"/>
  <mergeCells count="12">
    <mergeCell ref="B52:F52"/>
    <mergeCell ref="B45:F45"/>
    <mergeCell ref="B12:F12"/>
    <mergeCell ref="B13:F13"/>
    <mergeCell ref="B14:F14"/>
    <mergeCell ref="B15:F15"/>
    <mergeCell ref="B18:F18"/>
    <mergeCell ref="B22:F22"/>
    <mergeCell ref="B33:F33"/>
    <mergeCell ref="B28:F28"/>
    <mergeCell ref="B40:F40"/>
    <mergeCell ref="B47:F47"/>
  </mergeCells>
  <dataValidations count="1">
    <dataValidation type="decimal" operator="greaterThanOrEqual" allowBlank="1" showInputMessage="1" showErrorMessage="1" sqref="E32 E41:E44 E46 E23:F27 E48:F51 E53:F58 D62:F71 E34:E36 E37:E39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0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40</xdr:row>
                    <xdr:rowOff>19050</xdr:rowOff>
                  </from>
                  <to>
                    <xdr:col>1</xdr:col>
                    <xdr:colOff>733425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40</xdr:row>
                    <xdr:rowOff>19050</xdr:rowOff>
                  </from>
                  <to>
                    <xdr:col>1</xdr:col>
                    <xdr:colOff>1504950</xdr:colOff>
                    <xdr:row>40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47</xdr:row>
                    <xdr:rowOff>19050</xdr:rowOff>
                  </from>
                  <to>
                    <xdr:col>1</xdr:col>
                    <xdr:colOff>733425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47</xdr:row>
                    <xdr:rowOff>19050</xdr:rowOff>
                  </from>
                  <to>
                    <xdr:col>1</xdr:col>
                    <xdr:colOff>1504950</xdr:colOff>
                    <xdr:row>47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61</xdr:row>
                    <xdr:rowOff>19050</xdr:rowOff>
                  </from>
                  <to>
                    <xdr:col>1</xdr:col>
                    <xdr:colOff>733425</xdr:colOff>
                    <xdr:row>61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61</xdr:row>
                    <xdr:rowOff>19050</xdr:rowOff>
                  </from>
                  <to>
                    <xdr:col>1</xdr:col>
                    <xdr:colOff>1504950</xdr:colOff>
                    <xdr:row>61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I17" sqref="I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174</v>
      </c>
      <c r="D11" s="27" t="s">
        <v>175</v>
      </c>
      <c r="E11" s="27" t="s">
        <v>176</v>
      </c>
      <c r="F11" s="55">
        <v>4</v>
      </c>
      <c r="G11" s="55">
        <v>1</v>
      </c>
      <c r="H11" s="55">
        <v>6</v>
      </c>
      <c r="I11" s="55">
        <v>310</v>
      </c>
      <c r="J11" s="55">
        <f t="shared" ref="J11:J16" si="0">H11*I11</f>
        <v>1860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177</v>
      </c>
      <c r="D12" s="27" t="s">
        <v>178</v>
      </c>
      <c r="E12" s="27" t="s">
        <v>179</v>
      </c>
      <c r="F12" s="55">
        <v>4</v>
      </c>
      <c r="G12" s="55">
        <v>1</v>
      </c>
      <c r="H12" s="55">
        <v>6</v>
      </c>
      <c r="I12" s="55">
        <v>1000</v>
      </c>
      <c r="J12" s="55">
        <f t="shared" si="0"/>
        <v>6000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181</v>
      </c>
      <c r="E13" s="27" t="s">
        <v>182</v>
      </c>
      <c r="F13" s="55">
        <v>3</v>
      </c>
      <c r="G13" s="55">
        <v>1</v>
      </c>
      <c r="H13" s="55">
        <v>3</v>
      </c>
      <c r="I13" s="55">
        <v>200</v>
      </c>
      <c r="J13" s="55">
        <f t="shared" si="0"/>
        <v>600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181</v>
      </c>
      <c r="E14" s="27" t="s">
        <v>184</v>
      </c>
      <c r="F14" s="55">
        <v>3</v>
      </c>
      <c r="G14" s="55">
        <v>1</v>
      </c>
      <c r="H14" s="55">
        <v>6</v>
      </c>
      <c r="I14" s="55">
        <v>80</v>
      </c>
      <c r="J14" s="55">
        <f t="shared" si="0"/>
        <v>480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185</v>
      </c>
      <c r="D15" s="27" t="s">
        <v>181</v>
      </c>
      <c r="E15" s="27" t="s">
        <v>186</v>
      </c>
      <c r="F15" s="55">
        <v>2</v>
      </c>
      <c r="G15" s="55">
        <v>1</v>
      </c>
      <c r="H15" s="55">
        <v>2</v>
      </c>
      <c r="I15" s="55">
        <v>64</v>
      </c>
      <c r="J15" s="55">
        <f t="shared" si="0"/>
        <v>128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187</v>
      </c>
      <c r="D16" s="27" t="s">
        <v>181</v>
      </c>
      <c r="E16" s="27" t="s">
        <v>188</v>
      </c>
      <c r="F16" s="55">
        <v>1</v>
      </c>
      <c r="G16" s="55">
        <v>1</v>
      </c>
      <c r="H16" s="55">
        <v>1</v>
      </c>
      <c r="I16" s="55">
        <v>38</v>
      </c>
      <c r="J16" s="55">
        <f t="shared" si="0"/>
        <v>38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/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2" sqref="F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195</v>
      </c>
      <c r="E16" s="55">
        <v>1</v>
      </c>
      <c r="F16" s="55">
        <v>150</v>
      </c>
      <c r="G16" s="55">
        <f t="shared" ref="G16:G21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195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195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195</v>
      </c>
      <c r="E19" s="55">
        <v>1</v>
      </c>
      <c r="F19" s="55">
        <v>350</v>
      </c>
      <c r="G19" s="55">
        <f t="shared" si="0"/>
        <v>350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195</v>
      </c>
      <c r="E20" s="55">
        <v>1</v>
      </c>
      <c r="F20" s="55">
        <v>40</v>
      </c>
      <c r="G20" s="55">
        <f t="shared" si="0"/>
        <v>40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195</v>
      </c>
      <c r="E21" s="55">
        <v>1</v>
      </c>
      <c r="F21" s="55">
        <v>20</v>
      </c>
      <c r="G21" s="55">
        <f t="shared" si="0"/>
        <v>20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3" workbookViewId="0">
      <selection activeCell="P13" sqref="P13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35</v>
      </c>
      <c r="E13" s="55"/>
      <c r="F13" s="55">
        <v>45</v>
      </c>
      <c r="G13" s="55">
        <v>120</v>
      </c>
      <c r="H13" s="55"/>
      <c r="I13" s="55"/>
      <c r="J13" s="55"/>
      <c r="K13" s="55"/>
      <c r="L13" s="55"/>
      <c r="M13" s="55"/>
      <c r="N13" s="55"/>
      <c r="P13" s="88">
        <f>SUM(D13:N13)</f>
        <v>200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35</v>
      </c>
      <c r="E30" s="88">
        <f t="shared" si="1"/>
        <v>0</v>
      </c>
      <c r="F30" s="88">
        <f t="shared" si="1"/>
        <v>45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200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2018-06-08T08:46:24Z</dcterms:modified>
</cp:coreProperties>
</file>