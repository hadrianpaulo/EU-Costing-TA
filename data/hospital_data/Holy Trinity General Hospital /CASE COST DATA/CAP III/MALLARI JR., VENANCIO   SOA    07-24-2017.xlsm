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60" windowWidth="15525" windowHeight="732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data_general'!$B$1:$F$73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23" i="9" l="1"/>
  <c r="G22" i="9"/>
  <c r="G21" i="9"/>
  <c r="J18" i="2"/>
  <c r="J17" i="2" l="1"/>
  <c r="G20" i="9" l="1"/>
  <c r="G19" i="9"/>
  <c r="G18" i="9"/>
  <c r="G17" i="9"/>
  <c r="G16" i="9"/>
  <c r="J16" i="2"/>
  <c r="J15" i="2"/>
  <c r="J14" i="2"/>
  <c r="J13" i="2"/>
  <c r="J12" i="2"/>
  <c r="J11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3" i="1"/>
  <c r="E73" i="1"/>
  <c r="D73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<sst xmlns="http://schemas.openxmlformats.org/spreadsheetml/2006/main" count="502" uniqueCount="206">
  <si>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</si>
  <si>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</si>
  <si>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</si>
  <si>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</si>
  <si>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</si>
  <si>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</si>
  <si>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</si>
  <si>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</si>
  <si>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</si>
  <si>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</si>
  <si>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</si>
  <si>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</si>
  <si>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</si>
  <si>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</si>
  <si>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</si>
  <si>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</si>
  <si>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</si>
  <si>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</si>
  <si>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</si>
  <si>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</si>
  <si>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</si>
  <si>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</si>
  <si>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</si>
  <si>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</si>
  <si>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</si>
  <si>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</si>
  <si>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</si>
  <si>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</si>
  <si>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</si>
  <si>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</si>
  <si>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</si>
  <si>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</si>
  <si>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</si>
  <si>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</si>
  <si>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</si>
  <si>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</si>
  <si>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</si>
  <si>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</si>
  <si>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</si>
  <si>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</si>
  <si>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</si>
  <si>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</si>
  <si>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</si>
  <si>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</si>
  <si>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</si>
  <si>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</si>
  <si>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</si>
  <si>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</si>
  <si>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</si>
  <si>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</si>
  <si>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</si>
  <si>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</si>
  <si>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</si>
  <si>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</si>
  <si>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</si>
  <si>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</si>
  <si>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</si>
  <si>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</si>
  <si>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</si>
  <si>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</si>
  <si>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</si>
  <si>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</si>
  <si>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</si>
  <si>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</si>
  <si>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</si>
  <si>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</si>
  <si>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</si>
  <si>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</si>
  <si>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</si>
  <si>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</si>
  <si>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</si>
  <si>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</si>
  <si>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</si>
  <si>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</si>
  <si>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</si>
  <si>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</si>
  <si>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</si>
  <si>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</si>
  <si>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</si>
  <si>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</si>
  <si>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</si>
  <si>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</si>
  <si>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</si>
  <si>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</si>
  <si>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</si>
  <si>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</si>
  <si>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</si>
  <si>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</si>
  <si>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</si>
  <si>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</si>
  <si>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</si>
  <si>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</si>
  <si>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</si>
  <si>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</si>
  <si>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</si>
  <si>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</si>
  <si>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</si>
  <si>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</si>
  <si>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</si>
  <si>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</si>
  <si>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</si>
  <si>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</si>
  <si>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</si>
  <si>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</si>
  <si>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</si>
  <si>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</si>
  <si>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</si>
  <si>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</si>
  <si>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</si>
  <si>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</si>
  <si>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</si>
  <si>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</si>
  <si>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</si>
  <si>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</si>
  <si>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</si>
  <si>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</si>
  <si>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</si>
  <si>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</si>
  <si>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</si>
  <si>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</si>
  <si>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</si>
  <si>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</si>
  <si>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</si>
  <si>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</si>
  <si>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</si>
  <si>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</si>
  <si>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</si>
  <si>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</si>
  <si>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</si>
  <si>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</si>
  <si>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</si>
  <si>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</si>
  <si>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</si>
  <si>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</si>
  <si>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</si>
  <si>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</si>
  <si>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</si>
  <si>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</si>
  <si>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</si>
  <si>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</si>
  <si>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</si>
  <si>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</si>
  <si>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</si>
  <si>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</si>
  <si>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</si>
  <si>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</si>
  <si>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</si>
  <si>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</si>
  <si>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</si>
  <si>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</si>
  <si>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</si>
  <si>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</si>
  <si>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</si>
  <si>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</si>
  <si>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</si>
  <si>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</si>
  <si>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</si>
  <si>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</si>
  <si>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</si>
  <si>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</si>
  <si>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</si>
  <si>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</si>
  <si>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</si>
  <si>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</si>
  <si>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</si>
  <si>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</si>
  <si>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VIAL</t>
  </si>
  <si>
    <t>MACROSET</t>
  </si>
  <si>
    <t>PER PIECE</t>
  </si>
  <si>
    <t>CASE RATE (room,labs,meds, etc.)</t>
  </si>
  <si>
    <t>PF CASE RATE</t>
  </si>
  <si>
    <t>J18.92</t>
  </si>
  <si>
    <t>IONIZED CALCIUM</t>
  </si>
  <si>
    <t>SGPT</t>
  </si>
  <si>
    <t>CREATININE</t>
  </si>
  <si>
    <t>ELECTROLYTES (NA,K)</t>
  </si>
  <si>
    <t>URINALYSIS</t>
  </si>
  <si>
    <t>CBC W/ PLATELET COUNT</t>
  </si>
  <si>
    <t>KUB UTZ</t>
  </si>
  <si>
    <t>ECG</t>
  </si>
  <si>
    <t>PNSS</t>
  </si>
  <si>
    <t>SALRESP-I</t>
  </si>
  <si>
    <t>HYDROCORTISONE</t>
  </si>
  <si>
    <t>AZITHROMYCIN</t>
  </si>
  <si>
    <t>DOXOFYLLINE</t>
  </si>
  <si>
    <t>CEFTRIAXONE</t>
  </si>
  <si>
    <t>METHYPREDNISOLONE</t>
  </si>
  <si>
    <t>IV FLUID</t>
  </si>
  <si>
    <t>NEBULE</t>
  </si>
  <si>
    <t>TABLET</t>
  </si>
  <si>
    <t>1L</t>
  </si>
  <si>
    <t>2.5MG/500MCG</t>
  </si>
  <si>
    <t>100MG</t>
  </si>
  <si>
    <t>500MG</t>
  </si>
  <si>
    <t>400MG</t>
  </si>
  <si>
    <t>1G</t>
  </si>
  <si>
    <t>16MG</t>
  </si>
  <si>
    <t xml:space="preserve">D5 LRS </t>
  </si>
  <si>
    <t>INSYTE G22</t>
  </si>
  <si>
    <t>SOLUSET</t>
  </si>
  <si>
    <t>FREE NEEDLE G23</t>
  </si>
  <si>
    <t>3CC SYRINGE</t>
  </si>
  <si>
    <t>1CC SYRINGE</t>
  </si>
  <si>
    <t>5CC SYRINGE</t>
  </si>
  <si>
    <t>10CC SYRINGE</t>
  </si>
  <si>
    <t>CXR PA (READING ONLY)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</si>
</sst>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40</xdr:row>
          <xdr:rowOff>19050</xdr:rowOff>
        </xdr:from>
        <xdr:to>
          <xdr:col>1</xdr:col>
          <xdr:colOff>733425</xdr:colOff>
          <xdr:row>40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40</xdr:row>
          <xdr:rowOff>19050</xdr:rowOff>
        </xdr:from>
        <xdr:to>
          <xdr:col>1</xdr:col>
          <xdr:colOff>1504950</xdr:colOff>
          <xdr:row>40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47</xdr:row>
          <xdr:rowOff>19050</xdr:rowOff>
        </xdr:from>
        <xdr:to>
          <xdr:col>1</xdr:col>
          <xdr:colOff>733425</xdr:colOff>
          <xdr:row>47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47</xdr:row>
          <xdr:rowOff>19050</xdr:rowOff>
        </xdr:from>
        <xdr:to>
          <xdr:col>1</xdr:col>
          <xdr:colOff>1504950</xdr:colOff>
          <xdr:row>47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52</xdr:row>
          <xdr:rowOff>19050</xdr:rowOff>
        </xdr:from>
        <xdr:to>
          <xdr:col>1</xdr:col>
          <xdr:colOff>733425</xdr:colOff>
          <xdr:row>52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52</xdr:row>
          <xdr:rowOff>19050</xdr:rowOff>
        </xdr:from>
        <xdr:to>
          <xdr:col>1</xdr:col>
          <xdr:colOff>1504950</xdr:colOff>
          <xdr:row>52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61</xdr:row>
          <xdr:rowOff>19050</xdr:rowOff>
        </xdr:from>
        <xdr:to>
          <xdr:col>1</xdr:col>
          <xdr:colOff>733425</xdr:colOff>
          <xdr:row>61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61</xdr:row>
          <xdr:rowOff>19050</xdr:rowOff>
        </xdr:from>
        <xdr:to>
          <xdr:col>1</xdr:col>
          <xdr:colOff>1504950</xdr:colOff>
          <xdr:row>61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0"/>
  <sheetViews>
    <sheetView topLeftCell="A60" zoomScaleNormal="100" workbookViewId="0">
      <selection activeCell="F64" sqref="F64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6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171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172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173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174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175</v>
      </c>
      <c r="D37" s="23"/>
      <c r="E37" s="55">
        <v>2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 t="s">
        <v>176</v>
      </c>
      <c r="D38" s="23"/>
      <c r="E38" s="55">
        <v>2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 t="s">
        <v>177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thickBot="1" x14ac:dyDescent="0.35">
      <c r="A40" s="1"/>
      <c r="B40" s="118" t="s">
        <v>19</v>
      </c>
      <c r="C40" s="119"/>
      <c r="D40" s="116"/>
      <c r="E40" s="119"/>
      <c r="F40" s="117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1</v>
      </c>
      <c r="C41" s="27" t="s">
        <v>178</v>
      </c>
      <c r="D41" s="23"/>
      <c r="E41" s="55">
        <v>1</v>
      </c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2</v>
      </c>
      <c r="C42" s="27" t="s">
        <v>205</v>
      </c>
      <c r="D42" s="23"/>
      <c r="E42" s="55">
        <v>1</v>
      </c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3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4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8" t="s">
        <v>45</v>
      </c>
      <c r="C45" s="119"/>
      <c r="D45" s="116"/>
      <c r="E45" s="119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14" t="s">
        <v>46</v>
      </c>
      <c r="C46" s="13"/>
      <c r="D46" s="13"/>
      <c r="E46" s="16"/>
      <c r="F46" s="13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thickBot="1" x14ac:dyDescent="0.35">
      <c r="A47" s="1"/>
      <c r="B47" s="115" t="s">
        <v>54</v>
      </c>
      <c r="C47" s="116"/>
      <c r="D47" s="116"/>
      <c r="E47" s="116"/>
      <c r="F47" s="11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30">
        <v>1</v>
      </c>
      <c r="C48" s="31"/>
      <c r="D48" s="32"/>
      <c r="E48" s="57"/>
      <c r="F48" s="5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2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26">
        <v>3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4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thickBot="1" x14ac:dyDescent="0.35">
      <c r="A52" s="1"/>
      <c r="B52" s="115" t="s">
        <v>20</v>
      </c>
      <c r="C52" s="116"/>
      <c r="D52" s="116"/>
      <c r="E52" s="116"/>
      <c r="F52" s="117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1</v>
      </c>
      <c r="C53" s="27" t="s">
        <v>179</v>
      </c>
      <c r="D53" s="28"/>
      <c r="E53" s="55">
        <v>1</v>
      </c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2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3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4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5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6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5"/>
      <c r="C59" s="25"/>
      <c r="D59" s="25"/>
      <c r="E59" s="25"/>
      <c r="F59" s="2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57.75" customHeight="1" thickBot="1" x14ac:dyDescent="0.35">
      <c r="A61" s="1"/>
      <c r="B61" s="17" t="s">
        <v>56</v>
      </c>
      <c r="C61" s="17" t="s">
        <v>52</v>
      </c>
      <c r="D61" s="17" t="s">
        <v>57</v>
      </c>
      <c r="E61" s="18" t="s">
        <v>58</v>
      </c>
      <c r="F61" s="19" t="s">
        <v>21</v>
      </c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2">
        <v>1</v>
      </c>
      <c r="C62" s="27" t="s">
        <v>169</v>
      </c>
      <c r="D62" s="55">
        <v>10500</v>
      </c>
      <c r="E62" s="55"/>
      <c r="F62" s="55">
        <v>16994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2</v>
      </c>
      <c r="C63" s="27" t="s">
        <v>170</v>
      </c>
      <c r="D63" s="55">
        <v>4500</v>
      </c>
      <c r="E63" s="55"/>
      <c r="F63" s="55">
        <v>2050</v>
      </c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3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4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5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6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7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8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9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10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4.9000000000000004" customHeight="1" thickBot="1" x14ac:dyDescent="0.35">
      <c r="A72" s="1"/>
      <c r="B72" s="1"/>
      <c r="C72" s="1"/>
      <c r="D72" s="58"/>
      <c r="E72" s="58"/>
      <c r="F72" s="58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thickTop="1" x14ac:dyDescent="0.3">
      <c r="A73" s="1"/>
      <c r="B73" s="11"/>
      <c r="C73" s="4" t="s">
        <v>22</v>
      </c>
      <c r="D73" s="59">
        <f>SUM(D62:D72)</f>
        <v>15000</v>
      </c>
      <c r="E73" s="59">
        <f>SUM(E62:E72)</f>
        <v>0</v>
      </c>
      <c r="F73" s="59">
        <f>SUM(F62:F72)</f>
        <v>19044</v>
      </c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</sheetData>
  <sheetProtection password="C2E9" sheet="1" objects="1" scenarios="1" formatColumns="0" formatRows="0" sort="0" autoFilter="0"/>
  <mergeCells count="12">
    <mergeCell ref="B52:F52"/>
    <mergeCell ref="B45:F45"/>
    <mergeCell ref="B12:F12"/>
    <mergeCell ref="B13:F13"/>
    <mergeCell ref="B14:F14"/>
    <mergeCell ref="B15:F15"/>
    <mergeCell ref="B18:F18"/>
    <mergeCell ref="B22:F22"/>
    <mergeCell ref="B33:F33"/>
    <mergeCell ref="B28:F28"/>
    <mergeCell ref="B40:F40"/>
    <mergeCell ref="B47:F47"/>
  </mergeCells>
  <dataValidations count="1">
    <dataValidation type="decimal" operator="greaterThanOrEqual" allowBlank="1" showInputMessage="1" showErrorMessage="1" sqref="E32 E41:E44 E46 E23:F27 E48:F51 E53:F58 D62:F71 E34:E36 E37:E39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0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40</xdr:row>
                    <xdr:rowOff>19050</xdr:rowOff>
                  </from>
                  <to>
                    <xdr:col>1</xdr:col>
                    <xdr:colOff>733425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40</xdr:row>
                    <xdr:rowOff>19050</xdr:rowOff>
                  </from>
                  <to>
                    <xdr:col>1</xdr:col>
                    <xdr:colOff>1504950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47</xdr:row>
                    <xdr:rowOff>19050</xdr:rowOff>
                  </from>
                  <to>
                    <xdr:col>1</xdr:col>
                    <xdr:colOff>733425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47</xdr:row>
                    <xdr:rowOff>19050</xdr:rowOff>
                  </from>
                  <to>
                    <xdr:col>1</xdr:col>
                    <xdr:colOff>1504950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52</xdr:row>
                    <xdr:rowOff>19050</xdr:rowOff>
                  </from>
                  <to>
                    <xdr:col>1</xdr:col>
                    <xdr:colOff>733425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52</xdr:row>
                    <xdr:rowOff>19050</xdr:rowOff>
                  </from>
                  <to>
                    <xdr:col>1</xdr:col>
                    <xdr:colOff>1504950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61</xdr:row>
                    <xdr:rowOff>19050</xdr:rowOff>
                  </from>
                  <to>
                    <xdr:col>1</xdr:col>
                    <xdr:colOff>733425</xdr:colOff>
                    <xdr:row>61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61</xdr:row>
                    <xdr:rowOff>19050</xdr:rowOff>
                  </from>
                  <to>
                    <xdr:col>1</xdr:col>
                    <xdr:colOff>1504950</xdr:colOff>
                    <xdr:row>61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8" workbookViewId="0">
      <selection activeCell="I19" sqref="I19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180</v>
      </c>
      <c r="D11" s="27" t="s">
        <v>187</v>
      </c>
      <c r="E11" s="27" t="s">
        <v>190</v>
      </c>
      <c r="F11" s="55">
        <v>2</v>
      </c>
      <c r="G11" s="55">
        <v>1</v>
      </c>
      <c r="H11" s="55">
        <v>2</v>
      </c>
      <c r="I11" s="55">
        <v>260</v>
      </c>
      <c r="J11" s="55">
        <f t="shared" ref="J11:J18" si="0">H11*I11</f>
        <v>520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181</v>
      </c>
      <c r="D12" s="27" t="s">
        <v>188</v>
      </c>
      <c r="E12" s="27" t="s">
        <v>191</v>
      </c>
      <c r="F12" s="55">
        <v>4</v>
      </c>
      <c r="G12" s="55">
        <v>1</v>
      </c>
      <c r="H12" s="55">
        <v>15</v>
      </c>
      <c r="I12" s="55">
        <v>60</v>
      </c>
      <c r="J12" s="55">
        <f t="shared" si="0"/>
        <v>900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182</v>
      </c>
      <c r="D13" s="27" t="s">
        <v>166</v>
      </c>
      <c r="E13" s="27" t="s">
        <v>192</v>
      </c>
      <c r="F13" s="55">
        <v>4</v>
      </c>
      <c r="G13" s="55">
        <v>1</v>
      </c>
      <c r="H13" s="55">
        <v>16</v>
      </c>
      <c r="I13" s="55">
        <v>350</v>
      </c>
      <c r="J13" s="55">
        <f t="shared" si="0"/>
        <v>5600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183</v>
      </c>
      <c r="D14" s="27" t="s">
        <v>189</v>
      </c>
      <c r="E14" s="27" t="s">
        <v>193</v>
      </c>
      <c r="F14" s="55">
        <v>5</v>
      </c>
      <c r="G14" s="55">
        <v>1</v>
      </c>
      <c r="H14" s="55">
        <v>5</v>
      </c>
      <c r="I14" s="55">
        <v>200</v>
      </c>
      <c r="J14" s="55">
        <f t="shared" si="0"/>
        <v>1000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184</v>
      </c>
      <c r="D15" s="27" t="s">
        <v>189</v>
      </c>
      <c r="E15" s="27" t="s">
        <v>194</v>
      </c>
      <c r="F15" s="55">
        <v>3</v>
      </c>
      <c r="G15" s="55">
        <v>1</v>
      </c>
      <c r="H15" s="55">
        <v>5</v>
      </c>
      <c r="I15" s="55">
        <v>50</v>
      </c>
      <c r="J15" s="55">
        <f t="shared" si="0"/>
        <v>250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185</v>
      </c>
      <c r="D16" s="27" t="s">
        <v>166</v>
      </c>
      <c r="E16" s="27" t="s">
        <v>195</v>
      </c>
      <c r="F16" s="55">
        <v>4</v>
      </c>
      <c r="G16" s="55">
        <v>1</v>
      </c>
      <c r="H16" s="55">
        <v>8</v>
      </c>
      <c r="I16" s="55">
        <v>1000</v>
      </c>
      <c r="J16" s="55">
        <f t="shared" si="0"/>
        <v>8000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186</v>
      </c>
      <c r="D17" s="27" t="s">
        <v>189</v>
      </c>
      <c r="E17" s="27" t="s">
        <v>196</v>
      </c>
      <c r="F17" s="55">
        <v>1</v>
      </c>
      <c r="G17" s="55">
        <v>1</v>
      </c>
      <c r="H17" s="55">
        <v>1</v>
      </c>
      <c r="I17" s="55">
        <v>34</v>
      </c>
      <c r="J17" s="55">
        <f t="shared" si="0"/>
        <v>34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197</v>
      </c>
      <c r="D18" s="27" t="s">
        <v>187</v>
      </c>
      <c r="E18" s="27" t="s">
        <v>190</v>
      </c>
      <c r="F18" s="55">
        <v>1</v>
      </c>
      <c r="G18" s="55">
        <v>1</v>
      </c>
      <c r="H18" s="55">
        <v>1</v>
      </c>
      <c r="I18" s="55">
        <v>260</v>
      </c>
      <c r="J18" s="55">
        <f t="shared" si="0"/>
        <v>260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0" workbookViewId="0">
      <selection activeCell="F24" sqref="F24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167</v>
      </c>
      <c r="D16" s="70" t="s">
        <v>168</v>
      </c>
      <c r="E16" s="55">
        <v>1</v>
      </c>
      <c r="F16" s="55">
        <v>150</v>
      </c>
      <c r="G16" s="55">
        <f t="shared" ref="G16:G23" si="0">E16*F16</f>
        <v>150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198</v>
      </c>
      <c r="D17" s="70" t="s">
        <v>168</v>
      </c>
      <c r="E17" s="55">
        <v>1</v>
      </c>
      <c r="F17" s="55">
        <v>150</v>
      </c>
      <c r="G17" s="55">
        <f t="shared" si="0"/>
        <v>150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199</v>
      </c>
      <c r="D18" s="70" t="s">
        <v>168</v>
      </c>
      <c r="E18" s="55">
        <v>1</v>
      </c>
      <c r="F18" s="55">
        <v>350</v>
      </c>
      <c r="G18" s="55">
        <f t="shared" si="0"/>
        <v>350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200</v>
      </c>
      <c r="D19" s="70" t="s">
        <v>168</v>
      </c>
      <c r="E19" s="55">
        <v>1</v>
      </c>
      <c r="F19" s="55">
        <v>20</v>
      </c>
      <c r="G19" s="55">
        <f t="shared" si="0"/>
        <v>20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201</v>
      </c>
      <c r="D20" s="70" t="s">
        <v>168</v>
      </c>
      <c r="E20" s="55">
        <v>5</v>
      </c>
      <c r="F20" s="55">
        <v>20</v>
      </c>
      <c r="G20" s="55">
        <f t="shared" si="0"/>
        <v>100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202</v>
      </c>
      <c r="D21" s="70" t="s">
        <v>168</v>
      </c>
      <c r="E21" s="55">
        <v>1</v>
      </c>
      <c r="F21" s="55">
        <v>20</v>
      </c>
      <c r="G21" s="55">
        <f t="shared" si="0"/>
        <v>20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203</v>
      </c>
      <c r="D22" s="70" t="s">
        <v>168</v>
      </c>
      <c r="E22" s="55">
        <v>12</v>
      </c>
      <c r="F22" s="55">
        <v>20</v>
      </c>
      <c r="G22" s="55">
        <f t="shared" si="0"/>
        <v>240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204</v>
      </c>
      <c r="D23" s="70" t="s">
        <v>168</v>
      </c>
      <c r="E23" s="55">
        <v>1</v>
      </c>
      <c r="F23" s="55">
        <v>40</v>
      </c>
      <c r="G23" s="55">
        <f t="shared" si="0"/>
        <v>40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D3" workbookViewId="0">
      <selection activeCell="P13" sqref="P1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85</v>
      </c>
      <c r="J12" s="86" t="s">
        <v>83</v>
      </c>
      <c r="K12" s="85" t="s">
        <v>40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30</v>
      </c>
      <c r="E13" s="55">
        <v>5</v>
      </c>
      <c r="F13" s="55">
        <v>25</v>
      </c>
      <c r="G13" s="55">
        <v>80</v>
      </c>
      <c r="H13" s="55">
        <v>165</v>
      </c>
      <c r="I13" s="55"/>
      <c r="J13" s="55"/>
      <c r="K13" s="55"/>
      <c r="L13" s="55"/>
      <c r="M13" s="55"/>
      <c r="N13" s="55"/>
      <c r="P13" s="88">
        <f>SUM(D13:N13)</f>
        <v>305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/>
      <c r="F14" s="55"/>
      <c r="G14" s="55">
        <v>20</v>
      </c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20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30</v>
      </c>
      <c r="E30" s="88">
        <f t="shared" si="1"/>
        <v>5</v>
      </c>
      <c r="F30" s="88">
        <f t="shared" si="1"/>
        <v>25</v>
      </c>
      <c r="G30" s="88">
        <f t="shared" si="1"/>
        <v>100</v>
      </c>
      <c r="H30" s="88">
        <f t="shared" si="1"/>
        <v>165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325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Cecile P. Guevarra</cp:lastModifiedBy>
  <dcterms:created xsi:type="dcterms:W3CDTF">2018-05-11T08:46:15Z</dcterms:created>
  <dcterms:modified xsi:type="dcterms:W3CDTF">2018-06-08T06:26:51Z</dcterms:modified>
</cp:coreProperties>
</file>