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6" i="9" l="1"/>
  <c r="G25" i="9" l="1"/>
  <c r="G24" i="9"/>
  <c r="G23" i="9" l="1"/>
  <c r="G22" i="9"/>
  <c r="J23" i="2" l="1"/>
  <c r="J22" i="2"/>
  <c r="J21" i="2"/>
  <c r="J20" i="2"/>
  <c r="J19" i="2"/>
  <c r="J18" i="2"/>
  <c r="J17" i="2"/>
  <c r="G21" i="9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<sst xmlns="http://schemas.openxmlformats.org/spreadsheetml/2006/main" count="489" uniqueCount="197">
  <si>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</si>
  <si>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</si>
  <si>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</si>
  <si>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</si>
  <si>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</si>
  <si>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</si>
  <si>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</si>
  <si>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</si>
  <si>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</si>
  <si>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</si>
  <si>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</si>
  <si>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</si>
  <si>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</si>
  <si>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</si>
  <si>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</si>
  <si>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</si>
  <si>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</si>
  <si>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</si>
  <si>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</si>
  <si>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</si>
  <si>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</si>
  <si>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</si>
  <si>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</si>
  <si>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</si>
  <si>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</si>
  <si>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</si>
  <si>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</si>
  <si>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</si>
  <si>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</si>
  <si>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</si>
  <si>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</si>
  <si>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</si>
  <si>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</si>
  <si>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</si>
  <si>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</si>
  <si>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</si>
  <si>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</si>
  <si>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</si>
  <si>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</si>
  <si>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</si>
  <si>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</si>
  <si>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</si>
  <si>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</si>
  <si>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</si>
  <si>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</si>
  <si>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</si>
  <si>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</si>
  <si>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</si>
  <si>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</si>
  <si>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</si>
  <si>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</si>
  <si>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</si>
  <si>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</si>
  <si>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</si>
  <si>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</si>
  <si>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</si>
  <si>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</si>
  <si>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</si>
  <si>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</si>
  <si>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</si>
  <si>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</si>
  <si>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</si>
  <si>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</si>
  <si>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</si>
  <si>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</si>
  <si>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</si>
  <si>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</si>
  <si>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</si>
  <si>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</si>
  <si>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</si>
  <si>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</si>
  <si>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</si>
  <si>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</si>
  <si>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</si>
  <si>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</si>
  <si>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</si>
  <si>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</si>
  <si>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</si>
  <si>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</si>
  <si>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</si>
  <si>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</si>
  <si>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</si>
  <si>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</si>
  <si>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</si>
  <si>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</si>
  <si>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</si>
  <si>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</si>
  <si>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</si>
  <si>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</si>
  <si>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</si>
  <si>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</si>
  <si>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</si>
  <si>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</si>
  <si>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</si>
  <si>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</si>
  <si>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</si>
  <si>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</si>
  <si>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</si>
  <si>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</si>
  <si>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</si>
  <si>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</si>
  <si>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</si>
  <si>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</si>
  <si>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</si>
  <si>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</si>
  <si>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</si>
  <si>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</si>
  <si>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</si>
  <si>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</si>
  <si>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</si>
  <si>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</si>
  <si>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</si>
  <si>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</si>
  <si>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</si>
  <si>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</si>
  <si>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</si>
  <si>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</si>
  <si>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</si>
  <si>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</si>
  <si>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</si>
  <si>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</si>
  <si>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</si>
  <si>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</si>
  <si>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</si>
  <si>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</si>
  <si>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</si>
  <si>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</si>
  <si>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</si>
  <si>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</si>
  <si>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</si>
  <si>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</si>
  <si>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</si>
  <si>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</si>
  <si>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</si>
  <si>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</si>
  <si>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</si>
  <si>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</si>
  <si>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</si>
  <si>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</si>
  <si>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</si>
  <si>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</si>
  <si>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</si>
  <si>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</si>
  <si>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</si>
  <si>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</si>
  <si>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</si>
  <si>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</si>
  <si>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</si>
  <si>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</si>
  <si>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</si>
  <si>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</si>
  <si>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</si>
  <si>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</si>
  <si>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</si>
  <si>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</si>
  <si>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</si>
  <si>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</si>
  <si>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</si>
  <si>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</si>
  <si>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</si>
  <si>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</si>
  <si>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</si>
  <si>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</si>
  <si>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</si>
  <si>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</si>
  <si>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</si>
  <si>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</si>
  <si>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CXR PA</t>
  </si>
  <si>
    <t>IV FLUID</t>
  </si>
  <si>
    <t>VIAL</t>
  </si>
  <si>
    <t>TABLET</t>
  </si>
  <si>
    <t>500MG</t>
  </si>
  <si>
    <t>CASE RATE (room,labs,meds, etc)</t>
  </si>
  <si>
    <t>PF CASE RATE</t>
  </si>
  <si>
    <t>CBC W/ PLATELETCOUNT</t>
  </si>
  <si>
    <t>SENIOR</t>
  </si>
  <si>
    <t>NEBULE</t>
  </si>
  <si>
    <t>2.5MG/500MCG</t>
  </si>
  <si>
    <t>100MG</t>
  </si>
  <si>
    <t>D5 WATER</t>
  </si>
  <si>
    <t>500ML</t>
  </si>
  <si>
    <t>HYROCORTISONE</t>
  </si>
  <si>
    <t>SALBUTAMOL+IPRATROPIUM</t>
  </si>
  <si>
    <t xml:space="preserve">CLARITHROMYCIN </t>
  </si>
  <si>
    <t>CEFTRIAXONE</t>
  </si>
  <si>
    <t>1G</t>
  </si>
  <si>
    <t xml:space="preserve">PREDNISONE </t>
  </si>
  <si>
    <t>20MG</t>
  </si>
  <si>
    <t>MACROSET</t>
  </si>
  <si>
    <t>PER PIECE</t>
  </si>
  <si>
    <t>INSYTE G22</t>
  </si>
  <si>
    <t xml:space="preserve">5CC SYRINGE </t>
  </si>
  <si>
    <t xml:space="preserve">10CC SYRINGE </t>
  </si>
  <si>
    <t xml:space="preserve">1CC SYRINGE </t>
  </si>
  <si>
    <t>SOLUSET</t>
  </si>
  <si>
    <t>HEPLOCK</t>
  </si>
  <si>
    <t>OXYGEN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</si>
</sst>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42" zoomScaleNormal="100" workbookViewId="0">
      <selection activeCell="E54" sqref="E5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167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196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172</v>
      </c>
      <c r="D62" s="55">
        <v>10500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175</v>
      </c>
      <c r="D63" s="55"/>
      <c r="E63" s="55">
        <v>165</v>
      </c>
      <c r="F63" s="55">
        <v>877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173</v>
      </c>
      <c r="D64" s="55">
        <v>4500</v>
      </c>
      <c r="E64" s="55"/>
      <c r="F64" s="55">
        <v>650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165</v>
      </c>
      <c r="F73" s="59">
        <f>SUM(F62:F72)</f>
        <v>1527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26" sqref="J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179</v>
      </c>
      <c r="D11" s="27" t="s">
        <v>168</v>
      </c>
      <c r="E11" s="27" t="s">
        <v>180</v>
      </c>
      <c r="F11" s="55">
        <v>1</v>
      </c>
      <c r="G11" s="55">
        <v>1</v>
      </c>
      <c r="H11" s="55">
        <v>2</v>
      </c>
      <c r="I11" s="55">
        <v>310</v>
      </c>
      <c r="J11" s="55">
        <f t="shared" ref="J11:J23" si="0">H11*I11</f>
        <v>620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181</v>
      </c>
      <c r="D12" s="27" t="s">
        <v>169</v>
      </c>
      <c r="E12" s="27" t="s">
        <v>178</v>
      </c>
      <c r="F12" s="55">
        <v>2</v>
      </c>
      <c r="G12" s="55">
        <v>1</v>
      </c>
      <c r="H12" s="55">
        <v>4</v>
      </c>
      <c r="I12" s="55">
        <v>350</v>
      </c>
      <c r="J12" s="55">
        <f t="shared" si="0"/>
        <v>1400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182</v>
      </c>
      <c r="D13" s="27" t="s">
        <v>176</v>
      </c>
      <c r="E13" s="27" t="s">
        <v>177</v>
      </c>
      <c r="F13" s="55">
        <v>2</v>
      </c>
      <c r="G13" s="55">
        <v>1</v>
      </c>
      <c r="H13" s="55">
        <v>7</v>
      </c>
      <c r="I13" s="55">
        <v>60</v>
      </c>
      <c r="J13" s="55">
        <f t="shared" si="0"/>
        <v>420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170</v>
      </c>
      <c r="E14" s="27" t="s">
        <v>171</v>
      </c>
      <c r="F14" s="55">
        <v>2</v>
      </c>
      <c r="G14" s="55">
        <v>1</v>
      </c>
      <c r="H14" s="55">
        <v>4</v>
      </c>
      <c r="I14" s="55">
        <v>117</v>
      </c>
      <c r="J14" s="55">
        <f t="shared" si="0"/>
        <v>468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169</v>
      </c>
      <c r="E15" s="27" t="s">
        <v>185</v>
      </c>
      <c r="F15" s="55">
        <v>1</v>
      </c>
      <c r="G15" s="55">
        <v>1</v>
      </c>
      <c r="H15" s="55">
        <v>4</v>
      </c>
      <c r="I15" s="55">
        <v>1000</v>
      </c>
      <c r="J15" s="55">
        <f t="shared" si="0"/>
        <v>4000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186</v>
      </c>
      <c r="D16" s="27" t="s">
        <v>170</v>
      </c>
      <c r="E16" s="27" t="s">
        <v>187</v>
      </c>
      <c r="F16" s="55">
        <v>1</v>
      </c>
      <c r="G16" s="55">
        <v>1</v>
      </c>
      <c r="H16" s="55">
        <v>2</v>
      </c>
      <c r="I16" s="55">
        <v>40</v>
      </c>
      <c r="J16" s="55">
        <f t="shared" si="0"/>
        <v>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F23" sqref="F23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195</v>
      </c>
      <c r="D16" s="70" t="s">
        <v>189</v>
      </c>
      <c r="E16" s="55">
        <v>1</v>
      </c>
      <c r="F16" s="55">
        <v>1000</v>
      </c>
      <c r="G16" s="55">
        <f t="shared" ref="G16:G26" si="0">E16*F16</f>
        <v>1000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188</v>
      </c>
      <c r="D17" s="70" t="s">
        <v>189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189</v>
      </c>
      <c r="E18" s="55">
        <v>1</v>
      </c>
      <c r="F18" s="55">
        <v>150</v>
      </c>
      <c r="G18" s="55">
        <f t="shared" si="0"/>
        <v>150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191</v>
      </c>
      <c r="D19" s="70" t="s">
        <v>189</v>
      </c>
      <c r="E19" s="55">
        <v>3</v>
      </c>
      <c r="F19" s="55">
        <v>20</v>
      </c>
      <c r="G19" s="55">
        <f t="shared" si="0"/>
        <v>60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192</v>
      </c>
      <c r="D20" s="70" t="s">
        <v>189</v>
      </c>
      <c r="E20" s="55">
        <v>2</v>
      </c>
      <c r="F20" s="55">
        <v>40</v>
      </c>
      <c r="G20" s="55">
        <f t="shared" si="0"/>
        <v>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193</v>
      </c>
      <c r="D21" s="70" t="s">
        <v>189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194</v>
      </c>
      <c r="D22" s="70" t="s">
        <v>189</v>
      </c>
      <c r="E22" s="55">
        <v>1</v>
      </c>
      <c r="F22" s="55">
        <v>350</v>
      </c>
      <c r="G22" s="55">
        <f t="shared" si="0"/>
        <v>350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G20" sqref="G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30</v>
      </c>
      <c r="E13" s="55">
        <v>10</v>
      </c>
      <c r="F13" s="55"/>
      <c r="G13" s="55">
        <v>45</v>
      </c>
      <c r="H13" s="55">
        <v>105</v>
      </c>
      <c r="I13" s="55"/>
      <c r="J13" s="55"/>
      <c r="K13" s="55"/>
      <c r="L13" s="55"/>
      <c r="M13" s="55"/>
      <c r="N13" s="55"/>
      <c r="P13" s="88">
        <f>SUM(D13:N13)</f>
        <v>190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30</v>
      </c>
      <c r="E30" s="88">
        <f t="shared" si="1"/>
        <v>10</v>
      </c>
      <c r="F30" s="88">
        <f t="shared" si="1"/>
        <v>0</v>
      </c>
      <c r="G30" s="88">
        <f t="shared" si="1"/>
        <v>55</v>
      </c>
      <c r="H30" s="88">
        <f t="shared" si="1"/>
        <v>105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2018-06-08T05:06:18Z</dcterms:modified>
</cp:coreProperties>
</file>