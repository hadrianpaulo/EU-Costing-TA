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4" i="9" l="1"/>
  <c r="G23" i="9"/>
  <c r="G22" i="9"/>
  <c r="G21" i="9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<sst xmlns="http://schemas.openxmlformats.org/spreadsheetml/2006/main" count="485" uniqueCount="191">
  <si>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</si>
  <si>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</si>
  <si>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</si>
  <si>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</si>
  <si>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</si>
  <si>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</si>
  <si>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</si>
  <si>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</si>
  <si>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</si>
  <si>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</si>
  <si>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</si>
  <si>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</si>
  <si>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</si>
  <si>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</si>
  <si>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</si>
  <si>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</si>
  <si>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</si>
  <si>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</si>
  <si>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</si>
  <si>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</si>
  <si>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</si>
  <si>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</si>
  <si>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</si>
  <si>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</si>
  <si>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</si>
  <si>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</si>
  <si>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</si>
  <si>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</si>
  <si>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</si>
  <si>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</si>
  <si>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</si>
  <si>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</si>
  <si>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</si>
  <si>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</si>
  <si>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</si>
  <si>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</si>
  <si>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</si>
  <si>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</si>
  <si>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</si>
  <si>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</si>
  <si>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</si>
  <si>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</si>
  <si>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</si>
  <si>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</si>
  <si>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</si>
  <si>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</si>
  <si>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</si>
  <si>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</si>
  <si>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</si>
  <si>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</si>
  <si>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</si>
  <si>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</si>
  <si>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</si>
  <si>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</si>
  <si>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</si>
  <si>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</si>
  <si>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</si>
  <si>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</si>
  <si>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</si>
  <si>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</si>
  <si>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</si>
  <si>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</si>
  <si>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</si>
  <si>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</si>
  <si>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</si>
  <si>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</si>
  <si>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</si>
  <si>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</si>
  <si>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</si>
  <si>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</si>
  <si>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</si>
  <si>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</si>
  <si>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</si>
  <si>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</si>
  <si>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</si>
  <si>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</si>
  <si>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</si>
  <si>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</si>
  <si>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</si>
  <si>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</si>
  <si>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</si>
  <si>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</si>
  <si>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</si>
  <si>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</si>
  <si>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</si>
  <si>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</si>
  <si>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</si>
  <si>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</si>
  <si>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</si>
  <si>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</si>
  <si>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</si>
  <si>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</si>
  <si>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</si>
  <si>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</si>
  <si>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</si>
  <si>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</si>
  <si>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</si>
  <si>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</si>
  <si>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</si>
  <si>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</si>
  <si>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</si>
  <si>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</si>
  <si>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</si>
  <si>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</si>
  <si>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</si>
  <si>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</si>
  <si>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</si>
  <si>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</si>
  <si>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</si>
  <si>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</si>
  <si>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</si>
  <si>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</si>
  <si>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</si>
  <si>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</si>
  <si>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</si>
  <si>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</si>
  <si>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</si>
  <si>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</si>
  <si>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</si>
  <si>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</si>
  <si>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</si>
  <si>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</si>
  <si>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</si>
  <si>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</si>
  <si>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</si>
  <si>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</si>
  <si>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</si>
  <si>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</si>
  <si>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</si>
  <si>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</si>
  <si>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</si>
  <si>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</si>
  <si>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</si>
  <si>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</si>
  <si>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</si>
  <si>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</si>
  <si>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</si>
  <si>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</si>
  <si>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</si>
  <si>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</si>
  <si>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</si>
  <si>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</si>
  <si>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</si>
  <si>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</si>
  <si>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</si>
  <si>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</si>
  <si>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</si>
  <si>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</si>
  <si>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</si>
  <si>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</si>
  <si>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</si>
  <si>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</si>
  <si>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</si>
  <si>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</si>
  <si>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</si>
  <si>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</si>
  <si>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</si>
  <si>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</si>
  <si>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</si>
  <si>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</si>
  <si>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</si>
  <si>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</si>
  <si>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</si>
  <si>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</si>
  <si>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</si>
  <si>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</si>
  <si>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</si>
  <si>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CBC W/ PLATELET COUNT</t>
  </si>
  <si>
    <t>CXR AP-L</t>
  </si>
  <si>
    <t>D5 0.3 NACL</t>
  </si>
  <si>
    <t>IV FLUID</t>
  </si>
  <si>
    <t>500ML</t>
  </si>
  <si>
    <t>CEFTRIAZONE</t>
  </si>
  <si>
    <t>VIAL</t>
  </si>
  <si>
    <t>1G</t>
  </si>
  <si>
    <t xml:space="preserve">SALBUTAMOL </t>
  </si>
  <si>
    <t>NEBULE</t>
  </si>
  <si>
    <t>1MG/ML</t>
  </si>
  <si>
    <t>D5 WATER</t>
  </si>
  <si>
    <t>MICROSET</t>
  </si>
  <si>
    <t>INSYTE G24</t>
  </si>
  <si>
    <t>3CC SYRINGE</t>
  </si>
  <si>
    <t>1CC SYRINGE</t>
  </si>
  <si>
    <t>10CC SYRINGE</t>
  </si>
  <si>
    <t>5CC SYRINGE</t>
  </si>
  <si>
    <t>SOLUSET</t>
  </si>
  <si>
    <t>NEB KIT</t>
  </si>
  <si>
    <t>PER PIECE</t>
  </si>
  <si>
    <t>FREE NEEDLE G23</t>
  </si>
  <si>
    <t>CASE RATE (room,labs,meds, etc.)</t>
  </si>
  <si>
    <t>PF CASE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</si>
</sst>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66" zoomScaleNormal="100" workbookViewId="0">
      <selection activeCell="F62" sqref="F6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168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189</v>
      </c>
      <c r="D60" s="55">
        <v>10500</v>
      </c>
      <c r="E60" s="55"/>
      <c r="F60" s="55">
        <v>1515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190</v>
      </c>
      <c r="D61" s="55">
        <v>4500</v>
      </c>
      <c r="E61" s="55"/>
      <c r="F61" s="55">
        <v>1050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15000</v>
      </c>
      <c r="E71" s="59">
        <f>SUM(E60:E70)</f>
        <v>0</v>
      </c>
      <c r="F71" s="59">
        <f>SUM(F60:F70)</f>
        <v>2565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5" sqref="I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170</v>
      </c>
      <c r="E11" s="27" t="s">
        <v>171</v>
      </c>
      <c r="F11" s="55">
        <v>3</v>
      </c>
      <c r="G11" s="55">
        <v>1</v>
      </c>
      <c r="H11" s="55">
        <v>4</v>
      </c>
      <c r="I11" s="55">
        <v>310</v>
      </c>
      <c r="J11" s="55">
        <f t="shared" ref="J11:J16" si="0">H11*I11</f>
        <v>1240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173</v>
      </c>
      <c r="E12" s="27" t="s">
        <v>174</v>
      </c>
      <c r="F12" s="55">
        <v>2</v>
      </c>
      <c r="G12" s="55">
        <v>1</v>
      </c>
      <c r="H12" s="55">
        <v>4</v>
      </c>
      <c r="I12" s="55">
        <v>1000</v>
      </c>
      <c r="J12" s="55">
        <f t="shared" si="0"/>
        <v>4000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176</v>
      </c>
      <c r="E13" s="27" t="s">
        <v>177</v>
      </c>
      <c r="F13" s="55">
        <v>1</v>
      </c>
      <c r="G13" s="55">
        <v>1</v>
      </c>
      <c r="H13" s="55">
        <v>1</v>
      </c>
      <c r="I13" s="55">
        <v>40</v>
      </c>
      <c r="J13" s="55">
        <f t="shared" si="0"/>
        <v>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170</v>
      </c>
      <c r="E14" s="27" t="s">
        <v>171</v>
      </c>
      <c r="F14" s="55">
        <v>1</v>
      </c>
      <c r="G14" s="55">
        <v>1</v>
      </c>
      <c r="H14" s="55">
        <v>1</v>
      </c>
      <c r="I14" s="55">
        <v>310</v>
      </c>
      <c r="J14" s="55">
        <f t="shared" si="0"/>
        <v>310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F25" sqref="F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179</v>
      </c>
      <c r="D16" s="70" t="s">
        <v>187</v>
      </c>
      <c r="E16" s="55">
        <v>2</v>
      </c>
      <c r="F16" s="55">
        <v>150</v>
      </c>
      <c r="G16" s="55">
        <f t="shared" ref="G16:G24" si="0">E16*F16</f>
        <v>300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187</v>
      </c>
      <c r="E17" s="55">
        <v>5</v>
      </c>
      <c r="F17" s="55">
        <v>150</v>
      </c>
      <c r="G17" s="55">
        <f t="shared" si="0"/>
        <v>750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181</v>
      </c>
      <c r="D18" s="70" t="s">
        <v>187</v>
      </c>
      <c r="E18" s="55">
        <v>2</v>
      </c>
      <c r="F18" s="55">
        <v>20</v>
      </c>
      <c r="G18" s="55">
        <f t="shared" si="0"/>
        <v>40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182</v>
      </c>
      <c r="D19" s="70" t="s">
        <v>187</v>
      </c>
      <c r="E19" s="55">
        <v>1</v>
      </c>
      <c r="F19" s="55">
        <v>20</v>
      </c>
      <c r="G19" s="55">
        <f t="shared" si="0"/>
        <v>20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183</v>
      </c>
      <c r="D20" s="70" t="s">
        <v>187</v>
      </c>
      <c r="E20" s="55">
        <v>1</v>
      </c>
      <c r="F20" s="55">
        <v>20</v>
      </c>
      <c r="G20" s="55">
        <f t="shared" si="0"/>
        <v>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184</v>
      </c>
      <c r="D21" s="70" t="s">
        <v>187</v>
      </c>
      <c r="E21" s="55">
        <v>4</v>
      </c>
      <c r="F21" s="55">
        <v>40</v>
      </c>
      <c r="G21" s="55">
        <f t="shared" si="0"/>
        <v>160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185</v>
      </c>
      <c r="D22" s="70" t="s">
        <v>187</v>
      </c>
      <c r="E22" s="55">
        <v>1</v>
      </c>
      <c r="F22" s="55">
        <v>350</v>
      </c>
      <c r="G22" s="55">
        <f t="shared" si="0"/>
        <v>350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186</v>
      </c>
      <c r="D23" s="70" t="s">
        <v>187</v>
      </c>
      <c r="E23" s="55">
        <v>1</v>
      </c>
      <c r="F23" s="55">
        <v>200</v>
      </c>
      <c r="G23" s="55">
        <f t="shared" si="0"/>
        <v>200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188</v>
      </c>
      <c r="D24" s="70" t="s">
        <v>187</v>
      </c>
      <c r="E24" s="55">
        <v>1</v>
      </c>
      <c r="F24" s="55">
        <v>20</v>
      </c>
      <c r="G24" s="55">
        <f t="shared" si="0"/>
        <v>20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D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/>
      <c r="F13" s="55">
        <v>10</v>
      </c>
      <c r="G13" s="55">
        <v>50</v>
      </c>
      <c r="H13" s="55">
        <v>140</v>
      </c>
      <c r="I13" s="55"/>
      <c r="J13" s="55"/>
      <c r="K13" s="55"/>
      <c r="L13" s="55"/>
      <c r="M13" s="55"/>
      <c r="N13" s="55"/>
      <c r="P13" s="88">
        <f>SUM(D13:N13)</f>
        <v>230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0</v>
      </c>
      <c r="F30" s="88">
        <f t="shared" si="1"/>
        <v>10</v>
      </c>
      <c r="G30" s="88">
        <f t="shared" si="1"/>
        <v>50</v>
      </c>
      <c r="H30" s="88">
        <f t="shared" si="1"/>
        <v>140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2018-06-08T06:22:20Z</dcterms:modified>
</cp:coreProperties>
</file>