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data_general'!$B$1:$F$80</definedName>
    <definedName name="_xlnm.Print_Area" localSheetId="1">'1.2 Drugs&amp;Med'!$B$2:$J$31</definedName>
  </definedNames>
  <calcPr calcId="144525"/>
</workbook>
</file>

<file path=xl/calcChain.xml><?xml version="1.0" encoding="utf-8"?>
<calcChain xmlns="http://schemas.openxmlformats.org/spreadsheetml/2006/main">
  <c r="G24" i="9" l="1"/>
  <c r="G23" i="9"/>
  <c r="G22" i="9"/>
  <c r="G21" i="9"/>
  <c r="J30" i="2" l="1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G20" i="9" l="1"/>
  <c r="G19" i="9"/>
  <c r="G18" i="9"/>
  <c r="G17" i="9"/>
  <c r="G16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<sst xmlns="http://schemas.openxmlformats.org/spreadsheetml/2006/main" count="547" uniqueCount="238">
  <si>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</si>
  <si>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</si>
  <si>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</si>
  <si>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</si>
  <si>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</si>
  <si>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</si>
  <si>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</si>
  <si>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</si>
  <si>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</si>
  <si>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</si>
  <si>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</si>
  <si>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</si>
  <si>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</si>
  <si>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</si>
  <si>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</si>
  <si>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</si>
  <si>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</si>
  <si>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</si>
  <si>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</si>
  <si>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</si>
  <si>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</si>
  <si>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</si>
  <si>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</si>
  <si>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</si>
  <si>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</si>
  <si>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</si>
  <si>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</si>
  <si>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</si>
  <si>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</si>
  <si>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</si>
  <si>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</si>
  <si>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</si>
  <si>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</si>
  <si>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</si>
  <si>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</si>
  <si>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</si>
  <si>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</si>
  <si>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</si>
  <si>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</si>
  <si>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</si>
  <si>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</si>
  <si>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</si>
  <si>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</si>
  <si>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</si>
  <si>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</si>
  <si>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</si>
  <si>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</si>
  <si>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</si>
  <si>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</si>
  <si>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</si>
  <si>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</si>
  <si>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</si>
  <si>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</si>
  <si>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</si>
  <si>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</si>
  <si>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</si>
  <si>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</si>
  <si>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</si>
  <si>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</si>
  <si>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</si>
  <si>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</si>
  <si>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</si>
  <si>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</si>
  <si>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</si>
  <si>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</si>
  <si>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</si>
  <si>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</si>
  <si>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</si>
  <si>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</si>
  <si>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</si>
  <si>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</si>
  <si>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</si>
  <si>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</si>
  <si>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</si>
  <si>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</si>
  <si>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</si>
  <si>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</si>
  <si>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</si>
  <si>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</si>
  <si>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</si>
  <si>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</si>
  <si>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</si>
  <si>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</si>
  <si>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</si>
  <si>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</si>
  <si>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</si>
  <si>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</si>
  <si>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</si>
  <si>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</si>
  <si>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</si>
  <si>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</si>
  <si>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</si>
  <si>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</si>
  <si>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</si>
  <si>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</si>
  <si>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</si>
  <si>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</si>
  <si>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</si>
  <si>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</si>
  <si>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</si>
  <si>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</si>
  <si>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</si>
  <si>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</si>
  <si>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</si>
  <si>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</si>
  <si>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</si>
  <si>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</si>
  <si>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</si>
  <si>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</si>
  <si>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</si>
  <si>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</si>
  <si>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</si>
  <si>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</si>
  <si>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</si>
  <si>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</si>
  <si>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</si>
  <si>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</si>
  <si>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</si>
  <si>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</si>
  <si>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</si>
  <si>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</si>
  <si>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</si>
  <si>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</si>
  <si>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</si>
  <si>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</si>
  <si>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</si>
  <si>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</si>
  <si>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</si>
  <si>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</si>
  <si>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</si>
  <si>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</si>
  <si>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</si>
  <si>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</si>
  <si>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</si>
  <si>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</si>
  <si>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</si>
  <si>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</si>
  <si>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</si>
  <si>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</si>
  <si>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</si>
  <si>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</si>
  <si>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</si>
  <si>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</si>
  <si>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</si>
  <si>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</si>
  <si>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</si>
  <si>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</si>
  <si>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</si>
  <si>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</si>
  <si>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</si>
  <si>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</si>
  <si>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</si>
  <si>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</si>
  <si>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</si>
  <si>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</si>
  <si>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</si>
  <si>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</si>
  <si>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</si>
  <si>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</si>
  <si>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</si>
  <si>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</si>
  <si>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</si>
  <si>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</si>
  <si>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</si>
  <si>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</si>
  <si>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</si>
  <si>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PNSS</t>
  </si>
  <si>
    <t>IV FLUID</t>
  </si>
  <si>
    <t>IL</t>
  </si>
  <si>
    <t>POTASSIUM CHLORIDE</t>
  </si>
  <si>
    <t>VIAL</t>
  </si>
  <si>
    <t>40MEQ</t>
  </si>
  <si>
    <t>AMINOGEN-S</t>
  </si>
  <si>
    <t>500ML</t>
  </si>
  <si>
    <t>HERACLENE</t>
  </si>
  <si>
    <t>CAPSULE</t>
  </si>
  <si>
    <t>3MG</t>
  </si>
  <si>
    <t>CLONIDINE</t>
  </si>
  <si>
    <t>TABLET</t>
  </si>
  <si>
    <t>75MG</t>
  </si>
  <si>
    <t>LOSARTAN POTASSIUM</t>
  </si>
  <si>
    <t>50MG</t>
  </si>
  <si>
    <t>KETOLOG</t>
  </si>
  <si>
    <t>600MG</t>
  </si>
  <si>
    <t>AZITHROMYCIN</t>
  </si>
  <si>
    <t>500MG</t>
  </si>
  <si>
    <t>CEFUROXIME</t>
  </si>
  <si>
    <t>750MG</t>
  </si>
  <si>
    <t>ATENURIX</t>
  </si>
  <si>
    <t>40MG</t>
  </si>
  <si>
    <t>FEROSIAN</t>
  </si>
  <si>
    <t>500MG/2MG/3MCG/23MCG</t>
  </si>
  <si>
    <t>POTASSIUM CITRATE</t>
  </si>
  <si>
    <t>1083MG</t>
  </si>
  <si>
    <t>SODIUM BICARBONATE</t>
  </si>
  <si>
    <t>650MG</t>
  </si>
  <si>
    <t>EPOKINE</t>
  </si>
  <si>
    <t>PRE-FILLED SYR.</t>
  </si>
  <si>
    <t>4000IU/ML</t>
  </si>
  <si>
    <t>ISMN</t>
  </si>
  <si>
    <t>60MG</t>
  </si>
  <si>
    <t>CLOPIDOGREL</t>
  </si>
  <si>
    <t>ATORVASTATIN</t>
  </si>
  <si>
    <t>APPETITE PLUS W/ IRON</t>
  </si>
  <si>
    <t>MG</t>
  </si>
  <si>
    <t>CITICOLINE</t>
  </si>
  <si>
    <t>IG</t>
  </si>
  <si>
    <t>VERSANT XR</t>
  </si>
  <si>
    <t>5MG</t>
  </si>
  <si>
    <t>J18.92</t>
  </si>
  <si>
    <t>IONIZED CALCIUM</t>
  </si>
  <si>
    <t>CBC W/ PLATELET COUNT</t>
  </si>
  <si>
    <t>CREATININE</t>
  </si>
  <si>
    <t>ELECTROLYTES (NA,K)</t>
  </si>
  <si>
    <t>POTASSIUM</t>
  </si>
  <si>
    <t>CKMB</t>
  </si>
  <si>
    <t>TROPONIN I</t>
  </si>
  <si>
    <t>PHOSPHORUS</t>
  </si>
  <si>
    <t>URIC ACID</t>
  </si>
  <si>
    <t>BLOOD UREA NITROGEN</t>
  </si>
  <si>
    <t>GLUCOSE (FASTING)</t>
  </si>
  <si>
    <t>URINALYSIS</t>
  </si>
  <si>
    <t>LIPID PROFILE</t>
  </si>
  <si>
    <t>2D ECHO W/ DOPPLER</t>
  </si>
  <si>
    <t>ECG</t>
  </si>
  <si>
    <t>MACROSET</t>
  </si>
  <si>
    <t>INSYTE G22</t>
  </si>
  <si>
    <t>INSYTE G24</t>
  </si>
  <si>
    <t>10CC SYRINGE</t>
  </si>
  <si>
    <t>SOLUSET</t>
  </si>
  <si>
    <t>5CC SYRINGE</t>
  </si>
  <si>
    <t>MICROSET</t>
  </si>
  <si>
    <t>FREE NEEDLE G23</t>
  </si>
  <si>
    <t>1CC SYRINGE</t>
  </si>
  <si>
    <t>PER PIECE</t>
  </si>
  <si>
    <t>CASE RATE (rooms,labs,meds, etc.)</t>
  </si>
  <si>
    <t>SENIOR DISCOUNT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</si>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</sst>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opLeftCell="A63" zoomScaleNormal="100" workbookViewId="0">
      <selection activeCell="F72" sqref="F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209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210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211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212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213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214</v>
      </c>
      <c r="D38" s="23"/>
      <c r="E38" s="55">
        <v>2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215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216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217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218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219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220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 t="s">
        <v>221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 t="s">
        <v>222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19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223</v>
      </c>
      <c r="D48" s="23"/>
      <c r="E48" s="55">
        <v>1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8" t="s">
        <v>45</v>
      </c>
      <c r="C52" s="119"/>
      <c r="D52" s="116"/>
      <c r="E52" s="119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46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54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5" t="s">
        <v>20</v>
      </c>
      <c r="C59" s="116"/>
      <c r="D59" s="116"/>
      <c r="E59" s="116"/>
      <c r="F59" s="117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 t="s">
        <v>224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56</v>
      </c>
      <c r="C68" s="17" t="s">
        <v>52</v>
      </c>
      <c r="D68" s="17" t="s">
        <v>57</v>
      </c>
      <c r="E68" s="18" t="s">
        <v>58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235</v>
      </c>
      <c r="D69" s="55">
        <v>10500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236</v>
      </c>
      <c r="D70" s="55"/>
      <c r="E70" s="55">
        <v>4413</v>
      </c>
      <c r="F70" s="55">
        <v>17652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237</v>
      </c>
      <c r="D71" s="55">
        <v>4500</v>
      </c>
      <c r="E71" s="55"/>
      <c r="F71" s="55">
        <v>2050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58"/>
      <c r="E79" s="58"/>
      <c r="F79" s="5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9">
        <f>SUM(D69:D79)</f>
        <v>15000</v>
      </c>
      <c r="E80" s="59">
        <f>SUM(E69:E79)</f>
        <v>4413</v>
      </c>
      <c r="F80" s="59">
        <f>SUM(F69:F79)</f>
        <v>19702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password="C2E9" sheet="1" objects="1" scenarios="1"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D69:F78 E34:E36 E37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17" workbookViewId="0">
      <selection activeCell="I31" sqref="I3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166</v>
      </c>
      <c r="D11" s="27" t="s">
        <v>167</v>
      </c>
      <c r="E11" s="27" t="s">
        <v>168</v>
      </c>
      <c r="F11" s="55">
        <v>4</v>
      </c>
      <c r="G11" s="55">
        <v>1</v>
      </c>
      <c r="H11" s="55">
        <v>5</v>
      </c>
      <c r="I11" s="55">
        <v>310</v>
      </c>
      <c r="J11" s="55">
        <f t="shared" ref="J11:J30" si="0">H11*I11</f>
        <v>1550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169</v>
      </c>
      <c r="D12" s="27" t="s">
        <v>170</v>
      </c>
      <c r="E12" s="27" t="s">
        <v>171</v>
      </c>
      <c r="F12" s="55">
        <v>2</v>
      </c>
      <c r="G12" s="55">
        <v>1</v>
      </c>
      <c r="H12" s="55">
        <v>2</v>
      </c>
      <c r="I12" s="55">
        <v>300</v>
      </c>
      <c r="J12" s="55">
        <f t="shared" si="0"/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167</v>
      </c>
      <c r="E13" s="27" t="s">
        <v>173</v>
      </c>
      <c r="F13" s="55">
        <v>2</v>
      </c>
      <c r="G13" s="55">
        <v>1</v>
      </c>
      <c r="H13" s="55">
        <v>3</v>
      </c>
      <c r="I13" s="55">
        <v>1550</v>
      </c>
      <c r="J13" s="55">
        <f t="shared" si="0"/>
        <v>4650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175</v>
      </c>
      <c r="E14" s="27" t="s">
        <v>176</v>
      </c>
      <c r="F14" s="55">
        <v>4</v>
      </c>
      <c r="G14" s="55">
        <v>1</v>
      </c>
      <c r="H14" s="55">
        <v>9</v>
      </c>
      <c r="I14" s="55">
        <v>100</v>
      </c>
      <c r="J14" s="55">
        <f t="shared" si="0"/>
        <v>900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177</v>
      </c>
      <c r="D15" s="27" t="s">
        <v>178</v>
      </c>
      <c r="E15" s="27" t="s">
        <v>179</v>
      </c>
      <c r="F15" s="55">
        <v>1</v>
      </c>
      <c r="G15" s="55">
        <v>1</v>
      </c>
      <c r="H15" s="55">
        <v>1</v>
      </c>
      <c r="I15" s="55">
        <v>35</v>
      </c>
      <c r="J15" s="55">
        <f t="shared" si="0"/>
        <v>35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180</v>
      </c>
      <c r="D16" s="27" t="s">
        <v>178</v>
      </c>
      <c r="E16" s="27" t="s">
        <v>181</v>
      </c>
      <c r="F16" s="55">
        <v>3</v>
      </c>
      <c r="G16" s="55">
        <v>1</v>
      </c>
      <c r="H16" s="55">
        <v>5</v>
      </c>
      <c r="I16" s="55">
        <v>30</v>
      </c>
      <c r="J16" s="55">
        <f t="shared" si="0"/>
        <v>150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182</v>
      </c>
      <c r="D17" s="27" t="s">
        <v>178</v>
      </c>
      <c r="E17" s="27" t="s">
        <v>183</v>
      </c>
      <c r="F17" s="55">
        <v>3</v>
      </c>
      <c r="G17" s="55">
        <v>1</v>
      </c>
      <c r="H17" s="55">
        <v>8</v>
      </c>
      <c r="I17" s="55">
        <v>70</v>
      </c>
      <c r="J17" s="55">
        <f t="shared" si="0"/>
        <v>560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184</v>
      </c>
      <c r="D18" s="27" t="s">
        <v>178</v>
      </c>
      <c r="E18" s="27" t="s">
        <v>185</v>
      </c>
      <c r="F18" s="55">
        <v>2</v>
      </c>
      <c r="G18" s="55">
        <v>1</v>
      </c>
      <c r="H18" s="55">
        <v>4</v>
      </c>
      <c r="I18" s="55">
        <v>200</v>
      </c>
      <c r="J18" s="55">
        <f t="shared" si="0"/>
        <v>800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186</v>
      </c>
      <c r="D19" s="27" t="s">
        <v>170</v>
      </c>
      <c r="E19" s="27" t="s">
        <v>187</v>
      </c>
      <c r="F19" s="55">
        <v>3</v>
      </c>
      <c r="G19" s="55">
        <v>1</v>
      </c>
      <c r="H19" s="55">
        <v>18</v>
      </c>
      <c r="I19" s="55">
        <v>350</v>
      </c>
      <c r="J19" s="55">
        <f t="shared" si="0"/>
        <v>6300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188</v>
      </c>
      <c r="D20" s="27" t="s">
        <v>178</v>
      </c>
      <c r="E20" s="27" t="s">
        <v>189</v>
      </c>
      <c r="F20" s="55">
        <v>2</v>
      </c>
      <c r="G20" s="55">
        <v>1</v>
      </c>
      <c r="H20" s="55">
        <v>3</v>
      </c>
      <c r="I20" s="55">
        <v>60</v>
      </c>
      <c r="J20" s="55">
        <f t="shared" si="0"/>
        <v>180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190</v>
      </c>
      <c r="D21" s="27" t="s">
        <v>175</v>
      </c>
      <c r="E21" s="27" t="s">
        <v>191</v>
      </c>
      <c r="F21" s="55">
        <v>3</v>
      </c>
      <c r="G21" s="55">
        <v>1</v>
      </c>
      <c r="H21" s="55">
        <v>6</v>
      </c>
      <c r="I21" s="55">
        <v>50</v>
      </c>
      <c r="J21" s="55">
        <f t="shared" si="0"/>
        <v>300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192</v>
      </c>
      <c r="D22" s="27" t="s">
        <v>178</v>
      </c>
      <c r="E22" s="27" t="s">
        <v>193</v>
      </c>
      <c r="F22" s="55">
        <v>3</v>
      </c>
      <c r="G22" s="55">
        <v>1</v>
      </c>
      <c r="H22" s="55">
        <v>6</v>
      </c>
      <c r="I22" s="55">
        <v>50</v>
      </c>
      <c r="J22" s="55">
        <f t="shared" si="0"/>
        <v>300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194</v>
      </c>
      <c r="D23" s="27" t="s">
        <v>178</v>
      </c>
      <c r="E23" s="27" t="s">
        <v>195</v>
      </c>
      <c r="F23" s="55">
        <v>3</v>
      </c>
      <c r="G23" s="55">
        <v>1</v>
      </c>
      <c r="H23" s="55">
        <v>5</v>
      </c>
      <c r="I23" s="55">
        <v>15</v>
      </c>
      <c r="J23" s="55">
        <f t="shared" si="0"/>
        <v>75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196</v>
      </c>
      <c r="D24" s="27" t="s">
        <v>197</v>
      </c>
      <c r="E24" s="27" t="s">
        <v>198</v>
      </c>
      <c r="F24" s="55">
        <v>1</v>
      </c>
      <c r="G24" s="55">
        <v>1</v>
      </c>
      <c r="H24" s="55">
        <v>1</v>
      </c>
      <c r="I24" s="55">
        <v>2000</v>
      </c>
      <c r="J24" s="55">
        <f t="shared" si="0"/>
        <v>2000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199</v>
      </c>
      <c r="D25" s="27" t="s">
        <v>178</v>
      </c>
      <c r="E25" s="27" t="s">
        <v>200</v>
      </c>
      <c r="F25" s="55">
        <v>2</v>
      </c>
      <c r="G25" s="55">
        <v>1</v>
      </c>
      <c r="H25" s="55">
        <v>2</v>
      </c>
      <c r="I25" s="55">
        <v>50</v>
      </c>
      <c r="J25" s="55">
        <f t="shared" si="0"/>
        <v>100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201</v>
      </c>
      <c r="D26" s="27" t="s">
        <v>178</v>
      </c>
      <c r="E26" s="27" t="s">
        <v>179</v>
      </c>
      <c r="F26" s="55">
        <v>2</v>
      </c>
      <c r="G26" s="55">
        <v>1</v>
      </c>
      <c r="H26" s="55">
        <v>3</v>
      </c>
      <c r="I26" s="55">
        <v>60</v>
      </c>
      <c r="J26" s="55">
        <f t="shared" si="0"/>
        <v>180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202</v>
      </c>
      <c r="D27" s="27" t="s">
        <v>178</v>
      </c>
      <c r="E27" s="27" t="s">
        <v>189</v>
      </c>
      <c r="F27" s="55">
        <v>2</v>
      </c>
      <c r="G27" s="55">
        <v>1</v>
      </c>
      <c r="H27" s="55">
        <v>2</v>
      </c>
      <c r="I27" s="55">
        <v>50</v>
      </c>
      <c r="J27" s="55">
        <f t="shared" si="0"/>
        <v>100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 t="s">
        <v>203</v>
      </c>
      <c r="D28" s="27" t="s">
        <v>175</v>
      </c>
      <c r="E28" s="27" t="s">
        <v>204</v>
      </c>
      <c r="F28" s="55">
        <v>1</v>
      </c>
      <c r="G28" s="55">
        <v>1</v>
      </c>
      <c r="H28" s="55">
        <v>1</v>
      </c>
      <c r="I28" s="55">
        <v>40</v>
      </c>
      <c r="J28" s="55">
        <f t="shared" si="0"/>
        <v>40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 t="s">
        <v>205</v>
      </c>
      <c r="D29" s="27" t="s">
        <v>178</v>
      </c>
      <c r="E29" s="27" t="s">
        <v>206</v>
      </c>
      <c r="F29" s="55">
        <v>2</v>
      </c>
      <c r="G29" s="55">
        <v>1</v>
      </c>
      <c r="H29" s="55">
        <v>3</v>
      </c>
      <c r="I29" s="55">
        <v>200</v>
      </c>
      <c r="J29" s="55">
        <f t="shared" si="0"/>
        <v>600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 t="s">
        <v>207</v>
      </c>
      <c r="D30" s="27" t="s">
        <v>178</v>
      </c>
      <c r="E30" s="27" t="s">
        <v>208</v>
      </c>
      <c r="F30" s="55">
        <v>1</v>
      </c>
      <c r="G30" s="55">
        <v>1</v>
      </c>
      <c r="H30" s="55">
        <v>1</v>
      </c>
      <c r="I30" s="55">
        <v>30</v>
      </c>
      <c r="J30" s="55">
        <f t="shared" si="0"/>
        <v>30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25">
      <c r="A31" s="33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</row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5" sqref="F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225</v>
      </c>
      <c r="D16" s="70" t="s">
        <v>234</v>
      </c>
      <c r="E16" s="55">
        <v>1</v>
      </c>
      <c r="F16" s="55">
        <v>150</v>
      </c>
      <c r="G16" s="55">
        <f t="shared" ref="G16:G24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226</v>
      </c>
      <c r="D17" s="70" t="s">
        <v>234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227</v>
      </c>
      <c r="D18" s="70" t="s">
        <v>234</v>
      </c>
      <c r="E18" s="55">
        <v>2</v>
      </c>
      <c r="F18" s="55">
        <v>150</v>
      </c>
      <c r="G18" s="55">
        <f t="shared" si="0"/>
        <v>300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228</v>
      </c>
      <c r="D19" s="70" t="s">
        <v>234</v>
      </c>
      <c r="E19" s="55">
        <v>7</v>
      </c>
      <c r="F19" s="55">
        <v>40</v>
      </c>
      <c r="G19" s="55">
        <f t="shared" si="0"/>
        <v>280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229</v>
      </c>
      <c r="D20" s="70" t="s">
        <v>234</v>
      </c>
      <c r="E20" s="55">
        <v>2</v>
      </c>
      <c r="F20" s="55">
        <v>350</v>
      </c>
      <c r="G20" s="55">
        <f t="shared" si="0"/>
        <v>700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230</v>
      </c>
      <c r="D21" s="70" t="s">
        <v>234</v>
      </c>
      <c r="E21" s="55">
        <v>4</v>
      </c>
      <c r="F21" s="55">
        <v>20</v>
      </c>
      <c r="G21" s="55">
        <f t="shared" si="0"/>
        <v>80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231</v>
      </c>
      <c r="D22" s="70" t="s">
        <v>234</v>
      </c>
      <c r="E22" s="55">
        <v>1</v>
      </c>
      <c r="F22" s="55">
        <v>150</v>
      </c>
      <c r="G22" s="55">
        <f t="shared" si="0"/>
        <v>150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232</v>
      </c>
      <c r="D23" s="70" t="s">
        <v>234</v>
      </c>
      <c r="E23" s="55">
        <v>1</v>
      </c>
      <c r="F23" s="55">
        <v>20</v>
      </c>
      <c r="G23" s="55">
        <f t="shared" si="0"/>
        <v>20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233</v>
      </c>
      <c r="D24" s="70" t="s">
        <v>234</v>
      </c>
      <c r="E24" s="55">
        <v>1</v>
      </c>
      <c r="F24" s="55">
        <v>20</v>
      </c>
      <c r="G24" s="55">
        <f t="shared" si="0"/>
        <v>20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>
        <v>25</v>
      </c>
      <c r="G13" s="55">
        <v>55</v>
      </c>
      <c r="H13" s="55">
        <v>240</v>
      </c>
      <c r="I13" s="55"/>
      <c r="J13" s="55"/>
      <c r="K13" s="55"/>
      <c r="L13" s="55"/>
      <c r="M13" s="55"/>
      <c r="N13" s="55"/>
      <c r="P13" s="88">
        <f>SUM(D13:N13)</f>
        <v>350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25</v>
      </c>
      <c r="G30" s="88">
        <f t="shared" si="1"/>
        <v>75</v>
      </c>
      <c r="H30" s="88">
        <f t="shared" si="1"/>
        <v>240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2018-06-08T05:04:26Z</dcterms:modified>
</cp:coreProperties>
</file>