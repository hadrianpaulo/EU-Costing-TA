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6" i="9" l="1"/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<sst xmlns="http://schemas.openxmlformats.org/spreadsheetml/2006/main" count="518" uniqueCount="221">
  <si>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</si>
  <si>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</si>
  <si>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</si>
  <si>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</si>
  <si>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</si>
  <si>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</si>
  <si>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</si>
  <si>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</si>
  <si>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</si>
  <si>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</si>
  <si>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</si>
  <si>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</si>
  <si>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</si>
  <si>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</si>
  <si>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</si>
  <si>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</si>
  <si>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</si>
  <si>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</si>
  <si>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</si>
  <si>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</si>
  <si>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</si>
  <si>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</si>
  <si>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</si>
  <si>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</si>
  <si>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</si>
  <si>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</si>
  <si>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</si>
  <si>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</si>
  <si>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</si>
  <si>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</si>
  <si>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</si>
  <si>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</si>
  <si>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</si>
  <si>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</si>
  <si>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</si>
  <si>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</si>
  <si>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</si>
  <si>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</si>
  <si>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</si>
  <si>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</si>
  <si>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</si>
  <si>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</si>
  <si>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</si>
  <si>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</si>
  <si>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</si>
  <si>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</si>
  <si>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</si>
  <si>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</si>
  <si>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</si>
  <si>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</si>
  <si>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</si>
  <si>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</si>
  <si>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</si>
  <si>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</si>
  <si>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</si>
  <si>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</si>
  <si>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</si>
  <si>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</si>
  <si>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</si>
  <si>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</si>
  <si>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</si>
  <si>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</si>
  <si>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</si>
  <si>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</si>
  <si>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</si>
  <si>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</si>
  <si>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</si>
  <si>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</si>
  <si>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</si>
  <si>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</si>
  <si>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</si>
  <si>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</si>
  <si>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</si>
  <si>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</si>
  <si>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</si>
  <si>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</si>
  <si>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</si>
  <si>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</si>
  <si>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</si>
  <si>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</si>
  <si>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</si>
  <si>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</si>
  <si>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</si>
  <si>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</si>
  <si>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</si>
  <si>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</si>
  <si>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</si>
  <si>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</si>
  <si>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</si>
  <si>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</si>
  <si>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</si>
  <si>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</si>
  <si>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</si>
  <si>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</si>
  <si>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</si>
  <si>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</si>
  <si>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</si>
  <si>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</si>
  <si>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</si>
  <si>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</si>
  <si>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</si>
  <si>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</si>
  <si>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</si>
  <si>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</si>
  <si>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</si>
  <si>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</si>
  <si>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</si>
  <si>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</si>
  <si>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</si>
  <si>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</si>
  <si>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</si>
  <si>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</si>
  <si>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</si>
  <si>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</si>
  <si>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</si>
  <si>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</si>
  <si>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</si>
  <si>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</si>
  <si>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</si>
  <si>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</si>
  <si>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</si>
  <si>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</si>
  <si>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</si>
  <si>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</si>
  <si>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</si>
  <si>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</si>
  <si>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</si>
  <si>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</si>
  <si>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</si>
  <si>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</si>
  <si>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</si>
  <si>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</si>
  <si>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</si>
  <si>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</si>
  <si>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</si>
  <si>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</si>
  <si>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</si>
  <si>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</si>
  <si>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</si>
  <si>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</si>
  <si>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</si>
  <si>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</si>
  <si>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</si>
  <si>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</si>
  <si>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</si>
  <si>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</si>
  <si>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</si>
  <si>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</si>
  <si>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</si>
  <si>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</si>
  <si>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</si>
  <si>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</si>
  <si>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</si>
  <si>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</si>
  <si>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</si>
  <si>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</si>
  <si>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</si>
  <si>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</si>
  <si>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</si>
  <si>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</si>
  <si>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</si>
  <si>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</si>
  <si>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</si>
  <si>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</si>
  <si>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</si>
  <si>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</si>
  <si>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</si>
  <si>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</si>
  <si>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 xml:space="preserve">PNSS </t>
  </si>
  <si>
    <t>IV FLUID</t>
  </si>
  <si>
    <t>1L</t>
  </si>
  <si>
    <t>MACROSET</t>
  </si>
  <si>
    <t>INSYTE G22</t>
  </si>
  <si>
    <t>SOLUSET</t>
  </si>
  <si>
    <t>10CC SYRINGE</t>
  </si>
  <si>
    <t>1CC SYRINGE</t>
  </si>
  <si>
    <t>PER PIECE</t>
  </si>
  <si>
    <t>CASE RATE (room,labs,meds, etc)</t>
  </si>
  <si>
    <t>PF CASE RATE</t>
  </si>
  <si>
    <t>ECG</t>
  </si>
  <si>
    <t>CREATININE</t>
  </si>
  <si>
    <t>SENIOR</t>
  </si>
  <si>
    <t>NEBULE</t>
  </si>
  <si>
    <t>2.5MG/500MCG</t>
  </si>
  <si>
    <t>AMPOULE</t>
  </si>
  <si>
    <t>NEBULIZING</t>
  </si>
  <si>
    <t>KIT</t>
  </si>
  <si>
    <t>5CC SYRINGE</t>
  </si>
  <si>
    <t>3CC SYRINGE</t>
  </si>
  <si>
    <t>URINALYSIS</t>
  </si>
  <si>
    <t>CBC W/PLATELET COUNT</t>
  </si>
  <si>
    <t>ELECTROLYTES (NA,K)</t>
  </si>
  <si>
    <t>SGPT</t>
  </si>
  <si>
    <t>DENGUE DOT</t>
  </si>
  <si>
    <t>DENGUE NS1</t>
  </si>
  <si>
    <t>ABS U/S</t>
  </si>
  <si>
    <t>PELVIS AP</t>
  </si>
  <si>
    <t>PROSTATE(TRANS ABD) UTZ</t>
  </si>
  <si>
    <t>PARACETAMOL</t>
  </si>
  <si>
    <t>300MG</t>
  </si>
  <si>
    <t>SALBUTAMOL+IPRATROIUM</t>
  </si>
  <si>
    <t>CEFTRIAXONE</t>
  </si>
  <si>
    <t>VIAL</t>
  </si>
  <si>
    <t>1G</t>
  </si>
  <si>
    <t>AZITHROMYCIN</t>
  </si>
  <si>
    <t>TABLET</t>
  </si>
  <si>
    <t>500MG</t>
  </si>
  <si>
    <t xml:space="preserve">MONTELUKAST+LEVOCETIRIZINE </t>
  </si>
  <si>
    <t>10MG/5ML</t>
  </si>
  <si>
    <t>D5 WATER</t>
  </si>
  <si>
    <t>500ML</t>
  </si>
  <si>
    <t>BISACODYL</t>
  </si>
  <si>
    <t>SUPPOSITORY</t>
  </si>
  <si>
    <t>PARACETAMOL+TRAMADOL</t>
  </si>
  <si>
    <t>325MG/37.5MG</t>
  </si>
  <si>
    <t xml:space="preserve">NAFARIN </t>
  </si>
  <si>
    <t>20MG/1MG/325MG</t>
  </si>
  <si>
    <t>OMEPRAZOLE</t>
  </si>
  <si>
    <t>40MG/ML</t>
  </si>
  <si>
    <t>PIZOTIFEN+VITAMIN B COMPLEX</t>
  </si>
  <si>
    <t>CAPSULE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</si>
</sst>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60" zoomScaleNormal="100" workbookViewId="0">
      <selection activeCell="E74" sqref="E7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190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191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192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193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194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167</v>
      </c>
      <c r="D48" s="23"/>
      <c r="E48" s="55">
        <v>1</v>
      </c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 t="s">
        <v>195</v>
      </c>
      <c r="D49" s="23"/>
      <c r="E49" s="55">
        <v>1</v>
      </c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 t="s">
        <v>196</v>
      </c>
      <c r="D50" s="23"/>
      <c r="E50" s="55">
        <v>1</v>
      </c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 t="s">
        <v>197</v>
      </c>
      <c r="D51" s="23"/>
      <c r="E51" s="55">
        <v>1</v>
      </c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45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46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54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/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 t="s">
        <v>179</v>
      </c>
      <c r="D60" s="28"/>
      <c r="E60" s="55">
        <v>1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56</v>
      </c>
      <c r="C68" s="17" t="s">
        <v>52</v>
      </c>
      <c r="D68" s="17" t="s">
        <v>57</v>
      </c>
      <c r="E68" s="18" t="s">
        <v>58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177</v>
      </c>
      <c r="D69" s="55">
        <v>10500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181</v>
      </c>
      <c r="D70" s="55"/>
      <c r="E70" s="55">
        <v>5882</v>
      </c>
      <c r="F70" s="55">
        <v>13281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178</v>
      </c>
      <c r="D71" s="55">
        <v>4500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181</v>
      </c>
      <c r="D72" s="55"/>
      <c r="E72" s="55">
        <v>465</v>
      </c>
      <c r="F72" s="55">
        <v>1850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15000</v>
      </c>
      <c r="E80" s="59">
        <f>SUM(E69:E79)</f>
        <v>6347</v>
      </c>
      <c r="F80" s="59">
        <f>SUM(F69:F79)</f>
        <v>15131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168</v>
      </c>
      <c r="D11" s="27" t="s">
        <v>169</v>
      </c>
      <c r="E11" s="27" t="s">
        <v>170</v>
      </c>
      <c r="F11" s="55">
        <v>1</v>
      </c>
      <c r="G11" s="55">
        <v>1</v>
      </c>
      <c r="H11" s="55">
        <v>3</v>
      </c>
      <c r="I11" s="55">
        <v>310</v>
      </c>
      <c r="J11" s="55">
        <f t="shared" ref="J11:J23" si="0">H11*I11</f>
        <v>930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184</v>
      </c>
      <c r="E12" s="27" t="s">
        <v>199</v>
      </c>
      <c r="F12" s="55">
        <v>4</v>
      </c>
      <c r="G12" s="55">
        <v>1</v>
      </c>
      <c r="H12" s="55">
        <v>11</v>
      </c>
      <c r="I12" s="55">
        <v>200</v>
      </c>
      <c r="J12" s="55">
        <f t="shared" si="0"/>
        <v>2200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182</v>
      </c>
      <c r="E13" s="27" t="s">
        <v>183</v>
      </c>
      <c r="F13" s="55">
        <v>2</v>
      </c>
      <c r="G13" s="55">
        <v>1</v>
      </c>
      <c r="H13" s="55">
        <v>8</v>
      </c>
      <c r="I13" s="55">
        <v>60</v>
      </c>
      <c r="J13" s="55">
        <f t="shared" si="0"/>
        <v>480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201</v>
      </c>
      <c r="D14" s="27" t="s">
        <v>202</v>
      </c>
      <c r="E14" s="27" t="s">
        <v>203</v>
      </c>
      <c r="F14" s="55">
        <v>4</v>
      </c>
      <c r="G14" s="55">
        <v>1</v>
      </c>
      <c r="H14" s="55">
        <v>11</v>
      </c>
      <c r="I14" s="55">
        <v>1000</v>
      </c>
      <c r="J14" s="55">
        <f t="shared" si="0"/>
        <v>11000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205</v>
      </c>
      <c r="E15" s="27" t="s">
        <v>206</v>
      </c>
      <c r="F15" s="55">
        <v>1</v>
      </c>
      <c r="G15" s="55">
        <v>1</v>
      </c>
      <c r="H15" s="55">
        <v>4</v>
      </c>
      <c r="I15" s="55">
        <v>200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207</v>
      </c>
      <c r="D16" s="27" t="s">
        <v>205</v>
      </c>
      <c r="E16" s="27" t="s">
        <v>208</v>
      </c>
      <c r="F16" s="55">
        <v>1</v>
      </c>
      <c r="G16" s="55">
        <v>1</v>
      </c>
      <c r="H16" s="55">
        <v>6</v>
      </c>
      <c r="I16" s="55">
        <v>70</v>
      </c>
      <c r="J16" s="55">
        <f t="shared" si="0"/>
        <v>420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209</v>
      </c>
      <c r="D17" s="27" t="s">
        <v>169</v>
      </c>
      <c r="E17" s="27" t="s">
        <v>210</v>
      </c>
      <c r="F17" s="55">
        <v>1</v>
      </c>
      <c r="G17" s="55">
        <v>1</v>
      </c>
      <c r="H17" s="55">
        <v>1</v>
      </c>
      <c r="I17" s="55">
        <v>310</v>
      </c>
      <c r="J17" s="55">
        <f t="shared" si="0"/>
        <v>310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212</v>
      </c>
      <c r="E18" s="27" t="s">
        <v>208</v>
      </c>
      <c r="F18" s="55">
        <v>1</v>
      </c>
      <c r="G18" s="55">
        <v>1</v>
      </c>
      <c r="H18" s="55">
        <v>1</v>
      </c>
      <c r="I18" s="55">
        <v>90</v>
      </c>
      <c r="J18" s="55">
        <f t="shared" si="0"/>
        <v>90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213</v>
      </c>
      <c r="D19" s="27" t="s">
        <v>205</v>
      </c>
      <c r="E19" s="27" t="s">
        <v>214</v>
      </c>
      <c r="F19" s="55">
        <v>1</v>
      </c>
      <c r="G19" s="55">
        <v>1</v>
      </c>
      <c r="H19" s="55">
        <v>3</v>
      </c>
      <c r="I19" s="55">
        <v>100</v>
      </c>
      <c r="J19" s="55">
        <f t="shared" si="0"/>
        <v>300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215</v>
      </c>
      <c r="D20" s="27" t="s">
        <v>205</v>
      </c>
      <c r="E20" s="27" t="s">
        <v>216</v>
      </c>
      <c r="F20" s="55">
        <v>1</v>
      </c>
      <c r="G20" s="55">
        <v>1</v>
      </c>
      <c r="H20" s="55">
        <v>2</v>
      </c>
      <c r="I20" s="55">
        <v>13</v>
      </c>
      <c r="J20" s="55">
        <f t="shared" si="0"/>
        <v>26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217</v>
      </c>
      <c r="D21" s="27" t="s">
        <v>202</v>
      </c>
      <c r="E21" s="27" t="s">
        <v>218</v>
      </c>
      <c r="F21" s="55">
        <v>1</v>
      </c>
      <c r="G21" s="55">
        <v>1</v>
      </c>
      <c r="H21" s="55">
        <v>1</v>
      </c>
      <c r="I21" s="55">
        <v>1200</v>
      </c>
      <c r="J21" s="55">
        <f t="shared" si="0"/>
        <v>1200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219</v>
      </c>
      <c r="D22" s="27" t="s">
        <v>220</v>
      </c>
      <c r="E22" s="27"/>
      <c r="F22" s="55">
        <v>1</v>
      </c>
      <c r="G22" s="55">
        <v>1</v>
      </c>
      <c r="H22" s="55">
        <v>2</v>
      </c>
      <c r="I22" s="55">
        <v>76</v>
      </c>
      <c r="J22" s="55">
        <f t="shared" si="0"/>
        <v>152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E29" sqref="E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176</v>
      </c>
      <c r="E16" s="55">
        <v>1</v>
      </c>
      <c r="F16" s="55">
        <v>150</v>
      </c>
      <c r="G16" s="55">
        <f t="shared" ref="G16:G25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172</v>
      </c>
      <c r="D17" s="70" t="s">
        <v>176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186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176</v>
      </c>
      <c r="E19" s="55">
        <v>11</v>
      </c>
      <c r="F19" s="55">
        <v>20</v>
      </c>
      <c r="G19" s="55">
        <f t="shared" si="0"/>
        <v>220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176</v>
      </c>
      <c r="E20" s="55">
        <v>4</v>
      </c>
      <c r="F20" s="55">
        <v>40</v>
      </c>
      <c r="G20" s="55">
        <f t="shared" si="0"/>
        <v>160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175</v>
      </c>
      <c r="D21" s="70" t="s">
        <v>176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187</v>
      </c>
      <c r="D22" s="70" t="s">
        <v>176</v>
      </c>
      <c r="E22" s="55">
        <v>3</v>
      </c>
      <c r="F22" s="55">
        <v>20</v>
      </c>
      <c r="G22" s="55">
        <f t="shared" si="0"/>
        <v>60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173</v>
      </c>
      <c r="D23" s="70" t="s">
        <v>176</v>
      </c>
      <c r="E23" s="55">
        <v>1</v>
      </c>
      <c r="F23" s="55">
        <v>350</v>
      </c>
      <c r="G23" s="55">
        <f t="shared" si="0"/>
        <v>350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>SUM(G16:G23)</f>
        <v>1310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>
        <v>10</v>
      </c>
      <c r="F13" s="55">
        <v>20</v>
      </c>
      <c r="G13" s="55">
        <v>60</v>
      </c>
      <c r="H13" s="55">
        <v>115</v>
      </c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10</v>
      </c>
      <c r="F30" s="88">
        <f t="shared" si="1"/>
        <v>20</v>
      </c>
      <c r="G30" s="88">
        <f t="shared" si="1"/>
        <v>70</v>
      </c>
      <c r="H30" s="88">
        <f t="shared" si="1"/>
        <v>115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2018-06-08T06:18:56Z</dcterms:modified>
</cp:coreProperties>
</file>