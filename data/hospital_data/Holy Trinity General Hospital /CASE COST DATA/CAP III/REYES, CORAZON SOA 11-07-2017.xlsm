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G16" i="9"/>
  <c r="J19" i="2" l="1"/>
  <c r="J18" i="2"/>
  <c r="J17" i="2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<sst xmlns="http://schemas.openxmlformats.org/spreadsheetml/2006/main" count="503" uniqueCount="209">
  <si>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</si>
  <si>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</si>
  <si>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</si>
  <si>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</si>
  <si>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</si>
  <si>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</si>
  <si>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</si>
  <si>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</si>
  <si>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</si>
  <si>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</si>
  <si>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</si>
  <si>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</si>
  <si>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</si>
  <si>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</si>
  <si>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</si>
  <si>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</si>
  <si>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</si>
  <si>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</si>
  <si>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</si>
  <si>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</si>
  <si>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</si>
  <si>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</si>
  <si>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</si>
  <si>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</si>
  <si>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</si>
  <si>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</si>
  <si>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</si>
  <si>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</si>
  <si>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</si>
  <si>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</si>
  <si>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</si>
  <si>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</si>
  <si>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</si>
  <si>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</si>
  <si>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</si>
  <si>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</si>
  <si>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</si>
  <si>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</si>
  <si>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</si>
  <si>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</si>
  <si>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</si>
  <si>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</si>
  <si>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</si>
  <si>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</si>
  <si>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</si>
  <si>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</si>
  <si>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</si>
  <si>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</si>
  <si>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</si>
  <si>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</si>
  <si>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</si>
  <si>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</si>
  <si>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</si>
  <si>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</si>
  <si>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</si>
  <si>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</si>
  <si>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</si>
  <si>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</si>
  <si>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</si>
  <si>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</si>
  <si>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</si>
  <si>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</si>
  <si>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</si>
  <si>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</si>
  <si>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</si>
  <si>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</si>
  <si>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</si>
  <si>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</si>
  <si>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</si>
  <si>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</si>
  <si>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</si>
  <si>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</si>
  <si>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</si>
  <si>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</si>
  <si>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</si>
  <si>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</si>
  <si>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</si>
  <si>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</si>
  <si>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</si>
  <si>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</si>
  <si>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</si>
  <si>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</si>
  <si>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</si>
  <si>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</si>
  <si>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</si>
  <si>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</si>
  <si>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</si>
  <si>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</si>
  <si>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</si>
  <si>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</si>
  <si>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</si>
  <si>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</si>
  <si>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</si>
  <si>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</si>
  <si>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</si>
  <si>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</si>
  <si>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</si>
  <si>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</si>
  <si>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</si>
  <si>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</si>
  <si>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</si>
  <si>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</si>
  <si>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</si>
  <si>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</si>
  <si>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</si>
  <si>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</si>
  <si>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</si>
  <si>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</si>
  <si>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</si>
  <si>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</si>
  <si>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</si>
  <si>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</si>
  <si>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</si>
  <si>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</si>
  <si>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</si>
  <si>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</si>
  <si>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</si>
  <si>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</si>
  <si>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</si>
  <si>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</si>
  <si>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</si>
  <si>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</si>
  <si>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</si>
  <si>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</si>
  <si>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</si>
  <si>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</si>
  <si>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</si>
  <si>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</si>
  <si>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</si>
  <si>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</si>
  <si>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</si>
  <si>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</si>
  <si>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</si>
  <si>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</si>
  <si>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</si>
  <si>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</si>
  <si>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</si>
  <si>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</si>
  <si>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</si>
  <si>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</si>
  <si>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</si>
  <si>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</si>
  <si>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</si>
  <si>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</si>
  <si>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</si>
  <si>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</si>
  <si>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</si>
  <si>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</si>
  <si>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</si>
  <si>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</si>
  <si>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</si>
  <si>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</si>
  <si>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</si>
  <si>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</si>
  <si>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</si>
  <si>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</si>
  <si>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</si>
  <si>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</si>
  <si>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</si>
  <si>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</si>
  <si>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</si>
  <si>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</si>
  <si>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</si>
  <si>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</si>
  <si>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</si>
  <si>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</si>
  <si>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</si>
  <si>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</si>
  <si>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CREATININE</t>
  </si>
  <si>
    <t>ELECTROLYTES IMBALANCE</t>
  </si>
  <si>
    <t>SGPT</t>
  </si>
  <si>
    <t>URINALYSIS</t>
  </si>
  <si>
    <t>GLUCOSE (FASTING</t>
  </si>
  <si>
    <t>URIC ACID</t>
  </si>
  <si>
    <t>CHOLESTEROL</t>
  </si>
  <si>
    <t>TRIGLYCERIDES</t>
  </si>
  <si>
    <t>CXR PA</t>
  </si>
  <si>
    <t>CEFUROXIME</t>
  </si>
  <si>
    <t>VIAL</t>
  </si>
  <si>
    <t>750MG</t>
  </si>
  <si>
    <t>AZITHROMYCIN</t>
  </si>
  <si>
    <t>TABLET</t>
  </si>
  <si>
    <t>500MG</t>
  </si>
  <si>
    <t>CO-ALTRIA</t>
  </si>
  <si>
    <t>10MG/5MG</t>
  </si>
  <si>
    <t>BUTAMIRATE</t>
  </si>
  <si>
    <t>50MG</t>
  </si>
  <si>
    <t>SALBUTAMOL</t>
  </si>
  <si>
    <t>NEBULE</t>
  </si>
  <si>
    <t>1MG/ML</t>
  </si>
  <si>
    <t>PARACETAMOL</t>
  </si>
  <si>
    <t>AMPOULE</t>
  </si>
  <si>
    <t>300MG</t>
  </si>
  <si>
    <t>PNSS</t>
  </si>
  <si>
    <t>IV FLUID</t>
  </si>
  <si>
    <t>1L</t>
  </si>
  <si>
    <t>FLUIMUCIL</t>
  </si>
  <si>
    <t>600MG</t>
  </si>
  <si>
    <t>5CC SYRINGE</t>
  </si>
  <si>
    <t>3CC SYRINGE</t>
  </si>
  <si>
    <t>MACROSET</t>
  </si>
  <si>
    <t>INSYTE G22</t>
  </si>
  <si>
    <t>NEBULIZING</t>
  </si>
  <si>
    <t>1CC SYRINGE</t>
  </si>
  <si>
    <t>KIT</t>
  </si>
  <si>
    <t>PER PIECES</t>
  </si>
  <si>
    <t>ECG</t>
  </si>
  <si>
    <t>CASE RATE  (room,labs,meds, etc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</si>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</sst>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topLeftCell="A60" zoomScaleNormal="100" workbookViewId="0">
      <selection activeCell="F64" sqref="F64: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176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206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207</v>
      </c>
      <c r="D64" s="55">
        <v>10500</v>
      </c>
      <c r="E64" s="55"/>
      <c r="F64" s="55">
        <v>3865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208</v>
      </c>
      <c r="D65" s="55">
        <v>4500</v>
      </c>
      <c r="E65" s="55"/>
      <c r="F65" s="55">
        <v>2050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15000</v>
      </c>
      <c r="E75" s="59">
        <f>SUM(E64:E74)</f>
        <v>0</v>
      </c>
      <c r="F75" s="59">
        <f>SUM(F64:F74)</f>
        <v>5915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0 D64:F73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3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178</v>
      </c>
      <c r="E11" s="27" t="s">
        <v>179</v>
      </c>
      <c r="F11" s="55">
        <v>4</v>
      </c>
      <c r="G11" s="55">
        <v>1</v>
      </c>
      <c r="H11" s="55">
        <v>9</v>
      </c>
      <c r="I11" s="55">
        <v>350</v>
      </c>
      <c r="J11" s="55">
        <f t="shared" ref="J11:J19" si="0">H11*I11</f>
        <v>3150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182</v>
      </c>
      <c r="F12" s="55">
        <v>3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181</v>
      </c>
      <c r="E13" s="27" t="s">
        <v>184</v>
      </c>
      <c r="F13" s="55">
        <v>3</v>
      </c>
      <c r="G13" s="55">
        <v>1</v>
      </c>
      <c r="H13" s="55">
        <v>3</v>
      </c>
      <c r="I13" s="55">
        <v>70</v>
      </c>
      <c r="J13" s="55">
        <f t="shared" si="0"/>
        <v>210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181</v>
      </c>
      <c r="E14" s="27" t="s">
        <v>186</v>
      </c>
      <c r="F14" s="55">
        <v>3</v>
      </c>
      <c r="G14" s="55">
        <v>1</v>
      </c>
      <c r="H14" s="55">
        <v>4</v>
      </c>
      <c r="I14" s="55">
        <v>30</v>
      </c>
      <c r="J14" s="55">
        <f t="shared" si="0"/>
        <v>120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188</v>
      </c>
      <c r="E15" s="27" t="s">
        <v>189</v>
      </c>
      <c r="F15" s="55">
        <v>3</v>
      </c>
      <c r="G15" s="55">
        <v>1</v>
      </c>
      <c r="H15" s="55">
        <v>9</v>
      </c>
      <c r="I15" s="55">
        <v>40</v>
      </c>
      <c r="J15" s="55">
        <f t="shared" si="0"/>
        <v>360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191</v>
      </c>
      <c r="E16" s="27" t="s">
        <v>192</v>
      </c>
      <c r="F16" s="55">
        <v>1</v>
      </c>
      <c r="G16" s="55">
        <v>1</v>
      </c>
      <c r="H16" s="55">
        <v>4</v>
      </c>
      <c r="I16" s="55">
        <v>200</v>
      </c>
      <c r="J16" s="55">
        <f t="shared" si="0"/>
        <v>800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194</v>
      </c>
      <c r="E17" s="27" t="s">
        <v>195</v>
      </c>
      <c r="F17" s="55">
        <v>3</v>
      </c>
      <c r="G17" s="55">
        <v>1</v>
      </c>
      <c r="H17" s="55">
        <v>4</v>
      </c>
      <c r="I17" s="55">
        <v>310</v>
      </c>
      <c r="J17" s="55">
        <f t="shared" si="0"/>
        <v>1240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181</v>
      </c>
      <c r="E18" s="27" t="s">
        <v>197</v>
      </c>
      <c r="F18" s="55">
        <v>2</v>
      </c>
      <c r="G18" s="55">
        <v>1</v>
      </c>
      <c r="H18" s="55">
        <v>2</v>
      </c>
      <c r="I18" s="55">
        <v>80</v>
      </c>
      <c r="J18" s="55">
        <f t="shared" si="0"/>
        <v>160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190</v>
      </c>
      <c r="D19" s="27" t="s">
        <v>181</v>
      </c>
      <c r="E19" s="27" t="s">
        <v>182</v>
      </c>
      <c r="F19" s="55">
        <v>1</v>
      </c>
      <c r="G19" s="55">
        <v>1</v>
      </c>
      <c r="H19" s="55">
        <v>1</v>
      </c>
      <c r="I19" s="55">
        <v>15</v>
      </c>
      <c r="J19" s="55">
        <f t="shared" si="0"/>
        <v>15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198</v>
      </c>
      <c r="D16" s="70" t="s">
        <v>205</v>
      </c>
      <c r="E16" s="55">
        <v>9</v>
      </c>
      <c r="F16" s="55">
        <v>20</v>
      </c>
      <c r="G16" s="55">
        <f t="shared" ref="G16:G21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205</v>
      </c>
      <c r="E17" s="55">
        <v>3</v>
      </c>
      <c r="F17" s="55">
        <v>20</v>
      </c>
      <c r="G17" s="55">
        <f t="shared" si="0"/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205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205</v>
      </c>
      <c r="E19" s="55">
        <v>1</v>
      </c>
      <c r="F19" s="55">
        <v>150</v>
      </c>
      <c r="G19" s="55">
        <f t="shared" si="0"/>
        <v>150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204</v>
      </c>
      <c r="E20" s="55">
        <v>1</v>
      </c>
      <c r="F20" s="55">
        <v>200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205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60</v>
      </c>
      <c r="G13" s="55">
        <v>155</v>
      </c>
      <c r="H13" s="55"/>
      <c r="I13" s="55"/>
      <c r="J13" s="55"/>
      <c r="K13" s="55"/>
      <c r="L13" s="55"/>
      <c r="M13" s="55"/>
      <c r="N13" s="55"/>
      <c r="P13" s="88">
        <f>SUM(D13:N13)</f>
        <v>245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60</v>
      </c>
      <c r="G30" s="88">
        <f t="shared" si="1"/>
        <v>155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2018-06-08T08:43:56Z</dcterms:modified>
</cp:coreProperties>
</file>