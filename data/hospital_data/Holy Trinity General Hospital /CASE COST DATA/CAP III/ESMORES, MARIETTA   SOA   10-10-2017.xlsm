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0" i="2" l="1"/>
  <c r="J19" i="2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<sst xmlns="http://schemas.openxmlformats.org/spreadsheetml/2006/main" count="502" uniqueCount="206">
  <si>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</si>
  <si>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</si>
  <si>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</si>
  <si>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</si>
  <si>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</si>
  <si>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</si>
  <si>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</si>
  <si>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</si>
  <si>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</si>
  <si>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</si>
  <si>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</si>
  <si>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</si>
  <si>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</si>
  <si>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</si>
  <si>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</si>
  <si>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</si>
  <si>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</si>
  <si>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</si>
  <si>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</si>
  <si>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</si>
  <si>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</si>
  <si>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</si>
  <si>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</si>
  <si>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</si>
  <si>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</si>
  <si>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</si>
  <si>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</si>
  <si>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</si>
  <si>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</si>
  <si>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</si>
  <si>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</si>
  <si>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</si>
  <si>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</si>
  <si>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</si>
  <si>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</si>
  <si>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</si>
  <si>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</si>
  <si>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</si>
  <si>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</si>
  <si>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</si>
  <si>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</si>
  <si>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</si>
  <si>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</si>
  <si>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</si>
  <si>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</si>
  <si>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</si>
  <si>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</si>
  <si>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</si>
  <si>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</si>
  <si>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</si>
  <si>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</si>
  <si>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</si>
  <si>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</si>
  <si>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</si>
  <si>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</si>
  <si>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</si>
  <si>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</si>
  <si>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</si>
  <si>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</si>
  <si>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</si>
  <si>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</si>
  <si>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</si>
  <si>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</si>
  <si>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</si>
  <si>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</si>
  <si>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</si>
  <si>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</si>
  <si>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</si>
  <si>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</si>
  <si>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</si>
  <si>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</si>
  <si>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</si>
  <si>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</si>
  <si>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</si>
  <si>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</si>
  <si>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</si>
  <si>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</si>
  <si>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</si>
  <si>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</si>
  <si>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</si>
  <si>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</si>
  <si>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</si>
  <si>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</si>
  <si>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</si>
  <si>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</si>
  <si>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</si>
  <si>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</si>
  <si>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</si>
  <si>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</si>
  <si>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</si>
  <si>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</si>
  <si>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</si>
  <si>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</si>
  <si>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</si>
  <si>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</si>
  <si>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</si>
  <si>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</si>
  <si>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</si>
  <si>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</si>
  <si>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</si>
  <si>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</si>
  <si>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</si>
  <si>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</si>
  <si>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</si>
  <si>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</si>
  <si>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</si>
  <si>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</si>
  <si>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</si>
  <si>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</si>
  <si>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</si>
  <si>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</si>
  <si>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</si>
  <si>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</si>
  <si>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</si>
  <si>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</si>
  <si>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</si>
  <si>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</si>
  <si>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</si>
  <si>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</si>
  <si>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</si>
  <si>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</si>
  <si>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</si>
  <si>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</si>
  <si>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</si>
  <si>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</si>
  <si>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</si>
  <si>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</si>
  <si>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</si>
  <si>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</si>
  <si>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</si>
  <si>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</si>
  <si>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</si>
  <si>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</si>
  <si>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</si>
  <si>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</si>
  <si>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</si>
  <si>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</si>
  <si>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</si>
  <si>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</si>
  <si>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</si>
  <si>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</si>
  <si>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</si>
  <si>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</si>
  <si>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</si>
  <si>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</si>
  <si>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</si>
  <si>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</si>
  <si>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</si>
  <si>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</si>
  <si>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</si>
  <si>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</si>
  <si>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</si>
  <si>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</si>
  <si>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</si>
  <si>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</si>
  <si>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</si>
  <si>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</si>
  <si>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</si>
  <si>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</si>
  <si>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</si>
  <si>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</si>
  <si>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</si>
  <si>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</si>
  <si>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</si>
  <si>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</si>
  <si>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</si>
  <si>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</si>
  <si>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MACROSET</t>
  </si>
  <si>
    <t>PER PIECE</t>
  </si>
  <si>
    <t>CASE RATE (room,labs,meds, etc.)</t>
  </si>
  <si>
    <t>DISCOUNT</t>
  </si>
  <si>
    <t>PF CASE RATE</t>
  </si>
  <si>
    <t>E11.6</t>
  </si>
  <si>
    <t>SGPT</t>
  </si>
  <si>
    <t>CBC W/ PLATELET COUNT</t>
  </si>
  <si>
    <t>CREATININE</t>
  </si>
  <si>
    <t>ELECTROLYTES (NA,K)</t>
  </si>
  <si>
    <t>GLUCOSE (FASTING)</t>
  </si>
  <si>
    <t>LIPID PROFILE</t>
  </si>
  <si>
    <t>URIC ACID</t>
  </si>
  <si>
    <t>UA KETONES</t>
  </si>
  <si>
    <t>URINALYSIS</t>
  </si>
  <si>
    <t>CXR PA</t>
  </si>
  <si>
    <t>ECG</t>
  </si>
  <si>
    <t>RBS</t>
  </si>
  <si>
    <t>LOSARTAN</t>
  </si>
  <si>
    <t>50MG</t>
  </si>
  <si>
    <t>PNSS</t>
  </si>
  <si>
    <t>HUMULIN HR</t>
  </si>
  <si>
    <t>CLONIDINE</t>
  </si>
  <si>
    <t>ATORVASTATIN</t>
  </si>
  <si>
    <t>AMLODIPINE</t>
  </si>
  <si>
    <t>METRONIDAZOLE</t>
  </si>
  <si>
    <t>LEVOFLOXACIN</t>
  </si>
  <si>
    <t>ATENURIX</t>
  </si>
  <si>
    <t>TRAJENTA DUO</t>
  </si>
  <si>
    <t>IV FLUID</t>
  </si>
  <si>
    <t>TABLET</t>
  </si>
  <si>
    <t>1L</t>
  </si>
  <si>
    <t>100UNITS</t>
  </si>
  <si>
    <t>75MG</t>
  </si>
  <si>
    <t>40MG</t>
  </si>
  <si>
    <t>5MG</t>
  </si>
  <si>
    <t>500MG</t>
  </si>
  <si>
    <t>NSYTE G22</t>
  </si>
  <si>
    <t>INSULIN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</si>
</sst>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60" zoomScaleNormal="100" workbookViewId="0">
      <selection activeCell="F68" sqref="F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181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184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182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45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46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54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183</v>
      </c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56</v>
      </c>
      <c r="C65" s="17" t="s">
        <v>52</v>
      </c>
      <c r="D65" s="17" t="s">
        <v>57</v>
      </c>
      <c r="E65" s="18" t="s">
        <v>58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169</v>
      </c>
      <c r="D66" s="55">
        <v>8820</v>
      </c>
      <c r="E66" s="55"/>
      <c r="F66" s="55">
        <v>283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170</v>
      </c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171</v>
      </c>
      <c r="D68" s="55">
        <v>3780</v>
      </c>
      <c r="E68" s="55"/>
      <c r="F68" s="55">
        <v>1850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12600</v>
      </c>
      <c r="E77" s="59">
        <f>SUM(E66:E76)</f>
        <v>0</v>
      </c>
      <c r="F77" s="59">
        <f>SUM(F66:F76)</f>
        <v>2133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4" workbookViewId="0">
      <selection activeCell="H23" sqref="H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197</v>
      </c>
      <c r="E11" s="27" t="s">
        <v>186</v>
      </c>
      <c r="F11" s="55">
        <v>1</v>
      </c>
      <c r="G11" s="55">
        <v>1</v>
      </c>
      <c r="H11" s="55">
        <v>1</v>
      </c>
      <c r="I11" s="55">
        <v>30</v>
      </c>
      <c r="J11" s="55">
        <f t="shared" ref="J11:J20" si="0">H11*I11</f>
        <v>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196</v>
      </c>
      <c r="E12" s="27" t="s">
        <v>198</v>
      </c>
      <c r="F12" s="55">
        <v>3</v>
      </c>
      <c r="G12" s="55">
        <v>1</v>
      </c>
      <c r="H12" s="55">
        <v>3</v>
      </c>
      <c r="I12" s="55">
        <v>310</v>
      </c>
      <c r="J12" s="55">
        <f t="shared" si="0"/>
        <v>930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166</v>
      </c>
      <c r="E13" s="27" t="s">
        <v>199</v>
      </c>
      <c r="F13" s="55">
        <v>2</v>
      </c>
      <c r="G13" s="55">
        <v>1</v>
      </c>
      <c r="H13" s="55">
        <v>14</v>
      </c>
      <c r="I13" s="55">
        <v>24</v>
      </c>
      <c r="J13" s="55">
        <f t="shared" si="0"/>
        <v>336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197</v>
      </c>
      <c r="E14" s="27" t="s">
        <v>200</v>
      </c>
      <c r="F14" s="55">
        <v>2</v>
      </c>
      <c r="G14" s="55">
        <v>1</v>
      </c>
      <c r="H14" s="55">
        <v>2</v>
      </c>
      <c r="I14" s="55">
        <v>35</v>
      </c>
      <c r="J14" s="55">
        <f t="shared" si="0"/>
        <v>70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197</v>
      </c>
      <c r="E15" s="27" t="s">
        <v>201</v>
      </c>
      <c r="F15" s="55">
        <v>1</v>
      </c>
      <c r="G15" s="55">
        <v>1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191</v>
      </c>
      <c r="D16" s="27" t="s">
        <v>197</v>
      </c>
      <c r="E16" s="27" t="s">
        <v>202</v>
      </c>
      <c r="F16" s="55">
        <v>1</v>
      </c>
      <c r="G16" s="55">
        <v>1</v>
      </c>
      <c r="H16" s="55">
        <v>1</v>
      </c>
      <c r="I16" s="55">
        <v>25</v>
      </c>
      <c r="J16" s="55">
        <f t="shared" si="0"/>
        <v>25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192</v>
      </c>
      <c r="D17" s="27" t="s">
        <v>197</v>
      </c>
      <c r="E17" s="27" t="s">
        <v>203</v>
      </c>
      <c r="F17" s="55">
        <v>2</v>
      </c>
      <c r="G17" s="55">
        <v>1</v>
      </c>
      <c r="H17" s="55">
        <v>3</v>
      </c>
      <c r="I17" s="55">
        <v>30</v>
      </c>
      <c r="J17" s="55">
        <f t="shared" si="0"/>
        <v>90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193</v>
      </c>
      <c r="D18" s="27" t="s">
        <v>197</v>
      </c>
      <c r="E18" s="27" t="s">
        <v>203</v>
      </c>
      <c r="F18" s="55">
        <v>2</v>
      </c>
      <c r="G18" s="55">
        <v>1</v>
      </c>
      <c r="H18" s="55">
        <v>3</v>
      </c>
      <c r="I18" s="55">
        <v>60</v>
      </c>
      <c r="J18" s="55">
        <f t="shared" si="0"/>
        <v>180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194</v>
      </c>
      <c r="D19" s="27" t="s">
        <v>197</v>
      </c>
      <c r="E19" s="27" t="s">
        <v>201</v>
      </c>
      <c r="F19" s="55">
        <v>1</v>
      </c>
      <c r="G19" s="55">
        <v>1</v>
      </c>
      <c r="H19" s="55">
        <v>2</v>
      </c>
      <c r="I19" s="55">
        <v>60</v>
      </c>
      <c r="J19" s="55">
        <f t="shared" si="0"/>
        <v>120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195</v>
      </c>
      <c r="D20" s="27" t="s">
        <v>197</v>
      </c>
      <c r="E20" s="27" t="s">
        <v>202</v>
      </c>
      <c r="F20" s="55">
        <v>1</v>
      </c>
      <c r="G20" s="55">
        <v>1</v>
      </c>
      <c r="H20" s="55">
        <v>2</v>
      </c>
      <c r="I20" s="55">
        <v>60</v>
      </c>
      <c r="J20" s="55">
        <f t="shared" si="0"/>
        <v>120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204</v>
      </c>
      <c r="D17" s="70" t="s">
        <v>168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205</v>
      </c>
      <c r="D18" s="70" t="s">
        <v>168</v>
      </c>
      <c r="E18" s="55">
        <v>4</v>
      </c>
      <c r="F18" s="55">
        <v>20</v>
      </c>
      <c r="G18" s="55">
        <f>E18*F18</f>
        <v>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U13" sqref="U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50</v>
      </c>
      <c r="E13" s="55"/>
      <c r="F13" s="55">
        <v>10</v>
      </c>
      <c r="G13" s="55">
        <v>150</v>
      </c>
      <c r="H13" s="55">
        <v>115</v>
      </c>
      <c r="I13" s="55"/>
      <c r="J13" s="55"/>
      <c r="K13" s="55"/>
      <c r="L13" s="55"/>
      <c r="M13" s="55"/>
      <c r="N13" s="55"/>
      <c r="P13" s="88">
        <f>SUM(D13:N13)</f>
        <v>325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50</v>
      </c>
      <c r="E30" s="88">
        <f t="shared" si="1"/>
        <v>0</v>
      </c>
      <c r="F30" s="88">
        <f t="shared" si="1"/>
        <v>10</v>
      </c>
      <c r="G30" s="88">
        <f t="shared" si="1"/>
        <v>150</v>
      </c>
      <c r="H30" s="88">
        <f t="shared" si="1"/>
        <v>115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2018-06-10T14:19:33Z</dcterms:modified>
</cp:coreProperties>
</file>