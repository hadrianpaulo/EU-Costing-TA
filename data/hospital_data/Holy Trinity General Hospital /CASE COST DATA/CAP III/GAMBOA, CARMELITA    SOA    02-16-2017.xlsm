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23" i="2"/>
  <c r="J22" i="2"/>
  <c r="J21" i="2"/>
  <c r="J20" i="2"/>
  <c r="J19" i="2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<sst xmlns="http://schemas.openxmlformats.org/spreadsheetml/2006/main" count="517" uniqueCount="216">
  <si>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</si>
  <si>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</si>
  <si>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</si>
  <si>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</si>
  <si>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</si>
  <si>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</si>
  <si>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</si>
  <si>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</si>
  <si>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</si>
  <si>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</si>
  <si>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</si>
  <si>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</si>
  <si>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</si>
  <si>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</si>
  <si>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</si>
  <si>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</si>
  <si>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</si>
  <si>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</si>
  <si>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</si>
  <si>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</si>
  <si>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</si>
  <si>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</si>
  <si>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</si>
  <si>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</si>
  <si>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</si>
  <si>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</si>
  <si>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</si>
  <si>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</si>
  <si>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</si>
  <si>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</si>
  <si>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</si>
  <si>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</si>
  <si>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</si>
  <si>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</si>
  <si>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</si>
  <si>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</si>
  <si>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</si>
  <si>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</si>
  <si>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</si>
  <si>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</si>
  <si>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</si>
  <si>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</si>
  <si>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</si>
  <si>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</si>
  <si>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</si>
  <si>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</si>
  <si>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</si>
  <si>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</si>
  <si>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</si>
  <si>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</si>
  <si>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</si>
  <si>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</si>
  <si>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</si>
  <si>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</si>
  <si>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</si>
  <si>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</si>
  <si>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</si>
  <si>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</si>
  <si>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</si>
  <si>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</si>
  <si>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</si>
  <si>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</si>
  <si>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</si>
  <si>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</si>
  <si>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</si>
  <si>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</si>
  <si>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</si>
  <si>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</si>
  <si>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</si>
  <si>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</si>
  <si>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</si>
  <si>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</si>
  <si>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</si>
  <si>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</si>
  <si>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</si>
  <si>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</si>
  <si>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</si>
  <si>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</si>
  <si>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</si>
  <si>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</si>
  <si>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</si>
  <si>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</si>
  <si>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</si>
  <si>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</si>
  <si>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</si>
  <si>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</si>
  <si>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</si>
  <si>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</si>
  <si>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</si>
  <si>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</si>
  <si>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</si>
  <si>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</si>
  <si>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</si>
  <si>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</si>
  <si>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</si>
  <si>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</si>
  <si>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</si>
  <si>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</si>
  <si>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</si>
  <si>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</si>
  <si>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</si>
  <si>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</si>
  <si>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</si>
  <si>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</si>
  <si>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</si>
  <si>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</si>
  <si>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</si>
  <si>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</si>
  <si>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</si>
  <si>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</si>
  <si>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</si>
  <si>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</si>
  <si>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</si>
  <si>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</si>
  <si>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</si>
  <si>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</si>
  <si>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</si>
  <si>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</si>
  <si>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</si>
  <si>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</si>
  <si>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</si>
  <si>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</si>
  <si>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</si>
  <si>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</si>
  <si>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</si>
  <si>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</si>
  <si>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</si>
  <si>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</si>
  <si>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</si>
  <si>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</si>
  <si>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</si>
  <si>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</si>
  <si>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</si>
  <si>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</si>
  <si>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</si>
  <si>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</si>
  <si>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</si>
  <si>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</si>
  <si>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</si>
  <si>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</si>
  <si>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</si>
  <si>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</si>
  <si>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</si>
  <si>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</si>
  <si>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</si>
  <si>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</si>
  <si>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</si>
  <si>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</si>
  <si>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</si>
  <si>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</si>
  <si>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</si>
  <si>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</si>
  <si>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</si>
  <si>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</si>
  <si>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</si>
  <si>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</si>
  <si>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</si>
  <si>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</si>
  <si>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</si>
  <si>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</si>
  <si>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</si>
  <si>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</si>
  <si>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</si>
  <si>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</si>
  <si>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</si>
  <si>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</si>
  <si>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</si>
  <si>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</si>
  <si>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</si>
  <si>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PER PIECE</t>
  </si>
  <si>
    <t>CASE RATE (room,labs,meds, etc.)</t>
  </si>
  <si>
    <t>PF CASE RATE</t>
  </si>
  <si>
    <t>J18.92</t>
  </si>
  <si>
    <t>GLUCOSE (FASTING)</t>
  </si>
  <si>
    <t>CREATININE</t>
  </si>
  <si>
    <t>URIC ACID</t>
  </si>
  <si>
    <t>SGPT</t>
  </si>
  <si>
    <t>CHOLESTEROL</t>
  </si>
  <si>
    <t>TRIGLYCERIDES</t>
  </si>
  <si>
    <t>ELECTROLYTES (NA,K)</t>
  </si>
  <si>
    <t>IONIZED CALCIUM</t>
  </si>
  <si>
    <t>CBC W/ PLATELEST COUNT</t>
  </si>
  <si>
    <t>URINALYSIS</t>
  </si>
  <si>
    <t>CXR PA</t>
  </si>
  <si>
    <t>R-KNEE AP-L</t>
  </si>
  <si>
    <t>ECG</t>
  </si>
  <si>
    <t>CBG MONITORING</t>
  </si>
  <si>
    <t xml:space="preserve">FUROSEMIDE </t>
  </si>
  <si>
    <t>SIMVASTATIN</t>
  </si>
  <si>
    <t>CARVEDILOL</t>
  </si>
  <si>
    <t>TRIMETAZIDINE</t>
  </si>
  <si>
    <t>KETOANALOGUE</t>
  </si>
  <si>
    <t>AZITHROMYCIN</t>
  </si>
  <si>
    <t>FLUIMUCIL</t>
  </si>
  <si>
    <t>SALRESP-I</t>
  </si>
  <si>
    <t>COLCHICINE</t>
  </si>
  <si>
    <t>ATENURIX</t>
  </si>
  <si>
    <t>FEROSIAN</t>
  </si>
  <si>
    <t>AMPOULE</t>
  </si>
  <si>
    <t>TABLET</t>
  </si>
  <si>
    <t>NEBULE</t>
  </si>
  <si>
    <t>CASULE</t>
  </si>
  <si>
    <t>20MG</t>
  </si>
  <si>
    <t>6.25MG</t>
  </si>
  <si>
    <t>35MG</t>
  </si>
  <si>
    <t>600MG</t>
  </si>
  <si>
    <t>500MG</t>
  </si>
  <si>
    <t>2.5MG/500MCG</t>
  </si>
  <si>
    <t>500MG/2MG/3MCG</t>
  </si>
  <si>
    <t>40MG</t>
  </si>
  <si>
    <t>INSYTE G22</t>
  </si>
  <si>
    <t>HEPLOCK</t>
  </si>
  <si>
    <t>3CC SYRINGE</t>
  </si>
  <si>
    <t>NEB KIT</t>
  </si>
  <si>
    <t>5CC SYRINGE</t>
  </si>
  <si>
    <t>SENIOR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</si>
</sst>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63" zoomScaleNormal="100" workbookViewId="0">
      <selection activeCell="F70" sqref="F7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177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179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181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182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186</v>
      </c>
      <c r="D44" s="23"/>
      <c r="E44" s="55">
        <v>9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183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 t="s">
        <v>184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185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170</v>
      </c>
      <c r="D67" s="55">
        <v>10500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215</v>
      </c>
      <c r="D68" s="55"/>
      <c r="E68" s="55">
        <v>1462</v>
      </c>
      <c r="F68" s="55">
        <v>6058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171</v>
      </c>
      <c r="D69" s="55">
        <v>4500</v>
      </c>
      <c r="E69" s="55"/>
      <c r="F69" s="55">
        <v>1000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15000</v>
      </c>
      <c r="E78" s="59">
        <f>SUM(E67:E77)</f>
        <v>1462</v>
      </c>
      <c r="F78" s="59">
        <f>SUM(F67:F77)</f>
        <v>7058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I24" sqref="I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1</v>
      </c>
      <c r="G11" s="55">
        <v>1</v>
      </c>
      <c r="H11" s="55">
        <v>7</v>
      </c>
      <c r="I11" s="55">
        <v>350</v>
      </c>
      <c r="J11" s="55">
        <f t="shared" ref="J11:J23" si="0">H11*I11</f>
        <v>2450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187</v>
      </c>
      <c r="D12" s="27" t="s">
        <v>198</v>
      </c>
      <c r="E12" s="27" t="s">
        <v>202</v>
      </c>
      <c r="F12" s="55">
        <v>1</v>
      </c>
      <c r="G12" s="55">
        <v>1</v>
      </c>
      <c r="H12" s="55">
        <v>8</v>
      </c>
      <c r="I12" s="55">
        <v>250</v>
      </c>
      <c r="J12" s="55">
        <f t="shared" si="0"/>
        <v>2000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199</v>
      </c>
      <c r="E13" s="27" t="s">
        <v>202</v>
      </c>
      <c r="F13" s="55">
        <v>1</v>
      </c>
      <c r="G13" s="55">
        <v>1</v>
      </c>
      <c r="H13" s="55">
        <v>4</v>
      </c>
      <c r="I13" s="55">
        <v>40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189</v>
      </c>
      <c r="D14" s="27" t="s">
        <v>199</v>
      </c>
      <c r="E14" s="27" t="s">
        <v>203</v>
      </c>
      <c r="F14" s="55">
        <v>1</v>
      </c>
      <c r="G14" s="55">
        <v>1</v>
      </c>
      <c r="H14" s="55">
        <v>4</v>
      </c>
      <c r="I14" s="55">
        <v>50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199</v>
      </c>
      <c r="E15" s="27" t="s">
        <v>204</v>
      </c>
      <c r="F15" s="55">
        <v>1</v>
      </c>
      <c r="G15" s="55">
        <v>1</v>
      </c>
      <c r="H15" s="55">
        <v>4</v>
      </c>
      <c r="I15" s="55">
        <v>50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199</v>
      </c>
      <c r="E16" s="27" t="s">
        <v>205</v>
      </c>
      <c r="F16" s="55">
        <v>1</v>
      </c>
      <c r="G16" s="55">
        <v>1</v>
      </c>
      <c r="H16" s="55">
        <v>12</v>
      </c>
      <c r="I16" s="55">
        <v>70</v>
      </c>
      <c r="J16" s="55">
        <f t="shared" si="0"/>
        <v>840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199</v>
      </c>
      <c r="E17" s="27" t="s">
        <v>206</v>
      </c>
      <c r="F17" s="55">
        <v>1</v>
      </c>
      <c r="G17" s="55">
        <v>1</v>
      </c>
      <c r="H17" s="55">
        <v>3</v>
      </c>
      <c r="I17" s="55">
        <v>200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199</v>
      </c>
      <c r="E18" s="27" t="s">
        <v>205</v>
      </c>
      <c r="F18" s="55">
        <v>1</v>
      </c>
      <c r="G18" s="55">
        <v>1</v>
      </c>
      <c r="H18" s="55">
        <v>7</v>
      </c>
      <c r="I18" s="55">
        <v>100</v>
      </c>
      <c r="J18" s="55">
        <f t="shared" si="0"/>
        <v>700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200</v>
      </c>
      <c r="E19" s="27" t="s">
        <v>207</v>
      </c>
      <c r="F19" s="55">
        <v>1</v>
      </c>
      <c r="G19" s="55">
        <v>1</v>
      </c>
      <c r="H19" s="55">
        <v>8</v>
      </c>
      <c r="I19" s="55">
        <v>100</v>
      </c>
      <c r="J19" s="55">
        <f t="shared" si="0"/>
        <v>800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195</v>
      </c>
      <c r="D20" s="27" t="s">
        <v>199</v>
      </c>
      <c r="E20" s="27" t="s">
        <v>206</v>
      </c>
      <c r="F20" s="55">
        <v>1</v>
      </c>
      <c r="G20" s="55">
        <v>1</v>
      </c>
      <c r="H20" s="55">
        <v>7</v>
      </c>
      <c r="I20" s="55">
        <v>30</v>
      </c>
      <c r="J20" s="55">
        <f t="shared" si="0"/>
        <v>210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196</v>
      </c>
      <c r="D21" s="27" t="s">
        <v>199</v>
      </c>
      <c r="E21" s="27" t="s">
        <v>209</v>
      </c>
      <c r="F21" s="55">
        <v>1</v>
      </c>
      <c r="G21" s="55">
        <v>1</v>
      </c>
      <c r="H21" s="55">
        <v>4</v>
      </c>
      <c r="I21" s="55">
        <v>60</v>
      </c>
      <c r="J21" s="55">
        <f t="shared" si="0"/>
        <v>240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166</v>
      </c>
      <c r="D22" s="27" t="s">
        <v>201</v>
      </c>
      <c r="E22" s="27" t="s">
        <v>206</v>
      </c>
      <c r="F22" s="55">
        <v>1</v>
      </c>
      <c r="G22" s="55">
        <v>1</v>
      </c>
      <c r="H22" s="55">
        <v>2</v>
      </c>
      <c r="I22" s="55">
        <v>70</v>
      </c>
      <c r="J22" s="55">
        <f t="shared" si="0"/>
        <v>140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197</v>
      </c>
      <c r="D23" s="27" t="s">
        <v>201</v>
      </c>
      <c r="E23" s="27" t="s">
        <v>208</v>
      </c>
      <c r="F23" s="55">
        <v>1</v>
      </c>
      <c r="G23" s="55">
        <v>1</v>
      </c>
      <c r="H23" s="55">
        <v>4</v>
      </c>
      <c r="I23" s="55">
        <v>50</v>
      </c>
      <c r="J23" s="55">
        <f t="shared" si="0"/>
        <v>200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210</v>
      </c>
      <c r="D16" s="70" t="s">
        <v>169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211</v>
      </c>
      <c r="D17" s="70" t="s">
        <v>169</v>
      </c>
      <c r="E17" s="55">
        <v>1</v>
      </c>
      <c r="F17" s="55">
        <v>100</v>
      </c>
      <c r="G17" s="55">
        <f t="shared" si="0"/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212</v>
      </c>
      <c r="D18" s="70" t="s">
        <v>169</v>
      </c>
      <c r="E18" s="55">
        <v>3</v>
      </c>
      <c r="F18" s="55">
        <v>20</v>
      </c>
      <c r="G18" s="55">
        <f t="shared" si="0"/>
        <v>60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213</v>
      </c>
      <c r="D19" s="70" t="s">
        <v>169</v>
      </c>
      <c r="E19" s="55">
        <v>1</v>
      </c>
      <c r="F19" s="55">
        <v>200</v>
      </c>
      <c r="G19" s="55">
        <f t="shared" si="0"/>
        <v>200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214</v>
      </c>
      <c r="D20" s="70" t="s">
        <v>169</v>
      </c>
      <c r="E20" s="55">
        <v>6</v>
      </c>
      <c r="F20" s="55">
        <v>20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/>
      <c r="G13" s="55">
        <v>80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260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0</v>
      </c>
      <c r="G30" s="88">
        <f t="shared" si="1"/>
        <v>80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2018-06-08T09:22:27Z</dcterms:modified>
</cp:coreProperties>
</file>