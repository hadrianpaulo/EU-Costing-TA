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60" windowWidth="15525" windowHeight="732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data_general'!$B$1:$F$80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25" i="9" l="1"/>
  <c r="G24" i="9"/>
  <c r="G23" i="9" l="1"/>
  <c r="G22" i="9"/>
  <c r="J23" i="2" l="1"/>
  <c r="J22" i="2"/>
  <c r="J21" i="2"/>
  <c r="J20" i="2"/>
  <c r="J19" i="2"/>
  <c r="J18" i="2"/>
  <c r="J17" i="2"/>
  <c r="G21" i="9" l="1"/>
  <c r="G20" i="9" l="1"/>
  <c r="G19" i="9"/>
  <c r="G18" i="9"/>
  <c r="G17" i="9"/>
  <c r="G16" i="9"/>
  <c r="J16" i="2"/>
  <c r="J15" i="2"/>
  <c r="J14" i="2"/>
  <c r="J13" i="2"/>
  <c r="J12" i="2"/>
  <c r="J11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80" i="1"/>
  <c r="E80" i="1"/>
  <c r="D80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<sst xmlns="http://schemas.openxmlformats.org/spreadsheetml/2006/main" count="505" uniqueCount="213">
  <si>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</si>
  <si>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</si>
  <si>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</si>
  <si>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</si>
  <si>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</si>
  <si>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</si>
  <si>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</si>
  <si>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</si>
  <si>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</si>
  <si>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</si>
  <si>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</si>
  <si>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</si>
  <si>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</si>
  <si>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</si>
  <si>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</si>
  <si>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</si>
  <si>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</si>
  <si>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</si>
  <si>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</si>
  <si>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</si>
  <si>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</si>
  <si>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</si>
  <si>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</si>
  <si>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</si>
  <si>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</si>
  <si>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</si>
  <si>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</si>
  <si>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</si>
  <si>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</si>
  <si>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</si>
  <si>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</si>
  <si>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</si>
  <si>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</si>
  <si>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</si>
  <si>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</si>
  <si>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</si>
  <si>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</si>
  <si>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</si>
  <si>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</si>
  <si>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</si>
  <si>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</si>
  <si>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</si>
  <si>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</si>
  <si>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</si>
  <si>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</si>
  <si>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</si>
  <si>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</si>
  <si>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</si>
  <si>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</si>
  <si>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</si>
  <si>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</si>
  <si>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</si>
  <si>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</si>
  <si>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</si>
  <si>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</si>
  <si>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</si>
  <si>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</si>
  <si>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</si>
  <si>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</si>
  <si>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</si>
  <si>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</si>
  <si>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</si>
  <si>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</si>
  <si>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</si>
  <si>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</si>
  <si>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</si>
  <si>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</si>
  <si>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</si>
  <si>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</si>
  <si>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</si>
  <si>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</si>
  <si>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</si>
  <si>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</si>
  <si>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</si>
  <si>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</si>
  <si>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</si>
  <si>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</si>
  <si>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</si>
  <si>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</si>
  <si>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</si>
  <si>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</si>
  <si>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</si>
  <si>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</si>
  <si>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</si>
  <si>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</si>
  <si>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</si>
  <si>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</si>
  <si>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</si>
  <si>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</si>
  <si>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</si>
  <si>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</si>
  <si>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</si>
  <si>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</si>
  <si>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</si>
  <si>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</si>
  <si>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</si>
  <si>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</si>
  <si>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</si>
  <si>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</si>
  <si>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</si>
  <si>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</si>
  <si>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</si>
  <si>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</si>
  <si>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</si>
  <si>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</si>
  <si>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</si>
  <si>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</si>
  <si>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</si>
  <si>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</si>
  <si>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</si>
  <si>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</si>
  <si>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</si>
  <si>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</si>
  <si>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</si>
  <si>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</si>
  <si>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</si>
  <si>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</si>
  <si>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</si>
  <si>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</si>
  <si>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</si>
  <si>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</si>
  <si>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</si>
  <si>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</si>
  <si>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</si>
  <si>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</si>
  <si>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</si>
  <si>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</si>
  <si>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</si>
  <si>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</si>
  <si>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</si>
  <si>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</si>
  <si>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</si>
  <si>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</si>
  <si>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</si>
  <si>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</si>
  <si>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</si>
  <si>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</si>
  <si>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</si>
  <si>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</si>
  <si>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</si>
  <si>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</si>
  <si>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</si>
  <si>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</si>
  <si>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</si>
  <si>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</si>
  <si>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</si>
  <si>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</si>
  <si>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</si>
  <si>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</si>
  <si>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</si>
  <si>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</si>
  <si>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</si>
  <si>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</si>
  <si>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</si>
  <si>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</si>
  <si>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</si>
  <si>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</si>
  <si>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</si>
  <si>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</si>
  <si>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</si>
  <si>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</si>
  <si>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</si>
  <si>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</si>
  <si>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</si>
  <si>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</si>
  <si>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</si>
  <si>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J18.92</t>
  </si>
  <si>
    <t>CXR PA</t>
  </si>
  <si>
    <t xml:space="preserve">PNSS </t>
  </si>
  <si>
    <t>IV FLUID</t>
  </si>
  <si>
    <t>1L</t>
  </si>
  <si>
    <t>VIAL</t>
  </si>
  <si>
    <t>TABLET</t>
  </si>
  <si>
    <t>500MG</t>
  </si>
  <si>
    <t>MACROSET</t>
  </si>
  <si>
    <t>INSYTE G22</t>
  </si>
  <si>
    <t>PER PIECE</t>
  </si>
  <si>
    <t>CASE RATE (room,labs,meds, etc)</t>
  </si>
  <si>
    <t>PF CASE RATE</t>
  </si>
  <si>
    <t>ECG</t>
  </si>
  <si>
    <t>CBC W/ PLATELETCOUNT</t>
  </si>
  <si>
    <t>CREATININE</t>
  </si>
  <si>
    <t>SENIOR</t>
  </si>
  <si>
    <t>NEBULE</t>
  </si>
  <si>
    <t>2.5MG/500MCG</t>
  </si>
  <si>
    <t>HYDROCORTISONE</t>
  </si>
  <si>
    <t>100MG</t>
  </si>
  <si>
    <t>SYRINGE</t>
  </si>
  <si>
    <t>AMPOULE</t>
  </si>
  <si>
    <t>20MG/2ML</t>
  </si>
  <si>
    <t>NEBULIZING</t>
  </si>
  <si>
    <t>KIT</t>
  </si>
  <si>
    <t>O2 CANNULA (ADULT)</t>
  </si>
  <si>
    <t>5CC SYRINGE</t>
  </si>
  <si>
    <t>3CC SYRINGE</t>
  </si>
  <si>
    <t>BLOOD UREA NITROGEN</t>
  </si>
  <si>
    <t>HBAIC</t>
  </si>
  <si>
    <t>LIPID PROFILE</t>
  </si>
  <si>
    <t>GLUCOSE</t>
  </si>
  <si>
    <t>URINALYSIS</t>
  </si>
  <si>
    <t>ELECTROLYTES (NA,K)</t>
  </si>
  <si>
    <t>SALBUTAMOL+IPRATROPIUM</t>
  </si>
  <si>
    <t xml:space="preserve">CEFUROXIME </t>
  </si>
  <si>
    <t>750MG</t>
  </si>
  <si>
    <t>EPOETIN</t>
  </si>
  <si>
    <t>4000IU</t>
  </si>
  <si>
    <t xml:space="preserve">AZITHROMYCIN </t>
  </si>
  <si>
    <t xml:space="preserve">LINAGLIPTIN </t>
  </si>
  <si>
    <t>5MG</t>
  </si>
  <si>
    <t>FUROSEMIDE</t>
  </si>
  <si>
    <t>O2 FACE MASK CANNULA (ADULT)</t>
  </si>
  <si>
    <t>OXYGEN USE</t>
  </si>
  <si>
    <t>TANKS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</si>
</sst>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47</xdr:row>
          <xdr:rowOff>19050</xdr:rowOff>
        </xdr:from>
        <xdr:to>
          <xdr:col>1</xdr:col>
          <xdr:colOff>733425</xdr:colOff>
          <xdr:row>47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47</xdr:row>
          <xdr:rowOff>19050</xdr:rowOff>
        </xdr:from>
        <xdr:to>
          <xdr:col>1</xdr:col>
          <xdr:colOff>1504950</xdr:colOff>
          <xdr:row>47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54</xdr:row>
          <xdr:rowOff>19050</xdr:rowOff>
        </xdr:from>
        <xdr:to>
          <xdr:col>1</xdr:col>
          <xdr:colOff>733425</xdr:colOff>
          <xdr:row>54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54</xdr:row>
          <xdr:rowOff>19050</xdr:rowOff>
        </xdr:from>
        <xdr:to>
          <xdr:col>1</xdr:col>
          <xdr:colOff>1504950</xdr:colOff>
          <xdr:row>54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68</xdr:row>
          <xdr:rowOff>19050</xdr:rowOff>
        </xdr:from>
        <xdr:to>
          <xdr:col>1</xdr:col>
          <xdr:colOff>733425</xdr:colOff>
          <xdr:row>68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68</xdr:row>
          <xdr:rowOff>19050</xdr:rowOff>
        </xdr:from>
        <xdr:to>
          <xdr:col>1</xdr:col>
          <xdr:colOff>1504950</xdr:colOff>
          <xdr:row>68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7"/>
  <sheetViews>
    <sheetView topLeftCell="A60" zoomScaleNormal="100" workbookViewId="0">
      <selection activeCell="F73" sqref="F73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13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166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180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181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195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196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 t="s">
        <v>197</v>
      </c>
      <c r="D38" s="23"/>
      <c r="E38" s="55">
        <v>1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 t="s">
        <v>198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 t="s">
        <v>199</v>
      </c>
      <c r="D40" s="23"/>
      <c r="E40" s="55">
        <v>1</v>
      </c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8</v>
      </c>
      <c r="C41" s="27" t="s">
        <v>200</v>
      </c>
      <c r="D41" s="23"/>
      <c r="E41" s="55">
        <v>1</v>
      </c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9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10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11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12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26">
        <v>13</v>
      </c>
      <c r="C46" s="27"/>
      <c r="D46" s="23"/>
      <c r="E46" s="55"/>
      <c r="F46" s="24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thickBot="1" x14ac:dyDescent="0.35">
      <c r="A47" s="1"/>
      <c r="B47" s="118" t="s">
        <v>19</v>
      </c>
      <c r="C47" s="119"/>
      <c r="D47" s="116"/>
      <c r="E47" s="119"/>
      <c r="F47" s="11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26">
        <v>1</v>
      </c>
      <c r="C48" s="27" t="s">
        <v>167</v>
      </c>
      <c r="D48" s="23"/>
      <c r="E48" s="55">
        <v>1</v>
      </c>
      <c r="F48" s="24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2</v>
      </c>
      <c r="C49" s="27"/>
      <c r="D49" s="23"/>
      <c r="E49" s="55"/>
      <c r="F49" s="24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3</v>
      </c>
      <c r="C50" s="27"/>
      <c r="D50" s="23"/>
      <c r="E50" s="55"/>
      <c r="F50" s="24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4</v>
      </c>
      <c r="C51" s="27"/>
      <c r="D51" s="23"/>
      <c r="E51" s="55"/>
      <c r="F51" s="24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thickBot="1" x14ac:dyDescent="0.35">
      <c r="A52" s="1"/>
      <c r="B52" s="118" t="s">
        <v>45</v>
      </c>
      <c r="C52" s="119"/>
      <c r="D52" s="116"/>
      <c r="E52" s="119"/>
      <c r="F52" s="117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14" t="s">
        <v>46</v>
      </c>
      <c r="C53" s="13"/>
      <c r="D53" s="13"/>
      <c r="E53" s="16"/>
      <c r="F53" s="13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thickBot="1" x14ac:dyDescent="0.35">
      <c r="A54" s="1"/>
      <c r="B54" s="115" t="s">
        <v>54</v>
      </c>
      <c r="C54" s="116"/>
      <c r="D54" s="116"/>
      <c r="E54" s="116"/>
      <c r="F54" s="117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20"/>
      <c r="B55" s="30">
        <v>1</v>
      </c>
      <c r="C55" s="31"/>
      <c r="D55" s="32"/>
      <c r="E55" s="57"/>
      <c r="F55" s="57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20"/>
      <c r="B56" s="30">
        <v>2</v>
      </c>
      <c r="C56" s="31"/>
      <c r="D56" s="32"/>
      <c r="E56" s="57"/>
      <c r="F56" s="57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20"/>
      <c r="B57" s="26">
        <v>3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20"/>
      <c r="B58" s="26">
        <v>4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thickBot="1" x14ac:dyDescent="0.35">
      <c r="A59" s="1"/>
      <c r="B59" s="115" t="s">
        <v>20</v>
      </c>
      <c r="C59" s="116"/>
      <c r="D59" s="116"/>
      <c r="E59" s="116"/>
      <c r="F59" s="117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6">
        <v>1</v>
      </c>
      <c r="C60" s="27" t="s">
        <v>179</v>
      </c>
      <c r="D60" s="28"/>
      <c r="E60" s="55">
        <v>1</v>
      </c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26">
        <v>2</v>
      </c>
      <c r="C61" s="27"/>
      <c r="D61" s="28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26">
        <v>3</v>
      </c>
      <c r="C62" s="27"/>
      <c r="D62" s="28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26">
        <v>4</v>
      </c>
      <c r="C63" s="27"/>
      <c r="D63" s="28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26">
        <v>5</v>
      </c>
      <c r="C64" s="27"/>
      <c r="D64" s="28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26">
        <v>6</v>
      </c>
      <c r="C65" s="27"/>
      <c r="D65" s="28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25"/>
      <c r="C66" s="25"/>
      <c r="D66" s="25"/>
      <c r="E66" s="25"/>
      <c r="F66" s="2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57.75" customHeight="1" thickBot="1" x14ac:dyDescent="0.35">
      <c r="A68" s="1"/>
      <c r="B68" s="17" t="s">
        <v>56</v>
      </c>
      <c r="C68" s="17" t="s">
        <v>52</v>
      </c>
      <c r="D68" s="17" t="s">
        <v>57</v>
      </c>
      <c r="E68" s="18" t="s">
        <v>58</v>
      </c>
      <c r="F68" s="19" t="s">
        <v>21</v>
      </c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2">
        <v>1</v>
      </c>
      <c r="C69" s="27" t="s">
        <v>177</v>
      </c>
      <c r="D69" s="55">
        <v>10500</v>
      </c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2</v>
      </c>
      <c r="C70" s="27" t="s">
        <v>182</v>
      </c>
      <c r="D70" s="55"/>
      <c r="E70" s="55">
        <v>2152</v>
      </c>
      <c r="F70" s="55">
        <v>8611</v>
      </c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3</v>
      </c>
      <c r="C71" s="27" t="s">
        <v>178</v>
      </c>
      <c r="D71" s="55">
        <v>4500</v>
      </c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4</v>
      </c>
      <c r="C72" s="27" t="s">
        <v>182</v>
      </c>
      <c r="D72" s="55"/>
      <c r="E72" s="55">
        <v>515</v>
      </c>
      <c r="F72" s="55">
        <v>2050</v>
      </c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0">
        <v>5</v>
      </c>
      <c r="C73" s="27"/>
      <c r="D73" s="55"/>
      <c r="E73" s="55"/>
      <c r="F73" s="55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0">
        <v>6</v>
      </c>
      <c r="C74" s="27"/>
      <c r="D74" s="55"/>
      <c r="E74" s="55"/>
      <c r="F74" s="55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0">
        <v>7</v>
      </c>
      <c r="C75" s="27"/>
      <c r="D75" s="55"/>
      <c r="E75" s="55"/>
      <c r="F75" s="55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0">
        <v>8</v>
      </c>
      <c r="C76" s="27"/>
      <c r="D76" s="55"/>
      <c r="E76" s="55"/>
      <c r="F76" s="55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0">
        <v>9</v>
      </c>
      <c r="C77" s="27"/>
      <c r="D77" s="55"/>
      <c r="E77" s="55"/>
      <c r="F77" s="55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0">
        <v>10</v>
      </c>
      <c r="C78" s="27"/>
      <c r="D78" s="55"/>
      <c r="E78" s="55"/>
      <c r="F78" s="55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4.9000000000000004" customHeight="1" thickBot="1" x14ac:dyDescent="0.35">
      <c r="A79" s="1"/>
      <c r="B79" s="1"/>
      <c r="C79" s="1"/>
      <c r="D79" s="58"/>
      <c r="E79" s="58"/>
      <c r="F79" s="58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thickTop="1" x14ac:dyDescent="0.3">
      <c r="A80" s="1"/>
      <c r="B80" s="11"/>
      <c r="C80" s="4" t="s">
        <v>22</v>
      </c>
      <c r="D80" s="59">
        <f>SUM(D69:D79)</f>
        <v>15000</v>
      </c>
      <c r="E80" s="59">
        <f>SUM(E69:E79)</f>
        <v>2667</v>
      </c>
      <c r="F80" s="59">
        <f>SUM(F69:F79)</f>
        <v>10661</v>
      </c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  <row r="1012" spans="1:25" ht="13.5" customHeight="1" x14ac:dyDescent="0.3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</row>
    <row r="1013" spans="1:25" ht="13.5" customHeight="1" x14ac:dyDescent="0.3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</row>
    <row r="1014" spans="1:25" ht="13.5" customHeight="1" x14ac:dyDescent="0.3">
      <c r="A1014" s="1"/>
      <c r="B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</row>
    <row r="1015" spans="1:25" ht="13.5" customHeight="1" x14ac:dyDescent="0.3">
      <c r="A1015" s="1"/>
      <c r="B1015" s="1"/>
      <c r="C1015" s="1"/>
      <c r="D1015" s="1"/>
      <c r="E1015" s="1"/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</row>
    <row r="1016" spans="1:25" ht="13.5" customHeight="1" x14ac:dyDescent="0.3">
      <c r="A1016" s="1"/>
      <c r="B1016" s="1"/>
      <c r="C1016" s="1"/>
      <c r="D1016" s="1"/>
      <c r="E1016" s="1"/>
      <c r="F1016" s="1"/>
      <c r="G1016" s="1"/>
      <c r="H1016" s="1"/>
      <c r="I1016" s="1"/>
      <c r="J1016" s="1"/>
      <c r="K1016" s="1"/>
      <c r="L1016" s="1"/>
      <c r="M1016" s="1"/>
      <c r="N1016" s="1"/>
      <c r="O1016" s="1"/>
      <c r="P1016" s="1"/>
      <c r="Q1016" s="1"/>
      <c r="R1016" s="1"/>
      <c r="S1016" s="1"/>
      <c r="T1016" s="1"/>
      <c r="U1016" s="1"/>
      <c r="V1016" s="1"/>
      <c r="W1016" s="1"/>
      <c r="X1016" s="1"/>
      <c r="Y1016" s="1"/>
    </row>
    <row r="1017" spans="1:25" ht="13.5" customHeight="1" x14ac:dyDescent="0.3">
      <c r="A1017" s="1"/>
      <c r="B1017" s="1"/>
      <c r="C1017" s="1"/>
      <c r="D1017" s="1"/>
      <c r="E1017" s="1"/>
      <c r="F1017" s="1"/>
      <c r="G1017" s="1"/>
      <c r="H1017" s="1"/>
      <c r="I1017" s="1"/>
      <c r="J1017" s="1"/>
      <c r="K1017" s="1"/>
      <c r="L1017" s="1"/>
      <c r="M1017" s="1"/>
      <c r="N1017" s="1"/>
      <c r="O1017" s="1"/>
      <c r="P1017" s="1"/>
      <c r="Q1017" s="1"/>
      <c r="R1017" s="1"/>
      <c r="S1017" s="1"/>
      <c r="T1017" s="1"/>
      <c r="U1017" s="1"/>
      <c r="V1017" s="1"/>
      <c r="W1017" s="1"/>
      <c r="X1017" s="1"/>
      <c r="Y1017" s="1"/>
    </row>
  </sheetData>
  <sheetProtection password="C2E9" sheet="1" objects="1" scenarios="1" formatColumns="0" formatRows="0" sort="0" autoFilter="0"/>
  <mergeCells count="12">
    <mergeCell ref="B59:F59"/>
    <mergeCell ref="B52:F52"/>
    <mergeCell ref="B12:F12"/>
    <mergeCell ref="B13:F13"/>
    <mergeCell ref="B14:F14"/>
    <mergeCell ref="B15:F15"/>
    <mergeCell ref="B18:F18"/>
    <mergeCell ref="B22:F22"/>
    <mergeCell ref="B33:F33"/>
    <mergeCell ref="B28:F28"/>
    <mergeCell ref="B47:F47"/>
    <mergeCell ref="B54:F54"/>
  </mergeCells>
  <dataValidations count="1">
    <dataValidation type="decimal" operator="greaterThanOrEqual" allowBlank="1" showInputMessage="1" showErrorMessage="1" sqref="E32 E48:E51 E53 E23:F27 E55:F58 E60:F65 D69:F78 E34:E36 E37:E46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7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47</xdr:row>
                    <xdr:rowOff>19050</xdr:rowOff>
                  </from>
                  <to>
                    <xdr:col>1</xdr:col>
                    <xdr:colOff>733425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47</xdr:row>
                    <xdr:rowOff>19050</xdr:rowOff>
                  </from>
                  <to>
                    <xdr:col>1</xdr:col>
                    <xdr:colOff>1504950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54</xdr:row>
                    <xdr:rowOff>19050</xdr:rowOff>
                  </from>
                  <to>
                    <xdr:col>1</xdr:col>
                    <xdr:colOff>733425</xdr:colOff>
                    <xdr:row>54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54</xdr:row>
                    <xdr:rowOff>19050</xdr:rowOff>
                  </from>
                  <to>
                    <xdr:col>1</xdr:col>
                    <xdr:colOff>1504950</xdr:colOff>
                    <xdr:row>54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68</xdr:row>
                    <xdr:rowOff>19050</xdr:rowOff>
                  </from>
                  <to>
                    <xdr:col>1</xdr:col>
                    <xdr:colOff>733425</xdr:colOff>
                    <xdr:row>68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68</xdr:row>
                    <xdr:rowOff>19050</xdr:rowOff>
                  </from>
                  <to>
                    <xdr:col>1</xdr:col>
                    <xdr:colOff>1504950</xdr:colOff>
                    <xdr:row>68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5" workbookViewId="0">
      <selection activeCell="J26" sqref="J26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168</v>
      </c>
      <c r="D11" s="27" t="s">
        <v>169</v>
      </c>
      <c r="E11" s="27" t="s">
        <v>170</v>
      </c>
      <c r="F11" s="55">
        <v>1</v>
      </c>
      <c r="G11" s="55">
        <v>1</v>
      </c>
      <c r="H11" s="55">
        <v>2</v>
      </c>
      <c r="I11" s="55">
        <v>372</v>
      </c>
      <c r="J11" s="55">
        <f t="shared" ref="J11:J23" si="0">H11*I11</f>
        <v>744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185</v>
      </c>
      <c r="D12" s="27" t="s">
        <v>171</v>
      </c>
      <c r="E12" s="27" t="s">
        <v>186</v>
      </c>
      <c r="F12" s="55">
        <v>2</v>
      </c>
      <c r="G12" s="55">
        <v>1</v>
      </c>
      <c r="H12" s="55">
        <v>5</v>
      </c>
      <c r="I12" s="55">
        <v>420</v>
      </c>
      <c r="J12" s="55">
        <f t="shared" si="0"/>
        <v>2100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201</v>
      </c>
      <c r="D13" s="27" t="s">
        <v>183</v>
      </c>
      <c r="E13" s="27" t="s">
        <v>184</v>
      </c>
      <c r="F13" s="55">
        <v>3</v>
      </c>
      <c r="G13" s="55">
        <v>1</v>
      </c>
      <c r="H13" s="55">
        <v>9</v>
      </c>
      <c r="I13" s="55">
        <v>72</v>
      </c>
      <c r="J13" s="55">
        <f t="shared" si="0"/>
        <v>648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202</v>
      </c>
      <c r="D14" s="27" t="s">
        <v>171</v>
      </c>
      <c r="E14" s="27" t="s">
        <v>203</v>
      </c>
      <c r="F14" s="55">
        <v>2</v>
      </c>
      <c r="G14" s="55">
        <v>1</v>
      </c>
      <c r="H14" s="55">
        <v>5</v>
      </c>
      <c r="I14" s="55">
        <v>420</v>
      </c>
      <c r="J14" s="55">
        <f t="shared" si="0"/>
        <v>2100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204</v>
      </c>
      <c r="D15" s="27" t="s">
        <v>187</v>
      </c>
      <c r="E15" s="27" t="s">
        <v>205</v>
      </c>
      <c r="F15" s="55">
        <v>1</v>
      </c>
      <c r="G15" s="55">
        <v>1</v>
      </c>
      <c r="H15" s="55">
        <v>1</v>
      </c>
      <c r="I15" s="55">
        <v>2400</v>
      </c>
      <c r="J15" s="55">
        <f t="shared" si="0"/>
        <v>2400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206</v>
      </c>
      <c r="D16" s="27" t="s">
        <v>172</v>
      </c>
      <c r="E16" s="27" t="s">
        <v>173</v>
      </c>
      <c r="F16" s="55">
        <v>1</v>
      </c>
      <c r="G16" s="55">
        <v>1</v>
      </c>
      <c r="H16" s="55">
        <v>2</v>
      </c>
      <c r="I16" s="55">
        <v>240</v>
      </c>
      <c r="J16" s="55">
        <f t="shared" si="0"/>
        <v>480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207</v>
      </c>
      <c r="D17" s="27" t="s">
        <v>172</v>
      </c>
      <c r="E17" s="27" t="s">
        <v>208</v>
      </c>
      <c r="F17" s="55">
        <v>1</v>
      </c>
      <c r="G17" s="55">
        <v>1</v>
      </c>
      <c r="H17" s="55">
        <v>1</v>
      </c>
      <c r="I17" s="55">
        <v>127</v>
      </c>
      <c r="J17" s="55">
        <f t="shared" si="0"/>
        <v>127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209</v>
      </c>
      <c r="D18" s="27" t="s">
        <v>188</v>
      </c>
      <c r="E18" s="27" t="s">
        <v>189</v>
      </c>
      <c r="F18" s="55">
        <v>1</v>
      </c>
      <c r="G18" s="55">
        <v>1</v>
      </c>
      <c r="H18" s="55">
        <v>3</v>
      </c>
      <c r="I18" s="55">
        <v>300</v>
      </c>
      <c r="J18" s="55">
        <f t="shared" si="0"/>
        <v>900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workbookViewId="0">
      <selection activeCell="F24" sqref="F24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174</v>
      </c>
      <c r="D16" s="70" t="s">
        <v>176</v>
      </c>
      <c r="E16" s="55">
        <v>1</v>
      </c>
      <c r="F16" s="55">
        <v>180</v>
      </c>
      <c r="G16" s="55">
        <f t="shared" ref="G16:G25" si="0">E16*F16</f>
        <v>180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175</v>
      </c>
      <c r="D17" s="70" t="s">
        <v>176</v>
      </c>
      <c r="E17" s="55">
        <v>2</v>
      </c>
      <c r="F17" s="55">
        <v>180</v>
      </c>
      <c r="G17" s="55">
        <f t="shared" si="0"/>
        <v>360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190</v>
      </c>
      <c r="D18" s="70" t="s">
        <v>191</v>
      </c>
      <c r="E18" s="55">
        <v>1</v>
      </c>
      <c r="F18" s="55">
        <v>240</v>
      </c>
      <c r="G18" s="55">
        <f t="shared" si="0"/>
        <v>240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192</v>
      </c>
      <c r="D19" s="70" t="s">
        <v>176</v>
      </c>
      <c r="E19" s="55">
        <v>1</v>
      </c>
      <c r="F19" s="55">
        <v>216</v>
      </c>
      <c r="G19" s="55">
        <f t="shared" si="0"/>
        <v>216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210</v>
      </c>
      <c r="D20" s="70" t="s">
        <v>176</v>
      </c>
      <c r="E20" s="55">
        <v>1</v>
      </c>
      <c r="F20" s="55">
        <v>420</v>
      </c>
      <c r="G20" s="55">
        <f t="shared" si="0"/>
        <v>420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193</v>
      </c>
      <c r="D21" s="70" t="s">
        <v>176</v>
      </c>
      <c r="E21" s="55">
        <v>9</v>
      </c>
      <c r="F21" s="55">
        <v>24</v>
      </c>
      <c r="G21" s="55">
        <f t="shared" si="0"/>
        <v>216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194</v>
      </c>
      <c r="D22" s="70" t="s">
        <v>176</v>
      </c>
      <c r="E22" s="55">
        <v>3</v>
      </c>
      <c r="F22" s="55">
        <v>24</v>
      </c>
      <c r="G22" s="55">
        <f t="shared" si="0"/>
        <v>72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 t="s">
        <v>211</v>
      </c>
      <c r="D23" s="70" t="s">
        <v>212</v>
      </c>
      <c r="E23" s="55">
        <v>1</v>
      </c>
      <c r="F23" s="55">
        <v>600</v>
      </c>
      <c r="G23" s="55">
        <f t="shared" si="0"/>
        <v>600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>
        <f t="shared" si="0"/>
        <v>0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>
        <f t="shared" si="0"/>
        <v>0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77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D3" workbookViewId="0">
      <selection activeCell="P14" sqref="P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85</v>
      </c>
      <c r="J12" s="86" t="s">
        <v>83</v>
      </c>
      <c r="K12" s="85" t="s">
        <v>40</v>
      </c>
      <c r="L12" s="85" t="s">
        <v>84</v>
      </c>
      <c r="M12" s="90" t="s">
        <v>86</v>
      </c>
      <c r="N12" s="90" t="s">
        <v>87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20</v>
      </c>
      <c r="E13" s="55"/>
      <c r="F13" s="55">
        <v>20</v>
      </c>
      <c r="G13" s="55">
        <v>75</v>
      </c>
      <c r="H13" s="55">
        <v>115</v>
      </c>
      <c r="I13" s="55"/>
      <c r="J13" s="55"/>
      <c r="K13" s="55"/>
      <c r="L13" s="55"/>
      <c r="M13" s="55"/>
      <c r="N13" s="55"/>
      <c r="P13" s="88">
        <f>SUM(D13:N13)</f>
        <v>230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42</v>
      </c>
      <c r="D14" s="55"/>
      <c r="E14" s="55"/>
      <c r="F14" s="55"/>
      <c r="G14" s="55">
        <v>10</v>
      </c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10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20</v>
      </c>
      <c r="E30" s="88">
        <f t="shared" si="1"/>
        <v>0</v>
      </c>
      <c r="F30" s="88">
        <f t="shared" si="1"/>
        <v>20</v>
      </c>
      <c r="G30" s="88">
        <f t="shared" si="1"/>
        <v>85</v>
      </c>
      <c r="H30" s="88">
        <f t="shared" si="1"/>
        <v>115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240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Cecile P. Guevarra</cp:lastModifiedBy>
  <dcterms:created xsi:type="dcterms:W3CDTF">2018-05-11T08:46:15Z</dcterms:created>
  <dcterms:modified xsi:type="dcterms:W3CDTF">2018-06-08T05:00:53Z</dcterms:modified>
</cp:coreProperties>
</file>