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18" i="2"/>
  <c r="J17" i="2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<sst xmlns="http://schemas.openxmlformats.org/spreadsheetml/2006/main" count="493" uniqueCount="200">
  <si>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</si>
  <si>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</si>
  <si>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</si>
  <si>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</si>
  <si>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</si>
  <si>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</si>
  <si>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</si>
  <si>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</si>
  <si>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</si>
  <si>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</si>
  <si>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</si>
  <si>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</si>
  <si>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</si>
  <si>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</si>
  <si>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</si>
  <si>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</si>
  <si>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</si>
  <si>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</si>
  <si>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</si>
  <si>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</si>
  <si>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</si>
  <si>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</si>
  <si>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</si>
  <si>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</si>
  <si>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</si>
  <si>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</si>
  <si>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</si>
  <si>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</si>
  <si>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</si>
  <si>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</si>
  <si>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</si>
  <si>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</si>
  <si>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</si>
  <si>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</si>
  <si>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</si>
  <si>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</si>
  <si>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</si>
  <si>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</si>
  <si>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</si>
  <si>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</si>
  <si>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</si>
  <si>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</si>
  <si>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</si>
  <si>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</si>
  <si>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</si>
  <si>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</si>
  <si>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</si>
  <si>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</si>
  <si>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</si>
  <si>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</si>
  <si>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</si>
  <si>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</si>
  <si>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</si>
  <si>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</si>
  <si>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</si>
  <si>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</si>
  <si>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</si>
  <si>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</si>
  <si>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</si>
  <si>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</si>
  <si>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</si>
  <si>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</si>
  <si>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</si>
  <si>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</si>
  <si>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</si>
  <si>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</si>
  <si>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</si>
  <si>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</si>
  <si>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</si>
  <si>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</si>
  <si>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</si>
  <si>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</si>
  <si>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</si>
  <si>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</si>
  <si>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</si>
  <si>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</si>
  <si>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</si>
  <si>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</si>
  <si>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</si>
  <si>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</si>
  <si>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</si>
  <si>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</si>
  <si>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</si>
  <si>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</si>
  <si>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</si>
  <si>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</si>
  <si>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</si>
  <si>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</si>
  <si>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</si>
  <si>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</si>
  <si>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</si>
  <si>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</si>
  <si>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</si>
  <si>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</si>
  <si>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</si>
  <si>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</si>
  <si>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</si>
  <si>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</si>
  <si>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</si>
  <si>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</si>
  <si>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</si>
  <si>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</si>
  <si>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</si>
  <si>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</si>
  <si>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</si>
  <si>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</si>
  <si>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</si>
  <si>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</si>
  <si>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</si>
  <si>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</si>
  <si>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</si>
  <si>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</si>
  <si>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</si>
  <si>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</si>
  <si>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</si>
  <si>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</si>
  <si>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</si>
  <si>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</si>
  <si>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</si>
  <si>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</si>
  <si>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</si>
  <si>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</si>
  <si>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</si>
  <si>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</si>
  <si>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</si>
  <si>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</si>
  <si>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</si>
  <si>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</si>
  <si>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</si>
  <si>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</si>
  <si>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</si>
  <si>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</si>
  <si>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</si>
  <si>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</si>
  <si>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</si>
  <si>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</si>
  <si>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</si>
  <si>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</si>
  <si>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</si>
  <si>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</si>
  <si>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</si>
  <si>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</si>
  <si>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</si>
  <si>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</si>
  <si>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</si>
  <si>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</si>
  <si>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</si>
  <si>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</si>
  <si>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</si>
  <si>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</si>
  <si>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</si>
  <si>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</si>
  <si>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</si>
  <si>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</si>
  <si>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</si>
  <si>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</si>
  <si>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</si>
  <si>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</si>
  <si>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</si>
  <si>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</si>
  <si>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</si>
  <si>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</si>
  <si>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</si>
  <si>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</si>
  <si>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</si>
  <si>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</si>
  <si>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</si>
  <si>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</si>
  <si>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URINALYSIS</t>
  </si>
  <si>
    <t>CXR AP-L</t>
  </si>
  <si>
    <t>CEFUROXIME</t>
  </si>
  <si>
    <t>VIAL</t>
  </si>
  <si>
    <t>750MG</t>
  </si>
  <si>
    <t xml:space="preserve">D5 O3 NACL </t>
  </si>
  <si>
    <t>IV FLUID</t>
  </si>
  <si>
    <t>IL</t>
  </si>
  <si>
    <t>SALRESP-I</t>
  </si>
  <si>
    <t>NEBULE</t>
  </si>
  <si>
    <t>1MG/ML</t>
  </si>
  <si>
    <t>SALBUTAMOL</t>
  </si>
  <si>
    <t>2.5MG/500MCG</t>
  </si>
  <si>
    <t>TABLET</t>
  </si>
  <si>
    <t>500MG</t>
  </si>
  <si>
    <t>CETILAN</t>
  </si>
  <si>
    <t>CAPSULE</t>
  </si>
  <si>
    <t>200MG</t>
  </si>
  <si>
    <t>AMIKACIN</t>
  </si>
  <si>
    <t>500MG/2ML</t>
  </si>
  <si>
    <t xml:space="preserve">MONTELUKAST </t>
  </si>
  <si>
    <t>10MG</t>
  </si>
  <si>
    <t>MACROSET</t>
  </si>
  <si>
    <t>INSYTE G22</t>
  </si>
  <si>
    <t>NEBULIZING</t>
  </si>
  <si>
    <t>5CC SYRINGE</t>
  </si>
  <si>
    <t>1CC SYRINGE</t>
  </si>
  <si>
    <t>3CC SYRINGE</t>
  </si>
  <si>
    <t>PER PIECE</t>
  </si>
  <si>
    <t>CASE RATE (room, labs, meds, etc.)</t>
  </si>
  <si>
    <t>DISCOUNT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</si>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</sst>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5" zoomScaleNormal="100" workbookViewId="0">
      <selection activeCell="H59" sqref="H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169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197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198</v>
      </c>
      <c r="D61" s="55"/>
      <c r="E61" s="55">
        <v>825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199</v>
      </c>
      <c r="D62" s="55">
        <v>4500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825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171</v>
      </c>
      <c r="E11" s="27" t="s">
        <v>172</v>
      </c>
      <c r="F11" s="55">
        <v>2</v>
      </c>
      <c r="G11" s="55">
        <v>1</v>
      </c>
      <c r="H11" s="55">
        <v>7</v>
      </c>
      <c r="I11" s="55">
        <v>350</v>
      </c>
      <c r="J11" s="55">
        <f t="shared" ref="J11:J18" si="0">H11*I11</f>
        <v>2450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174</v>
      </c>
      <c r="E12" s="27" t="s">
        <v>175</v>
      </c>
      <c r="F12" s="55">
        <v>2</v>
      </c>
      <c r="G12" s="55">
        <v>1</v>
      </c>
      <c r="H12" s="55">
        <v>3</v>
      </c>
      <c r="I12" s="55">
        <v>310</v>
      </c>
      <c r="J12" s="55">
        <f t="shared" si="0"/>
        <v>930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180</v>
      </c>
      <c r="F13" s="55">
        <v>2</v>
      </c>
      <c r="G13" s="55">
        <v>1</v>
      </c>
      <c r="H13" s="55">
        <v>7</v>
      </c>
      <c r="I13" s="55">
        <v>60</v>
      </c>
      <c r="J13" s="55">
        <f t="shared" si="0"/>
        <v>420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177</v>
      </c>
      <c r="E14" s="27" t="s">
        <v>178</v>
      </c>
      <c r="F14" s="55">
        <v>1</v>
      </c>
      <c r="G14" s="55">
        <v>1</v>
      </c>
      <c r="H14" s="55">
        <v>1</v>
      </c>
      <c r="I14" s="55">
        <v>40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170</v>
      </c>
      <c r="D15" s="27" t="s">
        <v>181</v>
      </c>
      <c r="E15" s="27" t="s">
        <v>182</v>
      </c>
      <c r="F15" s="55">
        <v>2</v>
      </c>
      <c r="G15" s="55">
        <v>1</v>
      </c>
      <c r="H15" s="55">
        <v>10</v>
      </c>
      <c r="I15" s="55">
        <v>70</v>
      </c>
      <c r="J15" s="55">
        <f t="shared" si="0"/>
        <v>700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184</v>
      </c>
      <c r="E16" s="27" t="s">
        <v>185</v>
      </c>
      <c r="F16" s="55">
        <v>3</v>
      </c>
      <c r="G16" s="55">
        <v>1</v>
      </c>
      <c r="H16" s="55">
        <v>14</v>
      </c>
      <c r="I16" s="55">
        <v>50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171</v>
      </c>
      <c r="E17" s="27" t="s">
        <v>187</v>
      </c>
      <c r="F17" s="55">
        <v>1</v>
      </c>
      <c r="G17" s="55">
        <v>1</v>
      </c>
      <c r="H17" s="55">
        <v>2</v>
      </c>
      <c r="I17" s="55">
        <v>500</v>
      </c>
      <c r="J17" s="55">
        <f t="shared" si="0"/>
        <v>1000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181</v>
      </c>
      <c r="E18" s="27" t="s">
        <v>189</v>
      </c>
      <c r="F18" s="55">
        <v>3</v>
      </c>
      <c r="G18" s="55">
        <v>1</v>
      </c>
      <c r="H18" s="55">
        <v>9</v>
      </c>
      <c r="I18" s="55">
        <v>50</v>
      </c>
      <c r="J18" s="55">
        <f t="shared" si="0"/>
        <v>450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196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196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196</v>
      </c>
      <c r="E18" s="55">
        <v>1</v>
      </c>
      <c r="F18" s="55">
        <v>200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196</v>
      </c>
      <c r="E19" s="55">
        <v>7</v>
      </c>
      <c r="F19" s="55">
        <v>20</v>
      </c>
      <c r="G19" s="55">
        <f t="shared" si="0"/>
        <v>140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196</v>
      </c>
      <c r="E20" s="55">
        <v>2</v>
      </c>
      <c r="F20" s="55">
        <v>20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196</v>
      </c>
      <c r="E21" s="55">
        <v>2</v>
      </c>
      <c r="F21" s="55">
        <v>20</v>
      </c>
      <c r="G21" s="55">
        <f t="shared" si="0"/>
        <v>40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>
        <v>10</v>
      </c>
      <c r="G13" s="55">
        <v>35</v>
      </c>
      <c r="H13" s="55">
        <v>107</v>
      </c>
      <c r="I13" s="55"/>
      <c r="J13" s="55"/>
      <c r="K13" s="55"/>
      <c r="L13" s="55"/>
      <c r="M13" s="55"/>
      <c r="N13" s="55"/>
      <c r="P13" s="88">
        <f>SUM(D13:N13)</f>
        <v>162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10</v>
      </c>
      <c r="G30" s="88">
        <f t="shared" si="1"/>
        <v>45</v>
      </c>
      <c r="H30" s="88">
        <f t="shared" si="1"/>
        <v>107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172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2018-06-08T02:42:24Z</dcterms:modified>
</cp:coreProperties>
</file>