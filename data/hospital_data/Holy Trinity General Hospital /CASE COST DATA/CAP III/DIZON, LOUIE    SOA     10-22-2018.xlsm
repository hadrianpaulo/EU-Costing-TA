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4" i="9" l="1"/>
  <c r="G23" i="9"/>
  <c r="G22" i="9"/>
  <c r="G21" i="9"/>
  <c r="J25" i="2"/>
  <c r="J24" i="2"/>
  <c r="J23" i="2"/>
  <c r="J22" i="2"/>
  <c r="J21" i="2"/>
  <c r="J20" i="2"/>
  <c r="J19" i="2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<sst xmlns="http://schemas.openxmlformats.org/spreadsheetml/2006/main" count="530" uniqueCount="223">
  <si>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</si>
  <si>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</si>
  <si>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</si>
  <si>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</si>
  <si>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</si>
  <si>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</si>
  <si>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</si>
  <si>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</si>
  <si>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</si>
  <si>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</si>
  <si>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</si>
  <si>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</si>
  <si>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</si>
  <si>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</si>
  <si>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</si>
  <si>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</si>
  <si>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</si>
  <si>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</si>
  <si>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</si>
  <si>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</si>
  <si>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</si>
  <si>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</si>
  <si>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</si>
  <si>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</si>
  <si>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</si>
  <si>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</si>
  <si>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</si>
  <si>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</si>
  <si>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</si>
  <si>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</si>
  <si>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</si>
  <si>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</si>
  <si>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</si>
  <si>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</si>
  <si>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</si>
  <si>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</si>
  <si>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</si>
  <si>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</si>
  <si>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</si>
  <si>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</si>
  <si>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</si>
  <si>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</si>
  <si>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</si>
  <si>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</si>
  <si>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</si>
  <si>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</si>
  <si>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</si>
  <si>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</si>
  <si>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</si>
  <si>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</si>
  <si>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</si>
  <si>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</si>
  <si>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</si>
  <si>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</si>
  <si>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</si>
  <si>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</si>
  <si>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</si>
  <si>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</si>
  <si>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</si>
  <si>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</si>
  <si>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</si>
  <si>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</si>
  <si>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</si>
  <si>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</si>
  <si>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</si>
  <si>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</si>
  <si>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</si>
  <si>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</si>
  <si>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</si>
  <si>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</si>
  <si>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</si>
  <si>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</si>
  <si>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</si>
  <si>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</si>
  <si>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</si>
  <si>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</si>
  <si>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</si>
  <si>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</si>
  <si>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</si>
  <si>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</si>
  <si>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</si>
  <si>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</si>
  <si>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</si>
  <si>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</si>
  <si>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</si>
  <si>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</si>
  <si>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</si>
  <si>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</si>
  <si>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</si>
  <si>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</si>
  <si>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</si>
  <si>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</si>
  <si>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</si>
  <si>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</si>
  <si>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</si>
  <si>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</si>
  <si>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</si>
  <si>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</si>
  <si>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</si>
  <si>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</si>
  <si>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</si>
  <si>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</si>
  <si>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</si>
  <si>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</si>
  <si>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</si>
  <si>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</si>
  <si>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</si>
  <si>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</si>
  <si>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</si>
  <si>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</si>
  <si>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</si>
  <si>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</si>
  <si>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</si>
  <si>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</si>
  <si>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</si>
  <si>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</si>
  <si>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</si>
  <si>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</si>
  <si>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</si>
  <si>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</si>
  <si>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</si>
  <si>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</si>
  <si>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</si>
  <si>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</si>
  <si>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</si>
  <si>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</si>
  <si>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</si>
  <si>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</si>
  <si>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</si>
  <si>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</si>
  <si>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</si>
  <si>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</si>
  <si>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</si>
  <si>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</si>
  <si>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</si>
  <si>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</si>
  <si>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</si>
  <si>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</si>
  <si>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</si>
  <si>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</si>
  <si>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</si>
  <si>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</si>
  <si>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</si>
  <si>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</si>
  <si>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</si>
  <si>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</si>
  <si>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</si>
  <si>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</si>
  <si>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</si>
  <si>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</si>
  <si>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</si>
  <si>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</si>
  <si>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</si>
  <si>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</si>
  <si>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</si>
  <si>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</si>
  <si>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</si>
  <si>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</si>
  <si>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</si>
  <si>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</si>
  <si>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</si>
  <si>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</si>
  <si>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</si>
  <si>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</si>
  <si>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</si>
  <si>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</si>
  <si>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</si>
  <si>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MACROSET</t>
  </si>
  <si>
    <t>PER PIECE</t>
  </si>
  <si>
    <t>CASE RATE (room,labs,meds, etc.)</t>
  </si>
  <si>
    <t>DISCOUNT</t>
  </si>
  <si>
    <t>PF CASE RATE</t>
  </si>
  <si>
    <t>J18.92</t>
  </si>
  <si>
    <t>SGPT</t>
  </si>
  <si>
    <t>SGOT</t>
  </si>
  <si>
    <t>CREATININE</t>
  </si>
  <si>
    <t>ELECTROLYTES (NA,K)</t>
  </si>
  <si>
    <t>AMYLASE</t>
  </si>
  <si>
    <t>BLOOD UREA NITROGEN</t>
  </si>
  <si>
    <t>FECALYSIS</t>
  </si>
  <si>
    <t>OCCULT BLOOD</t>
  </si>
  <si>
    <t>CBC W/ PLATELEST COUNT</t>
  </si>
  <si>
    <t>GRAM STAIN</t>
  </si>
  <si>
    <t>CXR PA</t>
  </si>
  <si>
    <t>WHOLE ABDOMEN UTZ</t>
  </si>
  <si>
    <t>OXYGEN</t>
  </si>
  <si>
    <t>PNSS</t>
  </si>
  <si>
    <t>OMEPRAZOLE</t>
  </si>
  <si>
    <t>PARACETAMOL</t>
  </si>
  <si>
    <t>MIASYN</t>
  </si>
  <si>
    <t>CELECOXIB</t>
  </si>
  <si>
    <t>KETOROLAC SODIUM</t>
  </si>
  <si>
    <t>DUOTRAM</t>
  </si>
  <si>
    <t>ARCOXIA</t>
  </si>
  <si>
    <t>HIDRASEC</t>
  </si>
  <si>
    <t>D5 LRS</t>
  </si>
  <si>
    <t>BUTAMIRATE CITRATE</t>
  </si>
  <si>
    <t>TRANEXAMIC ACID</t>
  </si>
  <si>
    <t>IV FLUID</t>
  </si>
  <si>
    <t>AMPOULE</t>
  </si>
  <si>
    <t>TABLET</t>
  </si>
  <si>
    <t>CAPSULE</t>
  </si>
  <si>
    <t>1L</t>
  </si>
  <si>
    <t>40MG</t>
  </si>
  <si>
    <t>300MG</t>
  </si>
  <si>
    <t>1G/500MG</t>
  </si>
  <si>
    <t>ELZOX</t>
  </si>
  <si>
    <t>500MG</t>
  </si>
  <si>
    <t>200MG</t>
  </si>
  <si>
    <t>30MG/ML</t>
  </si>
  <si>
    <t>325MG/37.5MG</t>
  </si>
  <si>
    <t>90MG</t>
  </si>
  <si>
    <t>100MG</t>
  </si>
  <si>
    <t>50MG</t>
  </si>
  <si>
    <t>4G/500MG</t>
  </si>
  <si>
    <t>INSYTE G22</t>
  </si>
  <si>
    <t>INSYTE G24</t>
  </si>
  <si>
    <t>SOLUSET</t>
  </si>
  <si>
    <t>O2 CANNULA</t>
  </si>
  <si>
    <t>5CC SYRINGE</t>
  </si>
  <si>
    <t>3CC SYRINGE</t>
  </si>
  <si>
    <t>1CC SYRINGE</t>
  </si>
  <si>
    <t>10CC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</si>
</sst>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42"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181</v>
      </c>
      <c r="D42" s="23"/>
      <c r="E42" s="55">
        <v>2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182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183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 t="s">
        <v>184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45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46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54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185</v>
      </c>
      <c r="D57" s="28"/>
      <c r="E57" s="55">
        <v>1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56</v>
      </c>
      <c r="C65" s="17" t="s">
        <v>52</v>
      </c>
      <c r="D65" s="17" t="s">
        <v>57</v>
      </c>
      <c r="E65" s="18" t="s">
        <v>58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169</v>
      </c>
      <c r="D66" s="55">
        <v>10500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170</v>
      </c>
      <c r="D67" s="55"/>
      <c r="E67" s="55">
        <v>30</v>
      </c>
      <c r="F67" s="55">
        <v>33850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171</v>
      </c>
      <c r="D68" s="55">
        <v>4500</v>
      </c>
      <c r="E68" s="55"/>
      <c r="F68" s="55">
        <v>2050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15000</v>
      </c>
      <c r="E77" s="59">
        <f>SUM(E66:E76)</f>
        <v>30</v>
      </c>
      <c r="F77" s="59">
        <f>SUM(F66:F76)</f>
        <v>35900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36 E37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B29" sqref="B2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198</v>
      </c>
      <c r="E11" s="27" t="s">
        <v>202</v>
      </c>
      <c r="F11" s="55">
        <v>2</v>
      </c>
      <c r="G11" s="55">
        <v>1</v>
      </c>
      <c r="H11" s="55">
        <v>4</v>
      </c>
      <c r="I11" s="55">
        <v>310</v>
      </c>
      <c r="J11" s="55">
        <f t="shared" ref="J11:J25" si="0">H11*I11</f>
        <v>1240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166</v>
      </c>
      <c r="E12" s="27" t="s">
        <v>203</v>
      </c>
      <c r="F12" s="55">
        <v>3</v>
      </c>
      <c r="G12" s="55">
        <v>1</v>
      </c>
      <c r="H12" s="55">
        <v>3</v>
      </c>
      <c r="I12" s="55">
        <v>1200</v>
      </c>
      <c r="J12" s="55">
        <f t="shared" si="0"/>
        <v>3600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199</v>
      </c>
      <c r="E13" s="27" t="s">
        <v>204</v>
      </c>
      <c r="F13" s="55">
        <v>3</v>
      </c>
      <c r="G13" s="55">
        <v>1</v>
      </c>
      <c r="H13" s="55">
        <v>3</v>
      </c>
      <c r="I13" s="55">
        <v>200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166</v>
      </c>
      <c r="E14" s="27" t="s">
        <v>205</v>
      </c>
      <c r="F14" s="55">
        <v>4</v>
      </c>
      <c r="G14" s="55">
        <v>1</v>
      </c>
      <c r="H14" s="55">
        <v>12</v>
      </c>
      <c r="I14" s="55">
        <v>1500</v>
      </c>
      <c r="J14" s="55">
        <f t="shared" si="0"/>
        <v>18000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200</v>
      </c>
      <c r="E15" s="27" t="s">
        <v>207</v>
      </c>
      <c r="F15" s="55">
        <v>3</v>
      </c>
      <c r="G15" s="55">
        <v>1</v>
      </c>
      <c r="H15" s="55">
        <v>3</v>
      </c>
      <c r="I15" s="55">
        <v>15</v>
      </c>
      <c r="J15" s="55">
        <f t="shared" si="0"/>
        <v>45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201</v>
      </c>
      <c r="E16" s="27" t="s">
        <v>208</v>
      </c>
      <c r="F16" s="55">
        <v>2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201</v>
      </c>
      <c r="E17" s="27" t="s">
        <v>203</v>
      </c>
      <c r="F17" s="55">
        <v>3</v>
      </c>
      <c r="G17" s="55">
        <v>1</v>
      </c>
      <c r="H17" s="55">
        <v>3</v>
      </c>
      <c r="I17" s="55">
        <v>50</v>
      </c>
      <c r="J17" s="55">
        <f t="shared" si="0"/>
        <v>150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191</v>
      </c>
      <c r="D18" s="27" t="s">
        <v>199</v>
      </c>
      <c r="E18" s="27" t="s">
        <v>209</v>
      </c>
      <c r="F18" s="55">
        <v>1</v>
      </c>
      <c r="G18" s="55">
        <v>1</v>
      </c>
      <c r="H18" s="55">
        <v>1</v>
      </c>
      <c r="I18" s="55">
        <v>300</v>
      </c>
      <c r="J18" s="55">
        <f t="shared" si="0"/>
        <v>300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192</v>
      </c>
      <c r="D19" s="27" t="s">
        <v>200</v>
      </c>
      <c r="E19" s="27" t="s">
        <v>210</v>
      </c>
      <c r="F19" s="55">
        <v>3</v>
      </c>
      <c r="G19" s="55">
        <v>1</v>
      </c>
      <c r="H19" s="55">
        <v>5</v>
      </c>
      <c r="I19" s="55">
        <v>100</v>
      </c>
      <c r="J19" s="55">
        <f t="shared" si="0"/>
        <v>500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193</v>
      </c>
      <c r="D20" s="27" t="s">
        <v>200</v>
      </c>
      <c r="E20" s="27" t="s">
        <v>211</v>
      </c>
      <c r="F20" s="55">
        <v>1</v>
      </c>
      <c r="G20" s="55">
        <v>1</v>
      </c>
      <c r="H20" s="55">
        <v>1</v>
      </c>
      <c r="I20" s="55">
        <v>120</v>
      </c>
      <c r="J20" s="55">
        <f t="shared" si="0"/>
        <v>120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194</v>
      </c>
      <c r="D21" s="27" t="s">
        <v>201</v>
      </c>
      <c r="E21" s="27" t="s">
        <v>212</v>
      </c>
      <c r="F21" s="55">
        <v>4</v>
      </c>
      <c r="G21" s="55">
        <v>1</v>
      </c>
      <c r="H21" s="55">
        <v>4</v>
      </c>
      <c r="I21" s="55">
        <v>70</v>
      </c>
      <c r="J21" s="55">
        <f t="shared" si="0"/>
        <v>280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195</v>
      </c>
      <c r="D22" s="27" t="s">
        <v>198</v>
      </c>
      <c r="E22" s="27" t="s">
        <v>202</v>
      </c>
      <c r="F22" s="55">
        <v>5</v>
      </c>
      <c r="G22" s="55">
        <v>1</v>
      </c>
      <c r="H22" s="55">
        <v>5</v>
      </c>
      <c r="I22" s="55">
        <v>310</v>
      </c>
      <c r="J22" s="55">
        <f t="shared" si="0"/>
        <v>1550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196</v>
      </c>
      <c r="D23" s="27" t="s">
        <v>200</v>
      </c>
      <c r="E23" s="27" t="s">
        <v>213</v>
      </c>
      <c r="F23" s="55">
        <v>4</v>
      </c>
      <c r="G23" s="55">
        <v>1</v>
      </c>
      <c r="H23" s="55">
        <v>7</v>
      </c>
      <c r="I23" s="55">
        <v>30</v>
      </c>
      <c r="J23" s="55">
        <f t="shared" si="0"/>
        <v>210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197</v>
      </c>
      <c r="D24" s="27" t="s">
        <v>201</v>
      </c>
      <c r="E24" s="27" t="s">
        <v>207</v>
      </c>
      <c r="F24" s="55">
        <v>2</v>
      </c>
      <c r="G24" s="55">
        <v>1</v>
      </c>
      <c r="H24" s="55">
        <v>5</v>
      </c>
      <c r="I24" s="55">
        <v>40</v>
      </c>
      <c r="J24" s="55">
        <f t="shared" si="0"/>
        <v>200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206</v>
      </c>
      <c r="D25" s="27" t="s">
        <v>166</v>
      </c>
      <c r="E25" s="27" t="s">
        <v>214</v>
      </c>
      <c r="F25" s="55">
        <v>1</v>
      </c>
      <c r="G25" s="55">
        <v>1</v>
      </c>
      <c r="H25" s="55">
        <v>1</v>
      </c>
      <c r="I25" s="55">
        <v>2000</v>
      </c>
      <c r="J25" s="55">
        <f t="shared" si="0"/>
        <v>2000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F25" sqref="F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150</v>
      </c>
      <c r="G16" s="55">
        <f t="shared" ref="G16:G24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215</v>
      </c>
      <c r="D17" s="70" t="s">
        <v>168</v>
      </c>
      <c r="E17" s="55">
        <v>4</v>
      </c>
      <c r="F17" s="55">
        <v>150</v>
      </c>
      <c r="G17" s="55">
        <f t="shared" si="0"/>
        <v>600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216</v>
      </c>
      <c r="D18" s="70" t="s">
        <v>168</v>
      </c>
      <c r="E18" s="55">
        <v>2</v>
      </c>
      <c r="F18" s="55">
        <v>150</v>
      </c>
      <c r="G18" s="55">
        <f t="shared" si="0"/>
        <v>300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217</v>
      </c>
      <c r="D19" s="70" t="s">
        <v>168</v>
      </c>
      <c r="E19" s="55">
        <v>1</v>
      </c>
      <c r="F19" s="55">
        <v>350</v>
      </c>
      <c r="G19" s="55">
        <f t="shared" si="0"/>
        <v>350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218</v>
      </c>
      <c r="D20" s="70" t="s">
        <v>168</v>
      </c>
      <c r="E20" s="55">
        <v>1</v>
      </c>
      <c r="F20" s="55">
        <v>180</v>
      </c>
      <c r="G20" s="55">
        <f t="shared" si="0"/>
        <v>180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219</v>
      </c>
      <c r="D21" s="70" t="s">
        <v>168</v>
      </c>
      <c r="E21" s="55">
        <v>8</v>
      </c>
      <c r="F21" s="55">
        <v>20</v>
      </c>
      <c r="G21" s="55">
        <f t="shared" si="0"/>
        <v>160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220</v>
      </c>
      <c r="D22" s="70" t="s">
        <v>168</v>
      </c>
      <c r="E22" s="55">
        <v>5</v>
      </c>
      <c r="F22" s="55">
        <v>20</v>
      </c>
      <c r="G22" s="55">
        <f t="shared" si="0"/>
        <v>100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221</v>
      </c>
      <c r="D23" s="70" t="s">
        <v>168</v>
      </c>
      <c r="E23" s="55">
        <v>3</v>
      </c>
      <c r="F23" s="55">
        <v>20</v>
      </c>
      <c r="G23" s="55">
        <f t="shared" si="0"/>
        <v>60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222</v>
      </c>
      <c r="D24" s="70" t="s">
        <v>168</v>
      </c>
      <c r="E24" s="55">
        <v>12</v>
      </c>
      <c r="F24" s="55">
        <v>40</v>
      </c>
      <c r="G24" s="55">
        <f t="shared" si="0"/>
        <v>480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35</v>
      </c>
      <c r="E13" s="55"/>
      <c r="F13" s="55">
        <v>10</v>
      </c>
      <c r="G13" s="55">
        <v>60</v>
      </c>
      <c r="H13" s="55">
        <v>150</v>
      </c>
      <c r="I13" s="55"/>
      <c r="J13" s="55"/>
      <c r="K13" s="55"/>
      <c r="L13" s="55"/>
      <c r="M13" s="55"/>
      <c r="N13" s="55"/>
      <c r="P13" s="88">
        <f>SUM(D13:N13)</f>
        <v>255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35</v>
      </c>
      <c r="E30" s="88">
        <f t="shared" si="1"/>
        <v>0</v>
      </c>
      <c r="F30" s="88">
        <f t="shared" si="1"/>
        <v>10</v>
      </c>
      <c r="G30" s="88">
        <f t="shared" si="1"/>
        <v>60</v>
      </c>
      <c r="H30" s="88">
        <f t="shared" si="1"/>
        <v>150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2018-06-08T06:26:21Z</dcterms:modified>
</cp:coreProperties>
</file>