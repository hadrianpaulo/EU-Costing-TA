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<sst xmlns="http://schemas.openxmlformats.org/spreadsheetml/2006/main" count="488" uniqueCount="195">
  <si>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</si>
  <si>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</si>
  <si>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</si>
  <si>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</si>
  <si>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</si>
  <si>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</si>
  <si>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</si>
  <si>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</si>
  <si>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</si>
  <si>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</si>
  <si>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</si>
  <si>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</si>
  <si>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</si>
  <si>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</si>
  <si>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</si>
  <si>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</si>
  <si>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</si>
  <si>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</si>
  <si>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</si>
  <si>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</si>
  <si>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</si>
  <si>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</si>
  <si>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</si>
  <si>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</si>
  <si>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</si>
  <si>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</si>
  <si>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</si>
  <si>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</si>
  <si>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</si>
  <si>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</si>
  <si>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</si>
  <si>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</si>
  <si>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</si>
  <si>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</si>
  <si>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</si>
  <si>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</si>
  <si>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</si>
  <si>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</si>
  <si>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</si>
  <si>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</si>
  <si>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</si>
  <si>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</si>
  <si>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</si>
  <si>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</si>
  <si>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</si>
  <si>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</si>
  <si>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</si>
  <si>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</si>
  <si>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</si>
  <si>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</si>
  <si>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</si>
  <si>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</si>
  <si>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</si>
  <si>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</si>
  <si>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</si>
  <si>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</si>
  <si>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</si>
  <si>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</si>
  <si>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</si>
  <si>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</si>
  <si>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</si>
  <si>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</si>
  <si>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</si>
  <si>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</si>
  <si>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</si>
  <si>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</si>
  <si>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</si>
  <si>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</si>
  <si>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</si>
  <si>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</si>
  <si>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</si>
  <si>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</si>
  <si>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</si>
  <si>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</si>
  <si>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</si>
  <si>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</si>
  <si>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</si>
  <si>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</si>
  <si>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</si>
  <si>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</si>
  <si>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</si>
  <si>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</si>
  <si>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</si>
  <si>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</si>
  <si>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</si>
  <si>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</si>
  <si>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</si>
  <si>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</si>
  <si>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</si>
  <si>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</si>
  <si>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</si>
  <si>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</si>
  <si>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</si>
  <si>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</si>
  <si>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</si>
  <si>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</si>
  <si>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</si>
  <si>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</si>
  <si>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</si>
  <si>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</si>
  <si>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</si>
  <si>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</si>
  <si>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</si>
  <si>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</si>
  <si>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</si>
  <si>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</si>
  <si>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</si>
  <si>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</si>
  <si>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</si>
  <si>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</si>
  <si>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</si>
  <si>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</si>
  <si>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</si>
  <si>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</si>
  <si>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</si>
  <si>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</si>
  <si>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</si>
  <si>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</si>
  <si>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</si>
  <si>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</si>
  <si>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</si>
  <si>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</si>
  <si>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</si>
  <si>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</si>
  <si>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</si>
  <si>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</si>
  <si>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</si>
  <si>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</si>
  <si>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</si>
  <si>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</si>
  <si>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</si>
  <si>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</si>
  <si>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</si>
  <si>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</si>
  <si>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</si>
  <si>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</si>
  <si>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</si>
  <si>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</si>
  <si>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</si>
  <si>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</si>
  <si>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</si>
  <si>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</si>
  <si>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</si>
  <si>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</si>
  <si>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</si>
  <si>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</si>
  <si>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</si>
  <si>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</si>
  <si>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</si>
  <si>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</si>
  <si>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</si>
  <si>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</si>
  <si>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</si>
  <si>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</si>
  <si>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</si>
  <si>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</si>
  <si>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</si>
  <si>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</si>
  <si>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</si>
  <si>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</si>
  <si>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</si>
  <si>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</si>
  <si>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</si>
  <si>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</si>
  <si>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</si>
  <si>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</si>
  <si>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W/ PLATELET COUNT</t>
  </si>
  <si>
    <t>IV FLUID</t>
  </si>
  <si>
    <t>INSYTE G22</t>
  </si>
  <si>
    <t>3CC SYRINGE</t>
  </si>
  <si>
    <t>PER PIECE</t>
  </si>
  <si>
    <t>5CC SYRINGE</t>
  </si>
  <si>
    <t>1CC SYRINGE</t>
  </si>
  <si>
    <t>MICROSET</t>
  </si>
  <si>
    <t>OXYGEN</t>
  </si>
  <si>
    <t>CASE RATE(room,labs,meds, etc.)</t>
  </si>
  <si>
    <t>PF CASE RATE</t>
  </si>
  <si>
    <t>SGPT</t>
  </si>
  <si>
    <t>URINALYSIS</t>
  </si>
  <si>
    <t>AFB</t>
  </si>
  <si>
    <t>CXR PA</t>
  </si>
  <si>
    <t>RBS</t>
  </si>
  <si>
    <t>ECG</t>
  </si>
  <si>
    <t>SENIOR DISCOUNT</t>
  </si>
  <si>
    <t>D5 WATER</t>
  </si>
  <si>
    <t>500CC</t>
  </si>
  <si>
    <t>CEFUROXIME</t>
  </si>
  <si>
    <t>VIAL</t>
  </si>
  <si>
    <t>750MG</t>
  </si>
  <si>
    <t xml:space="preserve">AMIKACIN </t>
  </si>
  <si>
    <t>500MG</t>
  </si>
  <si>
    <t xml:space="preserve">AZITHROMYCIN </t>
  </si>
  <si>
    <t>TABLET</t>
  </si>
  <si>
    <t>PARACETAMOL</t>
  </si>
  <si>
    <t>O2 CANNULA (ADULT)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</si>
</sst>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7" zoomScaleNormal="100" workbookViewId="0">
      <selection activeCell="F65" sqref="F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180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44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53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174</v>
      </c>
      <c r="D53" s="28"/>
      <c r="E53" s="55">
        <v>1</v>
      </c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 t="s">
        <v>182</v>
      </c>
      <c r="D54" s="28"/>
      <c r="E54" s="55">
        <v>1</v>
      </c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175</v>
      </c>
      <c r="D62" s="55">
        <v>10500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183</v>
      </c>
      <c r="D63" s="55"/>
      <c r="E63" s="55">
        <v>847</v>
      </c>
      <c r="F63" s="55">
        <v>3468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176</v>
      </c>
      <c r="D64" s="55">
        <v>4500</v>
      </c>
      <c r="E64" s="55"/>
      <c r="F64" s="55">
        <v>500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15000</v>
      </c>
      <c r="E73" s="59">
        <f>SUM(E62:E72)</f>
        <v>847</v>
      </c>
      <c r="F73" s="59">
        <f>SUM(F62:F72)</f>
        <v>3968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K11" sqref="K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167</v>
      </c>
      <c r="E11" s="27" t="s">
        <v>185</v>
      </c>
      <c r="F11" s="55">
        <v>1</v>
      </c>
      <c r="G11" s="55">
        <v>1</v>
      </c>
      <c r="H11" s="55">
        <v>2</v>
      </c>
      <c r="I11" s="55">
        <v>260</v>
      </c>
      <c r="J11" s="55">
        <f t="shared" ref="J11:J17" si="0">H11*I11</f>
        <v>520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187</v>
      </c>
      <c r="E12" s="27" t="s">
        <v>188</v>
      </c>
      <c r="F12" s="55">
        <v>2</v>
      </c>
      <c r="G12" s="55">
        <v>1</v>
      </c>
      <c r="H12" s="55">
        <v>9</v>
      </c>
      <c r="I12" s="55">
        <v>350</v>
      </c>
      <c r="J12" s="55">
        <f t="shared" si="0"/>
        <v>3150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187</v>
      </c>
      <c r="E13" s="27" t="s">
        <v>190</v>
      </c>
      <c r="F13" s="55">
        <v>1</v>
      </c>
      <c r="G13" s="55">
        <v>1</v>
      </c>
      <c r="H13" s="55">
        <v>5</v>
      </c>
      <c r="I13" s="55">
        <v>500</v>
      </c>
      <c r="J13" s="55">
        <f t="shared" si="0"/>
        <v>2500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192</v>
      </c>
      <c r="E14" s="27" t="s">
        <v>190</v>
      </c>
      <c r="F14" s="55">
        <v>1</v>
      </c>
      <c r="G14" s="55">
        <v>1</v>
      </c>
      <c r="H14" s="55">
        <v>4</v>
      </c>
      <c r="I14" s="55">
        <v>200</v>
      </c>
      <c r="J14" s="55">
        <f t="shared" si="0"/>
        <v>800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192</v>
      </c>
      <c r="E15" s="27" t="s">
        <v>190</v>
      </c>
      <c r="F15" s="55">
        <v>1</v>
      </c>
      <c r="G15" s="55">
        <v>1</v>
      </c>
      <c r="H15" s="55">
        <v>3</v>
      </c>
      <c r="I15" s="55">
        <v>15</v>
      </c>
      <c r="J15" s="55">
        <f t="shared" si="0"/>
        <v>45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F22" sqref="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173</v>
      </c>
      <c r="D16" s="70" t="s">
        <v>170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170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171</v>
      </c>
      <c r="D18" s="70" t="s">
        <v>170</v>
      </c>
      <c r="E18" s="55">
        <v>8</v>
      </c>
      <c r="F18" s="55">
        <v>20</v>
      </c>
      <c r="G18" s="55">
        <f t="shared" si="0"/>
        <v>160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172</v>
      </c>
      <c r="D19" s="70" t="s">
        <v>170</v>
      </c>
      <c r="E19" s="55">
        <v>2</v>
      </c>
      <c r="F19" s="55">
        <v>20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169</v>
      </c>
      <c r="D20" s="70" t="s">
        <v>170</v>
      </c>
      <c r="E20" s="55">
        <v>4</v>
      </c>
      <c r="F20" s="55">
        <v>20</v>
      </c>
      <c r="G20" s="55">
        <f t="shared" si="0"/>
        <v>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194</v>
      </c>
      <c r="D21" s="70" t="s">
        <v>170</v>
      </c>
      <c r="E21" s="55">
        <v>1</v>
      </c>
      <c r="F21" s="55">
        <v>180</v>
      </c>
      <c r="G21" s="55">
        <f t="shared" si="0"/>
        <v>180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40</v>
      </c>
      <c r="E13" s="55"/>
      <c r="F13" s="55"/>
      <c r="G13" s="55">
        <v>75</v>
      </c>
      <c r="H13" s="55">
        <v>150</v>
      </c>
      <c r="I13" s="55"/>
      <c r="J13" s="55"/>
      <c r="K13" s="55"/>
      <c r="L13" s="55"/>
      <c r="M13" s="55"/>
      <c r="N13" s="55"/>
      <c r="P13" s="88">
        <f>SUM(D13:N13)</f>
        <v>265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40</v>
      </c>
      <c r="E30" s="88">
        <f t="shared" si="1"/>
        <v>0</v>
      </c>
      <c r="F30" s="88">
        <f t="shared" si="1"/>
        <v>0</v>
      </c>
      <c r="G30" s="88">
        <f t="shared" si="1"/>
        <v>75</v>
      </c>
      <c r="H30" s="88">
        <f t="shared" si="1"/>
        <v>150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2018-06-08T09:58:38Z</dcterms:modified>
</cp:coreProperties>
</file>