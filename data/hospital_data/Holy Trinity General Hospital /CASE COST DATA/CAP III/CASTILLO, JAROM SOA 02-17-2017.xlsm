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<sst xmlns="http://schemas.openxmlformats.org/spreadsheetml/2006/main" count="493" uniqueCount="200">
  <si>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</si>
  <si>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</si>
  <si>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</si>
  <si>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</si>
  <si>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</si>
  <si>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</si>
  <si>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</si>
  <si>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</si>
  <si>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</si>
  <si>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</si>
  <si>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</si>
  <si>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</si>
  <si>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</si>
  <si>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</si>
  <si>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</si>
  <si>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</si>
  <si>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</si>
  <si>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</si>
  <si>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</si>
  <si>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</si>
  <si>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</si>
  <si>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</si>
  <si>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</si>
  <si>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</si>
  <si>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</si>
  <si>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</si>
  <si>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</si>
  <si>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</si>
  <si>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</si>
  <si>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</si>
  <si>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</si>
  <si>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</si>
  <si>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</si>
  <si>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</si>
  <si>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</si>
  <si>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</si>
  <si>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</si>
  <si>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</si>
  <si>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</si>
  <si>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</si>
  <si>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</si>
  <si>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</si>
  <si>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</si>
  <si>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</si>
  <si>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</si>
  <si>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</si>
  <si>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</si>
  <si>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</si>
  <si>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</si>
  <si>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</si>
  <si>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</si>
  <si>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</si>
  <si>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</si>
  <si>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</si>
  <si>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</si>
  <si>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</si>
  <si>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</si>
  <si>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</si>
  <si>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</si>
  <si>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</si>
  <si>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</si>
  <si>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</si>
  <si>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</si>
  <si>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</si>
  <si>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</si>
  <si>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</si>
  <si>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</si>
  <si>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</si>
  <si>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</si>
  <si>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</si>
  <si>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</si>
  <si>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</si>
  <si>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</si>
  <si>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</si>
  <si>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</si>
  <si>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</si>
  <si>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</si>
  <si>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</si>
  <si>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</si>
  <si>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</si>
  <si>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</si>
  <si>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</si>
  <si>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</si>
  <si>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</si>
  <si>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</si>
  <si>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</si>
  <si>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</si>
  <si>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</si>
  <si>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</si>
  <si>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</si>
  <si>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</si>
  <si>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</si>
  <si>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</si>
  <si>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</si>
  <si>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</si>
  <si>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</si>
  <si>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</si>
  <si>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</si>
  <si>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</si>
  <si>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</si>
  <si>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</si>
  <si>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</si>
  <si>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</si>
  <si>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</si>
  <si>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</si>
  <si>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</si>
  <si>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</si>
  <si>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</si>
  <si>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</si>
  <si>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</si>
  <si>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</si>
  <si>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</si>
  <si>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</si>
  <si>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</si>
  <si>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</si>
  <si>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</si>
  <si>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</si>
  <si>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</si>
  <si>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</si>
  <si>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</si>
  <si>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</si>
  <si>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</si>
  <si>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</si>
  <si>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</si>
  <si>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</si>
  <si>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</si>
  <si>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</si>
  <si>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</si>
  <si>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</si>
  <si>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</si>
  <si>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</si>
  <si>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</si>
  <si>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</si>
  <si>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</si>
  <si>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</si>
  <si>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</si>
  <si>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</si>
  <si>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</si>
  <si>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</si>
  <si>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</si>
  <si>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</si>
  <si>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</si>
  <si>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</si>
  <si>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</si>
  <si>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</si>
  <si>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</si>
  <si>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</si>
  <si>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</si>
  <si>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</si>
  <si>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</si>
  <si>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</si>
  <si>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</si>
  <si>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</si>
  <si>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</si>
  <si>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</si>
  <si>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</si>
  <si>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</si>
  <si>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</si>
  <si>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</si>
  <si>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</si>
  <si>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</si>
  <si>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</si>
  <si>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</si>
  <si>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</si>
  <si>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</si>
  <si>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</si>
  <si>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W/ PLATELET COUNT</t>
  </si>
  <si>
    <t>CXR AP-L</t>
  </si>
  <si>
    <t>CEFUROXIME</t>
  </si>
  <si>
    <t>VIAL</t>
  </si>
  <si>
    <t>750MG</t>
  </si>
  <si>
    <t>D5 0.3 NACL</t>
  </si>
  <si>
    <t>IV FLUID</t>
  </si>
  <si>
    <t>500ML</t>
  </si>
  <si>
    <t>INSYTE G22</t>
  </si>
  <si>
    <t>3CC SYRINGE</t>
  </si>
  <si>
    <t>PER PIECE</t>
  </si>
  <si>
    <t>5CC SYRINGE</t>
  </si>
  <si>
    <t>1CC SYRINGE</t>
  </si>
  <si>
    <t>O2 CANNULA PEDIA</t>
  </si>
  <si>
    <t>MICROSET</t>
  </si>
  <si>
    <t>OXYGEN</t>
  </si>
  <si>
    <t>CASE RATE(room,labs,meds, etc.)</t>
  </si>
  <si>
    <t>PF CASE RATE</t>
  </si>
  <si>
    <t>URINALYSIS</t>
  </si>
  <si>
    <t>FECALYSIS</t>
  </si>
  <si>
    <t>ELECTROLYTES (NA,K)</t>
  </si>
  <si>
    <t>CREATININE</t>
  </si>
  <si>
    <t>C3</t>
  </si>
  <si>
    <t>SENIOR DISCOUNT</t>
  </si>
  <si>
    <t>D5 LRS</t>
  </si>
  <si>
    <t>PARACETAMOL</t>
  </si>
  <si>
    <t>RANITIDINE</t>
  </si>
  <si>
    <t>D5 NM</t>
  </si>
  <si>
    <t>AMPOULE</t>
  </si>
  <si>
    <t>1L</t>
  </si>
  <si>
    <t>300MG</t>
  </si>
  <si>
    <t>50MG</t>
  </si>
  <si>
    <t>NEBULIZING</t>
  </si>
  <si>
    <t>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</si>
</sst>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6" zoomScaleNormal="100" workbookViewId="0">
      <selection activeCell="F66" sqref="F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19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167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44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45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53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 t="s">
        <v>181</v>
      </c>
      <c r="D54" s="28"/>
      <c r="E54" s="55">
        <v>1</v>
      </c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55</v>
      </c>
      <c r="C62" s="17" t="s">
        <v>51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182</v>
      </c>
      <c r="D63" s="55">
        <v>10500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189</v>
      </c>
      <c r="D64" s="55">
        <v>1425</v>
      </c>
      <c r="E64" s="55"/>
      <c r="F64" s="55">
        <v>1450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183</v>
      </c>
      <c r="D65" s="55">
        <v>4500</v>
      </c>
      <c r="E65" s="55"/>
      <c r="F65" s="55">
        <v>500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16425</v>
      </c>
      <c r="E74" s="59">
        <f>SUM(E63:E73)</f>
        <v>0</v>
      </c>
      <c r="F74" s="59">
        <f>SUM(F63:F73)</f>
        <v>1950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0" workbookViewId="0">
      <selection activeCell="I17" sqref="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190</v>
      </c>
      <c r="D11" s="27" t="s">
        <v>172</v>
      </c>
      <c r="E11" s="27" t="s">
        <v>195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7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169</v>
      </c>
      <c r="E12" s="27" t="s">
        <v>170</v>
      </c>
      <c r="F12" s="55">
        <v>2</v>
      </c>
      <c r="G12" s="55">
        <v>1</v>
      </c>
      <c r="H12" s="55">
        <v>7</v>
      </c>
      <c r="I12" s="55">
        <v>300</v>
      </c>
      <c r="J12" s="55">
        <f t="shared" si="0"/>
        <v>2100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194</v>
      </c>
      <c r="E13" s="27" t="s">
        <v>196</v>
      </c>
      <c r="F13" s="55">
        <v>2</v>
      </c>
      <c r="G13" s="55">
        <v>1</v>
      </c>
      <c r="H13" s="55">
        <v>8</v>
      </c>
      <c r="I13" s="55">
        <v>200</v>
      </c>
      <c r="J13" s="55">
        <f t="shared" si="0"/>
        <v>1600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194</v>
      </c>
      <c r="E14" s="27" t="s">
        <v>197</v>
      </c>
      <c r="F14" s="55">
        <v>2</v>
      </c>
      <c r="G14" s="55">
        <v>1</v>
      </c>
      <c r="H14" s="55">
        <v>6</v>
      </c>
      <c r="I14" s="55">
        <v>200</v>
      </c>
      <c r="J14" s="55">
        <f t="shared" si="0"/>
        <v>1200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171</v>
      </c>
      <c r="D15" s="27" t="s">
        <v>172</v>
      </c>
      <c r="E15" s="27" t="s">
        <v>173</v>
      </c>
      <c r="F15" s="55">
        <v>1</v>
      </c>
      <c r="G15" s="55">
        <v>1</v>
      </c>
      <c r="H15" s="55">
        <v>1</v>
      </c>
      <c r="I15" s="55">
        <v>260</v>
      </c>
      <c r="J15" s="55">
        <f t="shared" si="0"/>
        <v>260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172</v>
      </c>
      <c r="E16" s="27" t="s">
        <v>195</v>
      </c>
      <c r="F16" s="55">
        <v>1</v>
      </c>
      <c r="G16" s="55">
        <v>1</v>
      </c>
      <c r="H16" s="55">
        <v>1</v>
      </c>
      <c r="I16" s="55">
        <v>260</v>
      </c>
      <c r="J16" s="55">
        <f t="shared" si="0"/>
        <v>260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21" sqref="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176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176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176</v>
      </c>
      <c r="E18" s="55">
        <v>5</v>
      </c>
      <c r="F18" s="55">
        <v>20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177</v>
      </c>
      <c r="D19" s="70" t="s">
        <v>176</v>
      </c>
      <c r="E19" s="55">
        <v>10</v>
      </c>
      <c r="F19" s="55">
        <v>20</v>
      </c>
      <c r="G19" s="55">
        <f t="shared" si="0"/>
        <v>200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178</v>
      </c>
      <c r="D20" s="70" t="s">
        <v>176</v>
      </c>
      <c r="E20" s="55">
        <v>1</v>
      </c>
      <c r="F20" s="55">
        <v>20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198</v>
      </c>
      <c r="D21" s="70" t="s">
        <v>199</v>
      </c>
      <c r="E21" s="55">
        <v>1</v>
      </c>
      <c r="F21" s="55">
        <v>200</v>
      </c>
      <c r="G21" s="55">
        <f t="shared" si="0"/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179</v>
      </c>
      <c r="D22" s="70" t="s">
        <v>176</v>
      </c>
      <c r="E22" s="55">
        <v>1</v>
      </c>
      <c r="F22" s="55">
        <v>180</v>
      </c>
      <c r="G22" s="55">
        <f t="shared" si="0"/>
        <v>180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40</v>
      </c>
      <c r="E13" s="55"/>
      <c r="F13" s="55"/>
      <c r="G13" s="55">
        <v>160</v>
      </c>
      <c r="H13" s="55">
        <v>141</v>
      </c>
      <c r="I13" s="55"/>
      <c r="J13" s="55"/>
      <c r="K13" s="55"/>
      <c r="L13" s="55"/>
      <c r="M13" s="55"/>
      <c r="N13" s="55"/>
      <c r="P13" s="88">
        <f>SUM(D13:N13)</f>
        <v>341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40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141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341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2018-06-08T11:58:38Z</dcterms:modified>
</cp:coreProperties>
</file>