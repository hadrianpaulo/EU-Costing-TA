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1" i="9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<sst xmlns="http://schemas.openxmlformats.org/spreadsheetml/2006/main" count="484" uniqueCount="192">
  <si>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</si>
  <si>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</si>
  <si>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</si>
  <si>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</si>
  <si>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</si>
  <si>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</si>
  <si>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</si>
  <si>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</si>
  <si>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</si>
  <si>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</si>
  <si>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</si>
  <si>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</si>
  <si>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</si>
  <si>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</si>
  <si>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</si>
  <si>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</si>
  <si>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</si>
  <si>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</si>
  <si>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</si>
  <si>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</si>
  <si>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</si>
  <si>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</si>
  <si>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</si>
  <si>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</si>
  <si>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</si>
  <si>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</si>
  <si>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</si>
  <si>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</si>
  <si>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</si>
  <si>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</si>
  <si>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</si>
  <si>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</si>
  <si>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</si>
  <si>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</si>
  <si>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</si>
  <si>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</si>
  <si>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</si>
  <si>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</si>
  <si>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</si>
  <si>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</si>
  <si>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</si>
  <si>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</si>
  <si>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</si>
  <si>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</si>
  <si>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</si>
  <si>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</si>
  <si>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</si>
  <si>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</si>
  <si>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</si>
  <si>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</si>
  <si>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</si>
  <si>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</si>
  <si>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</si>
  <si>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</si>
  <si>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</si>
  <si>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</si>
  <si>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</si>
  <si>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</si>
  <si>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</si>
  <si>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</si>
  <si>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</si>
  <si>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</si>
  <si>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</si>
  <si>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</si>
  <si>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</si>
  <si>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</si>
  <si>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</si>
  <si>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</si>
  <si>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</si>
  <si>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</si>
  <si>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</si>
  <si>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</si>
  <si>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</si>
  <si>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</si>
  <si>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</si>
  <si>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</si>
  <si>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</si>
  <si>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</si>
  <si>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</si>
  <si>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</si>
  <si>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</si>
  <si>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</si>
  <si>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</si>
  <si>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</si>
  <si>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</si>
  <si>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</si>
  <si>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</si>
  <si>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</si>
  <si>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</si>
  <si>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</si>
  <si>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</si>
  <si>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</si>
  <si>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</si>
  <si>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</si>
  <si>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</si>
  <si>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</si>
  <si>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</si>
  <si>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</si>
  <si>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</si>
  <si>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</si>
  <si>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</si>
  <si>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</si>
  <si>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</si>
  <si>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</si>
  <si>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</si>
  <si>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</si>
  <si>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</si>
  <si>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</si>
  <si>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</si>
  <si>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</si>
  <si>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</si>
  <si>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</si>
  <si>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</si>
  <si>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</si>
  <si>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</si>
  <si>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</si>
  <si>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</si>
  <si>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</si>
  <si>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</si>
  <si>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</si>
  <si>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</si>
  <si>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</si>
  <si>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</si>
  <si>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</si>
  <si>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</si>
  <si>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</si>
  <si>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</si>
  <si>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</si>
  <si>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</si>
  <si>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</si>
  <si>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</si>
  <si>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</si>
  <si>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</si>
  <si>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</si>
  <si>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</si>
  <si>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</si>
  <si>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</si>
  <si>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</si>
  <si>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</si>
  <si>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</si>
  <si>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</si>
  <si>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</si>
  <si>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</si>
  <si>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</si>
  <si>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</si>
  <si>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</si>
  <si>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</si>
  <si>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</si>
  <si>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</si>
  <si>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</si>
  <si>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</si>
  <si>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</si>
  <si>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</si>
  <si>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</si>
  <si>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</si>
  <si>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</si>
  <si>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</si>
  <si>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</si>
  <si>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</si>
  <si>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</si>
  <si>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</si>
  <si>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</si>
  <si>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</si>
  <si>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</si>
  <si>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</si>
  <si>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</si>
  <si>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J18.92</t>
  </si>
  <si>
    <t>CBC W/ PLATELET COUNT</t>
  </si>
  <si>
    <t>CXR AP-L</t>
  </si>
  <si>
    <t xml:space="preserve">CEFUROXIME </t>
  </si>
  <si>
    <t>VIAL</t>
  </si>
  <si>
    <t>750MG</t>
  </si>
  <si>
    <t>SALRESP-I</t>
  </si>
  <si>
    <t>NEBULE</t>
  </si>
  <si>
    <t>2.5MG/500MCG</t>
  </si>
  <si>
    <t>D5 0.3 NACL</t>
  </si>
  <si>
    <t>IV FLUID</t>
  </si>
  <si>
    <t>500ML</t>
  </si>
  <si>
    <t>HYDROCORTISONE</t>
  </si>
  <si>
    <t>100MG</t>
  </si>
  <si>
    <t>MICROSET</t>
  </si>
  <si>
    <t>INSYTE G24</t>
  </si>
  <si>
    <t>5CC SYRINGE</t>
  </si>
  <si>
    <t>3CC SYRINGE</t>
  </si>
  <si>
    <t>1CC SYRINGE</t>
  </si>
  <si>
    <t>O2 CANNULA (PEDIA)</t>
  </si>
  <si>
    <t>INSYTE G26</t>
  </si>
  <si>
    <t>PER PIECE</t>
  </si>
  <si>
    <t>NEB KIT</t>
  </si>
  <si>
    <t>CASE RATE (rooms, labs, meds. Etc)</t>
  </si>
  <si>
    <t>OXYGEN</t>
  </si>
  <si>
    <t>PF CASE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</si>
</sst>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57" zoomScaleNormal="100" workbookViewId="0">
      <selection activeCell="F62" sqref="F6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167</v>
      </c>
      <c r="D34" s="23"/>
      <c r="E34" s="57">
        <v>2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168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45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46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54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 t="s">
        <v>190</v>
      </c>
      <c r="D51" s="28"/>
      <c r="E51" s="55">
        <v>1</v>
      </c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56</v>
      </c>
      <c r="C59" s="17" t="s">
        <v>52</v>
      </c>
      <c r="D59" s="17" t="s">
        <v>57</v>
      </c>
      <c r="E59" s="18" t="s">
        <v>58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189</v>
      </c>
      <c r="D60" s="55">
        <v>10500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191</v>
      </c>
      <c r="D61" s="55">
        <v>4500</v>
      </c>
      <c r="E61" s="55"/>
      <c r="F61" s="55">
        <v>550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15000</v>
      </c>
      <c r="E71" s="59">
        <f>SUM(E60:E70)</f>
        <v>0</v>
      </c>
      <c r="F71" s="59">
        <f>SUM(F60:F70)</f>
        <v>550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8" workbookViewId="0">
      <selection activeCell="I15" sqref="I15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169</v>
      </c>
      <c r="D11" s="27" t="s">
        <v>170</v>
      </c>
      <c r="E11" s="27" t="s">
        <v>171</v>
      </c>
      <c r="F11" s="55">
        <v>3</v>
      </c>
      <c r="G11" s="55">
        <v>1</v>
      </c>
      <c r="H11" s="55">
        <v>4</v>
      </c>
      <c r="I11" s="55">
        <v>350</v>
      </c>
      <c r="J11" s="55">
        <f t="shared" ref="J11:J16" si="0">H11*I11</f>
        <v>1400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172</v>
      </c>
      <c r="D12" s="27" t="s">
        <v>173</v>
      </c>
      <c r="E12" s="27" t="s">
        <v>174</v>
      </c>
      <c r="F12" s="55">
        <v>3</v>
      </c>
      <c r="G12" s="55">
        <v>1</v>
      </c>
      <c r="H12" s="55">
        <v>11</v>
      </c>
      <c r="I12" s="55">
        <v>60</v>
      </c>
      <c r="J12" s="55">
        <f t="shared" si="0"/>
        <v>660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175</v>
      </c>
      <c r="D13" s="27" t="s">
        <v>176</v>
      </c>
      <c r="E13" s="27" t="s">
        <v>177</v>
      </c>
      <c r="F13" s="55">
        <v>3</v>
      </c>
      <c r="G13" s="55">
        <v>1</v>
      </c>
      <c r="H13" s="55">
        <v>3</v>
      </c>
      <c r="I13" s="55">
        <v>310</v>
      </c>
      <c r="J13" s="55">
        <f t="shared" si="0"/>
        <v>930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178</v>
      </c>
      <c r="D14" s="27" t="s">
        <v>170</v>
      </c>
      <c r="E14" s="27" t="s">
        <v>179</v>
      </c>
      <c r="F14" s="55">
        <v>2</v>
      </c>
      <c r="G14" s="55">
        <v>1</v>
      </c>
      <c r="H14" s="55">
        <v>2</v>
      </c>
      <c r="I14" s="55">
        <v>350</v>
      </c>
      <c r="J14" s="55">
        <f t="shared" si="0"/>
        <v>700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/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9" workbookViewId="0">
      <selection activeCell="F24" sqref="F24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188</v>
      </c>
      <c r="D16" s="70" t="s">
        <v>187</v>
      </c>
      <c r="E16" s="55">
        <v>1</v>
      </c>
      <c r="F16" s="55">
        <v>200</v>
      </c>
      <c r="G16" s="55">
        <f t="shared" ref="G16:G21" si="0">E16*F16</f>
        <v>200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180</v>
      </c>
      <c r="D17" s="70" t="s">
        <v>187</v>
      </c>
      <c r="E17" s="55">
        <v>1</v>
      </c>
      <c r="F17" s="55">
        <v>150</v>
      </c>
      <c r="G17" s="55">
        <f t="shared" si="0"/>
        <v>150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181</v>
      </c>
      <c r="D18" s="70" t="s">
        <v>187</v>
      </c>
      <c r="E18" s="55">
        <v>3</v>
      </c>
      <c r="F18" s="55">
        <v>150</v>
      </c>
      <c r="G18" s="55">
        <f t="shared" si="0"/>
        <v>450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182</v>
      </c>
      <c r="D19" s="70" t="s">
        <v>187</v>
      </c>
      <c r="E19" s="55">
        <v>3</v>
      </c>
      <c r="F19" s="55">
        <v>20</v>
      </c>
      <c r="G19" s="55">
        <f t="shared" si="0"/>
        <v>60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183</v>
      </c>
      <c r="D20" s="70" t="s">
        <v>187</v>
      </c>
      <c r="E20" s="55">
        <v>6</v>
      </c>
      <c r="F20" s="55">
        <v>20</v>
      </c>
      <c r="G20" s="55">
        <f t="shared" si="0"/>
        <v>120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184</v>
      </c>
      <c r="D21" s="70" t="s">
        <v>187</v>
      </c>
      <c r="E21" s="55">
        <v>1</v>
      </c>
      <c r="F21" s="55">
        <v>20</v>
      </c>
      <c r="G21" s="55">
        <f t="shared" si="0"/>
        <v>20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185</v>
      </c>
      <c r="D22" s="70" t="s">
        <v>187</v>
      </c>
      <c r="E22" s="55">
        <v>1</v>
      </c>
      <c r="F22" s="55">
        <v>180</v>
      </c>
      <c r="G22" s="55">
        <v>180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186</v>
      </c>
      <c r="D23" s="70" t="s">
        <v>187</v>
      </c>
      <c r="E23" s="55">
        <v>1</v>
      </c>
      <c r="F23" s="55">
        <v>350</v>
      </c>
      <c r="G23" s="55">
        <v>350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D3" workbookViewId="0">
      <selection activeCell="P13" sqref="P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25</v>
      </c>
      <c r="E13" s="55"/>
      <c r="F13" s="55"/>
      <c r="G13" s="55">
        <v>70</v>
      </c>
      <c r="H13" s="55">
        <v>115</v>
      </c>
      <c r="I13" s="55"/>
      <c r="J13" s="55"/>
      <c r="K13" s="55"/>
      <c r="L13" s="55"/>
      <c r="M13" s="55"/>
      <c r="N13" s="55"/>
      <c r="P13" s="88">
        <f>SUM(D13:N13)</f>
        <v>210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25</v>
      </c>
      <c r="E30" s="88">
        <f t="shared" si="1"/>
        <v>0</v>
      </c>
      <c r="F30" s="88">
        <f t="shared" si="1"/>
        <v>0</v>
      </c>
      <c r="G30" s="88">
        <f t="shared" si="1"/>
        <v>70</v>
      </c>
      <c r="H30" s="88">
        <f t="shared" si="1"/>
        <v>115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210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2018-06-08T02:48:54Z</dcterms:modified>
</cp:coreProperties>
</file>