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J20" i="2" l="1"/>
  <c r="J21" i="2"/>
  <c r="J19" i="2"/>
  <c r="J18" i="2"/>
  <c r="J17" i="2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<sst xmlns="http://schemas.openxmlformats.org/spreadsheetml/2006/main" count="516" uniqueCount="218">
  <si>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</si>
  <si>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</si>
  <si>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</si>
  <si>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</si>
  <si>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</si>
  <si>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</si>
  <si>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</si>
  <si>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</si>
  <si>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</si>
  <si>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</si>
  <si>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</si>
  <si>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</si>
  <si>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</si>
  <si>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</si>
  <si>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</si>
  <si>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</si>
  <si>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</si>
  <si>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</si>
  <si>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</si>
  <si>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</si>
  <si>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</si>
  <si>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</si>
  <si>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</si>
  <si>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</si>
  <si>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</si>
  <si>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</si>
  <si>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</si>
  <si>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</si>
  <si>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</si>
  <si>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</si>
  <si>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</si>
  <si>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</si>
  <si>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</si>
  <si>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</si>
  <si>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</si>
  <si>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</si>
  <si>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</si>
  <si>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</si>
  <si>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</si>
  <si>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</si>
  <si>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</si>
  <si>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</si>
  <si>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</si>
  <si>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</si>
  <si>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</si>
  <si>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</si>
  <si>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</si>
  <si>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</si>
  <si>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</si>
  <si>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</si>
  <si>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</si>
  <si>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</si>
  <si>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</si>
  <si>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</si>
  <si>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</si>
  <si>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</si>
  <si>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</si>
  <si>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</si>
  <si>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</si>
  <si>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</si>
  <si>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</si>
  <si>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</si>
  <si>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</si>
  <si>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</si>
  <si>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</si>
  <si>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</si>
  <si>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</si>
  <si>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</si>
  <si>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</si>
  <si>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</si>
  <si>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</si>
  <si>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</si>
  <si>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</si>
  <si>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</si>
  <si>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</si>
  <si>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</si>
  <si>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</si>
  <si>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</si>
  <si>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</si>
  <si>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</si>
  <si>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</si>
  <si>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</si>
  <si>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</si>
  <si>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</si>
  <si>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</si>
  <si>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</si>
  <si>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</si>
  <si>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</si>
  <si>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</si>
  <si>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</si>
  <si>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</si>
  <si>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</si>
  <si>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</si>
  <si>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</si>
  <si>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</si>
  <si>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</si>
  <si>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</si>
  <si>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</si>
  <si>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</si>
  <si>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</si>
  <si>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</si>
  <si>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</si>
  <si>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</si>
  <si>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</si>
  <si>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</si>
  <si>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</si>
  <si>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</si>
  <si>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</si>
  <si>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</si>
  <si>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</si>
  <si>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</si>
  <si>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</si>
  <si>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</si>
  <si>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</si>
  <si>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</si>
  <si>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</si>
  <si>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</si>
  <si>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</si>
  <si>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</si>
  <si>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</si>
  <si>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</si>
  <si>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</si>
  <si>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</si>
  <si>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</si>
  <si>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</si>
  <si>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</si>
  <si>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</si>
  <si>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</si>
  <si>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</si>
  <si>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</si>
  <si>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</si>
  <si>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</si>
  <si>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</si>
  <si>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</si>
  <si>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</si>
  <si>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</si>
  <si>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</si>
  <si>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</si>
  <si>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</si>
  <si>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</si>
  <si>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</si>
  <si>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</si>
  <si>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</si>
  <si>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</si>
  <si>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</si>
  <si>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</si>
  <si>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</si>
  <si>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</si>
  <si>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</si>
  <si>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</si>
  <si>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</si>
  <si>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</si>
  <si>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</si>
  <si>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</si>
  <si>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</si>
  <si>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</si>
  <si>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</si>
  <si>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</si>
  <si>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</si>
  <si>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</si>
  <si>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</si>
  <si>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</si>
  <si>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</si>
  <si>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</si>
  <si>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</si>
  <si>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</si>
  <si>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</si>
  <si>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</si>
  <si>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CREATININE</t>
  </si>
  <si>
    <t>ELECTROLYTES (NA,K)</t>
  </si>
  <si>
    <t>BLOOD UREA NITROGEN</t>
  </si>
  <si>
    <t>URINALYSIS</t>
  </si>
  <si>
    <t>LIPID PROFILE</t>
  </si>
  <si>
    <t>GLUCOSE (FASTING)</t>
  </si>
  <si>
    <t>SGPT</t>
  </si>
  <si>
    <t>SGOT</t>
  </si>
  <si>
    <t>AFB</t>
  </si>
  <si>
    <t>CXR PA</t>
  </si>
  <si>
    <t>FLUIMUCIL</t>
  </si>
  <si>
    <t xml:space="preserve">CEFUROXIME </t>
  </si>
  <si>
    <t>AZITHROMYCIN</t>
  </si>
  <si>
    <t>PNSS</t>
  </si>
  <si>
    <t>HUMULIN HR</t>
  </si>
  <si>
    <t>PARACETAMOL</t>
  </si>
  <si>
    <t>ATORVASTATIN</t>
  </si>
  <si>
    <t>SALRESP-I</t>
  </si>
  <si>
    <t>ELZOX</t>
  </si>
  <si>
    <t>TABLET</t>
  </si>
  <si>
    <t>600MG</t>
  </si>
  <si>
    <t>VIAL</t>
  </si>
  <si>
    <t>750MG</t>
  </si>
  <si>
    <t>500MG</t>
  </si>
  <si>
    <t>IV FLUID</t>
  </si>
  <si>
    <t>1L</t>
  </si>
  <si>
    <t>INSULIN</t>
  </si>
  <si>
    <t>UNIT</t>
  </si>
  <si>
    <t>AMPOULE</t>
  </si>
  <si>
    <t>300MG</t>
  </si>
  <si>
    <t>10MG</t>
  </si>
  <si>
    <t>NEBULE</t>
  </si>
  <si>
    <t>2.5MG/500MCG</t>
  </si>
  <si>
    <t xml:space="preserve">REBOMBINANT HUMAN </t>
  </si>
  <si>
    <t>30/70 100IU/ML</t>
  </si>
  <si>
    <t>4G/500MG</t>
  </si>
  <si>
    <t>MACROSET</t>
  </si>
  <si>
    <t>INSYTE G22</t>
  </si>
  <si>
    <t>3CC SYEINGE</t>
  </si>
  <si>
    <t>5CC SYRINGE</t>
  </si>
  <si>
    <t>1CC SYRINGE</t>
  </si>
  <si>
    <t>10CC SYRINGE</t>
  </si>
  <si>
    <t>INSULIN SYRINGE</t>
  </si>
  <si>
    <t>NEBULIZING</t>
  </si>
  <si>
    <t>PER PIECE</t>
  </si>
  <si>
    <t>CBG MONITORING</t>
  </si>
  <si>
    <t>ECG</t>
  </si>
  <si>
    <t>CASE RATE (room,labs,meds, etc.)</t>
  </si>
  <si>
    <t>PF CASE RATE</t>
  </si>
  <si>
    <t>INDIGENT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</si>
</sst>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57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3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174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176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213</v>
      </c>
      <c r="D44" s="23"/>
      <c r="E44" s="55">
        <v>16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177</v>
      </c>
      <c r="D46" s="23"/>
      <c r="E46" s="55">
        <v>2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214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215</v>
      </c>
      <c r="D67" s="55">
        <v>10500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217</v>
      </c>
      <c r="D68" s="55"/>
      <c r="E68" s="55">
        <v>4924</v>
      </c>
      <c r="F68" s="55">
        <v>16450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216</v>
      </c>
      <c r="D69" s="55">
        <v>4500</v>
      </c>
      <c r="E69" s="55"/>
      <c r="F69" s="55">
        <v>1050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15000</v>
      </c>
      <c r="E78" s="59">
        <f>SUM(E67:E77)</f>
        <v>4924</v>
      </c>
      <c r="F78" s="59">
        <f>SUM(F67:F77)</f>
        <v>17500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I21" sqref="I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187</v>
      </c>
      <c r="E11" s="27" t="s">
        <v>188</v>
      </c>
      <c r="F11" s="55">
        <v>5</v>
      </c>
      <c r="G11" s="55">
        <v>1</v>
      </c>
      <c r="H11" s="55">
        <v>9</v>
      </c>
      <c r="I11" s="55">
        <v>80</v>
      </c>
      <c r="J11" s="55">
        <f t="shared" ref="J11:J20" si="0"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189</v>
      </c>
      <c r="E12" s="27" t="s">
        <v>190</v>
      </c>
      <c r="F12" s="55">
        <v>3</v>
      </c>
      <c r="G12" s="55">
        <v>1</v>
      </c>
      <c r="H12" s="55">
        <v>18</v>
      </c>
      <c r="I12" s="55">
        <v>300</v>
      </c>
      <c r="J12" s="55">
        <f t="shared" si="0"/>
        <v>5400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187</v>
      </c>
      <c r="E13" s="27" t="s">
        <v>191</v>
      </c>
      <c r="F13" s="55">
        <v>3</v>
      </c>
      <c r="G13" s="55">
        <v>1</v>
      </c>
      <c r="H13" s="55">
        <v>3</v>
      </c>
      <c r="I13" s="55">
        <v>200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192</v>
      </c>
      <c r="E14" s="27" t="s">
        <v>193</v>
      </c>
      <c r="F14" s="55">
        <v>5</v>
      </c>
      <c r="G14" s="55">
        <v>1</v>
      </c>
      <c r="H14" s="55">
        <v>6</v>
      </c>
      <c r="I14" s="55">
        <v>310</v>
      </c>
      <c r="J14" s="55">
        <f t="shared" si="0"/>
        <v>1860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194</v>
      </c>
      <c r="E15" s="27" t="s">
        <v>195</v>
      </c>
      <c r="F15" s="55">
        <v>2</v>
      </c>
      <c r="G15" s="55">
        <v>1</v>
      </c>
      <c r="H15" s="55">
        <v>16</v>
      </c>
      <c r="I15" s="55">
        <v>24</v>
      </c>
      <c r="J15" s="55">
        <f t="shared" si="0"/>
        <v>384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196</v>
      </c>
      <c r="E16" s="27" t="s">
        <v>197</v>
      </c>
      <c r="F16" s="55">
        <v>4</v>
      </c>
      <c r="G16" s="55">
        <v>1</v>
      </c>
      <c r="H16" s="55">
        <v>6</v>
      </c>
      <c r="I16" s="55">
        <v>200</v>
      </c>
      <c r="J16" s="55">
        <f t="shared" si="0"/>
        <v>1200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187</v>
      </c>
      <c r="E17" s="27" t="s">
        <v>198</v>
      </c>
      <c r="F17" s="55">
        <v>4</v>
      </c>
      <c r="G17" s="55">
        <v>1</v>
      </c>
      <c r="H17" s="55">
        <v>4</v>
      </c>
      <c r="I17" s="55">
        <v>40</v>
      </c>
      <c r="J17" s="55">
        <f t="shared" si="0"/>
        <v>160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185</v>
      </c>
      <c r="D18" s="27" t="s">
        <v>199</v>
      </c>
      <c r="E18" s="27" t="s">
        <v>200</v>
      </c>
      <c r="F18" s="55">
        <v>4</v>
      </c>
      <c r="G18" s="55">
        <v>1</v>
      </c>
      <c r="H18" s="55">
        <v>7</v>
      </c>
      <c r="I18" s="55">
        <v>60</v>
      </c>
      <c r="J18" s="55">
        <f t="shared" si="0"/>
        <v>420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201</v>
      </c>
      <c r="D19" s="27" t="s">
        <v>194</v>
      </c>
      <c r="E19" s="27" t="s">
        <v>202</v>
      </c>
      <c r="F19" s="55">
        <v>1</v>
      </c>
      <c r="G19" s="55">
        <v>1</v>
      </c>
      <c r="H19" s="55">
        <v>1</v>
      </c>
      <c r="I19" s="55">
        <v>1000</v>
      </c>
      <c r="J19" s="55">
        <f t="shared" si="0"/>
        <v>1000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186</v>
      </c>
      <c r="D20" s="27" t="s">
        <v>189</v>
      </c>
      <c r="E20" s="27" t="s">
        <v>203</v>
      </c>
      <c r="F20" s="55">
        <v>2</v>
      </c>
      <c r="G20" s="55">
        <v>1</v>
      </c>
      <c r="H20" s="55">
        <v>3</v>
      </c>
      <c r="I20" s="55">
        <v>2000</v>
      </c>
      <c r="J20" s="55">
        <f t="shared" si="0"/>
        <v>6000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183</v>
      </c>
      <c r="D21" s="27" t="s">
        <v>187</v>
      </c>
      <c r="E21" s="27" t="s">
        <v>191</v>
      </c>
      <c r="F21" s="55">
        <v>2</v>
      </c>
      <c r="G21" s="55">
        <v>1</v>
      </c>
      <c r="H21" s="55">
        <v>8</v>
      </c>
      <c r="I21" s="55">
        <v>15</v>
      </c>
      <c r="J21" s="55">
        <f>H21*I21</f>
        <v>120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204</v>
      </c>
      <c r="D16" s="70" t="s">
        <v>212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212</v>
      </c>
      <c r="E17" s="55">
        <v>2</v>
      </c>
      <c r="F17" s="55">
        <v>150</v>
      </c>
      <c r="G17" s="55">
        <f t="shared" si="0"/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206</v>
      </c>
      <c r="D18" s="70" t="s">
        <v>212</v>
      </c>
      <c r="E18" s="55">
        <v>6</v>
      </c>
      <c r="F18" s="55">
        <v>20</v>
      </c>
      <c r="G18" s="55">
        <f t="shared" si="0"/>
        <v>120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207</v>
      </c>
      <c r="D19" s="70" t="s">
        <v>212</v>
      </c>
      <c r="E19" s="55">
        <v>2</v>
      </c>
      <c r="F19" s="55">
        <v>20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208</v>
      </c>
      <c r="D20" s="70" t="s">
        <v>212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212</v>
      </c>
      <c r="E21" s="55">
        <v>9</v>
      </c>
      <c r="F21" s="55">
        <v>40</v>
      </c>
      <c r="G21" s="55">
        <f t="shared" si="0"/>
        <v>360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210</v>
      </c>
      <c r="D22" s="70" t="s">
        <v>212</v>
      </c>
      <c r="E22" s="55">
        <v>6</v>
      </c>
      <c r="F22" s="55">
        <v>20</v>
      </c>
      <c r="G22" s="55">
        <f t="shared" si="0"/>
        <v>120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211</v>
      </c>
      <c r="D23" s="70" t="s">
        <v>212</v>
      </c>
      <c r="E23" s="55">
        <v>1</v>
      </c>
      <c r="F23" s="55">
        <v>200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>
        <v>20</v>
      </c>
      <c r="G13" s="55">
        <v>70</v>
      </c>
      <c r="H13" s="55">
        <v>240</v>
      </c>
      <c r="I13" s="55"/>
      <c r="J13" s="55"/>
      <c r="K13" s="55"/>
      <c r="L13" s="55"/>
      <c r="M13" s="55"/>
      <c r="N13" s="55"/>
      <c r="P13" s="88">
        <f>SUM(D13:N13)</f>
        <v>370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20</v>
      </c>
      <c r="G30" s="88">
        <f t="shared" si="1"/>
        <v>90</v>
      </c>
      <c r="H30" s="88">
        <f t="shared" si="1"/>
        <v>240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2018-06-08T08:51:25Z</dcterms:modified>
</cp:coreProperties>
</file>