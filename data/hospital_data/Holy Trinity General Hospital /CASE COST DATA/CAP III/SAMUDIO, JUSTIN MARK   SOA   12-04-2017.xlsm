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<sst xmlns="http://schemas.openxmlformats.org/spreadsheetml/2006/main" count="483" uniqueCount="192">
  <si>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</si>
  <si>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</si>
  <si>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</si>
  <si>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</si>
  <si>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</si>
  <si>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</si>
  <si>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</si>
  <si>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</si>
  <si>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</si>
  <si>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</si>
  <si>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</si>
  <si>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</si>
  <si>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</si>
  <si>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</si>
  <si>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</si>
  <si>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</si>
  <si>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</si>
  <si>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</si>
  <si>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</si>
  <si>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</si>
  <si>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</si>
  <si>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</si>
  <si>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</si>
  <si>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</si>
  <si>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</si>
  <si>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</si>
  <si>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</si>
  <si>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</si>
  <si>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</si>
  <si>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</si>
  <si>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</si>
  <si>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</si>
  <si>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</si>
  <si>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</si>
  <si>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</si>
  <si>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</si>
  <si>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</si>
  <si>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</si>
  <si>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</si>
  <si>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</si>
  <si>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</si>
  <si>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</si>
  <si>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</si>
  <si>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</si>
  <si>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</si>
  <si>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</si>
  <si>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</si>
  <si>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</si>
  <si>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</si>
  <si>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</si>
  <si>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</si>
  <si>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</si>
  <si>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</si>
  <si>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</si>
  <si>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</si>
  <si>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</si>
  <si>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</si>
  <si>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</si>
  <si>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</si>
  <si>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</si>
  <si>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</si>
  <si>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</si>
  <si>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</si>
  <si>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</si>
  <si>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</si>
  <si>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</si>
  <si>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</si>
  <si>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</si>
  <si>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</si>
  <si>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</si>
  <si>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</si>
  <si>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</si>
  <si>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</si>
  <si>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</si>
  <si>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</si>
  <si>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</si>
  <si>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</si>
  <si>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</si>
  <si>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</si>
  <si>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</si>
  <si>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</si>
  <si>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</si>
  <si>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</si>
  <si>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</si>
  <si>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</si>
  <si>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</si>
  <si>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</si>
  <si>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</si>
  <si>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</si>
  <si>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</si>
  <si>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</si>
  <si>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</si>
  <si>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</si>
  <si>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</si>
  <si>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</si>
  <si>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</si>
  <si>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</si>
  <si>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</si>
  <si>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</si>
  <si>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</si>
  <si>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</si>
  <si>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</si>
  <si>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</si>
  <si>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</si>
  <si>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</si>
  <si>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</si>
  <si>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</si>
  <si>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</si>
  <si>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</si>
  <si>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</si>
  <si>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</si>
  <si>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</si>
  <si>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</si>
  <si>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</si>
  <si>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</si>
  <si>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</si>
  <si>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</si>
  <si>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</si>
  <si>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</si>
  <si>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</si>
  <si>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</si>
  <si>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</si>
  <si>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</si>
  <si>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</si>
  <si>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</si>
  <si>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</si>
  <si>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</si>
  <si>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</si>
  <si>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</si>
  <si>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</si>
  <si>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</si>
  <si>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</si>
  <si>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</si>
  <si>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</si>
  <si>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</si>
  <si>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</si>
  <si>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</si>
  <si>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</si>
  <si>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</si>
  <si>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</si>
  <si>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</si>
  <si>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</si>
  <si>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</si>
  <si>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</si>
  <si>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</si>
  <si>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</si>
  <si>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</si>
  <si>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</si>
  <si>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</si>
  <si>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</si>
  <si>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</si>
  <si>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</si>
  <si>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</si>
  <si>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</si>
  <si>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</si>
  <si>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</si>
  <si>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</si>
  <si>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</si>
  <si>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</si>
  <si>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</si>
  <si>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</si>
  <si>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</si>
  <si>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</si>
  <si>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</si>
  <si>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</si>
  <si>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</si>
  <si>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</si>
  <si>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</si>
  <si>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</si>
  <si>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AMPICILLIN SODIUM</t>
  </si>
  <si>
    <t>CEFOTAXIME</t>
  </si>
  <si>
    <t>D10 WATER</t>
  </si>
  <si>
    <t>CALCIUM GLUCONATE</t>
  </si>
  <si>
    <t>VIAL</t>
  </si>
  <si>
    <t>IV FLUID</t>
  </si>
  <si>
    <t>AMPOULE</t>
  </si>
  <si>
    <t>500MG</t>
  </si>
  <si>
    <t>1G</t>
  </si>
  <si>
    <t>500ML</t>
  </si>
  <si>
    <t>100MG/1ML</t>
  </si>
  <si>
    <t>SOLUSET</t>
  </si>
  <si>
    <t>INSYTE 26</t>
  </si>
  <si>
    <t>O2 CANNULA PEDIA</t>
  </si>
  <si>
    <t>LUBRICATING JELLY</t>
  </si>
  <si>
    <t>5CC SYRINGE</t>
  </si>
  <si>
    <t>3CC SYRINGE</t>
  </si>
  <si>
    <t>HEPLOCK</t>
  </si>
  <si>
    <t>PER PIECE</t>
  </si>
  <si>
    <t>CASE RATE (room,labs,meds, etc.)</t>
  </si>
  <si>
    <t>PF CASE RATE</t>
  </si>
  <si>
    <t>OXYGEN</t>
  </si>
  <si>
    <t>EMPLOYEE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</si>
</sst>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190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188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191</v>
      </c>
      <c r="D61" s="55"/>
      <c r="E61" s="55">
        <v>330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189</v>
      </c>
      <c r="D62" s="55">
        <v>4500</v>
      </c>
      <c r="E62" s="55"/>
      <c r="F62" s="55">
        <v>2050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330</v>
      </c>
      <c r="F71" s="59">
        <f>SUM(F60:F70)</f>
        <v>2050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176</v>
      </c>
      <c r="F11" s="55">
        <v>2</v>
      </c>
      <c r="G11" s="55">
        <v>1</v>
      </c>
      <c r="H11" s="55">
        <v>2</v>
      </c>
      <c r="I11" s="55">
        <v>300</v>
      </c>
      <c r="J11" s="55">
        <f t="shared" ref="J11:J16" si="0"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173</v>
      </c>
      <c r="E12" s="27" t="s">
        <v>177</v>
      </c>
      <c r="F12" s="55">
        <v>1</v>
      </c>
      <c r="G12" s="55">
        <v>1</v>
      </c>
      <c r="H12" s="55">
        <v>1</v>
      </c>
      <c r="I12" s="55">
        <v>1000</v>
      </c>
      <c r="J12" s="55">
        <f t="shared" si="0"/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174</v>
      </c>
      <c r="E13" s="27" t="s">
        <v>178</v>
      </c>
      <c r="F13" s="55">
        <v>1</v>
      </c>
      <c r="G13" s="55">
        <v>1</v>
      </c>
      <c r="H13" s="55">
        <v>1</v>
      </c>
      <c r="I13" s="55">
        <v>310</v>
      </c>
      <c r="J13" s="55">
        <f t="shared" si="0"/>
        <v>310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175</v>
      </c>
      <c r="E14" s="27" t="s">
        <v>179</v>
      </c>
      <c r="F14" s="55">
        <v>1</v>
      </c>
      <c r="G14" s="55">
        <v>1</v>
      </c>
      <c r="H14" s="55">
        <v>1</v>
      </c>
      <c r="I14" s="55">
        <v>300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187</v>
      </c>
      <c r="E16" s="55">
        <v>1</v>
      </c>
      <c r="F16" s="55">
        <v>350</v>
      </c>
      <c r="G16" s="55">
        <f t="shared" ref="G16:G22" si="0">E16*F16</f>
        <v>350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187</v>
      </c>
      <c r="E17" s="55">
        <v>3</v>
      </c>
      <c r="F17" s="55">
        <v>350</v>
      </c>
      <c r="G17" s="55">
        <f t="shared" si="0"/>
        <v>1050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187</v>
      </c>
      <c r="E18" s="55">
        <v>1</v>
      </c>
      <c r="F18" s="55">
        <v>180</v>
      </c>
      <c r="G18" s="55">
        <f t="shared" si="0"/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187</v>
      </c>
      <c r="E19" s="55">
        <v>2</v>
      </c>
      <c r="F19" s="55">
        <v>30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187</v>
      </c>
      <c r="E20" s="55">
        <v>5</v>
      </c>
      <c r="F20" s="55">
        <v>20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187</v>
      </c>
      <c r="E21" s="55">
        <v>13</v>
      </c>
      <c r="F21" s="55">
        <v>20</v>
      </c>
      <c r="G21" s="55">
        <f t="shared" si="0"/>
        <v>260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186</v>
      </c>
      <c r="D22" s="70" t="s">
        <v>187</v>
      </c>
      <c r="E22" s="55">
        <v>1</v>
      </c>
      <c r="F22" s="55">
        <v>100</v>
      </c>
      <c r="G22" s="55">
        <f t="shared" si="0"/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45</v>
      </c>
      <c r="H13" s="55">
        <v>180</v>
      </c>
      <c r="I13" s="55"/>
      <c r="J13" s="55"/>
      <c r="K13" s="55"/>
      <c r="L13" s="55"/>
      <c r="M13" s="55"/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180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2018-06-08T09:17:49Z</dcterms:modified>
</cp:coreProperties>
</file>