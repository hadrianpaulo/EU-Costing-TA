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3" i="9" l="1"/>
  <c r="G22" i="9"/>
  <c r="G21" i="9"/>
  <c r="J17" i="2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<sst xmlns="http://schemas.openxmlformats.org/spreadsheetml/2006/main" count="491" uniqueCount="198">
  <si>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</si>
  <si>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</si>
  <si>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</si>
  <si>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</si>
  <si>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</si>
  <si>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</si>
  <si>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</si>
  <si>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</si>
  <si>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</si>
  <si>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</si>
  <si>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</si>
  <si>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</si>
  <si>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</si>
  <si>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</si>
  <si>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</si>
  <si>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</si>
  <si>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</si>
  <si>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</si>
  <si>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</si>
  <si>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</si>
  <si>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</si>
  <si>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</si>
  <si>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</si>
  <si>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</si>
  <si>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</si>
  <si>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</si>
  <si>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</si>
  <si>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</si>
  <si>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</si>
  <si>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</si>
  <si>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</si>
  <si>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</si>
  <si>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</si>
  <si>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</si>
  <si>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</si>
  <si>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</si>
  <si>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</si>
  <si>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</si>
  <si>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</si>
  <si>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</si>
  <si>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</si>
  <si>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</si>
  <si>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</si>
  <si>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</si>
  <si>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</si>
  <si>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</si>
  <si>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</si>
  <si>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</si>
  <si>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</si>
  <si>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</si>
  <si>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</si>
  <si>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</si>
  <si>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</si>
  <si>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</si>
  <si>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</si>
  <si>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</si>
  <si>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</si>
  <si>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</si>
  <si>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</si>
  <si>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</si>
  <si>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</si>
  <si>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</si>
  <si>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</si>
  <si>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</si>
  <si>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</si>
  <si>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</si>
  <si>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</si>
  <si>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</si>
  <si>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</si>
  <si>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</si>
  <si>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</si>
  <si>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</si>
  <si>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</si>
  <si>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</si>
  <si>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</si>
  <si>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</si>
  <si>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</si>
  <si>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</si>
  <si>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</si>
  <si>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</si>
  <si>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</si>
  <si>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</si>
  <si>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</si>
  <si>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</si>
  <si>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</si>
  <si>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</si>
  <si>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</si>
  <si>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</si>
  <si>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</si>
  <si>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</si>
  <si>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</si>
  <si>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</si>
  <si>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</si>
  <si>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</si>
  <si>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</si>
  <si>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</si>
  <si>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</si>
  <si>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</si>
  <si>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</si>
  <si>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</si>
  <si>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</si>
  <si>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</si>
  <si>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</si>
  <si>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</si>
  <si>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</si>
  <si>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</si>
  <si>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</si>
  <si>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</si>
  <si>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</si>
  <si>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</si>
  <si>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</si>
  <si>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</si>
  <si>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</si>
  <si>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</si>
  <si>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</si>
  <si>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</si>
  <si>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</si>
  <si>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</si>
  <si>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</si>
  <si>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</si>
  <si>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</si>
  <si>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</si>
  <si>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</si>
  <si>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</si>
  <si>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</si>
  <si>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</si>
  <si>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</si>
  <si>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</si>
  <si>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</si>
  <si>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</si>
  <si>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</si>
  <si>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</si>
  <si>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</si>
  <si>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</si>
  <si>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</si>
  <si>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</si>
  <si>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</si>
  <si>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</si>
  <si>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</si>
  <si>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</si>
  <si>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</si>
  <si>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</si>
  <si>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</si>
  <si>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</si>
  <si>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</si>
  <si>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</si>
  <si>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</si>
  <si>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</si>
  <si>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</si>
  <si>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</si>
  <si>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</si>
  <si>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</si>
  <si>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</si>
  <si>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</si>
  <si>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</si>
  <si>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</si>
  <si>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</si>
  <si>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</si>
  <si>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</si>
  <si>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</si>
  <si>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</si>
  <si>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</si>
  <si>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</si>
  <si>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</si>
  <si>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</si>
  <si>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</si>
  <si>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</si>
  <si>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CXR PA</t>
  </si>
  <si>
    <t>D5 IMB</t>
  </si>
  <si>
    <t>IV FLUID</t>
  </si>
  <si>
    <t>500ML</t>
  </si>
  <si>
    <t>PARACETAMOL</t>
  </si>
  <si>
    <t>AMPOULE</t>
  </si>
  <si>
    <t>300MG</t>
  </si>
  <si>
    <t>AMPICILLIN SODIUM</t>
  </si>
  <si>
    <t>VIAL</t>
  </si>
  <si>
    <t>500MG</t>
  </si>
  <si>
    <t>DIMETAPP</t>
  </si>
  <si>
    <t>DROPS</t>
  </si>
  <si>
    <t xml:space="preserve">CEFUROXIME </t>
  </si>
  <si>
    <t>750MG</t>
  </si>
  <si>
    <t>60ML</t>
  </si>
  <si>
    <t>AMIKACIN SULFATE</t>
  </si>
  <si>
    <t>500MG/2L</t>
  </si>
  <si>
    <t>SALBUTAMOL</t>
  </si>
  <si>
    <t>NEBULE</t>
  </si>
  <si>
    <t>1MG/ML</t>
  </si>
  <si>
    <t>MICROSET</t>
  </si>
  <si>
    <t>INSYTE G24</t>
  </si>
  <si>
    <t>INSYTE G26</t>
  </si>
  <si>
    <t>5CC SYRINGE</t>
  </si>
  <si>
    <t>1CC SYRINGE</t>
  </si>
  <si>
    <t>3CC SYRINGE</t>
  </si>
  <si>
    <t>NEB KIT</t>
  </si>
  <si>
    <t>PER PIECE</t>
  </si>
  <si>
    <t>WEE BAG</t>
  </si>
  <si>
    <t>CASE RATE(room,labs,meds, etc)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</si>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</sst>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F62" sqref="F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196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197</v>
      </c>
      <c r="D61" s="55">
        <v>4500</v>
      </c>
      <c r="E61" s="55"/>
      <c r="F61" s="55">
        <v>1550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1550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C30" sqref="C3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169</v>
      </c>
      <c r="E11" s="27" t="s">
        <v>170</v>
      </c>
      <c r="F11" s="55">
        <v>2</v>
      </c>
      <c r="G11" s="55">
        <v>1</v>
      </c>
      <c r="H11" s="55">
        <v>2</v>
      </c>
      <c r="I11" s="55">
        <v>310</v>
      </c>
      <c r="J11" s="55">
        <f t="shared" ref="J11:J17" si="0">H11*I11</f>
        <v>620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172</v>
      </c>
      <c r="E12" s="27" t="s">
        <v>173</v>
      </c>
      <c r="F12" s="55">
        <v>3</v>
      </c>
      <c r="G12" s="55">
        <v>1</v>
      </c>
      <c r="H12" s="55">
        <v>5</v>
      </c>
      <c r="I12" s="55">
        <v>200</v>
      </c>
      <c r="J12" s="55">
        <f t="shared" si="0"/>
        <v>1000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175</v>
      </c>
      <c r="E13" s="27" t="s">
        <v>176</v>
      </c>
      <c r="F13" s="55">
        <v>2</v>
      </c>
      <c r="G13" s="55">
        <v>1</v>
      </c>
      <c r="H13" s="55">
        <v>2</v>
      </c>
      <c r="I13" s="55">
        <v>300</v>
      </c>
      <c r="J13" s="55">
        <f t="shared" si="0"/>
        <v>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178</v>
      </c>
      <c r="E14" s="27" t="s">
        <v>181</v>
      </c>
      <c r="F14" s="55">
        <v>1</v>
      </c>
      <c r="G14" s="55">
        <v>1</v>
      </c>
      <c r="H14" s="55">
        <v>1</v>
      </c>
      <c r="I14" s="55">
        <v>208</v>
      </c>
      <c r="J14" s="55">
        <f t="shared" si="0"/>
        <v>208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175</v>
      </c>
      <c r="E15" s="27" t="s">
        <v>180</v>
      </c>
      <c r="F15" s="55">
        <v>2</v>
      </c>
      <c r="G15" s="55">
        <v>1</v>
      </c>
      <c r="H15" s="55">
        <v>2</v>
      </c>
      <c r="I15" s="55">
        <v>350</v>
      </c>
      <c r="J15" s="55">
        <f t="shared" si="0"/>
        <v>700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175</v>
      </c>
      <c r="E16" s="27" t="s">
        <v>183</v>
      </c>
      <c r="F16" s="55">
        <v>1</v>
      </c>
      <c r="G16" s="55">
        <v>1</v>
      </c>
      <c r="H16" s="55">
        <v>1</v>
      </c>
      <c r="I16" s="55">
        <v>500</v>
      </c>
      <c r="J16" s="55">
        <f t="shared" si="0"/>
        <v>500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184</v>
      </c>
      <c r="D17" s="27" t="s">
        <v>185</v>
      </c>
      <c r="E17" s="27" t="s">
        <v>186</v>
      </c>
      <c r="F17" s="55">
        <v>2</v>
      </c>
      <c r="G17" s="55">
        <v>1</v>
      </c>
      <c r="H17" s="55">
        <v>5</v>
      </c>
      <c r="I17" s="55">
        <v>40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4" sqref="F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187</v>
      </c>
      <c r="D16" s="70" t="s">
        <v>194</v>
      </c>
      <c r="E16" s="55">
        <v>1</v>
      </c>
      <c r="F16" s="55">
        <v>150</v>
      </c>
      <c r="G16" s="55">
        <f t="shared" ref="G16:G23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188</v>
      </c>
      <c r="D17" s="70" t="s">
        <v>194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189</v>
      </c>
      <c r="D18" s="70" t="s">
        <v>194</v>
      </c>
      <c r="E18" s="55">
        <v>2</v>
      </c>
      <c r="F18" s="55">
        <v>350</v>
      </c>
      <c r="G18" s="55">
        <f t="shared" si="0"/>
        <v>700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190</v>
      </c>
      <c r="D19" s="70" t="s">
        <v>194</v>
      </c>
      <c r="E19" s="55">
        <v>6</v>
      </c>
      <c r="F19" s="55">
        <v>20</v>
      </c>
      <c r="G19" s="55">
        <f t="shared" si="0"/>
        <v>120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191</v>
      </c>
      <c r="D20" s="70" t="s">
        <v>194</v>
      </c>
      <c r="E20" s="55">
        <v>6</v>
      </c>
      <c r="F20" s="55">
        <v>20</v>
      </c>
      <c r="G20" s="55">
        <f t="shared" si="0"/>
        <v>120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192</v>
      </c>
      <c r="D21" s="70" t="s">
        <v>194</v>
      </c>
      <c r="E21" s="55">
        <v>8</v>
      </c>
      <c r="F21" s="55">
        <v>20</v>
      </c>
      <c r="G21" s="55">
        <f t="shared" si="0"/>
        <v>160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193</v>
      </c>
      <c r="D22" s="70" t="s">
        <v>194</v>
      </c>
      <c r="E22" s="55">
        <v>1</v>
      </c>
      <c r="F22" s="55">
        <v>200</v>
      </c>
      <c r="G22" s="55">
        <f t="shared" si="0"/>
        <v>200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195</v>
      </c>
      <c r="D23" s="70" t="s">
        <v>194</v>
      </c>
      <c r="E23" s="55">
        <v>2</v>
      </c>
      <c r="F23" s="55">
        <v>100</v>
      </c>
      <c r="G23" s="55">
        <f t="shared" si="0"/>
        <v>200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H20" sqref="H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>
        <v>15</v>
      </c>
      <c r="G13" s="55">
        <v>65</v>
      </c>
      <c r="H13" s="55">
        <v>130</v>
      </c>
      <c r="I13" s="55"/>
      <c r="J13" s="55"/>
      <c r="K13" s="55"/>
      <c r="L13" s="55"/>
      <c r="M13" s="55"/>
      <c r="N13" s="55"/>
      <c r="P13" s="88">
        <f>SUM(D13:N13)</f>
        <v>230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15</v>
      </c>
      <c r="G30" s="88">
        <f t="shared" si="1"/>
        <v>65</v>
      </c>
      <c r="H30" s="88">
        <f t="shared" si="1"/>
        <v>130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2018-06-08T09:15:31Z</dcterms:modified>
</cp:coreProperties>
</file>