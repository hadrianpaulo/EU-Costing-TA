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5" i="9" l="1"/>
  <c r="G24" i="9"/>
  <c r="G23" i="9" l="1"/>
  <c r="G22" i="9"/>
  <c r="J23" i="2" l="1"/>
  <c r="J22" i="2"/>
  <c r="J21" i="2"/>
  <c r="J20" i="2"/>
  <c r="J19" i="2"/>
  <c r="J18" i="2"/>
  <c r="J17" i="2"/>
  <c r="G21" i="9" l="1"/>
  <c r="G20" i="9" l="1"/>
  <c r="G19" i="9"/>
  <c r="G26" i="9" s="1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<sst xmlns="http://schemas.openxmlformats.org/spreadsheetml/2006/main" count="509" uniqueCount="212">
  <si>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</si>
  <si>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</si>
  <si>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</si>
  <si>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</si>
  <si>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</si>
  <si>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</si>
  <si>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</si>
  <si>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</si>
  <si>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</si>
  <si>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</si>
  <si>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</si>
  <si>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</si>
  <si>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</si>
  <si>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</si>
  <si>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</si>
  <si>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</si>
  <si>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</si>
  <si>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</si>
  <si>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</si>
  <si>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</si>
  <si>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</si>
  <si>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</si>
  <si>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</si>
  <si>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</si>
  <si>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</si>
  <si>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</si>
  <si>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</si>
  <si>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</si>
  <si>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</si>
  <si>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</si>
  <si>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</si>
  <si>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</si>
  <si>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</si>
  <si>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</si>
  <si>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</si>
  <si>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</si>
  <si>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</si>
  <si>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</si>
  <si>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</si>
  <si>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</si>
  <si>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</si>
  <si>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</si>
  <si>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</si>
  <si>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</si>
  <si>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</si>
  <si>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</si>
  <si>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</si>
  <si>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</si>
  <si>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</si>
  <si>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</si>
  <si>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</si>
  <si>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</si>
  <si>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</si>
  <si>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</si>
  <si>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</si>
  <si>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</si>
  <si>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</si>
  <si>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</si>
  <si>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</si>
  <si>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</si>
  <si>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</si>
  <si>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</si>
  <si>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</si>
  <si>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</si>
  <si>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</si>
  <si>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</si>
  <si>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</si>
  <si>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</si>
  <si>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</si>
  <si>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</si>
  <si>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</si>
  <si>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</si>
  <si>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</si>
  <si>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</si>
  <si>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</si>
  <si>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</si>
  <si>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</si>
  <si>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</si>
  <si>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</si>
  <si>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</si>
  <si>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</si>
  <si>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</si>
  <si>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</si>
  <si>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</si>
  <si>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</si>
  <si>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</si>
  <si>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</si>
  <si>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</si>
  <si>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</si>
  <si>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</si>
  <si>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</si>
  <si>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</si>
  <si>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</si>
  <si>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</si>
  <si>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</si>
  <si>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</si>
  <si>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</si>
  <si>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</si>
  <si>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</si>
  <si>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</si>
  <si>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</si>
  <si>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</si>
  <si>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</si>
  <si>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</si>
  <si>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</si>
  <si>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</si>
  <si>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</si>
  <si>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</si>
  <si>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</si>
  <si>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</si>
  <si>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</si>
  <si>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</si>
  <si>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</si>
  <si>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</si>
  <si>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</si>
  <si>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</si>
  <si>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</si>
  <si>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</si>
  <si>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</si>
  <si>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</si>
  <si>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</si>
  <si>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</si>
  <si>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</si>
  <si>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</si>
  <si>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</si>
  <si>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</si>
  <si>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</si>
  <si>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</si>
  <si>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</si>
  <si>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</si>
  <si>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</si>
  <si>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</si>
  <si>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</si>
  <si>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</si>
  <si>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</si>
  <si>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</si>
  <si>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</si>
  <si>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</si>
  <si>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</si>
  <si>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</si>
  <si>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</si>
  <si>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</si>
  <si>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</si>
  <si>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</si>
  <si>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</si>
  <si>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</si>
  <si>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</si>
  <si>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</si>
  <si>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</si>
  <si>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</si>
  <si>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</si>
  <si>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</si>
  <si>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</si>
  <si>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</si>
  <si>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</si>
  <si>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</si>
  <si>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</si>
  <si>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</si>
  <si>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</si>
  <si>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</si>
  <si>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</si>
  <si>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</si>
  <si>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</si>
  <si>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</si>
  <si>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</si>
  <si>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</si>
  <si>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</si>
  <si>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CXR PA</t>
  </si>
  <si>
    <t>IV FLUID</t>
  </si>
  <si>
    <t>1L</t>
  </si>
  <si>
    <t>VIAL</t>
  </si>
  <si>
    <t>AZITHROMYCIN</t>
  </si>
  <si>
    <t>TABLET</t>
  </si>
  <si>
    <t>500MG</t>
  </si>
  <si>
    <t>MACROSET</t>
  </si>
  <si>
    <t>INSYTE G22</t>
  </si>
  <si>
    <t>1CC SYRINGE</t>
  </si>
  <si>
    <t>PER PIECE</t>
  </si>
  <si>
    <t>CASE RATE (room,labs,meds, etc)</t>
  </si>
  <si>
    <t>PF CASE RATE</t>
  </si>
  <si>
    <t>ECG</t>
  </si>
  <si>
    <t>CBC W/ PLATELETCOUNT</t>
  </si>
  <si>
    <t>CREATININE</t>
  </si>
  <si>
    <t>SENIOR</t>
  </si>
  <si>
    <t>NEBULE</t>
  </si>
  <si>
    <t>2.5MG/500MCG</t>
  </si>
  <si>
    <t>CAPSULE</t>
  </si>
  <si>
    <t xml:space="preserve">FUROSEMIDE </t>
  </si>
  <si>
    <t>AMPOULE</t>
  </si>
  <si>
    <t>20MG/2ML</t>
  </si>
  <si>
    <t>NEBULIZING</t>
  </si>
  <si>
    <t>KIT</t>
  </si>
  <si>
    <t>5CC SYRINGE</t>
  </si>
  <si>
    <t>3CC SYRINGE</t>
  </si>
  <si>
    <t>SGPT</t>
  </si>
  <si>
    <t>ELECTROLYTES (NA,K)</t>
  </si>
  <si>
    <t>IONIZED CALCIUM</t>
  </si>
  <si>
    <t>CEFUROXIME</t>
  </si>
  <si>
    <t>750MG</t>
  </si>
  <si>
    <t>SODIUM ASCORBATE</t>
  </si>
  <si>
    <t>112.5MG/9MG</t>
  </si>
  <si>
    <t>ACETYLCYSTEINE</t>
  </si>
  <si>
    <t>600MG</t>
  </si>
  <si>
    <t>METFORMIN</t>
  </si>
  <si>
    <t>PNSS</t>
  </si>
  <si>
    <t>SALBUTAMOL+IPRATROPIUM</t>
  </si>
  <si>
    <t>BIOGESIC</t>
  </si>
  <si>
    <t>CALCIUM +VIT D3</t>
  </si>
  <si>
    <t>1.5MG/200IU</t>
  </si>
  <si>
    <t>LOSARTAN POTASSIUM</t>
  </si>
  <si>
    <t>50MG</t>
  </si>
  <si>
    <t>INSYTE G24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</si>
</sst>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66" zoomScaleNormal="100" workbookViewId="0">
      <selection activeCell="C53" sqref="C5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194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182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195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196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19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 t="s">
        <v>167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45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46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54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20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 t="s">
        <v>180</v>
      </c>
      <c r="D53" s="28"/>
      <c r="E53" s="55">
        <v>1</v>
      </c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56</v>
      </c>
      <c r="C61" s="17" t="s">
        <v>52</v>
      </c>
      <c r="D61" s="17" t="s">
        <v>57</v>
      </c>
      <c r="E61" s="18" t="s">
        <v>58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178</v>
      </c>
      <c r="D62" s="55">
        <v>10500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183</v>
      </c>
      <c r="D63" s="55"/>
      <c r="E63" s="55">
        <v>275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179</v>
      </c>
      <c r="D64" s="55">
        <v>4500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183</v>
      </c>
      <c r="D65" s="55"/>
      <c r="E65" s="55">
        <v>265</v>
      </c>
      <c r="F65" s="55">
        <v>1050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15000</v>
      </c>
      <c r="E73" s="59">
        <f>SUM(E62:E72)</f>
        <v>540</v>
      </c>
      <c r="F73" s="59">
        <f>SUM(F62:F72)</f>
        <v>1050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" workbookViewId="0">
      <selection activeCell="J26" sqref="J2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197</v>
      </c>
      <c r="D11" s="27" t="s">
        <v>170</v>
      </c>
      <c r="E11" s="27" t="s">
        <v>198</v>
      </c>
      <c r="F11" s="55">
        <v>2</v>
      </c>
      <c r="G11" s="55">
        <v>1</v>
      </c>
      <c r="H11" s="55">
        <v>6</v>
      </c>
      <c r="I11" s="55">
        <v>350</v>
      </c>
      <c r="J11" s="55">
        <f t="shared" ref="J11:J23" si="0">H11*I11</f>
        <v>2100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171</v>
      </c>
      <c r="D12" s="27" t="s">
        <v>172</v>
      </c>
      <c r="E12" s="27" t="s">
        <v>173</v>
      </c>
      <c r="F12" s="55">
        <v>1</v>
      </c>
      <c r="G12" s="55">
        <v>1</v>
      </c>
      <c r="H12" s="55">
        <v>2</v>
      </c>
      <c r="I12" s="55">
        <v>200</v>
      </c>
      <c r="J12" s="55">
        <f t="shared" si="0"/>
        <v>400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199</v>
      </c>
      <c r="D13" s="27" t="s">
        <v>186</v>
      </c>
      <c r="E13" s="27" t="s">
        <v>200</v>
      </c>
      <c r="F13" s="55">
        <v>1</v>
      </c>
      <c r="G13" s="55">
        <v>1</v>
      </c>
      <c r="H13" s="55">
        <v>3</v>
      </c>
      <c r="I13" s="55">
        <v>30</v>
      </c>
      <c r="J13" s="55">
        <f t="shared" si="0"/>
        <v>90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201</v>
      </c>
      <c r="D14" s="27" t="s">
        <v>172</v>
      </c>
      <c r="E14" s="27" t="s">
        <v>202</v>
      </c>
      <c r="F14" s="55">
        <v>2</v>
      </c>
      <c r="G14" s="55">
        <v>1</v>
      </c>
      <c r="H14" s="55">
        <v>5</v>
      </c>
      <c r="I14" s="55">
        <v>80</v>
      </c>
      <c r="J14" s="55">
        <f t="shared" si="0"/>
        <v>400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203</v>
      </c>
      <c r="D15" s="27" t="s">
        <v>172</v>
      </c>
      <c r="E15" s="27" t="s">
        <v>173</v>
      </c>
      <c r="F15" s="55">
        <v>1</v>
      </c>
      <c r="G15" s="55">
        <v>1</v>
      </c>
      <c r="H15" s="55">
        <v>2</v>
      </c>
      <c r="I15" s="55">
        <v>25</v>
      </c>
      <c r="J15" s="55">
        <f t="shared" si="0"/>
        <v>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204</v>
      </c>
      <c r="D16" s="27" t="s">
        <v>168</v>
      </c>
      <c r="E16" s="27" t="s">
        <v>169</v>
      </c>
      <c r="F16" s="55">
        <v>1</v>
      </c>
      <c r="G16" s="55">
        <v>1</v>
      </c>
      <c r="H16" s="55">
        <v>2</v>
      </c>
      <c r="I16" s="55">
        <v>310</v>
      </c>
      <c r="J16" s="55">
        <f t="shared" si="0"/>
        <v>620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205</v>
      </c>
      <c r="D17" s="27" t="s">
        <v>184</v>
      </c>
      <c r="E17" s="27" t="s">
        <v>185</v>
      </c>
      <c r="F17" s="55">
        <v>2</v>
      </c>
      <c r="G17" s="55">
        <v>1</v>
      </c>
      <c r="H17" s="55">
        <v>7</v>
      </c>
      <c r="I17" s="55">
        <v>60</v>
      </c>
      <c r="J17" s="55">
        <f t="shared" si="0"/>
        <v>420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206</v>
      </c>
      <c r="D18" s="27" t="s">
        <v>172</v>
      </c>
      <c r="E18" s="27" t="s">
        <v>173</v>
      </c>
      <c r="F18" s="55">
        <v>1</v>
      </c>
      <c r="G18" s="55">
        <v>1</v>
      </c>
      <c r="H18" s="55">
        <v>1</v>
      </c>
      <c r="I18" s="55">
        <v>15</v>
      </c>
      <c r="J18" s="55">
        <f t="shared" si="0"/>
        <v>15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207</v>
      </c>
      <c r="D19" s="27" t="s">
        <v>172</v>
      </c>
      <c r="E19" s="27" t="s">
        <v>208</v>
      </c>
      <c r="F19" s="55">
        <v>1</v>
      </c>
      <c r="G19" s="55">
        <v>1</v>
      </c>
      <c r="H19" s="55">
        <v>5</v>
      </c>
      <c r="I19" s="55">
        <v>30</v>
      </c>
      <c r="J19" s="55">
        <f t="shared" si="0"/>
        <v>150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209</v>
      </c>
      <c r="D20" s="27" t="s">
        <v>172</v>
      </c>
      <c r="E20" s="27" t="s">
        <v>210</v>
      </c>
      <c r="F20" s="55">
        <v>1</v>
      </c>
      <c r="G20" s="55">
        <v>1</v>
      </c>
      <c r="H20" s="55">
        <v>1</v>
      </c>
      <c r="I20" s="55">
        <v>30</v>
      </c>
      <c r="J20" s="55">
        <f t="shared" si="0"/>
        <v>30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187</v>
      </c>
      <c r="D21" s="27" t="s">
        <v>188</v>
      </c>
      <c r="E21" s="27" t="s">
        <v>189</v>
      </c>
      <c r="F21" s="55">
        <v>1</v>
      </c>
      <c r="G21" s="55">
        <v>1</v>
      </c>
      <c r="H21" s="55">
        <v>2</v>
      </c>
      <c r="I21" s="55">
        <v>250</v>
      </c>
      <c r="J21" s="55">
        <f t="shared" si="0"/>
        <v>500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F23" sqref="F2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174</v>
      </c>
      <c r="D16" s="70" t="s">
        <v>177</v>
      </c>
      <c r="E16" s="55">
        <v>1</v>
      </c>
      <c r="F16" s="55">
        <v>150</v>
      </c>
      <c r="G16" s="55">
        <f t="shared" ref="G16:G25" si="0"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175</v>
      </c>
      <c r="D17" s="70" t="s">
        <v>177</v>
      </c>
      <c r="E17" s="55">
        <v>2</v>
      </c>
      <c r="F17" s="55">
        <v>150</v>
      </c>
      <c r="G17" s="55">
        <f t="shared" si="0"/>
        <v>300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190</v>
      </c>
      <c r="D18" s="70" t="s">
        <v>191</v>
      </c>
      <c r="E18" s="55">
        <v>1</v>
      </c>
      <c r="F18" s="55">
        <v>200</v>
      </c>
      <c r="G18" s="55">
        <f t="shared" si="0"/>
        <v>200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192</v>
      </c>
      <c r="D19" s="70" t="s">
        <v>177</v>
      </c>
      <c r="E19" s="55">
        <v>8</v>
      </c>
      <c r="F19" s="55">
        <v>20</v>
      </c>
      <c r="G19" s="55">
        <f t="shared" si="0"/>
        <v>160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176</v>
      </c>
      <c r="D20" s="70" t="s">
        <v>177</v>
      </c>
      <c r="E20" s="55">
        <v>1</v>
      </c>
      <c r="F20" s="55">
        <v>20</v>
      </c>
      <c r="G20" s="55">
        <f t="shared" si="0"/>
        <v>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193</v>
      </c>
      <c r="D21" s="70" t="s">
        <v>177</v>
      </c>
      <c r="E21" s="55">
        <v>2</v>
      </c>
      <c r="F21" s="55">
        <v>20</v>
      </c>
      <c r="G21" s="55">
        <f t="shared" si="0"/>
        <v>40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211</v>
      </c>
      <c r="D22" s="70" t="s">
        <v>177</v>
      </c>
      <c r="E22" s="55">
        <v>1</v>
      </c>
      <c r="F22" s="55">
        <v>150</v>
      </c>
      <c r="G22" s="55">
        <f t="shared" si="0"/>
        <v>150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>SUM(G16:G23)</f>
        <v>1020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D3" workbookViewId="0">
      <selection activeCell="P13" sqref="P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30</v>
      </c>
      <c r="E13" s="55"/>
      <c r="F13" s="55"/>
      <c r="G13" s="55">
        <v>50</v>
      </c>
      <c r="H13" s="55">
        <v>130</v>
      </c>
      <c r="I13" s="55"/>
      <c r="J13" s="55"/>
      <c r="K13" s="55"/>
      <c r="L13" s="55"/>
      <c r="M13" s="55"/>
      <c r="N13" s="55"/>
      <c r="P13" s="88">
        <f>SUM(D13:N13)</f>
        <v>210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30</v>
      </c>
      <c r="E30" s="88">
        <f t="shared" si="1"/>
        <v>0</v>
      </c>
      <c r="F30" s="88">
        <f t="shared" si="1"/>
        <v>0</v>
      </c>
      <c r="G30" s="88">
        <f t="shared" si="1"/>
        <v>50</v>
      </c>
      <c r="H30" s="88">
        <f t="shared" si="1"/>
        <v>130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210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2018-06-08T04:59:40Z</dcterms:modified>
</cp:coreProperties>
</file>