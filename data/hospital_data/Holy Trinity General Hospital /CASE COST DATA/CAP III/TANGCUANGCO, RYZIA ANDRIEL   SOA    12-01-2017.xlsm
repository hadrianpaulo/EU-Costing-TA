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3" i="9" l="1"/>
  <c r="G22" i="9"/>
  <c r="G21" i="9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<sst xmlns="http://schemas.openxmlformats.org/spreadsheetml/2006/main" count="486" uniqueCount="195">
  <si>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</si>
  <si>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</si>
  <si>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</si>
  <si>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</si>
  <si>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</si>
  <si>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</si>
  <si>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</si>
  <si>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</si>
  <si>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</si>
  <si>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</si>
  <si>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</si>
  <si>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</si>
  <si>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</si>
  <si>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</si>
  <si>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</si>
  <si>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</si>
  <si>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</si>
  <si>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</si>
  <si>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</si>
  <si>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</si>
  <si>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</si>
  <si>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</si>
  <si>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</si>
  <si>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</si>
  <si>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</si>
  <si>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</si>
  <si>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</si>
  <si>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</si>
  <si>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</si>
  <si>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</si>
  <si>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</si>
  <si>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</si>
  <si>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</si>
  <si>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</si>
  <si>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</si>
  <si>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</si>
  <si>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</si>
  <si>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</si>
  <si>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</si>
  <si>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</si>
  <si>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</si>
  <si>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</si>
  <si>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</si>
  <si>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</si>
  <si>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</si>
  <si>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</si>
  <si>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</si>
  <si>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</si>
  <si>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</si>
  <si>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</si>
  <si>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</si>
  <si>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</si>
  <si>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</si>
  <si>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</si>
  <si>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</si>
  <si>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</si>
  <si>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</si>
  <si>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</si>
  <si>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</si>
  <si>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</si>
  <si>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</si>
  <si>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</si>
  <si>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</si>
  <si>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</si>
  <si>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</si>
  <si>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</si>
  <si>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</si>
  <si>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</si>
  <si>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</si>
  <si>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</si>
  <si>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</si>
  <si>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</si>
  <si>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</si>
  <si>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</si>
  <si>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</si>
  <si>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</si>
  <si>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</si>
  <si>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</si>
  <si>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</si>
  <si>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</si>
  <si>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</si>
  <si>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</si>
  <si>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</si>
  <si>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</si>
  <si>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</si>
  <si>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</si>
  <si>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</si>
  <si>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</si>
  <si>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</si>
  <si>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</si>
  <si>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</si>
  <si>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</si>
  <si>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</si>
  <si>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</si>
  <si>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</si>
  <si>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</si>
  <si>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</si>
  <si>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</si>
  <si>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</si>
  <si>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</si>
  <si>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</si>
  <si>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</si>
  <si>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</si>
  <si>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</si>
  <si>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</si>
  <si>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</si>
  <si>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</si>
  <si>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</si>
  <si>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</si>
  <si>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</si>
  <si>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</si>
  <si>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</si>
  <si>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</si>
  <si>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</si>
  <si>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</si>
  <si>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</si>
  <si>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</si>
  <si>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</si>
  <si>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</si>
  <si>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</si>
  <si>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</si>
  <si>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</si>
  <si>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</si>
  <si>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</si>
  <si>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</si>
  <si>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</si>
  <si>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</si>
  <si>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</si>
  <si>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</si>
  <si>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</si>
  <si>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</si>
  <si>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</si>
  <si>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</si>
  <si>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</si>
  <si>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</si>
  <si>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</si>
  <si>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</si>
  <si>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</si>
  <si>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</si>
  <si>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</si>
  <si>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</si>
  <si>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</si>
  <si>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</si>
  <si>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</si>
  <si>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</si>
  <si>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</si>
  <si>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</si>
  <si>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</si>
  <si>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</si>
  <si>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</si>
  <si>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</si>
  <si>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</si>
  <si>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</si>
  <si>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</si>
  <si>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</si>
  <si>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</si>
  <si>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</si>
  <si>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</si>
  <si>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</si>
  <si>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</si>
  <si>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</si>
  <si>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</si>
  <si>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</si>
  <si>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</si>
  <si>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</si>
  <si>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</si>
  <si>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</si>
  <si>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</si>
  <si>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URINALYSIS</t>
  </si>
  <si>
    <t>CXR AP-L</t>
  </si>
  <si>
    <t>OXYGEN</t>
  </si>
  <si>
    <t>D5 0.3 NACL</t>
  </si>
  <si>
    <t>IV FLUID</t>
  </si>
  <si>
    <t>500ML</t>
  </si>
  <si>
    <t xml:space="preserve">SALBUTAMOL </t>
  </si>
  <si>
    <t>NEBULE</t>
  </si>
  <si>
    <t>1MG/ML</t>
  </si>
  <si>
    <t>PARACETAMOL</t>
  </si>
  <si>
    <t>AMPOULE</t>
  </si>
  <si>
    <t>300MG</t>
  </si>
  <si>
    <t>CEFUROXIME</t>
  </si>
  <si>
    <t>VIAL</t>
  </si>
  <si>
    <t>750MG</t>
  </si>
  <si>
    <t>MICROSET</t>
  </si>
  <si>
    <t>INSYTE G24</t>
  </si>
  <si>
    <t>NEB KIT</t>
  </si>
  <si>
    <t>5CC SYRINGE</t>
  </si>
  <si>
    <t>3CC SYRINGE</t>
  </si>
  <si>
    <t>1CC SYRINGE</t>
  </si>
  <si>
    <t>O2 CANNULA (PEDIA)</t>
  </si>
  <si>
    <t>HAND SPLINT PEDIA</t>
  </si>
  <si>
    <t>PER PIECE</t>
  </si>
  <si>
    <t>CASE RATE (room,labs,meds, etc.)</t>
  </si>
  <si>
    <t>DISCOUNT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</si>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</sst>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192</v>
      </c>
      <c r="D60" s="55">
        <v>10500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193</v>
      </c>
      <c r="D61" s="55"/>
      <c r="E61" s="55">
        <v>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194</v>
      </c>
      <c r="D62" s="55">
        <v>4500</v>
      </c>
      <c r="E62" s="55"/>
      <c r="F62" s="55">
        <v>550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5</v>
      </c>
      <c r="F71" s="59">
        <f>SUM(F60:F70)</f>
        <v>550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6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172</v>
      </c>
      <c r="E11" s="27" t="s">
        <v>173</v>
      </c>
      <c r="F11" s="55">
        <v>2</v>
      </c>
      <c r="G11" s="55">
        <v>1</v>
      </c>
      <c r="H11" s="55">
        <v>4</v>
      </c>
      <c r="I11" s="55">
        <v>310</v>
      </c>
      <c r="J11" s="55">
        <f t="shared" ref="J11:J16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175</v>
      </c>
      <c r="E12" s="27" t="s">
        <v>176</v>
      </c>
      <c r="F12" s="55">
        <v>3</v>
      </c>
      <c r="G12" s="55">
        <v>1</v>
      </c>
      <c r="H12" s="55">
        <v>17</v>
      </c>
      <c r="I12" s="55">
        <v>40</v>
      </c>
      <c r="J12" s="55">
        <f t="shared" si="0"/>
        <v>680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200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181</v>
      </c>
      <c r="E14" s="27" t="s">
        <v>182</v>
      </c>
      <c r="F14" s="55">
        <v>2</v>
      </c>
      <c r="G14" s="55">
        <v>1</v>
      </c>
      <c r="H14" s="55">
        <v>8</v>
      </c>
      <c r="I14" s="55">
        <v>350</v>
      </c>
      <c r="J14" s="55">
        <f t="shared" si="0"/>
        <v>2800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4" sqref="F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191</v>
      </c>
      <c r="E16" s="55">
        <v>1</v>
      </c>
      <c r="F16" s="55">
        <v>150</v>
      </c>
      <c r="G16" s="55">
        <f t="shared" ref="G16:G23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191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191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186</v>
      </c>
      <c r="D19" s="70" t="s">
        <v>191</v>
      </c>
      <c r="E19" s="55">
        <v>8</v>
      </c>
      <c r="F19" s="55">
        <v>20</v>
      </c>
      <c r="G19" s="55">
        <f t="shared" si="0"/>
        <v>160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187</v>
      </c>
      <c r="D20" s="70" t="s">
        <v>191</v>
      </c>
      <c r="E20" s="55">
        <v>3</v>
      </c>
      <c r="F20" s="55">
        <v>20</v>
      </c>
      <c r="G20" s="55">
        <f t="shared" si="0"/>
        <v>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188</v>
      </c>
      <c r="D21" s="70" t="s">
        <v>191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189</v>
      </c>
      <c r="D22" s="70" t="s">
        <v>191</v>
      </c>
      <c r="E22" s="55">
        <v>1</v>
      </c>
      <c r="F22" s="55">
        <v>180</v>
      </c>
      <c r="G22" s="55">
        <f t="shared" si="0"/>
        <v>180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190</v>
      </c>
      <c r="D23" s="70" t="s">
        <v>191</v>
      </c>
      <c r="E23" s="55">
        <v>1</v>
      </c>
      <c r="F23" s="55">
        <v>200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E19" sqref="E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>
        <v>30</v>
      </c>
      <c r="G13" s="55">
        <v>55</v>
      </c>
      <c r="H13" s="55">
        <v>110</v>
      </c>
      <c r="I13" s="55"/>
      <c r="J13" s="55"/>
      <c r="K13" s="55"/>
      <c r="L13" s="55"/>
      <c r="M13" s="55"/>
      <c r="N13" s="55"/>
      <c r="P13" s="88">
        <f>SUM(D13:N13)</f>
        <v>215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30</v>
      </c>
      <c r="G30" s="88">
        <f t="shared" si="1"/>
        <v>55</v>
      </c>
      <c r="H30" s="88">
        <f t="shared" si="1"/>
        <v>110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2018-06-08T02:51:29Z</dcterms:modified>
</cp:coreProperties>
</file>