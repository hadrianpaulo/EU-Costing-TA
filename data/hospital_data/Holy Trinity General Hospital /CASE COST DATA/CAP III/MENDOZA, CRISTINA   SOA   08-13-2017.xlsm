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9" i="2" l="1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<sst xmlns="http://schemas.openxmlformats.org/spreadsheetml/2006/main" count="498" uniqueCount="203">
  <si>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</si>
  <si>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</si>
  <si>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</si>
  <si>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</si>
  <si>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</si>
  <si>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</si>
  <si>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</si>
  <si>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</si>
  <si>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</si>
  <si>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</si>
  <si>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</si>
  <si>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</si>
  <si>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</si>
  <si>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</si>
  <si>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</si>
  <si>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</si>
  <si>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</si>
  <si>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</si>
  <si>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</si>
  <si>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</si>
  <si>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</si>
  <si>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</si>
  <si>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</si>
  <si>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</si>
  <si>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</si>
  <si>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</si>
  <si>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</si>
  <si>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</si>
  <si>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</si>
  <si>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</si>
  <si>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</si>
  <si>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</si>
  <si>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</si>
  <si>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</si>
  <si>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</si>
  <si>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</si>
  <si>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</si>
  <si>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</si>
  <si>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</si>
  <si>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</si>
  <si>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</si>
  <si>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</si>
  <si>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</si>
  <si>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</si>
  <si>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</si>
  <si>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</si>
  <si>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</si>
  <si>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</si>
  <si>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</si>
  <si>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</si>
  <si>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</si>
  <si>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</si>
  <si>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</si>
  <si>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</si>
  <si>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</si>
  <si>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</si>
  <si>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</si>
  <si>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</si>
  <si>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</si>
  <si>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</si>
  <si>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</si>
  <si>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</si>
  <si>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</si>
  <si>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</si>
  <si>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</si>
  <si>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</si>
  <si>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</si>
  <si>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</si>
  <si>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</si>
  <si>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</si>
  <si>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</si>
  <si>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</si>
  <si>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</si>
  <si>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</si>
  <si>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</si>
  <si>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</si>
  <si>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</si>
  <si>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</si>
  <si>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</si>
  <si>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</si>
  <si>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</si>
  <si>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</si>
  <si>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</si>
  <si>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</si>
  <si>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</si>
  <si>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</si>
  <si>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</si>
  <si>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</si>
  <si>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</si>
  <si>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</si>
  <si>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</si>
  <si>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</si>
  <si>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</si>
  <si>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</si>
  <si>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</si>
  <si>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</si>
  <si>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</si>
  <si>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</si>
  <si>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</si>
  <si>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</si>
  <si>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</si>
  <si>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</si>
  <si>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</si>
  <si>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</si>
  <si>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</si>
  <si>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</si>
  <si>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</si>
  <si>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</si>
  <si>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</si>
  <si>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</si>
  <si>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</si>
  <si>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</si>
  <si>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</si>
  <si>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</si>
  <si>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</si>
  <si>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</si>
  <si>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</si>
  <si>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</si>
  <si>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</si>
  <si>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</si>
  <si>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</si>
  <si>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</si>
  <si>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</si>
  <si>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</si>
  <si>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</si>
  <si>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</si>
  <si>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</si>
  <si>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</si>
  <si>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</si>
  <si>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</si>
  <si>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</si>
  <si>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</si>
  <si>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</si>
  <si>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</si>
  <si>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</si>
  <si>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</si>
  <si>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</si>
  <si>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</si>
  <si>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</si>
  <si>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</si>
  <si>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</si>
  <si>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</si>
  <si>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</si>
  <si>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</si>
  <si>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</si>
  <si>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</si>
  <si>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</si>
  <si>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</si>
  <si>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</si>
  <si>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</si>
  <si>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</si>
  <si>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</si>
  <si>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</si>
  <si>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</si>
  <si>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</si>
  <si>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</si>
  <si>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</si>
  <si>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</si>
  <si>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</si>
  <si>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</si>
  <si>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</si>
  <si>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</si>
  <si>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</si>
  <si>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</si>
  <si>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</si>
  <si>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</si>
  <si>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</si>
  <si>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</si>
  <si>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</si>
  <si>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MACROSET</t>
  </si>
  <si>
    <t>PER PIECE</t>
  </si>
  <si>
    <t>CASE RATE (room,labs,meds, etc.)</t>
  </si>
  <si>
    <t>DISCOUNT</t>
  </si>
  <si>
    <t>PF CASE RATE</t>
  </si>
  <si>
    <t>J18.92</t>
  </si>
  <si>
    <t>URINALYSIS</t>
  </si>
  <si>
    <t>GLUCOSE (FASTING)</t>
  </si>
  <si>
    <t>CHOLESTEROL</t>
  </si>
  <si>
    <t>TRIGLYCERIDES</t>
  </si>
  <si>
    <t>POTASSIUM</t>
  </si>
  <si>
    <t>CXR PA</t>
  </si>
  <si>
    <t>ECG</t>
  </si>
  <si>
    <t>PNSS</t>
  </si>
  <si>
    <t xml:space="preserve">AZITHROMYCIN </t>
  </si>
  <si>
    <t>K-LYTE</t>
  </si>
  <si>
    <t>FLUIMUCIL</t>
  </si>
  <si>
    <t>SALRESP-I</t>
  </si>
  <si>
    <t>PARACETAMOL</t>
  </si>
  <si>
    <t>HYDROCORTISONE</t>
  </si>
  <si>
    <t>IV FLUID</t>
  </si>
  <si>
    <t>TABLET</t>
  </si>
  <si>
    <t>NEBULE</t>
  </si>
  <si>
    <t>AMPOULE</t>
  </si>
  <si>
    <t>1L</t>
  </si>
  <si>
    <t>500MG</t>
  </si>
  <si>
    <t>600MG</t>
  </si>
  <si>
    <t>2.5MG/500MCG</t>
  </si>
  <si>
    <t>300MG</t>
  </si>
  <si>
    <t>100MG</t>
  </si>
  <si>
    <t>INSYTE G22</t>
  </si>
  <si>
    <t>NEB KIT</t>
  </si>
  <si>
    <t>5CC SYRINGE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</si>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</sst>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69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180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181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171</v>
      </c>
      <c r="D61" s="55">
        <v>10500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172</v>
      </c>
      <c r="D62" s="55"/>
      <c r="E62" s="55">
        <v>1450</v>
      </c>
      <c r="F62" s="55">
        <v>1350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173</v>
      </c>
      <c r="D63" s="55">
        <v>4500</v>
      </c>
      <c r="E63" s="55"/>
      <c r="F63" s="55">
        <v>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15000</v>
      </c>
      <c r="E72" s="59">
        <f>SUM(E61:E71)</f>
        <v>1450</v>
      </c>
      <c r="F72" s="59">
        <f>SUM(F61:F71)</f>
        <v>1400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189</v>
      </c>
      <c r="E11" s="27" t="s">
        <v>193</v>
      </c>
      <c r="F11" s="55">
        <v>3</v>
      </c>
      <c r="G11" s="55">
        <v>1</v>
      </c>
      <c r="H11" s="55">
        <v>4</v>
      </c>
      <c r="I11" s="55">
        <v>310</v>
      </c>
      <c r="J11" s="55">
        <f t="shared" ref="J11:J19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166</v>
      </c>
      <c r="D12" s="27" t="s">
        <v>167</v>
      </c>
      <c r="E12" s="27" t="s">
        <v>168</v>
      </c>
      <c r="F12" s="55">
        <v>4</v>
      </c>
      <c r="G12" s="55">
        <v>1</v>
      </c>
      <c r="H12" s="55">
        <v>10</v>
      </c>
      <c r="I12" s="55">
        <v>300</v>
      </c>
      <c r="J12" s="55">
        <f t="shared" si="0"/>
        <v>3000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190</v>
      </c>
      <c r="E13" s="27" t="s">
        <v>194</v>
      </c>
      <c r="F13" s="55">
        <v>2</v>
      </c>
      <c r="G13" s="55">
        <v>1</v>
      </c>
      <c r="H13" s="55">
        <v>3</v>
      </c>
      <c r="I13" s="55">
        <v>200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190</v>
      </c>
      <c r="E14" s="27" t="s">
        <v>195</v>
      </c>
      <c r="F14" s="55">
        <v>3</v>
      </c>
      <c r="G14" s="55">
        <v>1</v>
      </c>
      <c r="H14" s="55">
        <v>8</v>
      </c>
      <c r="I14" s="55">
        <v>70</v>
      </c>
      <c r="J14" s="55">
        <f t="shared" si="0"/>
        <v>560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190</v>
      </c>
      <c r="E15" s="27" t="s">
        <v>195</v>
      </c>
      <c r="F15" s="55">
        <v>3</v>
      </c>
      <c r="G15" s="55">
        <v>1</v>
      </c>
      <c r="H15" s="55">
        <v>4</v>
      </c>
      <c r="I15" s="55">
        <v>100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191</v>
      </c>
      <c r="E16" s="27" t="s">
        <v>196</v>
      </c>
      <c r="F16" s="55">
        <v>3</v>
      </c>
      <c r="G16" s="55">
        <v>1</v>
      </c>
      <c r="H16" s="55">
        <v>10</v>
      </c>
      <c r="I16" s="55">
        <v>60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192</v>
      </c>
      <c r="E17" s="27" t="s">
        <v>197</v>
      </c>
      <c r="F17" s="55">
        <v>1</v>
      </c>
      <c r="G17" s="55">
        <v>1</v>
      </c>
      <c r="H17" s="55">
        <v>1</v>
      </c>
      <c r="I17" s="55">
        <v>200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167</v>
      </c>
      <c r="E18" s="27" t="s">
        <v>198</v>
      </c>
      <c r="F18" s="55">
        <v>1</v>
      </c>
      <c r="G18" s="55">
        <v>1</v>
      </c>
      <c r="H18" s="55">
        <v>2</v>
      </c>
      <c r="I18" s="55">
        <v>300</v>
      </c>
      <c r="J18" s="55">
        <f t="shared" si="0"/>
        <v>600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166</v>
      </c>
      <c r="D19" s="27" t="s">
        <v>190</v>
      </c>
      <c r="E19" s="27" t="s">
        <v>194</v>
      </c>
      <c r="F19" s="55">
        <v>1</v>
      </c>
      <c r="G19" s="55">
        <v>1</v>
      </c>
      <c r="H19" s="55">
        <v>3</v>
      </c>
      <c r="I19" s="55">
        <v>70</v>
      </c>
      <c r="J19" s="55">
        <f t="shared" si="0"/>
        <v>210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170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170</v>
      </c>
      <c r="E18" s="55">
        <v>1</v>
      </c>
      <c r="F18" s="55">
        <v>200</v>
      </c>
      <c r="G18" s="55">
        <f>E18*F18</f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170</v>
      </c>
      <c r="E19" s="55">
        <v>10</v>
      </c>
      <c r="F19" s="55">
        <v>20</v>
      </c>
      <c r="G19" s="55">
        <f>E19*F19</f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170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50</v>
      </c>
      <c r="E13" s="55"/>
      <c r="F13" s="55"/>
      <c r="G13" s="55">
        <v>65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50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2018-06-08T08:21:17Z</dcterms:modified>
</cp:coreProperties>
</file>