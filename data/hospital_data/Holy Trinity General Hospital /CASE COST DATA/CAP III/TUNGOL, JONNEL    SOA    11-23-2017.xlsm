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<sst xmlns="http://schemas.openxmlformats.org/spreadsheetml/2006/main" count="507" uniqueCount="209">
  <si>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</si>
  <si>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</si>
  <si>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</si>
  <si>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</si>
  <si>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</si>
  <si>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</si>
  <si>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</si>
  <si>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</si>
  <si>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</si>
  <si>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</si>
  <si>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</si>
  <si>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</si>
  <si>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</si>
  <si>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</si>
  <si>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</si>
  <si>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</si>
  <si>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</si>
  <si>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</si>
  <si>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</si>
  <si>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</si>
  <si>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</si>
  <si>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</si>
  <si>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</si>
  <si>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</si>
  <si>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</si>
  <si>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</si>
  <si>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</si>
  <si>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</si>
  <si>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</si>
  <si>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</si>
  <si>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</si>
  <si>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</si>
  <si>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</si>
  <si>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</si>
  <si>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</si>
  <si>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</si>
  <si>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</si>
  <si>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</si>
  <si>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</si>
  <si>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</si>
  <si>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</si>
  <si>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</si>
  <si>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</si>
  <si>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</si>
  <si>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</si>
  <si>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</si>
  <si>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</si>
  <si>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</si>
  <si>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</si>
  <si>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</si>
  <si>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</si>
  <si>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</si>
  <si>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</si>
  <si>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</si>
  <si>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</si>
  <si>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</si>
  <si>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</si>
  <si>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</si>
  <si>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</si>
  <si>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</si>
  <si>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</si>
  <si>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</si>
  <si>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</si>
  <si>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</si>
  <si>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</si>
  <si>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</si>
  <si>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</si>
  <si>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</si>
  <si>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</si>
  <si>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</si>
  <si>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</si>
  <si>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</si>
  <si>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</si>
  <si>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</si>
  <si>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</si>
  <si>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</si>
  <si>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</si>
  <si>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</si>
  <si>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</si>
  <si>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</si>
  <si>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</si>
  <si>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</si>
  <si>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</si>
  <si>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</si>
  <si>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</si>
  <si>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</si>
  <si>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</si>
  <si>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</si>
  <si>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</si>
  <si>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</si>
  <si>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</si>
  <si>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</si>
  <si>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</si>
  <si>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</si>
  <si>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</si>
  <si>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</si>
  <si>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</si>
  <si>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</si>
  <si>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</si>
  <si>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</si>
  <si>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</si>
  <si>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</si>
  <si>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</si>
  <si>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</si>
  <si>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</si>
  <si>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</si>
  <si>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</si>
  <si>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</si>
  <si>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</si>
  <si>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</si>
  <si>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</si>
  <si>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</si>
  <si>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</si>
  <si>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</si>
  <si>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</si>
  <si>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</si>
  <si>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</si>
  <si>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</si>
  <si>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</si>
  <si>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</si>
  <si>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</si>
  <si>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</si>
  <si>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</si>
  <si>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</si>
  <si>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</si>
  <si>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</si>
  <si>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</si>
  <si>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</si>
  <si>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</si>
  <si>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</si>
  <si>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</si>
  <si>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</si>
  <si>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</si>
  <si>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</si>
  <si>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</si>
  <si>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</si>
  <si>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</si>
  <si>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</si>
  <si>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</si>
  <si>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</si>
  <si>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</si>
  <si>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</si>
  <si>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</si>
  <si>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</si>
  <si>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</si>
  <si>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</si>
  <si>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</si>
  <si>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</si>
  <si>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</si>
  <si>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</si>
  <si>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</si>
  <si>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</si>
  <si>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</si>
  <si>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</si>
  <si>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</si>
  <si>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</si>
  <si>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</si>
  <si>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</si>
  <si>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</si>
  <si>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</si>
  <si>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</si>
  <si>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</si>
  <si>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</si>
  <si>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</si>
  <si>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</si>
  <si>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</si>
  <si>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</si>
  <si>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</si>
  <si>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</si>
  <si>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</si>
  <si>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DISCOUNT</t>
  </si>
  <si>
    <t>PF CASE RATE</t>
  </si>
  <si>
    <t>J18.92</t>
  </si>
  <si>
    <t>SGPT</t>
  </si>
  <si>
    <t>ELECTROLYTES (NA,K)</t>
  </si>
  <si>
    <t>CREATININE</t>
  </si>
  <si>
    <t>DENGUE DOT</t>
  </si>
  <si>
    <t>DENGUE NS 1</t>
  </si>
  <si>
    <t>CBC W/ PLATELET COUNT</t>
  </si>
  <si>
    <t>CXR PA</t>
  </si>
  <si>
    <t xml:space="preserve">CO-AMOXICLAV </t>
  </si>
  <si>
    <t>BACTIDOL</t>
  </si>
  <si>
    <t>PNSS</t>
  </si>
  <si>
    <t>PARACETAMOL</t>
  </si>
  <si>
    <t>POTEN-CEE</t>
  </si>
  <si>
    <t>PROVINERV</t>
  </si>
  <si>
    <t>ASCORZEE</t>
  </si>
  <si>
    <t>D5 LRS</t>
  </si>
  <si>
    <t>1G/200MG</t>
  </si>
  <si>
    <t>120ML</t>
  </si>
  <si>
    <t>IV FLUID</t>
  </si>
  <si>
    <t>ORAL SOLUTION</t>
  </si>
  <si>
    <t>1L</t>
  </si>
  <si>
    <t>AMPOULE</t>
  </si>
  <si>
    <t>300MG</t>
  </si>
  <si>
    <t>500MG</t>
  </si>
  <si>
    <t>TABLET</t>
  </si>
  <si>
    <t>CAPSULE</t>
  </si>
  <si>
    <t>250MG/1MG</t>
  </si>
  <si>
    <t>112.5MG/9MG</t>
  </si>
  <si>
    <t>500MG/125MG</t>
  </si>
  <si>
    <t>PLRS</t>
  </si>
  <si>
    <t>INSYTE G22</t>
  </si>
  <si>
    <t>MICROSET</t>
  </si>
  <si>
    <t>SOLUSET</t>
  </si>
  <si>
    <t>FREE NEEDLE G23</t>
  </si>
  <si>
    <t>10CC SYRINGE</t>
  </si>
  <si>
    <t>1CC SYRINGE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</si>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</sst>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3" zoomScaleNormal="100" workbookViewId="0">
      <selection activeCell="F65" sqref="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2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169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170</v>
      </c>
      <c r="D63" s="55"/>
      <c r="E63" s="55">
        <v>1655</v>
      </c>
      <c r="F63" s="55">
        <v>9904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171</v>
      </c>
      <c r="D64" s="55">
        <v>4500</v>
      </c>
      <c r="E64" s="55"/>
      <c r="F64" s="55">
        <v>1550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1655</v>
      </c>
      <c r="F73" s="59">
        <f>SUM(F62:F72)</f>
        <v>11454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B27" sqref="B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166</v>
      </c>
      <c r="E11" s="27" t="s">
        <v>188</v>
      </c>
      <c r="F11" s="55">
        <v>3</v>
      </c>
      <c r="G11" s="55">
        <v>1</v>
      </c>
      <c r="H11" s="55">
        <v>4</v>
      </c>
      <c r="I11" s="55">
        <v>1200</v>
      </c>
      <c r="J11" s="55">
        <f t="shared" ref="J11:J20" si="0">H11*I11</f>
        <v>4800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191</v>
      </c>
      <c r="E12" s="27" t="s">
        <v>189</v>
      </c>
      <c r="F12" s="55">
        <v>1</v>
      </c>
      <c r="G12" s="55">
        <v>1</v>
      </c>
      <c r="H12" s="55">
        <v>1</v>
      </c>
      <c r="I12" s="55">
        <v>249</v>
      </c>
      <c r="J12" s="55">
        <f t="shared" si="0"/>
        <v>249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190</v>
      </c>
      <c r="E13" s="27" t="s">
        <v>192</v>
      </c>
      <c r="F13" s="55">
        <v>4</v>
      </c>
      <c r="G13" s="55">
        <v>1</v>
      </c>
      <c r="H13" s="55">
        <v>6</v>
      </c>
      <c r="I13" s="55">
        <v>310</v>
      </c>
      <c r="J13" s="55">
        <f t="shared" si="0"/>
        <v>1860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193</v>
      </c>
      <c r="E14" s="27" t="s">
        <v>194</v>
      </c>
      <c r="F14" s="55">
        <v>3</v>
      </c>
      <c r="G14" s="55">
        <v>1</v>
      </c>
      <c r="H14" s="55">
        <v>16</v>
      </c>
      <c r="I14" s="55">
        <v>200</v>
      </c>
      <c r="J14" s="55">
        <f t="shared" si="0"/>
        <v>3200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196</v>
      </c>
      <c r="E15" s="27" t="s">
        <v>195</v>
      </c>
      <c r="F15" s="55">
        <v>1</v>
      </c>
      <c r="G15" s="55">
        <v>1</v>
      </c>
      <c r="H15" s="55">
        <v>1</v>
      </c>
      <c r="I15" s="55">
        <v>20</v>
      </c>
      <c r="J15" s="55">
        <f t="shared" si="0"/>
        <v>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197</v>
      </c>
      <c r="E16" s="27" t="s">
        <v>198</v>
      </c>
      <c r="F16" s="55">
        <v>2</v>
      </c>
      <c r="G16" s="55">
        <v>1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197</v>
      </c>
      <c r="E17" s="27" t="s">
        <v>199</v>
      </c>
      <c r="F17" s="55">
        <v>1</v>
      </c>
      <c r="G17" s="55">
        <v>1</v>
      </c>
      <c r="H17" s="55">
        <v>1</v>
      </c>
      <c r="I17" s="55">
        <v>30</v>
      </c>
      <c r="J17" s="55">
        <f t="shared" si="0"/>
        <v>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190</v>
      </c>
      <c r="E18" s="27" t="s">
        <v>192</v>
      </c>
      <c r="F18" s="55">
        <v>1</v>
      </c>
      <c r="G18" s="55">
        <v>1</v>
      </c>
      <c r="H18" s="55">
        <v>1</v>
      </c>
      <c r="I18" s="55">
        <v>310</v>
      </c>
      <c r="J18" s="55">
        <f t="shared" si="0"/>
        <v>310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180</v>
      </c>
      <c r="D19" s="27" t="s">
        <v>196</v>
      </c>
      <c r="E19" s="27" t="s">
        <v>200</v>
      </c>
      <c r="F19" s="55">
        <v>2</v>
      </c>
      <c r="G19" s="55">
        <v>1</v>
      </c>
      <c r="H19" s="55">
        <v>4</v>
      </c>
      <c r="I19" s="55">
        <v>90</v>
      </c>
      <c r="J19" s="55">
        <f t="shared" si="0"/>
        <v>360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190</v>
      </c>
      <c r="E20" s="27" t="s">
        <v>192</v>
      </c>
      <c r="F20" s="55">
        <v>1</v>
      </c>
      <c r="G20" s="55">
        <v>1</v>
      </c>
      <c r="H20" s="55">
        <v>1</v>
      </c>
      <c r="I20" s="55">
        <v>310</v>
      </c>
      <c r="J20" s="55">
        <f t="shared" si="0"/>
        <v>310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168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168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204</v>
      </c>
      <c r="D19" s="70" t="s">
        <v>168</v>
      </c>
      <c r="E19" s="55">
        <v>1</v>
      </c>
      <c r="F19" s="55">
        <v>350</v>
      </c>
      <c r="G19" s="55">
        <f t="shared" si="0"/>
        <v>350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205</v>
      </c>
      <c r="D20" s="70" t="s">
        <v>168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206</v>
      </c>
      <c r="D21" s="70" t="s">
        <v>168</v>
      </c>
      <c r="E21" s="55">
        <v>4</v>
      </c>
      <c r="F21" s="55">
        <v>40</v>
      </c>
      <c r="G21" s="55">
        <f t="shared" si="0"/>
        <v>160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207</v>
      </c>
      <c r="D22" s="70" t="s">
        <v>168</v>
      </c>
      <c r="E22" s="55">
        <v>1</v>
      </c>
      <c r="F22" s="55">
        <v>20</v>
      </c>
      <c r="G22" s="55">
        <f t="shared" si="0"/>
        <v>20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208</v>
      </c>
      <c r="D23" s="70" t="s">
        <v>168</v>
      </c>
      <c r="E23" s="55">
        <v>8</v>
      </c>
      <c r="F23" s="55">
        <v>20</v>
      </c>
      <c r="G23" s="55">
        <f t="shared" si="0"/>
        <v>160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F19" sqref="F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10</v>
      </c>
      <c r="G13" s="55">
        <v>60</v>
      </c>
      <c r="H13" s="55">
        <v>160</v>
      </c>
      <c r="I13" s="55"/>
      <c r="J13" s="55"/>
      <c r="K13" s="55"/>
      <c r="L13" s="55"/>
      <c r="M13" s="55"/>
      <c r="N13" s="55"/>
      <c r="P13" s="88">
        <f>SUM(D13:N13)</f>
        <v>260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10</v>
      </c>
      <c r="G30" s="88">
        <f t="shared" si="1"/>
        <v>80</v>
      </c>
      <c r="H30" s="88">
        <f t="shared" si="1"/>
        <v>160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2018-06-08T06:30:11Z</dcterms:modified>
</cp:coreProperties>
</file>