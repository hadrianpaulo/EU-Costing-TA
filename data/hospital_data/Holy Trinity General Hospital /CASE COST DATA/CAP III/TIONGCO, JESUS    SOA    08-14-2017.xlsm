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23" i="2"/>
  <c r="J22" i="2"/>
  <c r="J21" i="2"/>
  <c r="J20" i="2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<sst xmlns="http://schemas.openxmlformats.org/spreadsheetml/2006/main" count="510" uniqueCount="211">
  <si>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</si>
  <si>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</si>
  <si>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</si>
  <si>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</si>
  <si>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</si>
  <si>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</si>
  <si>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</si>
  <si>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</si>
  <si>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</si>
  <si>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</si>
  <si>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</si>
  <si>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</si>
  <si>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</si>
  <si>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</si>
  <si>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</si>
  <si>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</si>
  <si>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</si>
  <si>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</si>
  <si>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</si>
  <si>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</si>
  <si>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</si>
  <si>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</si>
  <si>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</si>
  <si>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</si>
  <si>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</si>
  <si>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</si>
  <si>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</si>
  <si>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</si>
  <si>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</si>
  <si>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</si>
  <si>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</si>
  <si>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</si>
  <si>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</si>
  <si>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</si>
  <si>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</si>
  <si>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</si>
  <si>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</si>
  <si>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</si>
  <si>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</si>
  <si>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</si>
  <si>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</si>
  <si>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</si>
  <si>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</si>
  <si>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</si>
  <si>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</si>
  <si>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</si>
  <si>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</si>
  <si>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</si>
  <si>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</si>
  <si>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</si>
  <si>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</si>
  <si>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</si>
  <si>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</si>
  <si>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</si>
  <si>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</si>
  <si>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</si>
  <si>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</si>
  <si>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</si>
  <si>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</si>
  <si>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</si>
  <si>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</si>
  <si>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</si>
  <si>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</si>
  <si>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</si>
  <si>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</si>
  <si>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</si>
  <si>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</si>
  <si>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</si>
  <si>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</si>
  <si>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</si>
  <si>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</si>
  <si>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</si>
  <si>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</si>
  <si>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</si>
  <si>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</si>
  <si>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</si>
  <si>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</si>
  <si>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</si>
  <si>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</si>
  <si>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</si>
  <si>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</si>
  <si>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</si>
  <si>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</si>
  <si>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</si>
  <si>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</si>
  <si>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</si>
  <si>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</si>
  <si>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</si>
  <si>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</si>
  <si>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</si>
  <si>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</si>
  <si>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</si>
  <si>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</si>
  <si>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</si>
  <si>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</si>
  <si>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</si>
  <si>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</si>
  <si>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</si>
  <si>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</si>
  <si>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</si>
  <si>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</si>
  <si>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</si>
  <si>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</si>
  <si>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</si>
  <si>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</si>
  <si>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</si>
  <si>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</si>
  <si>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</si>
  <si>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</si>
  <si>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</si>
  <si>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</si>
  <si>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</si>
  <si>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</si>
  <si>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</si>
  <si>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</si>
  <si>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</si>
  <si>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</si>
  <si>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</si>
  <si>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</si>
  <si>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</si>
  <si>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</si>
  <si>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</si>
  <si>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</si>
  <si>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</si>
  <si>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</si>
  <si>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</si>
  <si>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</si>
  <si>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</si>
  <si>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</si>
  <si>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</si>
  <si>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</si>
  <si>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</si>
  <si>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</si>
  <si>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</si>
  <si>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</si>
  <si>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</si>
  <si>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</si>
  <si>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</si>
  <si>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</si>
  <si>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</si>
  <si>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</si>
  <si>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</si>
  <si>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</si>
  <si>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</si>
  <si>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</si>
  <si>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</si>
  <si>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</si>
  <si>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</si>
  <si>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</si>
  <si>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</si>
  <si>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</si>
  <si>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</si>
  <si>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</si>
  <si>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</si>
  <si>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</si>
  <si>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</si>
  <si>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</si>
  <si>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</si>
  <si>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</si>
  <si>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</si>
  <si>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</si>
  <si>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</si>
  <si>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</si>
  <si>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</si>
  <si>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</si>
  <si>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</si>
  <si>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CEFUROXIME</t>
  </si>
  <si>
    <t>VIAL</t>
  </si>
  <si>
    <t>750MG</t>
  </si>
  <si>
    <t>MACROSET</t>
  </si>
  <si>
    <t>PER PIECE</t>
  </si>
  <si>
    <t>CASE RATE (room,labs,meds, etc.)</t>
  </si>
  <si>
    <t>PF CASE RATE</t>
  </si>
  <si>
    <t>J18.92</t>
  </si>
  <si>
    <t>CBC W/ PLATELET COUNT</t>
  </si>
  <si>
    <t>HBAIC</t>
  </si>
  <si>
    <t>SGPT</t>
  </si>
  <si>
    <t>POTASSIUM</t>
  </si>
  <si>
    <t>AZITHROMYCIN</t>
  </si>
  <si>
    <t>MONTELUKAST</t>
  </si>
  <si>
    <t>HYDROCORTISONE</t>
  </si>
  <si>
    <t>BUTAMIRATE CITRATE</t>
  </si>
  <si>
    <t>SALRESP-I</t>
  </si>
  <si>
    <t>PNSS</t>
  </si>
  <si>
    <t>OMEPRAZOLE</t>
  </si>
  <si>
    <t>MAXIVENT</t>
  </si>
  <si>
    <t>TABLET</t>
  </si>
  <si>
    <t>NEBULE</t>
  </si>
  <si>
    <t>IV FLUID</t>
  </si>
  <si>
    <t>CAPSULE</t>
  </si>
  <si>
    <t>500MG</t>
  </si>
  <si>
    <t>10MG</t>
  </si>
  <si>
    <t>100MG</t>
  </si>
  <si>
    <t>50MG</t>
  </si>
  <si>
    <t>2.5MG/500MG</t>
  </si>
  <si>
    <t>1L</t>
  </si>
  <si>
    <t>40MG</t>
  </si>
  <si>
    <t>METFORMIN</t>
  </si>
  <si>
    <t>MUCOTYL</t>
  </si>
  <si>
    <t>SACHET</t>
  </si>
  <si>
    <t>600MG</t>
  </si>
  <si>
    <t>K-LYTE</t>
  </si>
  <si>
    <t>POTASSIUM CHLORIDE</t>
  </si>
  <si>
    <t>40MEQ</t>
  </si>
  <si>
    <t>INSYTE G22</t>
  </si>
  <si>
    <t>10CC SYRINGE</t>
  </si>
  <si>
    <t>1CC SYRINGE</t>
  </si>
  <si>
    <t>5CC SYRINGE</t>
  </si>
  <si>
    <t>O2 CANNULA</t>
  </si>
  <si>
    <t>OXYGEN</t>
  </si>
  <si>
    <t>CBG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</si>
</sst>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57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210</v>
      </c>
      <c r="D38" s="23"/>
      <c r="E38" s="55">
        <v>4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45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46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54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209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56</v>
      </c>
      <c r="C60" s="17" t="s">
        <v>52</v>
      </c>
      <c r="D60" s="17" t="s">
        <v>57</v>
      </c>
      <c r="E60" s="18" t="s">
        <v>58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171</v>
      </c>
      <c r="D61" s="55">
        <v>10500</v>
      </c>
      <c r="E61" s="55"/>
      <c r="F61" s="55">
        <v>14470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172</v>
      </c>
      <c r="D62" s="55">
        <v>4500</v>
      </c>
      <c r="E62" s="55"/>
      <c r="F62" s="55">
        <v>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15000</v>
      </c>
      <c r="E72" s="59">
        <f>SUM(E61:E71)</f>
        <v>0</v>
      </c>
      <c r="F72" s="59">
        <f>SUM(F61:F71)</f>
        <v>14520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24" sqref="I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166</v>
      </c>
      <c r="D11" s="27" t="s">
        <v>167</v>
      </c>
      <c r="E11" s="27" t="s">
        <v>168</v>
      </c>
      <c r="F11" s="55">
        <v>4</v>
      </c>
      <c r="G11" s="55">
        <v>1</v>
      </c>
      <c r="H11" s="55">
        <v>20</v>
      </c>
      <c r="I11" s="55">
        <v>350</v>
      </c>
      <c r="J11" s="55">
        <f t="shared" ref="J11:J23" si="0">H11*I11</f>
        <v>7000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186</v>
      </c>
      <c r="E12" s="27" t="s">
        <v>190</v>
      </c>
      <c r="F12" s="55">
        <v>2</v>
      </c>
      <c r="G12" s="55">
        <v>1</v>
      </c>
      <c r="H12" s="55">
        <v>3</v>
      </c>
      <c r="I12" s="55">
        <v>200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186</v>
      </c>
      <c r="E13" s="27" t="s">
        <v>191</v>
      </c>
      <c r="F13" s="55">
        <v>3</v>
      </c>
      <c r="G13" s="55">
        <v>1</v>
      </c>
      <c r="H13" s="55">
        <v>5</v>
      </c>
      <c r="I13" s="55">
        <v>50</v>
      </c>
      <c r="J13" s="55">
        <f t="shared" si="0"/>
        <v>250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167</v>
      </c>
      <c r="E14" s="27" t="s">
        <v>192</v>
      </c>
      <c r="F14" s="55">
        <v>2</v>
      </c>
      <c r="G14" s="55">
        <v>1</v>
      </c>
      <c r="H14" s="55">
        <v>8</v>
      </c>
      <c r="I14" s="55">
        <v>300</v>
      </c>
      <c r="J14" s="55">
        <f t="shared" si="0"/>
        <v>2400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186</v>
      </c>
      <c r="E15" s="27" t="s">
        <v>193</v>
      </c>
      <c r="F15" s="55">
        <v>1</v>
      </c>
      <c r="G15" s="55">
        <v>1</v>
      </c>
      <c r="H15" s="55">
        <v>4</v>
      </c>
      <c r="I15" s="55">
        <v>30</v>
      </c>
      <c r="J15" s="55">
        <f t="shared" si="0"/>
        <v>120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187</v>
      </c>
      <c r="E16" s="27" t="s">
        <v>194</v>
      </c>
      <c r="F16" s="55">
        <v>4</v>
      </c>
      <c r="G16" s="55">
        <v>1</v>
      </c>
      <c r="H16" s="55">
        <v>13</v>
      </c>
      <c r="I16" s="55">
        <v>60</v>
      </c>
      <c r="J16" s="55">
        <f t="shared" si="0"/>
        <v>780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183</v>
      </c>
      <c r="D17" s="27" t="s">
        <v>188</v>
      </c>
      <c r="E17" s="27" t="s">
        <v>195</v>
      </c>
      <c r="F17" s="55">
        <v>3</v>
      </c>
      <c r="G17" s="55">
        <v>1</v>
      </c>
      <c r="H17" s="55">
        <v>3</v>
      </c>
      <c r="I17" s="55">
        <v>310</v>
      </c>
      <c r="J17" s="55">
        <f t="shared" si="0"/>
        <v>930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184</v>
      </c>
      <c r="D18" s="27" t="s">
        <v>189</v>
      </c>
      <c r="E18" s="27" t="s">
        <v>196</v>
      </c>
      <c r="F18" s="55">
        <v>3</v>
      </c>
      <c r="G18" s="55">
        <v>1</v>
      </c>
      <c r="H18" s="55">
        <v>8</v>
      </c>
      <c r="I18" s="55">
        <v>50</v>
      </c>
      <c r="J18" s="55">
        <f t="shared" si="0"/>
        <v>400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185</v>
      </c>
      <c r="D19" s="27" t="s">
        <v>186</v>
      </c>
      <c r="E19" s="27" t="s">
        <v>196</v>
      </c>
      <c r="F19" s="55">
        <v>2</v>
      </c>
      <c r="G19" s="55">
        <v>1</v>
      </c>
      <c r="H19" s="55">
        <v>5</v>
      </c>
      <c r="I19" s="55">
        <v>50</v>
      </c>
      <c r="J19" s="55">
        <f t="shared" si="0"/>
        <v>250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197</v>
      </c>
      <c r="D20" s="27" t="s">
        <v>186</v>
      </c>
      <c r="E20" s="27" t="s">
        <v>190</v>
      </c>
      <c r="F20" s="55">
        <v>3</v>
      </c>
      <c r="G20" s="55">
        <v>1</v>
      </c>
      <c r="H20" s="55">
        <v>4</v>
      </c>
      <c r="I20" s="55">
        <v>25</v>
      </c>
      <c r="J20" s="55">
        <f t="shared" si="0"/>
        <v>100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198</v>
      </c>
      <c r="D21" s="27" t="s">
        <v>199</v>
      </c>
      <c r="E21" s="27" t="s">
        <v>200</v>
      </c>
      <c r="F21" s="55">
        <v>4</v>
      </c>
      <c r="G21" s="55">
        <v>1</v>
      </c>
      <c r="H21" s="55">
        <v>9</v>
      </c>
      <c r="I21" s="55">
        <v>70</v>
      </c>
      <c r="J21" s="55">
        <f t="shared" si="0"/>
        <v>630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201</v>
      </c>
      <c r="D22" s="27" t="s">
        <v>186</v>
      </c>
      <c r="E22" s="27" t="s">
        <v>200</v>
      </c>
      <c r="F22" s="55">
        <v>2</v>
      </c>
      <c r="G22" s="55">
        <v>1</v>
      </c>
      <c r="H22" s="55">
        <v>12</v>
      </c>
      <c r="I22" s="55">
        <v>70</v>
      </c>
      <c r="J22" s="55">
        <f t="shared" si="0"/>
        <v>840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202</v>
      </c>
      <c r="D23" s="27" t="s">
        <v>167</v>
      </c>
      <c r="E23" s="27" t="s">
        <v>203</v>
      </c>
      <c r="F23" s="55">
        <v>1</v>
      </c>
      <c r="G23" s="55">
        <v>1</v>
      </c>
      <c r="H23" s="55">
        <v>1</v>
      </c>
      <c r="I23" s="55">
        <v>200</v>
      </c>
      <c r="J23" s="55">
        <f t="shared" si="0"/>
        <v>200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1</v>
      </c>
      <c r="F16" s="55">
        <v>150</v>
      </c>
      <c r="G16" s="55">
        <f t="shared" ref="G16:G21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204</v>
      </c>
      <c r="D17" s="70" t="s">
        <v>170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205</v>
      </c>
      <c r="D18" s="70" t="s">
        <v>170</v>
      </c>
      <c r="E18" s="55">
        <v>10</v>
      </c>
      <c r="F18" s="55">
        <v>20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206</v>
      </c>
      <c r="D19" s="70" t="s">
        <v>170</v>
      </c>
      <c r="E19" s="55">
        <v>1</v>
      </c>
      <c r="F19" s="55">
        <v>20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207</v>
      </c>
      <c r="D20" s="70" t="s">
        <v>170</v>
      </c>
      <c r="E20" s="55">
        <v>9</v>
      </c>
      <c r="F20" s="55">
        <v>20</v>
      </c>
      <c r="G20" s="55">
        <f t="shared" si="0"/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208</v>
      </c>
      <c r="D21" s="70" t="s">
        <v>170</v>
      </c>
      <c r="E21" s="55">
        <v>1</v>
      </c>
      <c r="F21" s="55">
        <v>180</v>
      </c>
      <c r="G21" s="55">
        <f t="shared" si="0"/>
        <v>180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A13" sqref="A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>
        <v>5</v>
      </c>
      <c r="F13" s="55">
        <v>20</v>
      </c>
      <c r="G13" s="55">
        <v>80</v>
      </c>
      <c r="H13" s="55">
        <v>90</v>
      </c>
      <c r="I13" s="55"/>
      <c r="J13" s="55"/>
      <c r="K13" s="55"/>
      <c r="L13" s="55"/>
      <c r="M13" s="55"/>
      <c r="N13" s="55"/>
      <c r="P13" s="88">
        <f>SUM(D13:N13)</f>
        <v>225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5</v>
      </c>
      <c r="F30" s="88">
        <f t="shared" si="1"/>
        <v>20</v>
      </c>
      <c r="G30" s="88">
        <f t="shared" si="1"/>
        <v>80</v>
      </c>
      <c r="H30" s="88">
        <f t="shared" si="1"/>
        <v>90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2018-06-08T08:27:40Z</dcterms:modified>
</cp:coreProperties>
</file>