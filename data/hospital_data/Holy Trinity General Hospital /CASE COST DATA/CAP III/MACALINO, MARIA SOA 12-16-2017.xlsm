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6" i="9" l="1"/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18" i="9"/>
  <c r="G17" i="9"/>
  <c r="G16" i="9"/>
  <c r="J16" i="2"/>
  <c r="J15" i="2"/>
  <c r="J14" i="2"/>
  <c r="J13" i="2"/>
  <c r="J12" i="2"/>
  <c r="J11" i="2"/>
  <c r="J26" i="2" s="1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<sst xmlns="http://schemas.openxmlformats.org/spreadsheetml/2006/main" count="516" uniqueCount="217">
  <si>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</si>
  <si>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</si>
  <si>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</si>
  <si>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</si>
  <si>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</si>
  <si>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</si>
  <si>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</si>
  <si>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</si>
  <si>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</si>
  <si>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</si>
  <si>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</si>
  <si>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</si>
  <si>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</si>
  <si>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</si>
  <si>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</si>
  <si>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</si>
  <si>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</si>
  <si>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</si>
  <si>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</si>
  <si>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</si>
  <si>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</si>
  <si>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</si>
  <si>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</si>
  <si>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</si>
  <si>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</si>
  <si>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</si>
  <si>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</si>
  <si>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</si>
  <si>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</si>
  <si>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</si>
  <si>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</si>
  <si>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</si>
  <si>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</si>
  <si>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</si>
  <si>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</si>
  <si>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</si>
  <si>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</si>
  <si>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</si>
  <si>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</si>
  <si>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</si>
  <si>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</si>
  <si>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</si>
  <si>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</si>
  <si>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</si>
  <si>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</si>
  <si>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</si>
  <si>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</si>
  <si>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</si>
  <si>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</si>
  <si>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</si>
  <si>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</si>
  <si>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</si>
  <si>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</si>
  <si>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</si>
  <si>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</si>
  <si>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</si>
  <si>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</si>
  <si>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</si>
  <si>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</si>
  <si>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</si>
  <si>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</si>
  <si>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</si>
  <si>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</si>
  <si>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</si>
  <si>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</si>
  <si>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</si>
  <si>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</si>
  <si>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</si>
  <si>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</si>
  <si>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</si>
  <si>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</si>
  <si>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</si>
  <si>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</si>
  <si>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</si>
  <si>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</si>
  <si>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</si>
  <si>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</si>
  <si>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</si>
  <si>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</si>
  <si>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</si>
  <si>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</si>
  <si>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</si>
  <si>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</si>
  <si>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</si>
  <si>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</si>
  <si>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</si>
  <si>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</si>
  <si>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</si>
  <si>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</si>
  <si>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</si>
  <si>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</si>
  <si>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</si>
  <si>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</si>
  <si>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</si>
  <si>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</si>
  <si>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</si>
  <si>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</si>
  <si>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</si>
  <si>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</si>
  <si>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</si>
  <si>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</si>
  <si>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</si>
  <si>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</si>
  <si>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</si>
  <si>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</si>
  <si>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</si>
  <si>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</si>
  <si>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</si>
  <si>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</si>
  <si>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</si>
  <si>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</si>
  <si>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</si>
  <si>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</si>
  <si>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</si>
  <si>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</si>
  <si>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</si>
  <si>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</si>
  <si>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</si>
  <si>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</si>
  <si>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</si>
  <si>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</si>
  <si>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</si>
  <si>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</si>
  <si>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</si>
  <si>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</si>
  <si>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</si>
  <si>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</si>
  <si>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</si>
  <si>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</si>
  <si>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</si>
  <si>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</si>
  <si>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</si>
  <si>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</si>
  <si>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</si>
  <si>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</si>
  <si>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</si>
  <si>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</si>
  <si>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</si>
  <si>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</si>
  <si>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</si>
  <si>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</si>
  <si>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</si>
  <si>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</si>
  <si>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</si>
  <si>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</si>
  <si>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</si>
  <si>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</si>
  <si>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</si>
  <si>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</si>
  <si>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</si>
  <si>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</si>
  <si>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</si>
  <si>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</si>
  <si>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</si>
  <si>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</si>
  <si>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</si>
  <si>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</si>
  <si>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</si>
  <si>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</si>
  <si>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</si>
  <si>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</si>
  <si>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</si>
  <si>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</si>
  <si>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</si>
  <si>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</si>
  <si>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</si>
  <si>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</si>
  <si>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</si>
  <si>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>IV FLUID</t>
  </si>
  <si>
    <t>1L</t>
  </si>
  <si>
    <t>VIAL</t>
  </si>
  <si>
    <t>TABLET</t>
  </si>
  <si>
    <t>500MG</t>
  </si>
  <si>
    <t>SOLUSET</t>
  </si>
  <si>
    <t>10CC SYRINGE</t>
  </si>
  <si>
    <t>1CC SYRINGE</t>
  </si>
  <si>
    <t>PER PIECE</t>
  </si>
  <si>
    <t>CASE RATE (room,labs,meds, etc)</t>
  </si>
  <si>
    <t>PF CASE RATE</t>
  </si>
  <si>
    <t>ECG</t>
  </si>
  <si>
    <t>CBC W/ PLATELETCOUNT</t>
  </si>
  <si>
    <t>CREATININE</t>
  </si>
  <si>
    <t>SENIOR</t>
  </si>
  <si>
    <t>NEBULE</t>
  </si>
  <si>
    <t>2.5MG/500MCG</t>
  </si>
  <si>
    <t>CAPSULE</t>
  </si>
  <si>
    <t>10MG</t>
  </si>
  <si>
    <t>D5 WATER</t>
  </si>
  <si>
    <t>500ML</t>
  </si>
  <si>
    <t>NEBULIZING</t>
  </si>
  <si>
    <t>KIT</t>
  </si>
  <si>
    <t>5CC SYRINGE</t>
  </si>
  <si>
    <t>MICROSET</t>
  </si>
  <si>
    <t>ELECTROLYTES (NA,K)</t>
  </si>
  <si>
    <t>SGPT</t>
  </si>
  <si>
    <t>URIC ACID</t>
  </si>
  <si>
    <t>LIPID PROFILE</t>
  </si>
  <si>
    <t>GLUCOSE</t>
  </si>
  <si>
    <t>URINALYSIS</t>
  </si>
  <si>
    <t>AMPICILLIN+SULBACTAM</t>
  </si>
  <si>
    <t>1G/500MG</t>
  </si>
  <si>
    <t xml:space="preserve">CLARITHROMYCIN </t>
  </si>
  <si>
    <t>ACETYLCYSTEINE</t>
  </si>
  <si>
    <t>600MG</t>
  </si>
  <si>
    <t>AMINOGEN-S</t>
  </si>
  <si>
    <t xml:space="preserve">SALBUTAMOL+IPRATROPIUM </t>
  </si>
  <si>
    <t>MONTELUKAST</t>
  </si>
  <si>
    <t>PIZOTIFEN + VITAMIN B COMPLEX</t>
  </si>
  <si>
    <t>PNSS</t>
  </si>
  <si>
    <t>FOLIC ACID</t>
  </si>
  <si>
    <t>5MG</t>
  </si>
  <si>
    <t>HAND SPLINT ADULT MEDIUM</t>
  </si>
  <si>
    <t>INSYTE G24</t>
  </si>
  <si>
    <t>FREE NEEDLE G23</t>
  </si>
  <si>
    <t>O2 CANNULA ADULT</t>
  </si>
  <si>
    <t>CBG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</si>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</sst>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45" zoomScaleNormal="10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198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215</v>
      </c>
      <c r="D42" s="23"/>
      <c r="E42" s="55">
        <v>8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19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167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8" t="s">
        <v>45</v>
      </c>
      <c r="C52" s="119"/>
      <c r="D52" s="116"/>
      <c r="E52" s="119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46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54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5" t="s">
        <v>20</v>
      </c>
      <c r="C59" s="116"/>
      <c r="D59" s="116"/>
      <c r="E59" s="116"/>
      <c r="F59" s="11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 t="s">
        <v>179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 t="s">
        <v>216</v>
      </c>
      <c r="D61" s="28"/>
      <c r="E61" s="55">
        <v>1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56</v>
      </c>
      <c r="C68" s="17" t="s">
        <v>52</v>
      </c>
      <c r="D68" s="17" t="s">
        <v>57</v>
      </c>
      <c r="E68" s="18" t="s">
        <v>58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177</v>
      </c>
      <c r="D69" s="55">
        <v>10500</v>
      </c>
      <c r="E69" s="55"/>
      <c r="F69" s="55">
        <v>29709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182</v>
      </c>
      <c r="D70" s="55"/>
      <c r="E70" s="55">
        <v>190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178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182</v>
      </c>
      <c r="D72" s="55"/>
      <c r="E72" s="55">
        <v>515</v>
      </c>
      <c r="F72" s="55">
        <v>2050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15000</v>
      </c>
      <c r="E80" s="59">
        <f>SUM(E69:E79)</f>
        <v>705</v>
      </c>
      <c r="F80" s="59">
        <f>SUM(F69:F79)</f>
        <v>31759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36 E37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H12" sqref="H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199</v>
      </c>
      <c r="D11" s="27" t="s">
        <v>170</v>
      </c>
      <c r="E11" s="27" t="s">
        <v>200</v>
      </c>
      <c r="F11" s="55">
        <v>2</v>
      </c>
      <c r="G11" s="55">
        <v>1</v>
      </c>
      <c r="H11" s="55">
        <v>13</v>
      </c>
      <c r="I11" s="55">
        <v>1500</v>
      </c>
      <c r="J11" s="55">
        <f t="shared" ref="J11:J23" si="0">H11*I11</f>
        <v>19500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201</v>
      </c>
      <c r="D12" s="27" t="s">
        <v>171</v>
      </c>
      <c r="E12" s="27" t="s">
        <v>172</v>
      </c>
      <c r="F12" s="55">
        <v>2</v>
      </c>
      <c r="G12" s="55">
        <v>1</v>
      </c>
      <c r="H12" s="55">
        <v>8</v>
      </c>
      <c r="I12" s="55">
        <v>117</v>
      </c>
      <c r="J12" s="55">
        <f t="shared" si="0"/>
        <v>936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202</v>
      </c>
      <c r="D13" s="27" t="s">
        <v>171</v>
      </c>
      <c r="E13" s="27" t="s">
        <v>203</v>
      </c>
      <c r="F13" s="55">
        <v>3</v>
      </c>
      <c r="G13" s="55">
        <v>1</v>
      </c>
      <c r="H13" s="55">
        <v>7</v>
      </c>
      <c r="I13" s="55">
        <v>80</v>
      </c>
      <c r="J13" s="55">
        <f t="shared" si="0"/>
        <v>560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204</v>
      </c>
      <c r="D14" s="27" t="s">
        <v>168</v>
      </c>
      <c r="E14" s="27" t="s">
        <v>188</v>
      </c>
      <c r="F14" s="55">
        <v>1</v>
      </c>
      <c r="G14" s="55">
        <v>1</v>
      </c>
      <c r="H14" s="55">
        <v>1</v>
      </c>
      <c r="I14" s="55">
        <v>1550</v>
      </c>
      <c r="J14" s="55">
        <f t="shared" si="0"/>
        <v>1550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205</v>
      </c>
      <c r="D15" s="27" t="s">
        <v>183</v>
      </c>
      <c r="E15" s="27" t="s">
        <v>184</v>
      </c>
      <c r="F15" s="55">
        <v>5</v>
      </c>
      <c r="G15" s="55">
        <v>1</v>
      </c>
      <c r="H15" s="55">
        <v>27</v>
      </c>
      <c r="I15" s="55">
        <v>60</v>
      </c>
      <c r="J15" s="55">
        <f t="shared" si="0"/>
        <v>1620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206</v>
      </c>
      <c r="D16" s="27" t="s">
        <v>171</v>
      </c>
      <c r="E16" s="27" t="s">
        <v>186</v>
      </c>
      <c r="F16" s="55">
        <v>1</v>
      </c>
      <c r="G16" s="55">
        <v>1</v>
      </c>
      <c r="H16" s="55">
        <v>4</v>
      </c>
      <c r="I16" s="55">
        <v>50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207</v>
      </c>
      <c r="D17" s="27" t="s">
        <v>185</v>
      </c>
      <c r="E17" s="27"/>
      <c r="F17" s="55">
        <v>1</v>
      </c>
      <c r="G17" s="55">
        <v>1</v>
      </c>
      <c r="H17" s="55">
        <v>3</v>
      </c>
      <c r="I17" s="55">
        <v>76</v>
      </c>
      <c r="J17" s="55">
        <f t="shared" si="0"/>
        <v>228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208</v>
      </c>
      <c r="D18" s="27" t="s">
        <v>168</v>
      </c>
      <c r="E18" s="27" t="s">
        <v>169</v>
      </c>
      <c r="F18" s="55">
        <v>1</v>
      </c>
      <c r="G18" s="55">
        <v>1</v>
      </c>
      <c r="H18" s="55">
        <v>3</v>
      </c>
      <c r="I18" s="55">
        <v>310</v>
      </c>
      <c r="J18" s="55">
        <f t="shared" si="0"/>
        <v>930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187</v>
      </c>
      <c r="D19" s="27" t="s">
        <v>168</v>
      </c>
      <c r="E19" s="27" t="s">
        <v>188</v>
      </c>
      <c r="F19" s="55">
        <v>1</v>
      </c>
      <c r="G19" s="55">
        <v>1</v>
      </c>
      <c r="H19" s="55">
        <v>3</v>
      </c>
      <c r="I19" s="55">
        <v>310</v>
      </c>
      <c r="J19" s="55">
        <f t="shared" si="0"/>
        <v>930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209</v>
      </c>
      <c r="D20" s="27" t="s">
        <v>185</v>
      </c>
      <c r="E20" s="27" t="s">
        <v>210</v>
      </c>
      <c r="F20" s="55">
        <v>1</v>
      </c>
      <c r="G20" s="55">
        <v>1</v>
      </c>
      <c r="H20" s="55">
        <v>1</v>
      </c>
      <c r="I20" s="55">
        <v>25</v>
      </c>
      <c r="J20" s="55">
        <f t="shared" si="0"/>
        <v>25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SUM(J11:J20)</f>
        <v>26479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F26" sqref="F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211</v>
      </c>
      <c r="D16" s="70" t="s">
        <v>176</v>
      </c>
      <c r="E16" s="55">
        <v>1</v>
      </c>
      <c r="F16" s="55">
        <v>230</v>
      </c>
      <c r="G16" s="55">
        <f t="shared" ref="G16:G26" si="0">E16*F16</f>
        <v>230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176</v>
      </c>
      <c r="E17" s="55">
        <v>8</v>
      </c>
      <c r="F17" s="55">
        <v>50</v>
      </c>
      <c r="G17" s="55">
        <f t="shared" si="0"/>
        <v>400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176</v>
      </c>
      <c r="E18" s="55">
        <v>2</v>
      </c>
      <c r="F18" s="55">
        <v>150</v>
      </c>
      <c r="G18" s="55">
        <f t="shared" si="0"/>
        <v>300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212</v>
      </c>
      <c r="D19" s="70" t="s">
        <v>176</v>
      </c>
      <c r="E19" s="55">
        <v>3</v>
      </c>
      <c r="F19" s="55">
        <v>150</v>
      </c>
      <c r="G19" s="55">
        <f t="shared" si="0"/>
        <v>450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213</v>
      </c>
      <c r="D20" s="70" t="s">
        <v>176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175</v>
      </c>
      <c r="D21" s="70" t="s">
        <v>176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189</v>
      </c>
      <c r="D22" s="70" t="s">
        <v>190</v>
      </c>
      <c r="E22" s="55">
        <v>1</v>
      </c>
      <c r="F22" s="55">
        <v>200</v>
      </c>
      <c r="G22" s="55">
        <f t="shared" si="0"/>
        <v>200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173</v>
      </c>
      <c r="D23" s="70" t="s">
        <v>176</v>
      </c>
      <c r="E23" s="55">
        <v>2</v>
      </c>
      <c r="F23" s="55">
        <v>350</v>
      </c>
      <c r="G23" s="55">
        <f t="shared" si="0"/>
        <v>700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214</v>
      </c>
      <c r="D24" s="70" t="s">
        <v>176</v>
      </c>
      <c r="E24" s="55">
        <v>1</v>
      </c>
      <c r="F24" s="55">
        <v>180</v>
      </c>
      <c r="G24" s="55">
        <f t="shared" si="0"/>
        <v>180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191</v>
      </c>
      <c r="D25" s="70" t="s">
        <v>176</v>
      </c>
      <c r="E25" s="55">
        <v>3</v>
      </c>
      <c r="F25" s="55">
        <v>20</v>
      </c>
      <c r="G25" s="55">
        <f t="shared" si="0"/>
        <v>60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>
        <v>20</v>
      </c>
      <c r="G13" s="55">
        <v>85</v>
      </c>
      <c r="H13" s="55">
        <v>75</v>
      </c>
      <c r="I13" s="55"/>
      <c r="J13" s="55"/>
      <c r="K13" s="55"/>
      <c r="L13" s="55"/>
      <c r="M13" s="55"/>
      <c r="N13" s="55"/>
      <c r="P13" s="88">
        <f>SUM(D13:N13)</f>
        <v>220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20</v>
      </c>
      <c r="G30" s="88">
        <f t="shared" si="1"/>
        <v>105</v>
      </c>
      <c r="H30" s="88">
        <f t="shared" si="1"/>
        <v>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2018-06-08T06:18:12Z</dcterms:modified>
</cp:coreProperties>
</file>