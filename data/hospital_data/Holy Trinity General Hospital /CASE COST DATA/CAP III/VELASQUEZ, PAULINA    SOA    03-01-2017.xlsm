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9" i="2" l="1"/>
  <c r="J18" i="2" l="1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<sst xmlns="http://schemas.openxmlformats.org/spreadsheetml/2006/main" count="492" uniqueCount="199">
  <si>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</si>
  <si>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</si>
  <si>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</si>
  <si>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</si>
  <si>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</si>
  <si>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</si>
  <si>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</si>
  <si>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</si>
  <si>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</si>
  <si>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</si>
  <si>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</si>
  <si>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</si>
  <si>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</si>
  <si>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</si>
  <si>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</si>
  <si>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</si>
  <si>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</si>
  <si>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</si>
  <si>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</si>
  <si>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</si>
  <si>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</si>
  <si>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</si>
  <si>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</si>
  <si>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</si>
  <si>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</si>
  <si>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</si>
  <si>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</si>
  <si>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</si>
  <si>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</si>
  <si>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</si>
  <si>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</si>
  <si>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</si>
  <si>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</si>
  <si>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</si>
  <si>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</si>
  <si>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</si>
  <si>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</si>
  <si>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</si>
  <si>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</si>
  <si>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</si>
  <si>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</si>
  <si>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</si>
  <si>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</si>
  <si>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</si>
  <si>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</si>
  <si>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</si>
  <si>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</si>
  <si>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</si>
  <si>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</si>
  <si>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</si>
  <si>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</si>
  <si>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</si>
  <si>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</si>
  <si>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</si>
  <si>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</si>
  <si>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</si>
  <si>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</si>
  <si>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</si>
  <si>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</si>
  <si>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</si>
  <si>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</si>
  <si>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</si>
  <si>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</si>
  <si>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</si>
  <si>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</si>
  <si>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</si>
  <si>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</si>
  <si>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</si>
  <si>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</si>
  <si>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</si>
  <si>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</si>
  <si>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</si>
  <si>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</si>
  <si>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</si>
  <si>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</si>
  <si>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</si>
  <si>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</si>
  <si>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</si>
  <si>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</si>
  <si>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</si>
  <si>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</si>
  <si>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</si>
  <si>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</si>
  <si>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</si>
  <si>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</si>
  <si>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</si>
  <si>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</si>
  <si>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</si>
  <si>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</si>
  <si>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</si>
  <si>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</si>
  <si>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</si>
  <si>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</si>
  <si>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</si>
  <si>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</si>
  <si>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</si>
  <si>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</si>
  <si>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</si>
  <si>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</si>
  <si>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</si>
  <si>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</si>
  <si>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</si>
  <si>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</si>
  <si>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</si>
  <si>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</si>
  <si>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</si>
  <si>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</si>
  <si>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</si>
  <si>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</si>
  <si>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</si>
  <si>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</si>
  <si>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</si>
  <si>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</si>
  <si>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</si>
  <si>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</si>
  <si>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</si>
  <si>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</si>
  <si>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</si>
  <si>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</si>
  <si>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</si>
  <si>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</si>
  <si>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</si>
  <si>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</si>
  <si>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</si>
  <si>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</si>
  <si>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</si>
  <si>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</si>
  <si>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</si>
  <si>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</si>
  <si>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</si>
  <si>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</si>
  <si>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</si>
  <si>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</si>
  <si>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</si>
  <si>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</si>
  <si>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</si>
  <si>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</si>
  <si>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</si>
  <si>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</si>
  <si>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</si>
  <si>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</si>
  <si>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</si>
  <si>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</si>
  <si>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</si>
  <si>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</si>
  <si>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</si>
  <si>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</si>
  <si>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</si>
  <si>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</si>
  <si>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</si>
  <si>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</si>
  <si>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</si>
  <si>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</si>
  <si>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</si>
  <si>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</si>
  <si>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</si>
  <si>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</si>
  <si>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</si>
  <si>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</si>
  <si>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</si>
  <si>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</si>
  <si>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</si>
  <si>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</si>
  <si>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</si>
  <si>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</si>
  <si>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</si>
  <si>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MACROSET</t>
  </si>
  <si>
    <t>PER PIECE</t>
  </si>
  <si>
    <t>CASE RATE (room,labs,meds, etc.)</t>
  </si>
  <si>
    <t>DISCOUNT</t>
  </si>
  <si>
    <t>PF CASE RATE</t>
  </si>
  <si>
    <t>E11.6</t>
  </si>
  <si>
    <t>CREATININE</t>
  </si>
  <si>
    <t>PNSS</t>
  </si>
  <si>
    <t>HERACLENE</t>
  </si>
  <si>
    <t>FEROSIAN</t>
  </si>
  <si>
    <t>FLUIMUCIL</t>
  </si>
  <si>
    <t>SODIUM BICARBONATE</t>
  </si>
  <si>
    <t>GLICLAZIDE</t>
  </si>
  <si>
    <t>OMEPRAZOLE</t>
  </si>
  <si>
    <t>METOPROLOL</t>
  </si>
  <si>
    <t>IV FLUID</t>
  </si>
  <si>
    <t>CAPSULE</t>
  </si>
  <si>
    <t>TABLET</t>
  </si>
  <si>
    <t>1L</t>
  </si>
  <si>
    <t>3MG</t>
  </si>
  <si>
    <t>500MG/2MG/3MCG</t>
  </si>
  <si>
    <t>600MG</t>
  </si>
  <si>
    <t>650MG</t>
  </si>
  <si>
    <t>80MG</t>
  </si>
  <si>
    <t>40MG</t>
  </si>
  <si>
    <t>50MG</t>
  </si>
  <si>
    <t>INSYTE G22</t>
  </si>
  <si>
    <t>RBS</t>
  </si>
  <si>
    <t>HUMAN INSULIN</t>
  </si>
  <si>
    <t>VIAL</t>
  </si>
  <si>
    <t>100UNITS</t>
  </si>
  <si>
    <t>3CC SYRINGE</t>
  </si>
  <si>
    <t>INSULIN SYRINGE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</si>
</sst>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60"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172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168</v>
      </c>
      <c r="D60" s="55">
        <v>8820</v>
      </c>
      <c r="E60" s="55"/>
      <c r="F60" s="55">
        <v>800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169</v>
      </c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170</v>
      </c>
      <c r="D62" s="55">
        <v>3780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169</v>
      </c>
      <c r="D63" s="55"/>
      <c r="E63" s="55">
        <v>500</v>
      </c>
      <c r="F63" s="55">
        <v>1000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12600</v>
      </c>
      <c r="E71" s="59">
        <f>SUM(E60:E70)</f>
        <v>500</v>
      </c>
      <c r="F71" s="59">
        <f>SUM(F60:F70)</f>
        <v>1800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20" sqref="I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173</v>
      </c>
      <c r="D11" s="27" t="s">
        <v>181</v>
      </c>
      <c r="E11" s="27" t="s">
        <v>184</v>
      </c>
      <c r="F11" s="55">
        <v>1</v>
      </c>
      <c r="G11" s="55">
        <v>1</v>
      </c>
      <c r="H11" s="55">
        <v>2</v>
      </c>
      <c r="I11" s="55">
        <v>260</v>
      </c>
      <c r="J11" s="55">
        <f t="shared" ref="J11:J19" si="0">H11*I11</f>
        <v>520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174</v>
      </c>
      <c r="D12" s="27" t="s">
        <v>182</v>
      </c>
      <c r="E12" s="27" t="s">
        <v>185</v>
      </c>
      <c r="F12" s="55">
        <v>1</v>
      </c>
      <c r="G12" s="55">
        <v>1</v>
      </c>
      <c r="H12" s="55">
        <v>3</v>
      </c>
      <c r="I12" s="55">
        <v>200</v>
      </c>
      <c r="J12" s="55">
        <f t="shared" si="0"/>
        <v>600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175</v>
      </c>
      <c r="D13" s="27" t="s">
        <v>183</v>
      </c>
      <c r="E13" s="27" t="s">
        <v>186</v>
      </c>
      <c r="F13" s="55">
        <v>1</v>
      </c>
      <c r="G13" s="55">
        <v>1</v>
      </c>
      <c r="H13" s="55">
        <v>5</v>
      </c>
      <c r="I13" s="55">
        <v>100</v>
      </c>
      <c r="J13" s="55">
        <f t="shared" si="0"/>
        <v>500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176</v>
      </c>
      <c r="D14" s="27" t="s">
        <v>183</v>
      </c>
      <c r="E14" s="27" t="s">
        <v>187</v>
      </c>
      <c r="F14" s="55">
        <v>1</v>
      </c>
      <c r="G14" s="55">
        <v>1</v>
      </c>
      <c r="H14" s="55">
        <v>5</v>
      </c>
      <c r="I14" s="55">
        <v>150</v>
      </c>
      <c r="J14" s="55">
        <f t="shared" si="0"/>
        <v>750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177</v>
      </c>
      <c r="D15" s="27" t="s">
        <v>183</v>
      </c>
      <c r="E15" s="27" t="s">
        <v>188</v>
      </c>
      <c r="F15" s="55">
        <v>1</v>
      </c>
      <c r="G15" s="55">
        <v>1</v>
      </c>
      <c r="H15" s="55">
        <v>11</v>
      </c>
      <c r="I15" s="55">
        <v>100</v>
      </c>
      <c r="J15" s="55">
        <f t="shared" si="0"/>
        <v>1100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178</v>
      </c>
      <c r="D16" s="27" t="s">
        <v>183</v>
      </c>
      <c r="E16" s="27" t="s">
        <v>189</v>
      </c>
      <c r="F16" s="55">
        <v>1</v>
      </c>
      <c r="G16" s="55">
        <v>1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179</v>
      </c>
      <c r="D17" s="27" t="s">
        <v>182</v>
      </c>
      <c r="E17" s="27" t="s">
        <v>190</v>
      </c>
      <c r="F17" s="55">
        <v>1</v>
      </c>
      <c r="G17" s="55">
        <v>1</v>
      </c>
      <c r="H17" s="55">
        <v>2</v>
      </c>
      <c r="I17" s="55">
        <v>100</v>
      </c>
      <c r="J17" s="55">
        <f t="shared" si="0"/>
        <v>200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180</v>
      </c>
      <c r="D18" s="27" t="s">
        <v>183</v>
      </c>
      <c r="E18" s="27" t="s">
        <v>191</v>
      </c>
      <c r="F18" s="55">
        <v>1</v>
      </c>
      <c r="G18" s="55">
        <v>1</v>
      </c>
      <c r="H18" s="55">
        <v>4</v>
      </c>
      <c r="I18" s="55">
        <v>100</v>
      </c>
      <c r="J18" s="55">
        <f t="shared" si="0"/>
        <v>400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194</v>
      </c>
      <c r="D19" s="27" t="s">
        <v>195</v>
      </c>
      <c r="E19" s="27" t="s">
        <v>196</v>
      </c>
      <c r="F19" s="55">
        <v>1</v>
      </c>
      <c r="G19" s="55">
        <v>1</v>
      </c>
      <c r="H19" s="55">
        <v>15</v>
      </c>
      <c r="I19" s="55">
        <v>30</v>
      </c>
      <c r="J19" s="55">
        <f t="shared" si="0"/>
        <v>450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0" sqref="F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166</v>
      </c>
      <c r="D16" s="70" t="s">
        <v>167</v>
      </c>
      <c r="E16" s="5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192</v>
      </c>
      <c r="D17" s="70" t="s">
        <v>167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197</v>
      </c>
      <c r="D18" s="70" t="s">
        <v>167</v>
      </c>
      <c r="E18" s="55">
        <v>3</v>
      </c>
      <c r="F18" s="55">
        <v>50</v>
      </c>
      <c r="G18" s="55">
        <f>E18*F18</f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198</v>
      </c>
      <c r="D19" s="70" t="s">
        <v>167</v>
      </c>
      <c r="E19" s="55">
        <v>3</v>
      </c>
      <c r="F19" s="55">
        <v>30</v>
      </c>
      <c r="G19" s="55">
        <f>E19*F19</f>
        <v>90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50</v>
      </c>
      <c r="E13" s="55"/>
      <c r="F13" s="55">
        <v>180</v>
      </c>
      <c r="G13" s="55">
        <v>180</v>
      </c>
      <c r="H13" s="55"/>
      <c r="I13" s="55"/>
      <c r="J13" s="55"/>
      <c r="K13" s="55"/>
      <c r="L13" s="55"/>
      <c r="M13" s="55"/>
      <c r="N13" s="55"/>
      <c r="P13" s="88">
        <f>SUM(D13:N13)</f>
        <v>410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50</v>
      </c>
      <c r="E30" s="88">
        <f t="shared" si="1"/>
        <v>0</v>
      </c>
      <c r="F30" s="88">
        <f t="shared" si="1"/>
        <v>180</v>
      </c>
      <c r="G30" s="88">
        <f t="shared" si="1"/>
        <v>180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2018-06-09T00:08:19Z</dcterms:modified>
</cp:coreProperties>
</file>