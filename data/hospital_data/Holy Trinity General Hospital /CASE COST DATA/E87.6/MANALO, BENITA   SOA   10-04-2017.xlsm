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<sst xmlns="http://schemas.openxmlformats.org/spreadsheetml/2006/main" count="477" uniqueCount="190">
  <si>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</si>
  <si>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</si>
  <si>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</si>
  <si>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</si>
  <si>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</si>
  <si>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</si>
  <si>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</si>
  <si>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</si>
  <si>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</si>
  <si>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</si>
  <si>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</si>
  <si>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</si>
  <si>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</si>
  <si>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</si>
  <si>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</si>
  <si>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</si>
  <si>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</si>
  <si>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</si>
  <si>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</si>
  <si>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</si>
  <si>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</si>
  <si>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</si>
  <si>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</si>
  <si>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</si>
  <si>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</si>
  <si>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</si>
  <si>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</si>
  <si>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</si>
  <si>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</si>
  <si>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</si>
  <si>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</si>
  <si>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</si>
  <si>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</si>
  <si>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</si>
  <si>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</si>
  <si>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</si>
  <si>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</si>
  <si>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</si>
  <si>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</si>
  <si>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</si>
  <si>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</si>
  <si>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</si>
  <si>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</si>
  <si>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</si>
  <si>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</si>
  <si>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</si>
  <si>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</si>
  <si>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</si>
  <si>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</si>
  <si>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</si>
  <si>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</si>
  <si>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</si>
  <si>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</si>
  <si>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</si>
  <si>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</si>
  <si>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</si>
  <si>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</si>
  <si>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</si>
  <si>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</si>
  <si>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</si>
  <si>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</si>
  <si>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</si>
  <si>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</si>
  <si>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</si>
  <si>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</si>
  <si>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</si>
  <si>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</si>
  <si>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</si>
  <si>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</si>
  <si>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</si>
  <si>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</si>
  <si>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</si>
  <si>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</si>
  <si>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</si>
  <si>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</si>
  <si>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</si>
  <si>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</si>
  <si>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</si>
  <si>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</si>
  <si>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</si>
  <si>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</si>
  <si>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</si>
  <si>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</si>
  <si>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</si>
  <si>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</si>
  <si>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</si>
  <si>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</si>
  <si>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</si>
  <si>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</si>
  <si>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</si>
  <si>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</si>
  <si>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</si>
  <si>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</si>
  <si>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</si>
  <si>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</si>
  <si>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</si>
  <si>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</si>
  <si>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</si>
  <si>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</si>
  <si>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</si>
  <si>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</si>
  <si>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</si>
  <si>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</si>
  <si>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</si>
  <si>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</si>
  <si>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</si>
  <si>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</si>
  <si>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</si>
  <si>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</si>
  <si>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</si>
  <si>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</si>
  <si>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</si>
  <si>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</si>
  <si>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</si>
  <si>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</si>
  <si>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</si>
  <si>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</si>
  <si>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</si>
  <si>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</si>
  <si>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</si>
  <si>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</si>
  <si>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</si>
  <si>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</si>
  <si>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</si>
  <si>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</si>
  <si>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</si>
  <si>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</si>
  <si>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</si>
  <si>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</si>
  <si>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</si>
  <si>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</si>
  <si>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</si>
  <si>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</si>
  <si>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</si>
  <si>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</si>
  <si>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</si>
  <si>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</si>
  <si>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</si>
  <si>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</si>
  <si>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</si>
  <si>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</si>
  <si>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</si>
  <si>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</si>
  <si>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</si>
  <si>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</si>
  <si>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</si>
  <si>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</si>
  <si>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</si>
  <si>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</si>
  <si>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</si>
  <si>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</si>
  <si>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</si>
  <si>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</si>
  <si>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</si>
  <si>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</si>
  <si>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</si>
  <si>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</si>
  <si>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</si>
  <si>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</si>
  <si>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</si>
  <si>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</si>
  <si>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</si>
  <si>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</si>
  <si>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</si>
  <si>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</si>
  <si>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</si>
  <si>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</si>
  <si>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</si>
  <si>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DISCOUNT</t>
  </si>
  <si>
    <t>PF CASE RATE</t>
  </si>
  <si>
    <t>E87.6</t>
  </si>
  <si>
    <t>URIN ALYSIS</t>
  </si>
  <si>
    <t>SGPT</t>
  </si>
  <si>
    <t>SCBC W/ PLATELET COUNT</t>
  </si>
  <si>
    <t>CREATININE</t>
  </si>
  <si>
    <t>ELECTROLYTES (NA,K)</t>
  </si>
  <si>
    <t>LIPID PROFILE</t>
  </si>
  <si>
    <t>GLUCOSE (FASTING)</t>
  </si>
  <si>
    <t>URIC ACID</t>
  </si>
  <si>
    <t>CXR PA</t>
  </si>
  <si>
    <t>ECG</t>
  </si>
  <si>
    <t>PNSS</t>
  </si>
  <si>
    <t>IV FLUID</t>
  </si>
  <si>
    <t>1L</t>
  </si>
  <si>
    <t>BETAHISTINE</t>
  </si>
  <si>
    <t>TABLET</t>
  </si>
  <si>
    <t>24MG</t>
  </si>
  <si>
    <t>K-LYTE</t>
  </si>
  <si>
    <t>600MG</t>
  </si>
  <si>
    <t>INSYTE G22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</si>
</sst>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63" zoomScaleNormal="100" workbookViewId="0">
      <selection activeCell="F65" sqref="F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179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45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46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54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 t="s">
        <v>180</v>
      </c>
      <c r="D55" s="28"/>
      <c r="E55" s="55">
        <v>1</v>
      </c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56</v>
      </c>
      <c r="C63" s="17" t="s">
        <v>52</v>
      </c>
      <c r="D63" s="17" t="s">
        <v>57</v>
      </c>
      <c r="E63" s="18" t="s">
        <v>58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167</v>
      </c>
      <c r="D64" s="55">
        <v>5950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168</v>
      </c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169</v>
      </c>
      <c r="D66" s="55">
        <v>2550</v>
      </c>
      <c r="E66" s="55"/>
      <c r="F66" s="55">
        <v>550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8500</v>
      </c>
      <c r="E75" s="59">
        <f>SUM(E64:E74)</f>
        <v>0</v>
      </c>
      <c r="F75" s="59">
        <f>SUM(F64:F74)</f>
        <v>550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E87.6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182</v>
      </c>
      <c r="E11" s="27" t="s">
        <v>183</v>
      </c>
      <c r="F11" s="55">
        <v>1</v>
      </c>
      <c r="G11" s="55">
        <v>1</v>
      </c>
      <c r="H11" s="55">
        <v>2</v>
      </c>
      <c r="I11" s="55">
        <v>310</v>
      </c>
      <c r="J11" s="55">
        <f t="shared" ref="J11:J17" si="0">H11*I11</f>
        <v>620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185</v>
      </c>
      <c r="E12" s="27" t="s">
        <v>186</v>
      </c>
      <c r="F12" s="55">
        <v>2</v>
      </c>
      <c r="G12" s="55">
        <v>1</v>
      </c>
      <c r="H12" s="55">
        <v>3</v>
      </c>
      <c r="I12" s="55">
        <v>110</v>
      </c>
      <c r="J12" s="55">
        <f t="shared" si="0"/>
        <v>330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185</v>
      </c>
      <c r="E13" s="27" t="s">
        <v>188</v>
      </c>
      <c r="F13" s="55">
        <v>1</v>
      </c>
      <c r="G13" s="55">
        <v>1</v>
      </c>
      <c r="H13" s="55">
        <v>4</v>
      </c>
      <c r="I13" s="55">
        <v>70</v>
      </c>
      <c r="J13" s="55">
        <f t="shared" si="0"/>
        <v>280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F18" sqref="F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E87.6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189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E87.6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v>60</v>
      </c>
      <c r="H13" s="55">
        <v>80</v>
      </c>
      <c r="I13" s="55"/>
      <c r="J13" s="55"/>
      <c r="K13" s="55"/>
      <c r="L13" s="55"/>
      <c r="M13" s="55"/>
      <c r="N13" s="55"/>
      <c r="P13" s="88">
        <f>SUM(D13:N13)</f>
        <v>155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60</v>
      </c>
      <c r="H30" s="88">
        <f t="shared" si="1"/>
        <v>80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2018-06-10T14:56:08Z</dcterms:modified>
</cp:coreProperties>
</file>