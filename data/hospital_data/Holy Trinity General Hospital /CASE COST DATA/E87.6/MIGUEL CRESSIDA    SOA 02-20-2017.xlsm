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<sst xmlns="http://schemas.openxmlformats.org/spreadsheetml/2006/main" count="481" uniqueCount="192">
  <si>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</si>
  <si>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</si>
  <si>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</si>
  <si>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</si>
  <si>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</si>
  <si>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</si>
  <si>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</si>
  <si>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</si>
  <si>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</si>
  <si>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</si>
  <si>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</si>
  <si>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</si>
  <si>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</si>
  <si>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</si>
  <si>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</si>
  <si>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</si>
  <si>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</si>
  <si>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</si>
  <si>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</si>
  <si>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</si>
  <si>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</si>
  <si>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</si>
  <si>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</si>
  <si>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</si>
  <si>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</si>
  <si>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</si>
  <si>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</si>
  <si>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</si>
  <si>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</si>
  <si>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</si>
  <si>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</si>
  <si>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</si>
  <si>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</si>
  <si>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</si>
  <si>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</si>
  <si>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</si>
  <si>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</si>
  <si>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</si>
  <si>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</si>
  <si>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</si>
  <si>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</si>
  <si>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</si>
  <si>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</si>
  <si>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</si>
  <si>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</si>
  <si>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</si>
  <si>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</si>
  <si>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</si>
  <si>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</si>
  <si>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</si>
  <si>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</si>
  <si>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</si>
  <si>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</si>
  <si>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</si>
  <si>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</si>
  <si>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</si>
  <si>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</si>
  <si>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</si>
  <si>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</si>
  <si>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</si>
  <si>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</si>
  <si>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</si>
  <si>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</si>
  <si>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</si>
  <si>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</si>
  <si>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</si>
  <si>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</si>
  <si>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</si>
  <si>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</si>
  <si>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</si>
  <si>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</si>
  <si>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</si>
  <si>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</si>
  <si>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</si>
  <si>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</si>
  <si>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</si>
  <si>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</si>
  <si>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</si>
  <si>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</si>
  <si>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</si>
  <si>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</si>
  <si>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</si>
  <si>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</si>
  <si>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</si>
  <si>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</si>
  <si>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</si>
  <si>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</si>
  <si>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</si>
  <si>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</si>
  <si>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</si>
  <si>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</si>
  <si>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</si>
  <si>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</si>
  <si>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</si>
  <si>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</si>
  <si>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</si>
  <si>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</si>
  <si>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</si>
  <si>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</si>
  <si>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</si>
  <si>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</si>
  <si>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</si>
  <si>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</si>
  <si>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</si>
  <si>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</si>
  <si>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</si>
  <si>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</si>
  <si>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</si>
  <si>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</si>
  <si>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</si>
  <si>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</si>
  <si>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</si>
  <si>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</si>
  <si>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</si>
  <si>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</si>
  <si>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</si>
  <si>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</si>
  <si>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</si>
  <si>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</si>
  <si>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</si>
  <si>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</si>
  <si>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</si>
  <si>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</si>
  <si>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</si>
  <si>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</si>
  <si>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</si>
  <si>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</si>
  <si>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</si>
  <si>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</si>
  <si>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</si>
  <si>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</si>
  <si>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</si>
  <si>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</si>
  <si>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</si>
  <si>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</si>
  <si>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</si>
  <si>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</si>
  <si>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</si>
  <si>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</si>
  <si>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</si>
  <si>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</si>
  <si>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</si>
  <si>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</si>
  <si>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</si>
  <si>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</si>
  <si>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</si>
  <si>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</si>
  <si>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</si>
  <si>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</si>
  <si>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</si>
  <si>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</si>
  <si>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</si>
  <si>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</si>
  <si>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</si>
  <si>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</si>
  <si>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</si>
  <si>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</si>
  <si>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</si>
  <si>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</si>
  <si>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</si>
  <si>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</si>
  <si>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</si>
  <si>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</si>
  <si>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</si>
  <si>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</si>
  <si>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VIAL</t>
  </si>
  <si>
    <t>MACROSET</t>
  </si>
  <si>
    <t>PER PIECE</t>
  </si>
  <si>
    <t>CASE RATE (room,labs,meds, etc.)</t>
  </si>
  <si>
    <t>DISCOUNT</t>
  </si>
  <si>
    <t>PF CASE RATE</t>
  </si>
  <si>
    <t>E87.6</t>
  </si>
  <si>
    <t>SGPT</t>
  </si>
  <si>
    <t>CBC W/ PLATELET COUNT</t>
  </si>
  <si>
    <t>URINALYSIS</t>
  </si>
  <si>
    <t>CHOLESTEROL</t>
  </si>
  <si>
    <t>TRIGLYCERIDES</t>
  </si>
  <si>
    <t>ECG</t>
  </si>
  <si>
    <t>PNSS</t>
  </si>
  <si>
    <t>POTASSIUM CHLORIDE</t>
  </si>
  <si>
    <t>K-LYTE</t>
  </si>
  <si>
    <t>AMLODIPINE</t>
  </si>
  <si>
    <t>LOSARTAN</t>
  </si>
  <si>
    <t>IV FLUID</t>
  </si>
  <si>
    <t>TABLET</t>
  </si>
  <si>
    <t>1L</t>
  </si>
  <si>
    <t>40MEQ</t>
  </si>
  <si>
    <t>600MG</t>
  </si>
  <si>
    <t>5MG</t>
  </si>
  <si>
    <t>50MG</t>
  </si>
  <si>
    <t>INSYTE G24</t>
  </si>
  <si>
    <t>3CC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</si>
</sst>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51"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175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176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/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45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46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54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177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56</v>
      </c>
      <c r="C60" s="17" t="s">
        <v>52</v>
      </c>
      <c r="D60" s="17" t="s">
        <v>57</v>
      </c>
      <c r="E60" s="18" t="s">
        <v>58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168</v>
      </c>
      <c r="D61" s="55">
        <v>5950</v>
      </c>
      <c r="E61" s="55"/>
      <c r="F61" s="55">
        <v>80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169</v>
      </c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170</v>
      </c>
      <c r="D63" s="55">
        <v>2550</v>
      </c>
      <c r="E63" s="55"/>
      <c r="F63" s="55">
        <v>500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8500</v>
      </c>
      <c r="E72" s="59">
        <f>SUM(E61:E71)</f>
        <v>0</v>
      </c>
      <c r="F72" s="59">
        <f>SUM(F61:F71)</f>
        <v>580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H16" sqref="H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E87.6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183</v>
      </c>
      <c r="E11" s="27" t="s">
        <v>185</v>
      </c>
      <c r="F11" s="55">
        <v>4</v>
      </c>
      <c r="G11" s="55">
        <v>1</v>
      </c>
      <c r="H11" s="55">
        <v>2</v>
      </c>
      <c r="I11" s="55">
        <v>260</v>
      </c>
      <c r="J11" s="55">
        <f t="shared" ref="J11:J17" si="0">H11*I11</f>
        <v>520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165</v>
      </c>
      <c r="E12" s="27" t="s">
        <v>186</v>
      </c>
      <c r="F12" s="55">
        <v>1</v>
      </c>
      <c r="G12" s="55">
        <v>1</v>
      </c>
      <c r="H12" s="55">
        <v>1</v>
      </c>
      <c r="I12" s="55">
        <v>500</v>
      </c>
      <c r="J12" s="55">
        <f t="shared" si="0"/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184</v>
      </c>
      <c r="E13" s="27" t="s">
        <v>187</v>
      </c>
      <c r="F13" s="55">
        <v>1</v>
      </c>
      <c r="G13" s="55">
        <v>1</v>
      </c>
      <c r="H13" s="55">
        <v>4</v>
      </c>
      <c r="I13" s="55">
        <v>150</v>
      </c>
      <c r="J13" s="55">
        <f t="shared" si="0"/>
        <v>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184</v>
      </c>
      <c r="E14" s="27" t="s">
        <v>188</v>
      </c>
      <c r="F14" s="55">
        <v>1</v>
      </c>
      <c r="G14" s="55">
        <v>1</v>
      </c>
      <c r="H14" s="55">
        <v>3</v>
      </c>
      <c r="I14" s="55">
        <v>100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184</v>
      </c>
      <c r="E15" s="27" t="s">
        <v>189</v>
      </c>
      <c r="F15" s="55">
        <v>1</v>
      </c>
      <c r="G15" s="55">
        <v>1</v>
      </c>
      <c r="H15" s="55">
        <v>3</v>
      </c>
      <c r="I15" s="55">
        <v>100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E87.6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167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167</v>
      </c>
      <c r="E18" s="55">
        <v>3</v>
      </c>
      <c r="F18" s="55">
        <v>70</v>
      </c>
      <c r="G18" s="55">
        <f>E18*F18</f>
        <v>210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E87.6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30</v>
      </c>
      <c r="H13" s="55">
        <v>100</v>
      </c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100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2018-06-10T15:07:21Z</dcterms:modified>
</cp:coreProperties>
</file>