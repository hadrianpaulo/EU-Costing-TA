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<sst xmlns="http://schemas.openxmlformats.org/spreadsheetml/2006/main" count="478" uniqueCount="188">
  <si>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</si>
  <si>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</si>
  <si>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</si>
  <si>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</si>
  <si>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</si>
  <si>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</si>
  <si>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</si>
  <si>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</si>
  <si>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</si>
  <si>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</si>
  <si>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</si>
  <si>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</si>
  <si>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</si>
  <si>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</si>
  <si>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</si>
  <si>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</si>
  <si>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</si>
  <si>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</si>
  <si>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</si>
  <si>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</si>
  <si>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</si>
  <si>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</si>
  <si>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</si>
  <si>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</si>
  <si>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</si>
  <si>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</si>
  <si>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</si>
  <si>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</si>
  <si>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</si>
  <si>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</si>
  <si>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</si>
  <si>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</si>
  <si>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</si>
  <si>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</si>
  <si>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</si>
  <si>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</si>
  <si>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</si>
  <si>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</si>
  <si>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</si>
  <si>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</si>
  <si>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</si>
  <si>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</si>
  <si>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</si>
  <si>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</si>
  <si>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</si>
  <si>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</si>
  <si>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</si>
  <si>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</si>
  <si>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</si>
  <si>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</si>
  <si>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</si>
  <si>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</si>
  <si>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</si>
  <si>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</si>
  <si>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</si>
  <si>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</si>
  <si>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</si>
  <si>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</si>
  <si>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</si>
  <si>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</si>
  <si>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</si>
  <si>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</si>
  <si>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</si>
  <si>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</si>
  <si>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</si>
  <si>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</si>
  <si>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</si>
  <si>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</si>
  <si>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</si>
  <si>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</si>
  <si>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</si>
  <si>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</si>
  <si>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</si>
  <si>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</si>
  <si>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</si>
  <si>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</si>
  <si>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</si>
  <si>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</si>
  <si>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</si>
  <si>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</si>
  <si>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</si>
  <si>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</si>
  <si>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</si>
  <si>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</si>
  <si>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</si>
  <si>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</si>
  <si>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</si>
  <si>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</si>
  <si>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</si>
  <si>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</si>
  <si>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</si>
  <si>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</si>
  <si>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</si>
  <si>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</si>
  <si>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</si>
  <si>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</si>
  <si>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</si>
  <si>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</si>
  <si>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</si>
  <si>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</si>
  <si>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</si>
  <si>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</si>
  <si>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</si>
  <si>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</si>
  <si>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</si>
  <si>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</si>
  <si>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</si>
  <si>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</si>
  <si>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</si>
  <si>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</si>
  <si>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</si>
  <si>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</si>
  <si>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</si>
  <si>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</si>
  <si>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</si>
  <si>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</si>
  <si>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</si>
  <si>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</si>
  <si>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</si>
  <si>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</si>
  <si>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</si>
  <si>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</si>
  <si>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</si>
  <si>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</si>
  <si>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</si>
  <si>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</si>
  <si>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</si>
  <si>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</si>
  <si>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</si>
  <si>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</si>
  <si>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</si>
  <si>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</si>
  <si>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</si>
  <si>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</si>
  <si>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</si>
  <si>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</si>
  <si>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</si>
  <si>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</si>
  <si>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</si>
  <si>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</si>
  <si>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</si>
  <si>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</si>
  <si>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</si>
  <si>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</si>
  <si>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</si>
  <si>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</si>
  <si>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</si>
  <si>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</si>
  <si>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</si>
  <si>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</si>
  <si>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</si>
  <si>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</si>
  <si>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</si>
  <si>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</si>
  <si>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</si>
  <si>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</si>
  <si>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</si>
  <si>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</si>
  <si>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</si>
  <si>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</si>
  <si>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</si>
  <si>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</si>
  <si>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</si>
  <si>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</si>
  <si>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</si>
  <si>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MACROSET</t>
  </si>
  <si>
    <t>PER PIECE</t>
  </si>
  <si>
    <t>CASE RATE (room,labs,meds, etc.)</t>
  </si>
  <si>
    <t>DISCOUNT</t>
  </si>
  <si>
    <t>PF CASE RATE</t>
  </si>
  <si>
    <t>E87.6</t>
  </si>
  <si>
    <t>CBC W/ PLATELET COUNT</t>
  </si>
  <si>
    <t>POTASSIUM</t>
  </si>
  <si>
    <t>IONIZED CALCIUM</t>
  </si>
  <si>
    <t>URINALYSIS</t>
  </si>
  <si>
    <t>ECG</t>
  </si>
  <si>
    <t>K-LYTE</t>
  </si>
  <si>
    <t>TABLET</t>
  </si>
  <si>
    <t>600MG</t>
  </si>
  <si>
    <t>CXR PA</t>
  </si>
  <si>
    <t>PNSS</t>
  </si>
  <si>
    <t>IV FLUID</t>
  </si>
  <si>
    <t>1L</t>
  </si>
  <si>
    <t xml:space="preserve">AZITHROMYCIN </t>
  </si>
  <si>
    <t>500MG</t>
  </si>
  <si>
    <t>FLUIMUCIL</t>
  </si>
  <si>
    <t>INSYTE G22</t>
  </si>
  <si>
    <t>3CC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</si>
</sst>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7" zoomScaleNormal="100" workbookViewId="0">
      <selection activeCell="F63" sqref="F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173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174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175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167</v>
      </c>
      <c r="D60" s="55">
        <v>5950</v>
      </c>
      <c r="E60" s="55"/>
      <c r="F60" s="55">
        <v>79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168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169</v>
      </c>
      <c r="D62" s="55">
        <v>2550</v>
      </c>
      <c r="E62" s="55"/>
      <c r="F62" s="55">
        <v>500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8500</v>
      </c>
      <c r="E71" s="59">
        <f>SUM(E60:E70)</f>
        <v>0</v>
      </c>
      <c r="F71" s="59">
        <f>SUM(F60:F70)</f>
        <v>579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H15" sqref="H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E87.6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177</v>
      </c>
      <c r="E11" s="27" t="s">
        <v>178</v>
      </c>
      <c r="F11" s="55">
        <v>1</v>
      </c>
      <c r="G11" s="55">
        <v>1</v>
      </c>
      <c r="H11" s="55">
        <v>4</v>
      </c>
      <c r="I11" s="55">
        <v>150</v>
      </c>
      <c r="J11" s="55">
        <f t="shared" ref="J11:J17" si="0">H11*I11</f>
        <v>600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181</v>
      </c>
      <c r="E12" s="27" t="s">
        <v>182</v>
      </c>
      <c r="F12" s="55">
        <v>1</v>
      </c>
      <c r="G12" s="55">
        <v>1</v>
      </c>
      <c r="H12" s="55">
        <v>1</v>
      </c>
      <c r="I12" s="55">
        <v>260</v>
      </c>
      <c r="J12" s="55">
        <f t="shared" si="0"/>
        <v>260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183</v>
      </c>
      <c r="D13" s="27" t="s">
        <v>177</v>
      </c>
      <c r="E13" s="27" t="s">
        <v>184</v>
      </c>
      <c r="F13" s="55">
        <v>1</v>
      </c>
      <c r="G13" s="55">
        <v>1</v>
      </c>
      <c r="H13" s="55">
        <v>2</v>
      </c>
      <c r="I13" s="55">
        <v>150</v>
      </c>
      <c r="J13" s="55">
        <f t="shared" si="0"/>
        <v>300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185</v>
      </c>
      <c r="D14" s="27" t="s">
        <v>177</v>
      </c>
      <c r="E14" s="27" t="s">
        <v>178</v>
      </c>
      <c r="F14" s="55">
        <v>1</v>
      </c>
      <c r="G14" s="55">
        <v>1</v>
      </c>
      <c r="H14" s="55">
        <v>2</v>
      </c>
      <c r="I14" s="55">
        <v>150</v>
      </c>
      <c r="J14" s="55">
        <f t="shared" si="0"/>
        <v>300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E19" sqref="E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165</v>
      </c>
      <c r="D16" s="70" t="s">
        <v>166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186</v>
      </c>
      <c r="D17" s="70" t="s">
        <v>166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187</v>
      </c>
      <c r="D18" s="70" t="s">
        <v>166</v>
      </c>
      <c r="E18" s="55">
        <v>2</v>
      </c>
      <c r="F18" s="55">
        <v>50</v>
      </c>
      <c r="G18" s="55">
        <f>E18*F18</f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E87.6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v>20</v>
      </c>
      <c r="H13" s="55">
        <v>40</v>
      </c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40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2018-06-10T15:04:25Z</dcterms:modified>
</cp:coreProperties>
</file>