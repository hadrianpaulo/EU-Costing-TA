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data_general'!$B$1:$F$76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6" i="1"/>
  <c r="E76" i="1"/>
  <c r="D76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<sst xmlns="http://schemas.openxmlformats.org/spreadsheetml/2006/main" count="478" uniqueCount="192">
  <si>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</si>
  <si>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</si>
  <si>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</si>
  <si>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</si>
  <si>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</si>
  <si>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</si>
  <si>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</si>
  <si>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</si>
  <si>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</si>
  <si>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</si>
  <si>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</si>
  <si>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</si>
  <si>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</si>
  <si>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</si>
  <si>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</si>
  <si>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</si>
  <si>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</si>
  <si>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</si>
  <si>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</si>
  <si>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</si>
  <si>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</si>
  <si>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</si>
  <si>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</si>
  <si>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</si>
  <si>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</si>
  <si>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</si>
  <si>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</si>
  <si>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</si>
  <si>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</si>
  <si>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</si>
  <si>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</si>
  <si>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</si>
  <si>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</si>
  <si>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</si>
  <si>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</si>
  <si>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</si>
  <si>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</si>
  <si>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</si>
  <si>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</si>
  <si>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</si>
  <si>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</si>
  <si>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</si>
  <si>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</si>
  <si>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</si>
  <si>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</si>
  <si>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</si>
  <si>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</si>
  <si>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</si>
  <si>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</si>
  <si>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</si>
  <si>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</si>
  <si>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</si>
  <si>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</si>
  <si>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</si>
  <si>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</si>
  <si>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</si>
  <si>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</si>
  <si>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</si>
  <si>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</si>
  <si>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</si>
  <si>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</si>
  <si>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</si>
  <si>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</si>
  <si>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</si>
  <si>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</si>
  <si>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</si>
  <si>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</si>
  <si>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</si>
  <si>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</si>
  <si>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</si>
  <si>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</si>
  <si>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</si>
  <si>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</si>
  <si>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</si>
  <si>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</si>
  <si>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</si>
  <si>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</si>
  <si>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</si>
  <si>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</si>
  <si>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</si>
  <si>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</si>
  <si>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</si>
  <si>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</si>
  <si>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</si>
  <si>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</si>
  <si>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</si>
  <si>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</si>
  <si>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</si>
  <si>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</si>
  <si>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</si>
  <si>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</si>
  <si>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</si>
  <si>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</si>
  <si>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</si>
  <si>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</si>
  <si>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</si>
  <si>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</si>
  <si>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</si>
  <si>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</si>
  <si>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</si>
  <si>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</si>
  <si>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</si>
  <si>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</si>
  <si>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</si>
  <si>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</si>
  <si>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</si>
  <si>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</si>
  <si>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</si>
  <si>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</si>
  <si>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</si>
  <si>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</si>
  <si>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</si>
  <si>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</si>
  <si>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</si>
  <si>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</si>
  <si>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</si>
  <si>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</si>
  <si>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</si>
  <si>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</si>
  <si>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</si>
  <si>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</si>
  <si>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</si>
  <si>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</si>
  <si>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</si>
  <si>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</si>
  <si>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</si>
  <si>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</si>
  <si>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</si>
  <si>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</si>
  <si>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</si>
  <si>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</si>
  <si>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</si>
  <si>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</si>
  <si>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</si>
  <si>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</si>
  <si>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</si>
  <si>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</si>
  <si>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</si>
  <si>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</si>
  <si>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</si>
  <si>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</si>
  <si>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</si>
  <si>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</si>
  <si>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</si>
  <si>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</si>
  <si>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</si>
  <si>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</si>
  <si>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</si>
  <si>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</si>
  <si>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</si>
  <si>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</si>
  <si>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</si>
  <si>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</si>
  <si>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</si>
  <si>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</si>
  <si>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</si>
  <si>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</si>
  <si>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</si>
  <si>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</si>
  <si>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</si>
  <si>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</si>
  <si>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</si>
  <si>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</si>
  <si>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</si>
  <si>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</si>
  <si>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</si>
  <si>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MACROSET</t>
  </si>
  <si>
    <t>PER PIECE</t>
  </si>
  <si>
    <t>CASE RATE (room,labs,meds, etc.)</t>
  </si>
  <si>
    <t>DISCOUNT</t>
  </si>
  <si>
    <t>PF CASE RATE</t>
  </si>
  <si>
    <t>E87.6</t>
  </si>
  <si>
    <t>CBC W/ PLATELET COUNT</t>
  </si>
  <si>
    <t>CREATININE</t>
  </si>
  <si>
    <t>ELECTROLYTES (NA,K)</t>
  </si>
  <si>
    <t>SGPT</t>
  </si>
  <si>
    <t>IONIZED CALCIUM</t>
  </si>
  <si>
    <t>URINALYSIS</t>
  </si>
  <si>
    <t>LIPID PROFILE</t>
  </si>
  <si>
    <t>GLUCOSE (FASTING)</t>
  </si>
  <si>
    <t>URIC ACID</t>
  </si>
  <si>
    <t>CXR PA</t>
  </si>
  <si>
    <t>ECG</t>
  </si>
  <si>
    <t>BETAHISTINE</t>
  </si>
  <si>
    <t>TABLET</t>
  </si>
  <si>
    <t>16MG</t>
  </si>
  <si>
    <t>K-LYTE</t>
  </si>
  <si>
    <t>600MG</t>
  </si>
  <si>
    <t>PNSS</t>
  </si>
  <si>
    <t>IV FLUID</t>
  </si>
  <si>
    <t>1L</t>
  </si>
  <si>
    <t>INSYTE G24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</si>
</sst>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55</xdr:row>
          <xdr:rowOff>19050</xdr:rowOff>
        </xdr:from>
        <xdr:to>
          <xdr:col>1</xdr:col>
          <xdr:colOff>733425</xdr:colOff>
          <xdr:row>55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55</xdr:row>
          <xdr:rowOff>19050</xdr:rowOff>
        </xdr:from>
        <xdr:to>
          <xdr:col>1</xdr:col>
          <xdr:colOff>1504950</xdr:colOff>
          <xdr:row>55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64</xdr:row>
          <xdr:rowOff>19050</xdr:rowOff>
        </xdr:from>
        <xdr:to>
          <xdr:col>1</xdr:col>
          <xdr:colOff>733425</xdr:colOff>
          <xdr:row>64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64</xdr:row>
          <xdr:rowOff>19050</xdr:rowOff>
        </xdr:from>
        <xdr:to>
          <xdr:col>1</xdr:col>
          <xdr:colOff>1504950</xdr:colOff>
          <xdr:row>64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3"/>
  <sheetViews>
    <sheetView zoomScaleNormal="100" workbookViewId="0">
      <selection activeCell="F68" sqref="F68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9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171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172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173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174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175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176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177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 t="s">
        <v>178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 t="s">
        <v>179</v>
      </c>
      <c r="D41" s="23"/>
      <c r="E41" s="55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 t="s">
        <v>180</v>
      </c>
      <c r="D42" s="23"/>
      <c r="E42" s="55">
        <v>1</v>
      </c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19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</v>
      </c>
      <c r="C44" s="27" t="s">
        <v>181</v>
      </c>
      <c r="D44" s="23"/>
      <c r="E44" s="55">
        <v>1</v>
      </c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2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3</v>
      </c>
      <c r="C46" s="27"/>
      <c r="D46" s="23"/>
      <c r="E46" s="55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4</v>
      </c>
      <c r="C47" s="27"/>
      <c r="D47" s="23"/>
      <c r="E47" s="55"/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8" t="s">
        <v>45</v>
      </c>
      <c r="C48" s="119"/>
      <c r="D48" s="116"/>
      <c r="E48" s="119"/>
      <c r="F48" s="11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14" t="s">
        <v>46</v>
      </c>
      <c r="C49" s="13"/>
      <c r="D49" s="13"/>
      <c r="E49" s="16"/>
      <c r="F49" s="13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54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30">
        <v>1</v>
      </c>
      <c r="C51" s="31"/>
      <c r="D51" s="32"/>
      <c r="E51" s="57"/>
      <c r="F51" s="5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30">
        <v>2</v>
      </c>
      <c r="C52" s="31"/>
      <c r="D52" s="32"/>
      <c r="E52" s="57"/>
      <c r="F52" s="5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20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20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thickBot="1" x14ac:dyDescent="0.35">
      <c r="A55" s="1"/>
      <c r="B55" s="115" t="s">
        <v>20</v>
      </c>
      <c r="C55" s="116"/>
      <c r="D55" s="116"/>
      <c r="E55" s="116"/>
      <c r="F55" s="117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1</v>
      </c>
      <c r="C56" s="27" t="s">
        <v>182</v>
      </c>
      <c r="D56" s="28"/>
      <c r="E56" s="55">
        <v>1</v>
      </c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2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3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4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5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6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5"/>
      <c r="C62" s="25"/>
      <c r="D62" s="25"/>
      <c r="E62" s="25"/>
      <c r="F62" s="2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57.75" customHeight="1" thickBot="1" x14ac:dyDescent="0.35">
      <c r="A64" s="1"/>
      <c r="B64" s="17" t="s">
        <v>56</v>
      </c>
      <c r="C64" s="17" t="s">
        <v>52</v>
      </c>
      <c r="D64" s="17" t="s">
        <v>57</v>
      </c>
      <c r="E64" s="18" t="s">
        <v>58</v>
      </c>
      <c r="F64" s="19" t="s">
        <v>21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2">
        <v>1</v>
      </c>
      <c r="C65" s="27" t="s">
        <v>168</v>
      </c>
      <c r="D65" s="55">
        <v>5950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2</v>
      </c>
      <c r="C66" s="27" t="s">
        <v>169</v>
      </c>
      <c r="D66" s="55"/>
      <c r="E66" s="55">
        <v>138</v>
      </c>
      <c r="F66" s="55">
        <v>552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3</v>
      </c>
      <c r="C67" s="27" t="s">
        <v>170</v>
      </c>
      <c r="D67" s="55">
        <v>2550</v>
      </c>
      <c r="E67" s="55"/>
      <c r="F67" s="55">
        <v>1650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4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5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6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7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8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9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10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4.9000000000000004" customHeight="1" thickBot="1" x14ac:dyDescent="0.35">
      <c r="A75" s="1"/>
      <c r="B75" s="1"/>
      <c r="C75" s="1"/>
      <c r="D75" s="58"/>
      <c r="E75" s="58"/>
      <c r="F75" s="58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thickTop="1" x14ac:dyDescent="0.3">
      <c r="A76" s="1"/>
      <c r="B76" s="11"/>
      <c r="C76" s="4" t="s">
        <v>22</v>
      </c>
      <c r="D76" s="59">
        <f>SUM(D65:D75)</f>
        <v>8500</v>
      </c>
      <c r="E76" s="59">
        <f>SUM(E65:E75)</f>
        <v>138</v>
      </c>
      <c r="F76" s="59">
        <f>SUM(F65:F75)</f>
        <v>2202</v>
      </c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</sheetData>
  <sheetProtection password="C2E9" sheet="1" objects="1" scenarios="1" formatColumns="0" formatRows="0" sort="0" autoFilter="0"/>
  <mergeCells count="12">
    <mergeCell ref="B55:F55"/>
    <mergeCell ref="B48:F48"/>
    <mergeCell ref="B12:F12"/>
    <mergeCell ref="B13:F13"/>
    <mergeCell ref="B14:F14"/>
    <mergeCell ref="B15:F15"/>
    <mergeCell ref="B18:F18"/>
    <mergeCell ref="B22:F22"/>
    <mergeCell ref="B33:F33"/>
    <mergeCell ref="B28:F28"/>
    <mergeCell ref="B43:F43"/>
    <mergeCell ref="B50:F50"/>
  </mergeCells>
  <dataValidations count="1">
    <dataValidation type="decimal" operator="greaterThanOrEqual" allowBlank="1" showInputMessage="1" showErrorMessage="1" sqref="E32 E44:E47 E49 E23:F27 E51:F54 E56:F61 D65:F74 E34:E36 E37:E4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3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55</xdr:row>
                    <xdr:rowOff>19050</xdr:rowOff>
                  </from>
                  <to>
                    <xdr:col>1</xdr:col>
                    <xdr:colOff>733425</xdr:colOff>
                    <xdr:row>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55</xdr:row>
                    <xdr:rowOff>19050</xdr:rowOff>
                  </from>
                  <to>
                    <xdr:col>1</xdr:col>
                    <xdr:colOff>1504950</xdr:colOff>
                    <xdr:row>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64</xdr:row>
                    <xdr:rowOff>19050</xdr:rowOff>
                  </from>
                  <to>
                    <xdr:col>1</xdr:col>
                    <xdr:colOff>733425</xdr:colOff>
                    <xdr:row>64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64</xdr:row>
                    <xdr:rowOff>19050</xdr:rowOff>
                  </from>
                  <to>
                    <xdr:col>1</xdr:col>
                    <xdr:colOff>1504950</xdr:colOff>
                    <xdr:row>64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8" workbookViewId="0">
      <selection activeCell="I14" sqref="I14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183</v>
      </c>
      <c r="D11" s="27" t="s">
        <v>184</v>
      </c>
      <c r="E11" s="27" t="s">
        <v>185</v>
      </c>
      <c r="F11" s="55">
        <v>1</v>
      </c>
      <c r="G11" s="55">
        <v>1</v>
      </c>
      <c r="H11" s="55">
        <v>2</v>
      </c>
      <c r="I11" s="55">
        <v>60</v>
      </c>
      <c r="J11" s="55">
        <f t="shared" ref="J11:J17" si="0">H11*I11</f>
        <v>120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186</v>
      </c>
      <c r="D12" s="27" t="s">
        <v>184</v>
      </c>
      <c r="E12" s="27" t="s">
        <v>187</v>
      </c>
      <c r="F12" s="55">
        <v>1</v>
      </c>
      <c r="G12" s="55">
        <v>1</v>
      </c>
      <c r="H12" s="55">
        <v>2</v>
      </c>
      <c r="I12" s="55">
        <v>70</v>
      </c>
      <c r="J12" s="55">
        <f t="shared" si="0"/>
        <v>140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188</v>
      </c>
      <c r="D13" s="27" t="s">
        <v>189</v>
      </c>
      <c r="E13" s="27" t="s">
        <v>190</v>
      </c>
      <c r="F13" s="55">
        <v>1</v>
      </c>
      <c r="G13" s="55">
        <v>1</v>
      </c>
      <c r="H13" s="55">
        <v>1</v>
      </c>
      <c r="I13" s="55">
        <v>310</v>
      </c>
      <c r="J13" s="55">
        <f t="shared" si="0"/>
        <v>310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7" workbookViewId="0">
      <selection activeCell="F18" sqref="F18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166</v>
      </c>
      <c r="D16" s="70" t="s">
        <v>167</v>
      </c>
      <c r="E16" s="55">
        <v>1</v>
      </c>
      <c r="F16" s="55">
        <v>150</v>
      </c>
      <c r="G16" s="55">
        <f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191</v>
      </c>
      <c r="D17" s="70" t="s">
        <v>167</v>
      </c>
      <c r="E17" s="55">
        <v>1</v>
      </c>
      <c r="F17" s="55">
        <v>150</v>
      </c>
      <c r="G17" s="55">
        <f>E17*F17</f>
        <v>150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>
        <f>E18*F18</f>
        <v>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>E19*F19</f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>E20*F20</f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3" workbookViewId="0">
      <selection activeCell="O12" sqref="O12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30</v>
      </c>
      <c r="E13" s="55"/>
      <c r="F13" s="55"/>
      <c r="G13" s="55">
        <v>100</v>
      </c>
      <c r="H13" s="55">
        <v>100</v>
      </c>
      <c r="I13" s="55"/>
      <c r="J13" s="55"/>
      <c r="K13" s="55"/>
      <c r="L13" s="55"/>
      <c r="M13" s="55"/>
      <c r="N13" s="55"/>
      <c r="P13" s="88">
        <f>SUM(D13:N13)</f>
        <v>230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30</v>
      </c>
      <c r="E30" s="88">
        <f t="shared" si="1"/>
        <v>0</v>
      </c>
      <c r="F30" s="88">
        <f t="shared" si="1"/>
        <v>0</v>
      </c>
      <c r="G30" s="88">
        <f t="shared" si="1"/>
        <v>100</v>
      </c>
      <c r="H30" s="88">
        <f t="shared" si="1"/>
        <v>100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230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2018-06-10T14:53:13Z</dcterms:modified>
</cp:coreProperties>
</file>