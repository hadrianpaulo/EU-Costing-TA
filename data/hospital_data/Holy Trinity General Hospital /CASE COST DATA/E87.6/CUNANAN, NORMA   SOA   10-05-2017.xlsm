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data_general'!$B$1:$F$72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J18" i="2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<sst xmlns="http://schemas.openxmlformats.org/spreadsheetml/2006/main" count="497" uniqueCount="203">
  <si>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</si>
  <si>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</si>
  <si>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</si>
  <si>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</si>
  <si>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</si>
  <si>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</si>
  <si>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</si>
  <si>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</si>
  <si>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</si>
  <si>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</si>
  <si>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</si>
  <si>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</si>
  <si>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</si>
  <si>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</si>
  <si>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</si>
  <si>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</si>
  <si>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</si>
  <si>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</si>
  <si>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</si>
  <si>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</si>
  <si>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</si>
  <si>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</si>
  <si>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</si>
  <si>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</si>
  <si>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</si>
  <si>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</si>
  <si>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</si>
  <si>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</si>
  <si>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</si>
  <si>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</si>
  <si>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</si>
  <si>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</si>
  <si>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</si>
  <si>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</si>
  <si>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</si>
  <si>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</si>
  <si>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</si>
  <si>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</si>
  <si>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</si>
  <si>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</si>
  <si>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</si>
  <si>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</si>
  <si>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</si>
  <si>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</si>
  <si>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</si>
  <si>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</si>
  <si>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</si>
  <si>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</si>
  <si>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</si>
  <si>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</si>
  <si>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</si>
  <si>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</si>
  <si>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</si>
  <si>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</si>
  <si>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</si>
  <si>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</si>
  <si>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</si>
  <si>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</si>
  <si>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</si>
  <si>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</si>
  <si>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</si>
  <si>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</si>
  <si>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</si>
  <si>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</si>
  <si>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</si>
  <si>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</si>
  <si>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</si>
  <si>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</si>
  <si>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</si>
  <si>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</si>
  <si>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</si>
  <si>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</si>
  <si>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</si>
  <si>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</si>
  <si>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</si>
  <si>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</si>
  <si>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</si>
  <si>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</si>
  <si>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</si>
  <si>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</si>
  <si>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</si>
  <si>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</si>
  <si>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</si>
  <si>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</si>
  <si>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</si>
  <si>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</si>
  <si>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</si>
  <si>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</si>
  <si>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</si>
  <si>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</si>
  <si>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</si>
  <si>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</si>
  <si>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</si>
  <si>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</si>
  <si>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</si>
  <si>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</si>
  <si>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</si>
  <si>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</si>
  <si>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</si>
  <si>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</si>
  <si>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</si>
  <si>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</si>
  <si>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</si>
  <si>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</si>
  <si>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</si>
  <si>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</si>
  <si>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</si>
  <si>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</si>
  <si>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</si>
  <si>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</si>
  <si>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</si>
  <si>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</si>
  <si>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</si>
  <si>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</si>
  <si>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</si>
  <si>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</si>
  <si>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</si>
  <si>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</si>
  <si>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</si>
  <si>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</si>
  <si>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</si>
  <si>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</si>
  <si>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</si>
  <si>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</si>
  <si>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</si>
  <si>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</si>
  <si>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</si>
  <si>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</si>
  <si>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</si>
  <si>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</si>
  <si>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</si>
  <si>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</si>
  <si>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</si>
  <si>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</si>
  <si>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</si>
  <si>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</si>
  <si>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</si>
  <si>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</si>
  <si>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</si>
  <si>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</si>
  <si>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</si>
  <si>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</si>
  <si>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</si>
  <si>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</si>
  <si>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</si>
  <si>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</si>
  <si>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</si>
  <si>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</si>
  <si>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</si>
  <si>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</si>
  <si>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</si>
  <si>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</si>
  <si>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</si>
  <si>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</si>
  <si>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</si>
  <si>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</si>
  <si>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</si>
  <si>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</si>
  <si>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</si>
  <si>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</si>
  <si>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</si>
  <si>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</si>
  <si>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</si>
  <si>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</si>
  <si>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</si>
  <si>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</si>
  <si>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CEFUROXIME</t>
  </si>
  <si>
    <t>VIAL</t>
  </si>
  <si>
    <t>750MG</t>
  </si>
  <si>
    <t>MACROSET</t>
  </si>
  <si>
    <t>PER PIECE</t>
  </si>
  <si>
    <t>CASE RATE (room,labs,meds, etc.)</t>
  </si>
  <si>
    <t>DISCOUNT</t>
  </si>
  <si>
    <t>PF CASE RATE</t>
  </si>
  <si>
    <t>E87.6</t>
  </si>
  <si>
    <t>URINALYSIS</t>
  </si>
  <si>
    <t>CBC W/ PLATELET COUNT</t>
  </si>
  <si>
    <t>CREATININE</t>
  </si>
  <si>
    <t>ELECTROLYTES (NA,K)</t>
  </si>
  <si>
    <t>POTASSIUM</t>
  </si>
  <si>
    <t>CXR PA</t>
  </si>
  <si>
    <t>PNSS</t>
  </si>
  <si>
    <t>IV FLUID</t>
  </si>
  <si>
    <t>1L</t>
  </si>
  <si>
    <t>AZITHROMYCIN</t>
  </si>
  <si>
    <t>TABLET</t>
  </si>
  <si>
    <t>500MG</t>
  </si>
  <si>
    <t>ASCORZEE</t>
  </si>
  <si>
    <t>CAPSULE</t>
  </si>
  <si>
    <t>112.5MG/9MG</t>
  </si>
  <si>
    <t>FLUIMUCIL</t>
  </si>
  <si>
    <t>600MG</t>
  </si>
  <si>
    <t>SALRESP-I</t>
  </si>
  <si>
    <t>NEBULE</t>
  </si>
  <si>
    <t>2.5MG/500MCG</t>
  </si>
  <si>
    <t>POTASSIUM CHLORIDE</t>
  </si>
  <si>
    <t>40MEQ</t>
  </si>
  <si>
    <t>INSYTE G22</t>
  </si>
  <si>
    <t>10CC SYRINGE</t>
  </si>
  <si>
    <t>1CC SYRINGE</t>
  </si>
  <si>
    <t>SOLUSET</t>
  </si>
  <si>
    <t>NEB KIT</t>
  </si>
  <si>
    <t>ECG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</si>
</sst>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opLeftCell="A51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174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175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176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177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178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179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8" t="s">
        <v>19</v>
      </c>
      <c r="C39" s="119"/>
      <c r="D39" s="116"/>
      <c r="E39" s="119"/>
      <c r="F39" s="11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180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45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46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5" t="s">
        <v>54</v>
      </c>
      <c r="C46" s="116"/>
      <c r="D46" s="116"/>
      <c r="E46" s="116"/>
      <c r="F46" s="11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20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 t="s">
        <v>202</v>
      </c>
      <c r="D52" s="28"/>
      <c r="E52" s="55">
        <v>1</v>
      </c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56</v>
      </c>
      <c r="C60" s="17" t="s">
        <v>52</v>
      </c>
      <c r="D60" s="17" t="s">
        <v>57</v>
      </c>
      <c r="E60" s="18" t="s">
        <v>58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171</v>
      </c>
      <c r="D61" s="55">
        <v>5950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172</v>
      </c>
      <c r="D62" s="55"/>
      <c r="E62" s="55">
        <v>700</v>
      </c>
      <c r="F62" s="55">
        <v>2450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173</v>
      </c>
      <c r="D63" s="55">
        <v>2550</v>
      </c>
      <c r="E63" s="55"/>
      <c r="F63" s="55">
        <v>550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8500</v>
      </c>
      <c r="E72" s="59">
        <f>SUM(E61:E71)</f>
        <v>700</v>
      </c>
      <c r="F72" s="59">
        <f>SUM(F61:F71)</f>
        <v>3000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password="C2E9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0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9" sqref="I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166</v>
      </c>
      <c r="D11" s="27" t="s">
        <v>167</v>
      </c>
      <c r="E11" s="27" t="s">
        <v>168</v>
      </c>
      <c r="F11" s="55">
        <v>2</v>
      </c>
      <c r="G11" s="55">
        <v>1</v>
      </c>
      <c r="H11" s="55">
        <v>5</v>
      </c>
      <c r="I11" s="55">
        <v>350</v>
      </c>
      <c r="J11" s="55">
        <f t="shared" ref="J11:J18" si="0">H11*I11</f>
        <v>1750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182</v>
      </c>
      <c r="E12" s="27" t="s">
        <v>183</v>
      </c>
      <c r="F12" s="55">
        <v>1</v>
      </c>
      <c r="G12" s="55">
        <v>1</v>
      </c>
      <c r="H12" s="55">
        <v>1</v>
      </c>
      <c r="I12" s="55">
        <v>310</v>
      </c>
      <c r="J12" s="55">
        <f t="shared" si="0"/>
        <v>310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185</v>
      </c>
      <c r="E13" s="27" t="s">
        <v>186</v>
      </c>
      <c r="F13" s="55">
        <v>1</v>
      </c>
      <c r="G13" s="55">
        <v>1</v>
      </c>
      <c r="H13" s="55">
        <v>2</v>
      </c>
      <c r="I13" s="55">
        <v>200</v>
      </c>
      <c r="J13" s="55">
        <f t="shared" si="0"/>
        <v>400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188</v>
      </c>
      <c r="E14" s="27" t="s">
        <v>189</v>
      </c>
      <c r="F14" s="55">
        <v>1</v>
      </c>
      <c r="G14" s="55">
        <v>1</v>
      </c>
      <c r="H14" s="55">
        <v>2</v>
      </c>
      <c r="I14" s="55">
        <v>30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190</v>
      </c>
      <c r="D15" s="27" t="s">
        <v>185</v>
      </c>
      <c r="E15" s="27" t="s">
        <v>191</v>
      </c>
      <c r="F15" s="55">
        <v>1</v>
      </c>
      <c r="G15" s="55">
        <v>1</v>
      </c>
      <c r="H15" s="55">
        <v>1</v>
      </c>
      <c r="I15" s="55">
        <v>80</v>
      </c>
      <c r="J15" s="55">
        <f t="shared" si="0"/>
        <v>80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166</v>
      </c>
      <c r="D16" s="27" t="s">
        <v>185</v>
      </c>
      <c r="E16" s="27" t="s">
        <v>186</v>
      </c>
      <c r="F16" s="55">
        <v>2</v>
      </c>
      <c r="G16" s="55">
        <v>1</v>
      </c>
      <c r="H16" s="55">
        <v>5</v>
      </c>
      <c r="I16" s="55">
        <v>70</v>
      </c>
      <c r="J16" s="55">
        <f t="shared" si="0"/>
        <v>350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192</v>
      </c>
      <c r="D17" s="27" t="s">
        <v>193</v>
      </c>
      <c r="E17" s="27" t="s">
        <v>194</v>
      </c>
      <c r="F17" s="55">
        <v>2</v>
      </c>
      <c r="G17" s="55">
        <v>1</v>
      </c>
      <c r="H17" s="55">
        <v>3</v>
      </c>
      <c r="I17" s="55">
        <v>60</v>
      </c>
      <c r="J17" s="55">
        <f t="shared" si="0"/>
        <v>180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195</v>
      </c>
      <c r="D18" s="27" t="s">
        <v>167</v>
      </c>
      <c r="E18" s="27" t="s">
        <v>196</v>
      </c>
      <c r="F18" s="55">
        <v>1</v>
      </c>
      <c r="G18" s="55">
        <v>1</v>
      </c>
      <c r="H18" s="55">
        <v>1</v>
      </c>
      <c r="I18" s="55">
        <v>300</v>
      </c>
      <c r="J18" s="55">
        <f t="shared" si="0"/>
        <v>300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170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197</v>
      </c>
      <c r="D17" s="70" t="s">
        <v>170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198</v>
      </c>
      <c r="D18" s="70" t="s">
        <v>170</v>
      </c>
      <c r="E18" s="55">
        <v>3</v>
      </c>
      <c r="F18" s="55">
        <v>40</v>
      </c>
      <c r="G18" s="55">
        <f t="shared" si="0"/>
        <v>120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199</v>
      </c>
      <c r="D19" s="70" t="s">
        <v>170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200</v>
      </c>
      <c r="D20" s="70" t="s">
        <v>170</v>
      </c>
      <c r="E20" s="55">
        <v>1</v>
      </c>
      <c r="F20" s="55">
        <v>350</v>
      </c>
      <c r="G20" s="55">
        <f t="shared" si="0"/>
        <v>350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201</v>
      </c>
      <c r="D21" s="70" t="s">
        <v>170</v>
      </c>
      <c r="E21" s="55">
        <v>1</v>
      </c>
      <c r="F21" s="55">
        <v>200</v>
      </c>
      <c r="G21" s="55">
        <f t="shared" si="0"/>
        <v>200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O13" sqref="O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>
        <v>10</v>
      </c>
      <c r="G13" s="55">
        <v>150</v>
      </c>
      <c r="H13" s="55">
        <v>120</v>
      </c>
      <c r="I13" s="55"/>
      <c r="J13" s="55"/>
      <c r="K13" s="55"/>
      <c r="L13" s="55"/>
      <c r="M13" s="55"/>
      <c r="N13" s="55"/>
      <c r="P13" s="88">
        <f>SUM(D13:N13)</f>
        <v>315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10</v>
      </c>
      <c r="G30" s="88">
        <f t="shared" si="1"/>
        <v>150</v>
      </c>
      <c r="H30" s="88">
        <f t="shared" si="1"/>
        <v>120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2018-06-10T14:50:08Z</dcterms:modified>
</cp:coreProperties>
</file>