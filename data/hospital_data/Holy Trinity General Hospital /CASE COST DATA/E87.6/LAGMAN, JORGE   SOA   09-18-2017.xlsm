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data_general'!$B$1:$F$77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1" i="9" l="1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7" i="1"/>
  <c r="E77" i="1"/>
  <c r="D77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<sst xmlns="http://schemas.openxmlformats.org/spreadsheetml/2006/main" count="494" uniqueCount="205">
  <si>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</si>
  <si>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</si>
  <si>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</si>
  <si>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</si>
  <si>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</si>
  <si>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</si>
  <si>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</si>
  <si>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</si>
  <si>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</si>
  <si>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</si>
  <si>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</si>
  <si>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</si>
  <si>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</si>
  <si>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</si>
  <si>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</si>
  <si>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</si>
  <si>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</si>
  <si>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</si>
  <si>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</si>
  <si>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</si>
  <si>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</si>
  <si>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</si>
  <si>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</si>
  <si>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</si>
  <si>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</si>
  <si>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</si>
  <si>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</si>
  <si>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</si>
  <si>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</si>
  <si>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</si>
  <si>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</si>
  <si>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</si>
  <si>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</si>
  <si>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</si>
  <si>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</si>
  <si>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</si>
  <si>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</si>
  <si>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</si>
  <si>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</si>
  <si>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</si>
  <si>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</si>
  <si>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</si>
  <si>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</si>
  <si>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</si>
  <si>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</si>
  <si>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</si>
  <si>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</si>
  <si>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</si>
  <si>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</si>
  <si>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</si>
  <si>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</si>
  <si>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</si>
  <si>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</si>
  <si>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</si>
  <si>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</si>
  <si>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</si>
  <si>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</si>
  <si>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</si>
  <si>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</si>
  <si>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</si>
  <si>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</si>
  <si>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</si>
  <si>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</si>
  <si>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</si>
  <si>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</si>
  <si>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</si>
  <si>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</si>
  <si>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</si>
  <si>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</si>
  <si>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</si>
  <si>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</si>
  <si>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</si>
  <si>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</si>
  <si>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</si>
  <si>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</si>
  <si>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</si>
  <si>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</si>
  <si>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</si>
  <si>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</si>
  <si>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</si>
  <si>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</si>
  <si>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</si>
  <si>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</si>
  <si>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</si>
  <si>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</si>
  <si>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</si>
  <si>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</si>
  <si>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</si>
  <si>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</si>
  <si>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</si>
  <si>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</si>
  <si>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</si>
  <si>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</si>
  <si>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</si>
  <si>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</si>
  <si>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</si>
  <si>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</si>
  <si>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</si>
  <si>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</si>
  <si>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</si>
  <si>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</si>
  <si>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</si>
  <si>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</si>
  <si>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</si>
  <si>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</si>
  <si>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</si>
  <si>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</si>
  <si>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</si>
  <si>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</si>
  <si>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</si>
  <si>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</si>
  <si>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</si>
  <si>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</si>
  <si>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</si>
  <si>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</si>
  <si>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</si>
  <si>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</si>
  <si>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</si>
  <si>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</si>
  <si>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</si>
  <si>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</si>
  <si>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</si>
  <si>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</si>
  <si>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</si>
  <si>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</si>
  <si>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</si>
  <si>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</si>
  <si>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</si>
  <si>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</si>
  <si>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</si>
  <si>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</si>
  <si>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</si>
  <si>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</si>
  <si>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</si>
  <si>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</si>
  <si>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</si>
  <si>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</si>
  <si>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</si>
  <si>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</si>
  <si>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</si>
  <si>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</si>
  <si>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</si>
  <si>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</si>
  <si>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</si>
  <si>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</si>
  <si>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</si>
  <si>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</si>
  <si>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</si>
  <si>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</si>
  <si>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</si>
  <si>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</si>
  <si>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</si>
  <si>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</si>
  <si>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</si>
  <si>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</si>
  <si>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</si>
  <si>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</si>
  <si>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</si>
  <si>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</si>
  <si>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</si>
  <si>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</si>
  <si>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</si>
  <si>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</si>
  <si>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</si>
  <si>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</si>
  <si>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</si>
  <si>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VIAL</t>
  </si>
  <si>
    <t>MACROSET</t>
  </si>
  <si>
    <t>PER PIECE</t>
  </si>
  <si>
    <t>CASE RATE (room,labs,meds, etc.)</t>
  </si>
  <si>
    <t>DISCOUNT</t>
  </si>
  <si>
    <t>PF CASE RATE</t>
  </si>
  <si>
    <t>E87.6</t>
  </si>
  <si>
    <t>IONIZED CALCIUM</t>
  </si>
  <si>
    <t>CBC W/ PLATELET COUNT</t>
  </si>
  <si>
    <t>CREATININE</t>
  </si>
  <si>
    <t>ELECTROLYTES (NA,K)</t>
  </si>
  <si>
    <t>HBA1C</t>
  </si>
  <si>
    <t>URINALYSIS</t>
  </si>
  <si>
    <t>URINE KETONES</t>
  </si>
  <si>
    <t>GLUCOSE (FASTING)</t>
  </si>
  <si>
    <t>LIPID PROFILE</t>
  </si>
  <si>
    <t>POTASSIUM</t>
  </si>
  <si>
    <t>CXR PA</t>
  </si>
  <si>
    <t>CBG MONITORING</t>
  </si>
  <si>
    <t>PNSS</t>
  </si>
  <si>
    <t>POTASSIUM CHLORIDE</t>
  </si>
  <si>
    <t>LANTUS SOLOSTAR</t>
  </si>
  <si>
    <t xml:space="preserve">K-LYTE </t>
  </si>
  <si>
    <t>IV FLUID</t>
  </si>
  <si>
    <t>1L</t>
  </si>
  <si>
    <t>40MEQ</t>
  </si>
  <si>
    <t>INSULIN</t>
  </si>
  <si>
    <t>100UNITS</t>
  </si>
  <si>
    <t>TABLET</t>
  </si>
  <si>
    <t>600MG</t>
  </si>
  <si>
    <t>TRANEXAMIC ACID</t>
  </si>
  <si>
    <t>CAPSULE</t>
  </si>
  <si>
    <t>500MG</t>
  </si>
  <si>
    <t>GALVUS MET</t>
  </si>
  <si>
    <t>50/50MG</t>
  </si>
  <si>
    <t>INSYTE G22</t>
  </si>
  <si>
    <t>INSULIN SYRINGE</t>
  </si>
  <si>
    <t>SOLUSET</t>
  </si>
  <si>
    <t>10CC SYRINGE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</si>
</sst>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65</xdr:row>
          <xdr:rowOff>19050</xdr:rowOff>
        </xdr:from>
        <xdr:to>
          <xdr:col>1</xdr:col>
          <xdr:colOff>733425</xdr:colOff>
          <xdr:row>65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65</xdr:row>
          <xdr:rowOff>19050</xdr:rowOff>
        </xdr:from>
        <xdr:to>
          <xdr:col>1</xdr:col>
          <xdr:colOff>1504950</xdr:colOff>
          <xdr:row>65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zoomScaleNormal="100" workbookViewId="0">
      <selection activeCell="F69" sqref="F6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172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173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174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175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176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177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178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179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180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181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 t="s">
        <v>182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8" t="s">
        <v>19</v>
      </c>
      <c r="C44" s="119"/>
      <c r="D44" s="116"/>
      <c r="E44" s="119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</v>
      </c>
      <c r="C45" s="27" t="s">
        <v>183</v>
      </c>
      <c r="D45" s="23"/>
      <c r="E45" s="55">
        <v>1</v>
      </c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2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3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4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8" t="s">
        <v>45</v>
      </c>
      <c r="C49" s="119"/>
      <c r="D49" s="116"/>
      <c r="E49" s="119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4" t="s">
        <v>46</v>
      </c>
      <c r="C50" s="13"/>
      <c r="D50" s="13"/>
      <c r="E50" s="16"/>
      <c r="F50" s="13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5" t="s">
        <v>54</v>
      </c>
      <c r="C51" s="116"/>
      <c r="D51" s="116"/>
      <c r="E51" s="116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30">
        <v>1</v>
      </c>
      <c r="C52" s="31"/>
      <c r="D52" s="32"/>
      <c r="E52" s="57"/>
      <c r="F52" s="5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30">
        <v>2</v>
      </c>
      <c r="C53" s="31"/>
      <c r="D53" s="32"/>
      <c r="E53" s="57"/>
      <c r="F53" s="5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thickBot="1" x14ac:dyDescent="0.35">
      <c r="A56" s="1"/>
      <c r="B56" s="115" t="s">
        <v>20</v>
      </c>
      <c r="C56" s="116"/>
      <c r="D56" s="116"/>
      <c r="E56" s="116"/>
      <c r="F56" s="117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1</v>
      </c>
      <c r="C57" s="27" t="s">
        <v>184</v>
      </c>
      <c r="D57" s="28"/>
      <c r="E57" s="55">
        <v>16</v>
      </c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2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3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4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5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6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5"/>
      <c r="C63" s="25"/>
      <c r="D63" s="25"/>
      <c r="E63" s="25"/>
      <c r="F63" s="2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57.75" customHeight="1" thickBot="1" x14ac:dyDescent="0.35">
      <c r="A65" s="1"/>
      <c r="B65" s="17" t="s">
        <v>56</v>
      </c>
      <c r="C65" s="17" t="s">
        <v>52</v>
      </c>
      <c r="D65" s="17" t="s">
        <v>57</v>
      </c>
      <c r="E65" s="18" t="s">
        <v>58</v>
      </c>
      <c r="F65" s="19" t="s">
        <v>21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2">
        <v>1</v>
      </c>
      <c r="C66" s="27" t="s">
        <v>169</v>
      </c>
      <c r="D66" s="55">
        <v>5950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2</v>
      </c>
      <c r="C67" s="27" t="s">
        <v>170</v>
      </c>
      <c r="D67" s="55"/>
      <c r="E67" s="55">
        <v>1681</v>
      </c>
      <c r="F67" s="55">
        <v>6727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3</v>
      </c>
      <c r="C68" s="27" t="s">
        <v>171</v>
      </c>
      <c r="D68" s="55">
        <v>2550</v>
      </c>
      <c r="E68" s="55"/>
      <c r="F68" s="55">
        <v>1400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4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5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6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7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8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9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10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4.9000000000000004" customHeight="1" thickBot="1" x14ac:dyDescent="0.35">
      <c r="A76" s="1"/>
      <c r="B76" s="1"/>
      <c r="C76" s="1"/>
      <c r="D76" s="58"/>
      <c r="E76" s="58"/>
      <c r="F76" s="58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thickTop="1" x14ac:dyDescent="0.3">
      <c r="A77" s="1"/>
      <c r="B77" s="11"/>
      <c r="C77" s="4" t="s">
        <v>22</v>
      </c>
      <c r="D77" s="59">
        <f>SUM(D66:D76)</f>
        <v>8500</v>
      </c>
      <c r="E77" s="59">
        <f>SUM(E66:E76)</f>
        <v>1681</v>
      </c>
      <c r="F77" s="59">
        <f>SUM(F66:F76)</f>
        <v>8127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</sheetData>
  <sheetProtection password="C2E9" sheet="1" objects="1" scenarios="1" formatColumns="0" formatRows="0" sort="0" autoFilter="0"/>
  <mergeCells count="12">
    <mergeCell ref="B56:F56"/>
    <mergeCell ref="B49:F49"/>
    <mergeCell ref="B12:F12"/>
    <mergeCell ref="B13:F13"/>
    <mergeCell ref="B14:F14"/>
    <mergeCell ref="B15:F15"/>
    <mergeCell ref="B18:F18"/>
    <mergeCell ref="B22:F22"/>
    <mergeCell ref="B33:F33"/>
    <mergeCell ref="B28:F28"/>
    <mergeCell ref="B44:F44"/>
    <mergeCell ref="B51:F51"/>
  </mergeCells>
  <dataValidations count="1">
    <dataValidation type="decimal" operator="greaterThanOrEqual" allowBlank="1" showInputMessage="1" showErrorMessage="1" sqref="E32 E45:E48 E50 E23:F27 E52:F55 E57:F62 D66:F75 E34:E36 E37:E43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4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65</xdr:row>
                    <xdr:rowOff>19050</xdr:rowOff>
                  </from>
                  <to>
                    <xdr:col>1</xdr:col>
                    <xdr:colOff>733425</xdr:colOff>
                    <xdr:row>65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65</xdr:row>
                    <xdr:rowOff>19050</xdr:rowOff>
                  </from>
                  <to>
                    <xdr:col>1</xdr:col>
                    <xdr:colOff>1504950</xdr:colOff>
                    <xdr:row>65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I17" sqref="I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185</v>
      </c>
      <c r="D11" s="27" t="s">
        <v>189</v>
      </c>
      <c r="E11" s="27" t="s">
        <v>190</v>
      </c>
      <c r="F11" s="55">
        <v>2</v>
      </c>
      <c r="G11" s="55">
        <v>1</v>
      </c>
      <c r="H11" s="55">
        <v>4</v>
      </c>
      <c r="I11" s="55">
        <v>310</v>
      </c>
      <c r="J11" s="55">
        <f t="shared" ref="J11:J17" si="0">H11*I11</f>
        <v>1240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186</v>
      </c>
      <c r="D12" s="27" t="s">
        <v>166</v>
      </c>
      <c r="E12" s="27" t="s">
        <v>191</v>
      </c>
      <c r="F12" s="55">
        <v>1</v>
      </c>
      <c r="G12" s="55">
        <v>1</v>
      </c>
      <c r="H12" s="55">
        <v>1</v>
      </c>
      <c r="I12" s="55">
        <v>300</v>
      </c>
      <c r="J12" s="55">
        <f t="shared" si="0"/>
        <v>300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187</v>
      </c>
      <c r="D13" s="27" t="s">
        <v>192</v>
      </c>
      <c r="E13" s="27" t="s">
        <v>193</v>
      </c>
      <c r="F13" s="55">
        <v>1</v>
      </c>
      <c r="G13" s="55">
        <v>1</v>
      </c>
      <c r="H13" s="55">
        <v>1</v>
      </c>
      <c r="I13" s="55">
        <v>1300</v>
      </c>
      <c r="J13" s="55">
        <f t="shared" si="0"/>
        <v>1300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188</v>
      </c>
      <c r="D14" s="27" t="s">
        <v>194</v>
      </c>
      <c r="E14" s="27" t="s">
        <v>195</v>
      </c>
      <c r="F14" s="55">
        <v>1</v>
      </c>
      <c r="G14" s="55">
        <v>1</v>
      </c>
      <c r="H14" s="55">
        <v>2</v>
      </c>
      <c r="I14" s="55">
        <v>70</v>
      </c>
      <c r="J14" s="55">
        <f t="shared" si="0"/>
        <v>140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196</v>
      </c>
      <c r="D15" s="27" t="s">
        <v>197</v>
      </c>
      <c r="E15" s="27" t="s">
        <v>198</v>
      </c>
      <c r="F15" s="55">
        <v>1</v>
      </c>
      <c r="G15" s="55">
        <v>1</v>
      </c>
      <c r="H15" s="55">
        <v>3</v>
      </c>
      <c r="I15" s="55">
        <v>40</v>
      </c>
      <c r="J15" s="55">
        <f t="shared" si="0"/>
        <v>120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199</v>
      </c>
      <c r="D16" s="27" t="s">
        <v>194</v>
      </c>
      <c r="E16" s="27" t="s">
        <v>200</v>
      </c>
      <c r="F16" s="55">
        <v>1</v>
      </c>
      <c r="G16" s="55">
        <v>1</v>
      </c>
      <c r="H16" s="55">
        <v>4</v>
      </c>
      <c r="I16" s="55">
        <v>72</v>
      </c>
      <c r="J16" s="55">
        <f t="shared" si="0"/>
        <v>288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25" sqref="F2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167</v>
      </c>
      <c r="D16" s="70" t="s">
        <v>168</v>
      </c>
      <c r="E16" s="55">
        <v>1</v>
      </c>
      <c r="F16" s="55">
        <v>150</v>
      </c>
      <c r="G16" s="55">
        <f t="shared" ref="G16:G21" si="0"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201</v>
      </c>
      <c r="D17" s="70" t="s">
        <v>168</v>
      </c>
      <c r="E17" s="55">
        <v>2</v>
      </c>
      <c r="F17" s="55">
        <v>150</v>
      </c>
      <c r="G17" s="55">
        <f t="shared" si="0"/>
        <v>300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202</v>
      </c>
      <c r="D18" s="70" t="s">
        <v>168</v>
      </c>
      <c r="E18" s="55">
        <v>5</v>
      </c>
      <c r="F18" s="55">
        <v>20</v>
      </c>
      <c r="G18" s="55">
        <f t="shared" si="0"/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203</v>
      </c>
      <c r="D19" s="70" t="s">
        <v>168</v>
      </c>
      <c r="E19" s="55">
        <v>1</v>
      </c>
      <c r="F19" s="55">
        <v>350</v>
      </c>
      <c r="G19" s="55">
        <f t="shared" si="0"/>
        <v>350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204</v>
      </c>
      <c r="D20" s="70" t="s">
        <v>168</v>
      </c>
      <c r="E20" s="55">
        <v>1</v>
      </c>
      <c r="F20" s="55">
        <v>40</v>
      </c>
      <c r="G20" s="55">
        <f t="shared" si="0"/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3" workbookViewId="0">
      <selection activeCell="O13" sqref="O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85</v>
      </c>
      <c r="E13" s="55"/>
      <c r="F13" s="55"/>
      <c r="G13" s="55">
        <v>200</v>
      </c>
      <c r="H13" s="55">
        <v>150</v>
      </c>
      <c r="I13" s="55"/>
      <c r="J13" s="55"/>
      <c r="K13" s="55"/>
      <c r="L13" s="55"/>
      <c r="M13" s="55"/>
      <c r="N13" s="55"/>
      <c r="P13" s="88">
        <f>SUM(D13:N13)</f>
        <v>435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85</v>
      </c>
      <c r="E30" s="88">
        <f t="shared" si="1"/>
        <v>0</v>
      </c>
      <c r="F30" s="88">
        <f t="shared" si="1"/>
        <v>0</v>
      </c>
      <c r="G30" s="88">
        <f t="shared" si="1"/>
        <v>200</v>
      </c>
      <c r="H30" s="88">
        <f t="shared" si="1"/>
        <v>150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435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2018-06-10T14:47:05Z</dcterms:modified>
</cp:coreProperties>
</file>