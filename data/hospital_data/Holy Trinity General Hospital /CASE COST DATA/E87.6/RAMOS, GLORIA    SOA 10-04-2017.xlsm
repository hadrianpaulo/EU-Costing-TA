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4" i="9" l="1"/>
  <c r="G23" i="9"/>
  <c r="G22" i="9"/>
  <c r="G21" i="9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<sst xmlns="http://schemas.openxmlformats.org/spreadsheetml/2006/main" count="511" uniqueCount="214">
  <si>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</si>
  <si>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</si>
  <si>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</si>
  <si>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</si>
  <si>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</si>
  <si>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</si>
  <si>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</si>
  <si>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</si>
  <si>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</si>
  <si>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</si>
  <si>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</si>
  <si>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</si>
  <si>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</si>
  <si>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</si>
  <si>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</si>
  <si>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</si>
  <si>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</si>
  <si>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</si>
  <si>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</si>
  <si>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</si>
  <si>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</si>
  <si>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</si>
  <si>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</si>
  <si>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</si>
  <si>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</si>
  <si>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</si>
  <si>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</si>
  <si>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</si>
  <si>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</si>
  <si>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</si>
  <si>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</si>
  <si>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</si>
  <si>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</si>
  <si>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</si>
  <si>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</si>
  <si>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</si>
  <si>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</si>
  <si>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</si>
  <si>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</si>
  <si>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</si>
  <si>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</si>
  <si>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</si>
  <si>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</si>
  <si>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</si>
  <si>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</si>
  <si>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</si>
  <si>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</si>
  <si>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</si>
  <si>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</si>
  <si>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</si>
  <si>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</si>
  <si>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</si>
  <si>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</si>
  <si>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</si>
  <si>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</si>
  <si>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</si>
  <si>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</si>
  <si>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</si>
  <si>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</si>
  <si>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</si>
  <si>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</si>
  <si>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</si>
  <si>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</si>
  <si>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</si>
  <si>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</si>
  <si>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</si>
  <si>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</si>
  <si>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</si>
  <si>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</si>
  <si>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</si>
  <si>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</si>
  <si>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</si>
  <si>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</si>
  <si>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</si>
  <si>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</si>
  <si>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</si>
  <si>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</si>
  <si>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</si>
  <si>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</si>
  <si>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</si>
  <si>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</si>
  <si>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</si>
  <si>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</si>
  <si>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</si>
  <si>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</si>
  <si>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</si>
  <si>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</si>
  <si>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</si>
  <si>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</si>
  <si>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</si>
  <si>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</si>
  <si>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</si>
  <si>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</si>
  <si>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</si>
  <si>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</si>
  <si>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</si>
  <si>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</si>
  <si>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</si>
  <si>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</si>
  <si>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</si>
  <si>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</si>
  <si>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</si>
  <si>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</si>
  <si>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</si>
  <si>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</si>
  <si>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</si>
  <si>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</si>
  <si>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</si>
  <si>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</si>
  <si>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</si>
  <si>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</si>
  <si>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</si>
  <si>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</si>
  <si>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</si>
  <si>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</si>
  <si>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</si>
  <si>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</si>
  <si>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</si>
  <si>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</si>
  <si>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</si>
  <si>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</si>
  <si>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</si>
  <si>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</si>
  <si>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</si>
  <si>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</si>
  <si>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</si>
  <si>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</si>
  <si>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</si>
  <si>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</si>
  <si>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</si>
  <si>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</si>
  <si>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</si>
  <si>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</si>
  <si>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</si>
  <si>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</si>
  <si>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</si>
  <si>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</si>
  <si>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</si>
  <si>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</si>
  <si>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</si>
  <si>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</si>
  <si>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</si>
  <si>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</si>
  <si>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</si>
  <si>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</si>
  <si>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</si>
  <si>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</si>
  <si>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</si>
  <si>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</si>
  <si>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</si>
  <si>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</si>
  <si>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</si>
  <si>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</si>
  <si>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</si>
  <si>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</si>
  <si>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</si>
  <si>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</si>
  <si>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</si>
  <si>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</si>
  <si>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</si>
  <si>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</si>
  <si>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</si>
  <si>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</si>
  <si>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</si>
  <si>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</si>
  <si>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</si>
  <si>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</si>
  <si>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</si>
  <si>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</si>
  <si>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</si>
  <si>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DISCOUNT</t>
  </si>
  <si>
    <t>PF CASE RATE</t>
  </si>
  <si>
    <t>E87.6</t>
  </si>
  <si>
    <t>BLOOD UREA NITROGEN</t>
  </si>
  <si>
    <t>IONIZED CALCIUM</t>
  </si>
  <si>
    <t>SGPT</t>
  </si>
  <si>
    <t>CBC W/ PALTELET COUNT</t>
  </si>
  <si>
    <t>CREATININE</t>
  </si>
  <si>
    <t>ELECTROLYTES (NA,K)</t>
  </si>
  <si>
    <t>TYPHI DOT</t>
  </si>
  <si>
    <t>POTASSIUM</t>
  </si>
  <si>
    <t>URINALYSIS</t>
  </si>
  <si>
    <t>KETONES</t>
  </si>
  <si>
    <t xml:space="preserve">HBT W/ PANC.UTZ </t>
  </si>
  <si>
    <t>ECG</t>
  </si>
  <si>
    <t>PNSS</t>
  </si>
  <si>
    <t>IV FLUID</t>
  </si>
  <si>
    <t>1L</t>
  </si>
  <si>
    <t>POTASSIUM CHLORIDE</t>
  </si>
  <si>
    <t>40MEQ</t>
  </si>
  <si>
    <t>AMIKACIN SULFATE</t>
  </si>
  <si>
    <t>500MG/2ML</t>
  </si>
  <si>
    <t>K- LYTE</t>
  </si>
  <si>
    <t>TABLET</t>
  </si>
  <si>
    <t>600MG</t>
  </si>
  <si>
    <t>CEFTRIAXONE</t>
  </si>
  <si>
    <t>1G</t>
  </si>
  <si>
    <t>METOCLOPRAMIDE</t>
  </si>
  <si>
    <t>AMPOULE</t>
  </si>
  <si>
    <t>10MG</t>
  </si>
  <si>
    <t>PARACETAMOL</t>
  </si>
  <si>
    <t>300MG</t>
  </si>
  <si>
    <t xml:space="preserve">OMEPRAZOLE </t>
  </si>
  <si>
    <t>40MG/ML</t>
  </si>
  <si>
    <t>CAPSULE</t>
  </si>
  <si>
    <t>40MG</t>
  </si>
  <si>
    <t>INSYTE G22</t>
  </si>
  <si>
    <t>SOLUSET</t>
  </si>
  <si>
    <t>10CC SYRINGE</t>
  </si>
  <si>
    <t>3CC SYRINGE</t>
  </si>
  <si>
    <t>1CC SYRINGE</t>
  </si>
  <si>
    <t>5CC SYRINGE</t>
  </si>
  <si>
    <t>FLEX PEN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</si>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</sst>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zoomScaleNormal="100" workbookViewId="0">
      <selection activeCell="E58" sqref="E5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180</v>
      </c>
      <c r="D41" s="23"/>
      <c r="E41" s="55">
        <v>4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183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45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46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54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184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56</v>
      </c>
      <c r="C65" s="17" t="s">
        <v>52</v>
      </c>
      <c r="D65" s="17" t="s">
        <v>57</v>
      </c>
      <c r="E65" s="18" t="s">
        <v>58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169</v>
      </c>
      <c r="D66" s="55">
        <v>5950</v>
      </c>
      <c r="E66" s="55"/>
      <c r="F66" s="55">
        <v>33758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170</v>
      </c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171</v>
      </c>
      <c r="D68" s="55">
        <v>2550</v>
      </c>
      <c r="E68" s="55"/>
      <c r="F68" s="55">
        <v>3250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8500</v>
      </c>
      <c r="E77" s="59">
        <f>SUM(E66:E76)</f>
        <v>0</v>
      </c>
      <c r="F77" s="59">
        <f>SUM(F66:F76)</f>
        <v>37008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186</v>
      </c>
      <c r="E11" s="27" t="s">
        <v>187</v>
      </c>
      <c r="F11" s="55">
        <v>4</v>
      </c>
      <c r="G11" s="55">
        <v>1</v>
      </c>
      <c r="H11" s="55">
        <v>9</v>
      </c>
      <c r="I11" s="55">
        <v>310</v>
      </c>
      <c r="J11" s="55">
        <f t="shared" ref="J11:J19" si="0">H11*I11</f>
        <v>2790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166</v>
      </c>
      <c r="E12" s="27" t="s">
        <v>189</v>
      </c>
      <c r="F12" s="55">
        <v>4</v>
      </c>
      <c r="G12" s="55">
        <v>1</v>
      </c>
      <c r="H12" s="55">
        <v>5</v>
      </c>
      <c r="I12" s="55">
        <v>300</v>
      </c>
      <c r="J12" s="55">
        <f t="shared" si="0"/>
        <v>1500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166</v>
      </c>
      <c r="E13" s="27" t="s">
        <v>191</v>
      </c>
      <c r="F13" s="55">
        <v>4</v>
      </c>
      <c r="G13" s="55">
        <v>1</v>
      </c>
      <c r="H13" s="55">
        <v>8</v>
      </c>
      <c r="I13" s="55">
        <v>500</v>
      </c>
      <c r="J13" s="55">
        <f t="shared" si="0"/>
        <v>4000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193</v>
      </c>
      <c r="E14" s="27" t="s">
        <v>194</v>
      </c>
      <c r="F14" s="55">
        <v>3</v>
      </c>
      <c r="G14" s="55">
        <v>1</v>
      </c>
      <c r="H14" s="55">
        <v>27</v>
      </c>
      <c r="I14" s="55">
        <v>70</v>
      </c>
      <c r="J14" s="55">
        <f t="shared" si="0"/>
        <v>1890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166</v>
      </c>
      <c r="E15" s="27" t="s">
        <v>196</v>
      </c>
      <c r="F15" s="55">
        <v>4</v>
      </c>
      <c r="G15" s="55">
        <v>1</v>
      </c>
      <c r="H15" s="55">
        <v>10</v>
      </c>
      <c r="I15" s="55">
        <v>1000</v>
      </c>
      <c r="J15" s="55">
        <f t="shared" si="0"/>
        <v>10000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198</v>
      </c>
      <c r="E16" s="27" t="s">
        <v>199</v>
      </c>
      <c r="F16" s="55">
        <v>2</v>
      </c>
      <c r="G16" s="55">
        <v>1</v>
      </c>
      <c r="H16" s="55">
        <v>2</v>
      </c>
      <c r="I16" s="55">
        <v>300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200</v>
      </c>
      <c r="D17" s="27" t="s">
        <v>198</v>
      </c>
      <c r="E17" s="27" t="s">
        <v>201</v>
      </c>
      <c r="F17" s="55">
        <v>1</v>
      </c>
      <c r="G17" s="55">
        <v>1</v>
      </c>
      <c r="H17" s="55">
        <v>1</v>
      </c>
      <c r="I17" s="55">
        <v>200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202</v>
      </c>
      <c r="D18" s="27" t="s">
        <v>166</v>
      </c>
      <c r="E18" s="27" t="s">
        <v>203</v>
      </c>
      <c r="F18" s="55">
        <v>2</v>
      </c>
      <c r="G18" s="55">
        <v>1</v>
      </c>
      <c r="H18" s="55">
        <v>4</v>
      </c>
      <c r="I18" s="55">
        <v>1200</v>
      </c>
      <c r="J18" s="55">
        <f t="shared" si="0"/>
        <v>4800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202</v>
      </c>
      <c r="D19" s="27" t="s">
        <v>204</v>
      </c>
      <c r="E19" s="27" t="s">
        <v>205</v>
      </c>
      <c r="F19" s="55">
        <v>1</v>
      </c>
      <c r="G19" s="55">
        <v>1</v>
      </c>
      <c r="H19" s="55">
        <v>1</v>
      </c>
      <c r="I19" s="55">
        <v>50</v>
      </c>
      <c r="J19" s="55">
        <f t="shared" si="0"/>
        <v>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4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206</v>
      </c>
      <c r="D17" s="70" t="s">
        <v>168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168</v>
      </c>
      <c r="E18" s="55">
        <v>2</v>
      </c>
      <c r="F18" s="55">
        <v>350</v>
      </c>
      <c r="G18" s="55">
        <f t="shared" si="0"/>
        <v>700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208</v>
      </c>
      <c r="D19" s="70" t="s">
        <v>168</v>
      </c>
      <c r="E19" s="55">
        <v>6</v>
      </c>
      <c r="F19" s="55">
        <v>40</v>
      </c>
      <c r="G19" s="55">
        <f t="shared" si="0"/>
        <v>240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209</v>
      </c>
      <c r="D20" s="70" t="s">
        <v>168</v>
      </c>
      <c r="E20" s="55">
        <v>10</v>
      </c>
      <c r="F20" s="55">
        <v>20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210</v>
      </c>
      <c r="D21" s="70" t="s">
        <v>168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211</v>
      </c>
      <c r="D22" s="70" t="s">
        <v>168</v>
      </c>
      <c r="E22" s="55">
        <v>12</v>
      </c>
      <c r="F22" s="55">
        <v>20</v>
      </c>
      <c r="G22" s="55">
        <f t="shared" si="0"/>
        <v>240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212</v>
      </c>
      <c r="D23" s="70" t="s">
        <v>168</v>
      </c>
      <c r="E23" s="55">
        <v>1</v>
      </c>
      <c r="F23" s="55">
        <v>20</v>
      </c>
      <c r="G23" s="55">
        <f t="shared" si="0"/>
        <v>20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213</v>
      </c>
      <c r="D24" s="70" t="s">
        <v>168</v>
      </c>
      <c r="E24" s="55">
        <v>1</v>
      </c>
      <c r="F24" s="55">
        <v>20</v>
      </c>
      <c r="G24" s="55">
        <f t="shared" si="0"/>
        <v>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>
        <v>300</v>
      </c>
      <c r="G13" s="55">
        <v>200</v>
      </c>
      <c r="H13" s="55"/>
      <c r="I13" s="55"/>
      <c r="J13" s="55"/>
      <c r="K13" s="55"/>
      <c r="L13" s="55"/>
      <c r="M13" s="55"/>
      <c r="N13" s="55"/>
      <c r="P13" s="88">
        <f>SUM(D13:N13)</f>
        <v>580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300</v>
      </c>
      <c r="G30" s="88">
        <f t="shared" si="1"/>
        <v>200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2018-06-10T14:48:17Z</dcterms:modified>
</cp:coreProperties>
</file>