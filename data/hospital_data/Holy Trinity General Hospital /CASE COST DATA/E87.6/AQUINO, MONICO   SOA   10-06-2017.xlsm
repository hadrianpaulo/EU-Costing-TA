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1" i="9" l="1"/>
  <c r="J19" i="2"/>
  <c r="J18" i="2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<sst xmlns="http://schemas.openxmlformats.org/spreadsheetml/2006/main" count="501" uniqueCount="208">
  <si>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</si>
  <si>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</si>
  <si>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</si>
  <si>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</si>
  <si>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</si>
  <si>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</si>
  <si>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</si>
  <si>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</si>
  <si>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</si>
  <si>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</si>
  <si>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</si>
  <si>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</si>
  <si>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</si>
  <si>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</si>
  <si>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</si>
  <si>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</si>
  <si>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</si>
  <si>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</si>
  <si>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</si>
  <si>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</si>
  <si>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</si>
  <si>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</si>
  <si>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</si>
  <si>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</si>
  <si>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</si>
  <si>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</si>
  <si>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</si>
  <si>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</si>
  <si>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</si>
  <si>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</si>
  <si>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</si>
  <si>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</si>
  <si>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</si>
  <si>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</si>
  <si>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</si>
  <si>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</si>
  <si>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</si>
  <si>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</si>
  <si>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</si>
  <si>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</si>
  <si>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</si>
  <si>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</si>
  <si>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</si>
  <si>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</si>
  <si>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</si>
  <si>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</si>
  <si>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</si>
  <si>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</si>
  <si>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</si>
  <si>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</si>
  <si>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</si>
  <si>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</si>
  <si>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</si>
  <si>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</si>
  <si>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</si>
  <si>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</si>
  <si>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</si>
  <si>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</si>
  <si>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</si>
  <si>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</si>
  <si>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</si>
  <si>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</si>
  <si>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</si>
  <si>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</si>
  <si>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</si>
  <si>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</si>
  <si>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</si>
  <si>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</si>
  <si>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</si>
  <si>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</si>
  <si>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</si>
  <si>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</si>
  <si>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</si>
  <si>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</si>
  <si>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</si>
  <si>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</si>
  <si>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</si>
  <si>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</si>
  <si>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</si>
  <si>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</si>
  <si>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</si>
  <si>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</si>
  <si>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</si>
  <si>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</si>
  <si>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</si>
  <si>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</si>
  <si>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</si>
  <si>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</si>
  <si>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</si>
  <si>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</si>
  <si>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</si>
  <si>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</si>
  <si>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</si>
  <si>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</si>
  <si>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</si>
  <si>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</si>
  <si>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</si>
  <si>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</si>
  <si>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</si>
  <si>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</si>
  <si>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</si>
  <si>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</si>
  <si>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</si>
  <si>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</si>
  <si>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</si>
  <si>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</si>
  <si>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</si>
  <si>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</si>
  <si>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</si>
  <si>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</si>
  <si>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</si>
  <si>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</si>
  <si>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</si>
  <si>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</si>
  <si>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</si>
  <si>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</si>
  <si>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</si>
  <si>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</si>
  <si>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</si>
  <si>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</si>
  <si>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</si>
  <si>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</si>
  <si>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</si>
  <si>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</si>
  <si>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</si>
  <si>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</si>
  <si>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</si>
  <si>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</si>
  <si>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</si>
  <si>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</si>
  <si>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</si>
  <si>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</si>
  <si>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</si>
  <si>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</si>
  <si>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</si>
  <si>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</si>
  <si>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</si>
  <si>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</si>
  <si>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</si>
  <si>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</si>
  <si>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</si>
  <si>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</si>
  <si>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</si>
  <si>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</si>
  <si>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</si>
  <si>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</si>
  <si>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</si>
  <si>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</si>
  <si>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</si>
  <si>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</si>
  <si>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</si>
  <si>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</si>
  <si>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</si>
  <si>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</si>
  <si>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</si>
  <si>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</si>
  <si>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</si>
  <si>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</si>
  <si>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</si>
  <si>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</si>
  <si>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</si>
  <si>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</si>
  <si>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</si>
  <si>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</si>
  <si>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</si>
  <si>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CEFUROXIME</t>
  </si>
  <si>
    <t>VIAL</t>
  </si>
  <si>
    <t>MACROSET</t>
  </si>
  <si>
    <t>PER PIECE</t>
  </si>
  <si>
    <t>CASE RATE (room,labs,meds, etc.)</t>
  </si>
  <si>
    <t>DISCOUNT</t>
  </si>
  <si>
    <t>PF CASE RATE</t>
  </si>
  <si>
    <t>E87.6</t>
  </si>
  <si>
    <t>CBC W/ PLATELET COUNT</t>
  </si>
  <si>
    <t>CREATININE</t>
  </si>
  <si>
    <t>HBAIC</t>
  </si>
  <si>
    <t>POTASSIUM</t>
  </si>
  <si>
    <t>CHOLESTEROL</t>
  </si>
  <si>
    <t>TRIGLYCERIDES</t>
  </si>
  <si>
    <t>CXR PA</t>
  </si>
  <si>
    <t>PNSS</t>
  </si>
  <si>
    <t>POTASSIUM CHLORIDE</t>
  </si>
  <si>
    <t>SODIUM CHLORIDE</t>
  </si>
  <si>
    <t>IV FLUID</t>
  </si>
  <si>
    <t>1L</t>
  </si>
  <si>
    <t>40MEQ</t>
  </si>
  <si>
    <t>TABLET</t>
  </si>
  <si>
    <t>1G</t>
  </si>
  <si>
    <t>HUMULIN HR</t>
  </si>
  <si>
    <t>INSULIN</t>
  </si>
  <si>
    <t>100UNITS</t>
  </si>
  <si>
    <t>K-LYTE</t>
  </si>
  <si>
    <t>600MG</t>
  </si>
  <si>
    <t>500MG</t>
  </si>
  <si>
    <t xml:space="preserve">GLICLAZIDE </t>
  </si>
  <si>
    <t>60MG</t>
  </si>
  <si>
    <t>TETANUS TOXOID</t>
  </si>
  <si>
    <t>40IU/0.5ML</t>
  </si>
  <si>
    <t>AMPOULE</t>
  </si>
  <si>
    <t>ASCORZEE</t>
  </si>
  <si>
    <t>CAPSOULE</t>
  </si>
  <si>
    <t>112.5MG/9MG</t>
  </si>
  <si>
    <t>INSYTE G22</t>
  </si>
  <si>
    <t>SOLUSET</t>
  </si>
  <si>
    <t>FREE NEEDLE G23</t>
  </si>
  <si>
    <t>5CC SYRINGE</t>
  </si>
  <si>
    <t>3CC SYRINGE</t>
  </si>
  <si>
    <t>ECG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</si>
</sst>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zoomScaleNormal="100" workbookViewId="0">
      <selection activeCell="D3" sqref="D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176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177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178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19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179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45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46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54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 t="s">
        <v>207</v>
      </c>
      <c r="D53" s="28"/>
      <c r="E53" s="55">
        <v>1</v>
      </c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56</v>
      </c>
      <c r="C61" s="17" t="s">
        <v>52</v>
      </c>
      <c r="D61" s="17" t="s">
        <v>57</v>
      </c>
      <c r="E61" s="18" t="s">
        <v>58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169</v>
      </c>
      <c r="D62" s="55">
        <v>5950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170</v>
      </c>
      <c r="D63" s="55"/>
      <c r="E63" s="55">
        <v>623</v>
      </c>
      <c r="F63" s="55">
        <v>2595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171</v>
      </c>
      <c r="D64" s="55">
        <v>2550</v>
      </c>
      <c r="E64" s="55"/>
      <c r="F64" s="55">
        <v>1650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8500</v>
      </c>
      <c r="E73" s="59">
        <f>SUM(E62:E72)</f>
        <v>623</v>
      </c>
      <c r="F73" s="59">
        <f>SUM(F62:F72)</f>
        <v>4245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1" workbookViewId="0">
      <selection activeCell="I20" sqref="I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E87.6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183</v>
      </c>
      <c r="E11" s="27" t="s">
        <v>184</v>
      </c>
      <c r="F11" s="55">
        <v>1</v>
      </c>
      <c r="G11" s="55">
        <v>1</v>
      </c>
      <c r="H11" s="55">
        <v>2</v>
      </c>
      <c r="I11" s="55">
        <v>310</v>
      </c>
      <c r="J11" s="55">
        <f t="shared" ref="J11:J19" si="0">H11*I11</f>
        <v>620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181</v>
      </c>
      <c r="D12" s="27" t="s">
        <v>166</v>
      </c>
      <c r="E12" s="27" t="s">
        <v>185</v>
      </c>
      <c r="F12" s="55">
        <v>2</v>
      </c>
      <c r="G12" s="55">
        <v>1</v>
      </c>
      <c r="H12" s="55">
        <v>2</v>
      </c>
      <c r="I12" s="55">
        <v>300</v>
      </c>
      <c r="J12" s="55">
        <f t="shared" si="0"/>
        <v>600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186</v>
      </c>
      <c r="E13" s="27" t="s">
        <v>187</v>
      </c>
      <c r="F13" s="55">
        <v>2</v>
      </c>
      <c r="G13" s="55">
        <v>1</v>
      </c>
      <c r="H13" s="55">
        <v>4</v>
      </c>
      <c r="I13" s="55">
        <v>15</v>
      </c>
      <c r="J13" s="55">
        <f t="shared" si="0"/>
        <v>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188</v>
      </c>
      <c r="D14" s="27" t="s">
        <v>189</v>
      </c>
      <c r="E14" s="27" t="s">
        <v>190</v>
      </c>
      <c r="F14" s="55">
        <v>1</v>
      </c>
      <c r="G14" s="55">
        <v>1</v>
      </c>
      <c r="H14" s="55">
        <v>15</v>
      </c>
      <c r="I14" s="55">
        <v>24</v>
      </c>
      <c r="J14" s="55">
        <f t="shared" si="0"/>
        <v>360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191</v>
      </c>
      <c r="D15" s="27" t="s">
        <v>186</v>
      </c>
      <c r="E15" s="27" t="s">
        <v>192</v>
      </c>
      <c r="F15" s="55">
        <v>2</v>
      </c>
      <c r="G15" s="55">
        <v>1</v>
      </c>
      <c r="H15" s="55">
        <v>12</v>
      </c>
      <c r="I15" s="55">
        <v>70</v>
      </c>
      <c r="J15" s="55">
        <f t="shared" si="0"/>
        <v>840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165</v>
      </c>
      <c r="D16" s="27" t="s">
        <v>186</v>
      </c>
      <c r="E16" s="27" t="s">
        <v>193</v>
      </c>
      <c r="F16" s="55">
        <v>1</v>
      </c>
      <c r="G16" s="55">
        <v>1</v>
      </c>
      <c r="H16" s="55">
        <v>1</v>
      </c>
      <c r="I16" s="55">
        <v>70</v>
      </c>
      <c r="J16" s="55">
        <f t="shared" si="0"/>
        <v>70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194</v>
      </c>
      <c r="D17" s="27" t="s">
        <v>186</v>
      </c>
      <c r="E17" s="27" t="s">
        <v>195</v>
      </c>
      <c r="F17" s="55">
        <v>1</v>
      </c>
      <c r="G17" s="55">
        <v>1</v>
      </c>
      <c r="H17" s="55">
        <v>2</v>
      </c>
      <c r="I17" s="55">
        <v>54</v>
      </c>
      <c r="J17" s="55">
        <f t="shared" si="0"/>
        <v>108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196</v>
      </c>
      <c r="D18" s="27" t="s">
        <v>198</v>
      </c>
      <c r="E18" s="27" t="s">
        <v>197</v>
      </c>
      <c r="F18" s="55">
        <v>1</v>
      </c>
      <c r="G18" s="55">
        <v>1</v>
      </c>
      <c r="H18" s="55">
        <v>1</v>
      </c>
      <c r="I18" s="55">
        <v>250</v>
      </c>
      <c r="J18" s="55">
        <f t="shared" si="0"/>
        <v>250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199</v>
      </c>
      <c r="D19" s="27" t="s">
        <v>200</v>
      </c>
      <c r="E19" s="27" t="s">
        <v>201</v>
      </c>
      <c r="F19" s="55">
        <v>1</v>
      </c>
      <c r="G19" s="55">
        <v>1</v>
      </c>
      <c r="H19" s="55">
        <v>2</v>
      </c>
      <c r="I19" s="55">
        <v>30</v>
      </c>
      <c r="J19" s="55">
        <f t="shared" si="0"/>
        <v>60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22" workbookViewId="0">
      <selection activeCell="F22" sqref="F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E87.6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168</v>
      </c>
      <c r="E16" s="55">
        <v>1</v>
      </c>
      <c r="F16" s="55">
        <v>150</v>
      </c>
      <c r="G16" s="55">
        <f t="shared" ref="G16:G21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202</v>
      </c>
      <c r="D17" s="70" t="s">
        <v>168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203</v>
      </c>
      <c r="D18" s="70" t="s">
        <v>168</v>
      </c>
      <c r="E18" s="55">
        <v>1</v>
      </c>
      <c r="F18" s="55">
        <v>350</v>
      </c>
      <c r="G18" s="55">
        <f t="shared" si="0"/>
        <v>350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204</v>
      </c>
      <c r="D19" s="70" t="s">
        <v>168</v>
      </c>
      <c r="E19" s="55">
        <v>1</v>
      </c>
      <c r="F19" s="55">
        <v>20</v>
      </c>
      <c r="G19" s="55">
        <f t="shared" si="0"/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205</v>
      </c>
      <c r="D20" s="70" t="s">
        <v>168</v>
      </c>
      <c r="E20" s="55">
        <v>4</v>
      </c>
      <c r="F20" s="55">
        <v>20</v>
      </c>
      <c r="G20" s="55">
        <f t="shared" si="0"/>
        <v>80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206</v>
      </c>
      <c r="D21" s="70" t="s">
        <v>168</v>
      </c>
      <c r="E21" s="55">
        <v>1</v>
      </c>
      <c r="F21" s="55">
        <v>20</v>
      </c>
      <c r="G21" s="55">
        <f t="shared" si="0"/>
        <v>20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N13" sqref="N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E87.6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/>
      <c r="G13" s="55">
        <v>105</v>
      </c>
      <c r="H13" s="55">
        <v>80</v>
      </c>
      <c r="I13" s="55"/>
      <c r="J13" s="55"/>
      <c r="K13" s="55"/>
      <c r="L13" s="55"/>
      <c r="M13" s="55"/>
      <c r="N13" s="55"/>
      <c r="P13" s="88">
        <f>SUM(D13:N13)</f>
        <v>215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0</v>
      </c>
      <c r="G30" s="88">
        <f t="shared" si="1"/>
        <v>105</v>
      </c>
      <c r="H30" s="88">
        <f t="shared" si="1"/>
        <v>80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2018-06-10T14:52:06Z</dcterms:modified>
</cp:coreProperties>
</file>