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9" i="2" l="1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<sst xmlns="http://schemas.openxmlformats.org/spreadsheetml/2006/main" count="499" uniqueCount="204">
  <si>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</si>
  <si>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</si>
  <si>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</si>
  <si>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</si>
  <si>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</si>
  <si>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</si>
  <si>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</si>
  <si>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</si>
  <si>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</si>
  <si>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</si>
  <si>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</si>
  <si>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</si>
  <si>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</si>
  <si>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</si>
  <si>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</si>
  <si>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</si>
  <si>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</si>
  <si>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</si>
  <si>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</si>
  <si>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</si>
  <si>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</si>
  <si>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</si>
  <si>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</si>
  <si>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</si>
  <si>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</si>
  <si>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</si>
  <si>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</si>
  <si>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</si>
  <si>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</si>
  <si>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</si>
  <si>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</si>
  <si>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</si>
  <si>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</si>
  <si>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</si>
  <si>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</si>
  <si>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</si>
  <si>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</si>
  <si>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</si>
  <si>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</si>
  <si>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</si>
  <si>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</si>
  <si>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</si>
  <si>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</si>
  <si>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</si>
  <si>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</si>
  <si>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</si>
  <si>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</si>
  <si>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</si>
  <si>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</si>
  <si>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</si>
  <si>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</si>
  <si>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</si>
  <si>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</si>
  <si>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</si>
  <si>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</si>
  <si>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</si>
  <si>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</si>
  <si>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</si>
  <si>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</si>
  <si>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</si>
  <si>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</si>
  <si>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</si>
  <si>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</si>
  <si>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</si>
  <si>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</si>
  <si>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</si>
  <si>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</si>
  <si>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</si>
  <si>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</si>
  <si>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</si>
  <si>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</si>
  <si>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</si>
  <si>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</si>
  <si>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</si>
  <si>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</si>
  <si>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</si>
  <si>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</si>
  <si>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</si>
  <si>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</si>
  <si>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</si>
  <si>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</si>
  <si>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</si>
  <si>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</si>
  <si>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</si>
  <si>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</si>
  <si>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</si>
  <si>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</si>
  <si>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</si>
  <si>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</si>
  <si>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</si>
  <si>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</si>
  <si>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</si>
  <si>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</si>
  <si>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</si>
  <si>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</si>
  <si>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</si>
  <si>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</si>
  <si>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</si>
  <si>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</si>
  <si>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</si>
  <si>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</si>
  <si>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</si>
  <si>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</si>
  <si>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</si>
  <si>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</si>
  <si>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</si>
  <si>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</si>
  <si>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</si>
  <si>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</si>
  <si>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</si>
  <si>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</si>
  <si>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</si>
  <si>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</si>
  <si>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</si>
  <si>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</si>
  <si>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</si>
  <si>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</si>
  <si>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</si>
  <si>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</si>
  <si>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</si>
  <si>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</si>
  <si>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</si>
  <si>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</si>
  <si>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</si>
  <si>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</si>
  <si>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</si>
  <si>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</si>
  <si>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</si>
  <si>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</si>
  <si>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</si>
  <si>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</si>
  <si>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</si>
  <si>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</si>
  <si>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</si>
  <si>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</si>
  <si>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</si>
  <si>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</si>
  <si>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</si>
  <si>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</si>
  <si>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</si>
  <si>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</si>
  <si>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</si>
  <si>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</si>
  <si>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</si>
  <si>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</si>
  <si>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</si>
  <si>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</si>
  <si>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</si>
  <si>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</si>
  <si>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</si>
  <si>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</si>
  <si>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</si>
  <si>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</si>
  <si>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</si>
  <si>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</si>
  <si>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</si>
  <si>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</si>
  <si>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</si>
  <si>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</si>
  <si>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</si>
  <si>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</si>
  <si>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</si>
  <si>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</si>
  <si>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</si>
  <si>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</si>
  <si>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750MG</t>
  </si>
  <si>
    <t>MACROSET</t>
  </si>
  <si>
    <t>PER PIECE</t>
  </si>
  <si>
    <t>CASE RATE (room,labs,meds, etc.)</t>
  </si>
  <si>
    <t>DISCOUNT</t>
  </si>
  <si>
    <t>PF CASE RATE</t>
  </si>
  <si>
    <t>E11.6</t>
  </si>
  <si>
    <t>URINALYSIS</t>
  </si>
  <si>
    <t>CBC W/ PLATELET COUNT</t>
  </si>
  <si>
    <t>CREATININE</t>
  </si>
  <si>
    <t>POTASSIUM</t>
  </si>
  <si>
    <t>SGPT</t>
  </si>
  <si>
    <t>URIC ACID</t>
  </si>
  <si>
    <t>CHOLESTEROL</t>
  </si>
  <si>
    <t>TRIGLYCERIDES</t>
  </si>
  <si>
    <t>CXR PA</t>
  </si>
  <si>
    <t>ECG</t>
  </si>
  <si>
    <t>PNSS</t>
  </si>
  <si>
    <t>CLONIDINE</t>
  </si>
  <si>
    <t xml:space="preserve">LOSARTAN +HCTZ </t>
  </si>
  <si>
    <t>GLIMEPIRIDE</t>
  </si>
  <si>
    <t>ATORVASTATIN</t>
  </si>
  <si>
    <t>IV FLUID</t>
  </si>
  <si>
    <t>TABLET</t>
  </si>
  <si>
    <t>75MG</t>
  </si>
  <si>
    <t>50/12.5MG</t>
  </si>
  <si>
    <t>20MG</t>
  </si>
  <si>
    <t>2MG</t>
  </si>
  <si>
    <t>INSYTE G22</t>
  </si>
  <si>
    <t>HUMAN INSULIN</t>
  </si>
  <si>
    <t>VIAL</t>
  </si>
  <si>
    <t>100 UNITS</t>
  </si>
  <si>
    <t>KETOBEST</t>
  </si>
  <si>
    <t>600MG</t>
  </si>
  <si>
    <t>80MG</t>
  </si>
  <si>
    <t>OMEPRAZOLE</t>
  </si>
  <si>
    <t>40MG</t>
  </si>
  <si>
    <t xml:space="preserve">3CC SYRINGE 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</si>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</sst>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69" zoomScaleNormal="100" workbookViewId="0">
      <selection activeCell="F67" sqref="F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174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175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176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177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45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46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54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181</v>
      </c>
      <c r="D55" s="28"/>
      <c r="E55" s="55">
        <v>1</v>
      </c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56</v>
      </c>
      <c r="C63" s="17" t="s">
        <v>52</v>
      </c>
      <c r="D63" s="17" t="s">
        <v>57</v>
      </c>
      <c r="E63" s="18" t="s">
        <v>58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168</v>
      </c>
      <c r="D64" s="55">
        <v>8820</v>
      </c>
      <c r="E64" s="55"/>
      <c r="F64" s="55">
        <v>466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169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170</v>
      </c>
      <c r="D66" s="55">
        <v>3780</v>
      </c>
      <c r="E66" s="55"/>
      <c r="F66" s="55">
        <v>500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12600</v>
      </c>
      <c r="E75" s="59">
        <f>SUM(E64:E74)</f>
        <v>0</v>
      </c>
      <c r="F75" s="59">
        <f>SUM(F64:F74)</f>
        <v>966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7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187</v>
      </c>
      <c r="E11" s="27" t="s">
        <v>165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9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188</v>
      </c>
      <c r="E12" s="27" t="s">
        <v>189</v>
      </c>
      <c r="F12" s="55">
        <v>1</v>
      </c>
      <c r="G12" s="55">
        <v>1</v>
      </c>
      <c r="H12" s="55">
        <v>1</v>
      </c>
      <c r="I12" s="55">
        <v>30</v>
      </c>
      <c r="J12" s="55">
        <f t="shared" si="0"/>
        <v>30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188</v>
      </c>
      <c r="E13" s="27" t="s">
        <v>190</v>
      </c>
      <c r="F13" s="55">
        <v>2</v>
      </c>
      <c r="G13" s="55">
        <v>1</v>
      </c>
      <c r="H13" s="55">
        <v>2</v>
      </c>
      <c r="I13" s="55">
        <v>50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188</v>
      </c>
      <c r="E14" s="27" t="s">
        <v>192</v>
      </c>
      <c r="F14" s="55">
        <v>1</v>
      </c>
      <c r="G14" s="55">
        <v>1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188</v>
      </c>
      <c r="E15" s="27" t="s">
        <v>191</v>
      </c>
      <c r="F15" s="55">
        <v>1</v>
      </c>
      <c r="G15" s="55">
        <v>1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195</v>
      </c>
      <c r="E16" s="27" t="s">
        <v>196</v>
      </c>
      <c r="F16" s="55">
        <v>1</v>
      </c>
      <c r="G16" s="55">
        <v>1</v>
      </c>
      <c r="H16" s="55">
        <v>25</v>
      </c>
      <c r="I16" s="55">
        <v>50</v>
      </c>
      <c r="J16" s="55">
        <f t="shared" si="0"/>
        <v>1250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197</v>
      </c>
      <c r="D17" s="27" t="s">
        <v>188</v>
      </c>
      <c r="E17" s="27" t="s">
        <v>198</v>
      </c>
      <c r="F17" s="55">
        <v>3</v>
      </c>
      <c r="G17" s="55">
        <v>1</v>
      </c>
      <c r="H17" s="55">
        <v>3</v>
      </c>
      <c r="I17" s="55">
        <v>150</v>
      </c>
      <c r="J17" s="55">
        <f t="shared" si="0"/>
        <v>450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188</v>
      </c>
      <c r="E18" s="27" t="s">
        <v>199</v>
      </c>
      <c r="F18" s="55">
        <v>1</v>
      </c>
      <c r="G18" s="55">
        <v>1</v>
      </c>
      <c r="H18" s="55">
        <v>3</v>
      </c>
      <c r="I18" s="55">
        <v>150</v>
      </c>
      <c r="J18" s="55">
        <f t="shared" si="0"/>
        <v>450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195</v>
      </c>
      <c r="E19" s="27" t="s">
        <v>201</v>
      </c>
      <c r="F19" s="55">
        <v>1</v>
      </c>
      <c r="G19" s="55">
        <v>1</v>
      </c>
      <c r="H19" s="55">
        <v>1</v>
      </c>
      <c r="I19" s="55">
        <v>1500</v>
      </c>
      <c r="J19" s="55">
        <f t="shared" si="0"/>
        <v>1500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193</v>
      </c>
      <c r="D17" s="70" t="s">
        <v>167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202</v>
      </c>
      <c r="D18" s="70" t="s">
        <v>167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203</v>
      </c>
      <c r="D19" s="70" t="s">
        <v>167</v>
      </c>
      <c r="E19" s="55">
        <v>1</v>
      </c>
      <c r="F19" s="55">
        <v>50</v>
      </c>
      <c r="G19" s="55">
        <f>E19*F19</f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22" sqref="H2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30</v>
      </c>
      <c r="H13" s="55">
        <v>65</v>
      </c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65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2018-06-08T12:10:12Z</dcterms:modified>
</cp:coreProperties>
</file>