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data_general'!$B$1:$F$79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2" i="9" l="1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9" i="1"/>
  <c r="E79" i="1"/>
  <c r="D7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<sst xmlns="http://schemas.openxmlformats.org/spreadsheetml/2006/main" count="501" uniqueCount="205">
  <si>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</si>
  <si>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</si>
  <si>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</si>
  <si>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</si>
  <si>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</si>
  <si>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</si>
  <si>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</si>
  <si>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</si>
  <si>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</si>
  <si>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</si>
  <si>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</si>
  <si>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</si>
  <si>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</si>
  <si>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</si>
  <si>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</si>
  <si>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</si>
  <si>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</si>
  <si>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</si>
  <si>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</si>
  <si>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</si>
  <si>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</si>
  <si>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</si>
  <si>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</si>
  <si>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</si>
  <si>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</si>
  <si>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</si>
  <si>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</si>
  <si>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</si>
  <si>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</si>
  <si>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</si>
  <si>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</si>
  <si>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</si>
  <si>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</si>
  <si>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</si>
  <si>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</si>
  <si>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</si>
  <si>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</si>
  <si>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</si>
  <si>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</si>
  <si>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</si>
  <si>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</si>
  <si>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</si>
  <si>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</si>
  <si>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</si>
  <si>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</si>
  <si>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</si>
  <si>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</si>
  <si>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</si>
  <si>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</si>
  <si>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</si>
  <si>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</si>
  <si>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</si>
  <si>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</si>
  <si>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</si>
  <si>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</si>
  <si>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</si>
  <si>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</si>
  <si>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</si>
  <si>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</si>
  <si>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</si>
  <si>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</si>
  <si>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</si>
  <si>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</si>
  <si>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</si>
  <si>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</si>
  <si>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</si>
  <si>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</si>
  <si>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</si>
  <si>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</si>
  <si>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</si>
  <si>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</si>
  <si>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</si>
  <si>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</si>
  <si>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</si>
  <si>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</si>
  <si>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</si>
  <si>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</si>
  <si>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</si>
  <si>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</si>
  <si>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</si>
  <si>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</si>
  <si>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</si>
  <si>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</si>
  <si>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</si>
  <si>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</si>
  <si>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</si>
  <si>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</si>
  <si>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</si>
  <si>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</si>
  <si>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</si>
  <si>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</si>
  <si>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</si>
  <si>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</si>
  <si>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</si>
  <si>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</si>
  <si>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</si>
  <si>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</si>
  <si>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</si>
  <si>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</si>
  <si>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</si>
  <si>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</si>
  <si>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</si>
  <si>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</si>
  <si>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</si>
  <si>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</si>
  <si>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</si>
  <si>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</si>
  <si>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</si>
  <si>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</si>
  <si>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</si>
  <si>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</si>
  <si>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</si>
  <si>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</si>
  <si>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</si>
  <si>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</si>
  <si>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</si>
  <si>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</si>
  <si>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</si>
  <si>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</si>
  <si>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</si>
  <si>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</si>
  <si>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</si>
  <si>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</si>
  <si>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</si>
  <si>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</si>
  <si>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</si>
  <si>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</si>
  <si>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</si>
  <si>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</si>
  <si>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</si>
  <si>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</si>
  <si>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</si>
  <si>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</si>
  <si>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</si>
  <si>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</si>
  <si>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</si>
  <si>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</si>
  <si>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</si>
  <si>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</si>
  <si>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</si>
  <si>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</si>
  <si>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</si>
  <si>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</si>
  <si>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</si>
  <si>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</si>
  <si>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</si>
  <si>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</si>
  <si>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</si>
  <si>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</si>
  <si>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</si>
  <si>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</si>
  <si>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</si>
  <si>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</si>
  <si>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</si>
  <si>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</si>
  <si>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</si>
  <si>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</si>
  <si>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</si>
  <si>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</si>
  <si>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</si>
  <si>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</si>
  <si>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</si>
  <si>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</si>
  <si>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</si>
  <si>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</si>
  <si>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</si>
  <si>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</si>
  <si>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</si>
  <si>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DISCOUNT</t>
  </si>
  <si>
    <t>PF CASE RATE</t>
  </si>
  <si>
    <t>E11.6</t>
  </si>
  <si>
    <t>CBC W/ PLATELET COUNT</t>
  </si>
  <si>
    <t>SGPT</t>
  </si>
  <si>
    <t>CREATININE</t>
  </si>
  <si>
    <t>IONIZED CALCIUM</t>
  </si>
  <si>
    <t>POTASSIUM</t>
  </si>
  <si>
    <t>URINALYSIS</t>
  </si>
  <si>
    <t>BLOOD TYPING</t>
  </si>
  <si>
    <t>GLUCOSE (FASTING)</t>
  </si>
  <si>
    <t>URIC ACID</t>
  </si>
  <si>
    <t>CHOLESTEROL</t>
  </si>
  <si>
    <t>TRIGLYCERIDES</t>
  </si>
  <si>
    <t>CROSS MATCHING</t>
  </si>
  <si>
    <t>CXR PA</t>
  </si>
  <si>
    <t>ECG</t>
  </si>
  <si>
    <t>OXYGEN</t>
  </si>
  <si>
    <t>PNSS</t>
  </si>
  <si>
    <t xml:space="preserve">TRANEXAMIC ACID </t>
  </si>
  <si>
    <t>OMEPRAZOLE</t>
  </si>
  <si>
    <t>PARACETAMOL</t>
  </si>
  <si>
    <t>DIPHENHYDRAMINE</t>
  </si>
  <si>
    <t>IV FLUID</t>
  </si>
  <si>
    <t>AMPOULE</t>
  </si>
  <si>
    <t>CAPSULE</t>
  </si>
  <si>
    <t>1L</t>
  </si>
  <si>
    <t>500MG</t>
  </si>
  <si>
    <t>40MG</t>
  </si>
  <si>
    <t>300MG</t>
  </si>
  <si>
    <t>50MG</t>
  </si>
  <si>
    <t>INSYTE G22</t>
  </si>
  <si>
    <t>5CC SYRINGE</t>
  </si>
  <si>
    <t>BT SET</t>
  </si>
  <si>
    <t>3CC SYRINGE</t>
  </si>
  <si>
    <t>1CC SYRINGE</t>
  </si>
  <si>
    <t xml:space="preserve">O2 CANNULA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</si>
</sst>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67</xdr:row>
          <xdr:rowOff>19050</xdr:rowOff>
        </xdr:from>
        <xdr:to>
          <xdr:col>1</xdr:col>
          <xdr:colOff>733425</xdr:colOff>
          <xdr:row>67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67</xdr:row>
          <xdr:rowOff>19050</xdr:rowOff>
        </xdr:from>
        <xdr:to>
          <xdr:col>1</xdr:col>
          <xdr:colOff>1504950</xdr:colOff>
          <xdr:row>67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6"/>
  <sheetViews>
    <sheetView topLeftCell="A60" zoomScaleNormal="100" workbookViewId="0">
      <selection activeCell="F71" sqref="F7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174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175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177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178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179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180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 t="s">
        <v>181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 t="s">
        <v>182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19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 t="s">
        <v>183</v>
      </c>
      <c r="D47" s="23"/>
      <c r="E47" s="55">
        <v>1</v>
      </c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8" t="s">
        <v>45</v>
      </c>
      <c r="C51" s="119"/>
      <c r="D51" s="116"/>
      <c r="E51" s="119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4" t="s">
        <v>46</v>
      </c>
      <c r="C52" s="13"/>
      <c r="D52" s="13"/>
      <c r="E52" s="16"/>
      <c r="F52" s="13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54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1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2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thickBot="1" x14ac:dyDescent="0.35">
      <c r="A58" s="1"/>
      <c r="B58" s="115" t="s">
        <v>20</v>
      </c>
      <c r="C58" s="116"/>
      <c r="D58" s="116"/>
      <c r="E58" s="116"/>
      <c r="F58" s="117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1</v>
      </c>
      <c r="C59" s="27" t="s">
        <v>184</v>
      </c>
      <c r="D59" s="28"/>
      <c r="E59" s="55">
        <v>1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2</v>
      </c>
      <c r="C60" s="27" t="s">
        <v>185</v>
      </c>
      <c r="D60" s="28"/>
      <c r="E60" s="55">
        <v>1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3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4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5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6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5"/>
      <c r="C65" s="25"/>
      <c r="D65" s="25"/>
      <c r="E65" s="25"/>
      <c r="F65" s="2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57.75" customHeight="1" thickBot="1" x14ac:dyDescent="0.35">
      <c r="A67" s="1"/>
      <c r="B67" s="17" t="s">
        <v>56</v>
      </c>
      <c r="C67" s="17" t="s">
        <v>52</v>
      </c>
      <c r="D67" s="17" t="s">
        <v>57</v>
      </c>
      <c r="E67" s="18" t="s">
        <v>58</v>
      </c>
      <c r="F67" s="19" t="s">
        <v>21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2">
        <v>1</v>
      </c>
      <c r="C68" s="27" t="s">
        <v>167</v>
      </c>
      <c r="D68" s="55">
        <v>8820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2</v>
      </c>
      <c r="C69" s="27" t="s">
        <v>168</v>
      </c>
      <c r="D69" s="55"/>
      <c r="E69" s="55">
        <v>882</v>
      </c>
      <c r="F69" s="55">
        <v>3608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3</v>
      </c>
      <c r="C70" s="27" t="s">
        <v>169</v>
      </c>
      <c r="D70" s="55">
        <v>3780</v>
      </c>
      <c r="E70" s="55"/>
      <c r="F70" s="55">
        <v>1500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4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5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6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7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8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9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10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4.9000000000000004" customHeight="1" thickBot="1" x14ac:dyDescent="0.35">
      <c r="A78" s="1"/>
      <c r="B78" s="1"/>
      <c r="C78" s="1"/>
      <c r="D78" s="58"/>
      <c r="E78" s="58"/>
      <c r="F78" s="58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thickTop="1" x14ac:dyDescent="0.3">
      <c r="A79" s="1"/>
      <c r="B79" s="11"/>
      <c r="C79" s="4" t="s">
        <v>22</v>
      </c>
      <c r="D79" s="59">
        <f>SUM(D68:D78)</f>
        <v>12600</v>
      </c>
      <c r="E79" s="59">
        <f>SUM(E68:E78)</f>
        <v>882</v>
      </c>
      <c r="F79" s="59">
        <f>SUM(F68:F78)</f>
        <v>5108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</sheetData>
  <sheetProtection password="C2E9" sheet="1" objects="1" scenarios="1" formatColumns="0" formatRows="0" sort="0" autoFilter="0"/>
  <mergeCells count="12">
    <mergeCell ref="B58:F58"/>
    <mergeCell ref="B51:F51"/>
    <mergeCell ref="B12:F12"/>
    <mergeCell ref="B13:F13"/>
    <mergeCell ref="B14:F14"/>
    <mergeCell ref="B15:F15"/>
    <mergeCell ref="B18:F18"/>
    <mergeCell ref="B22:F22"/>
    <mergeCell ref="B33:F33"/>
    <mergeCell ref="B28:F28"/>
    <mergeCell ref="B46:F46"/>
    <mergeCell ref="B53:F53"/>
  </mergeCells>
  <dataValidations count="1">
    <dataValidation type="decimal" operator="greaterThanOrEqual" allowBlank="1" showInputMessage="1" showErrorMessage="1" sqref="E32 E47:E50 E52 E23:F27 E54:F57 E59:F64 D68:F77 E34:E36 E37:E4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67</xdr:row>
                    <xdr:rowOff>19050</xdr:rowOff>
                  </from>
                  <to>
                    <xdr:col>1</xdr:col>
                    <xdr:colOff>733425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67</xdr:row>
                    <xdr:rowOff>19050</xdr:rowOff>
                  </from>
                  <to>
                    <xdr:col>1</xdr:col>
                    <xdr:colOff>1504950</xdr:colOff>
                    <xdr:row>67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17" sqref="I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E11.6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186</v>
      </c>
      <c r="D11" s="27" t="s">
        <v>191</v>
      </c>
      <c r="E11" s="27" t="s">
        <v>194</v>
      </c>
      <c r="F11" s="55">
        <v>1</v>
      </c>
      <c r="G11" s="55">
        <v>1</v>
      </c>
      <c r="H11" s="55">
        <v>3</v>
      </c>
      <c r="I11" s="55">
        <v>260</v>
      </c>
      <c r="J11" s="55">
        <f t="shared" ref="J11:J17" si="0">H11*I11</f>
        <v>780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187</v>
      </c>
      <c r="D12" s="27" t="s">
        <v>192</v>
      </c>
      <c r="E12" s="27" t="s">
        <v>195</v>
      </c>
      <c r="F12" s="55">
        <v>1</v>
      </c>
      <c r="G12" s="55">
        <v>1</v>
      </c>
      <c r="H12" s="55">
        <v>6</v>
      </c>
      <c r="I12" s="55">
        <v>250</v>
      </c>
      <c r="J12" s="55">
        <f t="shared" si="0"/>
        <v>1500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187</v>
      </c>
      <c r="D13" s="27" t="s">
        <v>193</v>
      </c>
      <c r="E13" s="27" t="s">
        <v>195</v>
      </c>
      <c r="F13" s="55">
        <v>1</v>
      </c>
      <c r="G13" s="55">
        <v>1</v>
      </c>
      <c r="H13" s="55">
        <v>1</v>
      </c>
      <c r="I13" s="55">
        <v>40</v>
      </c>
      <c r="J13" s="55">
        <f t="shared" si="0"/>
        <v>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188</v>
      </c>
      <c r="D14" s="27" t="s">
        <v>193</v>
      </c>
      <c r="E14" s="27" t="s">
        <v>196</v>
      </c>
      <c r="F14" s="55">
        <v>1</v>
      </c>
      <c r="G14" s="55">
        <v>1</v>
      </c>
      <c r="H14" s="55">
        <v>6</v>
      </c>
      <c r="I14" s="55">
        <v>50</v>
      </c>
      <c r="J14" s="55">
        <f t="shared" si="0"/>
        <v>300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189</v>
      </c>
      <c r="D15" s="27" t="s">
        <v>192</v>
      </c>
      <c r="E15" s="27" t="s">
        <v>197</v>
      </c>
      <c r="F15" s="55">
        <v>1</v>
      </c>
      <c r="G15" s="55">
        <v>1</v>
      </c>
      <c r="H15" s="55">
        <v>2</v>
      </c>
      <c r="I15" s="55">
        <v>200</v>
      </c>
      <c r="J15" s="55">
        <f t="shared" si="0"/>
        <v>400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190</v>
      </c>
      <c r="D16" s="27" t="s">
        <v>192</v>
      </c>
      <c r="E16" s="27" t="s">
        <v>198</v>
      </c>
      <c r="F16" s="55">
        <v>1</v>
      </c>
      <c r="G16" s="55">
        <v>1</v>
      </c>
      <c r="H16" s="55">
        <v>2</v>
      </c>
      <c r="I16" s="55">
        <v>350</v>
      </c>
      <c r="J16" s="55">
        <f t="shared" si="0"/>
        <v>700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3" sqref="F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E11.6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150</v>
      </c>
      <c r="G16" s="55">
        <f t="shared" ref="G16:G22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199</v>
      </c>
      <c r="D17" s="70" t="s">
        <v>166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200</v>
      </c>
      <c r="D18" s="70" t="s">
        <v>166</v>
      </c>
      <c r="E18" s="55">
        <v>4</v>
      </c>
      <c r="F18" s="55">
        <v>20</v>
      </c>
      <c r="G18" s="55">
        <f t="shared" si="0"/>
        <v>80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201</v>
      </c>
      <c r="D19" s="70" t="s">
        <v>166</v>
      </c>
      <c r="E19" s="55">
        <v>2</v>
      </c>
      <c r="F19" s="55">
        <v>150</v>
      </c>
      <c r="G19" s="55">
        <f t="shared" si="0"/>
        <v>300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202</v>
      </c>
      <c r="D20" s="70" t="s">
        <v>166</v>
      </c>
      <c r="E20" s="55">
        <v>3</v>
      </c>
      <c r="F20" s="55">
        <v>20</v>
      </c>
      <c r="G20" s="55">
        <f t="shared" si="0"/>
        <v>60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203</v>
      </c>
      <c r="D21" s="70" t="s">
        <v>166</v>
      </c>
      <c r="E21" s="55">
        <v>1</v>
      </c>
      <c r="F21" s="55">
        <v>20</v>
      </c>
      <c r="G21" s="55">
        <f t="shared" si="0"/>
        <v>20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204</v>
      </c>
      <c r="D22" s="70" t="s">
        <v>166</v>
      </c>
      <c r="E22" s="55">
        <v>1</v>
      </c>
      <c r="F22" s="55">
        <v>180</v>
      </c>
      <c r="G22" s="55">
        <f t="shared" si="0"/>
        <v>180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E11.6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40</v>
      </c>
      <c r="E13" s="55"/>
      <c r="F13" s="55"/>
      <c r="G13" s="55">
        <v>150</v>
      </c>
      <c r="H13" s="55">
        <v>150</v>
      </c>
      <c r="I13" s="55"/>
      <c r="J13" s="55"/>
      <c r="K13" s="55"/>
      <c r="L13" s="55"/>
      <c r="M13" s="55"/>
      <c r="N13" s="55"/>
      <c r="P13" s="88">
        <f>SUM(D13:N13)</f>
        <v>340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40</v>
      </c>
      <c r="E30" s="88">
        <f t="shared" si="1"/>
        <v>0</v>
      </c>
      <c r="F30" s="88">
        <f t="shared" si="1"/>
        <v>0</v>
      </c>
      <c r="G30" s="88">
        <f t="shared" si="1"/>
        <v>150</v>
      </c>
      <c r="H30" s="88">
        <f t="shared" si="1"/>
        <v>150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2018-06-10T14:14:44Z</dcterms:modified>
</cp:coreProperties>
</file>