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9" i="2" l="1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<sst xmlns="http://schemas.openxmlformats.org/spreadsheetml/2006/main" count="498" uniqueCount="203">
  <si>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</si>
  <si>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</si>
  <si>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</si>
  <si>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</si>
  <si>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</si>
  <si>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</si>
  <si>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</si>
  <si>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</si>
  <si>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</si>
  <si>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</si>
  <si>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</si>
  <si>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</si>
  <si>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</si>
  <si>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</si>
  <si>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</si>
  <si>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</si>
  <si>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</si>
  <si>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</si>
  <si>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</si>
  <si>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</si>
  <si>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</si>
  <si>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</si>
  <si>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</si>
  <si>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</si>
  <si>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</si>
  <si>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</si>
  <si>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</si>
  <si>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</si>
  <si>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</si>
  <si>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</si>
  <si>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</si>
  <si>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</si>
  <si>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</si>
  <si>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</si>
  <si>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</si>
  <si>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</si>
  <si>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</si>
  <si>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</si>
  <si>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</si>
  <si>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</si>
  <si>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</si>
  <si>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</si>
  <si>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</si>
  <si>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</si>
  <si>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</si>
  <si>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</si>
  <si>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</si>
  <si>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</si>
  <si>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</si>
  <si>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</si>
  <si>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</si>
  <si>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</si>
  <si>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</si>
  <si>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</si>
  <si>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</si>
  <si>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</si>
  <si>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</si>
  <si>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</si>
  <si>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</si>
  <si>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</si>
  <si>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</si>
  <si>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</si>
  <si>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</si>
  <si>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</si>
  <si>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</si>
  <si>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</si>
  <si>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</si>
  <si>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</si>
  <si>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</si>
  <si>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</si>
  <si>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</si>
  <si>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</si>
  <si>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</si>
  <si>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</si>
  <si>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</si>
  <si>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</si>
  <si>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</si>
  <si>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</si>
  <si>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</si>
  <si>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</si>
  <si>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</si>
  <si>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</si>
  <si>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</si>
  <si>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</si>
  <si>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</si>
  <si>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</si>
  <si>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</si>
  <si>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</si>
  <si>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</si>
  <si>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</si>
  <si>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</si>
  <si>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</si>
  <si>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</si>
  <si>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</si>
  <si>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</si>
  <si>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</si>
  <si>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</si>
  <si>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</si>
  <si>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</si>
  <si>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</si>
  <si>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</si>
  <si>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</si>
  <si>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</si>
  <si>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</si>
  <si>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</si>
  <si>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</si>
  <si>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</si>
  <si>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</si>
  <si>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</si>
  <si>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</si>
  <si>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</si>
  <si>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</si>
  <si>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</si>
  <si>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</si>
  <si>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</si>
  <si>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</si>
  <si>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</si>
  <si>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</si>
  <si>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</si>
  <si>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</si>
  <si>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</si>
  <si>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</si>
  <si>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</si>
  <si>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</si>
  <si>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</si>
  <si>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</si>
  <si>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</si>
  <si>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</si>
  <si>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</si>
  <si>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</si>
  <si>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</si>
  <si>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</si>
  <si>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</si>
  <si>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</si>
  <si>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</si>
  <si>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</si>
  <si>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</si>
  <si>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</si>
  <si>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</si>
  <si>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</si>
  <si>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</si>
  <si>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</si>
  <si>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</si>
  <si>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</si>
  <si>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</si>
  <si>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</si>
  <si>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</si>
  <si>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</si>
  <si>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</si>
  <si>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</si>
  <si>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</si>
  <si>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</si>
  <si>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</si>
  <si>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</si>
  <si>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</si>
  <si>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</si>
  <si>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</si>
  <si>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</si>
  <si>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</si>
  <si>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</si>
  <si>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</si>
  <si>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</si>
  <si>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</si>
  <si>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</si>
  <si>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</si>
  <si>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CEFUROXIME</t>
  </si>
  <si>
    <t>VIAL</t>
  </si>
  <si>
    <t>750MG</t>
  </si>
  <si>
    <t>MACROSET</t>
  </si>
  <si>
    <t>PER PIECE</t>
  </si>
  <si>
    <t>CASE RATE (room,labs,meds, etc.)</t>
  </si>
  <si>
    <t>DISCOUNT</t>
  </si>
  <si>
    <t>PF CASE RATE</t>
  </si>
  <si>
    <t>E11.6</t>
  </si>
  <si>
    <t>CBC W/ PLATELET COUNT</t>
  </si>
  <si>
    <t>ELECTROLTES (NA,K)</t>
  </si>
  <si>
    <t>IONIZED CALCIUM</t>
  </si>
  <si>
    <t>CREATININE</t>
  </si>
  <si>
    <t>SGPT</t>
  </si>
  <si>
    <t>CXR PA</t>
  </si>
  <si>
    <t>ECG</t>
  </si>
  <si>
    <t>PNSS</t>
  </si>
  <si>
    <t>FLUIMUCIL</t>
  </si>
  <si>
    <t>SALRESP-I</t>
  </si>
  <si>
    <t>AZITHROMYCIN</t>
  </si>
  <si>
    <t>ASCORZEE</t>
  </si>
  <si>
    <t>ATORVASTATIN</t>
  </si>
  <si>
    <t>KETOBEST</t>
  </si>
  <si>
    <t>FEROSIAN</t>
  </si>
  <si>
    <t>IV FLUID</t>
  </si>
  <si>
    <t>TABLET</t>
  </si>
  <si>
    <t>NEBULE</t>
  </si>
  <si>
    <t>CAPSULE</t>
  </si>
  <si>
    <t>600MG</t>
  </si>
  <si>
    <t>2.5MG/500MCG</t>
  </si>
  <si>
    <t>500MG</t>
  </si>
  <si>
    <t>112.5MG/9MG</t>
  </si>
  <si>
    <t>20MG</t>
  </si>
  <si>
    <t>500MG/2MG3MCG</t>
  </si>
  <si>
    <t>INSYTE G22</t>
  </si>
  <si>
    <t>5CC SYRINGE</t>
  </si>
  <si>
    <t>1CC SYRINGE</t>
  </si>
  <si>
    <t>NEB 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</si>
</sst>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abSelected="1" zoomScaleNormal="100" workbookViewId="0">
      <selection activeCell="K16" sqref="K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178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179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45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46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54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 t="s">
        <v>180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56</v>
      </c>
      <c r="C60" s="17" t="s">
        <v>52</v>
      </c>
      <c r="D60" s="17" t="s">
        <v>57</v>
      </c>
      <c r="E60" s="18" t="s">
        <v>58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170</v>
      </c>
      <c r="D61" s="55">
        <v>8820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171</v>
      </c>
      <c r="D62" s="55"/>
      <c r="E62" s="55">
        <v>75</v>
      </c>
      <c r="F62" s="55">
        <v>377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172</v>
      </c>
      <c r="D63" s="55">
        <v>3780</v>
      </c>
      <c r="E63" s="55"/>
      <c r="F63" s="55">
        <v>800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12600</v>
      </c>
      <c r="E72" s="59">
        <f>SUM(E61:E71)</f>
        <v>75</v>
      </c>
      <c r="F72" s="59">
        <f>SUM(F61:F71)</f>
        <v>1177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password="C2E9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20" sqref="I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E11.6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189</v>
      </c>
      <c r="E11" s="27" t="s">
        <v>167</v>
      </c>
      <c r="F11" s="55">
        <v>1</v>
      </c>
      <c r="G11" s="55">
        <v>1</v>
      </c>
      <c r="H11" s="55">
        <v>1</v>
      </c>
      <c r="I11" s="55">
        <v>350</v>
      </c>
      <c r="J11" s="55">
        <f t="shared" ref="J11:J19" si="0">H11*I11</f>
        <v>350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190</v>
      </c>
      <c r="E12" s="27" t="s">
        <v>193</v>
      </c>
      <c r="F12" s="55">
        <v>1</v>
      </c>
      <c r="G12" s="55">
        <v>1</v>
      </c>
      <c r="H12" s="55">
        <v>5</v>
      </c>
      <c r="I12" s="55">
        <v>100</v>
      </c>
      <c r="J12" s="55">
        <f t="shared" si="0"/>
        <v>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191</v>
      </c>
      <c r="E13" s="27" t="s">
        <v>194</v>
      </c>
      <c r="F13" s="55">
        <v>1</v>
      </c>
      <c r="G13" s="55">
        <v>1</v>
      </c>
      <c r="H13" s="55">
        <v>8</v>
      </c>
      <c r="I13" s="55">
        <v>100</v>
      </c>
      <c r="J13" s="55">
        <f t="shared" si="0"/>
        <v>800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165</v>
      </c>
      <c r="D14" s="27" t="s">
        <v>166</v>
      </c>
      <c r="E14" s="27" t="s">
        <v>167</v>
      </c>
      <c r="F14" s="55">
        <v>1</v>
      </c>
      <c r="G14" s="55">
        <v>1</v>
      </c>
      <c r="H14" s="55">
        <v>7</v>
      </c>
      <c r="I14" s="55">
        <v>350</v>
      </c>
      <c r="J14" s="55">
        <f t="shared" si="0"/>
        <v>2450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190</v>
      </c>
      <c r="E15" s="27" t="s">
        <v>195</v>
      </c>
      <c r="F15" s="55">
        <v>1</v>
      </c>
      <c r="G15" s="55">
        <v>1</v>
      </c>
      <c r="H15" s="55">
        <v>1</v>
      </c>
      <c r="I15" s="55">
        <v>200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192</v>
      </c>
      <c r="E16" s="27" t="s">
        <v>196</v>
      </c>
      <c r="F16" s="55">
        <v>1</v>
      </c>
      <c r="G16" s="55">
        <v>1</v>
      </c>
      <c r="H16" s="55">
        <v>2</v>
      </c>
      <c r="I16" s="55">
        <v>30</v>
      </c>
      <c r="J16" s="55">
        <f t="shared" si="0"/>
        <v>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190</v>
      </c>
      <c r="E17" s="27" t="s">
        <v>197</v>
      </c>
      <c r="F17" s="55">
        <v>1</v>
      </c>
      <c r="G17" s="55">
        <v>1</v>
      </c>
      <c r="H17" s="55">
        <v>1</v>
      </c>
      <c r="I17" s="55">
        <v>40</v>
      </c>
      <c r="J17" s="55">
        <f t="shared" si="0"/>
        <v>40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187</v>
      </c>
      <c r="D18" s="27" t="s">
        <v>190</v>
      </c>
      <c r="E18" s="27" t="s">
        <v>193</v>
      </c>
      <c r="F18" s="55">
        <v>1</v>
      </c>
      <c r="G18" s="55">
        <v>1</v>
      </c>
      <c r="H18" s="55">
        <v>4</v>
      </c>
      <c r="I18" s="55">
        <v>70</v>
      </c>
      <c r="J18" s="55">
        <f t="shared" si="0"/>
        <v>280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188</v>
      </c>
      <c r="D19" s="27" t="s">
        <v>192</v>
      </c>
      <c r="E19" s="27" t="s">
        <v>198</v>
      </c>
      <c r="F19" s="55">
        <v>1</v>
      </c>
      <c r="G19" s="55">
        <v>1</v>
      </c>
      <c r="H19" s="55">
        <v>2</v>
      </c>
      <c r="I19" s="55">
        <v>50</v>
      </c>
      <c r="J19" s="55">
        <f t="shared" si="0"/>
        <v>100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168</v>
      </c>
      <c r="D16" s="70" t="s">
        <v>169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199</v>
      </c>
      <c r="D17" s="70" t="s">
        <v>169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200</v>
      </c>
      <c r="D18" s="70" t="s">
        <v>169</v>
      </c>
      <c r="E18" s="55">
        <v>5</v>
      </c>
      <c r="F18" s="55">
        <v>20</v>
      </c>
      <c r="G18" s="55">
        <f>E18*F18</f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201</v>
      </c>
      <c r="D19" s="70" t="s">
        <v>169</v>
      </c>
      <c r="E19" s="55">
        <v>1</v>
      </c>
      <c r="F19" s="55">
        <v>20</v>
      </c>
      <c r="G19" s="55">
        <f>E19*F19</f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202</v>
      </c>
      <c r="D20" s="70" t="s">
        <v>169</v>
      </c>
      <c r="E20" s="55">
        <v>1</v>
      </c>
      <c r="F20" s="55">
        <v>200</v>
      </c>
      <c r="G20" s="55">
        <f>E20*F20</f>
        <v>200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N13" sqref="N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120</v>
      </c>
      <c r="H13" s="55">
        <v>80</v>
      </c>
      <c r="I13" s="55"/>
      <c r="J13" s="55"/>
      <c r="K13" s="55"/>
      <c r="L13" s="55"/>
      <c r="M13" s="55"/>
      <c r="N13" s="55"/>
      <c r="P13" s="88">
        <f>SUM(D13:N13)</f>
        <v>220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120</v>
      </c>
      <c r="H30" s="88">
        <f t="shared" si="1"/>
        <v>80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2018-06-08T12:13:37Z</dcterms:modified>
</cp:coreProperties>
</file>