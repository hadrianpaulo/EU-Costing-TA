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<sst xmlns="http://schemas.openxmlformats.org/spreadsheetml/2006/main" count="488" uniqueCount="196">
  <si>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</si>
  <si>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</si>
  <si>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</si>
  <si>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</si>
  <si>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</si>
  <si>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</si>
  <si>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</si>
  <si>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</si>
  <si>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</si>
  <si>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</si>
  <si>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</si>
  <si>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</si>
  <si>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</si>
  <si>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</si>
  <si>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</si>
  <si>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</si>
  <si>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</si>
  <si>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</si>
  <si>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</si>
  <si>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</si>
  <si>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</si>
  <si>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</si>
  <si>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</si>
  <si>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</si>
  <si>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</si>
  <si>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</si>
  <si>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</si>
  <si>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</si>
  <si>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</si>
  <si>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</si>
  <si>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</si>
  <si>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</si>
  <si>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</si>
  <si>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</si>
  <si>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</si>
  <si>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</si>
  <si>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</si>
  <si>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</si>
  <si>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</si>
  <si>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</si>
  <si>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</si>
  <si>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</si>
  <si>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</si>
  <si>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</si>
  <si>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</si>
  <si>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</si>
  <si>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</si>
  <si>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</si>
  <si>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</si>
  <si>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</si>
  <si>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</si>
  <si>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</si>
  <si>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</si>
  <si>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</si>
  <si>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</si>
  <si>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</si>
  <si>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</si>
  <si>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</si>
  <si>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</si>
  <si>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</si>
  <si>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</si>
  <si>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</si>
  <si>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</si>
  <si>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</si>
  <si>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</si>
  <si>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</si>
  <si>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</si>
  <si>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</si>
  <si>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</si>
  <si>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</si>
  <si>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</si>
  <si>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</si>
  <si>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</si>
  <si>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</si>
  <si>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</si>
  <si>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</si>
  <si>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</si>
  <si>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</si>
  <si>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</si>
  <si>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</si>
  <si>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</si>
  <si>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</si>
  <si>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</si>
  <si>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</si>
  <si>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</si>
  <si>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</si>
  <si>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</si>
  <si>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</si>
  <si>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</si>
  <si>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</si>
  <si>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</si>
  <si>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</si>
  <si>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</si>
  <si>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</si>
  <si>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</si>
  <si>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</si>
  <si>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</si>
  <si>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</si>
  <si>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</si>
  <si>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</si>
  <si>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</si>
  <si>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</si>
  <si>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</si>
  <si>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</si>
  <si>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</si>
  <si>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</si>
  <si>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</si>
  <si>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</si>
  <si>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</si>
  <si>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</si>
  <si>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</si>
  <si>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</si>
  <si>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</si>
  <si>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</si>
  <si>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</si>
  <si>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</si>
  <si>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</si>
  <si>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</si>
  <si>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</si>
  <si>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</si>
  <si>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</si>
  <si>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</si>
  <si>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</si>
  <si>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</si>
  <si>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</si>
  <si>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</si>
  <si>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</si>
  <si>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</si>
  <si>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</si>
  <si>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</si>
  <si>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</si>
  <si>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</si>
  <si>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</si>
  <si>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</si>
  <si>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</si>
  <si>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</si>
  <si>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</si>
  <si>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</si>
  <si>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</si>
  <si>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</si>
  <si>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</si>
  <si>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</si>
  <si>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</si>
  <si>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</si>
  <si>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</si>
  <si>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</si>
  <si>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</si>
  <si>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</si>
  <si>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</si>
  <si>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</si>
  <si>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</si>
  <si>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</si>
  <si>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</si>
  <si>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</si>
  <si>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</si>
  <si>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</si>
  <si>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</si>
  <si>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</si>
  <si>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</si>
  <si>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</si>
  <si>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</si>
  <si>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</si>
  <si>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</si>
  <si>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</si>
  <si>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</si>
  <si>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</si>
  <si>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</si>
  <si>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</si>
  <si>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</si>
  <si>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</si>
  <si>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</si>
  <si>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SGP</t>
  </si>
  <si>
    <t>CBC W/ PLATELET COUNT</t>
  </si>
  <si>
    <t>CREATINNE</t>
  </si>
  <si>
    <t>ELECTROLYTES (NA,K)</t>
  </si>
  <si>
    <t>HBA1C</t>
  </si>
  <si>
    <t>GLUCOSE (FASTING)</t>
  </si>
  <si>
    <t>CHOLESTEROL</t>
  </si>
  <si>
    <t>TRIGYCERIDES</t>
  </si>
  <si>
    <t>URIC ACID</t>
  </si>
  <si>
    <t>PNSS</t>
  </si>
  <si>
    <t xml:space="preserve">LEVOFLOXACIN </t>
  </si>
  <si>
    <t>PREMIUM-C</t>
  </si>
  <si>
    <t>METFORMIN</t>
  </si>
  <si>
    <t>K-LYTE</t>
  </si>
  <si>
    <t>IV FLUID</t>
  </si>
  <si>
    <t>TABLET</t>
  </si>
  <si>
    <t>CAPSULE</t>
  </si>
  <si>
    <t>1L</t>
  </si>
  <si>
    <t>500MG</t>
  </si>
  <si>
    <t>MG</t>
  </si>
  <si>
    <t>600MG</t>
  </si>
  <si>
    <t>INSYTE G22</t>
  </si>
  <si>
    <t>INSYTE G24</t>
  </si>
  <si>
    <t>3CC SYRINGE</t>
  </si>
  <si>
    <t>10CC SYEGINE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</si>
</sst>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57"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8820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3780</v>
      </c>
      <c r="E67" s="55"/>
      <c r="F67" s="55">
        <v>550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12600</v>
      </c>
      <c r="E76" s="59">
        <f>SUM(E65:E75)</f>
        <v>0</v>
      </c>
      <c r="F76" s="59">
        <f>SUM(F65:F75)</f>
        <v>550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185</v>
      </c>
      <c r="E11" s="27" t="s">
        <v>188</v>
      </c>
      <c r="F11" s="55">
        <v>1</v>
      </c>
      <c r="G11" s="55">
        <v>1</v>
      </c>
      <c r="H11" s="55">
        <v>4</v>
      </c>
      <c r="I11" s="55">
        <v>350</v>
      </c>
      <c r="J11" s="55">
        <f t="shared" ref="J11:J17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186</v>
      </c>
      <c r="E12" s="27" t="s">
        <v>189</v>
      </c>
      <c r="F12" s="55">
        <v>2</v>
      </c>
      <c r="G12" s="55">
        <v>1</v>
      </c>
      <c r="H12" s="55">
        <v>2</v>
      </c>
      <c r="I12" s="55">
        <v>60</v>
      </c>
      <c r="J12" s="55">
        <f t="shared" si="0"/>
        <v>120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187</v>
      </c>
      <c r="E13" s="27" t="s">
        <v>190</v>
      </c>
      <c r="F13" s="55">
        <v>2</v>
      </c>
      <c r="G13" s="55">
        <v>1</v>
      </c>
      <c r="H13" s="55">
        <v>2</v>
      </c>
      <c r="I13" s="55">
        <v>25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186</v>
      </c>
      <c r="E14" s="27" t="s">
        <v>189</v>
      </c>
      <c r="F14" s="55">
        <v>2</v>
      </c>
      <c r="G14" s="55">
        <v>1</v>
      </c>
      <c r="H14" s="55">
        <v>3</v>
      </c>
      <c r="I14" s="55">
        <v>25</v>
      </c>
      <c r="J14" s="55">
        <f t="shared" si="0"/>
        <v>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186</v>
      </c>
      <c r="E15" s="27" t="s">
        <v>191</v>
      </c>
      <c r="F15" s="55">
        <v>3</v>
      </c>
      <c r="G15" s="55">
        <v>1</v>
      </c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166</v>
      </c>
      <c r="E18" s="55">
        <v>1</v>
      </c>
      <c r="F18" s="55">
        <v>180</v>
      </c>
      <c r="G18" s="55">
        <f>E18*F18</f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166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166</v>
      </c>
      <c r="E20" s="55">
        <v>1</v>
      </c>
      <c r="F20" s="55">
        <v>40</v>
      </c>
      <c r="G20" s="55">
        <f>E20*F20</f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60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2018-06-10T14:21:09Z</dcterms:modified>
</cp:coreProperties>
</file>