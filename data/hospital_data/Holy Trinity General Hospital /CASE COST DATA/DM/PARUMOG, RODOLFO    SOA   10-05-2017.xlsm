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<sst xmlns="http://schemas.openxmlformats.org/spreadsheetml/2006/main" count="479" uniqueCount="192">
  <si>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</si>
  <si>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</si>
  <si>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</si>
  <si>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</si>
  <si>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</si>
  <si>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</si>
  <si>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</si>
  <si>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</si>
  <si>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</si>
  <si>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</si>
  <si>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</si>
  <si>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</si>
  <si>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</si>
  <si>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</si>
  <si>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</si>
  <si>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</si>
  <si>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</si>
  <si>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</si>
  <si>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</si>
  <si>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</si>
  <si>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</si>
  <si>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</si>
  <si>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</si>
  <si>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</si>
  <si>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</si>
  <si>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</si>
  <si>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</si>
  <si>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</si>
  <si>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</si>
  <si>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</si>
  <si>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</si>
  <si>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</si>
  <si>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</si>
  <si>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</si>
  <si>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</si>
  <si>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</si>
  <si>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</si>
  <si>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</si>
  <si>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</si>
  <si>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</si>
  <si>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</si>
  <si>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</si>
  <si>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</si>
  <si>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</si>
  <si>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</si>
  <si>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</si>
  <si>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</si>
  <si>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</si>
  <si>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</si>
  <si>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</si>
  <si>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</si>
  <si>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</si>
  <si>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</si>
  <si>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</si>
  <si>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</si>
  <si>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</si>
  <si>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</si>
  <si>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</si>
  <si>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</si>
  <si>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</si>
  <si>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</si>
  <si>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</si>
  <si>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</si>
  <si>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</si>
  <si>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</si>
  <si>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</si>
  <si>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</si>
  <si>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</si>
  <si>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</si>
  <si>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</si>
  <si>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</si>
  <si>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</si>
  <si>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</si>
  <si>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</si>
  <si>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</si>
  <si>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</si>
  <si>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</si>
  <si>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</si>
  <si>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</si>
  <si>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</si>
  <si>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</si>
  <si>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</si>
  <si>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</si>
  <si>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</si>
  <si>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</si>
  <si>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</si>
  <si>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</si>
  <si>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</si>
  <si>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</si>
  <si>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</si>
  <si>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</si>
  <si>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</si>
  <si>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</si>
  <si>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</si>
  <si>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</si>
  <si>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</si>
  <si>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</si>
  <si>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</si>
  <si>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</si>
  <si>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</si>
  <si>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</si>
  <si>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</si>
  <si>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</si>
  <si>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</si>
  <si>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</si>
  <si>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</si>
  <si>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</si>
  <si>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</si>
  <si>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</si>
  <si>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</si>
  <si>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</si>
  <si>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</si>
  <si>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</si>
  <si>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</si>
  <si>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</si>
  <si>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</si>
  <si>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</si>
  <si>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</si>
  <si>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</si>
  <si>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</si>
  <si>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</si>
  <si>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</si>
  <si>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</si>
  <si>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</si>
  <si>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</si>
  <si>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</si>
  <si>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</si>
  <si>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</si>
  <si>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</si>
  <si>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</si>
  <si>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</si>
  <si>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</si>
  <si>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</si>
  <si>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</si>
  <si>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</si>
  <si>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</si>
  <si>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</si>
  <si>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</si>
  <si>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</si>
  <si>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</si>
  <si>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</si>
  <si>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</si>
  <si>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</si>
  <si>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</si>
  <si>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</si>
  <si>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</si>
  <si>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</si>
  <si>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</si>
  <si>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</si>
  <si>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</si>
  <si>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</si>
  <si>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</si>
  <si>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</si>
  <si>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</si>
  <si>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</si>
  <si>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</si>
  <si>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</si>
  <si>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</si>
  <si>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</si>
  <si>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</si>
  <si>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</si>
  <si>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</si>
  <si>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</si>
  <si>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</si>
  <si>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</si>
  <si>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</si>
  <si>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</si>
  <si>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</si>
  <si>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</si>
  <si>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</si>
  <si>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</si>
  <si>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CBC W/ PLATELET COUNT</t>
  </si>
  <si>
    <t>SGPT</t>
  </si>
  <si>
    <t>CREATININE</t>
  </si>
  <si>
    <t>POTASSIUM</t>
  </si>
  <si>
    <t xml:space="preserve">ELECTROLYTES (NA, </t>
  </si>
  <si>
    <t>IONIZED CALCUM</t>
  </si>
  <si>
    <t>GLUCOSE (FASTING)</t>
  </si>
  <si>
    <t>URIC ACID</t>
  </si>
  <si>
    <t>RBS</t>
  </si>
  <si>
    <t>LIPID PROFILE</t>
  </si>
  <si>
    <t>CXR PA</t>
  </si>
  <si>
    <t>ECG</t>
  </si>
  <si>
    <t>BETAHISTINE</t>
  </si>
  <si>
    <t>METFORMIN</t>
  </si>
  <si>
    <t>PNSS</t>
  </si>
  <si>
    <t>TABLET</t>
  </si>
  <si>
    <t>IV FLUID</t>
  </si>
  <si>
    <t>16MG</t>
  </si>
  <si>
    <t>500MG</t>
  </si>
  <si>
    <t>1L</t>
  </si>
  <si>
    <t>INSYTE 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</si>
</sst>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7"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181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45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46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54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182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56</v>
      </c>
      <c r="C65" s="17" t="s">
        <v>52</v>
      </c>
      <c r="D65" s="17" t="s">
        <v>57</v>
      </c>
      <c r="E65" s="18" t="s">
        <v>58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167</v>
      </c>
      <c r="D66" s="55">
        <v>8820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168</v>
      </c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169</v>
      </c>
      <c r="D68" s="55">
        <v>3780</v>
      </c>
      <c r="E68" s="55"/>
      <c r="F68" s="55">
        <v>550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12600</v>
      </c>
      <c r="E77" s="59">
        <f>SUM(E66:E76)</f>
        <v>0</v>
      </c>
      <c r="F77" s="59">
        <f>SUM(F66:F76)</f>
        <v>550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186</v>
      </c>
      <c r="E11" s="27" t="s">
        <v>188</v>
      </c>
      <c r="F11" s="55">
        <v>1</v>
      </c>
      <c r="G11" s="55">
        <v>1</v>
      </c>
      <c r="H11" s="55">
        <v>3</v>
      </c>
      <c r="I11" s="55">
        <v>150</v>
      </c>
      <c r="J11" s="55">
        <f t="shared" ref="J11:J17" si="0">H11*I11</f>
        <v>450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186</v>
      </c>
      <c r="E12" s="27" t="s">
        <v>189</v>
      </c>
      <c r="F12" s="55">
        <v>1</v>
      </c>
      <c r="G12" s="55">
        <v>1</v>
      </c>
      <c r="H12" s="55">
        <v>3</v>
      </c>
      <c r="I12" s="55">
        <v>100</v>
      </c>
      <c r="J12" s="55">
        <f t="shared" si="0"/>
        <v>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187</v>
      </c>
      <c r="E13" s="27" t="s">
        <v>190</v>
      </c>
      <c r="F13" s="55">
        <v>1</v>
      </c>
      <c r="G13" s="55">
        <v>1</v>
      </c>
      <c r="H13" s="55">
        <v>2</v>
      </c>
      <c r="I13" s="55">
        <v>310</v>
      </c>
      <c r="J13" s="55">
        <f t="shared" si="0"/>
        <v>620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33" sqref="D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60</v>
      </c>
      <c r="H13" s="55">
        <v>55</v>
      </c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55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2018-06-10T14:24:11Z</dcterms:modified>
</cp:coreProperties>
</file>