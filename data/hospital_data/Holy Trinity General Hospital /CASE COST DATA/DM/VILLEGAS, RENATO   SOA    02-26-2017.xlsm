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4" i="2" l="1"/>
  <c r="J23" i="2"/>
  <c r="J22" i="2"/>
  <c r="J21" i="2"/>
  <c r="J20" i="2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<sst xmlns="http://schemas.openxmlformats.org/spreadsheetml/2006/main" count="521" uniqueCount="218">
  <si>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</si>
  <si>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</si>
  <si>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</si>
  <si>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</si>
  <si>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</si>
  <si>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</si>
  <si>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</si>
  <si>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</si>
  <si>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</si>
  <si>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</si>
  <si>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</si>
  <si>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</si>
  <si>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</si>
  <si>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</si>
  <si>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</si>
  <si>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</si>
  <si>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</si>
  <si>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</si>
  <si>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</si>
  <si>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</si>
  <si>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</si>
  <si>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</si>
  <si>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</si>
  <si>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</si>
  <si>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</si>
  <si>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</si>
  <si>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</si>
  <si>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</si>
  <si>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</si>
  <si>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</si>
  <si>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</si>
  <si>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</si>
  <si>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</si>
  <si>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</si>
  <si>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</si>
  <si>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</si>
  <si>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</si>
  <si>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</si>
  <si>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</si>
  <si>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</si>
  <si>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</si>
  <si>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</si>
  <si>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</si>
  <si>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</si>
  <si>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</si>
  <si>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</si>
  <si>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</si>
  <si>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</si>
  <si>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</si>
  <si>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</si>
  <si>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</si>
  <si>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</si>
  <si>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</si>
  <si>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</si>
  <si>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</si>
  <si>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</si>
  <si>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</si>
  <si>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</si>
  <si>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</si>
  <si>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</si>
  <si>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</si>
  <si>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</si>
  <si>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</si>
  <si>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</si>
  <si>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</si>
  <si>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</si>
  <si>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</si>
  <si>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</si>
  <si>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</si>
  <si>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</si>
  <si>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</si>
  <si>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</si>
  <si>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</si>
  <si>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</si>
  <si>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</si>
  <si>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</si>
  <si>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</si>
  <si>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</si>
  <si>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</si>
  <si>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</si>
  <si>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</si>
  <si>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</si>
  <si>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</si>
  <si>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</si>
  <si>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</si>
  <si>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</si>
  <si>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</si>
  <si>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</si>
  <si>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</si>
  <si>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</si>
  <si>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</si>
  <si>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</si>
  <si>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</si>
  <si>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</si>
  <si>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</si>
  <si>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</si>
  <si>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</si>
  <si>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</si>
  <si>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</si>
  <si>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</si>
  <si>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</si>
  <si>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</si>
  <si>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</si>
  <si>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</si>
  <si>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</si>
  <si>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</si>
  <si>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</si>
  <si>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</si>
  <si>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</si>
  <si>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</si>
  <si>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</si>
  <si>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</si>
  <si>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</si>
  <si>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</si>
  <si>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</si>
  <si>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</si>
  <si>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</si>
  <si>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</si>
  <si>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</si>
  <si>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</si>
  <si>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</si>
  <si>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</si>
  <si>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</si>
  <si>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</si>
  <si>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</si>
  <si>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</si>
  <si>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</si>
  <si>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</si>
  <si>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</si>
  <si>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</si>
  <si>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</si>
  <si>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</si>
  <si>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</si>
  <si>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</si>
  <si>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</si>
  <si>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</si>
  <si>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</si>
  <si>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</si>
  <si>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</si>
  <si>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</si>
  <si>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</si>
  <si>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</si>
  <si>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</si>
  <si>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</si>
  <si>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</si>
  <si>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</si>
  <si>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</si>
  <si>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</si>
  <si>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</si>
  <si>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</si>
  <si>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</si>
  <si>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</si>
  <si>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</si>
  <si>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</si>
  <si>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</si>
  <si>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</si>
  <si>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</si>
  <si>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</si>
  <si>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</si>
  <si>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</si>
  <si>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</si>
  <si>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</si>
  <si>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</si>
  <si>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</si>
  <si>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</si>
  <si>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750MG</t>
  </si>
  <si>
    <t>MACROSET</t>
  </si>
  <si>
    <t>PER PIECE</t>
  </si>
  <si>
    <t>CASE RATE (room,labs,meds, etc.)</t>
  </si>
  <si>
    <t>PF CASE RATE</t>
  </si>
  <si>
    <t>E11.6</t>
  </si>
  <si>
    <t>TROPONIN I</t>
  </si>
  <si>
    <t>CBC W/ PLATELET COUNT</t>
  </si>
  <si>
    <t>CREATININE</t>
  </si>
  <si>
    <t>ELECTROLYTES (NA,K)</t>
  </si>
  <si>
    <t>IONIZED CALCIUM</t>
  </si>
  <si>
    <t>MAGNESIUM</t>
  </si>
  <si>
    <t>HBA1C</t>
  </si>
  <si>
    <t>SGPT</t>
  </si>
  <si>
    <t>URIC ACID</t>
  </si>
  <si>
    <t>GLUCOSE (FASTING</t>
  </si>
  <si>
    <t>CXR PA</t>
  </si>
  <si>
    <t>ECG</t>
  </si>
  <si>
    <t>CBG MONITORING</t>
  </si>
  <si>
    <t>PNSS</t>
  </si>
  <si>
    <t>METOPROLOL</t>
  </si>
  <si>
    <t>FUROSEMIDE</t>
  </si>
  <si>
    <t>ASPIRIN</t>
  </si>
  <si>
    <t>ISDN</t>
  </si>
  <si>
    <t>SENOKOT</t>
  </si>
  <si>
    <t>CAPTOPRIL</t>
  </si>
  <si>
    <t>ATORVASTATIN</t>
  </si>
  <si>
    <t>TRIMETAZIDINE</t>
  </si>
  <si>
    <t>ENOXAPARIN</t>
  </si>
  <si>
    <t>ALDACTONE</t>
  </si>
  <si>
    <t>TRAJENTA</t>
  </si>
  <si>
    <t>CLOPIDOGREL</t>
  </si>
  <si>
    <t>IV FLUID</t>
  </si>
  <si>
    <t>50MG</t>
  </si>
  <si>
    <t>20MG</t>
  </si>
  <si>
    <t>80MG</t>
  </si>
  <si>
    <t>5MG</t>
  </si>
  <si>
    <t>374MG</t>
  </si>
  <si>
    <t>25MG</t>
  </si>
  <si>
    <t>TABLET</t>
  </si>
  <si>
    <t>AMPOULE</t>
  </si>
  <si>
    <t>PRE-FILLED  SYR</t>
  </si>
  <si>
    <t>40MG</t>
  </si>
  <si>
    <t>35MG</t>
  </si>
  <si>
    <t>0.4CC</t>
  </si>
  <si>
    <t>75MG</t>
  </si>
  <si>
    <t>INSYTE G22</t>
  </si>
  <si>
    <t>3CC SYRINGE</t>
  </si>
  <si>
    <t>HEPLOCK</t>
  </si>
  <si>
    <t>O2 CANNULA</t>
  </si>
  <si>
    <t>CT SCAN- CRANIAL PALIN</t>
  </si>
  <si>
    <t>SENIOR DISCOUNT</t>
  </si>
  <si>
    <t>OXYGEN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</si>
</sst>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0" zoomScaleNormal="100" workbookViewId="0">
      <selection activeCell="E60" sqref="E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183</v>
      </c>
      <c r="D44" s="23"/>
      <c r="E44" s="55">
        <v>7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181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182</v>
      </c>
      <c r="D59" s="28"/>
      <c r="E59" s="55">
        <v>3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215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 t="s">
        <v>217</v>
      </c>
      <c r="D61" s="28"/>
      <c r="E61" s="55">
        <v>1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168</v>
      </c>
      <c r="D68" s="55">
        <v>8820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216</v>
      </c>
      <c r="D69" s="55"/>
      <c r="E69" s="55">
        <v>4030</v>
      </c>
      <c r="F69" s="55">
        <v>16200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 t="s">
        <v>169</v>
      </c>
      <c r="D70" s="55">
        <v>3780</v>
      </c>
      <c r="E70" s="55"/>
      <c r="F70" s="55">
        <v>2400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12600</v>
      </c>
      <c r="E79" s="59">
        <f>SUM(E68:E78)</f>
        <v>4030</v>
      </c>
      <c r="F79" s="59">
        <f>SUM(F68:F78)</f>
        <v>18600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B31" sqref="B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197</v>
      </c>
      <c r="E11" s="27" t="s">
        <v>165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24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204</v>
      </c>
      <c r="E12" s="27" t="s">
        <v>198</v>
      </c>
      <c r="F12" s="55">
        <v>1</v>
      </c>
      <c r="G12" s="55">
        <v>1</v>
      </c>
      <c r="H12" s="55">
        <v>1</v>
      </c>
      <c r="I12" s="55">
        <v>30</v>
      </c>
      <c r="J12" s="55">
        <f t="shared" si="0"/>
        <v>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205</v>
      </c>
      <c r="E13" s="27" t="s">
        <v>199</v>
      </c>
      <c r="F13" s="55">
        <v>1</v>
      </c>
      <c r="G13" s="55">
        <v>1</v>
      </c>
      <c r="H13" s="55">
        <v>3</v>
      </c>
      <c r="I13" s="55">
        <v>250</v>
      </c>
      <c r="J13" s="55">
        <f t="shared" si="0"/>
        <v>750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204</v>
      </c>
      <c r="E14" s="27" t="s">
        <v>200</v>
      </c>
      <c r="F14" s="55">
        <v>1</v>
      </c>
      <c r="G14" s="55">
        <v>1</v>
      </c>
      <c r="H14" s="55">
        <v>5</v>
      </c>
      <c r="I14" s="55">
        <v>15</v>
      </c>
      <c r="J14" s="55">
        <f t="shared" si="0"/>
        <v>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204</v>
      </c>
      <c r="E15" s="27" t="s">
        <v>201</v>
      </c>
      <c r="F15" s="55">
        <v>1</v>
      </c>
      <c r="G15" s="55">
        <v>1</v>
      </c>
      <c r="H15" s="55">
        <v>9</v>
      </c>
      <c r="I15" s="55">
        <v>30</v>
      </c>
      <c r="J15" s="55">
        <f t="shared" si="0"/>
        <v>270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204</v>
      </c>
      <c r="E16" s="27" t="s">
        <v>202</v>
      </c>
      <c r="F16" s="55">
        <v>1</v>
      </c>
      <c r="G16" s="55">
        <v>1</v>
      </c>
      <c r="H16" s="55">
        <v>3</v>
      </c>
      <c r="I16" s="55">
        <v>25</v>
      </c>
      <c r="J16" s="55">
        <f t="shared" si="0"/>
        <v>75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190</v>
      </c>
      <c r="D17" s="27" t="s">
        <v>204</v>
      </c>
      <c r="E17" s="27" t="s">
        <v>203</v>
      </c>
      <c r="F17" s="55">
        <v>1</v>
      </c>
      <c r="G17" s="55">
        <v>1</v>
      </c>
      <c r="H17" s="55">
        <v>3</v>
      </c>
      <c r="I17" s="55">
        <v>30</v>
      </c>
      <c r="J17" s="55">
        <f t="shared" si="0"/>
        <v>90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204</v>
      </c>
      <c r="E18" s="27" t="s">
        <v>199</v>
      </c>
      <c r="F18" s="55">
        <v>1</v>
      </c>
      <c r="G18" s="55">
        <v>1</v>
      </c>
      <c r="H18" s="55">
        <v>6</v>
      </c>
      <c r="I18" s="55">
        <v>30</v>
      </c>
      <c r="J18" s="55">
        <f t="shared" si="0"/>
        <v>180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191</v>
      </c>
      <c r="D19" s="27" t="s">
        <v>204</v>
      </c>
      <c r="E19" s="27" t="s">
        <v>207</v>
      </c>
      <c r="F19" s="55">
        <v>1</v>
      </c>
      <c r="G19" s="55">
        <v>1</v>
      </c>
      <c r="H19" s="55">
        <v>2</v>
      </c>
      <c r="I19" s="55">
        <v>50</v>
      </c>
      <c r="J19" s="55">
        <f t="shared" si="0"/>
        <v>100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192</v>
      </c>
      <c r="D20" s="27" t="s">
        <v>204</v>
      </c>
      <c r="E20" s="27" t="s">
        <v>208</v>
      </c>
      <c r="F20" s="55">
        <v>1</v>
      </c>
      <c r="G20" s="55">
        <v>1</v>
      </c>
      <c r="H20" s="55">
        <v>2</v>
      </c>
      <c r="I20" s="55">
        <v>50</v>
      </c>
      <c r="J20" s="55">
        <f t="shared" si="0"/>
        <v>100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206</v>
      </c>
      <c r="E21" s="27" t="s">
        <v>209</v>
      </c>
      <c r="F21" s="55">
        <v>1</v>
      </c>
      <c r="G21" s="55">
        <v>1</v>
      </c>
      <c r="H21" s="55">
        <v>4</v>
      </c>
      <c r="I21" s="55">
        <v>1500</v>
      </c>
      <c r="J21" s="55">
        <f t="shared" si="0"/>
        <v>6000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204</v>
      </c>
      <c r="E22" s="27" t="s">
        <v>203</v>
      </c>
      <c r="F22" s="55">
        <v>1</v>
      </c>
      <c r="G22" s="55">
        <v>1</v>
      </c>
      <c r="H22" s="55">
        <v>2</v>
      </c>
      <c r="I22" s="55">
        <v>50</v>
      </c>
      <c r="J22" s="55">
        <f t="shared" si="0"/>
        <v>100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195</v>
      </c>
      <c r="D23" s="27" t="s">
        <v>204</v>
      </c>
      <c r="E23" s="27" t="s">
        <v>201</v>
      </c>
      <c r="F23" s="55">
        <v>1</v>
      </c>
      <c r="G23" s="55">
        <v>1</v>
      </c>
      <c r="H23" s="55">
        <v>1</v>
      </c>
      <c r="I23" s="55">
        <v>120</v>
      </c>
      <c r="J23" s="55">
        <f t="shared" si="0"/>
        <v>120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196</v>
      </c>
      <c r="D24" s="27" t="s">
        <v>204</v>
      </c>
      <c r="E24" s="27" t="s">
        <v>210</v>
      </c>
      <c r="F24" s="55">
        <v>1</v>
      </c>
      <c r="G24" s="55">
        <v>1</v>
      </c>
      <c r="H24" s="55">
        <v>1</v>
      </c>
      <c r="I24" s="55">
        <v>60</v>
      </c>
      <c r="J24" s="55">
        <f t="shared" si="0"/>
        <v>60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211</v>
      </c>
      <c r="D17" s="70" t="s">
        <v>167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212</v>
      </c>
      <c r="D18" s="70" t="s">
        <v>167</v>
      </c>
      <c r="E18" s="55">
        <v>3</v>
      </c>
      <c r="F18" s="55">
        <v>20</v>
      </c>
      <c r="G18" s="55">
        <f>E18*F18</f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213</v>
      </c>
      <c r="D19" s="70" t="s">
        <v>167</v>
      </c>
      <c r="E19" s="55">
        <v>1</v>
      </c>
      <c r="F19" s="55">
        <v>100</v>
      </c>
      <c r="G19" s="55">
        <f>E19*F19</f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214</v>
      </c>
      <c r="D20" s="70" t="s">
        <v>167</v>
      </c>
      <c r="E20" s="55">
        <v>1</v>
      </c>
      <c r="F20" s="55">
        <v>180</v>
      </c>
      <c r="G20" s="55">
        <f>E20*F20</f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45</v>
      </c>
      <c r="E13" s="55"/>
      <c r="F13" s="55">
        <v>40</v>
      </c>
      <c r="G13" s="55">
        <v>300</v>
      </c>
      <c r="H13" s="55">
        <v>250</v>
      </c>
      <c r="I13" s="55"/>
      <c r="J13" s="55"/>
      <c r="K13" s="55"/>
      <c r="L13" s="55"/>
      <c r="M13" s="55"/>
      <c r="N13" s="55"/>
      <c r="P13" s="88">
        <f>SUM(D13:N13)</f>
        <v>635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45</v>
      </c>
      <c r="E30" s="88">
        <f t="shared" si="1"/>
        <v>0</v>
      </c>
      <c r="F30" s="88">
        <f t="shared" si="1"/>
        <v>40</v>
      </c>
      <c r="G30" s="88">
        <f t="shared" si="1"/>
        <v>300</v>
      </c>
      <c r="H30" s="88">
        <f t="shared" si="1"/>
        <v>250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2018-06-10T14:12:17Z</dcterms:modified>
</cp:coreProperties>
</file>