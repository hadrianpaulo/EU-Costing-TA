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data_general'!$B$1:$F$75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5" i="1"/>
  <c r="E75" i="1"/>
  <c r="D75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<sst xmlns="http://schemas.openxmlformats.org/spreadsheetml/2006/main" count="491" uniqueCount="200">
  <si>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</si>
  <si>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</si>
  <si>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</si>
  <si>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</si>
  <si>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</si>
  <si>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</si>
  <si>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</si>
  <si>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</si>
  <si>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</si>
  <si>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</si>
  <si>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</si>
  <si>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</si>
  <si>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</si>
  <si>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</si>
  <si>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</si>
  <si>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</si>
  <si>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</si>
  <si>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</si>
  <si>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</si>
  <si>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</si>
  <si>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</si>
  <si>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</si>
  <si>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</si>
  <si>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</si>
  <si>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</si>
  <si>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</si>
  <si>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</si>
  <si>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</si>
  <si>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</si>
  <si>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</si>
  <si>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</si>
  <si>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</si>
  <si>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</si>
  <si>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</si>
  <si>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</si>
  <si>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</si>
  <si>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</si>
  <si>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</si>
  <si>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</si>
  <si>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</si>
  <si>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</si>
  <si>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</si>
  <si>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</si>
  <si>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</si>
  <si>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</si>
  <si>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</si>
  <si>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</si>
  <si>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</si>
  <si>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</si>
  <si>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</si>
  <si>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</si>
  <si>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</si>
  <si>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</si>
  <si>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</si>
  <si>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</si>
  <si>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</si>
  <si>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</si>
  <si>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</si>
  <si>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</si>
  <si>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</si>
  <si>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</si>
  <si>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</si>
  <si>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</si>
  <si>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</si>
  <si>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</si>
  <si>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</si>
  <si>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</si>
  <si>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</si>
  <si>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</si>
  <si>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</si>
  <si>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</si>
  <si>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</si>
  <si>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</si>
  <si>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</si>
  <si>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</si>
  <si>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</si>
  <si>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</si>
  <si>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</si>
  <si>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</si>
  <si>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</si>
  <si>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</si>
  <si>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</si>
  <si>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</si>
  <si>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</si>
  <si>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</si>
  <si>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</si>
  <si>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</si>
  <si>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</si>
  <si>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</si>
  <si>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</si>
  <si>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</si>
  <si>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</si>
  <si>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</si>
  <si>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</si>
  <si>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</si>
  <si>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</si>
  <si>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</si>
  <si>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</si>
  <si>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</si>
  <si>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</si>
  <si>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</si>
  <si>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</si>
  <si>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</si>
  <si>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</si>
  <si>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</si>
  <si>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</si>
  <si>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</si>
  <si>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</si>
  <si>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</si>
  <si>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</si>
  <si>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</si>
  <si>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</si>
  <si>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</si>
  <si>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</si>
  <si>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</si>
  <si>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</si>
  <si>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</si>
  <si>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</si>
  <si>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</si>
  <si>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</si>
  <si>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</si>
  <si>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</si>
  <si>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</si>
  <si>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</si>
  <si>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</si>
  <si>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</si>
  <si>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</si>
  <si>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</si>
  <si>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</si>
  <si>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</si>
  <si>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</si>
  <si>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</si>
  <si>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</si>
  <si>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</si>
  <si>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</si>
  <si>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</si>
  <si>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</si>
  <si>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</si>
  <si>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</si>
  <si>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</si>
  <si>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</si>
  <si>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</si>
  <si>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</si>
  <si>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</si>
  <si>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</si>
  <si>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</si>
  <si>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</si>
  <si>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</si>
  <si>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</si>
  <si>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</si>
  <si>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</si>
  <si>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</si>
  <si>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</si>
  <si>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</si>
  <si>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</si>
  <si>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</si>
  <si>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</si>
  <si>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</si>
  <si>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</si>
  <si>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</si>
  <si>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</si>
  <si>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</si>
  <si>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</si>
  <si>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</si>
  <si>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</si>
  <si>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MACROSET</t>
  </si>
  <si>
    <t>PER PIECE</t>
  </si>
  <si>
    <t>CASE RATE (room,labs,meds, etc.)</t>
  </si>
  <si>
    <t>DISCOUNT</t>
  </si>
  <si>
    <t>PF CASE RATE</t>
  </si>
  <si>
    <t>E11.6</t>
  </si>
  <si>
    <t>CBC W/ PLATELET COUNT</t>
  </si>
  <si>
    <t>CREATININE</t>
  </si>
  <si>
    <t>SGPT</t>
  </si>
  <si>
    <t>IONIZED CALCIUM</t>
  </si>
  <si>
    <t>GLUCOSE (FASTING)</t>
  </si>
  <si>
    <t>URIC ACID</t>
  </si>
  <si>
    <t>CHOLESTEROL</t>
  </si>
  <si>
    <t>TRIGLYCERIDES</t>
  </si>
  <si>
    <t>PNSS</t>
  </si>
  <si>
    <t>CLONIDINE</t>
  </si>
  <si>
    <t>FENOFIBRATE</t>
  </si>
  <si>
    <t>IV FLUID</t>
  </si>
  <si>
    <t>TABLET</t>
  </si>
  <si>
    <t>CAPSULE</t>
  </si>
  <si>
    <t>IL</t>
  </si>
  <si>
    <t>75MG</t>
  </si>
  <si>
    <t>200MG</t>
  </si>
  <si>
    <t>INSYTE G22</t>
  </si>
  <si>
    <t xml:space="preserve">ATORVASTATIN </t>
  </si>
  <si>
    <t>80MG</t>
  </si>
  <si>
    <t>HUMAN INSULIN</t>
  </si>
  <si>
    <t>VIAL</t>
  </si>
  <si>
    <t>100UNITS</t>
  </si>
  <si>
    <t>KETOBEST</t>
  </si>
  <si>
    <t>600MG</t>
  </si>
  <si>
    <t>RANITIDINE</t>
  </si>
  <si>
    <t>150MG</t>
  </si>
  <si>
    <t>3CC SYRINGE</t>
  </si>
  <si>
    <t>INSULIN SYRINGE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</si>
</sst>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54</xdr:row>
          <xdr:rowOff>19050</xdr:rowOff>
        </xdr:from>
        <xdr:to>
          <xdr:col>1</xdr:col>
          <xdr:colOff>733425</xdr:colOff>
          <xdr:row>54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54</xdr:row>
          <xdr:rowOff>19050</xdr:rowOff>
        </xdr:from>
        <xdr:to>
          <xdr:col>1</xdr:col>
          <xdr:colOff>1504950</xdr:colOff>
          <xdr:row>54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63</xdr:row>
          <xdr:rowOff>19050</xdr:rowOff>
        </xdr:from>
        <xdr:to>
          <xdr:col>1</xdr:col>
          <xdr:colOff>733425</xdr:colOff>
          <xdr:row>63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63</xdr:row>
          <xdr:rowOff>19050</xdr:rowOff>
        </xdr:from>
        <xdr:to>
          <xdr:col>1</xdr:col>
          <xdr:colOff>1504950</xdr:colOff>
          <xdr:row>63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2"/>
  <sheetViews>
    <sheetView topLeftCell="A54" zoomScaleNormal="100" workbookViewId="0">
      <selection activeCell="F65" sqref="F6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170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171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172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173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174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175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176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177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178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19</v>
      </c>
      <c r="C42" s="119"/>
      <c r="D42" s="116"/>
      <c r="E42" s="119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</v>
      </c>
      <c r="C43" s="27"/>
      <c r="D43" s="23"/>
      <c r="E43" s="55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2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3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4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8" t="s">
        <v>45</v>
      </c>
      <c r="C47" s="119"/>
      <c r="D47" s="116"/>
      <c r="E47" s="119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14" t="s">
        <v>46</v>
      </c>
      <c r="C48" s="13"/>
      <c r="D48" s="13"/>
      <c r="E48" s="16"/>
      <c r="F48" s="13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5" t="s">
        <v>54</v>
      </c>
      <c r="C49" s="116"/>
      <c r="D49" s="116"/>
      <c r="E49" s="116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1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30">
        <v>2</v>
      </c>
      <c r="C51" s="31"/>
      <c r="D51" s="32"/>
      <c r="E51" s="57"/>
      <c r="F51" s="5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thickBot="1" x14ac:dyDescent="0.35">
      <c r="A54" s="1"/>
      <c r="B54" s="115" t="s">
        <v>20</v>
      </c>
      <c r="C54" s="116"/>
      <c r="D54" s="116"/>
      <c r="E54" s="116"/>
      <c r="F54" s="11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1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2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3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4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5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6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5"/>
      <c r="C61" s="25"/>
      <c r="D61" s="25"/>
      <c r="E61" s="25"/>
      <c r="F61" s="2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57.75" customHeight="1" thickBot="1" x14ac:dyDescent="0.35">
      <c r="A63" s="1"/>
      <c r="B63" s="17" t="s">
        <v>56</v>
      </c>
      <c r="C63" s="17" t="s">
        <v>52</v>
      </c>
      <c r="D63" s="17" t="s">
        <v>57</v>
      </c>
      <c r="E63" s="18" t="s">
        <v>58</v>
      </c>
      <c r="F63" s="19" t="s">
        <v>21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2">
        <v>1</v>
      </c>
      <c r="C64" s="27" t="s">
        <v>167</v>
      </c>
      <c r="D64" s="55">
        <v>8820</v>
      </c>
      <c r="E64" s="55"/>
      <c r="F64" s="55">
        <v>261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2</v>
      </c>
      <c r="C65" s="27" t="s">
        <v>168</v>
      </c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3</v>
      </c>
      <c r="C66" s="27" t="s">
        <v>169</v>
      </c>
      <c r="D66" s="55">
        <v>3780</v>
      </c>
      <c r="E66" s="55"/>
      <c r="F66" s="55">
        <v>500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4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5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6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7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8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9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10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4.9000000000000004" customHeight="1" thickBot="1" x14ac:dyDescent="0.35">
      <c r="A74" s="1"/>
      <c r="B74" s="1"/>
      <c r="C74" s="1"/>
      <c r="D74" s="58"/>
      <c r="E74" s="58"/>
      <c r="F74" s="58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thickTop="1" x14ac:dyDescent="0.3">
      <c r="A75" s="1"/>
      <c r="B75" s="11"/>
      <c r="C75" s="4" t="s">
        <v>22</v>
      </c>
      <c r="D75" s="59">
        <f>SUM(D64:D74)</f>
        <v>12600</v>
      </c>
      <c r="E75" s="59">
        <f>SUM(E64:E74)</f>
        <v>0</v>
      </c>
      <c r="F75" s="59">
        <f>SUM(F64:F74)</f>
        <v>761</v>
      </c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</sheetData>
  <sheetProtection password="C2E9" sheet="1" objects="1" scenarios="1" formatColumns="0" formatRows="0" sort="0" autoFilter="0"/>
  <mergeCells count="12">
    <mergeCell ref="B54:F54"/>
    <mergeCell ref="B47:F47"/>
    <mergeCell ref="B12:F12"/>
    <mergeCell ref="B13:F13"/>
    <mergeCell ref="B14:F14"/>
    <mergeCell ref="B15:F15"/>
    <mergeCell ref="B18:F18"/>
    <mergeCell ref="B22:F22"/>
    <mergeCell ref="B33:F33"/>
    <mergeCell ref="B28:F28"/>
    <mergeCell ref="B42:F42"/>
    <mergeCell ref="B49:F49"/>
  </mergeCells>
  <dataValidations count="1">
    <dataValidation type="decimal" operator="greaterThanOrEqual" allowBlank="1" showInputMessage="1" showErrorMessage="1" sqref="E32 E43:E46 E48 E23:F27 E50:F53 E55:F60 D64:F73 E34:E36 E37:E41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2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54</xdr:row>
                    <xdr:rowOff>19050</xdr:rowOff>
                  </from>
                  <to>
                    <xdr:col>1</xdr:col>
                    <xdr:colOff>733425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54</xdr:row>
                    <xdr:rowOff>19050</xdr:rowOff>
                  </from>
                  <to>
                    <xdr:col>1</xdr:col>
                    <xdr:colOff>1504950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63</xdr:row>
                    <xdr:rowOff>19050</xdr:rowOff>
                  </from>
                  <to>
                    <xdr:col>1</xdr:col>
                    <xdr:colOff>733425</xdr:colOff>
                    <xdr:row>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63</xdr:row>
                    <xdr:rowOff>19050</xdr:rowOff>
                  </from>
                  <to>
                    <xdr:col>1</xdr:col>
                    <xdr:colOff>1504950</xdr:colOff>
                    <xdr:row>63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11" workbookViewId="0">
      <selection activeCell="I18" sqref="I1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E11.6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179</v>
      </c>
      <c r="D11" s="27" t="s">
        <v>182</v>
      </c>
      <c r="E11" s="27" t="s">
        <v>185</v>
      </c>
      <c r="F11" s="55">
        <v>1</v>
      </c>
      <c r="G11" s="55">
        <v>1</v>
      </c>
      <c r="H11" s="55">
        <v>2</v>
      </c>
      <c r="I11" s="55">
        <v>260</v>
      </c>
      <c r="J11" s="55">
        <f t="shared" ref="J11:J17" si="0">H11*I11</f>
        <v>520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180</v>
      </c>
      <c r="D12" s="27" t="s">
        <v>183</v>
      </c>
      <c r="E12" s="27" t="s">
        <v>186</v>
      </c>
      <c r="F12" s="55">
        <v>1</v>
      </c>
      <c r="G12" s="55">
        <v>1</v>
      </c>
      <c r="H12" s="55">
        <v>3</v>
      </c>
      <c r="I12" s="55">
        <v>200</v>
      </c>
      <c r="J12" s="55">
        <f t="shared" si="0"/>
        <v>600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181</v>
      </c>
      <c r="D13" s="27" t="s">
        <v>184</v>
      </c>
      <c r="E13" s="27" t="s">
        <v>187</v>
      </c>
      <c r="F13" s="55">
        <v>1</v>
      </c>
      <c r="G13" s="55">
        <v>1</v>
      </c>
      <c r="H13" s="55">
        <v>2</v>
      </c>
      <c r="I13" s="55">
        <v>150</v>
      </c>
      <c r="J13" s="55">
        <f t="shared" si="0"/>
        <v>300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189</v>
      </c>
      <c r="D14" s="27" t="s">
        <v>183</v>
      </c>
      <c r="E14" s="27" t="s">
        <v>190</v>
      </c>
      <c r="F14" s="55">
        <v>3</v>
      </c>
      <c r="G14" s="55">
        <v>1</v>
      </c>
      <c r="H14" s="55">
        <v>3</v>
      </c>
      <c r="I14" s="55">
        <v>150</v>
      </c>
      <c r="J14" s="55">
        <f t="shared" si="0"/>
        <v>450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191</v>
      </c>
      <c r="D15" s="27" t="s">
        <v>192</v>
      </c>
      <c r="E15" s="27" t="s">
        <v>193</v>
      </c>
      <c r="F15" s="55">
        <v>1</v>
      </c>
      <c r="G15" s="55">
        <v>1</v>
      </c>
      <c r="H15" s="55">
        <v>20</v>
      </c>
      <c r="I15" s="55">
        <v>50</v>
      </c>
      <c r="J15" s="55">
        <f t="shared" si="0"/>
        <v>1000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194</v>
      </c>
      <c r="D16" s="27" t="s">
        <v>183</v>
      </c>
      <c r="E16" s="27" t="s">
        <v>195</v>
      </c>
      <c r="F16" s="55">
        <v>3</v>
      </c>
      <c r="G16" s="55">
        <v>1</v>
      </c>
      <c r="H16" s="55">
        <v>3</v>
      </c>
      <c r="I16" s="55">
        <v>150</v>
      </c>
      <c r="J16" s="55">
        <f t="shared" si="0"/>
        <v>450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196</v>
      </c>
      <c r="D17" s="27" t="s">
        <v>183</v>
      </c>
      <c r="E17" s="27" t="s">
        <v>197</v>
      </c>
      <c r="F17" s="55">
        <v>3</v>
      </c>
      <c r="G17" s="55">
        <v>1</v>
      </c>
      <c r="H17" s="55">
        <v>3</v>
      </c>
      <c r="I17" s="55">
        <v>150</v>
      </c>
      <c r="J17" s="55">
        <f t="shared" si="0"/>
        <v>450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F20" sqref="F2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E11.6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165</v>
      </c>
      <c r="D16" s="70" t="s">
        <v>166</v>
      </c>
      <c r="E16" s="55">
        <v>1</v>
      </c>
      <c r="F16" s="55">
        <v>150</v>
      </c>
      <c r="G16" s="55">
        <f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188</v>
      </c>
      <c r="D17" s="70" t="s">
        <v>166</v>
      </c>
      <c r="E17" s="55">
        <v>1</v>
      </c>
      <c r="F17" s="55">
        <v>150</v>
      </c>
      <c r="G17" s="55">
        <f>E17*F17</f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198</v>
      </c>
      <c r="D18" s="70" t="s">
        <v>166</v>
      </c>
      <c r="E18" s="55">
        <v>3</v>
      </c>
      <c r="F18" s="55">
        <v>50</v>
      </c>
      <c r="G18" s="55">
        <f>E18*F18</f>
        <v>150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199</v>
      </c>
      <c r="D19" s="70" t="s">
        <v>166</v>
      </c>
      <c r="E19" s="55">
        <v>3</v>
      </c>
      <c r="F19" s="55">
        <v>50</v>
      </c>
      <c r="G19" s="55">
        <f>E19*F19</f>
        <v>150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H20" sqref="H20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E11.6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35</v>
      </c>
      <c r="E13" s="55"/>
      <c r="F13" s="55">
        <v>180</v>
      </c>
      <c r="G13" s="55">
        <v>180</v>
      </c>
      <c r="H13" s="55"/>
      <c r="I13" s="55"/>
      <c r="J13" s="55"/>
      <c r="K13" s="55"/>
      <c r="L13" s="55"/>
      <c r="M13" s="55"/>
      <c r="N13" s="55"/>
      <c r="P13" s="88">
        <f>SUM(D13:N13)</f>
        <v>395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35</v>
      </c>
      <c r="E30" s="88">
        <f t="shared" si="1"/>
        <v>0</v>
      </c>
      <c r="F30" s="88">
        <f t="shared" si="1"/>
        <v>180</v>
      </c>
      <c r="G30" s="88">
        <f t="shared" si="1"/>
        <v>180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395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2018-06-09T00:00:45Z</dcterms:modified>
</cp:coreProperties>
</file>