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<sst xmlns="http://schemas.openxmlformats.org/spreadsheetml/2006/main" count="493" uniqueCount="201">
  <si>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</si>
  <si>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</si>
  <si>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</si>
  <si>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</si>
  <si>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</si>
  <si>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</si>
  <si>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</si>
  <si>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</si>
  <si>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</si>
  <si>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</si>
  <si>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</si>
  <si>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</si>
  <si>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</si>
  <si>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</si>
  <si>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</si>
  <si>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</si>
  <si>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</si>
  <si>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</si>
  <si>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</si>
  <si>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</si>
  <si>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</si>
  <si>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</si>
  <si>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</si>
  <si>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</si>
  <si>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</si>
  <si>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</si>
  <si>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</si>
  <si>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</si>
  <si>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</si>
  <si>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</si>
  <si>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</si>
  <si>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</si>
  <si>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</si>
  <si>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</si>
  <si>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</si>
  <si>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</si>
  <si>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</si>
  <si>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</si>
  <si>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</si>
  <si>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</si>
  <si>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</si>
  <si>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</si>
  <si>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</si>
  <si>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</si>
  <si>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</si>
  <si>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</si>
  <si>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</si>
  <si>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</si>
  <si>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</si>
  <si>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</si>
  <si>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</si>
  <si>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</si>
  <si>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</si>
  <si>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</si>
  <si>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</si>
  <si>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</si>
  <si>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</si>
  <si>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</si>
  <si>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</si>
  <si>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</si>
  <si>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</si>
  <si>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</si>
  <si>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</si>
  <si>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</si>
  <si>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</si>
  <si>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</si>
  <si>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</si>
  <si>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</si>
  <si>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</si>
  <si>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</si>
  <si>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</si>
  <si>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</si>
  <si>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</si>
  <si>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</si>
  <si>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</si>
  <si>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</si>
  <si>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</si>
  <si>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</si>
  <si>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</si>
  <si>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</si>
  <si>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</si>
  <si>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</si>
  <si>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</si>
  <si>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</si>
  <si>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</si>
  <si>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</si>
  <si>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</si>
  <si>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</si>
  <si>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</si>
  <si>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</si>
  <si>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</si>
  <si>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</si>
  <si>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</si>
  <si>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</si>
  <si>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</si>
  <si>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</si>
  <si>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</si>
  <si>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</si>
  <si>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</si>
  <si>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</si>
  <si>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</si>
  <si>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</si>
  <si>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</si>
  <si>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</si>
  <si>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</si>
  <si>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</si>
  <si>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</si>
  <si>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</si>
  <si>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</si>
  <si>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</si>
  <si>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</si>
  <si>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</si>
  <si>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</si>
  <si>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</si>
  <si>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</si>
  <si>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</si>
  <si>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</si>
  <si>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</si>
  <si>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</si>
  <si>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</si>
  <si>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</si>
  <si>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</si>
  <si>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</si>
  <si>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</si>
  <si>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</si>
  <si>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</si>
  <si>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</si>
  <si>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</si>
  <si>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</si>
  <si>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</si>
  <si>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</si>
  <si>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</si>
  <si>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</si>
  <si>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</si>
  <si>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</si>
  <si>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</si>
  <si>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</si>
  <si>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</si>
  <si>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</si>
  <si>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</si>
  <si>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</si>
  <si>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</si>
  <si>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</si>
  <si>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</si>
  <si>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</si>
  <si>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</si>
  <si>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</si>
  <si>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</si>
  <si>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</si>
  <si>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</si>
  <si>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</si>
  <si>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</si>
  <si>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</si>
  <si>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</si>
  <si>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</si>
  <si>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</si>
  <si>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</si>
  <si>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</si>
  <si>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</si>
  <si>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</si>
  <si>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</si>
  <si>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</si>
  <si>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</si>
  <si>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</si>
  <si>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</si>
  <si>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</si>
  <si>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</si>
  <si>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</si>
  <si>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</si>
  <si>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</si>
  <si>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E11.6</t>
  </si>
  <si>
    <t>URINALYSIS</t>
  </si>
  <si>
    <t>CBC W/ PLATELET COUNT</t>
  </si>
  <si>
    <t>CREATININE</t>
  </si>
  <si>
    <t>URIC ACID</t>
  </si>
  <si>
    <t>SGPT</t>
  </si>
  <si>
    <t>GLUCOSE (FASTING)</t>
  </si>
  <si>
    <t>CHOLESTEROL</t>
  </si>
  <si>
    <t>TRIGLYCERIDES</t>
  </si>
  <si>
    <t>CXR PA</t>
  </si>
  <si>
    <t>WHOLE ABDOMEN UTZ</t>
  </si>
  <si>
    <t>PNSS</t>
  </si>
  <si>
    <t>METFORMIN</t>
  </si>
  <si>
    <t>LOSARTAN</t>
  </si>
  <si>
    <t>IV FLUID</t>
  </si>
  <si>
    <t>TABLET</t>
  </si>
  <si>
    <t>1L</t>
  </si>
  <si>
    <t>500MG</t>
  </si>
  <si>
    <t>50MG</t>
  </si>
  <si>
    <t>INSYTE G22</t>
  </si>
  <si>
    <t>HUMAN INSULIN</t>
  </si>
  <si>
    <t>VIAL</t>
  </si>
  <si>
    <t>100UNITS</t>
  </si>
  <si>
    <t>ATORVASTATIN</t>
  </si>
  <si>
    <t>80MG</t>
  </si>
  <si>
    <t>KETOBEST</t>
  </si>
  <si>
    <t>600MG</t>
  </si>
  <si>
    <t>RANITIDINE</t>
  </si>
  <si>
    <t>150MG</t>
  </si>
  <si>
    <t xml:space="preserve">3CC SYRINGE </t>
  </si>
  <si>
    <t>INSULIN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</si>
</sst>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4" zoomScaleNormal="100" workbookViewId="0">
      <selection activeCell="F67" sqref="F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179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 t="s">
        <v>180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45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46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54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56</v>
      </c>
      <c r="C63" s="17" t="s">
        <v>52</v>
      </c>
      <c r="D63" s="17" t="s">
        <v>57</v>
      </c>
      <c r="E63" s="18" t="s">
        <v>58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167</v>
      </c>
      <c r="D64" s="55">
        <v>8820</v>
      </c>
      <c r="E64" s="55"/>
      <c r="F64" s="55">
        <v>120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168</v>
      </c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169</v>
      </c>
      <c r="D66" s="55">
        <v>3780</v>
      </c>
      <c r="E66" s="55"/>
      <c r="F66" s="55">
        <v>500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12600</v>
      </c>
      <c r="E75" s="59">
        <f>SUM(E64:E74)</f>
        <v>0</v>
      </c>
      <c r="F75" s="59">
        <f>SUM(F64:F74)</f>
        <v>620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184</v>
      </c>
      <c r="E11" s="27" t="s">
        <v>186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185</v>
      </c>
      <c r="E12" s="27" t="s">
        <v>187</v>
      </c>
      <c r="F12" s="55">
        <v>1</v>
      </c>
      <c r="G12" s="55">
        <v>1</v>
      </c>
      <c r="H12" s="55">
        <v>1</v>
      </c>
      <c r="I12" s="55">
        <v>250</v>
      </c>
      <c r="J12" s="55">
        <f t="shared" si="0"/>
        <v>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185</v>
      </c>
      <c r="E13" s="27" t="s">
        <v>188</v>
      </c>
      <c r="F13" s="55">
        <v>1</v>
      </c>
      <c r="G13" s="55">
        <v>1</v>
      </c>
      <c r="H13" s="55">
        <v>2</v>
      </c>
      <c r="I13" s="55">
        <v>150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191</v>
      </c>
      <c r="E14" s="27" t="s">
        <v>192</v>
      </c>
      <c r="F14" s="55">
        <v>1</v>
      </c>
      <c r="G14" s="55">
        <v>1</v>
      </c>
      <c r="H14" s="55">
        <v>20</v>
      </c>
      <c r="I14" s="55">
        <v>50</v>
      </c>
      <c r="J14" s="55">
        <f t="shared" si="0"/>
        <v>1000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185</v>
      </c>
      <c r="E15" s="27" t="s">
        <v>194</v>
      </c>
      <c r="F15" s="55">
        <v>1</v>
      </c>
      <c r="G15" s="55">
        <v>1</v>
      </c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185</v>
      </c>
      <c r="E16" s="27" t="s">
        <v>196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185</v>
      </c>
      <c r="E17" s="27" t="s">
        <v>198</v>
      </c>
      <c r="F17" s="55">
        <v>1</v>
      </c>
      <c r="G17" s="55">
        <v>1</v>
      </c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199</v>
      </c>
      <c r="D18" s="70" t="s">
        <v>166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200</v>
      </c>
      <c r="D19" s="70" t="s">
        <v>166</v>
      </c>
      <c r="E19" s="55">
        <v>2</v>
      </c>
      <c r="F19" s="55">
        <v>50</v>
      </c>
      <c r="G19" s="55">
        <f>E19*F19</f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4" sqref="O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v>30</v>
      </c>
      <c r="H13" s="55">
        <v>75</v>
      </c>
      <c r="I13" s="55"/>
      <c r="J13" s="55"/>
      <c r="K13" s="55"/>
      <c r="L13" s="55"/>
      <c r="M13" s="55"/>
      <c r="N13" s="55"/>
      <c r="P13" s="88">
        <f>SUM(D13:N13)</f>
        <v>130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75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2018-06-10T14:03:38Z</dcterms:modified>
</cp:coreProperties>
</file>