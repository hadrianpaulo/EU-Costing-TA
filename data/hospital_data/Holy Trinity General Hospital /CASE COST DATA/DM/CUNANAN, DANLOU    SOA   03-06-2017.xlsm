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<sst xmlns="http://schemas.openxmlformats.org/spreadsheetml/2006/main" count="478" uniqueCount="189">
  <si>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</si>
  <si>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</si>
  <si>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</si>
  <si>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</si>
  <si>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</si>
  <si>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</si>
  <si>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</si>
  <si>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</si>
  <si>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</si>
  <si>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</si>
  <si>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</si>
  <si>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</si>
  <si>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</si>
  <si>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</si>
  <si>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</si>
  <si>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</si>
  <si>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</si>
  <si>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</si>
  <si>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</si>
  <si>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</si>
  <si>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</si>
  <si>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</si>
  <si>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</si>
  <si>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</si>
  <si>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</si>
  <si>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</si>
  <si>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</si>
  <si>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</si>
  <si>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</si>
  <si>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</si>
  <si>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</si>
  <si>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</si>
  <si>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</si>
  <si>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</si>
  <si>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</si>
  <si>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</si>
  <si>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</si>
  <si>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</si>
  <si>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</si>
  <si>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</si>
  <si>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</si>
  <si>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</si>
  <si>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</si>
  <si>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</si>
  <si>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</si>
  <si>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</si>
  <si>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</si>
  <si>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</si>
  <si>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</si>
  <si>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</si>
  <si>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</si>
  <si>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</si>
  <si>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</si>
  <si>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</si>
  <si>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</si>
  <si>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</si>
  <si>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</si>
  <si>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</si>
  <si>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</si>
  <si>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</si>
  <si>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</si>
  <si>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</si>
  <si>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</si>
  <si>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</si>
  <si>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</si>
  <si>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</si>
  <si>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</si>
  <si>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</si>
  <si>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</si>
  <si>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</si>
  <si>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</si>
  <si>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</si>
  <si>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</si>
  <si>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</si>
  <si>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</si>
  <si>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</si>
  <si>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</si>
  <si>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</si>
  <si>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</si>
  <si>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</si>
  <si>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</si>
  <si>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</si>
  <si>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</si>
  <si>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</si>
  <si>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</si>
  <si>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</si>
  <si>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</si>
  <si>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</si>
  <si>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</si>
  <si>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</si>
  <si>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</si>
  <si>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</si>
  <si>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</si>
  <si>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</si>
  <si>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</si>
  <si>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</si>
  <si>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</si>
  <si>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</si>
  <si>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</si>
  <si>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</si>
  <si>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</si>
  <si>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</si>
  <si>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</si>
  <si>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</si>
  <si>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</si>
  <si>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</si>
  <si>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</si>
  <si>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</si>
  <si>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</si>
  <si>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</si>
  <si>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</si>
  <si>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</si>
  <si>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</si>
  <si>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</si>
  <si>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</si>
  <si>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</si>
  <si>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</si>
  <si>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</si>
  <si>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</si>
  <si>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</si>
  <si>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</si>
  <si>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</si>
  <si>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</si>
  <si>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</si>
  <si>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</si>
  <si>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</si>
  <si>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</si>
  <si>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</si>
  <si>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</si>
  <si>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</si>
  <si>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</si>
  <si>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</si>
  <si>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</si>
  <si>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</si>
  <si>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</si>
  <si>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</si>
  <si>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</si>
  <si>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</si>
  <si>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</si>
  <si>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</si>
  <si>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</si>
  <si>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</si>
  <si>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</si>
  <si>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</si>
  <si>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</si>
  <si>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</si>
  <si>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</si>
  <si>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</si>
  <si>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</si>
  <si>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</si>
  <si>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</si>
  <si>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</si>
  <si>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</si>
  <si>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</si>
  <si>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</si>
  <si>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</si>
  <si>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</si>
  <si>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</si>
  <si>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</si>
  <si>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</si>
  <si>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</si>
  <si>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</si>
  <si>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</si>
  <si>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</si>
  <si>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</si>
  <si>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</si>
  <si>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</si>
  <si>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</si>
  <si>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DISCOUNT</t>
  </si>
  <si>
    <t>PF CASE RATE</t>
  </si>
  <si>
    <t>E11.6</t>
  </si>
  <si>
    <t>URINALYSIS</t>
  </si>
  <si>
    <t>CT SCAN</t>
  </si>
  <si>
    <t>PNSS</t>
  </si>
  <si>
    <t>POTASSIUM CITRATE</t>
  </si>
  <si>
    <t>IV FLUID</t>
  </si>
  <si>
    <t>TABLET</t>
  </si>
  <si>
    <t>IL</t>
  </si>
  <si>
    <t>1080MG</t>
  </si>
  <si>
    <t>INSYTE G22</t>
  </si>
  <si>
    <t>CREATININE</t>
  </si>
  <si>
    <t>ATORVASTATIN</t>
  </si>
  <si>
    <t>80MG</t>
  </si>
  <si>
    <t>HUMAN INSULIN</t>
  </si>
  <si>
    <t>VIAL</t>
  </si>
  <si>
    <t>100 UNITS</t>
  </si>
  <si>
    <t>KETOBEST</t>
  </si>
  <si>
    <t>600MG</t>
  </si>
  <si>
    <t>3CC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</si>
</sst>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4" zoomScaleNormal="100" workbookViewId="0">
      <selection activeCell="F71" sqref="F7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172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167</v>
      </c>
      <c r="D60" s="55">
        <v>8820</v>
      </c>
      <c r="E60" s="55"/>
      <c r="F60" s="55">
        <v>1712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168</v>
      </c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169</v>
      </c>
      <c r="D62" s="55">
        <v>3780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12600</v>
      </c>
      <c r="E71" s="59">
        <f>SUM(E60:E70)</f>
        <v>0</v>
      </c>
      <c r="F71" s="59">
        <f>SUM(F60:F70)</f>
        <v>1712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I16" sqref="I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E11.6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175</v>
      </c>
      <c r="E11" s="27" t="s">
        <v>177</v>
      </c>
      <c r="F11" s="55">
        <v>1</v>
      </c>
      <c r="G11" s="55">
        <v>1</v>
      </c>
      <c r="H11" s="55">
        <v>1</v>
      </c>
      <c r="I11" s="55">
        <v>260</v>
      </c>
      <c r="J11" s="55">
        <f t="shared" ref="J11:J17" si="0">H11*I11</f>
        <v>260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174</v>
      </c>
      <c r="D12" s="27" t="s">
        <v>176</v>
      </c>
      <c r="E12" s="27" t="s">
        <v>178</v>
      </c>
      <c r="F12" s="55">
        <v>1</v>
      </c>
      <c r="G12" s="55">
        <v>1</v>
      </c>
      <c r="H12" s="55">
        <v>4</v>
      </c>
      <c r="I12" s="55">
        <v>50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181</v>
      </c>
      <c r="D13" s="27" t="s">
        <v>176</v>
      </c>
      <c r="E13" s="27" t="s">
        <v>182</v>
      </c>
      <c r="F13" s="55">
        <v>3</v>
      </c>
      <c r="G13" s="55">
        <v>1</v>
      </c>
      <c r="H13" s="55">
        <v>3</v>
      </c>
      <c r="I13" s="55">
        <v>100</v>
      </c>
      <c r="J13" s="55">
        <f t="shared" si="0"/>
        <v>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184</v>
      </c>
      <c r="E14" s="27" t="s">
        <v>185</v>
      </c>
      <c r="F14" s="55">
        <v>1</v>
      </c>
      <c r="G14" s="55">
        <v>1</v>
      </c>
      <c r="H14" s="55">
        <v>20</v>
      </c>
      <c r="I14" s="55">
        <v>50</v>
      </c>
      <c r="J14" s="55">
        <f t="shared" si="0"/>
        <v>1000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186</v>
      </c>
      <c r="D15" s="27" t="s">
        <v>176</v>
      </c>
      <c r="E15" s="27" t="s">
        <v>187</v>
      </c>
      <c r="F15" s="55">
        <v>3</v>
      </c>
      <c r="G15" s="55">
        <v>1</v>
      </c>
      <c r="H15" s="55">
        <v>3</v>
      </c>
      <c r="I15" s="55">
        <v>100</v>
      </c>
      <c r="J15" s="55">
        <f t="shared" si="0"/>
        <v>300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18" sqref="F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E11.6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166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188</v>
      </c>
      <c r="D18" s="70" t="s">
        <v>166</v>
      </c>
      <c r="E18" s="55">
        <v>3</v>
      </c>
      <c r="F18" s="55">
        <v>50</v>
      </c>
      <c r="G18" s="55">
        <f>E18*F18</f>
        <v>150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O13" sqref="O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E11.6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15</v>
      </c>
      <c r="E13" s="55"/>
      <c r="F13" s="55">
        <v>60</v>
      </c>
      <c r="G13" s="55">
        <v>70</v>
      </c>
      <c r="H13" s="55"/>
      <c r="I13" s="55"/>
      <c r="J13" s="55"/>
      <c r="K13" s="55"/>
      <c r="L13" s="55"/>
      <c r="M13" s="55"/>
      <c r="N13" s="55"/>
      <c r="P13" s="88">
        <f>SUM(D13:N13)</f>
        <v>145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60</v>
      </c>
      <c r="G30" s="88">
        <f t="shared" si="1"/>
        <v>70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145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2018-06-08T23:51:58Z</dcterms:modified>
</cp:coreProperties>
</file>