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<sst xmlns="http://schemas.openxmlformats.org/spreadsheetml/2006/main" count="498" uniqueCount="199">
  <si>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</si>
  <si>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</si>
  <si>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</si>
  <si>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</si>
  <si>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</si>
  <si>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</si>
  <si>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</si>
  <si>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</si>
  <si>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</si>
  <si>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</si>
  <si>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</si>
  <si>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</si>
  <si>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</si>
  <si>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</si>
  <si>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</si>
  <si>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</si>
  <si>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</si>
  <si>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</si>
  <si>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</si>
  <si>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</si>
  <si>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</si>
  <si>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</si>
  <si>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</si>
  <si>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</si>
  <si>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</si>
  <si>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</si>
  <si>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</si>
  <si>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</si>
  <si>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</si>
  <si>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</si>
  <si>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</si>
  <si>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</si>
  <si>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</si>
  <si>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</si>
  <si>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</si>
  <si>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</si>
  <si>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</si>
  <si>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</si>
  <si>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</si>
  <si>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</si>
  <si>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</si>
  <si>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</si>
  <si>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</si>
  <si>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</si>
  <si>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</si>
  <si>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</si>
  <si>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</si>
  <si>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</si>
  <si>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</si>
  <si>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</si>
  <si>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</si>
  <si>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</si>
  <si>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</si>
  <si>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</si>
  <si>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</si>
  <si>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</si>
  <si>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</si>
  <si>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</si>
  <si>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</si>
  <si>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</si>
  <si>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</si>
  <si>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</si>
  <si>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</si>
  <si>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</si>
  <si>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</si>
  <si>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</si>
  <si>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</si>
  <si>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</si>
  <si>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</si>
  <si>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</si>
  <si>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</si>
  <si>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</si>
  <si>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</si>
  <si>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</si>
  <si>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</si>
  <si>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</si>
  <si>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</si>
  <si>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</si>
  <si>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</si>
  <si>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</si>
  <si>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</si>
  <si>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</si>
  <si>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</si>
  <si>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</si>
  <si>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</si>
  <si>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</si>
  <si>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</si>
  <si>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</si>
  <si>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</si>
  <si>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</si>
  <si>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</si>
  <si>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</si>
  <si>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</si>
  <si>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</si>
  <si>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</si>
  <si>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</si>
  <si>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</si>
  <si>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</si>
  <si>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</si>
  <si>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</si>
  <si>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</si>
  <si>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</si>
  <si>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</si>
  <si>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</si>
  <si>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</si>
  <si>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</si>
  <si>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</si>
  <si>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</si>
  <si>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</si>
  <si>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</si>
  <si>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</si>
  <si>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</si>
  <si>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</si>
  <si>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</si>
  <si>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</si>
  <si>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</si>
  <si>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</si>
  <si>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</si>
  <si>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</si>
  <si>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</si>
  <si>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</si>
  <si>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</si>
  <si>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</si>
  <si>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</si>
  <si>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</si>
  <si>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</si>
  <si>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</si>
  <si>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</si>
  <si>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</si>
  <si>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</si>
  <si>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</si>
  <si>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</si>
  <si>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</si>
  <si>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</si>
  <si>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</si>
  <si>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</si>
  <si>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</si>
  <si>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</si>
  <si>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</si>
  <si>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</si>
  <si>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</si>
  <si>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</si>
  <si>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</si>
  <si>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</si>
  <si>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</si>
  <si>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</si>
  <si>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</si>
  <si>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</si>
  <si>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</si>
  <si>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</si>
  <si>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</si>
  <si>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</si>
  <si>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</si>
  <si>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</si>
  <si>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</si>
  <si>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</si>
  <si>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</si>
  <si>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</si>
  <si>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</si>
  <si>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</si>
  <si>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</si>
  <si>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</si>
  <si>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</si>
  <si>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</si>
  <si>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</si>
  <si>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</si>
  <si>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</si>
  <si>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</si>
  <si>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</si>
  <si>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E11.6</t>
  </si>
  <si>
    <t>GLUCOSA (FASTING)</t>
  </si>
  <si>
    <t>LIPID PROFILE</t>
  </si>
  <si>
    <t>URIC ACID</t>
  </si>
  <si>
    <t>URINALYSIS</t>
  </si>
  <si>
    <t>KUB UTZ</t>
  </si>
  <si>
    <t>ECG</t>
  </si>
  <si>
    <t>CBG MONITORING</t>
  </si>
  <si>
    <t>PNSS</t>
  </si>
  <si>
    <t>LEVOFLOXACIN</t>
  </si>
  <si>
    <t>TRANEXAMIC ACID</t>
  </si>
  <si>
    <t>BUSCOPAN</t>
  </si>
  <si>
    <t>SAMBONG</t>
  </si>
  <si>
    <t>POTASSIUM CITRATE</t>
  </si>
  <si>
    <t>KETOROLAC</t>
  </si>
  <si>
    <t>IV FLUID</t>
  </si>
  <si>
    <t>TABLET</t>
  </si>
  <si>
    <t>CAPSULE</t>
  </si>
  <si>
    <t>AMPOULE</t>
  </si>
  <si>
    <t>1L</t>
  </si>
  <si>
    <t>500MG</t>
  </si>
  <si>
    <t>20MG</t>
  </si>
  <si>
    <t>1080MG</t>
  </si>
  <si>
    <t>30MG/ML</t>
  </si>
  <si>
    <t>INSYTE G22</t>
  </si>
  <si>
    <t>INSULIN SYRINGE</t>
  </si>
  <si>
    <t>5CC SYRINGE</t>
  </si>
  <si>
    <t>3CC SYRINGE</t>
  </si>
  <si>
    <t>1CC SYRINGE</t>
  </si>
  <si>
    <t>SENIOR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</si>
</sst>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176</v>
      </c>
      <c r="D38" s="23"/>
      <c r="E38" s="55">
        <v>3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175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167</v>
      </c>
      <c r="D62" s="55">
        <v>8820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198</v>
      </c>
      <c r="D63" s="55"/>
      <c r="E63" s="55">
        <v>640</v>
      </c>
      <c r="F63" s="55">
        <v>3567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168</v>
      </c>
      <c r="D64" s="55">
        <v>3780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198</v>
      </c>
      <c r="D65" s="55"/>
      <c r="E65" s="55">
        <v>500</v>
      </c>
      <c r="F65" s="55">
        <v>1550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12600</v>
      </c>
      <c r="E73" s="59">
        <f>SUM(E62:E72)</f>
        <v>1140</v>
      </c>
      <c r="F73" s="59">
        <f>SUM(F62:F72)</f>
        <v>5117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184</v>
      </c>
      <c r="E11" s="27" t="s">
        <v>188</v>
      </c>
      <c r="F11" s="55">
        <v>3</v>
      </c>
      <c r="G11" s="55">
        <v>1</v>
      </c>
      <c r="H11" s="55">
        <v>6</v>
      </c>
      <c r="I11" s="55">
        <v>310</v>
      </c>
      <c r="J11" s="55">
        <f t="shared" ref="J11:J18" si="0">H11*I11</f>
        <v>1860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185</v>
      </c>
      <c r="E12" s="27" t="s">
        <v>189</v>
      </c>
      <c r="F12" s="55">
        <v>3</v>
      </c>
      <c r="G12" s="55">
        <v>1</v>
      </c>
      <c r="H12" s="55">
        <v>6</v>
      </c>
      <c r="I12" s="55">
        <v>60</v>
      </c>
      <c r="J12" s="55">
        <f t="shared" si="0"/>
        <v>360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186</v>
      </c>
      <c r="E13" s="27" t="s">
        <v>189</v>
      </c>
      <c r="F13" s="55">
        <v>2</v>
      </c>
      <c r="G13" s="55">
        <v>1</v>
      </c>
      <c r="H13" s="55">
        <v>3</v>
      </c>
      <c r="I13" s="55">
        <v>40</v>
      </c>
      <c r="J13" s="55">
        <f t="shared" si="0"/>
        <v>120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187</v>
      </c>
      <c r="E14" s="27" t="s">
        <v>190</v>
      </c>
      <c r="F14" s="55">
        <v>1</v>
      </c>
      <c r="G14" s="55">
        <v>1</v>
      </c>
      <c r="H14" s="55">
        <v>4</v>
      </c>
      <c r="I14" s="55">
        <v>250</v>
      </c>
      <c r="J14" s="55">
        <f t="shared" si="0"/>
        <v>1000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185</v>
      </c>
      <c r="E15" s="27" t="s">
        <v>189</v>
      </c>
      <c r="F15" s="55">
        <v>2</v>
      </c>
      <c r="G15" s="55">
        <v>1</v>
      </c>
      <c r="H15" s="55">
        <v>4</v>
      </c>
      <c r="I15" s="55">
        <v>30</v>
      </c>
      <c r="J15" s="55">
        <f t="shared" si="0"/>
        <v>120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185</v>
      </c>
      <c r="E16" s="27" t="s">
        <v>191</v>
      </c>
      <c r="F16" s="55">
        <v>1</v>
      </c>
      <c r="G16" s="55">
        <v>1</v>
      </c>
      <c r="H16" s="55">
        <v>2</v>
      </c>
      <c r="I16" s="55">
        <v>70</v>
      </c>
      <c r="J16" s="55">
        <f t="shared" si="0"/>
        <v>140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183</v>
      </c>
      <c r="D17" s="27" t="s">
        <v>187</v>
      </c>
      <c r="E17" s="27" t="s">
        <v>192</v>
      </c>
      <c r="F17" s="55">
        <v>1</v>
      </c>
      <c r="G17" s="55">
        <v>1</v>
      </c>
      <c r="H17" s="55">
        <v>1</v>
      </c>
      <c r="I17" s="55">
        <v>300</v>
      </c>
      <c r="J17" s="55">
        <f t="shared" si="0"/>
        <v>300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179</v>
      </c>
      <c r="D18" s="27" t="s">
        <v>187</v>
      </c>
      <c r="E18" s="27" t="s">
        <v>189</v>
      </c>
      <c r="F18" s="55">
        <v>1</v>
      </c>
      <c r="G18" s="55">
        <v>1</v>
      </c>
      <c r="H18" s="55">
        <v>3</v>
      </c>
      <c r="I18" s="55">
        <v>350</v>
      </c>
      <c r="J18" s="55">
        <f t="shared" si="0"/>
        <v>1050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194</v>
      </c>
      <c r="D18" s="70" t="s">
        <v>166</v>
      </c>
      <c r="E18" s="55">
        <v>1</v>
      </c>
      <c r="F18" s="55">
        <v>20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166</v>
      </c>
      <c r="E19" s="55">
        <v>2</v>
      </c>
      <c r="F19" s="55">
        <v>20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196</v>
      </c>
      <c r="D20" s="70" t="s">
        <v>166</v>
      </c>
      <c r="E20" s="55">
        <v>8</v>
      </c>
      <c r="F20" s="55">
        <v>20</v>
      </c>
      <c r="G20" s="55">
        <f t="shared" si="0"/>
        <v>160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166</v>
      </c>
      <c r="E21" s="55">
        <v>2</v>
      </c>
      <c r="F21" s="55">
        <v>20</v>
      </c>
      <c r="G21" s="55">
        <f t="shared" si="0"/>
        <v>40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150</v>
      </c>
      <c r="H13" s="55">
        <v>155</v>
      </c>
      <c r="I13" s="55"/>
      <c r="J13" s="55"/>
      <c r="K13" s="55"/>
      <c r="L13" s="55"/>
      <c r="M13" s="55"/>
      <c r="N13" s="55"/>
      <c r="P13" s="88">
        <f>SUM(D13:N13)</f>
        <v>365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150</v>
      </c>
      <c r="H30" s="88">
        <f t="shared" si="1"/>
        <v>155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2018-06-10T14:18:02Z</dcterms:modified>
</cp:coreProperties>
</file>