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CA\Desktop\Hospital visit August 24, 2018\Holy Trinity General Hospital\"/>
    </mc:Choice>
  </mc:AlternateContent>
  <workbookProtection lockStructure="1"/>
  <bookViews>
    <workbookView xWindow="0" yWindow="0" windowWidth="15525" windowHeight="7050"/>
  </bookViews>
  <sheets>
    <sheet name="7.1CSO supplies costs" sheetId="1" r:id="rId1"/>
  </sheets>
  <externalReferences>
    <externalReference r:id="rId2"/>
  </externalReferences>
  <definedNames>
    <definedName name="Drugs">'[1]1.0 Drugs&amp;Med List'!$B$16:$B$315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2" i="1" l="1"/>
  <c r="D16" i="1"/>
  <c r="D17" i="1"/>
  <c r="D18" i="1"/>
  <c r="D19" i="1"/>
  <c r="D21" i="1"/>
  <c r="D15" i="1"/>
  <c r="BG34" i="1" l="1"/>
  <c r="BF34" i="1"/>
  <c r="BE34" i="1"/>
  <c r="BD34" i="1"/>
  <c r="BC34" i="1"/>
  <c r="BB34" i="1"/>
  <c r="BA34" i="1"/>
  <c r="AZ34" i="1"/>
  <c r="AY34" i="1"/>
  <c r="AX34" i="1"/>
  <c r="AW34" i="1"/>
  <c r="AV34" i="1"/>
  <c r="AU34" i="1"/>
  <c r="AT34" i="1"/>
  <c r="AS34" i="1"/>
  <c r="AR34" i="1"/>
  <c r="AQ34" i="1"/>
  <c r="AP34" i="1"/>
  <c r="AO34" i="1"/>
  <c r="AN34" i="1"/>
  <c r="AM34" i="1"/>
  <c r="AL34" i="1"/>
  <c r="AK34" i="1"/>
  <c r="AJ34" i="1"/>
  <c r="AI34" i="1"/>
  <c r="AH34" i="1"/>
  <c r="AG34" i="1"/>
  <c r="AF34" i="1"/>
  <c r="AE34" i="1"/>
  <c r="AD34" i="1"/>
  <c r="AC34" i="1"/>
  <c r="AB34" i="1"/>
  <c r="AA34" i="1"/>
  <c r="Z34" i="1"/>
  <c r="Y34" i="1"/>
  <c r="X34" i="1"/>
  <c r="W34" i="1"/>
  <c r="V34" i="1"/>
  <c r="U34" i="1"/>
  <c r="T34" i="1"/>
  <c r="S34" i="1"/>
  <c r="R34" i="1"/>
  <c r="Q34" i="1"/>
  <c r="P34" i="1"/>
  <c r="O34" i="1"/>
  <c r="N34" i="1"/>
  <c r="M34" i="1"/>
  <c r="L34" i="1"/>
  <c r="K34" i="1"/>
  <c r="J34" i="1"/>
  <c r="I34" i="1"/>
  <c r="H34" i="1"/>
  <c r="G34" i="1"/>
  <c r="F34" i="1"/>
  <c r="DQ34" i="1"/>
  <c r="DP34" i="1"/>
  <c r="DO34" i="1"/>
  <c r="DN34" i="1"/>
  <c r="DM34" i="1"/>
  <c r="DL34" i="1"/>
  <c r="DK34" i="1"/>
  <c r="DJ34" i="1"/>
  <c r="DI34" i="1"/>
  <c r="DH34" i="1"/>
  <c r="DG34" i="1"/>
  <c r="DF34" i="1"/>
  <c r="DE34" i="1"/>
  <c r="DD34" i="1"/>
  <c r="DC34" i="1"/>
  <c r="DB34" i="1"/>
  <c r="DA34" i="1"/>
  <c r="CZ34" i="1"/>
  <c r="CY34" i="1"/>
  <c r="CX34" i="1"/>
  <c r="CW34" i="1"/>
  <c r="CV34" i="1"/>
  <c r="CU34" i="1"/>
  <c r="CT34" i="1"/>
  <c r="CS34" i="1"/>
  <c r="CR34" i="1"/>
  <c r="CQ34" i="1"/>
  <c r="CP34" i="1"/>
  <c r="CO34" i="1"/>
  <c r="CN34" i="1"/>
  <c r="CM34" i="1"/>
  <c r="CL34" i="1"/>
  <c r="CK34" i="1"/>
  <c r="CJ34" i="1"/>
  <c r="CI34" i="1"/>
  <c r="CH34" i="1"/>
  <c r="CG34" i="1"/>
  <c r="CF34" i="1"/>
  <c r="CE34" i="1"/>
  <c r="CD34" i="1"/>
  <c r="CC34" i="1"/>
  <c r="CB34" i="1"/>
  <c r="CA34" i="1"/>
  <c r="BZ34" i="1"/>
  <c r="BY34" i="1"/>
  <c r="BX34" i="1"/>
  <c r="BW34" i="1"/>
  <c r="BV34" i="1"/>
  <c r="BU34" i="1"/>
  <c r="BT34" i="1"/>
  <c r="BS34" i="1"/>
  <c r="BR34" i="1"/>
  <c r="BQ34" i="1"/>
  <c r="BP34" i="1"/>
  <c r="BO34" i="1"/>
  <c r="BN34" i="1"/>
  <c r="BM34" i="1"/>
  <c r="BL34" i="1"/>
  <c r="BK34" i="1"/>
  <c r="BJ34" i="1"/>
  <c r="BI34" i="1"/>
  <c r="D34" i="1" l="1"/>
</calcChain>
</file>

<file path=xl/sharedStrings.xml><?xml version="1.0" encoding="utf-8"?>
<sst xmlns="http://schemas.openxmlformats.org/spreadsheetml/2006/main" count="141" uniqueCount="89">
  <si>
    <t>Delivery Room</t>
  </si>
  <si>
    <t>Category of supplies</t>
  </si>
  <si>
    <t>Housekeeping supplies</t>
  </si>
  <si>
    <t>Medical supplies</t>
  </si>
  <si>
    <r>
      <rPr>
        <b/>
        <sz val="11"/>
        <color theme="1"/>
        <rFont val="Arial Narrow"/>
        <family val="2"/>
      </rPr>
      <t>Objective:</t>
    </r>
    <r>
      <rPr>
        <sz val="11"/>
        <color theme="1"/>
        <rFont val="Arial Narrow"/>
        <family val="2"/>
      </rPr>
      <t xml:space="preserve"> Identify costs of supplies consumed in each unit/department of the hospital</t>
    </r>
  </si>
  <si>
    <t>Other (specify)</t>
  </si>
  <si>
    <t xml:space="preserve">Oxygen </t>
  </si>
  <si>
    <t>Dental Supplies</t>
  </si>
  <si>
    <t>Office supplies (Including Forms)</t>
  </si>
  <si>
    <t>Laboratory Supplies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</si>
  <si>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</si>
  <si>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</si>
  <si>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</si>
  <si>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</si>
  <si>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</si>
  <si>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</si>
  <si>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</si>
  <si>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</si>
  <si>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</si>
  <si>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</si>
  <si>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</si>
  <si>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</si>
  <si>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</si>
  <si>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</si>
  <si>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</si>
  <si>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</si>
  <si>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</si>
  <si>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</si>
  <si>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</si>
  <si>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</si>
  <si>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</si>
  <si>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</si>
  <si>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</si>
  <si>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</si>
  <si>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</si>
  <si>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</si>
  <si>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</si>
  <si>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</si>
  <si>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</si>
  <si>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</si>
  <si>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</si>
  <si>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</si>
  <si>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</si>
  <si>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</si>
  <si>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</si>
  <si>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</si>
  <si>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</si>
  <si>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</si>
  <si>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</si>
  <si>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</si>
  <si>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</si>
  <si>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Total</t>
  </si>
  <si>
    <t>Others</t>
  </si>
  <si>
    <t>Sterilization</t>
  </si>
  <si>
    <t>Laboratory</t>
  </si>
  <si>
    <t>Radiology / Diagnostic Imaging (CT Scan, MRI, ECG, Mammography, Endoscopy)</t>
  </si>
  <si>
    <t>Physiotherapy / Rehabilitation</t>
  </si>
  <si>
    <t>Respiratory Unit</t>
  </si>
  <si>
    <t>Burn Unit</t>
  </si>
  <si>
    <t>Morgue</t>
  </si>
  <si>
    <t>Animal Bite Center</t>
  </si>
  <si>
    <t>TB Dots</t>
  </si>
  <si>
    <t>HIV Aids</t>
  </si>
  <si>
    <t>Family Planning Unit</t>
  </si>
  <si>
    <t>Smoking Cessation</t>
  </si>
  <si>
    <t>Malaria</t>
  </si>
  <si>
    <t>Heart Station</t>
  </si>
  <si>
    <t>Diabetes MAP</t>
  </si>
  <si>
    <t>Hypertension MAP</t>
  </si>
  <si>
    <t>Nuclear Medicine</t>
  </si>
  <si>
    <t>Endoscopy Unit</t>
  </si>
  <si>
    <t>Medical and other supplies and consumables dispensed by Central Supply Office/Unit</t>
  </si>
  <si>
    <t>#</t>
  </si>
  <si>
    <t>Period covered:</t>
  </si>
  <si>
    <t>IT Departments</t>
  </si>
  <si>
    <t>Housekeeping</t>
  </si>
  <si>
    <t>Outpatient Department (general)</t>
  </si>
  <si>
    <t xml:space="preserve">Diabetes </t>
  </si>
  <si>
    <t>Hypertension</t>
  </si>
  <si>
    <t>IT Department</t>
  </si>
  <si>
    <t xml:space="preserve">Housekeeping </t>
  </si>
  <si>
    <t>Office of the Chief of Medical Professional Staff / Chief of Clinics</t>
  </si>
  <si>
    <r>
      <t xml:space="preserve">Level of care </t>
    </r>
    <r>
      <rPr>
        <b/>
        <sz val="11"/>
        <color rgb="FFFF0000"/>
        <rFont val="Arial Narrow"/>
        <family val="2"/>
      </rPr>
      <t>(always update)</t>
    </r>
    <r>
      <rPr>
        <b/>
        <sz val="11"/>
        <color rgb="FF000000"/>
        <rFont val="Arial Narrow"/>
        <family val="2"/>
      </rPr>
      <t>:</t>
    </r>
  </si>
  <si>
    <t># Supplies</t>
  </si>
  <si>
    <r>
      <rPr>
        <b/>
        <sz val="11"/>
        <color theme="1"/>
        <rFont val="Arial Narrow"/>
        <family val="2"/>
      </rPr>
      <t>Data Collector:</t>
    </r>
    <r>
      <rPr>
        <sz val="11"/>
        <color theme="1"/>
        <rFont val="Arial Narrow"/>
        <family val="2"/>
      </rPr>
      <t xml:space="preserve"> Central supply office supervisor/staff and Procurement officer</t>
    </r>
  </si>
  <si>
    <r>
      <rPr>
        <b/>
        <sz val="11"/>
        <color theme="1"/>
        <rFont val="Arial Narrow"/>
        <family val="2"/>
      </rPr>
      <t>Source Documents:</t>
    </r>
    <r>
      <rPr>
        <sz val="11"/>
        <color theme="1"/>
        <rFont val="Arial Narrow"/>
        <family val="2"/>
      </rPr>
      <t xml:space="preserve">  Central supply logbook, Inventory report, Stock cards, Consumption report</t>
    </r>
  </si>
  <si>
    <r>
      <rPr>
        <b/>
        <sz val="11"/>
        <color theme="1"/>
        <rFont val="Arial Narrow"/>
        <family val="2"/>
      </rPr>
      <t>Instructions:</t>
    </r>
    <r>
      <rPr>
        <sz val="11"/>
        <color theme="1"/>
        <rFont val="Arial Narrow"/>
        <family val="2"/>
      </rPr>
      <t xml:space="preserve"> Record all expenses of medical and other supplies used by  various departments. If you have a report or data of CSO supplies and consumables by each departments for 2017, please input data. On the other hand, if you do not have such data, you can start recording the data by departments  for every day from 28 of May to 1st of June, 2018. At the end of all 5 days, please make summary of 5 days and encode in the below table for submission. </t>
    </r>
  </si>
  <si>
    <t>Total amount of consumption cost (peso/₱)</t>
  </si>
  <si>
    <t>Radiology Supplies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</si>
</sst>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00_-;\-* #,##0.00_-;_-* &quot;-&quot;??_-;_-@_-"/>
  </numFmts>
  <fonts count="21" x14ac:knownFonts="1">
    <font>
      <sz val="11"/>
      <color theme="1"/>
      <name val="Calibri"/>
      <family val="2"/>
      <scheme val="minor"/>
    </font>
    <font>
      <sz val="11"/>
      <name val="Arial"/>
      <family val="2"/>
    </font>
    <font>
      <sz val="11"/>
      <color theme="1"/>
      <name val="Arial Narrow"/>
      <family val="2"/>
    </font>
    <font>
      <b/>
      <sz val="11"/>
      <color theme="1"/>
      <name val="Arial Narrow"/>
      <family val="2"/>
    </font>
    <font>
      <b/>
      <i/>
      <sz val="10"/>
      <name val="Arial Narrow"/>
      <family val="2"/>
    </font>
    <font>
      <sz val="10"/>
      <color theme="1"/>
      <name val="Arial Narrow"/>
      <family val="2"/>
    </font>
    <font>
      <i/>
      <sz val="10"/>
      <color theme="1"/>
      <name val="Arial Narrow"/>
      <family val="2"/>
    </font>
    <font>
      <b/>
      <i/>
      <sz val="11"/>
      <color theme="1"/>
      <name val="Arial Narrow"/>
      <family val="2"/>
    </font>
    <font>
      <b/>
      <sz val="10"/>
      <color theme="1"/>
      <name val="Arial Narrow"/>
      <family val="2"/>
    </font>
    <font>
      <sz val="11"/>
      <color theme="1"/>
      <name val="Calibri"/>
      <family val="2"/>
      <scheme val="minor"/>
    </font>
    <font>
      <sz val="11"/>
      <color rgb="FF0070C0"/>
      <name val="Arial Narrow"/>
      <family val="2"/>
    </font>
    <font>
      <sz val="11"/>
      <color rgb="FF000000"/>
      <name val="Arial Narrow"/>
      <family val="2"/>
    </font>
    <font>
      <sz val="11"/>
      <name val="Calibri"/>
      <family val="2"/>
    </font>
    <font>
      <b/>
      <sz val="11"/>
      <color rgb="FF000000"/>
      <name val="Arial Narrow"/>
      <family val="2"/>
    </font>
    <font>
      <b/>
      <sz val="11"/>
      <name val="Calibri"/>
      <family val="2"/>
    </font>
    <font>
      <sz val="11"/>
      <name val="Arial Narrow"/>
      <family val="2"/>
    </font>
    <font>
      <b/>
      <sz val="11"/>
      <color rgb="FFFF0000"/>
      <name val="Arial Narrow"/>
      <family val="2"/>
    </font>
    <font>
      <sz val="8"/>
      <color rgb="FF008000"/>
      <name val="Calibri"/>
      <family val="2"/>
    </font>
    <font>
      <sz val="8"/>
      <color rgb="FF800000"/>
      <name val="Calibri"/>
      <family val="2"/>
    </font>
    <font>
      <sz val="11"/>
      <color rgb="FF0000FF"/>
      <name val="Calibri"/>
      <family val="2"/>
    </font>
    <font>
      <sz val="11"/>
      <color rgb="FF333333"/>
      <name val="Calibri"/>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164" fontId="9" fillId="0" borderId="0" applyFont="0" applyFill="0" applyBorder="0" applyAlignment="0" applyProtection="0"/>
  </cellStyleXfs>
  <cellXfs count="52">
    <xf numFmtId="0" fontId="0" fillId="0" borderId="0" xfId="0"/>
    <xf numFmtId="0" fontId="3" fillId="0" borderId="0" xfId="0" applyFont="1"/>
    <xf numFmtId="0" fontId="5" fillId="0" borderId="0" xfId="0" applyFont="1"/>
    <xf numFmtId="0" fontId="6"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2" fillId="0" borderId="0" xfId="0" applyFont="1"/>
    <xf numFmtId="0" fontId="8" fillId="0" borderId="1" xfId="0" applyFont="1" applyBorder="1"/>
    <xf numFmtId="0" fontId="8" fillId="0" borderId="0" xfId="0" applyFont="1"/>
    <xf numFmtId="164" fontId="10" fillId="2" borderId="1" xfId="2" applyFont="1" applyFill="1" applyBorder="1" applyProtection="1">
      <protection locked="0"/>
    </xf>
    <xf numFmtId="164" fontId="8" fillId="0" borderId="1" xfId="0" applyNumberFormat="1" applyFont="1" applyBorder="1"/>
    <xf numFmtId="0" fontId="5" fillId="0" borderId="1" xfId="0" applyFont="1" applyBorder="1" applyAlignment="1">
      <alignment horizontal="right" vertical="center"/>
    </xf>
    <xf numFmtId="0" fontId="10" fillId="2" borderId="1" xfId="0" applyFont="1" applyFill="1" applyBorder="1" applyAlignment="1" applyProtection="1">
      <alignment wrapText="1"/>
      <protection locked="0"/>
    </xf>
    <xf numFmtId="0" fontId="5" fillId="0" borderId="0" xfId="0" applyFont="1" applyProtection="1"/>
    <xf numFmtId="0" fontId="5" fillId="0" borderId="0" xfId="0" applyFont="1" applyAlignment="1" applyProtection="1">
      <alignment horizontal="center" wrapText="1"/>
    </xf>
    <xf numFmtId="0" fontId="11" fillId="4" borderId="1" xfId="1" applyFont="1" applyFill="1" applyBorder="1" applyAlignment="1">
      <alignment horizontal="left" vertical="center" wrapText="1"/>
    </xf>
    <xf numFmtId="0" fontId="15" fillId="4" borderId="1" xfId="1" applyFont="1" applyFill="1" applyBorder="1" applyAlignment="1">
      <alignment horizontal="left" vertical="center" wrapText="1"/>
    </xf>
    <xf numFmtId="0" fontId="12" fillId="4" borderId="1" xfId="1" applyFont="1" applyFill="1" applyBorder="1" applyAlignment="1">
      <alignment horizontal="left" vertical="center" wrapText="1"/>
    </xf>
    <xf numFmtId="164" fontId="10" fillId="2" borderId="2" xfId="2" applyFont="1" applyFill="1" applyBorder="1" applyProtection="1">
      <protection locked="0"/>
    </xf>
    <xf numFmtId="0" fontId="4" fillId="4" borderId="1" xfId="1" applyFont="1" applyFill="1" applyBorder="1" applyAlignment="1">
      <alignment vertical="center"/>
    </xf>
    <xf numFmtId="0" fontId="4" fillId="4" borderId="1" xfId="1" applyFont="1" applyFill="1" applyBorder="1" applyAlignment="1">
      <alignment vertical="top" wrapText="1"/>
    </xf>
    <xf numFmtId="0" fontId="5" fillId="3" borderId="3" xfId="0" applyFont="1" applyFill="1" applyBorder="1"/>
    <xf numFmtId="0" fontId="5" fillId="3" borderId="4" xfId="0" applyFont="1" applyFill="1" applyBorder="1"/>
    <xf numFmtId="0" fontId="5" fillId="3" borderId="5" xfId="0" applyFont="1" applyFill="1" applyBorder="1"/>
    <xf numFmtId="0" fontId="2" fillId="4" borderId="9" xfId="0" applyFont="1" applyFill="1" applyBorder="1"/>
    <xf numFmtId="0" fontId="2" fillId="4" borderId="0" xfId="0" applyFont="1" applyFill="1" applyBorder="1"/>
    <xf numFmtId="0" fontId="2" fillId="4" borderId="10" xfId="0" applyFont="1" applyFill="1" applyBorder="1"/>
    <xf numFmtId="0" fontId="3" fillId="4" borderId="9" xfId="0" applyFont="1" applyFill="1" applyBorder="1"/>
    <xf numFmtId="0" fontId="10" fillId="0" borderId="1" xfId="0" applyFont="1" applyBorder="1" applyAlignment="1" applyProtection="1">
      <alignment horizontal="center" vertical="center"/>
      <protection locked="0"/>
    </xf>
    <xf numFmtId="0" fontId="3" fillId="3" borderId="0" xfId="0" applyFont="1" applyFill="1"/>
    <xf numFmtId="0" fontId="5" fillId="3" borderId="0" xfId="0" applyFont="1" applyFill="1"/>
    <xf numFmtId="0" fontId="13" fillId="4" borderId="0" xfId="0" applyFont="1" applyFill="1" applyBorder="1" applyAlignment="1" applyProtection="1">
      <alignment horizontal="left" vertical="center"/>
    </xf>
    <xf numFmtId="0" fontId="7" fillId="0" borderId="0" xfId="0" applyFont="1" applyProtection="1"/>
    <xf numFmtId="0" fontId="3" fillId="0" borderId="0" xfId="0" applyFont="1" applyProtection="1"/>
    <xf numFmtId="0" fontId="5" fillId="4" borderId="1" xfId="0" applyFont="1" applyFill="1" applyBorder="1" applyAlignment="1">
      <alignment horizontal="center" vertical="center"/>
    </xf>
    <xf numFmtId="43" fontId="10" fillId="2" borderId="1" xfId="2" applyNumberFormat="1" applyFont="1" applyFill="1" applyBorder="1" applyProtection="1">
      <protection locked="0"/>
    </xf>
    <xf numFmtId="0" fontId="13" fillId="3" borderId="1" xfId="1" applyFont="1" applyFill="1" applyBorder="1" applyAlignment="1">
      <alignment horizontal="center" vertical="center" wrapText="1"/>
    </xf>
    <xf numFmtId="0" fontId="14" fillId="3" borderId="1" xfId="1" applyFont="1" applyFill="1" applyBorder="1" applyAlignment="1">
      <alignment wrapText="1"/>
    </xf>
    <xf numFmtId="0" fontId="13" fillId="4" borderId="1" xfId="1" applyFont="1" applyFill="1" applyBorder="1" applyAlignment="1">
      <alignment horizontal="center" vertical="center" wrapText="1"/>
    </xf>
    <xf numFmtId="0" fontId="14" fillId="4" borderId="1" xfId="1" applyFont="1" applyFill="1" applyBorder="1" applyAlignment="1">
      <alignment wrapText="1"/>
    </xf>
    <xf numFmtId="0" fontId="2" fillId="4" borderId="6" xfId="0" applyFont="1" applyFill="1" applyBorder="1" applyAlignment="1">
      <alignment horizontal="left" wrapText="1"/>
    </xf>
    <xf numFmtId="0" fontId="2" fillId="4" borderId="7" xfId="0" applyFont="1" applyFill="1" applyBorder="1" applyAlignment="1">
      <alignment horizontal="left" wrapText="1"/>
    </xf>
    <xf numFmtId="0" fontId="2" fillId="4" borderId="8" xfId="0" applyFont="1" applyFill="1" applyBorder="1" applyAlignment="1">
      <alignment horizontal="left" wrapText="1"/>
    </xf>
    <xf numFmtId="0" fontId="11" fillId="3" borderId="3" xfId="1" applyFont="1" applyFill="1" applyBorder="1" applyAlignment="1">
      <alignment wrapText="1"/>
    </xf>
    <xf numFmtId="0" fontId="11" fillId="3" borderId="4" xfId="1" applyFont="1" applyFill="1" applyBorder="1" applyAlignment="1">
      <alignment wrapText="1"/>
    </xf>
    <xf numFmtId="0" fontId="11" fillId="3" borderId="5" xfId="1" applyFont="1" applyFill="1" applyBorder="1" applyAlignment="1">
      <alignment wrapText="1"/>
    </xf>
    <xf numFmtId="0" fontId="11" fillId="3" borderId="1" xfId="1" applyFont="1" applyFill="1" applyBorder="1" applyAlignment="1">
      <alignment wrapText="1"/>
    </xf>
    <xf numFmtId="0" fontId="12" fillId="3" borderId="1" xfId="1" applyFont="1" applyFill="1" applyBorder="1" applyAlignment="1">
      <alignment wrapText="1"/>
    </xf>
    <xf numFmtId="0" fontId="11" fillId="3" borderId="1" xfId="1" applyFont="1" applyFill="1" applyBorder="1" applyAlignment="1">
      <alignment horizontal="center" vertical="center" wrapText="1"/>
    </xf>
    <xf numFmtId="0" fontId="2" fillId="4" borderId="11" xfId="0" applyFont="1" applyFill="1" applyBorder="1" applyAlignment="1">
      <alignment horizontal="left" vertical="top" wrapText="1"/>
    </xf>
    <xf numFmtId="0" fontId="2" fillId="4" borderId="12" xfId="0" applyFont="1" applyFill="1" applyBorder="1" applyAlignment="1">
      <alignment horizontal="left" vertical="top" wrapText="1"/>
    </xf>
    <xf numFmtId="0" fontId="2" fillId="4" borderId="13" xfId="0" applyFont="1" applyFill="1" applyBorder="1" applyAlignment="1">
      <alignment horizontal="left" vertical="top"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14</xdr:row>
          <xdr:rowOff>19050</xdr:rowOff>
        </xdr:from>
        <xdr:to>
          <xdr:col>1</xdr:col>
          <xdr:colOff>762000</xdr:colOff>
          <xdr:row>14</xdr:row>
          <xdr:rowOff>161925</xdr:rowOff>
        </xdr:to>
        <xdr:sp macro="" textlink="">
          <xdr:nvSpPr>
            <xdr:cNvPr id="1025" name="Button 1" descr="Add Diagnosis"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809625</xdr:colOff>
          <xdr:row>14</xdr:row>
          <xdr:rowOff>19050</xdr:rowOff>
        </xdr:from>
        <xdr:to>
          <xdr:col>1</xdr:col>
          <xdr:colOff>1524000</xdr:colOff>
          <xdr:row>14</xdr:row>
          <xdr:rowOff>161925</xdr:rowOff>
        </xdr:to>
        <xdr:sp macro="" textlink="">
          <xdr:nvSpPr>
            <xdr:cNvPr id="1026" name="Button 2" descr="Delete Diagnosis"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1800225</xdr:colOff>
          <xdr:row>10</xdr:row>
          <xdr:rowOff>0</xdr:rowOff>
        </xdr:from>
        <xdr:to>
          <xdr:col>2</xdr:col>
          <xdr:colOff>2886075</xdr:colOff>
          <xdr:row>11</xdr:row>
          <xdr:rowOff>9525</xdr:rowOff>
        </xdr:to>
        <xdr:sp macro="" textlink="">
          <xdr:nvSpPr>
            <xdr:cNvPr id="1027" name="SelectI" descr="Select Level I and II Health Facilities"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FF"/>
                  </a:solidFill>
                  <a:latin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3038475</xdr:colOff>
          <xdr:row>10</xdr:row>
          <xdr:rowOff>0</xdr:rowOff>
        </xdr:from>
        <xdr:to>
          <xdr:col>3</xdr:col>
          <xdr:colOff>790575</xdr:colOff>
          <xdr:row>11</xdr:row>
          <xdr:rowOff>9525</xdr:rowOff>
        </xdr:to>
        <xdr:sp macro="" textlink="">
          <xdr:nvSpPr>
            <xdr:cNvPr id="1028" name="SelectIIandIII" descr="Select Level I and II Health Facilities"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333333"/>
                  </a:solidFill>
                  <a:latin typeface="Calibri"/>
                </a:rPr>
                <a:t>Level II and III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ulienne/Desktop/Costing%20-%20San%20Fernandino/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row r="17">
          <cell r="B17">
            <v>0</v>
          </cell>
        </row>
        <row r="18">
          <cell r="B18">
            <v>0</v>
          </cell>
        </row>
        <row r="19">
          <cell r="B19">
            <v>0</v>
          </cell>
        </row>
        <row r="20">
          <cell r="B20">
            <v>0</v>
          </cell>
        </row>
        <row r="21">
          <cell r="B21">
            <v>0</v>
          </cell>
        </row>
        <row r="22">
          <cell r="B22">
            <v>0</v>
          </cell>
        </row>
        <row r="23">
          <cell r="B23">
            <v>0</v>
          </cell>
        </row>
        <row r="24">
          <cell r="B24">
            <v>0</v>
          </cell>
        </row>
        <row r="25">
          <cell r="B25">
            <v>0</v>
          </cell>
        </row>
        <row r="26">
          <cell r="B26">
            <v>0</v>
          </cell>
        </row>
        <row r="27">
          <cell r="B27">
            <v>0</v>
          </cell>
        </row>
        <row r="28">
          <cell r="B28">
            <v>0</v>
          </cell>
        </row>
        <row r="29">
          <cell r="B29">
            <v>0</v>
          </cell>
        </row>
        <row r="30">
          <cell r="B30">
            <v>0</v>
          </cell>
        </row>
        <row r="31">
          <cell r="B31">
            <v>0</v>
          </cell>
        </row>
        <row r="32">
          <cell r="B32">
            <v>0</v>
          </cell>
        </row>
        <row r="33">
          <cell r="B33">
            <v>0</v>
          </cell>
        </row>
        <row r="34">
          <cell r="B34">
            <v>0</v>
          </cell>
        </row>
        <row r="35">
          <cell r="B35">
            <v>0</v>
          </cell>
        </row>
        <row r="36">
          <cell r="B36">
            <v>0</v>
          </cell>
        </row>
        <row r="37">
          <cell r="B37">
            <v>0</v>
          </cell>
        </row>
        <row r="38">
          <cell r="B38">
            <v>0</v>
          </cell>
        </row>
        <row r="39">
          <cell r="B39">
            <v>0</v>
          </cell>
        </row>
        <row r="40">
          <cell r="B40">
            <v>0</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v>0</v>
          </cell>
        </row>
        <row r="101">
          <cell r="B101">
            <v>0</v>
          </cell>
        </row>
        <row r="102">
          <cell r="B102">
            <v>0</v>
          </cell>
        </row>
        <row r="103">
          <cell r="B103">
            <v>0</v>
          </cell>
        </row>
        <row r="104">
          <cell r="B104">
            <v>0</v>
          </cell>
        </row>
        <row r="105">
          <cell r="B105">
            <v>0</v>
          </cell>
        </row>
        <row r="106">
          <cell r="B106">
            <v>0</v>
          </cell>
        </row>
        <row r="107">
          <cell r="B107">
            <v>0</v>
          </cell>
        </row>
        <row r="108">
          <cell r="B108">
            <v>0</v>
          </cell>
        </row>
        <row r="109">
          <cell r="B109">
            <v>0</v>
          </cell>
        </row>
        <row r="110">
          <cell r="B110">
            <v>0</v>
          </cell>
        </row>
        <row r="111">
          <cell r="B111">
            <v>0</v>
          </cell>
        </row>
        <row r="112">
          <cell r="B112">
            <v>0</v>
          </cell>
        </row>
        <row r="113">
          <cell r="B113">
            <v>0</v>
          </cell>
        </row>
        <row r="114">
          <cell r="B114">
            <v>0</v>
          </cell>
        </row>
        <row r="115">
          <cell r="B115">
            <v>0</v>
          </cell>
        </row>
        <row r="116">
          <cell r="B116">
            <v>0</v>
          </cell>
        </row>
        <row r="117">
          <cell r="B117">
            <v>0</v>
          </cell>
        </row>
        <row r="118">
          <cell r="B118">
            <v>0</v>
          </cell>
        </row>
        <row r="119">
          <cell r="B119">
            <v>0</v>
          </cell>
        </row>
        <row r="120">
          <cell r="B120">
            <v>0</v>
          </cell>
        </row>
        <row r="121">
          <cell r="B121">
            <v>0</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0</v>
          </cell>
        </row>
        <row r="144">
          <cell r="B144">
            <v>0</v>
          </cell>
        </row>
        <row r="145">
          <cell r="B145">
            <v>0</v>
          </cell>
        </row>
        <row r="146">
          <cell r="B146">
            <v>0</v>
          </cell>
        </row>
        <row r="147">
          <cell r="B147">
            <v>0</v>
          </cell>
        </row>
        <row r="148">
          <cell r="B148">
            <v>0</v>
          </cell>
        </row>
        <row r="149">
          <cell r="B149">
            <v>0</v>
          </cell>
        </row>
        <row r="150">
          <cell r="B150">
            <v>0</v>
          </cell>
        </row>
        <row r="151">
          <cell r="B151">
            <v>0</v>
          </cell>
        </row>
        <row r="152">
          <cell r="B152">
            <v>0</v>
          </cell>
        </row>
        <row r="153">
          <cell r="B153">
            <v>0</v>
          </cell>
        </row>
        <row r="154">
          <cell r="B154">
            <v>0</v>
          </cell>
        </row>
        <row r="155">
          <cell r="B155">
            <v>0</v>
          </cell>
        </row>
        <row r="156">
          <cell r="B156">
            <v>0</v>
          </cell>
        </row>
        <row r="157">
          <cell r="B157">
            <v>0</v>
          </cell>
        </row>
        <row r="158">
          <cell r="B158">
            <v>0</v>
          </cell>
        </row>
        <row r="159">
          <cell r="B159">
            <v>0</v>
          </cell>
        </row>
        <row r="160">
          <cell r="B160">
            <v>0</v>
          </cell>
        </row>
        <row r="161">
          <cell r="B161">
            <v>0</v>
          </cell>
        </row>
        <row r="162">
          <cell r="B162">
            <v>0</v>
          </cell>
        </row>
        <row r="163">
          <cell r="B163">
            <v>0</v>
          </cell>
        </row>
        <row r="164">
          <cell r="B164">
            <v>0</v>
          </cell>
        </row>
        <row r="165">
          <cell r="B165">
            <v>0</v>
          </cell>
        </row>
        <row r="166">
          <cell r="B166">
            <v>0</v>
          </cell>
        </row>
        <row r="167">
          <cell r="B167">
            <v>0</v>
          </cell>
        </row>
        <row r="168">
          <cell r="B168">
            <v>0</v>
          </cell>
        </row>
        <row r="169">
          <cell r="B169">
            <v>0</v>
          </cell>
        </row>
        <row r="170">
          <cell r="B170">
            <v>0</v>
          </cell>
        </row>
        <row r="171">
          <cell r="B171">
            <v>0</v>
          </cell>
        </row>
        <row r="172">
          <cell r="B172">
            <v>0</v>
          </cell>
        </row>
        <row r="173">
          <cell r="B173">
            <v>0</v>
          </cell>
        </row>
        <row r="174">
          <cell r="B174">
            <v>0</v>
          </cell>
        </row>
        <row r="175">
          <cell r="B175">
            <v>0</v>
          </cell>
        </row>
        <row r="176">
          <cell r="B176">
            <v>0</v>
          </cell>
        </row>
        <row r="177">
          <cell r="B177">
            <v>0</v>
          </cell>
        </row>
        <row r="178">
          <cell r="B178">
            <v>0</v>
          </cell>
        </row>
        <row r="179">
          <cell r="B179">
            <v>0</v>
          </cell>
        </row>
        <row r="180">
          <cell r="B180">
            <v>0</v>
          </cell>
        </row>
        <row r="181">
          <cell r="B181">
            <v>0</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0</v>
          </cell>
        </row>
        <row r="260">
          <cell r="B260">
            <v>0</v>
          </cell>
        </row>
        <row r="261">
          <cell r="B261">
            <v>0</v>
          </cell>
        </row>
        <row r="262">
          <cell r="B262">
            <v>0</v>
          </cell>
        </row>
        <row r="263">
          <cell r="B263">
            <v>0</v>
          </cell>
        </row>
        <row r="264">
          <cell r="B264">
            <v>0</v>
          </cell>
        </row>
        <row r="265">
          <cell r="B265">
            <v>0</v>
          </cell>
        </row>
        <row r="266">
          <cell r="B266">
            <v>0</v>
          </cell>
        </row>
        <row r="267">
          <cell r="B267">
            <v>0</v>
          </cell>
        </row>
        <row r="268">
          <cell r="B268">
            <v>0</v>
          </cell>
        </row>
        <row r="269">
          <cell r="B269">
            <v>0</v>
          </cell>
        </row>
        <row r="270">
          <cell r="B270">
            <v>0</v>
          </cell>
        </row>
        <row r="271">
          <cell r="B271">
            <v>0</v>
          </cell>
        </row>
        <row r="272">
          <cell r="B272">
            <v>0</v>
          </cell>
        </row>
        <row r="273">
          <cell r="B273">
            <v>0</v>
          </cell>
        </row>
        <row r="274">
          <cell r="B274">
            <v>0</v>
          </cell>
        </row>
        <row r="275">
          <cell r="B275">
            <v>0</v>
          </cell>
        </row>
        <row r="276">
          <cell r="B276">
            <v>0</v>
          </cell>
        </row>
        <row r="277">
          <cell r="B277">
            <v>0</v>
          </cell>
        </row>
        <row r="278">
          <cell r="B278">
            <v>0</v>
          </cell>
        </row>
        <row r="279">
          <cell r="B279">
            <v>0</v>
          </cell>
        </row>
        <row r="280">
          <cell r="B280">
            <v>0</v>
          </cell>
        </row>
        <row r="281">
          <cell r="B281">
            <v>0</v>
          </cell>
        </row>
        <row r="282">
          <cell r="B282">
            <v>0</v>
          </cell>
        </row>
        <row r="283">
          <cell r="B283">
            <v>0</v>
          </cell>
        </row>
        <row r="284">
          <cell r="B284">
            <v>0</v>
          </cell>
        </row>
        <row r="285">
          <cell r="B285">
            <v>0</v>
          </cell>
        </row>
        <row r="286">
          <cell r="B286">
            <v>0</v>
          </cell>
        </row>
        <row r="287">
          <cell r="B287">
            <v>0</v>
          </cell>
        </row>
        <row r="288">
          <cell r="B288">
            <v>0</v>
          </cell>
        </row>
        <row r="289">
          <cell r="B289">
            <v>0</v>
          </cell>
        </row>
        <row r="290">
          <cell r="B290">
            <v>0</v>
          </cell>
        </row>
        <row r="291">
          <cell r="B291">
            <v>0</v>
          </cell>
        </row>
        <row r="292">
          <cell r="B292">
            <v>0</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Q35"/>
  <sheetViews>
    <sheetView showGridLines="0" tabSelected="1" topLeftCell="A14" zoomScale="90" zoomScaleNormal="90" workbookViewId="0">
      <selection activeCell="C27" sqref="C27"/>
    </sheetView>
  </sheetViews>
  <sheetFormatPr defaultColWidth="8.7109375" defaultRowHeight="16.5" outlineLevelRow="1" x14ac:dyDescent="0.3"/>
  <cols>
    <col min="1" max="1" width="3.85546875" style="2" customWidth="1"/>
    <col min="2" max="2" width="26.85546875" style="2" customWidth="1"/>
    <col min="3" max="3" width="46.42578125" style="2" customWidth="1"/>
    <col min="4" max="4" width="15.85546875" style="2" customWidth="1"/>
    <col min="5" max="5" width="1.42578125" style="6" customWidth="1"/>
    <col min="6" max="7" width="8.7109375" style="6" customWidth="1"/>
    <col min="8" max="8" width="11.85546875" style="6" customWidth="1"/>
    <col min="9" max="11" width="8.7109375" style="6" customWidth="1"/>
    <col min="12" max="12" width="15" style="6" customWidth="1"/>
    <col min="13" max="23" width="8.7109375" style="6" customWidth="1"/>
    <col min="24" max="24" width="14.85546875" style="6" customWidth="1"/>
    <col min="25" max="26" width="8.7109375" style="6" customWidth="1"/>
    <col min="27" max="27" width="16.140625" style="6" customWidth="1"/>
    <col min="28" max="28" width="8.7109375" style="6" customWidth="1"/>
    <col min="29" max="29" width="14.140625" style="6" customWidth="1"/>
    <col min="30" max="30" width="13.28515625" style="6" customWidth="1"/>
    <col min="31" max="31" width="11.28515625" style="6" customWidth="1"/>
    <col min="32" max="32" width="8.7109375" style="6" customWidth="1"/>
    <col min="33" max="33" width="16.140625" style="6" customWidth="1"/>
    <col min="34" max="41" width="8.7109375" style="6" customWidth="1"/>
    <col min="42" max="42" width="19.28515625" style="6" customWidth="1"/>
    <col min="43" max="50" width="8.7109375" style="6" customWidth="1"/>
    <col min="51" max="51" width="13.28515625" style="6" customWidth="1"/>
    <col min="52" max="52" width="21.140625" style="6" customWidth="1"/>
    <col min="53" max="54" width="8.7109375" style="6" customWidth="1"/>
    <col min="55" max="55" width="11" style="6" customWidth="1"/>
    <col min="56" max="59" width="8.7109375" style="6" customWidth="1"/>
    <col min="60" max="60" width="1.85546875" style="6" customWidth="1"/>
    <col min="61" max="121" width="8.7109375" style="6" hidden="1" customWidth="1"/>
    <col min="122" max="16384" width="8.7109375" style="2"/>
  </cols>
  <sheetData>
    <row r="2" spans="2:121" x14ac:dyDescent="0.3">
      <c r="B2" s="29" t="s">
        <v>71</v>
      </c>
      <c r="C2" s="30"/>
      <c r="D2" s="30"/>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row>
    <row r="3" spans="2:121" x14ac:dyDescent="0.3">
      <c r="B3" s="1"/>
    </row>
    <row r="4" spans="2:121" hidden="1" outlineLevel="1" x14ac:dyDescent="0.3">
      <c r="B4" s="2" t="s">
        <v>83</v>
      </c>
      <c r="C4" s="3">
        <v>18</v>
      </c>
    </row>
    <row r="5" spans="2:121" s="6" customFormat="1" ht="13.5" customHeight="1" collapsed="1" x14ac:dyDescent="0.3">
      <c r="B5" s="40" t="s">
        <v>4</v>
      </c>
      <c r="C5" s="41"/>
      <c r="D5" s="42"/>
    </row>
    <row r="6" spans="2:121" s="6" customFormat="1" x14ac:dyDescent="0.3">
      <c r="B6" s="24" t="s">
        <v>84</v>
      </c>
      <c r="C6" s="25"/>
      <c r="D6" s="26"/>
    </row>
    <row r="7" spans="2:121" s="6" customFormat="1" x14ac:dyDescent="0.3">
      <c r="B7" s="24" t="s">
        <v>85</v>
      </c>
      <c r="C7" s="25"/>
      <c r="D7" s="26"/>
    </row>
    <row r="8" spans="2:121" s="6" customFormat="1" x14ac:dyDescent="0.3">
      <c r="B8" s="27" t="s">
        <v>73</v>
      </c>
      <c r="C8" s="28">
        <v>2017</v>
      </c>
      <c r="D8" s="26"/>
    </row>
    <row r="9" spans="2:121" s="6" customFormat="1" ht="68.099999999999994" customHeight="1" x14ac:dyDescent="0.3">
      <c r="B9" s="49" t="s">
        <v>86</v>
      </c>
      <c r="C9" s="50"/>
      <c r="D9" s="51"/>
    </row>
    <row r="10" spans="2:121" ht="12.75" x14ac:dyDescent="0.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row>
    <row r="11" spans="2:121" s="13" customFormat="1" x14ac:dyDescent="0.2">
      <c r="B11" s="31" t="s">
        <v>82</v>
      </c>
      <c r="C11" s="31"/>
    </row>
    <row r="12" spans="2:121" s="13" customFormat="1" x14ac:dyDescent="0.3">
      <c r="B12" s="32"/>
      <c r="C12" s="32"/>
      <c r="D12" s="33"/>
    </row>
    <row r="13" spans="2:121" ht="14.45" customHeight="1" x14ac:dyDescent="0.3">
      <c r="B13" s="21"/>
      <c r="C13" s="22"/>
      <c r="D13" s="23"/>
      <c r="E13" s="14"/>
      <c r="F13" s="43" t="s">
        <v>10</v>
      </c>
      <c r="G13" s="44"/>
      <c r="H13" s="44"/>
      <c r="I13" s="44"/>
      <c r="J13" s="44"/>
      <c r="K13" s="44"/>
      <c r="L13" s="44"/>
      <c r="M13" s="44"/>
      <c r="N13" s="44"/>
      <c r="O13" s="44"/>
      <c r="P13" s="44"/>
      <c r="Q13" s="44"/>
      <c r="R13" s="44"/>
      <c r="S13" s="44"/>
      <c r="T13" s="44"/>
      <c r="U13" s="44"/>
      <c r="V13" s="44"/>
      <c r="W13" s="45"/>
      <c r="X13" s="46" t="s">
        <v>26</v>
      </c>
      <c r="Y13" s="47"/>
      <c r="Z13" s="47"/>
      <c r="AA13" s="47"/>
      <c r="AB13" s="47"/>
      <c r="AC13" s="47"/>
      <c r="AD13" s="47"/>
      <c r="AE13" s="47"/>
      <c r="AF13" s="47"/>
      <c r="AG13" s="47"/>
      <c r="AH13" s="47"/>
      <c r="AI13" s="47"/>
      <c r="AJ13" s="47"/>
      <c r="AK13" s="47"/>
      <c r="AL13" s="47"/>
      <c r="AM13" s="47"/>
      <c r="AN13" s="47"/>
      <c r="AO13" s="47"/>
      <c r="AP13" s="48" t="s">
        <v>37</v>
      </c>
      <c r="AQ13" s="47"/>
      <c r="AR13" s="47"/>
      <c r="AS13" s="47"/>
      <c r="AT13" s="47"/>
      <c r="AU13" s="47"/>
      <c r="AV13" s="47"/>
      <c r="AW13" s="47"/>
      <c r="AX13" s="47"/>
      <c r="AY13" s="47"/>
      <c r="AZ13" s="47"/>
      <c r="BA13" s="47"/>
      <c r="BB13" s="47"/>
      <c r="BC13" s="47"/>
      <c r="BD13" s="47"/>
      <c r="BE13" s="47"/>
      <c r="BF13" s="47"/>
      <c r="BG13" s="47"/>
      <c r="BH13" s="14"/>
      <c r="BI13" s="36" t="s">
        <v>10</v>
      </c>
      <c r="BJ13" s="37"/>
      <c r="BK13" s="37"/>
      <c r="BL13" s="37"/>
      <c r="BM13" s="37"/>
      <c r="BN13" s="37"/>
      <c r="BO13" s="37"/>
      <c r="BP13" s="37"/>
      <c r="BQ13" s="37"/>
      <c r="BR13" s="37"/>
      <c r="BS13" s="37"/>
      <c r="BT13" s="37"/>
      <c r="BU13" s="37"/>
      <c r="BV13" s="37"/>
      <c r="BW13" s="37"/>
      <c r="BX13" s="37"/>
      <c r="BY13" s="37"/>
      <c r="BZ13" s="37"/>
      <c r="CA13" s="38" t="s">
        <v>26</v>
      </c>
      <c r="CB13" s="39"/>
      <c r="CC13" s="39"/>
      <c r="CD13" s="39"/>
      <c r="CE13" s="39"/>
      <c r="CF13" s="39"/>
      <c r="CG13" s="39"/>
      <c r="CH13" s="39"/>
      <c r="CI13" s="39"/>
      <c r="CJ13" s="39"/>
      <c r="CK13" s="39"/>
      <c r="CL13" s="39"/>
      <c r="CM13" s="39"/>
      <c r="CN13" s="39"/>
      <c r="CO13" s="39"/>
      <c r="CP13" s="39"/>
      <c r="CQ13" s="39"/>
      <c r="CR13" s="39"/>
      <c r="CS13" s="39"/>
      <c r="CT13" s="36" t="s">
        <v>37</v>
      </c>
      <c r="CU13" s="36"/>
      <c r="CV13" s="36"/>
      <c r="CW13" s="36"/>
      <c r="CX13" s="36"/>
      <c r="CY13" s="36"/>
      <c r="CZ13" s="36"/>
      <c r="DA13" s="36"/>
      <c r="DB13" s="36"/>
      <c r="DC13" s="37"/>
      <c r="DD13" s="37"/>
      <c r="DE13" s="37"/>
      <c r="DF13" s="37"/>
      <c r="DG13" s="37"/>
      <c r="DH13" s="37"/>
      <c r="DI13" s="37"/>
      <c r="DJ13" s="37"/>
      <c r="DK13" s="37"/>
      <c r="DL13" s="37"/>
      <c r="DM13" s="37"/>
      <c r="DN13" s="37"/>
      <c r="DO13" s="37"/>
      <c r="DP13" s="37"/>
      <c r="DQ13" s="37"/>
    </row>
    <row r="14" spans="2:121" s="4" customFormat="1" ht="71.25" customHeight="1" x14ac:dyDescent="0.2">
      <c r="B14" s="34" t="s">
        <v>72</v>
      </c>
      <c r="C14" s="19" t="s">
        <v>1</v>
      </c>
      <c r="D14" s="20" t="s">
        <v>87</v>
      </c>
      <c r="E14" s="14"/>
      <c r="F14" s="15" t="s">
        <v>11</v>
      </c>
      <c r="G14" s="15" t="s">
        <v>74</v>
      </c>
      <c r="H14" s="15" t="s">
        <v>12</v>
      </c>
      <c r="I14" s="15" t="s">
        <v>13</v>
      </c>
      <c r="J14" s="15" t="s">
        <v>14</v>
      </c>
      <c r="K14" s="15" t="s">
        <v>15</v>
      </c>
      <c r="L14" s="15" t="s">
        <v>16</v>
      </c>
      <c r="M14" s="15" t="s">
        <v>75</v>
      </c>
      <c r="N14" s="15" t="s">
        <v>17</v>
      </c>
      <c r="O14" s="15" t="s">
        <v>18</v>
      </c>
      <c r="P14" s="15" t="s">
        <v>19</v>
      </c>
      <c r="Q14" s="15" t="s">
        <v>20</v>
      </c>
      <c r="R14" s="15" t="s">
        <v>21</v>
      </c>
      <c r="S14" s="15" t="s">
        <v>22</v>
      </c>
      <c r="T14" s="15" t="s">
        <v>23</v>
      </c>
      <c r="U14" s="15" t="s">
        <v>24</v>
      </c>
      <c r="V14" s="15" t="s">
        <v>25</v>
      </c>
      <c r="W14" s="15" t="s">
        <v>52</v>
      </c>
      <c r="X14" s="15" t="s">
        <v>27</v>
      </c>
      <c r="Y14" s="15" t="s">
        <v>30</v>
      </c>
      <c r="Z14" s="16" t="s">
        <v>53</v>
      </c>
      <c r="AA14" s="15" t="s">
        <v>29</v>
      </c>
      <c r="AB14" s="16" t="s">
        <v>28</v>
      </c>
      <c r="AC14" s="15" t="s">
        <v>54</v>
      </c>
      <c r="AD14" s="15" t="s">
        <v>55</v>
      </c>
      <c r="AE14" s="15" t="s">
        <v>56</v>
      </c>
      <c r="AF14" s="15" t="s">
        <v>0</v>
      </c>
      <c r="AG14" s="15" t="s">
        <v>31</v>
      </c>
      <c r="AH14" s="15" t="s">
        <v>57</v>
      </c>
      <c r="AI14" s="15" t="s">
        <v>32</v>
      </c>
      <c r="AJ14" s="15" t="s">
        <v>33</v>
      </c>
      <c r="AK14" s="15" t="s">
        <v>34</v>
      </c>
      <c r="AL14" s="15" t="s">
        <v>35</v>
      </c>
      <c r="AM14" s="16" t="s">
        <v>58</v>
      </c>
      <c r="AN14" s="16" t="s">
        <v>59</v>
      </c>
      <c r="AO14" s="15" t="s">
        <v>52</v>
      </c>
      <c r="AP14" s="15" t="s">
        <v>76</v>
      </c>
      <c r="AQ14" s="15" t="s">
        <v>60</v>
      </c>
      <c r="AR14" s="15" t="s">
        <v>61</v>
      </c>
      <c r="AS14" s="15" t="s">
        <v>62</v>
      </c>
      <c r="AT14" s="15" t="s">
        <v>63</v>
      </c>
      <c r="AU14" s="15" t="s">
        <v>64</v>
      </c>
      <c r="AV14" s="15" t="s">
        <v>65</v>
      </c>
      <c r="AW14" s="16" t="s">
        <v>77</v>
      </c>
      <c r="AX14" s="15" t="s">
        <v>78</v>
      </c>
      <c r="AY14" s="15" t="s">
        <v>39</v>
      </c>
      <c r="AZ14" s="15" t="s">
        <v>40</v>
      </c>
      <c r="BA14" s="15" t="s">
        <v>36</v>
      </c>
      <c r="BB14" s="15" t="s">
        <v>41</v>
      </c>
      <c r="BC14" s="15" t="s">
        <v>42</v>
      </c>
      <c r="BD14" s="15" t="s">
        <v>43</v>
      </c>
      <c r="BE14" s="15" t="s">
        <v>44</v>
      </c>
      <c r="BF14" s="15" t="s">
        <v>45</v>
      </c>
      <c r="BG14" s="15" t="s">
        <v>46</v>
      </c>
      <c r="BH14" s="14"/>
      <c r="BI14" s="15" t="s">
        <v>11</v>
      </c>
      <c r="BJ14" s="15" t="s">
        <v>79</v>
      </c>
      <c r="BK14" s="15" t="s">
        <v>12</v>
      </c>
      <c r="BL14" s="15" t="s">
        <v>13</v>
      </c>
      <c r="BM14" s="15" t="s">
        <v>14</v>
      </c>
      <c r="BN14" s="15" t="s">
        <v>15</v>
      </c>
      <c r="BO14" s="15" t="s">
        <v>16</v>
      </c>
      <c r="BP14" s="15" t="s">
        <v>80</v>
      </c>
      <c r="BQ14" s="15" t="s">
        <v>17</v>
      </c>
      <c r="BR14" s="15" t="s">
        <v>18</v>
      </c>
      <c r="BS14" s="15" t="s">
        <v>19</v>
      </c>
      <c r="BT14" s="15" t="s">
        <v>20</v>
      </c>
      <c r="BU14" s="15" t="s">
        <v>21</v>
      </c>
      <c r="BV14" s="15" t="s">
        <v>22</v>
      </c>
      <c r="BW14" s="15" t="s">
        <v>23</v>
      </c>
      <c r="BX14" s="15" t="s">
        <v>24</v>
      </c>
      <c r="BY14" s="15" t="s">
        <v>81</v>
      </c>
      <c r="BZ14" s="15" t="s">
        <v>52</v>
      </c>
      <c r="CA14" s="15" t="s">
        <v>27</v>
      </c>
      <c r="CB14" s="15" t="s">
        <v>30</v>
      </c>
      <c r="CC14" s="15" t="s">
        <v>53</v>
      </c>
      <c r="CD14" s="15" t="s">
        <v>29</v>
      </c>
      <c r="CE14" s="15" t="s">
        <v>28</v>
      </c>
      <c r="CF14" s="15" t="s">
        <v>54</v>
      </c>
      <c r="CG14" s="15" t="s">
        <v>55</v>
      </c>
      <c r="CH14" s="15" t="s">
        <v>66</v>
      </c>
      <c r="CI14" s="15" t="s">
        <v>56</v>
      </c>
      <c r="CJ14" s="15" t="s">
        <v>0</v>
      </c>
      <c r="CK14" s="15" t="s">
        <v>31</v>
      </c>
      <c r="CL14" s="15" t="s">
        <v>57</v>
      </c>
      <c r="CM14" s="15" t="s">
        <v>32</v>
      </c>
      <c r="CN14" s="15" t="s">
        <v>33</v>
      </c>
      <c r="CO14" s="15" t="s">
        <v>34</v>
      </c>
      <c r="CP14" s="15" t="s">
        <v>35</v>
      </c>
      <c r="CQ14" s="15" t="s">
        <v>58</v>
      </c>
      <c r="CR14" s="15" t="s">
        <v>59</v>
      </c>
      <c r="CS14" s="16" t="s">
        <v>52</v>
      </c>
      <c r="CT14" s="15" t="s">
        <v>38</v>
      </c>
      <c r="CU14" s="15" t="s">
        <v>60</v>
      </c>
      <c r="CV14" s="15" t="s">
        <v>61</v>
      </c>
      <c r="CW14" s="15" t="s">
        <v>62</v>
      </c>
      <c r="CX14" s="15" t="s">
        <v>63</v>
      </c>
      <c r="CY14" s="15" t="s">
        <v>64</v>
      </c>
      <c r="CZ14" s="15" t="s">
        <v>65</v>
      </c>
      <c r="DA14" s="17" t="s">
        <v>67</v>
      </c>
      <c r="DB14" s="15" t="s">
        <v>68</v>
      </c>
      <c r="DC14" s="15" t="s">
        <v>39</v>
      </c>
      <c r="DD14" s="15" t="s">
        <v>40</v>
      </c>
      <c r="DE14" s="15" t="s">
        <v>69</v>
      </c>
      <c r="DF14" s="15" t="s">
        <v>36</v>
      </c>
      <c r="DG14" s="15" t="s">
        <v>70</v>
      </c>
      <c r="DH14" s="15" t="s">
        <v>41</v>
      </c>
      <c r="DI14" s="15" t="s">
        <v>42</v>
      </c>
      <c r="DJ14" s="15" t="s">
        <v>43</v>
      </c>
      <c r="DK14" s="15" t="s">
        <v>44</v>
      </c>
      <c r="DL14" s="15" t="s">
        <v>45</v>
      </c>
      <c r="DM14" s="15" t="s">
        <v>46</v>
      </c>
      <c r="DN14" s="15" t="s">
        <v>47</v>
      </c>
      <c r="DO14" s="15" t="s">
        <v>48</v>
      </c>
      <c r="DP14" s="15" t="s">
        <v>49</v>
      </c>
      <c r="DQ14" s="15" t="s">
        <v>50</v>
      </c>
    </row>
    <row r="15" spans="2:121" s="5" customFormat="1" x14ac:dyDescent="0.3">
      <c r="B15" s="11">
        <v>1</v>
      </c>
      <c r="C15" s="12" t="s">
        <v>2</v>
      </c>
      <c r="D15" s="35">
        <f>SUM(F15:BG15)</f>
        <v>3690</v>
      </c>
      <c r="E15" s="14"/>
      <c r="F15" s="18"/>
      <c r="G15" s="18"/>
      <c r="H15" s="18"/>
      <c r="I15" s="18"/>
      <c r="J15" s="18"/>
      <c r="K15" s="18"/>
      <c r="L15" s="18">
        <v>1900</v>
      </c>
      <c r="M15" s="18"/>
      <c r="N15" s="18"/>
      <c r="O15" s="18"/>
      <c r="P15" s="18"/>
      <c r="Q15" s="18"/>
      <c r="R15" s="18"/>
      <c r="S15" s="18"/>
      <c r="T15" s="18"/>
      <c r="U15" s="18"/>
      <c r="V15" s="18"/>
      <c r="W15" s="18"/>
      <c r="X15" s="18">
        <v>1355</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v>435</v>
      </c>
      <c r="AZ15" s="18"/>
      <c r="BA15" s="18"/>
      <c r="BB15" s="18"/>
      <c r="BC15" s="18"/>
      <c r="BD15" s="18"/>
      <c r="BE15" s="18"/>
      <c r="BF15" s="18"/>
      <c r="BG15" s="18"/>
      <c r="BH15" s="14"/>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row>
    <row r="16" spans="2:121" x14ac:dyDescent="0.3">
      <c r="B16" s="11">
        <v>2</v>
      </c>
      <c r="C16" s="12" t="s">
        <v>8</v>
      </c>
      <c r="D16" s="35">
        <f t="shared" ref="D16:D21" si="0">SUM(F16:BG16)</f>
        <v>1988</v>
      </c>
      <c r="E16" s="14"/>
      <c r="F16" s="18"/>
      <c r="G16" s="18"/>
      <c r="H16" s="18">
        <v>904</v>
      </c>
      <c r="I16" s="18"/>
      <c r="J16" s="18"/>
      <c r="K16" s="18"/>
      <c r="L16" s="18"/>
      <c r="M16" s="18"/>
      <c r="N16" s="18"/>
      <c r="O16" s="18"/>
      <c r="P16" s="18"/>
      <c r="Q16" s="18"/>
      <c r="R16" s="18"/>
      <c r="S16" s="18"/>
      <c r="T16" s="18"/>
      <c r="U16" s="18"/>
      <c r="V16" s="18"/>
      <c r="W16" s="18"/>
      <c r="X16" s="18"/>
      <c r="Y16" s="18"/>
      <c r="Z16" s="18"/>
      <c r="AA16" s="18"/>
      <c r="AB16" s="18"/>
      <c r="AC16" s="18"/>
      <c r="AD16" s="18"/>
      <c r="AE16" s="18">
        <v>110</v>
      </c>
      <c r="AF16" s="18"/>
      <c r="AG16" s="18"/>
      <c r="AH16" s="18"/>
      <c r="AI16" s="18"/>
      <c r="AJ16" s="18"/>
      <c r="AK16" s="18"/>
      <c r="AL16" s="18"/>
      <c r="AM16" s="18"/>
      <c r="AN16" s="18"/>
      <c r="AO16" s="18"/>
      <c r="AP16" s="18">
        <v>974</v>
      </c>
      <c r="AQ16" s="18"/>
      <c r="AR16" s="18"/>
      <c r="AS16" s="18"/>
      <c r="AT16" s="18"/>
      <c r="AU16" s="18"/>
      <c r="AV16" s="18"/>
      <c r="AW16" s="18"/>
      <c r="AX16" s="18"/>
      <c r="AY16" s="18"/>
      <c r="AZ16" s="18"/>
      <c r="BA16" s="18"/>
      <c r="BB16" s="18"/>
      <c r="BC16" s="18"/>
      <c r="BD16" s="18"/>
      <c r="BE16" s="18"/>
      <c r="BF16" s="18"/>
      <c r="BG16" s="18"/>
      <c r="BH16" s="14"/>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row>
    <row r="17" spans="2:121" x14ac:dyDescent="0.3">
      <c r="B17" s="11">
        <v>3</v>
      </c>
      <c r="C17" s="12" t="s">
        <v>3</v>
      </c>
      <c r="D17" s="35">
        <f t="shared" si="0"/>
        <v>146719.75</v>
      </c>
      <c r="E17" s="14"/>
      <c r="F17" s="18"/>
      <c r="G17" s="18"/>
      <c r="H17" s="18"/>
      <c r="I17" s="18"/>
      <c r="J17" s="18"/>
      <c r="K17" s="18"/>
      <c r="L17" s="18"/>
      <c r="M17" s="18"/>
      <c r="N17" s="18"/>
      <c r="O17" s="18"/>
      <c r="P17" s="18"/>
      <c r="Q17" s="18"/>
      <c r="R17" s="18"/>
      <c r="S17" s="18"/>
      <c r="T17" s="18"/>
      <c r="U17" s="18"/>
      <c r="V17" s="18"/>
      <c r="W17" s="18"/>
      <c r="X17" s="18"/>
      <c r="Y17" s="18"/>
      <c r="Z17" s="18"/>
      <c r="AA17" s="18">
        <v>112499.5</v>
      </c>
      <c r="AB17" s="18"/>
      <c r="AC17" s="18"/>
      <c r="AD17" s="18"/>
      <c r="AE17" s="18"/>
      <c r="AF17" s="18"/>
      <c r="AG17" s="18">
        <v>7500</v>
      </c>
      <c r="AH17" s="18"/>
      <c r="AI17" s="18"/>
      <c r="AJ17" s="18"/>
      <c r="AK17" s="18"/>
      <c r="AL17" s="18"/>
      <c r="AM17" s="18"/>
      <c r="AN17" s="18"/>
      <c r="AO17" s="18"/>
      <c r="AP17" s="18"/>
      <c r="AQ17" s="18"/>
      <c r="AR17" s="18"/>
      <c r="AS17" s="18"/>
      <c r="AT17" s="18"/>
      <c r="AU17" s="18"/>
      <c r="AV17" s="18"/>
      <c r="AW17" s="18"/>
      <c r="AX17" s="18"/>
      <c r="AY17" s="18"/>
      <c r="AZ17" s="18">
        <v>26720.25</v>
      </c>
      <c r="BA17" s="18"/>
      <c r="BB17" s="18"/>
      <c r="BC17" s="18"/>
      <c r="BD17" s="18"/>
      <c r="BE17" s="18"/>
      <c r="BF17" s="18"/>
      <c r="BG17" s="18"/>
      <c r="BH17" s="14"/>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row>
    <row r="18" spans="2:121" x14ac:dyDescent="0.3">
      <c r="B18" s="11">
        <v>4</v>
      </c>
      <c r="C18" s="12" t="s">
        <v>7</v>
      </c>
      <c r="D18" s="35">
        <f t="shared" si="0"/>
        <v>0</v>
      </c>
      <c r="E18" s="14"/>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4"/>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row>
    <row r="19" spans="2:121" x14ac:dyDescent="0.3">
      <c r="B19" s="11">
        <v>5</v>
      </c>
      <c r="C19" s="12" t="s">
        <v>9</v>
      </c>
      <c r="D19" s="35">
        <f t="shared" si="0"/>
        <v>310</v>
      </c>
      <c r="F19" s="18"/>
      <c r="G19" s="18"/>
      <c r="H19" s="18"/>
      <c r="I19" s="18"/>
      <c r="J19" s="18"/>
      <c r="K19" s="18"/>
      <c r="L19" s="18"/>
      <c r="M19" s="18"/>
      <c r="N19" s="18"/>
      <c r="O19" s="18"/>
      <c r="P19" s="18"/>
      <c r="Q19" s="18"/>
      <c r="R19" s="18"/>
      <c r="S19" s="18"/>
      <c r="T19" s="18"/>
      <c r="U19" s="18"/>
      <c r="V19" s="18"/>
      <c r="W19" s="18"/>
      <c r="X19" s="18"/>
      <c r="Y19" s="18"/>
      <c r="Z19" s="18"/>
      <c r="AA19" s="18"/>
      <c r="AB19" s="18"/>
      <c r="AC19" s="18">
        <v>310</v>
      </c>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row>
    <row r="20" spans="2:121" x14ac:dyDescent="0.3">
      <c r="B20" s="11">
        <v>6</v>
      </c>
      <c r="C20" s="12" t="s">
        <v>6</v>
      </c>
      <c r="D20" s="35">
        <v>37500</v>
      </c>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v>5000</v>
      </c>
      <c r="AG20" s="18">
        <v>5000</v>
      </c>
      <c r="AH20" s="18"/>
      <c r="AI20" s="18"/>
      <c r="AJ20" s="18"/>
      <c r="AK20" s="18"/>
      <c r="AL20" s="18"/>
      <c r="AM20" s="18"/>
      <c r="AN20" s="18"/>
      <c r="AO20" s="18"/>
      <c r="AP20" s="18"/>
      <c r="AQ20" s="18"/>
      <c r="AR20" s="18"/>
      <c r="AS20" s="18"/>
      <c r="AT20" s="18"/>
      <c r="AU20" s="18"/>
      <c r="AV20" s="18"/>
      <c r="AW20" s="18"/>
      <c r="AX20" s="18"/>
      <c r="AY20" s="18">
        <v>15000</v>
      </c>
      <c r="AZ20" s="18"/>
      <c r="BA20" s="18"/>
      <c r="BB20" s="18"/>
      <c r="BC20" s="18">
        <v>12500</v>
      </c>
      <c r="BD20" s="18"/>
      <c r="BE20" s="18"/>
      <c r="BF20" s="18"/>
      <c r="BG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row>
    <row r="21" spans="2:121" x14ac:dyDescent="0.3">
      <c r="B21" s="11">
        <v>7</v>
      </c>
      <c r="C21" s="12" t="s">
        <v>88</v>
      </c>
      <c r="D21" s="35">
        <f t="shared" si="0"/>
        <v>235</v>
      </c>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v>235</v>
      </c>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row>
    <row r="22" spans="2:121" x14ac:dyDescent="0.3">
      <c r="B22" s="11">
        <v>8</v>
      </c>
      <c r="C22" s="12" t="s">
        <v>5</v>
      </c>
      <c r="D22" s="35">
        <f t="shared" ref="D22" si="1">SUM(F22:BG22)</f>
        <v>0</v>
      </c>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row>
    <row r="23" spans="2:121" x14ac:dyDescent="0.3">
      <c r="B23" s="11">
        <v>9</v>
      </c>
      <c r="C23" s="12"/>
      <c r="D23" s="9"/>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row>
    <row r="24" spans="2:121" x14ac:dyDescent="0.3">
      <c r="B24" s="11">
        <v>10</v>
      </c>
      <c r="C24" s="12"/>
      <c r="D24" s="9"/>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row>
    <row r="25" spans="2:121" x14ac:dyDescent="0.3">
      <c r="B25" s="11">
        <v>11</v>
      </c>
      <c r="C25" s="12"/>
      <c r="D25" s="9"/>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row>
    <row r="26" spans="2:121" x14ac:dyDescent="0.3">
      <c r="B26" s="11">
        <v>12</v>
      </c>
      <c r="C26" s="12"/>
      <c r="D26" s="9"/>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row>
    <row r="27" spans="2:121" x14ac:dyDescent="0.3">
      <c r="B27" s="11">
        <v>13</v>
      </c>
      <c r="C27" s="12"/>
      <c r="D27" s="9"/>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row>
    <row r="28" spans="2:121" x14ac:dyDescent="0.3">
      <c r="B28" s="11">
        <v>14</v>
      </c>
      <c r="C28" s="12"/>
      <c r="D28" s="9"/>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row>
    <row r="29" spans="2:121" x14ac:dyDescent="0.3">
      <c r="B29" s="11">
        <v>15</v>
      </c>
      <c r="C29" s="12"/>
      <c r="D29" s="9"/>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row>
    <row r="30" spans="2:121" x14ac:dyDescent="0.3">
      <c r="B30" s="11">
        <v>16</v>
      </c>
      <c r="C30" s="12"/>
      <c r="D30" s="9"/>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row>
    <row r="31" spans="2:121" x14ac:dyDescent="0.3">
      <c r="B31" s="11">
        <v>17</v>
      </c>
      <c r="C31" s="12"/>
      <c r="D31" s="9"/>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row>
    <row r="32" spans="2:121" x14ac:dyDescent="0.3">
      <c r="B32" s="11">
        <v>18</v>
      </c>
      <c r="C32" s="12"/>
      <c r="D32" s="9"/>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row>
    <row r="34" spans="2:121" x14ac:dyDescent="0.3">
      <c r="B34" s="7"/>
      <c r="C34" s="7" t="s">
        <v>51</v>
      </c>
      <c r="D34" s="10">
        <f>SUM(D15:D33)</f>
        <v>190442.75</v>
      </c>
      <c r="F34" s="10">
        <f t="shared" ref="F34:AK34" si="2">SUM(F15:F33)</f>
        <v>0</v>
      </c>
      <c r="G34" s="10">
        <f t="shared" si="2"/>
        <v>0</v>
      </c>
      <c r="H34" s="10">
        <f t="shared" si="2"/>
        <v>904</v>
      </c>
      <c r="I34" s="10">
        <f t="shared" si="2"/>
        <v>0</v>
      </c>
      <c r="J34" s="10">
        <f t="shared" si="2"/>
        <v>0</v>
      </c>
      <c r="K34" s="10">
        <f t="shared" si="2"/>
        <v>0</v>
      </c>
      <c r="L34" s="10">
        <f t="shared" si="2"/>
        <v>1900</v>
      </c>
      <c r="M34" s="10">
        <f t="shared" si="2"/>
        <v>0</v>
      </c>
      <c r="N34" s="10">
        <f t="shared" si="2"/>
        <v>0</v>
      </c>
      <c r="O34" s="10">
        <f t="shared" si="2"/>
        <v>0</v>
      </c>
      <c r="P34" s="10">
        <f t="shared" si="2"/>
        <v>0</v>
      </c>
      <c r="Q34" s="10">
        <f t="shared" si="2"/>
        <v>0</v>
      </c>
      <c r="R34" s="10">
        <f t="shared" si="2"/>
        <v>0</v>
      </c>
      <c r="S34" s="10">
        <f t="shared" si="2"/>
        <v>0</v>
      </c>
      <c r="T34" s="10">
        <f t="shared" si="2"/>
        <v>0</v>
      </c>
      <c r="U34" s="10">
        <f t="shared" si="2"/>
        <v>0</v>
      </c>
      <c r="V34" s="10">
        <f t="shared" si="2"/>
        <v>0</v>
      </c>
      <c r="W34" s="10">
        <f t="shared" si="2"/>
        <v>0</v>
      </c>
      <c r="X34" s="10">
        <f t="shared" si="2"/>
        <v>1355</v>
      </c>
      <c r="Y34" s="10">
        <f t="shared" si="2"/>
        <v>0</v>
      </c>
      <c r="Z34" s="10">
        <f t="shared" si="2"/>
        <v>0</v>
      </c>
      <c r="AA34" s="10">
        <f t="shared" si="2"/>
        <v>112499.5</v>
      </c>
      <c r="AB34" s="10">
        <f t="shared" si="2"/>
        <v>0</v>
      </c>
      <c r="AC34" s="10">
        <f t="shared" si="2"/>
        <v>310</v>
      </c>
      <c r="AD34" s="10">
        <f t="shared" si="2"/>
        <v>235</v>
      </c>
      <c r="AE34" s="10">
        <f t="shared" si="2"/>
        <v>110</v>
      </c>
      <c r="AF34" s="10">
        <f t="shared" si="2"/>
        <v>5000</v>
      </c>
      <c r="AG34" s="10">
        <f t="shared" si="2"/>
        <v>12500</v>
      </c>
      <c r="AH34" s="10">
        <f t="shared" si="2"/>
        <v>0</v>
      </c>
      <c r="AI34" s="10">
        <f t="shared" si="2"/>
        <v>0</v>
      </c>
      <c r="AJ34" s="10">
        <f t="shared" si="2"/>
        <v>0</v>
      </c>
      <c r="AK34" s="10">
        <f t="shared" si="2"/>
        <v>0</v>
      </c>
      <c r="AL34" s="10">
        <f t="shared" ref="AL34:BG34" si="3">SUM(AL15:AL33)</f>
        <v>0</v>
      </c>
      <c r="AM34" s="10">
        <f t="shared" si="3"/>
        <v>0</v>
      </c>
      <c r="AN34" s="10">
        <f t="shared" si="3"/>
        <v>0</v>
      </c>
      <c r="AO34" s="10">
        <f t="shared" si="3"/>
        <v>0</v>
      </c>
      <c r="AP34" s="10">
        <f t="shared" si="3"/>
        <v>974</v>
      </c>
      <c r="AQ34" s="10">
        <f t="shared" si="3"/>
        <v>0</v>
      </c>
      <c r="AR34" s="10">
        <f t="shared" si="3"/>
        <v>0</v>
      </c>
      <c r="AS34" s="10">
        <f t="shared" si="3"/>
        <v>0</v>
      </c>
      <c r="AT34" s="10">
        <f t="shared" si="3"/>
        <v>0</v>
      </c>
      <c r="AU34" s="10">
        <f t="shared" si="3"/>
        <v>0</v>
      </c>
      <c r="AV34" s="10">
        <f t="shared" si="3"/>
        <v>0</v>
      </c>
      <c r="AW34" s="10">
        <f t="shared" si="3"/>
        <v>0</v>
      </c>
      <c r="AX34" s="10">
        <f t="shared" si="3"/>
        <v>0</v>
      </c>
      <c r="AY34" s="10">
        <f t="shared" si="3"/>
        <v>15435</v>
      </c>
      <c r="AZ34" s="10">
        <f t="shared" si="3"/>
        <v>26720.25</v>
      </c>
      <c r="BA34" s="10">
        <f t="shared" si="3"/>
        <v>0</v>
      </c>
      <c r="BB34" s="10">
        <f t="shared" si="3"/>
        <v>0</v>
      </c>
      <c r="BC34" s="10">
        <f t="shared" si="3"/>
        <v>12500</v>
      </c>
      <c r="BD34" s="10">
        <f t="shared" si="3"/>
        <v>0</v>
      </c>
      <c r="BE34" s="10">
        <f t="shared" si="3"/>
        <v>0</v>
      </c>
      <c r="BF34" s="10">
        <f t="shared" si="3"/>
        <v>0</v>
      </c>
      <c r="BG34" s="10">
        <f t="shared" si="3"/>
        <v>0</v>
      </c>
      <c r="BI34" s="10">
        <f t="shared" ref="BI34:CN34" si="4">SUM(BI15:BI33)</f>
        <v>0</v>
      </c>
      <c r="BJ34" s="10">
        <f t="shared" si="4"/>
        <v>0</v>
      </c>
      <c r="BK34" s="10">
        <f t="shared" si="4"/>
        <v>0</v>
      </c>
      <c r="BL34" s="10">
        <f t="shared" si="4"/>
        <v>0</v>
      </c>
      <c r="BM34" s="10">
        <f t="shared" si="4"/>
        <v>0</v>
      </c>
      <c r="BN34" s="10">
        <f t="shared" si="4"/>
        <v>0</v>
      </c>
      <c r="BO34" s="10">
        <f t="shared" si="4"/>
        <v>0</v>
      </c>
      <c r="BP34" s="10">
        <f t="shared" si="4"/>
        <v>0</v>
      </c>
      <c r="BQ34" s="10">
        <f t="shared" si="4"/>
        <v>0</v>
      </c>
      <c r="BR34" s="10">
        <f t="shared" si="4"/>
        <v>0</v>
      </c>
      <c r="BS34" s="10">
        <f t="shared" si="4"/>
        <v>0</v>
      </c>
      <c r="BT34" s="10">
        <f t="shared" si="4"/>
        <v>0</v>
      </c>
      <c r="BU34" s="10">
        <f t="shared" si="4"/>
        <v>0</v>
      </c>
      <c r="BV34" s="10">
        <f t="shared" si="4"/>
        <v>0</v>
      </c>
      <c r="BW34" s="10">
        <f t="shared" si="4"/>
        <v>0</v>
      </c>
      <c r="BX34" s="10">
        <f t="shared" si="4"/>
        <v>0</v>
      </c>
      <c r="BY34" s="10">
        <f t="shared" si="4"/>
        <v>0</v>
      </c>
      <c r="BZ34" s="10">
        <f t="shared" si="4"/>
        <v>0</v>
      </c>
      <c r="CA34" s="10">
        <f t="shared" si="4"/>
        <v>0</v>
      </c>
      <c r="CB34" s="10">
        <f t="shared" si="4"/>
        <v>0</v>
      </c>
      <c r="CC34" s="10">
        <f t="shared" si="4"/>
        <v>0</v>
      </c>
      <c r="CD34" s="10">
        <f t="shared" si="4"/>
        <v>0</v>
      </c>
      <c r="CE34" s="10">
        <f t="shared" si="4"/>
        <v>0</v>
      </c>
      <c r="CF34" s="10">
        <f t="shared" si="4"/>
        <v>0</v>
      </c>
      <c r="CG34" s="10">
        <f t="shared" si="4"/>
        <v>0</v>
      </c>
      <c r="CH34" s="10">
        <f t="shared" si="4"/>
        <v>0</v>
      </c>
      <c r="CI34" s="10">
        <f t="shared" si="4"/>
        <v>0</v>
      </c>
      <c r="CJ34" s="10">
        <f t="shared" si="4"/>
        <v>0</v>
      </c>
      <c r="CK34" s="10">
        <f t="shared" si="4"/>
        <v>0</v>
      </c>
      <c r="CL34" s="10">
        <f t="shared" si="4"/>
        <v>0</v>
      </c>
      <c r="CM34" s="10">
        <f t="shared" si="4"/>
        <v>0</v>
      </c>
      <c r="CN34" s="10">
        <f t="shared" si="4"/>
        <v>0</v>
      </c>
      <c r="CO34" s="10">
        <f t="shared" ref="CO34:DQ34" si="5">SUM(CO15:CO33)</f>
        <v>0</v>
      </c>
      <c r="CP34" s="10">
        <f t="shared" si="5"/>
        <v>0</v>
      </c>
      <c r="CQ34" s="10">
        <f t="shared" si="5"/>
        <v>0</v>
      </c>
      <c r="CR34" s="10">
        <f t="shared" si="5"/>
        <v>0</v>
      </c>
      <c r="CS34" s="10">
        <f t="shared" si="5"/>
        <v>0</v>
      </c>
      <c r="CT34" s="10">
        <f t="shared" si="5"/>
        <v>0</v>
      </c>
      <c r="CU34" s="10">
        <f t="shared" si="5"/>
        <v>0</v>
      </c>
      <c r="CV34" s="10">
        <f t="shared" si="5"/>
        <v>0</v>
      </c>
      <c r="CW34" s="10">
        <f t="shared" si="5"/>
        <v>0</v>
      </c>
      <c r="CX34" s="10">
        <f t="shared" si="5"/>
        <v>0</v>
      </c>
      <c r="CY34" s="10">
        <f t="shared" si="5"/>
        <v>0</v>
      </c>
      <c r="CZ34" s="10">
        <f t="shared" si="5"/>
        <v>0</v>
      </c>
      <c r="DA34" s="10">
        <f t="shared" si="5"/>
        <v>0</v>
      </c>
      <c r="DB34" s="10">
        <f t="shared" si="5"/>
        <v>0</v>
      </c>
      <c r="DC34" s="10">
        <f t="shared" si="5"/>
        <v>0</v>
      </c>
      <c r="DD34" s="10">
        <f t="shared" si="5"/>
        <v>0</v>
      </c>
      <c r="DE34" s="10">
        <f t="shared" si="5"/>
        <v>0</v>
      </c>
      <c r="DF34" s="10">
        <f t="shared" si="5"/>
        <v>0</v>
      </c>
      <c r="DG34" s="10">
        <f t="shared" si="5"/>
        <v>0</v>
      </c>
      <c r="DH34" s="10">
        <f t="shared" si="5"/>
        <v>0</v>
      </c>
      <c r="DI34" s="10">
        <f t="shared" si="5"/>
        <v>0</v>
      </c>
      <c r="DJ34" s="10">
        <f t="shared" si="5"/>
        <v>0</v>
      </c>
      <c r="DK34" s="10">
        <f t="shared" si="5"/>
        <v>0</v>
      </c>
      <c r="DL34" s="10">
        <f t="shared" si="5"/>
        <v>0</v>
      </c>
      <c r="DM34" s="10">
        <f t="shared" si="5"/>
        <v>0</v>
      </c>
      <c r="DN34" s="10">
        <f t="shared" si="5"/>
        <v>0</v>
      </c>
      <c r="DO34" s="10">
        <f t="shared" si="5"/>
        <v>0</v>
      </c>
      <c r="DP34" s="10">
        <f t="shared" si="5"/>
        <v>0</v>
      </c>
      <c r="DQ34" s="10">
        <f t="shared" si="5"/>
        <v>0</v>
      </c>
    </row>
    <row r="35" spans="2:121" s="8" customFormat="1" x14ac:dyDescent="0.3">
      <c r="B35" s="2"/>
      <c r="C35" s="2"/>
      <c r="D35" s="2"/>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row>
  </sheetData>
  <sheetProtection password="C2E9" sheet="1" objects="1" scenarios="1" formatColumns="0" formatRows="0" sort="0" autoFilter="0"/>
  <mergeCells count="8">
    <mergeCell ref="BI13:BZ13"/>
    <mergeCell ref="CA13:CS13"/>
    <mergeCell ref="CT13:DQ13"/>
    <mergeCell ref="B5:D5"/>
    <mergeCell ref="F13:W13"/>
    <mergeCell ref="X13:AO13"/>
    <mergeCell ref="AP13:BG13"/>
    <mergeCell ref="B9:D9"/>
  </mergeCells>
  <dataValidations count="1">
    <dataValidation type="decimal" operator="greaterThanOrEqual" allowBlank="1" showInputMessage="1" showErrorMessage="1" sqref="BI15:DQ32 F15:BG32">
      <formula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upplies" altText="Add Diagnosis">
                <anchor moveWithCells="1">
                  <from>
                    <xdr:col>1</xdr:col>
                    <xdr:colOff>38100</xdr:colOff>
                    <xdr:row>14</xdr:row>
                    <xdr:rowOff>19050</xdr:rowOff>
                  </from>
                  <to>
                    <xdr:col>1</xdr:col>
                    <xdr:colOff>762000</xdr:colOff>
                    <xdr:row>14</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Supplies" altText="Delete Diagnosis">
                <anchor moveWithCells="1">
                  <from>
                    <xdr:col>1</xdr:col>
                    <xdr:colOff>809625</xdr:colOff>
                    <xdr:row>14</xdr:row>
                    <xdr:rowOff>19050</xdr:rowOff>
                  </from>
                  <to>
                    <xdr:col>1</xdr:col>
                    <xdr:colOff>1524000</xdr:colOff>
                    <xdr:row>14</xdr:row>
                    <xdr:rowOff>161925</xdr:rowOff>
                  </to>
                </anchor>
              </controlPr>
            </control>
          </mc:Choice>
        </mc:AlternateContent>
        <mc:AlternateContent xmlns:mc="http://schemas.openxmlformats.org/markup-compatibility/2006">
          <mc:Choice Requires="x14">
            <control shapeId="1027" r:id="rId6" name="SelectI">
              <controlPr defaultSize="0" print="0" autoFill="0" autoPict="0" macro="[0]!Select_Level_I" altText="Select Level I and II Health Facilities">
                <anchor moveWithCells="1">
                  <from>
                    <xdr:col>2</xdr:col>
                    <xdr:colOff>1800225</xdr:colOff>
                    <xdr:row>10</xdr:row>
                    <xdr:rowOff>0</xdr:rowOff>
                  </from>
                  <to>
                    <xdr:col>2</xdr:col>
                    <xdr:colOff>2886075</xdr:colOff>
                    <xdr:row>11</xdr:row>
                    <xdr:rowOff>9525</xdr:rowOff>
                  </to>
                </anchor>
              </controlPr>
            </control>
          </mc:Choice>
        </mc:AlternateContent>
        <mc:AlternateContent xmlns:mc="http://schemas.openxmlformats.org/markup-compatibility/2006">
          <mc:Choice Requires="x14">
            <control shapeId="1028" r:id="rId7" name="SelectIIandIII">
              <controlPr defaultSize="0" print="0" autoFill="0" autoPict="0" macro="[0]!Select_Level_IIandIII" altText="Select Level I and II Health Facilities">
                <anchor moveWithCells="1">
                  <from>
                    <xdr:col>2</xdr:col>
                    <xdr:colOff>3038475</xdr:colOff>
                    <xdr:row>10</xdr:row>
                    <xdr:rowOff>0</xdr:rowOff>
                  </from>
                  <to>
                    <xdr:col>3</xdr:col>
                    <xdr:colOff>790575</xdr:colOff>
                    <xdr:row>11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7.1CSO supplies costs</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kim</cp:lastModifiedBy>
  <dcterms:created xsi:type="dcterms:W3CDTF">2018-04-04T07:34:36Z</dcterms:created>
  <dcterms:modified xsi:type="dcterms:W3CDTF">2018-08-24T03:11:39Z</dcterms:modified>
</cp:coreProperties>
</file>