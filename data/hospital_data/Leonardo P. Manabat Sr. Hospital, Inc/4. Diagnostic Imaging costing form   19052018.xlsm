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1VQr+z3p5kbVqUU6V4Q7QKJhkxd6SJwXlZyIS4KZE7aQ4MFyRseDItZtvo3JePPIO37y6mILKo6jglKxCru83g==" workbookSaltValue="1yPgnwRJPPw2uJYck/i7lw==" workbookSpinCount="100000" lockStructure="1"/>
  <bookViews>
    <workbookView xWindow="0" yWindow="60" windowWidth="15525" windowHeight="6990" activeTab="1"/>
  </bookViews>
  <sheets>
    <sheet name="4.1 Med_Equipment_DImaging" sheetId="1" r:id="rId1"/>
    <sheet name="4.2 Outputs_DImaging" sheetId="6" r:id="rId2"/>
  </sheets>
  <externalReferences>
    <externalReference r:id="rId3"/>
  </externalReferences>
  <definedNames>
    <definedName name="Drugs">'[1]1.0 Drugs&amp;Med List'!$B$16:$B$315</definedName>
    <definedName name="MedicalEquipment">'4.1 Med_Equipment_DImaging'!$D$4:$D$18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2" i="1" l="1"/>
  <c r="K52" i="1" s="1"/>
  <c r="J51" i="1" l="1"/>
  <c r="K51" i="1" s="1"/>
  <c r="J50" i="1"/>
  <c r="K50" i="1" s="1"/>
  <c r="J49" i="1"/>
  <c r="K49" i="1" s="1"/>
  <c r="J48" i="1"/>
  <c r="K48" i="1" s="1"/>
  <c r="J47" i="1"/>
  <c r="K47" i="1" s="1"/>
  <c r="J46" i="1"/>
  <c r="K46" i="1" s="1"/>
  <c r="J45" i="1"/>
  <c r="K45" i="1" s="1"/>
  <c r="J44" i="1"/>
  <c r="K44" i="1" s="1"/>
  <c r="J43" i="1"/>
  <c r="K43" i="1" s="1"/>
  <c r="J42" i="1"/>
  <c r="K42" i="1" s="1"/>
  <c r="J41" i="1"/>
  <c r="K41" i="1" s="1"/>
  <c r="J40" i="1"/>
  <c r="K40" i="1" s="1"/>
  <c r="J39" i="1"/>
  <c r="K39" i="1" s="1"/>
  <c r="J38" i="1"/>
  <c r="K38" i="1" s="1"/>
  <c r="J37" i="1"/>
  <c r="K37" i="1" s="1"/>
  <c r="J36" i="1"/>
  <c r="K36" i="1" s="1"/>
  <c r="J35" i="1"/>
  <c r="K35" i="1" s="1"/>
  <c r="J34" i="1"/>
  <c r="K34" i="1" s="1"/>
  <c r="J33" i="1"/>
  <c r="K33" i="1" s="1"/>
  <c r="J32" i="1"/>
  <c r="K32" i="1" s="1"/>
  <c r="J31" i="1"/>
  <c r="K31" i="1" s="1"/>
  <c r="J30" i="1"/>
  <c r="K30" i="1" s="1"/>
  <c r="J29" i="1"/>
  <c r="K29" i="1" s="1"/>
  <c r="J28" i="1"/>
  <c r="K28" i="1" s="1"/>
  <c r="J27" i="1"/>
  <c r="K27" i="1" s="1"/>
  <c r="J26" i="1"/>
  <c r="K26" i="1" s="1"/>
  <c r="J25" i="1"/>
  <c r="K25" i="1" s="1"/>
  <c r="J24" i="1"/>
  <c r="K24" i="1" s="1"/>
  <c r="K23" i="1"/>
  <c r="K22" i="1"/>
  <c r="K21" i="1"/>
  <c r="K20" i="1"/>
  <c r="K19" i="1"/>
  <c r="K18" i="1"/>
  <c r="K17" i="1"/>
  <c r="K16" i="1"/>
  <c r="K15" i="1"/>
  <c r="K14" i="1"/>
  <c r="J23" i="1"/>
  <c r="J22" i="1"/>
  <c r="J21" i="1"/>
  <c r="J20" i="1"/>
  <c r="J19" i="1"/>
  <c r="J18" i="1"/>
  <c r="J17" i="1"/>
  <c r="J16" i="1"/>
  <c r="J15" i="1"/>
  <c r="J14" i="1"/>
</calcChain>
</file>

<file path=xl/sharedStrings.xml><?xml version="1.0" encoding="utf-8"?>
<sst xmlns="http://schemas.openxmlformats.org/spreadsheetml/2006/main" count="290" uniqueCount="195">
  <si>
    <t>Annual Depreciation Value (If Available)</t>
  </si>
  <si>
    <t>Pediatric Ward</t>
  </si>
  <si>
    <t>Surgical Ward</t>
  </si>
  <si>
    <t>Private Ward</t>
  </si>
  <si>
    <t>Dental</t>
  </si>
  <si>
    <t>Delivery Room</t>
  </si>
  <si>
    <t>Dialysis Unit</t>
  </si>
  <si>
    <t>Description (including specifications etc.)</t>
  </si>
  <si>
    <t>Total value</t>
  </si>
  <si>
    <t>Ultrasound</t>
  </si>
  <si>
    <t>CT Scan</t>
  </si>
  <si>
    <t>Radiology Exam utilization by different Wards and units</t>
  </si>
  <si>
    <t>Remarks / Comments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</si>
  <si>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acquisition cost/procurement cost per each equipment</t>
    </r>
  </si>
  <si>
    <r>
      <rPr>
        <b/>
        <sz val="11"/>
        <color theme="1"/>
        <rFont val="Arial Narrow"/>
        <family val="2"/>
      </rPr>
      <t>Source:</t>
    </r>
    <r>
      <rPr>
        <sz val="11"/>
        <color theme="1"/>
        <rFont val="Arial Narrow"/>
        <family val="2"/>
      </rPr>
      <t xml:space="preserve"> Equipment status logbook/Inventory cards</t>
    </r>
  </si>
  <si>
    <t>Inventory Code No. 9 (if available)</t>
  </si>
  <si>
    <t>Accounting Code</t>
  </si>
  <si>
    <t>Name of the Article/Equipment</t>
  </si>
  <si>
    <t>Time period covered:</t>
  </si>
  <si>
    <r>
      <rPr>
        <b/>
        <sz val="11"/>
        <color theme="1"/>
        <rFont val="Arial Narrow"/>
        <family val="2"/>
      </rPr>
      <t>Instructions:</t>
    </r>
    <r>
      <rPr>
        <sz val="11"/>
        <color theme="1"/>
        <rFont val="Arial Narrow"/>
        <family val="2"/>
      </rPr>
      <t xml:space="preserve"> Identify and include </t>
    </r>
    <r>
      <rPr>
        <b/>
        <sz val="11"/>
        <color theme="1"/>
        <rFont val="Arial Narrow"/>
        <family val="2"/>
      </rPr>
      <t>all</t>
    </r>
    <r>
      <rPr>
        <sz val="11"/>
        <color theme="1"/>
        <rFont val="Arial Narrow"/>
        <family val="2"/>
      </rPr>
      <t xml:space="preserve"> </t>
    </r>
    <r>
      <rPr>
        <b/>
        <sz val="11"/>
        <color theme="1"/>
        <rFont val="Arial Narrow"/>
        <family val="2"/>
      </rPr>
      <t xml:space="preserve">medical equipment </t>
    </r>
    <r>
      <rPr>
        <sz val="11"/>
        <color theme="1"/>
        <rFont val="Arial Narrow"/>
        <family val="2"/>
      </rPr>
      <t>in the department</t>
    </r>
  </si>
  <si>
    <r>
      <rPr>
        <b/>
        <sz val="11"/>
        <color theme="1"/>
        <rFont val="Arial Narrow"/>
        <family val="2"/>
      </rPr>
      <t xml:space="preserve">Data Collector: </t>
    </r>
    <r>
      <rPr>
        <sz val="11"/>
        <color theme="1"/>
        <rFont val="Arial Narrow"/>
        <family val="2"/>
      </rPr>
      <t>Medical technoligyst in different sections of the Radiology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</si>
  <si>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Radiology Results logbook</t>
    </r>
  </si>
  <si>
    <t>Total Number of Tests/examinations</t>
  </si>
  <si>
    <t>Radiology examinations</t>
  </si>
  <si>
    <r>
      <rPr>
        <b/>
        <sz val="11"/>
        <color theme="1"/>
        <rFont val="Arial Narrow"/>
        <family val="2"/>
      </rPr>
      <t>Instruction:</t>
    </r>
    <r>
      <rPr>
        <sz val="11"/>
        <color theme="1"/>
        <rFont val="Arial Narrow"/>
        <family val="2"/>
      </rPr>
      <t xml:space="preserve"> Record all examinations done on the request of various medical departments and units</t>
    </r>
  </si>
  <si>
    <t>Medical Equipment List-Diagnostic Imaging</t>
  </si>
  <si>
    <t>Mammogram</t>
  </si>
  <si>
    <t>PET Scan</t>
  </si>
  <si>
    <t>Useful Life Years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</si>
  <si>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</si>
  <si>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</si>
  <si>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</si>
  <si>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</si>
  <si>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</si>
  <si>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</si>
  <si>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</si>
  <si>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</si>
  <si>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</si>
  <si>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</si>
  <si>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</si>
  <si>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</si>
  <si>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</si>
  <si>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</si>
  <si>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</si>
  <si>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</si>
  <si>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</si>
  <si>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</si>
  <si>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Blood Bank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</si>
  <si>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</si>
  <si>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</si>
  <si>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</si>
  <si>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</si>
  <si>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</si>
  <si>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</si>
  <si>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</si>
  <si>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</si>
  <si>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</si>
  <si>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</si>
  <si>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</si>
  <si>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</si>
  <si>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</si>
  <si>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</si>
  <si>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</si>
  <si>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</si>
  <si>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</si>
  <si>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>Heart Station</t>
  </si>
  <si>
    <t>Physiotherapy / Rehabilitation</t>
  </si>
  <si>
    <t>Respiratory Unit</t>
  </si>
  <si>
    <t>Burn Unit</t>
  </si>
  <si>
    <t>Morgue</t>
  </si>
  <si>
    <t>Others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</si>
  <si>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</si>
  <si>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</si>
  <si>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</si>
  <si>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</si>
  <si>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</si>
  <si>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</si>
  <si>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</si>
  <si>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</si>
  <si>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</si>
  <si>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</si>
  <si>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</t>
  </si>
  <si>
    <t xml:space="preserve">Housekeeping </t>
  </si>
  <si>
    <t>Office of the Chief of Medical Professional Staff / Chief of Clinics</t>
  </si>
  <si>
    <t>Sterilization</t>
  </si>
  <si>
    <t>Laboratory</t>
  </si>
  <si>
    <t>Radiology / Diagnostic Imaging (CT Scan, MRI, ECG, Mammography, Endoscopy)</t>
  </si>
  <si>
    <t>IT Departments</t>
  </si>
  <si>
    <t>Housekeeping</t>
  </si>
  <si>
    <t>Outpatient Department (general)</t>
  </si>
  <si>
    <t xml:space="preserve">Diabetes </t>
  </si>
  <si>
    <t>Hypertension</t>
  </si>
  <si>
    <t># Eqpt</t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</si>
  <si>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Laboratory technician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</si>
  <si>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</si>
  <si>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#</t>
  </si>
  <si>
    <t>Date Acquired / Delivered</t>
  </si>
  <si>
    <t>Procurement /Donation value</t>
  </si>
  <si>
    <t>X-ray</t>
  </si>
  <si>
    <t>MRI Scan</t>
  </si>
  <si>
    <t>ECG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</si>
  <si>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radiology tests done for different departments and units in the hopspital </t>
    </r>
  </si>
  <si>
    <t># Xrays</t>
  </si>
  <si>
    <t># Mammos</t>
  </si>
  <si>
    <t># Ultras</t>
  </si>
  <si>
    <t># Ecgs</t>
  </si>
  <si>
    <t># CTScans</t>
  </si>
  <si>
    <t># MRIScans</t>
  </si>
  <si>
    <t># PETScans</t>
  </si>
  <si>
    <t>Quantity</t>
  </si>
  <si>
    <t>HE-00016</t>
  </si>
  <si>
    <t>HE-00017</t>
  </si>
  <si>
    <t>HE-00018</t>
  </si>
  <si>
    <t>HE-00019</t>
  </si>
  <si>
    <t>HE-00020</t>
  </si>
  <si>
    <t>HE-00021</t>
  </si>
  <si>
    <t>HE-00022</t>
  </si>
  <si>
    <t>HE-00023</t>
  </si>
  <si>
    <t>HE-00024</t>
  </si>
  <si>
    <t>HE-00025</t>
  </si>
  <si>
    <t>Electronic Type Writer ( Olympia) SN:T100600375</t>
  </si>
  <si>
    <t>Computer chair</t>
  </si>
  <si>
    <t>Air Conditioner (Panasonic)   Model CW-SC92JPH</t>
  </si>
  <si>
    <t>Television (Kolin)</t>
  </si>
  <si>
    <t xml:space="preserve">Electric Stand Fan (Hanabishi) </t>
  </si>
  <si>
    <t>Buzzer (Quzun)</t>
  </si>
  <si>
    <t>Computer LCD 1700V-BK SN:2307276GA</t>
  </si>
  <si>
    <t>Printer Cannon K10355</t>
  </si>
  <si>
    <t>AVR</t>
  </si>
  <si>
    <t>Air Conditioner National</t>
  </si>
  <si>
    <t>Hospital Equipments</t>
  </si>
  <si>
    <t>ME-00023</t>
  </si>
  <si>
    <t>ME-00024</t>
  </si>
  <si>
    <t>ME-00025</t>
  </si>
  <si>
    <t>ME-00026</t>
  </si>
  <si>
    <t>ME-00027</t>
  </si>
  <si>
    <t>ME-00028</t>
  </si>
  <si>
    <t>ME-00029</t>
  </si>
  <si>
    <t>ME-00030</t>
  </si>
  <si>
    <t>ME-00031</t>
  </si>
  <si>
    <t>ME-00032</t>
  </si>
  <si>
    <t>ME-00033</t>
  </si>
  <si>
    <t>ME-00034</t>
  </si>
  <si>
    <t>ME-00035</t>
  </si>
  <si>
    <t>ME-00036</t>
  </si>
  <si>
    <t>ME-00037</t>
  </si>
  <si>
    <t>ME-00038</t>
  </si>
  <si>
    <t>ME-00039</t>
  </si>
  <si>
    <t>ME-00040</t>
  </si>
  <si>
    <t>ME-00041</t>
  </si>
  <si>
    <t>ME-00042</t>
  </si>
  <si>
    <t>ME-00043</t>
  </si>
  <si>
    <t>ME-00044</t>
  </si>
  <si>
    <t>ME-00045</t>
  </si>
  <si>
    <t>ME-00046</t>
  </si>
  <si>
    <t>ME-00047</t>
  </si>
  <si>
    <t>ME-00048</t>
  </si>
  <si>
    <t>ME-00049</t>
  </si>
  <si>
    <t>Tank for Developer</t>
  </si>
  <si>
    <t>Tank for Fixer</t>
  </si>
  <si>
    <t>Tank for Water</t>
  </si>
  <si>
    <t>Safelight</t>
  </si>
  <si>
    <t>Exhaust Fan</t>
  </si>
  <si>
    <t>14x17(Non Grided) Cassette</t>
  </si>
  <si>
    <t>14x17(Grided)</t>
  </si>
  <si>
    <t>10x12</t>
  </si>
  <si>
    <t>8x10</t>
  </si>
  <si>
    <t>14x17 Hangers</t>
  </si>
  <si>
    <t>11x14</t>
  </si>
  <si>
    <t>Led Barrier</t>
  </si>
  <si>
    <t>Lead Apron</t>
  </si>
  <si>
    <t>Lead Glove</t>
  </si>
  <si>
    <t>Gonadal Shielding</t>
  </si>
  <si>
    <t>Vertical Cassette Holder</t>
  </si>
  <si>
    <t>Negatoscope</t>
  </si>
  <si>
    <t>Film Dryer</t>
  </si>
  <si>
    <t>Pelvimeter</t>
  </si>
  <si>
    <t>Ultrasound  Machine:  Honda Electronics (SN:40904785 Model:HS200 Probe #2)</t>
  </si>
  <si>
    <t>Video Graphic  Printer:   Model:859MB</t>
  </si>
  <si>
    <t>Medical Equipments</t>
  </si>
  <si>
    <t>ECG Machine</t>
  </si>
  <si>
    <t xml:space="preserve">IEC Class I CF Type </t>
  </si>
  <si>
    <t>Xray Machine</t>
  </si>
  <si>
    <t xml:space="preserve">GE300MA </t>
  </si>
  <si>
    <t>ME-00111</t>
  </si>
  <si>
    <t>Computer Set</t>
  </si>
  <si>
    <t>HE-00079</t>
  </si>
  <si>
    <t>Printer - RAD</t>
  </si>
  <si>
    <t>Hospicare 110D</t>
  </si>
  <si>
    <t>Chest X-ray PA</t>
  </si>
  <si>
    <t>Chest X-ray -APL</t>
  </si>
  <si>
    <t>MAY 28-JUNE 1, 2018</t>
  </si>
  <si>
    <t>Skull APL</t>
  </si>
  <si>
    <t>Hand APO</t>
  </si>
  <si>
    <t>Shoulder AP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</si>
</sst>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sz val="11"/>
      <color theme="1"/>
      <name val="Calibri"/>
      <family val="2"/>
      <scheme val="minor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b/>
      <sz val="11"/>
      <color rgb="FFFF0000"/>
      <name val="Arial Narrow"/>
      <family val="2"/>
    </font>
    <font>
      <b/>
      <i/>
      <sz val="11"/>
      <color theme="1"/>
      <name val="Arial Narrow"/>
      <family val="2"/>
    </font>
    <font>
      <sz val="11"/>
      <color rgb="FF0070C0"/>
      <name val="Arial Narrow"/>
      <family val="2"/>
    </font>
    <font>
      <sz val="10"/>
      <color rgb="FF0070C0"/>
      <name val="Arial"/>
      <family val="2"/>
    </font>
    <font>
      <b/>
      <sz val="10"/>
      <color rgb="FF0070C0"/>
      <name val="Arial Narrow"/>
      <family val="2"/>
    </font>
    <font>
      <b/>
      <sz val="11"/>
      <name val="Calibri"/>
      <family val="2"/>
    </font>
    <font>
      <sz val="10"/>
      <color rgb="FF0070C0"/>
      <name val="Arial Narrow"/>
      <family val="2"/>
    </font>
    <font>
      <sz val="9"/>
      <name val="Tahoma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/>
    <xf numFmtId="0" fontId="5" fillId="0" borderId="0"/>
    <xf numFmtId="164" fontId="10" fillId="0" borderId="0" applyFont="0" applyFill="0" applyBorder="0" applyAlignment="0" applyProtection="0"/>
  </cellStyleXfs>
  <cellXfs count="70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1" xfId="0" applyFont="1" applyBorder="1"/>
    <xf numFmtId="0" fontId="4" fillId="0" borderId="0" xfId="0" applyFont="1"/>
    <xf numFmtId="14" fontId="4" fillId="0" borderId="0" xfId="0" applyNumberFormat="1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14" fontId="2" fillId="0" borderId="0" xfId="0" applyNumberFormat="1" applyFont="1" applyAlignment="1">
      <alignment horizontal="center"/>
    </xf>
    <xf numFmtId="0" fontId="1" fillId="3" borderId="0" xfId="0" applyFont="1" applyFill="1"/>
    <xf numFmtId="0" fontId="2" fillId="3" borderId="0" xfId="0" applyFont="1" applyFill="1"/>
    <xf numFmtId="0" fontId="2" fillId="4" borderId="10" xfId="0" applyFont="1" applyFill="1" applyBorder="1"/>
    <xf numFmtId="0" fontId="2" fillId="4" borderId="11" xfId="0" applyFont="1" applyFill="1" applyBorder="1"/>
    <xf numFmtId="0" fontId="2" fillId="4" borderId="12" xfId="0" applyFont="1" applyFill="1" applyBorder="1"/>
    <xf numFmtId="0" fontId="2" fillId="4" borderId="4" xfId="0" applyFont="1" applyFill="1" applyBorder="1"/>
    <xf numFmtId="0" fontId="2" fillId="4" borderId="0" xfId="0" applyFont="1" applyFill="1" applyBorder="1"/>
    <xf numFmtId="0" fontId="2" fillId="4" borderId="13" xfId="0" applyFont="1" applyFill="1" applyBorder="1"/>
    <xf numFmtId="0" fontId="1" fillId="4" borderId="4" xfId="0" applyFont="1" applyFill="1" applyBorder="1"/>
    <xf numFmtId="0" fontId="2" fillId="4" borderId="3" xfId="0" applyFont="1" applyFill="1" applyBorder="1"/>
    <xf numFmtId="0" fontId="2" fillId="4" borderId="2" xfId="0" applyFont="1" applyFill="1" applyBorder="1"/>
    <xf numFmtId="0" fontId="2" fillId="4" borderId="6" xfId="0" applyFont="1" applyFill="1" applyBorder="1"/>
    <xf numFmtId="0" fontId="4" fillId="0" borderId="0" xfId="0" applyFont="1" applyProtection="1"/>
    <xf numFmtId="0" fontId="6" fillId="4" borderId="0" xfId="0" applyFont="1" applyFill="1" applyBorder="1" applyAlignment="1" applyProtection="1">
      <alignment horizontal="left" vertical="center"/>
    </xf>
    <xf numFmtId="0" fontId="14" fillId="0" borderId="0" xfId="0" applyFont="1" applyProtection="1"/>
    <xf numFmtId="0" fontId="1" fillId="0" borderId="0" xfId="0" applyFont="1" applyProtection="1"/>
    <xf numFmtId="0" fontId="2" fillId="0" borderId="0" xfId="0" applyFont="1" applyAlignment="1">
      <alignment horizontal="center" wrapText="1"/>
    </xf>
    <xf numFmtId="0" fontId="3" fillId="4" borderId="1" xfId="0" applyFont="1" applyFill="1" applyBorder="1" applyAlignment="1">
      <alignment horizontal="center" vertical="center" wrapText="1"/>
    </xf>
    <xf numFmtId="14" fontId="3" fillId="4" borderId="1" xfId="0" applyNumberFormat="1" applyFont="1" applyFill="1" applyBorder="1" applyAlignment="1">
      <alignment horizontal="center" vertical="center" wrapText="1"/>
    </xf>
    <xf numFmtId="0" fontId="15" fillId="0" borderId="1" xfId="0" applyFont="1" applyBorder="1" applyProtection="1">
      <protection locked="0"/>
    </xf>
    <xf numFmtId="0" fontId="16" fillId="0" borderId="0" xfId="0" applyFont="1" applyProtection="1">
      <protection locked="0"/>
    </xf>
    <xf numFmtId="14" fontId="15" fillId="0" borderId="1" xfId="0" applyNumberFormat="1" applyFont="1" applyBorder="1" applyAlignment="1" applyProtection="1">
      <alignment horizontal="center"/>
      <protection locked="0"/>
    </xf>
    <xf numFmtId="164" fontId="15" fillId="5" borderId="1" xfId="2" applyFont="1" applyFill="1" applyBorder="1" applyProtection="1"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4" fillId="3" borderId="0" xfId="0" applyFont="1" applyFill="1"/>
    <xf numFmtId="0" fontId="4" fillId="0" borderId="0" xfId="0" applyFont="1" applyAlignment="1" applyProtection="1">
      <alignment horizontal="center" wrapText="1"/>
    </xf>
    <xf numFmtId="0" fontId="4" fillId="4" borderId="11" xfId="0" applyFont="1" applyFill="1" applyBorder="1"/>
    <xf numFmtId="0" fontId="4" fillId="4" borderId="12" xfId="0" applyFont="1" applyFill="1" applyBorder="1"/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4" borderId="0" xfId="0" applyFont="1" applyFill="1" applyBorder="1"/>
    <xf numFmtId="0" fontId="4" fillId="4" borderId="13" xfId="0" applyFont="1" applyFill="1" applyBorder="1"/>
    <xf numFmtId="0" fontId="4" fillId="4" borderId="2" xfId="0" applyFont="1" applyFill="1" applyBorder="1"/>
    <xf numFmtId="0" fontId="4" fillId="4" borderId="6" xfId="0" applyFont="1" applyFill="1" applyBorder="1"/>
    <xf numFmtId="0" fontId="2" fillId="0" borderId="0" xfId="0" applyFont="1" applyAlignment="1" applyProtection="1">
      <alignment horizontal="center" vertical="center"/>
    </xf>
    <xf numFmtId="0" fontId="3" fillId="4" borderId="7" xfId="0" applyFont="1" applyFill="1" applyBorder="1" applyAlignment="1">
      <alignment vertical="center"/>
    </xf>
    <xf numFmtId="0" fontId="3" fillId="4" borderId="8" xfId="0" applyFont="1" applyFill="1" applyBorder="1" applyAlignment="1">
      <alignment vertical="center"/>
    </xf>
    <xf numFmtId="0" fontId="3" fillId="4" borderId="9" xfId="0" applyFont="1" applyFill="1" applyBorder="1" applyAlignment="1">
      <alignment vertical="center" wrapText="1"/>
    </xf>
    <xf numFmtId="0" fontId="7" fillId="4" borderId="1" xfId="1" applyFont="1" applyFill="1" applyBorder="1" applyAlignment="1">
      <alignment horizontal="left" vertical="center" wrapText="1"/>
    </xf>
    <xf numFmtId="0" fontId="9" fillId="4" borderId="1" xfId="1" applyFont="1" applyFill="1" applyBorder="1" applyAlignment="1">
      <alignment horizontal="left" vertical="center" wrapText="1"/>
    </xf>
    <xf numFmtId="0" fontId="8" fillId="4" borderId="1" xfId="1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/>
    </xf>
    <xf numFmtId="0" fontId="4" fillId="2" borderId="5" xfId="0" applyFont="1" applyFill="1" applyBorder="1" applyAlignment="1">
      <alignment horizontal="left" vertical="center"/>
    </xf>
    <xf numFmtId="164" fontId="15" fillId="5" borderId="5" xfId="2" applyFont="1" applyFill="1" applyBorder="1" applyProtection="1">
      <protection locked="0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4" fillId="2" borderId="1" xfId="0" applyFont="1" applyFill="1" applyBorder="1"/>
    <xf numFmtId="0" fontId="19" fillId="0" borderId="1" xfId="0" applyFont="1" applyBorder="1"/>
    <xf numFmtId="0" fontId="15" fillId="5" borderId="13" xfId="0" applyNumberFormat="1" applyFont="1" applyFill="1" applyBorder="1" applyAlignment="1" applyProtection="1">
      <alignment horizontal="center" vertical="center"/>
      <protection locked="0"/>
    </xf>
    <xf numFmtId="0" fontId="15" fillId="5" borderId="0" xfId="0" applyNumberFormat="1" applyFont="1" applyFill="1" applyBorder="1" applyAlignment="1" applyProtection="1">
      <alignment horizontal="center" vertical="center"/>
      <protection locked="0"/>
    </xf>
    <xf numFmtId="0" fontId="20" fillId="0" borderId="17" xfId="0" applyFont="1" applyFill="1" applyBorder="1" applyAlignment="1" applyProtection="1">
      <alignment vertical="top"/>
      <protection locked="0"/>
    </xf>
    <xf numFmtId="0" fontId="6" fillId="4" borderId="1" xfId="1" applyFont="1" applyFill="1" applyBorder="1" applyAlignment="1">
      <alignment horizontal="center" vertical="center" wrapText="1"/>
    </xf>
    <xf numFmtId="0" fontId="18" fillId="4" borderId="1" xfId="1" applyFont="1" applyFill="1" applyBorder="1" applyAlignment="1">
      <alignment wrapText="1"/>
    </xf>
    <xf numFmtId="0" fontId="6" fillId="3" borderId="1" xfId="1" applyFont="1" applyFill="1" applyBorder="1" applyAlignment="1">
      <alignment horizontal="center" vertical="center" wrapText="1"/>
    </xf>
    <xf numFmtId="0" fontId="18" fillId="3" borderId="1" xfId="1" applyFont="1" applyFill="1" applyBorder="1" applyAlignment="1">
      <alignment wrapText="1"/>
    </xf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7" fillId="3" borderId="1" xfId="1" applyFont="1" applyFill="1" applyBorder="1" applyAlignment="1">
      <alignment wrapText="1"/>
    </xf>
    <xf numFmtId="0" fontId="8" fillId="3" borderId="1" xfId="1" applyFont="1" applyFill="1" applyBorder="1" applyAlignment="1">
      <alignment wrapText="1"/>
    </xf>
    <xf numFmtId="0" fontId="7" fillId="3" borderId="1" xfId="1" applyFont="1" applyFill="1" applyBorder="1" applyAlignment="1">
      <alignment horizontal="center" vertical="center" wrapText="1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10</xdr:row>
          <xdr:rowOff>0</xdr:rowOff>
        </xdr:from>
        <xdr:to>
          <xdr:col>3</xdr:col>
          <xdr:colOff>1190625</xdr:colOff>
          <xdr:row>11</xdr:row>
          <xdr:rowOff>9525</xdr:rowOff>
        </xdr:to>
        <xdr:sp macro="" textlink="">
          <xdr:nvSpPr>
            <xdr:cNvPr id="1025" name="SelectI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10</xdr:row>
          <xdr:rowOff>0</xdr:rowOff>
        </xdr:from>
        <xdr:to>
          <xdr:col>3</xdr:col>
          <xdr:colOff>2295525</xdr:colOff>
          <xdr:row>11</xdr:row>
          <xdr:rowOff>9525</xdr:rowOff>
        </xdr:to>
        <xdr:sp macro="" textlink="">
          <xdr:nvSpPr>
            <xdr:cNvPr id="1026" name="SelectIIandIII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13</xdr:row>
          <xdr:rowOff>19050</xdr:rowOff>
        </xdr:from>
        <xdr:to>
          <xdr:col>1</xdr:col>
          <xdr:colOff>809625</xdr:colOff>
          <xdr:row>13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847725</xdr:colOff>
          <xdr:row>13</xdr:row>
          <xdr:rowOff>19050</xdr:rowOff>
        </xdr:from>
        <xdr:to>
          <xdr:col>1</xdr:col>
          <xdr:colOff>1571625</xdr:colOff>
          <xdr:row>13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18</xdr:row>
          <xdr:rowOff>9525</xdr:rowOff>
        </xdr:from>
        <xdr:to>
          <xdr:col>1</xdr:col>
          <xdr:colOff>752475</xdr:colOff>
          <xdr:row>18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18</xdr:row>
          <xdr:rowOff>9525</xdr:rowOff>
        </xdr:from>
        <xdr:to>
          <xdr:col>1</xdr:col>
          <xdr:colOff>1524000</xdr:colOff>
          <xdr:row>18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26</xdr:row>
          <xdr:rowOff>9525</xdr:rowOff>
        </xdr:from>
        <xdr:to>
          <xdr:col>1</xdr:col>
          <xdr:colOff>752475</xdr:colOff>
          <xdr:row>26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26</xdr:row>
          <xdr:rowOff>9525</xdr:rowOff>
        </xdr:from>
        <xdr:to>
          <xdr:col>1</xdr:col>
          <xdr:colOff>1524000</xdr:colOff>
          <xdr:row>26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30</xdr:row>
          <xdr:rowOff>9525</xdr:rowOff>
        </xdr:from>
        <xdr:to>
          <xdr:col>1</xdr:col>
          <xdr:colOff>752475</xdr:colOff>
          <xdr:row>30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30</xdr:row>
          <xdr:rowOff>9525</xdr:rowOff>
        </xdr:from>
        <xdr:to>
          <xdr:col>1</xdr:col>
          <xdr:colOff>1524000</xdr:colOff>
          <xdr:row>30</xdr:row>
          <xdr:rowOff>152400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34</xdr:row>
          <xdr:rowOff>9525</xdr:rowOff>
        </xdr:from>
        <xdr:to>
          <xdr:col>1</xdr:col>
          <xdr:colOff>752475</xdr:colOff>
          <xdr:row>34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34</xdr:row>
          <xdr:rowOff>9525</xdr:rowOff>
        </xdr:from>
        <xdr:to>
          <xdr:col>1</xdr:col>
          <xdr:colOff>1524000</xdr:colOff>
          <xdr:row>34</xdr:row>
          <xdr:rowOff>152400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38</xdr:row>
          <xdr:rowOff>9525</xdr:rowOff>
        </xdr:from>
        <xdr:to>
          <xdr:col>1</xdr:col>
          <xdr:colOff>752475</xdr:colOff>
          <xdr:row>38</xdr:row>
          <xdr:rowOff>152400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38</xdr:row>
          <xdr:rowOff>9525</xdr:rowOff>
        </xdr:from>
        <xdr:to>
          <xdr:col>1</xdr:col>
          <xdr:colOff>1524000</xdr:colOff>
          <xdr:row>38</xdr:row>
          <xdr:rowOff>152400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42</xdr:row>
          <xdr:rowOff>9525</xdr:rowOff>
        </xdr:from>
        <xdr:to>
          <xdr:col>1</xdr:col>
          <xdr:colOff>752475</xdr:colOff>
          <xdr:row>42</xdr:row>
          <xdr:rowOff>152400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42</xdr:row>
          <xdr:rowOff>9525</xdr:rowOff>
        </xdr:from>
        <xdr:to>
          <xdr:col>1</xdr:col>
          <xdr:colOff>1524000</xdr:colOff>
          <xdr:row>42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46</xdr:row>
          <xdr:rowOff>9525</xdr:rowOff>
        </xdr:from>
        <xdr:to>
          <xdr:col>1</xdr:col>
          <xdr:colOff>752475</xdr:colOff>
          <xdr:row>46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46</xdr:row>
          <xdr:rowOff>9525</xdr:rowOff>
        </xdr:from>
        <xdr:to>
          <xdr:col>1</xdr:col>
          <xdr:colOff>1524000</xdr:colOff>
          <xdr:row>46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User/Downloads/Pharmacy%20Department%20Costing%20Form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.0 Drugs&amp;Med List"/>
      <sheetName val="2.1 AsthmaAdult"/>
      <sheetName val="2.2 AsthmaPedia"/>
      <sheetName val="2.3 Caesarian"/>
      <sheetName val="2.4 DengueAdult"/>
      <sheetName val="2.4 DenguePedia"/>
      <sheetName val="2.5Hypertension"/>
      <sheetName val="2.1 DrugMedUtilDay1"/>
      <sheetName val="2.2 DrugMedUtilDay2"/>
      <sheetName val="3.1 MedSupplyConsList"/>
      <sheetName val="4.1MedSuppConsDay1"/>
      <sheetName val="4.2MedSuppConsDay2"/>
    </sheetNames>
    <sheetDataSet>
      <sheetData sheetId="0">
        <row r="16">
          <cell r="B16" t="str">
            <v>Mefanamic Acid (Dolfenal)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B2:M88"/>
  <sheetViews>
    <sheetView showGridLines="0" topLeftCell="B6" zoomScaleNormal="100" workbookViewId="0">
      <pane xSplit="1" ySplit="8" topLeftCell="C38" activePane="bottomRight" state="frozen"/>
      <selection activeCell="B6" sqref="B6"/>
      <selection pane="topRight" activeCell="C6" sqref="C6"/>
      <selection pane="bottomLeft" activeCell="B14" sqref="B14"/>
      <selection pane="bottomRight" activeCell="H53" sqref="H53"/>
    </sheetView>
  </sheetViews>
  <sheetFormatPr defaultColWidth="8.7109375" defaultRowHeight="12.75" outlineLevelRow="1" x14ac:dyDescent="0.2"/>
  <cols>
    <col min="1" max="1" width="4.5703125" style="4" customWidth="1"/>
    <col min="2" max="2" width="25.5703125" style="4" customWidth="1"/>
    <col min="3" max="3" width="17.5703125" style="4" bestFit="1" customWidth="1"/>
    <col min="4" max="5" width="34.5703125" style="4" customWidth="1"/>
    <col min="6" max="6" width="16.5703125" style="5" customWidth="1"/>
    <col min="7" max="9" width="11.7109375" style="4" customWidth="1"/>
    <col min="10" max="10" width="17.42578125" style="4" customWidth="1"/>
    <col min="11" max="11" width="18" style="4" customWidth="1"/>
    <col min="12" max="12" width="14.7109375" style="4" customWidth="1"/>
    <col min="13" max="16384" width="8.7109375" style="4"/>
  </cols>
  <sheetData>
    <row r="2" spans="2:13" s="2" customFormat="1" ht="14.1" x14ac:dyDescent="0.3">
      <c r="B2" s="8" t="s">
        <v>25</v>
      </c>
      <c r="C2" s="9"/>
      <c r="D2" s="9"/>
      <c r="F2" s="7"/>
    </row>
    <row r="3" spans="2:13" ht="14.1" x14ac:dyDescent="0.3">
      <c r="B3" s="1"/>
    </row>
    <row r="4" spans="2:13" s="2" customFormat="1" ht="14.1" hidden="1" outlineLevel="1" x14ac:dyDescent="0.3">
      <c r="B4" s="2" t="s">
        <v>92</v>
      </c>
      <c r="C4" s="2">
        <v>75</v>
      </c>
      <c r="F4" s="7"/>
    </row>
    <row r="5" spans="2:13" s="2" customFormat="1" ht="14.1" collapsed="1" x14ac:dyDescent="0.3">
      <c r="B5" s="10" t="s">
        <v>13</v>
      </c>
      <c r="C5" s="11"/>
      <c r="D5" s="12"/>
      <c r="F5" s="7"/>
    </row>
    <row r="6" spans="2:13" s="2" customFormat="1" ht="14.1" x14ac:dyDescent="0.3">
      <c r="B6" s="13" t="s">
        <v>14</v>
      </c>
      <c r="C6" s="14"/>
      <c r="D6" s="15"/>
      <c r="F6" s="7"/>
    </row>
    <row r="7" spans="2:13" s="2" customFormat="1" ht="14.1" x14ac:dyDescent="0.3">
      <c r="B7" s="16" t="s">
        <v>18</v>
      </c>
      <c r="C7" s="14"/>
      <c r="D7" s="57">
        <v>2017</v>
      </c>
      <c r="F7" s="7"/>
    </row>
    <row r="8" spans="2:13" s="2" customFormat="1" ht="14.1" x14ac:dyDescent="0.3">
      <c r="B8" s="13" t="s">
        <v>93</v>
      </c>
      <c r="C8" s="14"/>
      <c r="D8" s="15"/>
      <c r="F8" s="7"/>
    </row>
    <row r="9" spans="2:13" s="2" customFormat="1" ht="14.1" x14ac:dyDescent="0.3">
      <c r="B9" s="17" t="s">
        <v>19</v>
      </c>
      <c r="C9" s="18"/>
      <c r="D9" s="19"/>
      <c r="F9" s="7"/>
    </row>
    <row r="10" spans="2:13" s="2" customFormat="1" ht="14.1" x14ac:dyDescent="0.3">
      <c r="F10" s="7"/>
    </row>
    <row r="11" spans="2:13" s="20" customFormat="1" ht="14.1" x14ac:dyDescent="0.3">
      <c r="B11" s="21" t="s">
        <v>94</v>
      </c>
      <c r="C11" s="21"/>
    </row>
    <row r="12" spans="2:13" s="20" customFormat="1" ht="14.1" x14ac:dyDescent="0.3">
      <c r="B12" s="22"/>
      <c r="C12" s="22"/>
      <c r="D12" s="23"/>
    </row>
    <row r="13" spans="2:13" s="24" customFormat="1" ht="38.25" x14ac:dyDescent="0.3">
      <c r="B13" s="25" t="s">
        <v>95</v>
      </c>
      <c r="C13" s="25" t="s">
        <v>15</v>
      </c>
      <c r="D13" s="25" t="s">
        <v>16</v>
      </c>
      <c r="E13" s="25" t="s">
        <v>17</v>
      </c>
      <c r="F13" s="25" t="s">
        <v>7</v>
      </c>
      <c r="G13" s="26" t="s">
        <v>96</v>
      </c>
      <c r="H13" s="25" t="s">
        <v>97</v>
      </c>
      <c r="I13" s="25" t="s">
        <v>109</v>
      </c>
      <c r="J13" s="25" t="s">
        <v>8</v>
      </c>
      <c r="K13" s="25" t="s">
        <v>0</v>
      </c>
      <c r="L13" s="25" t="s">
        <v>28</v>
      </c>
      <c r="M13" s="25" t="s">
        <v>12</v>
      </c>
    </row>
    <row r="14" spans="2:13" s="2" customFormat="1" ht="16.5" x14ac:dyDescent="0.3">
      <c r="B14" s="3">
        <v>1</v>
      </c>
      <c r="C14" s="27" t="s">
        <v>110</v>
      </c>
      <c r="D14" s="27" t="s">
        <v>130</v>
      </c>
      <c r="E14" s="59" t="s">
        <v>120</v>
      </c>
      <c r="F14" s="28"/>
      <c r="G14" s="29">
        <v>42186</v>
      </c>
      <c r="H14" s="30">
        <v>1000</v>
      </c>
      <c r="I14" s="30">
        <v>1</v>
      </c>
      <c r="J14" s="30">
        <f>I14*H14</f>
        <v>1000</v>
      </c>
      <c r="K14" s="30">
        <f>J14/L14</f>
        <v>500</v>
      </c>
      <c r="L14" s="30">
        <v>2</v>
      </c>
      <c r="M14" s="27"/>
    </row>
    <row r="15" spans="2:13" s="2" customFormat="1" ht="16.5" x14ac:dyDescent="0.3">
      <c r="B15" s="3">
        <v>2</v>
      </c>
      <c r="C15" s="27" t="s">
        <v>111</v>
      </c>
      <c r="D15" s="27" t="s">
        <v>130</v>
      </c>
      <c r="E15" s="59" t="s">
        <v>121</v>
      </c>
      <c r="F15" s="27"/>
      <c r="G15" s="29">
        <v>42186</v>
      </c>
      <c r="H15" s="30">
        <v>100</v>
      </c>
      <c r="I15" s="30">
        <v>1</v>
      </c>
      <c r="J15" s="30">
        <f t="shared" ref="J15:J23" si="0">I15*H15</f>
        <v>100</v>
      </c>
      <c r="K15" s="30">
        <f t="shared" ref="K15:K52" si="1">J15/L15</f>
        <v>50</v>
      </c>
      <c r="L15" s="30">
        <v>2</v>
      </c>
      <c r="M15" s="27"/>
    </row>
    <row r="16" spans="2:13" s="2" customFormat="1" ht="16.5" x14ac:dyDescent="0.3">
      <c r="B16" s="3">
        <v>3</v>
      </c>
      <c r="C16" s="27" t="s">
        <v>112</v>
      </c>
      <c r="D16" s="27" t="s">
        <v>130</v>
      </c>
      <c r="E16" s="59" t="s">
        <v>122</v>
      </c>
      <c r="F16" s="27"/>
      <c r="G16" s="29">
        <v>42186</v>
      </c>
      <c r="H16" s="30">
        <v>5000</v>
      </c>
      <c r="I16" s="30">
        <v>1</v>
      </c>
      <c r="J16" s="30">
        <f t="shared" si="0"/>
        <v>5000</v>
      </c>
      <c r="K16" s="30">
        <f t="shared" si="1"/>
        <v>1666.6666666666667</v>
      </c>
      <c r="L16" s="30">
        <v>3</v>
      </c>
      <c r="M16" s="31"/>
    </row>
    <row r="17" spans="2:13" s="2" customFormat="1" ht="16.5" x14ac:dyDescent="0.3">
      <c r="B17" s="3">
        <v>4</v>
      </c>
      <c r="C17" s="27" t="s">
        <v>113</v>
      </c>
      <c r="D17" s="27" t="s">
        <v>130</v>
      </c>
      <c r="E17" s="59" t="s">
        <v>123</v>
      </c>
      <c r="F17" s="27"/>
      <c r="G17" s="29">
        <v>42186</v>
      </c>
      <c r="H17" s="30">
        <v>1000</v>
      </c>
      <c r="I17" s="30">
        <v>1</v>
      </c>
      <c r="J17" s="30">
        <f t="shared" si="0"/>
        <v>1000</v>
      </c>
      <c r="K17" s="30">
        <f t="shared" si="1"/>
        <v>500</v>
      </c>
      <c r="L17" s="30">
        <v>2</v>
      </c>
      <c r="M17" s="27"/>
    </row>
    <row r="18" spans="2:13" s="2" customFormat="1" ht="16.5" x14ac:dyDescent="0.3">
      <c r="B18" s="3">
        <v>5</v>
      </c>
      <c r="C18" s="27" t="s">
        <v>114</v>
      </c>
      <c r="D18" s="27" t="s">
        <v>130</v>
      </c>
      <c r="E18" s="59" t="s">
        <v>124</v>
      </c>
      <c r="F18" s="27"/>
      <c r="G18" s="29">
        <v>42186</v>
      </c>
      <c r="H18" s="30">
        <v>500</v>
      </c>
      <c r="I18" s="30">
        <v>1</v>
      </c>
      <c r="J18" s="30">
        <f t="shared" si="0"/>
        <v>500</v>
      </c>
      <c r="K18" s="30">
        <f t="shared" si="1"/>
        <v>250</v>
      </c>
      <c r="L18" s="30">
        <v>2</v>
      </c>
      <c r="M18" s="27"/>
    </row>
    <row r="19" spans="2:13" s="2" customFormat="1" ht="16.5" x14ac:dyDescent="0.3">
      <c r="B19" s="3">
        <v>6</v>
      </c>
      <c r="C19" s="27" t="s">
        <v>115</v>
      </c>
      <c r="D19" s="27" t="s">
        <v>130</v>
      </c>
      <c r="E19" s="59" t="s">
        <v>125</v>
      </c>
      <c r="F19" s="27"/>
      <c r="G19" s="29">
        <v>42186</v>
      </c>
      <c r="H19" s="30">
        <v>500</v>
      </c>
      <c r="I19" s="30">
        <v>1</v>
      </c>
      <c r="J19" s="30">
        <f t="shared" si="0"/>
        <v>500</v>
      </c>
      <c r="K19" s="30">
        <f t="shared" si="1"/>
        <v>250</v>
      </c>
      <c r="L19" s="30">
        <v>2</v>
      </c>
      <c r="M19" s="27"/>
    </row>
    <row r="20" spans="2:13" s="2" customFormat="1" ht="16.5" x14ac:dyDescent="0.3">
      <c r="B20" s="3">
        <v>7</v>
      </c>
      <c r="C20" s="27" t="s">
        <v>116</v>
      </c>
      <c r="D20" s="27" t="s">
        <v>130</v>
      </c>
      <c r="E20" s="59" t="s">
        <v>126</v>
      </c>
      <c r="F20" s="27"/>
      <c r="G20" s="29">
        <v>42186</v>
      </c>
      <c r="H20" s="30">
        <v>500</v>
      </c>
      <c r="I20" s="30">
        <v>1</v>
      </c>
      <c r="J20" s="30">
        <f t="shared" si="0"/>
        <v>500</v>
      </c>
      <c r="K20" s="30">
        <f t="shared" si="1"/>
        <v>250</v>
      </c>
      <c r="L20" s="30">
        <v>2</v>
      </c>
      <c r="M20" s="27"/>
    </row>
    <row r="21" spans="2:13" s="2" customFormat="1" ht="16.5" x14ac:dyDescent="0.3">
      <c r="B21" s="3">
        <v>8</v>
      </c>
      <c r="C21" s="27" t="s">
        <v>117</v>
      </c>
      <c r="D21" s="27" t="s">
        <v>130</v>
      </c>
      <c r="E21" s="59" t="s">
        <v>127</v>
      </c>
      <c r="F21" s="27"/>
      <c r="G21" s="29">
        <v>42186</v>
      </c>
      <c r="H21" s="30">
        <v>1000</v>
      </c>
      <c r="I21" s="30">
        <v>1</v>
      </c>
      <c r="J21" s="30">
        <f t="shared" si="0"/>
        <v>1000</v>
      </c>
      <c r="K21" s="30">
        <f t="shared" si="1"/>
        <v>500</v>
      </c>
      <c r="L21" s="30">
        <v>2</v>
      </c>
      <c r="M21" s="27"/>
    </row>
    <row r="22" spans="2:13" s="2" customFormat="1" ht="16.5" x14ac:dyDescent="0.3">
      <c r="B22" s="3">
        <v>9</v>
      </c>
      <c r="C22" s="27" t="s">
        <v>118</v>
      </c>
      <c r="D22" s="27" t="s">
        <v>130</v>
      </c>
      <c r="E22" s="59" t="s">
        <v>128</v>
      </c>
      <c r="F22" s="27"/>
      <c r="G22" s="29">
        <v>42186</v>
      </c>
      <c r="H22" s="30">
        <v>500</v>
      </c>
      <c r="I22" s="30">
        <v>2</v>
      </c>
      <c r="J22" s="30">
        <f t="shared" si="0"/>
        <v>1000</v>
      </c>
      <c r="K22" s="30">
        <f t="shared" si="1"/>
        <v>500</v>
      </c>
      <c r="L22" s="30">
        <v>2</v>
      </c>
      <c r="M22" s="27"/>
    </row>
    <row r="23" spans="2:13" s="2" customFormat="1" ht="16.5" x14ac:dyDescent="0.3">
      <c r="B23" s="3">
        <v>10</v>
      </c>
      <c r="C23" s="27" t="s">
        <v>119</v>
      </c>
      <c r="D23" s="27" t="s">
        <v>130</v>
      </c>
      <c r="E23" s="59" t="s">
        <v>129</v>
      </c>
      <c r="F23" s="27"/>
      <c r="G23" s="29">
        <v>42186</v>
      </c>
      <c r="H23" s="30">
        <v>5000</v>
      </c>
      <c r="I23" s="30">
        <v>1</v>
      </c>
      <c r="J23" s="30">
        <f t="shared" si="0"/>
        <v>5000</v>
      </c>
      <c r="K23" s="30">
        <f t="shared" si="1"/>
        <v>1000</v>
      </c>
      <c r="L23" s="30">
        <v>5</v>
      </c>
      <c r="M23" s="27"/>
    </row>
    <row r="24" spans="2:13" s="2" customFormat="1" ht="16.5" x14ac:dyDescent="0.3">
      <c r="B24" s="3">
        <v>11</v>
      </c>
      <c r="C24" s="27" t="s">
        <v>131</v>
      </c>
      <c r="D24" s="27" t="s">
        <v>179</v>
      </c>
      <c r="E24" s="27" t="s">
        <v>180</v>
      </c>
      <c r="F24" s="27" t="s">
        <v>181</v>
      </c>
      <c r="G24" s="29">
        <v>42186</v>
      </c>
      <c r="H24" s="30">
        <v>39000</v>
      </c>
      <c r="I24" s="30">
        <v>1</v>
      </c>
      <c r="J24" s="30">
        <f t="shared" ref="J24:J50" si="2">I24*H24</f>
        <v>39000</v>
      </c>
      <c r="K24" s="30">
        <f t="shared" si="1"/>
        <v>7800</v>
      </c>
      <c r="L24" s="30">
        <v>5</v>
      </c>
      <c r="M24" s="27"/>
    </row>
    <row r="25" spans="2:13" s="2" customFormat="1" ht="16.5" x14ac:dyDescent="0.3">
      <c r="B25" s="3">
        <v>12</v>
      </c>
      <c r="C25" s="27" t="s">
        <v>132</v>
      </c>
      <c r="D25" s="27" t="s">
        <v>179</v>
      </c>
      <c r="E25" s="27" t="s">
        <v>182</v>
      </c>
      <c r="F25" s="27" t="s">
        <v>183</v>
      </c>
      <c r="G25" s="29">
        <v>42186</v>
      </c>
      <c r="H25" s="30">
        <v>280000</v>
      </c>
      <c r="I25" s="30">
        <v>1</v>
      </c>
      <c r="J25" s="30">
        <f t="shared" si="2"/>
        <v>280000</v>
      </c>
      <c r="K25" s="30">
        <f t="shared" si="1"/>
        <v>56000</v>
      </c>
      <c r="L25" s="30">
        <v>5</v>
      </c>
      <c r="M25" s="27"/>
    </row>
    <row r="26" spans="2:13" s="2" customFormat="1" ht="16.5" x14ac:dyDescent="0.3">
      <c r="B26" s="3">
        <v>13</v>
      </c>
      <c r="C26" s="27" t="s">
        <v>133</v>
      </c>
      <c r="D26" s="27" t="s">
        <v>179</v>
      </c>
      <c r="E26" s="27" t="s">
        <v>180</v>
      </c>
      <c r="F26" s="27" t="s">
        <v>188</v>
      </c>
      <c r="G26" s="29">
        <v>42186</v>
      </c>
      <c r="H26" s="30">
        <v>30000</v>
      </c>
      <c r="I26" s="30">
        <v>1</v>
      </c>
      <c r="J26" s="30">
        <f t="shared" si="2"/>
        <v>30000</v>
      </c>
      <c r="K26" s="30">
        <f t="shared" si="1"/>
        <v>6000</v>
      </c>
      <c r="L26" s="30">
        <v>5</v>
      </c>
      <c r="M26" s="27"/>
    </row>
    <row r="27" spans="2:13" s="2" customFormat="1" ht="16.5" x14ac:dyDescent="0.3">
      <c r="B27" s="3">
        <v>14</v>
      </c>
      <c r="C27" s="27" t="s">
        <v>134</v>
      </c>
      <c r="D27" s="27" t="s">
        <v>179</v>
      </c>
      <c r="E27" s="27" t="s">
        <v>158</v>
      </c>
      <c r="F27" s="27"/>
      <c r="G27" s="29">
        <v>42186</v>
      </c>
      <c r="H27" s="30">
        <v>2000</v>
      </c>
      <c r="I27" s="30">
        <v>1</v>
      </c>
      <c r="J27" s="30">
        <f t="shared" si="2"/>
        <v>2000</v>
      </c>
      <c r="K27" s="30">
        <f t="shared" si="1"/>
        <v>1000</v>
      </c>
      <c r="L27" s="30">
        <v>2</v>
      </c>
      <c r="M27" s="27"/>
    </row>
    <row r="28" spans="2:13" s="2" customFormat="1" ht="16.5" x14ac:dyDescent="0.3">
      <c r="B28" s="3">
        <v>15</v>
      </c>
      <c r="C28" s="27" t="s">
        <v>135</v>
      </c>
      <c r="D28" s="27" t="s">
        <v>179</v>
      </c>
      <c r="E28" s="27" t="s">
        <v>159</v>
      </c>
      <c r="F28" s="27"/>
      <c r="G28" s="29">
        <v>42186</v>
      </c>
      <c r="H28" s="30">
        <v>1000</v>
      </c>
      <c r="I28" s="30">
        <v>1</v>
      </c>
      <c r="J28" s="30">
        <f t="shared" si="2"/>
        <v>1000</v>
      </c>
      <c r="K28" s="30">
        <f t="shared" si="1"/>
        <v>500</v>
      </c>
      <c r="L28" s="30">
        <v>2</v>
      </c>
      <c r="M28" s="27"/>
    </row>
    <row r="29" spans="2:13" s="2" customFormat="1" ht="16.5" x14ac:dyDescent="0.3">
      <c r="B29" s="3">
        <v>16</v>
      </c>
      <c r="C29" s="27" t="s">
        <v>136</v>
      </c>
      <c r="D29" s="27" t="s">
        <v>179</v>
      </c>
      <c r="E29" s="27" t="s">
        <v>160</v>
      </c>
      <c r="F29" s="27"/>
      <c r="G29" s="29">
        <v>42186</v>
      </c>
      <c r="H29" s="30">
        <v>1000</v>
      </c>
      <c r="I29" s="30">
        <v>1</v>
      </c>
      <c r="J29" s="30">
        <f t="shared" si="2"/>
        <v>1000</v>
      </c>
      <c r="K29" s="30">
        <f t="shared" si="1"/>
        <v>500</v>
      </c>
      <c r="L29" s="30">
        <v>2</v>
      </c>
      <c r="M29" s="27"/>
    </row>
    <row r="30" spans="2:13" s="2" customFormat="1" ht="16.5" x14ac:dyDescent="0.3">
      <c r="B30" s="3">
        <v>17</v>
      </c>
      <c r="C30" s="27" t="s">
        <v>137</v>
      </c>
      <c r="D30" s="27" t="s">
        <v>179</v>
      </c>
      <c r="E30" s="27" t="s">
        <v>161</v>
      </c>
      <c r="F30" s="27"/>
      <c r="G30" s="29">
        <v>42186</v>
      </c>
      <c r="H30" s="30">
        <v>800</v>
      </c>
      <c r="I30" s="30">
        <v>1</v>
      </c>
      <c r="J30" s="30">
        <f t="shared" si="2"/>
        <v>800</v>
      </c>
      <c r="K30" s="30">
        <f t="shared" si="1"/>
        <v>400</v>
      </c>
      <c r="L30" s="30">
        <v>2</v>
      </c>
      <c r="M30" s="27"/>
    </row>
    <row r="31" spans="2:13" s="2" customFormat="1" ht="16.5" x14ac:dyDescent="0.3">
      <c r="B31" s="3">
        <v>18</v>
      </c>
      <c r="C31" s="27" t="s">
        <v>138</v>
      </c>
      <c r="D31" s="27" t="s">
        <v>179</v>
      </c>
      <c r="E31" s="27" t="s">
        <v>162</v>
      </c>
      <c r="F31" s="27"/>
      <c r="G31" s="29">
        <v>42186</v>
      </c>
      <c r="H31" s="30">
        <v>500</v>
      </c>
      <c r="I31" s="30">
        <v>1</v>
      </c>
      <c r="J31" s="30">
        <f t="shared" si="2"/>
        <v>500</v>
      </c>
      <c r="K31" s="30">
        <f t="shared" si="1"/>
        <v>250</v>
      </c>
      <c r="L31" s="30">
        <v>2</v>
      </c>
      <c r="M31" s="27"/>
    </row>
    <row r="32" spans="2:13" s="2" customFormat="1" ht="16.5" x14ac:dyDescent="0.3">
      <c r="B32" s="3">
        <v>19</v>
      </c>
      <c r="C32" s="27" t="s">
        <v>139</v>
      </c>
      <c r="D32" s="27" t="s">
        <v>179</v>
      </c>
      <c r="E32" s="27" t="s">
        <v>163</v>
      </c>
      <c r="F32" s="27"/>
      <c r="G32" s="29">
        <v>42186</v>
      </c>
      <c r="H32" s="30">
        <v>6000</v>
      </c>
      <c r="I32" s="30">
        <v>1</v>
      </c>
      <c r="J32" s="30">
        <f t="shared" si="2"/>
        <v>6000</v>
      </c>
      <c r="K32" s="30">
        <f t="shared" si="1"/>
        <v>2000</v>
      </c>
      <c r="L32" s="30">
        <v>3</v>
      </c>
      <c r="M32" s="27"/>
    </row>
    <row r="33" spans="2:13" s="2" customFormat="1" ht="16.5" x14ac:dyDescent="0.3">
      <c r="B33" s="3">
        <v>20</v>
      </c>
      <c r="C33" s="27" t="s">
        <v>140</v>
      </c>
      <c r="D33" s="27" t="s">
        <v>179</v>
      </c>
      <c r="E33" s="27" t="s">
        <v>164</v>
      </c>
      <c r="F33" s="27"/>
      <c r="G33" s="29">
        <v>42186</v>
      </c>
      <c r="H33" s="30">
        <v>12000</v>
      </c>
      <c r="I33" s="30">
        <v>1</v>
      </c>
      <c r="J33" s="30">
        <f t="shared" si="2"/>
        <v>12000</v>
      </c>
      <c r="K33" s="30">
        <f t="shared" si="1"/>
        <v>4000</v>
      </c>
      <c r="L33" s="30">
        <v>3</v>
      </c>
      <c r="M33" s="27"/>
    </row>
    <row r="34" spans="2:13" s="2" customFormat="1" ht="16.5" x14ac:dyDescent="0.3">
      <c r="B34" s="3">
        <v>21</v>
      </c>
      <c r="C34" s="27" t="s">
        <v>141</v>
      </c>
      <c r="D34" s="27" t="s">
        <v>179</v>
      </c>
      <c r="E34" s="27" t="s">
        <v>165</v>
      </c>
      <c r="F34" s="27"/>
      <c r="G34" s="29">
        <v>42186</v>
      </c>
      <c r="H34" s="30">
        <v>2000</v>
      </c>
      <c r="I34" s="30">
        <v>1</v>
      </c>
      <c r="J34" s="30">
        <f t="shared" si="2"/>
        <v>2000</v>
      </c>
      <c r="K34" s="30">
        <f t="shared" si="1"/>
        <v>666.66666666666663</v>
      </c>
      <c r="L34" s="30">
        <v>3</v>
      </c>
      <c r="M34" s="27"/>
    </row>
    <row r="35" spans="2:13" s="2" customFormat="1" ht="16.5" x14ac:dyDescent="0.3">
      <c r="B35" s="3">
        <v>22</v>
      </c>
      <c r="C35" s="27" t="s">
        <v>142</v>
      </c>
      <c r="D35" s="27" t="s">
        <v>179</v>
      </c>
      <c r="E35" s="27" t="s">
        <v>166</v>
      </c>
      <c r="F35" s="27"/>
      <c r="G35" s="29">
        <v>42186</v>
      </c>
      <c r="H35" s="30">
        <v>2000</v>
      </c>
      <c r="I35" s="30">
        <v>1</v>
      </c>
      <c r="J35" s="30">
        <f t="shared" si="2"/>
        <v>2000</v>
      </c>
      <c r="K35" s="30">
        <f t="shared" si="1"/>
        <v>666.66666666666663</v>
      </c>
      <c r="L35" s="30">
        <v>3</v>
      </c>
      <c r="M35" s="27"/>
    </row>
    <row r="36" spans="2:13" s="2" customFormat="1" ht="16.5" x14ac:dyDescent="0.3">
      <c r="B36" s="3">
        <v>23</v>
      </c>
      <c r="C36" s="27" t="s">
        <v>143</v>
      </c>
      <c r="D36" s="27" t="s">
        <v>179</v>
      </c>
      <c r="E36" s="27" t="s">
        <v>167</v>
      </c>
      <c r="F36" s="27"/>
      <c r="G36" s="29">
        <v>42186</v>
      </c>
      <c r="H36" s="30">
        <v>2000</v>
      </c>
      <c r="I36" s="30">
        <v>3</v>
      </c>
      <c r="J36" s="30">
        <f t="shared" si="2"/>
        <v>6000</v>
      </c>
      <c r="K36" s="30">
        <f t="shared" si="1"/>
        <v>2000</v>
      </c>
      <c r="L36" s="30">
        <v>3</v>
      </c>
      <c r="M36" s="27"/>
    </row>
    <row r="37" spans="2:13" s="2" customFormat="1" ht="16.5" x14ac:dyDescent="0.3">
      <c r="B37" s="3">
        <v>24</v>
      </c>
      <c r="C37" s="27" t="s">
        <v>144</v>
      </c>
      <c r="D37" s="27" t="s">
        <v>179</v>
      </c>
      <c r="E37" s="27" t="s">
        <v>168</v>
      </c>
      <c r="F37" s="27"/>
      <c r="G37" s="29">
        <v>42186</v>
      </c>
      <c r="H37" s="30">
        <v>1500</v>
      </c>
      <c r="I37" s="30">
        <v>3</v>
      </c>
      <c r="J37" s="30">
        <f t="shared" si="2"/>
        <v>4500</v>
      </c>
      <c r="K37" s="30">
        <f t="shared" si="1"/>
        <v>1500</v>
      </c>
      <c r="L37" s="30">
        <v>3</v>
      </c>
      <c r="M37" s="27"/>
    </row>
    <row r="38" spans="2:13" s="2" customFormat="1" ht="16.5" x14ac:dyDescent="0.3">
      <c r="B38" s="3">
        <v>25</v>
      </c>
      <c r="C38" s="27" t="s">
        <v>145</v>
      </c>
      <c r="D38" s="27" t="s">
        <v>179</v>
      </c>
      <c r="E38" s="27" t="s">
        <v>165</v>
      </c>
      <c r="F38" s="27"/>
      <c r="G38" s="29">
        <v>42186</v>
      </c>
      <c r="H38" s="30">
        <v>1000</v>
      </c>
      <c r="I38" s="30">
        <v>2</v>
      </c>
      <c r="J38" s="30">
        <f t="shared" si="2"/>
        <v>2000</v>
      </c>
      <c r="K38" s="30">
        <f t="shared" si="1"/>
        <v>666.66666666666663</v>
      </c>
      <c r="L38" s="30">
        <v>3</v>
      </c>
      <c r="M38" s="27"/>
    </row>
    <row r="39" spans="2:13" s="2" customFormat="1" ht="16.5" x14ac:dyDescent="0.3">
      <c r="B39" s="3">
        <v>26</v>
      </c>
      <c r="C39" s="27" t="s">
        <v>146</v>
      </c>
      <c r="D39" s="27" t="s">
        <v>179</v>
      </c>
      <c r="E39" s="27" t="s">
        <v>166</v>
      </c>
      <c r="F39" s="27"/>
      <c r="G39" s="29">
        <v>42186</v>
      </c>
      <c r="H39" s="30">
        <v>800</v>
      </c>
      <c r="I39" s="30">
        <v>2</v>
      </c>
      <c r="J39" s="30">
        <f t="shared" si="2"/>
        <v>1600</v>
      </c>
      <c r="K39" s="30">
        <f t="shared" si="1"/>
        <v>533.33333333333337</v>
      </c>
      <c r="L39" s="30">
        <v>3</v>
      </c>
      <c r="M39" s="27"/>
    </row>
    <row r="40" spans="2:13" s="2" customFormat="1" ht="16.5" x14ac:dyDescent="0.3">
      <c r="B40" s="3">
        <v>27</v>
      </c>
      <c r="C40" s="27" t="s">
        <v>147</v>
      </c>
      <c r="D40" s="27" t="s">
        <v>179</v>
      </c>
      <c r="E40" s="27" t="s">
        <v>169</v>
      </c>
      <c r="F40" s="27"/>
      <c r="G40" s="29">
        <v>42186</v>
      </c>
      <c r="H40" s="30">
        <v>2000</v>
      </c>
      <c r="I40" s="30">
        <v>1</v>
      </c>
      <c r="J40" s="30">
        <f t="shared" si="2"/>
        <v>2000</v>
      </c>
      <c r="K40" s="30">
        <f t="shared" si="1"/>
        <v>1000</v>
      </c>
      <c r="L40" s="30">
        <v>2</v>
      </c>
      <c r="M40" s="27"/>
    </row>
    <row r="41" spans="2:13" s="2" customFormat="1" ht="16.5" x14ac:dyDescent="0.3">
      <c r="B41" s="3">
        <v>28</v>
      </c>
      <c r="C41" s="27" t="s">
        <v>148</v>
      </c>
      <c r="D41" s="27" t="s">
        <v>179</v>
      </c>
      <c r="E41" s="27" t="s">
        <v>170</v>
      </c>
      <c r="F41" s="27"/>
      <c r="G41" s="29">
        <v>42186</v>
      </c>
      <c r="H41" s="30">
        <v>3000</v>
      </c>
      <c r="I41" s="30">
        <v>2</v>
      </c>
      <c r="J41" s="30">
        <f t="shared" si="2"/>
        <v>6000</v>
      </c>
      <c r="K41" s="30">
        <f t="shared" si="1"/>
        <v>3000</v>
      </c>
      <c r="L41" s="30">
        <v>2</v>
      </c>
      <c r="M41" s="27"/>
    </row>
    <row r="42" spans="2:13" s="2" customFormat="1" ht="16.5" x14ac:dyDescent="0.3">
      <c r="B42" s="3">
        <v>29</v>
      </c>
      <c r="C42" s="27" t="s">
        <v>149</v>
      </c>
      <c r="D42" s="27" t="s">
        <v>179</v>
      </c>
      <c r="E42" s="27" t="s">
        <v>171</v>
      </c>
      <c r="F42" s="27"/>
      <c r="G42" s="29">
        <v>42186</v>
      </c>
      <c r="H42" s="30">
        <v>700</v>
      </c>
      <c r="I42" s="30">
        <v>1</v>
      </c>
      <c r="J42" s="30">
        <f t="shared" si="2"/>
        <v>700</v>
      </c>
      <c r="K42" s="30">
        <f t="shared" si="1"/>
        <v>350</v>
      </c>
      <c r="L42" s="30">
        <v>2</v>
      </c>
      <c r="M42" s="27"/>
    </row>
    <row r="43" spans="2:13" s="2" customFormat="1" ht="16.5" x14ac:dyDescent="0.3">
      <c r="B43" s="3">
        <v>30</v>
      </c>
      <c r="C43" s="27" t="s">
        <v>150</v>
      </c>
      <c r="D43" s="27" t="s">
        <v>179</v>
      </c>
      <c r="E43" s="27" t="s">
        <v>172</v>
      </c>
      <c r="F43" s="27"/>
      <c r="G43" s="29">
        <v>42186</v>
      </c>
      <c r="H43" s="30">
        <v>700</v>
      </c>
      <c r="I43" s="30">
        <v>1</v>
      </c>
      <c r="J43" s="30">
        <f t="shared" si="2"/>
        <v>700</v>
      </c>
      <c r="K43" s="30">
        <f t="shared" si="1"/>
        <v>350</v>
      </c>
      <c r="L43" s="30">
        <v>2</v>
      </c>
      <c r="M43" s="27"/>
    </row>
    <row r="44" spans="2:13" s="2" customFormat="1" ht="16.5" x14ac:dyDescent="0.3">
      <c r="B44" s="3">
        <v>31</v>
      </c>
      <c r="C44" s="27" t="s">
        <v>151</v>
      </c>
      <c r="D44" s="27" t="s">
        <v>179</v>
      </c>
      <c r="E44" s="27" t="s">
        <v>173</v>
      </c>
      <c r="F44" s="27"/>
      <c r="G44" s="29">
        <v>42186</v>
      </c>
      <c r="H44" s="30">
        <v>1000</v>
      </c>
      <c r="I44" s="30">
        <v>1</v>
      </c>
      <c r="J44" s="30">
        <f t="shared" si="2"/>
        <v>1000</v>
      </c>
      <c r="K44" s="30">
        <f t="shared" si="1"/>
        <v>333.33333333333331</v>
      </c>
      <c r="L44" s="30">
        <v>3</v>
      </c>
      <c r="M44" s="27"/>
    </row>
    <row r="45" spans="2:13" s="2" customFormat="1" ht="16.5" x14ac:dyDescent="0.3">
      <c r="B45" s="3">
        <v>32</v>
      </c>
      <c r="C45" s="27" t="s">
        <v>152</v>
      </c>
      <c r="D45" s="27" t="s">
        <v>179</v>
      </c>
      <c r="E45" s="27" t="s">
        <v>174</v>
      </c>
      <c r="F45" s="27"/>
      <c r="G45" s="29">
        <v>42186</v>
      </c>
      <c r="H45" s="30">
        <v>1500</v>
      </c>
      <c r="I45" s="30">
        <v>1</v>
      </c>
      <c r="J45" s="30">
        <f t="shared" si="2"/>
        <v>1500</v>
      </c>
      <c r="K45" s="30">
        <f t="shared" si="1"/>
        <v>500</v>
      </c>
      <c r="L45" s="30">
        <v>3</v>
      </c>
      <c r="M45" s="27"/>
    </row>
    <row r="46" spans="2:13" s="2" customFormat="1" ht="16.5" x14ac:dyDescent="0.3">
      <c r="B46" s="3">
        <v>33</v>
      </c>
      <c r="C46" s="27" t="s">
        <v>153</v>
      </c>
      <c r="D46" s="27" t="s">
        <v>179</v>
      </c>
      <c r="E46" s="27" t="s">
        <v>175</v>
      </c>
      <c r="F46" s="27"/>
      <c r="G46" s="29">
        <v>42186</v>
      </c>
      <c r="H46" s="30">
        <v>450</v>
      </c>
      <c r="I46" s="30">
        <v>1</v>
      </c>
      <c r="J46" s="30">
        <f t="shared" si="2"/>
        <v>450</v>
      </c>
      <c r="K46" s="30">
        <f t="shared" si="1"/>
        <v>225</v>
      </c>
      <c r="L46" s="30">
        <v>2</v>
      </c>
      <c r="M46" s="27"/>
    </row>
    <row r="47" spans="2:13" s="2" customFormat="1" ht="16.5" x14ac:dyDescent="0.3">
      <c r="B47" s="3">
        <v>34</v>
      </c>
      <c r="C47" s="27" t="s">
        <v>154</v>
      </c>
      <c r="D47" s="27" t="s">
        <v>179</v>
      </c>
      <c r="E47" s="27" t="s">
        <v>176</v>
      </c>
      <c r="F47" s="27"/>
      <c r="G47" s="29">
        <v>42186</v>
      </c>
      <c r="H47" s="30">
        <v>1500</v>
      </c>
      <c r="I47" s="30">
        <v>1</v>
      </c>
      <c r="J47" s="30">
        <f t="shared" si="2"/>
        <v>1500</v>
      </c>
      <c r="K47" s="30">
        <f t="shared" si="1"/>
        <v>750</v>
      </c>
      <c r="L47" s="30">
        <v>2</v>
      </c>
      <c r="M47" s="27"/>
    </row>
    <row r="48" spans="2:13" s="2" customFormat="1" ht="16.5" x14ac:dyDescent="0.3">
      <c r="B48" s="3">
        <v>35</v>
      </c>
      <c r="C48" s="27" t="s">
        <v>155</v>
      </c>
      <c r="D48" s="27" t="s">
        <v>179</v>
      </c>
      <c r="E48" s="27" t="s">
        <v>177</v>
      </c>
      <c r="F48" s="27"/>
      <c r="G48" s="29">
        <v>42186</v>
      </c>
      <c r="H48" s="30">
        <v>9600</v>
      </c>
      <c r="I48" s="30">
        <v>1</v>
      </c>
      <c r="J48" s="30">
        <f t="shared" si="2"/>
        <v>9600</v>
      </c>
      <c r="K48" s="30">
        <f t="shared" si="1"/>
        <v>1920</v>
      </c>
      <c r="L48" s="30">
        <v>5</v>
      </c>
      <c r="M48" s="27"/>
    </row>
    <row r="49" spans="2:13" s="2" customFormat="1" ht="16.5" x14ac:dyDescent="0.3">
      <c r="B49" s="3">
        <v>36</v>
      </c>
      <c r="C49" s="27" t="s">
        <v>156</v>
      </c>
      <c r="D49" s="27" t="s">
        <v>179</v>
      </c>
      <c r="E49" s="27" t="s">
        <v>174</v>
      </c>
      <c r="F49" s="27"/>
      <c r="G49" s="29">
        <v>42186</v>
      </c>
      <c r="H49" s="30">
        <v>1500</v>
      </c>
      <c r="I49" s="30">
        <v>1</v>
      </c>
      <c r="J49" s="30">
        <f t="shared" si="2"/>
        <v>1500</v>
      </c>
      <c r="K49" s="30">
        <f t="shared" si="1"/>
        <v>500</v>
      </c>
      <c r="L49" s="30">
        <v>3</v>
      </c>
      <c r="M49" s="27"/>
    </row>
    <row r="50" spans="2:13" s="2" customFormat="1" ht="16.5" x14ac:dyDescent="0.3">
      <c r="B50" s="3">
        <v>37</v>
      </c>
      <c r="C50" s="27" t="s">
        <v>157</v>
      </c>
      <c r="D50" s="27" t="s">
        <v>179</v>
      </c>
      <c r="E50" s="27" t="s">
        <v>178</v>
      </c>
      <c r="F50" s="27"/>
      <c r="G50" s="29">
        <v>42186</v>
      </c>
      <c r="H50" s="30">
        <v>1500</v>
      </c>
      <c r="I50" s="30">
        <v>1</v>
      </c>
      <c r="J50" s="30">
        <f t="shared" si="2"/>
        <v>1500</v>
      </c>
      <c r="K50" s="30">
        <f t="shared" si="1"/>
        <v>500</v>
      </c>
      <c r="L50" s="30">
        <v>3</v>
      </c>
      <c r="M50" s="27"/>
    </row>
    <row r="51" spans="2:13" s="2" customFormat="1" ht="16.5" x14ac:dyDescent="0.3">
      <c r="B51" s="3">
        <v>38</v>
      </c>
      <c r="C51" s="27" t="s">
        <v>184</v>
      </c>
      <c r="D51" s="27" t="s">
        <v>179</v>
      </c>
      <c r="E51" s="27" t="s">
        <v>185</v>
      </c>
      <c r="F51" s="27"/>
      <c r="G51" s="29">
        <v>42423</v>
      </c>
      <c r="H51" s="30">
        <v>14405</v>
      </c>
      <c r="I51" s="30">
        <v>1</v>
      </c>
      <c r="J51" s="30">
        <f t="shared" ref="J51:J52" si="3">I51*H51</f>
        <v>14405</v>
      </c>
      <c r="K51" s="30">
        <f t="shared" si="1"/>
        <v>2881</v>
      </c>
      <c r="L51" s="30">
        <v>5</v>
      </c>
      <c r="M51" s="27"/>
    </row>
    <row r="52" spans="2:13" s="2" customFormat="1" ht="16.5" x14ac:dyDescent="0.3">
      <c r="B52" s="3">
        <v>39</v>
      </c>
      <c r="C52" s="27" t="s">
        <v>186</v>
      </c>
      <c r="D52" s="27" t="s">
        <v>130</v>
      </c>
      <c r="E52" s="27" t="s">
        <v>187</v>
      </c>
      <c r="F52" s="27"/>
      <c r="G52" s="29">
        <v>42997</v>
      </c>
      <c r="H52" s="30">
        <v>5500</v>
      </c>
      <c r="I52" s="30">
        <v>1</v>
      </c>
      <c r="J52" s="30">
        <f t="shared" si="3"/>
        <v>5500</v>
      </c>
      <c r="K52" s="30">
        <f t="shared" si="1"/>
        <v>5500</v>
      </c>
      <c r="L52" s="30">
        <v>1</v>
      </c>
      <c r="M52" s="27"/>
    </row>
    <row r="53" spans="2:13" s="2" customFormat="1" ht="16.5" x14ac:dyDescent="0.3">
      <c r="B53" s="3">
        <v>40</v>
      </c>
      <c r="C53" s="27"/>
      <c r="D53" s="27"/>
      <c r="E53" s="27"/>
      <c r="F53" s="27"/>
      <c r="G53" s="29"/>
      <c r="H53" s="30"/>
      <c r="I53" s="30"/>
      <c r="J53" s="30"/>
      <c r="K53" s="30"/>
      <c r="L53" s="30"/>
      <c r="M53" s="27"/>
    </row>
    <row r="54" spans="2:13" s="2" customFormat="1" ht="14.1" x14ac:dyDescent="0.3">
      <c r="B54" s="3">
        <v>41</v>
      </c>
      <c r="C54" s="27"/>
      <c r="D54" s="27"/>
      <c r="E54" s="27"/>
      <c r="F54" s="27"/>
      <c r="G54" s="29"/>
      <c r="H54" s="30"/>
      <c r="I54" s="30"/>
      <c r="J54" s="30"/>
      <c r="K54" s="30"/>
      <c r="L54" s="30"/>
      <c r="M54" s="27"/>
    </row>
    <row r="55" spans="2:13" s="2" customFormat="1" ht="14.1" x14ac:dyDescent="0.3">
      <c r="B55" s="3">
        <v>42</v>
      </c>
      <c r="C55" s="27"/>
      <c r="D55" s="27"/>
      <c r="E55" s="27"/>
      <c r="F55" s="27"/>
      <c r="G55" s="29"/>
      <c r="H55" s="30"/>
      <c r="I55" s="30"/>
      <c r="J55" s="30"/>
      <c r="K55" s="30"/>
      <c r="L55" s="30"/>
      <c r="M55" s="27"/>
    </row>
    <row r="56" spans="2:13" s="2" customFormat="1" ht="14.1" x14ac:dyDescent="0.3">
      <c r="B56" s="3">
        <v>43</v>
      </c>
      <c r="C56" s="27"/>
      <c r="D56" s="27"/>
      <c r="E56" s="27"/>
      <c r="F56" s="27"/>
      <c r="G56" s="29"/>
      <c r="H56" s="30"/>
      <c r="I56" s="30"/>
      <c r="J56" s="30"/>
      <c r="K56" s="30"/>
      <c r="L56" s="30"/>
      <c r="M56" s="27"/>
    </row>
    <row r="57" spans="2:13" s="2" customFormat="1" ht="14.1" x14ac:dyDescent="0.3">
      <c r="B57" s="3">
        <v>44</v>
      </c>
      <c r="C57" s="27"/>
      <c r="D57" s="27"/>
      <c r="E57" s="27"/>
      <c r="F57" s="27"/>
      <c r="G57" s="29"/>
      <c r="H57" s="30"/>
      <c r="I57" s="30"/>
      <c r="J57" s="30"/>
      <c r="K57" s="30"/>
      <c r="L57" s="30"/>
      <c r="M57" s="27"/>
    </row>
    <row r="58" spans="2:13" s="2" customFormat="1" ht="14.1" x14ac:dyDescent="0.3">
      <c r="B58" s="3">
        <v>45</v>
      </c>
      <c r="C58" s="27"/>
      <c r="D58" s="27"/>
      <c r="E58" s="27"/>
      <c r="F58" s="27"/>
      <c r="G58" s="29"/>
      <c r="H58" s="30"/>
      <c r="I58" s="30"/>
      <c r="J58" s="30"/>
      <c r="K58" s="30"/>
      <c r="L58" s="30"/>
      <c r="M58" s="27"/>
    </row>
    <row r="59" spans="2:13" s="2" customFormat="1" ht="14.1" x14ac:dyDescent="0.3">
      <c r="B59" s="3">
        <v>46</v>
      </c>
      <c r="C59" s="27"/>
      <c r="D59" s="27"/>
      <c r="E59" s="27"/>
      <c r="F59" s="27"/>
      <c r="G59" s="29"/>
      <c r="H59" s="30"/>
      <c r="I59" s="30"/>
      <c r="J59" s="30"/>
      <c r="K59" s="30"/>
      <c r="L59" s="30"/>
      <c r="M59" s="27"/>
    </row>
    <row r="60" spans="2:13" s="2" customFormat="1" ht="14.1" x14ac:dyDescent="0.3">
      <c r="B60" s="3">
        <v>47</v>
      </c>
      <c r="C60" s="27"/>
      <c r="D60" s="27"/>
      <c r="E60" s="27"/>
      <c r="F60" s="27"/>
      <c r="G60" s="29"/>
      <c r="H60" s="30"/>
      <c r="I60" s="30"/>
      <c r="J60" s="30"/>
      <c r="K60" s="30"/>
      <c r="L60" s="30"/>
      <c r="M60" s="27"/>
    </row>
    <row r="61" spans="2:13" s="2" customFormat="1" ht="14.1" x14ac:dyDescent="0.3">
      <c r="B61" s="3">
        <v>48</v>
      </c>
      <c r="C61" s="27"/>
      <c r="D61" s="27"/>
      <c r="E61" s="27"/>
      <c r="F61" s="27"/>
      <c r="G61" s="29"/>
      <c r="H61" s="30"/>
      <c r="I61" s="30"/>
      <c r="J61" s="30"/>
      <c r="K61" s="30"/>
      <c r="L61" s="30"/>
      <c r="M61" s="27"/>
    </row>
    <row r="62" spans="2:13" s="2" customFormat="1" ht="14.1" x14ac:dyDescent="0.3">
      <c r="B62" s="3">
        <v>49</v>
      </c>
      <c r="C62" s="27"/>
      <c r="D62" s="27"/>
      <c r="E62" s="27"/>
      <c r="F62" s="27"/>
      <c r="G62" s="29"/>
      <c r="H62" s="30"/>
      <c r="I62" s="30"/>
      <c r="J62" s="30"/>
      <c r="K62" s="30"/>
      <c r="L62" s="30"/>
      <c r="M62" s="27"/>
    </row>
    <row r="63" spans="2:13" s="2" customFormat="1" ht="14.1" x14ac:dyDescent="0.3">
      <c r="B63" s="3">
        <v>50</v>
      </c>
      <c r="C63" s="27"/>
      <c r="D63" s="27"/>
      <c r="E63" s="27"/>
      <c r="F63" s="27"/>
      <c r="G63" s="29"/>
      <c r="H63" s="30"/>
      <c r="I63" s="30"/>
      <c r="J63" s="30"/>
      <c r="K63" s="30"/>
      <c r="L63" s="30"/>
      <c r="M63" s="27"/>
    </row>
    <row r="64" spans="2:13" s="2" customFormat="1" ht="14.1" x14ac:dyDescent="0.3">
      <c r="B64" s="3">
        <v>51</v>
      </c>
      <c r="C64" s="27"/>
      <c r="D64" s="27"/>
      <c r="E64" s="27"/>
      <c r="F64" s="27"/>
      <c r="G64" s="29"/>
      <c r="H64" s="30"/>
      <c r="I64" s="30"/>
      <c r="J64" s="30"/>
      <c r="K64" s="30"/>
      <c r="L64" s="30"/>
      <c r="M64" s="27"/>
    </row>
    <row r="65" spans="2:13" s="2" customFormat="1" ht="14.1" x14ac:dyDescent="0.3">
      <c r="B65" s="3">
        <v>52</v>
      </c>
      <c r="C65" s="27"/>
      <c r="D65" s="27"/>
      <c r="E65" s="27"/>
      <c r="F65" s="27"/>
      <c r="G65" s="29"/>
      <c r="H65" s="30"/>
      <c r="I65" s="30"/>
      <c r="J65" s="30"/>
      <c r="K65" s="30"/>
      <c r="L65" s="30"/>
      <c r="M65" s="27"/>
    </row>
    <row r="66" spans="2:13" s="2" customFormat="1" ht="14.1" x14ac:dyDescent="0.3">
      <c r="B66" s="3">
        <v>53</v>
      </c>
      <c r="C66" s="27"/>
      <c r="D66" s="27"/>
      <c r="E66" s="27"/>
      <c r="F66" s="27"/>
      <c r="G66" s="29"/>
      <c r="H66" s="30"/>
      <c r="I66" s="30"/>
      <c r="J66" s="30"/>
      <c r="K66" s="30"/>
      <c r="L66" s="30"/>
      <c r="M66" s="27"/>
    </row>
    <row r="67" spans="2:13" s="2" customFormat="1" ht="14.1" x14ac:dyDescent="0.3">
      <c r="B67" s="3">
        <v>54</v>
      </c>
      <c r="C67" s="27"/>
      <c r="D67" s="27"/>
      <c r="E67" s="27"/>
      <c r="F67" s="27"/>
      <c r="G67" s="29"/>
      <c r="H67" s="30"/>
      <c r="I67" s="30"/>
      <c r="J67" s="30"/>
      <c r="K67" s="30"/>
      <c r="L67" s="30"/>
      <c r="M67" s="27"/>
    </row>
    <row r="68" spans="2:13" s="2" customFormat="1" ht="14.1" x14ac:dyDescent="0.3">
      <c r="B68" s="3">
        <v>55</v>
      </c>
      <c r="C68" s="27"/>
      <c r="D68" s="27"/>
      <c r="E68" s="27"/>
      <c r="F68" s="27"/>
      <c r="G68" s="29"/>
      <c r="H68" s="30"/>
      <c r="I68" s="30"/>
      <c r="J68" s="30"/>
      <c r="K68" s="30"/>
      <c r="L68" s="30"/>
      <c r="M68" s="27"/>
    </row>
    <row r="69" spans="2:13" s="2" customFormat="1" ht="14.1" x14ac:dyDescent="0.3">
      <c r="B69" s="3">
        <v>56</v>
      </c>
      <c r="C69" s="27"/>
      <c r="D69" s="27"/>
      <c r="E69" s="27"/>
      <c r="F69" s="27"/>
      <c r="G69" s="29"/>
      <c r="H69" s="30"/>
      <c r="I69" s="30"/>
      <c r="J69" s="30"/>
      <c r="K69" s="30"/>
      <c r="L69" s="30"/>
      <c r="M69" s="27"/>
    </row>
    <row r="70" spans="2:13" s="2" customFormat="1" ht="14.1" x14ac:dyDescent="0.3">
      <c r="B70" s="3">
        <v>57</v>
      </c>
      <c r="C70" s="27"/>
      <c r="D70" s="27"/>
      <c r="E70" s="27"/>
      <c r="F70" s="27"/>
      <c r="G70" s="29"/>
      <c r="H70" s="30"/>
      <c r="I70" s="30"/>
      <c r="J70" s="30"/>
      <c r="K70" s="30"/>
      <c r="L70" s="30"/>
      <c r="M70" s="27"/>
    </row>
    <row r="71" spans="2:13" s="2" customFormat="1" ht="14.1" x14ac:dyDescent="0.3">
      <c r="B71" s="3">
        <v>58</v>
      </c>
      <c r="C71" s="27"/>
      <c r="D71" s="27"/>
      <c r="E71" s="27"/>
      <c r="F71" s="27"/>
      <c r="G71" s="29"/>
      <c r="H71" s="30"/>
      <c r="I71" s="30"/>
      <c r="J71" s="30"/>
      <c r="K71" s="30"/>
      <c r="L71" s="30"/>
      <c r="M71" s="27"/>
    </row>
    <row r="72" spans="2:13" s="2" customFormat="1" ht="14.1" x14ac:dyDescent="0.3">
      <c r="B72" s="3">
        <v>59</v>
      </c>
      <c r="C72" s="27"/>
      <c r="D72" s="27"/>
      <c r="E72" s="27"/>
      <c r="F72" s="27"/>
      <c r="G72" s="29"/>
      <c r="H72" s="30"/>
      <c r="I72" s="30"/>
      <c r="J72" s="30"/>
      <c r="K72" s="30"/>
      <c r="L72" s="30"/>
      <c r="M72" s="27"/>
    </row>
    <row r="73" spans="2:13" s="2" customFormat="1" ht="14.1" x14ac:dyDescent="0.3">
      <c r="B73" s="3">
        <v>60</v>
      </c>
      <c r="C73" s="27"/>
      <c r="D73" s="27"/>
      <c r="E73" s="27"/>
      <c r="F73" s="27"/>
      <c r="G73" s="29"/>
      <c r="H73" s="30"/>
      <c r="I73" s="30"/>
      <c r="J73" s="30"/>
      <c r="K73" s="30"/>
      <c r="L73" s="30"/>
      <c r="M73" s="27"/>
    </row>
    <row r="74" spans="2:13" s="2" customFormat="1" ht="14.1" x14ac:dyDescent="0.3">
      <c r="B74" s="3">
        <v>61</v>
      </c>
      <c r="C74" s="27"/>
      <c r="D74" s="27"/>
      <c r="E74" s="27"/>
      <c r="F74" s="27"/>
      <c r="G74" s="29"/>
      <c r="H74" s="30"/>
      <c r="I74" s="30"/>
      <c r="J74" s="30"/>
      <c r="K74" s="30"/>
      <c r="L74" s="30"/>
      <c r="M74" s="27"/>
    </row>
    <row r="75" spans="2:13" s="2" customFormat="1" ht="14.1" x14ac:dyDescent="0.3">
      <c r="B75" s="3">
        <v>62</v>
      </c>
      <c r="C75" s="27"/>
      <c r="D75" s="27"/>
      <c r="E75" s="27"/>
      <c r="F75" s="27"/>
      <c r="G75" s="29"/>
      <c r="H75" s="30"/>
      <c r="I75" s="30"/>
      <c r="J75" s="30"/>
      <c r="K75" s="30"/>
      <c r="L75" s="30"/>
      <c r="M75" s="27"/>
    </row>
    <row r="76" spans="2:13" s="2" customFormat="1" ht="14.1" x14ac:dyDescent="0.3">
      <c r="B76" s="3">
        <v>63</v>
      </c>
      <c r="C76" s="27"/>
      <c r="D76" s="27"/>
      <c r="E76" s="27"/>
      <c r="F76" s="27"/>
      <c r="G76" s="29"/>
      <c r="H76" s="30"/>
      <c r="I76" s="30"/>
      <c r="J76" s="30"/>
      <c r="K76" s="30"/>
      <c r="L76" s="30"/>
      <c r="M76" s="27"/>
    </row>
    <row r="77" spans="2:13" s="2" customFormat="1" ht="14.1" x14ac:dyDescent="0.3">
      <c r="B77" s="3">
        <v>64</v>
      </c>
      <c r="C77" s="27"/>
      <c r="D77" s="27"/>
      <c r="E77" s="27"/>
      <c r="F77" s="27"/>
      <c r="G77" s="29"/>
      <c r="H77" s="30"/>
      <c r="I77" s="30"/>
      <c r="J77" s="30"/>
      <c r="K77" s="30"/>
      <c r="L77" s="30"/>
      <c r="M77" s="27"/>
    </row>
    <row r="78" spans="2:13" s="2" customFormat="1" ht="14.1" x14ac:dyDescent="0.3">
      <c r="B78" s="3">
        <v>65</v>
      </c>
      <c r="C78" s="27"/>
      <c r="D78" s="27"/>
      <c r="E78" s="27"/>
      <c r="F78" s="27"/>
      <c r="G78" s="29"/>
      <c r="H78" s="30"/>
      <c r="I78" s="30"/>
      <c r="J78" s="30"/>
      <c r="K78" s="30"/>
      <c r="L78" s="30"/>
      <c r="M78" s="27"/>
    </row>
    <row r="79" spans="2:13" s="2" customFormat="1" ht="16.5" x14ac:dyDescent="0.3">
      <c r="B79" s="3">
        <v>66</v>
      </c>
      <c r="C79" s="27"/>
      <c r="D79" s="27"/>
      <c r="E79" s="27"/>
      <c r="F79" s="27"/>
      <c r="G79" s="29"/>
      <c r="H79" s="30"/>
      <c r="I79" s="30"/>
      <c r="J79" s="30"/>
      <c r="K79" s="30"/>
      <c r="L79" s="30"/>
      <c r="M79" s="27"/>
    </row>
    <row r="80" spans="2:13" s="2" customFormat="1" ht="16.5" x14ac:dyDescent="0.3">
      <c r="B80" s="3">
        <v>67</v>
      </c>
      <c r="C80" s="27"/>
      <c r="D80" s="27"/>
      <c r="E80" s="27"/>
      <c r="F80" s="27"/>
      <c r="G80" s="29"/>
      <c r="H80" s="30"/>
      <c r="I80" s="30"/>
      <c r="J80" s="30"/>
      <c r="K80" s="30"/>
      <c r="L80" s="30"/>
      <c r="M80" s="27"/>
    </row>
    <row r="81" spans="2:13" s="2" customFormat="1" ht="16.5" x14ac:dyDescent="0.3">
      <c r="B81" s="3">
        <v>68</v>
      </c>
      <c r="C81" s="27"/>
      <c r="D81" s="27"/>
      <c r="E81" s="27"/>
      <c r="F81" s="27"/>
      <c r="G81" s="29"/>
      <c r="H81" s="30"/>
      <c r="I81" s="30"/>
      <c r="J81" s="30"/>
      <c r="K81" s="30"/>
      <c r="L81" s="30"/>
      <c r="M81" s="27"/>
    </row>
    <row r="82" spans="2:13" s="2" customFormat="1" ht="16.5" x14ac:dyDescent="0.3">
      <c r="B82" s="3">
        <v>69</v>
      </c>
      <c r="C82" s="27"/>
      <c r="D82" s="27"/>
      <c r="E82" s="27"/>
      <c r="F82" s="27"/>
      <c r="G82" s="29"/>
      <c r="H82" s="30"/>
      <c r="I82" s="30"/>
      <c r="J82" s="30"/>
      <c r="K82" s="30"/>
      <c r="L82" s="30"/>
      <c r="M82" s="27"/>
    </row>
    <row r="83" spans="2:13" s="2" customFormat="1" ht="16.5" x14ac:dyDescent="0.3">
      <c r="B83" s="3">
        <v>70</v>
      </c>
      <c r="C83" s="27"/>
      <c r="D83" s="27"/>
      <c r="E83" s="27"/>
      <c r="F83" s="27"/>
      <c r="G83" s="29"/>
      <c r="H83" s="30"/>
      <c r="I83" s="30"/>
      <c r="J83" s="30"/>
      <c r="K83" s="30"/>
      <c r="L83" s="30"/>
      <c r="M83" s="27"/>
    </row>
    <row r="84" spans="2:13" s="2" customFormat="1" ht="16.5" x14ac:dyDescent="0.3">
      <c r="B84" s="3">
        <v>71</v>
      </c>
      <c r="C84" s="27"/>
      <c r="D84" s="27"/>
      <c r="E84" s="27"/>
      <c r="F84" s="27"/>
      <c r="G84" s="29"/>
      <c r="H84" s="30"/>
      <c r="I84" s="30"/>
      <c r="J84" s="30"/>
      <c r="K84" s="30"/>
      <c r="L84" s="30"/>
      <c r="M84" s="27"/>
    </row>
    <row r="85" spans="2:13" s="2" customFormat="1" ht="16.5" x14ac:dyDescent="0.3">
      <c r="B85" s="3">
        <v>72</v>
      </c>
      <c r="C85" s="27"/>
      <c r="D85" s="27"/>
      <c r="E85" s="27"/>
      <c r="F85" s="27"/>
      <c r="G85" s="29"/>
      <c r="H85" s="30"/>
      <c r="I85" s="30"/>
      <c r="J85" s="30"/>
      <c r="K85" s="30"/>
      <c r="L85" s="30"/>
      <c r="M85" s="27"/>
    </row>
    <row r="86" spans="2:13" s="2" customFormat="1" ht="16.5" x14ac:dyDescent="0.3">
      <c r="B86" s="3">
        <v>73</v>
      </c>
      <c r="C86" s="27"/>
      <c r="D86" s="27"/>
      <c r="E86" s="27"/>
      <c r="F86" s="27"/>
      <c r="G86" s="29"/>
      <c r="H86" s="30"/>
      <c r="I86" s="30"/>
      <c r="J86" s="30"/>
      <c r="K86" s="30"/>
      <c r="L86" s="30"/>
      <c r="M86" s="27"/>
    </row>
    <row r="87" spans="2:13" s="2" customFormat="1" ht="16.5" x14ac:dyDescent="0.3">
      <c r="B87" s="3">
        <v>74</v>
      </c>
      <c r="C87" s="27"/>
      <c r="D87" s="27"/>
      <c r="E87" s="27"/>
      <c r="F87" s="27"/>
      <c r="G87" s="29"/>
      <c r="H87" s="30"/>
      <c r="I87" s="30"/>
      <c r="J87" s="30"/>
      <c r="K87" s="30"/>
      <c r="L87" s="30"/>
      <c r="M87" s="27"/>
    </row>
    <row r="88" spans="2:13" s="2" customFormat="1" ht="16.5" x14ac:dyDescent="0.3">
      <c r="B88" s="3">
        <v>75</v>
      </c>
      <c r="C88" s="27"/>
      <c r="D88" s="27"/>
      <c r="E88" s="27"/>
      <c r="F88" s="27"/>
      <c r="G88" s="29"/>
      <c r="H88" s="30"/>
      <c r="I88" s="30"/>
      <c r="J88" s="30"/>
      <c r="K88" s="30"/>
      <c r="L88" s="30"/>
      <c r="M88" s="27"/>
    </row>
  </sheetData>
  <sheetProtection password="C2E9" sheet="1" objects="1" scenarios="1" formatColumns="0" formatRows="0" sort="0" autoFilter="0"/>
  <dataValidations count="2">
    <dataValidation type="date" operator="greaterThan" allowBlank="1" showInputMessage="1" showErrorMessage="1" sqref="G14:G88">
      <formula1>1</formula1>
    </dataValidation>
    <dataValidation type="decimal" operator="greaterThanOrEqual" allowBlank="1" showInputMessage="1" showErrorMessage="1" sqref="J14:L88 H1:I104857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10</xdr:row>
                    <xdr:rowOff>0</xdr:rowOff>
                  </from>
                  <to>
                    <xdr:col>3</xdr:col>
                    <xdr:colOff>1190625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10</xdr:row>
                    <xdr:rowOff>0</xdr:rowOff>
                  </from>
                  <to>
                    <xdr:col>3</xdr:col>
                    <xdr:colOff>2295525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Eqpt" altText="Add Drug / Medication / Supply">
                <anchor moveWithCells="1">
                  <from>
                    <xdr:col>1</xdr:col>
                    <xdr:colOff>85725</xdr:colOff>
                    <xdr:row>13</xdr:row>
                    <xdr:rowOff>19050</xdr:rowOff>
                  </from>
                  <to>
                    <xdr:col>1</xdr:col>
                    <xdr:colOff>809625</xdr:colOff>
                    <xdr:row>13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Eqpt" altText="Delete Drug / Medication / Supply">
                <anchor moveWithCells="1">
                  <from>
                    <xdr:col>1</xdr:col>
                    <xdr:colOff>847725</xdr:colOff>
                    <xdr:row>13</xdr:row>
                    <xdr:rowOff>19050</xdr:rowOff>
                  </from>
                  <to>
                    <xdr:col>1</xdr:col>
                    <xdr:colOff>1571625</xdr:colOff>
                    <xdr:row>13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</sheetPr>
  <dimension ref="B2:DQ50"/>
  <sheetViews>
    <sheetView showGridLines="0" tabSelected="1" zoomScaleNormal="100" workbookViewId="0">
      <pane xSplit="5" ySplit="18" topLeftCell="AA19" activePane="bottomRight" state="frozen"/>
      <selection pane="topRight" activeCell="F1" sqref="F1"/>
      <selection pane="bottomLeft" activeCell="A19" sqref="A19"/>
      <selection pane="bottomRight" activeCell="D36" sqref="D36"/>
    </sheetView>
  </sheetViews>
  <sheetFormatPr defaultColWidth="8.7109375" defaultRowHeight="16.5" outlineLevelRow="1" x14ac:dyDescent="0.3"/>
  <cols>
    <col min="1" max="1" width="5.140625" style="2" customWidth="1"/>
    <col min="2" max="2" width="34.42578125" style="2" customWidth="1"/>
    <col min="3" max="3" width="19" style="2" customWidth="1"/>
    <col min="4" max="4" width="19.85546875" style="2" customWidth="1"/>
    <col min="5" max="5" width="1.140625" style="2" customWidth="1"/>
    <col min="6" max="41" width="8.7109375" style="2" hidden="1" customWidth="1"/>
    <col min="42" max="42" width="8.7109375" style="2" customWidth="1"/>
    <col min="43" max="54" width="8.7109375" style="2" hidden="1" customWidth="1"/>
    <col min="55" max="121" width="8.7109375" style="2" customWidth="1"/>
    <col min="122" max="16384" width="8.7109375" style="2"/>
  </cols>
  <sheetData>
    <row r="2" spans="2:121" s="4" customFormat="1" ht="14.1" x14ac:dyDescent="0.3">
      <c r="B2" s="8" t="s">
        <v>11</v>
      </c>
      <c r="C2" s="32"/>
      <c r="D2" s="32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  <c r="AR2" s="20"/>
      <c r="AS2" s="20"/>
      <c r="AT2" s="20"/>
      <c r="AU2" s="20"/>
      <c r="AV2" s="20"/>
      <c r="AW2" s="20"/>
      <c r="AX2" s="20"/>
      <c r="AY2" s="20"/>
      <c r="AZ2" s="20"/>
      <c r="BA2" s="20"/>
      <c r="BB2" s="20"/>
      <c r="BC2" s="20"/>
      <c r="BD2" s="20"/>
      <c r="BE2" s="20"/>
      <c r="BF2" s="20"/>
      <c r="BG2" s="20"/>
      <c r="BH2" s="20"/>
      <c r="BI2" s="20"/>
      <c r="BJ2" s="20"/>
      <c r="BK2" s="20"/>
      <c r="BL2" s="20"/>
      <c r="BM2" s="20"/>
      <c r="BN2" s="20"/>
      <c r="BO2" s="20"/>
      <c r="BP2" s="20"/>
      <c r="BQ2" s="20"/>
      <c r="BR2" s="20"/>
      <c r="BS2" s="20"/>
      <c r="BT2" s="20"/>
      <c r="BU2" s="20"/>
      <c r="BV2" s="20"/>
      <c r="BW2" s="20"/>
      <c r="BX2" s="20"/>
      <c r="BY2" s="20"/>
      <c r="BZ2" s="20"/>
      <c r="CA2" s="20"/>
      <c r="CB2" s="20"/>
      <c r="CC2" s="20"/>
      <c r="CD2" s="20"/>
      <c r="CE2" s="20"/>
      <c r="CF2" s="20"/>
      <c r="CG2" s="20"/>
      <c r="CH2" s="20"/>
      <c r="CI2" s="20"/>
      <c r="CJ2" s="20"/>
      <c r="CK2" s="20"/>
      <c r="CL2" s="20"/>
      <c r="CM2" s="20"/>
      <c r="CN2" s="20"/>
      <c r="CO2" s="20"/>
      <c r="CP2" s="20"/>
      <c r="CQ2" s="20"/>
      <c r="CR2" s="20"/>
      <c r="CS2" s="20"/>
      <c r="CT2" s="20"/>
      <c r="CU2" s="20"/>
      <c r="CV2" s="20"/>
      <c r="CW2" s="20"/>
      <c r="CX2" s="20"/>
      <c r="CY2" s="20"/>
      <c r="CZ2" s="20"/>
      <c r="DA2" s="20"/>
      <c r="DB2" s="20"/>
      <c r="DC2" s="20"/>
      <c r="DD2" s="20"/>
      <c r="DE2" s="20"/>
      <c r="DF2" s="20"/>
      <c r="DG2" s="20"/>
      <c r="DH2" s="20"/>
      <c r="DI2" s="20"/>
      <c r="DJ2" s="20"/>
      <c r="DK2" s="20"/>
      <c r="DL2" s="20"/>
      <c r="DM2" s="20"/>
      <c r="DN2" s="20"/>
      <c r="DO2" s="20"/>
      <c r="DP2" s="20"/>
      <c r="DQ2" s="20"/>
    </row>
    <row r="3" spans="2:121" ht="14.1" x14ac:dyDescent="0.3">
      <c r="B3" s="1"/>
    </row>
    <row r="4" spans="2:121" s="4" customFormat="1" ht="14.1" hidden="1" outlineLevel="1" x14ac:dyDescent="0.3">
      <c r="B4" s="2" t="s">
        <v>102</v>
      </c>
      <c r="C4" s="4">
        <v>7</v>
      </c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33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  <c r="CT4" s="20"/>
      <c r="CU4" s="20"/>
      <c r="CV4" s="20"/>
      <c r="CW4" s="20"/>
      <c r="CX4" s="20"/>
      <c r="CY4" s="20"/>
      <c r="CZ4" s="20"/>
      <c r="DA4" s="20"/>
      <c r="DB4" s="20"/>
      <c r="DC4" s="20"/>
      <c r="DD4" s="20"/>
      <c r="DE4" s="20"/>
      <c r="DF4" s="20"/>
      <c r="DG4" s="20"/>
      <c r="DH4" s="20"/>
      <c r="DI4" s="20"/>
      <c r="DJ4" s="20"/>
      <c r="DK4" s="20"/>
      <c r="DL4" s="20"/>
      <c r="DM4" s="20"/>
      <c r="DN4" s="20"/>
      <c r="DO4" s="20"/>
      <c r="DP4" s="20"/>
      <c r="DQ4" s="20"/>
    </row>
    <row r="5" spans="2:121" s="4" customFormat="1" ht="14.1" hidden="1" outlineLevel="1" x14ac:dyDescent="0.3">
      <c r="B5" s="2" t="s">
        <v>103</v>
      </c>
      <c r="C5" s="4">
        <v>3</v>
      </c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33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  <c r="CT5" s="20"/>
      <c r="CU5" s="20"/>
      <c r="CV5" s="20"/>
      <c r="CW5" s="20"/>
      <c r="CX5" s="20"/>
      <c r="CY5" s="20"/>
      <c r="CZ5" s="20"/>
      <c r="DA5" s="20"/>
      <c r="DB5" s="20"/>
      <c r="DC5" s="20"/>
      <c r="DD5" s="20"/>
      <c r="DE5" s="20"/>
      <c r="DF5" s="20"/>
      <c r="DG5" s="20"/>
      <c r="DH5" s="20"/>
      <c r="DI5" s="20"/>
      <c r="DJ5" s="20"/>
      <c r="DK5" s="20"/>
      <c r="DL5" s="20"/>
      <c r="DM5" s="20"/>
      <c r="DN5" s="20"/>
      <c r="DO5" s="20"/>
      <c r="DP5" s="20"/>
      <c r="DQ5" s="20"/>
    </row>
    <row r="6" spans="2:121" s="4" customFormat="1" ht="14.1" hidden="1" outlineLevel="1" x14ac:dyDescent="0.3">
      <c r="B6" s="2" t="s">
        <v>104</v>
      </c>
      <c r="C6" s="4">
        <v>3</v>
      </c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33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0"/>
      <c r="DK6" s="20"/>
      <c r="DL6" s="20"/>
      <c r="DM6" s="20"/>
      <c r="DN6" s="20"/>
      <c r="DO6" s="20"/>
      <c r="DP6" s="20"/>
      <c r="DQ6" s="20"/>
    </row>
    <row r="7" spans="2:121" s="4" customFormat="1" ht="14.1" hidden="1" outlineLevel="1" x14ac:dyDescent="0.3">
      <c r="B7" s="2" t="s">
        <v>105</v>
      </c>
      <c r="C7" s="4">
        <v>3</v>
      </c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33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</row>
    <row r="8" spans="2:121" s="4" customFormat="1" ht="14.1" hidden="1" outlineLevel="1" x14ac:dyDescent="0.3">
      <c r="B8" s="2" t="s">
        <v>106</v>
      </c>
      <c r="C8" s="4">
        <v>3</v>
      </c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33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  <c r="CT8" s="20"/>
      <c r="CU8" s="20"/>
      <c r="CV8" s="20"/>
      <c r="CW8" s="20"/>
      <c r="CX8" s="20"/>
      <c r="CY8" s="20"/>
      <c r="CZ8" s="20"/>
      <c r="DA8" s="20"/>
      <c r="DB8" s="20"/>
      <c r="DC8" s="20"/>
      <c r="DD8" s="20"/>
      <c r="DE8" s="20"/>
      <c r="DF8" s="20"/>
      <c r="DG8" s="20"/>
      <c r="DH8" s="20"/>
      <c r="DI8" s="20"/>
      <c r="DJ8" s="20"/>
      <c r="DK8" s="20"/>
      <c r="DL8" s="20"/>
      <c r="DM8" s="20"/>
      <c r="DN8" s="20"/>
      <c r="DO8" s="20"/>
      <c r="DP8" s="20"/>
      <c r="DQ8" s="20"/>
    </row>
    <row r="9" spans="2:121" s="4" customFormat="1" ht="14.1" hidden="1" outlineLevel="1" x14ac:dyDescent="0.3">
      <c r="B9" s="2" t="s">
        <v>107</v>
      </c>
      <c r="C9" s="4">
        <v>3</v>
      </c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33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  <c r="CT9" s="20"/>
      <c r="CU9" s="20"/>
      <c r="CV9" s="20"/>
      <c r="CW9" s="20"/>
      <c r="CX9" s="20"/>
      <c r="CY9" s="20"/>
      <c r="CZ9" s="20"/>
      <c r="DA9" s="20"/>
      <c r="DB9" s="20"/>
      <c r="DC9" s="20"/>
      <c r="DD9" s="20"/>
      <c r="DE9" s="20"/>
      <c r="DF9" s="20"/>
      <c r="DG9" s="20"/>
      <c r="DH9" s="20"/>
      <c r="DI9" s="20"/>
      <c r="DJ9" s="20"/>
      <c r="DK9" s="20"/>
      <c r="DL9" s="20"/>
      <c r="DM9" s="20"/>
      <c r="DN9" s="20"/>
      <c r="DO9" s="20"/>
      <c r="DP9" s="20"/>
      <c r="DQ9" s="20"/>
    </row>
    <row r="10" spans="2:121" s="4" customFormat="1" ht="14.1" hidden="1" outlineLevel="1" x14ac:dyDescent="0.3">
      <c r="B10" s="2" t="s">
        <v>108</v>
      </c>
      <c r="C10" s="4">
        <v>3</v>
      </c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33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  <c r="CT10" s="20"/>
      <c r="CU10" s="20"/>
      <c r="CV10" s="20"/>
      <c r="CW10" s="20"/>
      <c r="CX10" s="20"/>
      <c r="CY10" s="20"/>
      <c r="CZ10" s="20"/>
      <c r="DA10" s="20"/>
      <c r="DB10" s="20"/>
      <c r="DC10" s="20"/>
      <c r="DD10" s="20"/>
      <c r="DE10" s="20"/>
      <c r="DF10" s="20"/>
      <c r="DG10" s="20"/>
      <c r="DH10" s="20"/>
      <c r="DI10" s="20"/>
      <c r="DJ10" s="20"/>
      <c r="DK10" s="20"/>
      <c r="DL10" s="20"/>
      <c r="DM10" s="20"/>
      <c r="DN10" s="20"/>
      <c r="DO10" s="20"/>
      <c r="DP10" s="20"/>
      <c r="DQ10" s="20"/>
    </row>
    <row r="11" spans="2:121" s="4" customFormat="1" ht="14.1" collapsed="1" x14ac:dyDescent="0.3">
      <c r="B11" s="10" t="s">
        <v>101</v>
      </c>
      <c r="C11" s="34"/>
      <c r="D11" s="35"/>
      <c r="E11" s="20"/>
      <c r="F11" s="20"/>
      <c r="G11" s="20"/>
      <c r="H11" s="20"/>
      <c r="I11" s="20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36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  <c r="CT11" s="20"/>
      <c r="CU11" s="20"/>
      <c r="CV11" s="20"/>
      <c r="CW11" s="20"/>
      <c r="CX11" s="20"/>
      <c r="CY11" s="20"/>
      <c r="CZ11" s="20"/>
      <c r="DA11" s="20"/>
      <c r="DB11" s="20"/>
      <c r="DC11" s="20"/>
      <c r="DD11" s="20"/>
      <c r="DE11" s="20"/>
      <c r="DF11" s="20"/>
      <c r="DG11" s="20"/>
      <c r="DH11" s="20"/>
      <c r="DI11" s="20"/>
      <c r="DJ11" s="20"/>
      <c r="DK11" s="20"/>
      <c r="DL11" s="20"/>
      <c r="DM11" s="20"/>
      <c r="DN11" s="20"/>
      <c r="DO11" s="20"/>
      <c r="DP11" s="20"/>
      <c r="DQ11" s="20"/>
    </row>
    <row r="12" spans="2:121" ht="14.1" x14ac:dyDescent="0.3">
      <c r="B12" s="16" t="s">
        <v>18</v>
      </c>
      <c r="C12" s="58" t="s">
        <v>191</v>
      </c>
      <c r="D12" s="15"/>
      <c r="E12" s="20"/>
      <c r="F12" s="20"/>
      <c r="G12" s="20"/>
      <c r="H12" s="20"/>
      <c r="I12" s="20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37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  <c r="DA12" s="20"/>
      <c r="DB12" s="20"/>
      <c r="DC12" s="20"/>
      <c r="DD12" s="20"/>
      <c r="DE12" s="20"/>
      <c r="DF12" s="20"/>
      <c r="DG12" s="20"/>
      <c r="DH12" s="20"/>
      <c r="DI12" s="20"/>
      <c r="DJ12" s="20"/>
      <c r="DK12" s="20"/>
      <c r="DL12" s="20"/>
      <c r="DM12" s="20"/>
      <c r="DN12" s="20"/>
      <c r="DO12" s="20"/>
      <c r="DP12" s="20"/>
      <c r="DQ12" s="20"/>
    </row>
    <row r="13" spans="2:121" ht="14.1" x14ac:dyDescent="0.3">
      <c r="B13" s="16" t="s">
        <v>20</v>
      </c>
      <c r="C13" s="14"/>
      <c r="D13" s="15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37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  <c r="CT13" s="20"/>
      <c r="CU13" s="20"/>
      <c r="CV13" s="20"/>
      <c r="CW13" s="20"/>
      <c r="CX13" s="20"/>
      <c r="CY13" s="20"/>
      <c r="CZ13" s="20"/>
      <c r="DA13" s="20"/>
      <c r="DB13" s="20"/>
      <c r="DC13" s="20"/>
      <c r="DD13" s="20"/>
      <c r="DE13" s="20"/>
      <c r="DF13" s="20"/>
      <c r="DG13" s="20"/>
      <c r="DH13" s="20"/>
      <c r="DI13" s="20"/>
      <c r="DJ13" s="20"/>
      <c r="DK13" s="20"/>
      <c r="DL13" s="20"/>
      <c r="DM13" s="20"/>
      <c r="DN13" s="20"/>
      <c r="DO13" s="20"/>
      <c r="DP13" s="20"/>
      <c r="DQ13" s="20"/>
    </row>
    <row r="14" spans="2:121" s="4" customFormat="1" ht="14.1" x14ac:dyDescent="0.3">
      <c r="B14" s="13" t="s">
        <v>21</v>
      </c>
      <c r="C14" s="38"/>
      <c r="D14" s="39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33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  <c r="CT14" s="20"/>
      <c r="CU14" s="20"/>
      <c r="CV14" s="20"/>
      <c r="CW14" s="20"/>
      <c r="CX14" s="20"/>
      <c r="CY14" s="20"/>
      <c r="CZ14" s="20"/>
      <c r="DA14" s="20"/>
      <c r="DB14" s="20"/>
      <c r="DC14" s="20"/>
      <c r="DD14" s="20"/>
      <c r="DE14" s="20"/>
      <c r="DF14" s="20"/>
      <c r="DG14" s="20"/>
      <c r="DH14" s="20"/>
      <c r="DI14" s="20"/>
      <c r="DJ14" s="20"/>
      <c r="DK14" s="20"/>
      <c r="DL14" s="20"/>
      <c r="DM14" s="20"/>
      <c r="DN14" s="20"/>
      <c r="DO14" s="20"/>
      <c r="DP14" s="20"/>
      <c r="DQ14" s="20"/>
    </row>
    <row r="15" spans="2:121" s="4" customFormat="1" ht="14.1" x14ac:dyDescent="0.3">
      <c r="B15" s="17" t="s">
        <v>24</v>
      </c>
      <c r="C15" s="40"/>
      <c r="D15" s="41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33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  <c r="CT15" s="20"/>
      <c r="CU15" s="20"/>
      <c r="CV15" s="20"/>
      <c r="CW15" s="20"/>
      <c r="CX15" s="20"/>
      <c r="CY15" s="20"/>
      <c r="CZ15" s="20"/>
      <c r="DA15" s="20"/>
      <c r="DB15" s="20"/>
      <c r="DC15" s="20"/>
      <c r="DD15" s="20"/>
      <c r="DE15" s="20"/>
      <c r="DF15" s="20"/>
      <c r="DG15" s="20"/>
      <c r="DH15" s="20"/>
      <c r="DI15" s="20"/>
      <c r="DJ15" s="20"/>
      <c r="DK15" s="20"/>
      <c r="DL15" s="20"/>
      <c r="DM15" s="20"/>
      <c r="DN15" s="20"/>
      <c r="DO15" s="20"/>
      <c r="DP15" s="20"/>
      <c r="DQ15" s="20"/>
    </row>
    <row r="16" spans="2:121" s="4" customFormat="1" ht="12.95" x14ac:dyDescent="0.3"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33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  <c r="CT16" s="20"/>
      <c r="CU16" s="20"/>
      <c r="CV16" s="20"/>
      <c r="CW16" s="20"/>
      <c r="CX16" s="20"/>
      <c r="CY16" s="20"/>
      <c r="CZ16" s="20"/>
      <c r="DA16" s="20"/>
      <c r="DB16" s="20"/>
      <c r="DC16" s="20"/>
      <c r="DD16" s="20"/>
      <c r="DE16" s="20"/>
      <c r="DF16" s="20"/>
      <c r="DG16" s="20"/>
      <c r="DH16" s="20"/>
      <c r="DI16" s="20"/>
      <c r="DJ16" s="20"/>
      <c r="DK16" s="20"/>
      <c r="DL16" s="20"/>
      <c r="DM16" s="20"/>
      <c r="DN16" s="20"/>
      <c r="DO16" s="20"/>
      <c r="DP16" s="20"/>
      <c r="DQ16" s="20"/>
    </row>
    <row r="17" spans="2:121" s="4" customFormat="1" ht="15" thickBot="1" x14ac:dyDescent="0.4">
      <c r="B17" s="64"/>
      <c r="C17" s="65"/>
      <c r="D17" s="66"/>
      <c r="E17" s="42"/>
      <c r="F17" s="67" t="s">
        <v>29</v>
      </c>
      <c r="G17" s="68"/>
      <c r="H17" s="68"/>
      <c r="I17" s="68"/>
      <c r="J17" s="68"/>
      <c r="K17" s="68"/>
      <c r="L17" s="68"/>
      <c r="M17" s="68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7" t="s">
        <v>45</v>
      </c>
      <c r="Y17" s="68"/>
      <c r="Z17" s="68"/>
      <c r="AA17" s="68"/>
      <c r="AB17" s="68"/>
      <c r="AC17" s="68"/>
      <c r="AD17" s="68"/>
      <c r="AE17" s="68"/>
      <c r="AF17" s="68"/>
      <c r="AG17" s="68"/>
      <c r="AH17" s="68"/>
      <c r="AI17" s="68"/>
      <c r="AJ17" s="68"/>
      <c r="AK17" s="68"/>
      <c r="AL17" s="68"/>
      <c r="AM17" s="68"/>
      <c r="AN17" s="68"/>
      <c r="AO17" s="68"/>
      <c r="AP17" s="69" t="s">
        <v>56</v>
      </c>
      <c r="AQ17" s="68"/>
      <c r="AR17" s="68"/>
      <c r="AS17" s="68"/>
      <c r="AT17" s="68"/>
      <c r="AU17" s="68"/>
      <c r="AV17" s="68"/>
      <c r="AW17" s="68"/>
      <c r="AX17" s="68"/>
      <c r="AY17" s="68"/>
      <c r="AZ17" s="68"/>
      <c r="BA17" s="68"/>
      <c r="BB17" s="68"/>
      <c r="BC17" s="68"/>
      <c r="BD17" s="68"/>
      <c r="BE17" s="68"/>
      <c r="BF17" s="68"/>
      <c r="BG17" s="68"/>
      <c r="BH17" s="33"/>
      <c r="BI17" s="62" t="s">
        <v>29</v>
      </c>
      <c r="BJ17" s="63"/>
      <c r="BK17" s="63"/>
      <c r="BL17" s="63"/>
      <c r="BM17" s="63"/>
      <c r="BN17" s="63"/>
      <c r="BO17" s="63"/>
      <c r="BP17" s="63"/>
      <c r="BQ17" s="63"/>
      <c r="BR17" s="63"/>
      <c r="BS17" s="63"/>
      <c r="BT17" s="63"/>
      <c r="BU17" s="63"/>
      <c r="BV17" s="63"/>
      <c r="BW17" s="63"/>
      <c r="BX17" s="63"/>
      <c r="BY17" s="63"/>
      <c r="BZ17" s="63"/>
      <c r="CA17" s="60" t="s">
        <v>45</v>
      </c>
      <c r="CB17" s="61"/>
      <c r="CC17" s="61"/>
      <c r="CD17" s="61"/>
      <c r="CE17" s="61"/>
      <c r="CF17" s="61"/>
      <c r="CG17" s="61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2" t="s">
        <v>56</v>
      </c>
      <c r="CU17" s="62"/>
      <c r="CV17" s="62"/>
      <c r="CW17" s="62"/>
      <c r="CX17" s="62"/>
      <c r="CY17" s="62"/>
      <c r="CZ17" s="62"/>
      <c r="DA17" s="62"/>
      <c r="DB17" s="62"/>
      <c r="DC17" s="63"/>
      <c r="DD17" s="63"/>
      <c r="DE17" s="63"/>
      <c r="DF17" s="63"/>
      <c r="DG17" s="63"/>
      <c r="DH17" s="63"/>
      <c r="DI17" s="63"/>
      <c r="DJ17" s="63"/>
      <c r="DK17" s="63"/>
      <c r="DL17" s="63"/>
      <c r="DM17" s="63"/>
      <c r="DN17" s="63"/>
      <c r="DO17" s="63"/>
      <c r="DP17" s="63"/>
      <c r="DQ17" s="63"/>
    </row>
    <row r="18" spans="2:121" s="4" customFormat="1" ht="140.1" x14ac:dyDescent="0.3">
      <c r="B18" s="43" t="s">
        <v>95</v>
      </c>
      <c r="C18" s="44" t="s">
        <v>23</v>
      </c>
      <c r="D18" s="45" t="s">
        <v>22</v>
      </c>
      <c r="E18" s="37"/>
      <c r="F18" s="46" t="s">
        <v>30</v>
      </c>
      <c r="G18" s="46" t="s">
        <v>87</v>
      </c>
      <c r="H18" s="46" t="s">
        <v>31</v>
      </c>
      <c r="I18" s="46" t="s">
        <v>32</v>
      </c>
      <c r="J18" s="46" t="s">
        <v>33</v>
      </c>
      <c r="K18" s="46" t="s">
        <v>34</v>
      </c>
      <c r="L18" s="46" t="s">
        <v>35</v>
      </c>
      <c r="M18" s="46" t="s">
        <v>88</v>
      </c>
      <c r="N18" s="46" t="s">
        <v>36</v>
      </c>
      <c r="O18" s="46" t="s">
        <v>37</v>
      </c>
      <c r="P18" s="46" t="s">
        <v>38</v>
      </c>
      <c r="Q18" s="46" t="s">
        <v>39</v>
      </c>
      <c r="R18" s="46" t="s">
        <v>40</v>
      </c>
      <c r="S18" s="46" t="s">
        <v>41</v>
      </c>
      <c r="T18" s="46" t="s">
        <v>42</v>
      </c>
      <c r="U18" s="46" t="s">
        <v>43</v>
      </c>
      <c r="V18" s="46" t="s">
        <v>44</v>
      </c>
      <c r="W18" s="46" t="s">
        <v>70</v>
      </c>
      <c r="X18" s="46" t="s">
        <v>46</v>
      </c>
      <c r="Y18" s="46" t="s">
        <v>49</v>
      </c>
      <c r="Z18" s="47" t="s">
        <v>84</v>
      </c>
      <c r="AA18" s="46" t="s">
        <v>48</v>
      </c>
      <c r="AB18" s="47" t="s">
        <v>47</v>
      </c>
      <c r="AC18" s="46" t="s">
        <v>85</v>
      </c>
      <c r="AD18" s="46" t="s">
        <v>86</v>
      </c>
      <c r="AE18" s="46" t="s">
        <v>66</v>
      </c>
      <c r="AF18" s="46" t="s">
        <v>5</v>
      </c>
      <c r="AG18" s="46" t="s">
        <v>50</v>
      </c>
      <c r="AH18" s="46" t="s">
        <v>67</v>
      </c>
      <c r="AI18" s="46" t="s">
        <v>51</v>
      </c>
      <c r="AJ18" s="46" t="s">
        <v>52</v>
      </c>
      <c r="AK18" s="46" t="s">
        <v>53</v>
      </c>
      <c r="AL18" s="46" t="s">
        <v>54</v>
      </c>
      <c r="AM18" s="47" t="s">
        <v>68</v>
      </c>
      <c r="AN18" s="47" t="s">
        <v>69</v>
      </c>
      <c r="AO18" s="46" t="s">
        <v>70</v>
      </c>
      <c r="AP18" s="46" t="s">
        <v>89</v>
      </c>
      <c r="AQ18" s="46" t="s">
        <v>71</v>
      </c>
      <c r="AR18" s="46" t="s">
        <v>72</v>
      </c>
      <c r="AS18" s="46" t="s">
        <v>73</v>
      </c>
      <c r="AT18" s="46" t="s">
        <v>74</v>
      </c>
      <c r="AU18" s="46" t="s">
        <v>75</v>
      </c>
      <c r="AV18" s="46" t="s">
        <v>76</v>
      </c>
      <c r="AW18" s="47" t="s">
        <v>90</v>
      </c>
      <c r="AX18" s="46" t="s">
        <v>91</v>
      </c>
      <c r="AY18" s="46" t="s">
        <v>58</v>
      </c>
      <c r="AZ18" s="46" t="s">
        <v>6</v>
      </c>
      <c r="BA18" s="46" t="s">
        <v>55</v>
      </c>
      <c r="BB18" s="46" t="s">
        <v>4</v>
      </c>
      <c r="BC18" s="46" t="s">
        <v>59</v>
      </c>
      <c r="BD18" s="46" t="s">
        <v>1</v>
      </c>
      <c r="BE18" s="46" t="s">
        <v>2</v>
      </c>
      <c r="BF18" s="46" t="s">
        <v>60</v>
      </c>
      <c r="BG18" s="46" t="s">
        <v>3</v>
      </c>
      <c r="BH18" s="33"/>
      <c r="BI18" s="46" t="s">
        <v>30</v>
      </c>
      <c r="BJ18" s="46" t="s">
        <v>81</v>
      </c>
      <c r="BK18" s="46" t="s">
        <v>31</v>
      </c>
      <c r="BL18" s="46" t="s">
        <v>32</v>
      </c>
      <c r="BM18" s="46" t="s">
        <v>33</v>
      </c>
      <c r="BN18" s="46" t="s">
        <v>34</v>
      </c>
      <c r="BO18" s="46" t="s">
        <v>35</v>
      </c>
      <c r="BP18" s="46" t="s">
        <v>82</v>
      </c>
      <c r="BQ18" s="46" t="s">
        <v>36</v>
      </c>
      <c r="BR18" s="46" t="s">
        <v>37</v>
      </c>
      <c r="BS18" s="46" t="s">
        <v>38</v>
      </c>
      <c r="BT18" s="46" t="s">
        <v>39</v>
      </c>
      <c r="BU18" s="46" t="s">
        <v>40</v>
      </c>
      <c r="BV18" s="46" t="s">
        <v>41</v>
      </c>
      <c r="BW18" s="46" t="s">
        <v>42</v>
      </c>
      <c r="BX18" s="46" t="s">
        <v>43</v>
      </c>
      <c r="BY18" s="46" t="s">
        <v>83</v>
      </c>
      <c r="BZ18" s="46" t="s">
        <v>70</v>
      </c>
      <c r="CA18" s="46" t="s">
        <v>46</v>
      </c>
      <c r="CB18" s="46" t="s">
        <v>49</v>
      </c>
      <c r="CC18" s="46" t="s">
        <v>84</v>
      </c>
      <c r="CD18" s="46" t="s">
        <v>48</v>
      </c>
      <c r="CE18" s="46" t="s">
        <v>47</v>
      </c>
      <c r="CF18" s="46" t="s">
        <v>85</v>
      </c>
      <c r="CG18" s="46" t="s">
        <v>86</v>
      </c>
      <c r="CH18" s="46" t="s">
        <v>65</v>
      </c>
      <c r="CI18" s="46" t="s">
        <v>66</v>
      </c>
      <c r="CJ18" s="46" t="s">
        <v>5</v>
      </c>
      <c r="CK18" s="46" t="s">
        <v>50</v>
      </c>
      <c r="CL18" s="46" t="s">
        <v>67</v>
      </c>
      <c r="CM18" s="46" t="s">
        <v>51</v>
      </c>
      <c r="CN18" s="46" t="s">
        <v>52</v>
      </c>
      <c r="CO18" s="46" t="s">
        <v>53</v>
      </c>
      <c r="CP18" s="46" t="s">
        <v>54</v>
      </c>
      <c r="CQ18" s="46" t="s">
        <v>68</v>
      </c>
      <c r="CR18" s="46" t="s">
        <v>69</v>
      </c>
      <c r="CS18" s="47" t="s">
        <v>70</v>
      </c>
      <c r="CT18" s="46" t="s">
        <v>57</v>
      </c>
      <c r="CU18" s="46" t="s">
        <v>71</v>
      </c>
      <c r="CV18" s="46" t="s">
        <v>72</v>
      </c>
      <c r="CW18" s="46" t="s">
        <v>73</v>
      </c>
      <c r="CX18" s="46" t="s">
        <v>74</v>
      </c>
      <c r="CY18" s="46" t="s">
        <v>75</v>
      </c>
      <c r="CZ18" s="46" t="s">
        <v>76</v>
      </c>
      <c r="DA18" s="48" t="s">
        <v>77</v>
      </c>
      <c r="DB18" s="46" t="s">
        <v>78</v>
      </c>
      <c r="DC18" s="46" t="s">
        <v>58</v>
      </c>
      <c r="DD18" s="46" t="s">
        <v>6</v>
      </c>
      <c r="DE18" s="46" t="s">
        <v>79</v>
      </c>
      <c r="DF18" s="46" t="s">
        <v>55</v>
      </c>
      <c r="DG18" s="46" t="s">
        <v>80</v>
      </c>
      <c r="DH18" s="46" t="s">
        <v>4</v>
      </c>
      <c r="DI18" s="46" t="s">
        <v>59</v>
      </c>
      <c r="DJ18" s="46" t="s">
        <v>1</v>
      </c>
      <c r="DK18" s="46" t="s">
        <v>2</v>
      </c>
      <c r="DL18" s="46" t="s">
        <v>60</v>
      </c>
      <c r="DM18" s="46" t="s">
        <v>3</v>
      </c>
      <c r="DN18" s="46" t="s">
        <v>61</v>
      </c>
      <c r="DO18" s="46" t="s">
        <v>62</v>
      </c>
      <c r="DP18" s="46" t="s">
        <v>63</v>
      </c>
      <c r="DQ18" s="46" t="s">
        <v>64</v>
      </c>
    </row>
    <row r="19" spans="2:121" s="4" customFormat="1" ht="14.45" customHeight="1" x14ac:dyDescent="0.3">
      <c r="B19" s="49"/>
      <c r="C19" s="50" t="s">
        <v>98</v>
      </c>
      <c r="D19" s="30"/>
      <c r="E19" s="20"/>
      <c r="F19" s="51"/>
      <c r="G19" s="51"/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51"/>
      <c r="T19" s="51"/>
      <c r="U19" s="51"/>
      <c r="V19" s="51"/>
      <c r="W19" s="51"/>
      <c r="X19" s="51"/>
      <c r="Y19" s="51"/>
      <c r="Z19" s="51"/>
      <c r="AA19" s="51"/>
      <c r="AB19" s="51"/>
      <c r="AC19" s="51"/>
      <c r="AD19" s="51"/>
      <c r="AE19" s="51"/>
      <c r="AF19" s="51"/>
      <c r="AG19" s="51"/>
      <c r="AH19" s="51"/>
      <c r="AI19" s="51"/>
      <c r="AJ19" s="51"/>
      <c r="AK19" s="51"/>
      <c r="AL19" s="51"/>
      <c r="AM19" s="51"/>
      <c r="AN19" s="51"/>
      <c r="AO19" s="51"/>
      <c r="AP19" s="51"/>
      <c r="AQ19" s="51"/>
      <c r="AR19" s="51"/>
      <c r="AS19" s="51"/>
      <c r="AT19" s="51"/>
      <c r="AU19" s="51"/>
      <c r="AV19" s="51"/>
      <c r="AW19" s="51"/>
      <c r="AX19" s="51"/>
      <c r="AY19" s="51"/>
      <c r="AZ19" s="51"/>
      <c r="BA19" s="51"/>
      <c r="BB19" s="51"/>
      <c r="BC19" s="51"/>
      <c r="BD19" s="51"/>
      <c r="BE19" s="51"/>
      <c r="BF19" s="51"/>
      <c r="BG19" s="51"/>
      <c r="BH19" s="33"/>
      <c r="BI19" s="51"/>
      <c r="BJ19" s="51"/>
      <c r="BK19" s="51"/>
      <c r="BL19" s="51"/>
      <c r="BM19" s="51"/>
      <c r="BN19" s="51"/>
      <c r="BO19" s="51"/>
      <c r="BP19" s="51"/>
      <c r="BQ19" s="51"/>
      <c r="BR19" s="51"/>
      <c r="BS19" s="51"/>
      <c r="BT19" s="51"/>
      <c r="BU19" s="51"/>
      <c r="BV19" s="51"/>
      <c r="BW19" s="51"/>
      <c r="BX19" s="51"/>
      <c r="BY19" s="51"/>
      <c r="BZ19" s="51"/>
      <c r="CA19" s="51"/>
      <c r="CB19" s="51"/>
      <c r="CC19" s="51"/>
      <c r="CD19" s="51"/>
      <c r="CE19" s="51"/>
      <c r="CF19" s="51"/>
      <c r="CG19" s="51"/>
      <c r="CH19" s="51"/>
      <c r="CI19" s="51"/>
      <c r="CJ19" s="51"/>
      <c r="CK19" s="51"/>
      <c r="CL19" s="51"/>
      <c r="CM19" s="51"/>
      <c r="CN19" s="51"/>
      <c r="CO19" s="51"/>
      <c r="CP19" s="51"/>
      <c r="CQ19" s="51"/>
      <c r="CR19" s="51"/>
      <c r="CS19" s="51"/>
      <c r="CT19" s="51"/>
      <c r="CU19" s="51"/>
      <c r="CV19" s="51"/>
      <c r="CW19" s="51"/>
      <c r="CX19" s="51"/>
      <c r="CY19" s="51"/>
      <c r="CZ19" s="51"/>
      <c r="DA19" s="51"/>
      <c r="DB19" s="51"/>
      <c r="DC19" s="51"/>
      <c r="DD19" s="51"/>
      <c r="DE19" s="51"/>
      <c r="DF19" s="51"/>
      <c r="DG19" s="51"/>
      <c r="DH19" s="51"/>
      <c r="DI19" s="51"/>
      <c r="DJ19" s="51"/>
      <c r="DK19" s="51"/>
      <c r="DL19" s="51"/>
      <c r="DM19" s="51"/>
      <c r="DN19" s="51"/>
      <c r="DO19" s="51"/>
      <c r="DP19" s="51"/>
      <c r="DQ19" s="51"/>
    </row>
    <row r="20" spans="2:121" s="52" customFormat="1" ht="14.45" customHeight="1" x14ac:dyDescent="0.3">
      <c r="B20" s="53">
        <v>1</v>
      </c>
      <c r="C20" s="56" t="s">
        <v>189</v>
      </c>
      <c r="D20" s="30">
        <v>11</v>
      </c>
      <c r="E20" s="2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>
        <v>7</v>
      </c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>
        <v>4</v>
      </c>
      <c r="BD20" s="30"/>
      <c r="BE20" s="30"/>
      <c r="BF20" s="30"/>
      <c r="BG20" s="30"/>
      <c r="BH20" s="33"/>
      <c r="BI20" s="30"/>
      <c r="BJ20" s="30"/>
      <c r="BK20" s="30"/>
      <c r="BL20" s="30"/>
      <c r="BM20" s="30"/>
      <c r="BN20" s="30"/>
      <c r="BO20" s="30"/>
      <c r="BP20" s="30"/>
      <c r="BQ20" s="30"/>
      <c r="BR20" s="30"/>
      <c r="BS20" s="30"/>
      <c r="BT20" s="30"/>
      <c r="BU20" s="30"/>
      <c r="BV20" s="30"/>
      <c r="BW20" s="30"/>
      <c r="BX20" s="30"/>
      <c r="BY20" s="30"/>
      <c r="BZ20" s="30"/>
      <c r="CA20" s="30"/>
      <c r="CB20" s="30"/>
      <c r="CC20" s="30"/>
      <c r="CD20" s="30"/>
      <c r="CE20" s="30"/>
      <c r="CF20" s="30"/>
      <c r="CG20" s="30"/>
      <c r="CH20" s="30"/>
      <c r="CI20" s="30"/>
      <c r="CJ20" s="30"/>
      <c r="CK20" s="30"/>
      <c r="CL20" s="30"/>
      <c r="CM20" s="30"/>
      <c r="CN20" s="30"/>
      <c r="CO20" s="30"/>
      <c r="CP20" s="30"/>
      <c r="CQ20" s="30"/>
      <c r="CR20" s="30"/>
      <c r="CS20" s="30"/>
      <c r="CT20" s="30"/>
      <c r="CU20" s="30"/>
      <c r="CV20" s="30"/>
      <c r="CW20" s="30"/>
      <c r="CX20" s="30"/>
      <c r="CY20" s="30"/>
      <c r="CZ20" s="30"/>
      <c r="DA20" s="30"/>
      <c r="DB20" s="30"/>
      <c r="DC20" s="30"/>
      <c r="DD20" s="30"/>
      <c r="DE20" s="30"/>
      <c r="DF20" s="30"/>
      <c r="DG20" s="30"/>
      <c r="DH20" s="30"/>
      <c r="DI20" s="30"/>
      <c r="DJ20" s="30"/>
      <c r="DK20" s="30"/>
      <c r="DL20" s="30"/>
      <c r="DM20" s="30"/>
      <c r="DN20" s="30"/>
      <c r="DO20" s="30"/>
      <c r="DP20" s="30"/>
      <c r="DQ20" s="30"/>
    </row>
    <row r="21" spans="2:121" s="6" customFormat="1" ht="14.1" x14ac:dyDescent="0.3">
      <c r="B21" s="53">
        <v>2</v>
      </c>
      <c r="C21" s="56" t="s">
        <v>190</v>
      </c>
      <c r="D21" s="30">
        <v>4</v>
      </c>
      <c r="E21" s="20"/>
      <c r="F21" s="30"/>
      <c r="G21" s="30"/>
      <c r="H21" s="30"/>
      <c r="I21" s="30"/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>
        <v>4</v>
      </c>
      <c r="BE21" s="30"/>
      <c r="BF21" s="30"/>
      <c r="BG21" s="30"/>
      <c r="BH21" s="33"/>
      <c r="BI21" s="30"/>
      <c r="BJ21" s="30"/>
      <c r="BK21" s="30"/>
      <c r="BL21" s="30"/>
      <c r="BM21" s="30"/>
      <c r="BN21" s="30"/>
      <c r="BO21" s="30"/>
      <c r="BP21" s="30"/>
      <c r="BQ21" s="30"/>
      <c r="BR21" s="30"/>
      <c r="BS21" s="30"/>
      <c r="BT21" s="30"/>
      <c r="BU21" s="30"/>
      <c r="BV21" s="30"/>
      <c r="BW21" s="30"/>
      <c r="BX21" s="30"/>
      <c r="BY21" s="30"/>
      <c r="BZ21" s="30"/>
      <c r="CA21" s="30"/>
      <c r="CB21" s="30"/>
      <c r="CC21" s="30"/>
      <c r="CD21" s="30"/>
      <c r="CE21" s="30"/>
      <c r="CF21" s="30"/>
      <c r="CG21" s="30"/>
      <c r="CH21" s="30"/>
      <c r="CI21" s="30"/>
      <c r="CJ21" s="30"/>
      <c r="CK21" s="30"/>
      <c r="CL21" s="30"/>
      <c r="CM21" s="30"/>
      <c r="CN21" s="30"/>
      <c r="CO21" s="30"/>
      <c r="CP21" s="30"/>
      <c r="CQ21" s="30"/>
      <c r="CR21" s="30"/>
      <c r="CS21" s="30"/>
      <c r="CT21" s="30"/>
      <c r="CU21" s="30"/>
      <c r="CV21" s="30"/>
      <c r="CW21" s="30"/>
      <c r="CX21" s="30"/>
      <c r="CY21" s="30"/>
      <c r="CZ21" s="30"/>
      <c r="DA21" s="30"/>
      <c r="DB21" s="30"/>
      <c r="DC21" s="30"/>
      <c r="DD21" s="30"/>
      <c r="DE21" s="30"/>
      <c r="DF21" s="30"/>
      <c r="DG21" s="30"/>
      <c r="DH21" s="30"/>
      <c r="DI21" s="30"/>
      <c r="DJ21" s="30"/>
      <c r="DK21" s="30"/>
      <c r="DL21" s="30"/>
      <c r="DM21" s="30"/>
      <c r="DN21" s="30"/>
      <c r="DO21" s="30"/>
      <c r="DP21" s="30"/>
      <c r="DQ21" s="30"/>
    </row>
    <row r="22" spans="2:121" s="4" customFormat="1" x14ac:dyDescent="0.3">
      <c r="B22" s="53">
        <v>3</v>
      </c>
      <c r="C22" s="56" t="s">
        <v>192</v>
      </c>
      <c r="D22" s="30">
        <v>3</v>
      </c>
      <c r="E22" s="20"/>
      <c r="F22" s="30"/>
      <c r="G22" s="30"/>
      <c r="H22" s="30"/>
      <c r="I22" s="30"/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>
        <v>3</v>
      </c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  <c r="BG22" s="30"/>
      <c r="BH22" s="33"/>
      <c r="BI22" s="30"/>
      <c r="BJ22" s="30"/>
      <c r="BK22" s="30"/>
      <c r="BL22" s="30"/>
      <c r="BM22" s="30"/>
      <c r="BN22" s="30"/>
      <c r="BO22" s="30"/>
      <c r="BP22" s="30"/>
      <c r="BQ22" s="30"/>
      <c r="BR22" s="30"/>
      <c r="BS22" s="30"/>
      <c r="BT22" s="30"/>
      <c r="BU22" s="30"/>
      <c r="BV22" s="30"/>
      <c r="BW22" s="30"/>
      <c r="BX22" s="30"/>
      <c r="BY22" s="30"/>
      <c r="BZ22" s="30"/>
      <c r="CA22" s="30"/>
      <c r="CB22" s="30"/>
      <c r="CC22" s="30"/>
      <c r="CD22" s="30"/>
      <c r="CE22" s="30"/>
      <c r="CF22" s="30"/>
      <c r="CG22" s="30"/>
      <c r="CH22" s="30"/>
      <c r="CI22" s="30"/>
      <c r="CJ22" s="30"/>
      <c r="CK22" s="30"/>
      <c r="CL22" s="30"/>
      <c r="CM22" s="30"/>
      <c r="CN22" s="30"/>
      <c r="CO22" s="30"/>
      <c r="CP22" s="30"/>
      <c r="CQ22" s="30"/>
      <c r="CR22" s="30"/>
      <c r="CS22" s="30"/>
      <c r="CT22" s="30"/>
      <c r="CU22" s="30"/>
      <c r="CV22" s="30"/>
      <c r="CW22" s="30"/>
      <c r="CX22" s="30"/>
      <c r="CY22" s="30"/>
      <c r="CZ22" s="30"/>
      <c r="DA22" s="30"/>
      <c r="DB22" s="30"/>
      <c r="DC22" s="30"/>
      <c r="DD22" s="30"/>
      <c r="DE22" s="30"/>
      <c r="DF22" s="30"/>
      <c r="DG22" s="30"/>
      <c r="DH22" s="30"/>
      <c r="DI22" s="30"/>
      <c r="DJ22" s="30"/>
      <c r="DK22" s="30"/>
      <c r="DL22" s="30"/>
      <c r="DM22" s="30"/>
      <c r="DN22" s="30"/>
      <c r="DO22" s="30"/>
      <c r="DP22" s="30"/>
      <c r="DQ22" s="30"/>
    </row>
    <row r="23" spans="2:121" s="4" customFormat="1" x14ac:dyDescent="0.3">
      <c r="B23" s="53">
        <v>4</v>
      </c>
      <c r="C23" s="56" t="s">
        <v>193</v>
      </c>
      <c r="D23" s="30">
        <v>1</v>
      </c>
      <c r="E23" s="2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  <c r="W23" s="30"/>
      <c r="X23" s="30"/>
      <c r="Y23" s="30"/>
      <c r="Z23" s="30"/>
      <c r="AA23" s="30"/>
      <c r="AB23" s="30"/>
      <c r="AC23" s="30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>
        <v>1</v>
      </c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  <c r="BG23" s="30"/>
      <c r="BH23" s="33"/>
      <c r="BI23" s="30"/>
      <c r="BJ23" s="30"/>
      <c r="BK23" s="30"/>
      <c r="BL23" s="30"/>
      <c r="BM23" s="30"/>
      <c r="BN23" s="30"/>
      <c r="BO23" s="30"/>
      <c r="BP23" s="30"/>
      <c r="BQ23" s="30"/>
      <c r="BR23" s="30"/>
      <c r="BS23" s="30"/>
      <c r="BT23" s="30"/>
      <c r="BU23" s="30"/>
      <c r="BV23" s="30"/>
      <c r="BW23" s="30"/>
      <c r="BX23" s="30"/>
      <c r="BY23" s="30"/>
      <c r="BZ23" s="30"/>
      <c r="CA23" s="30"/>
      <c r="CB23" s="30"/>
      <c r="CC23" s="30"/>
      <c r="CD23" s="30"/>
      <c r="CE23" s="30"/>
      <c r="CF23" s="30"/>
      <c r="CG23" s="30"/>
      <c r="CH23" s="30"/>
      <c r="CI23" s="30"/>
      <c r="CJ23" s="30"/>
      <c r="CK23" s="30"/>
      <c r="CL23" s="30"/>
      <c r="CM23" s="30"/>
      <c r="CN23" s="30"/>
      <c r="CO23" s="30"/>
      <c r="CP23" s="30"/>
      <c r="CQ23" s="30"/>
      <c r="CR23" s="30"/>
      <c r="CS23" s="30"/>
      <c r="CT23" s="30"/>
      <c r="CU23" s="30"/>
      <c r="CV23" s="30"/>
      <c r="CW23" s="30"/>
      <c r="CX23" s="30"/>
      <c r="CY23" s="30"/>
      <c r="CZ23" s="30"/>
      <c r="DA23" s="30"/>
      <c r="DB23" s="30"/>
      <c r="DC23" s="30"/>
      <c r="DD23" s="30"/>
      <c r="DE23" s="30"/>
      <c r="DF23" s="30"/>
      <c r="DG23" s="30"/>
      <c r="DH23" s="30"/>
      <c r="DI23" s="30"/>
      <c r="DJ23" s="30"/>
      <c r="DK23" s="30"/>
      <c r="DL23" s="30"/>
      <c r="DM23" s="30"/>
      <c r="DN23" s="30"/>
      <c r="DO23" s="30"/>
      <c r="DP23" s="30"/>
      <c r="DQ23" s="30"/>
    </row>
    <row r="24" spans="2:121" s="4" customFormat="1" x14ac:dyDescent="0.3">
      <c r="B24" s="53">
        <v>5</v>
      </c>
      <c r="C24" s="56" t="s">
        <v>194</v>
      </c>
      <c r="D24" s="30">
        <v>1</v>
      </c>
      <c r="E24" s="20"/>
      <c r="F24" s="30"/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  <c r="W24" s="30"/>
      <c r="X24" s="30"/>
      <c r="Y24" s="30"/>
      <c r="Z24" s="30"/>
      <c r="AA24" s="30"/>
      <c r="AB24" s="30"/>
      <c r="AC24" s="30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>
        <v>1</v>
      </c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  <c r="BG24" s="30"/>
      <c r="BH24" s="33"/>
      <c r="BI24" s="30"/>
      <c r="BJ24" s="30"/>
      <c r="BK24" s="30"/>
      <c r="BL24" s="30"/>
      <c r="BM24" s="30"/>
      <c r="BN24" s="30"/>
      <c r="BO24" s="30"/>
      <c r="BP24" s="30"/>
      <c r="BQ24" s="30"/>
      <c r="BR24" s="30"/>
      <c r="BS24" s="30"/>
      <c r="BT24" s="30"/>
      <c r="BU24" s="30"/>
      <c r="BV24" s="30"/>
      <c r="BW24" s="30"/>
      <c r="BX24" s="30"/>
      <c r="BY24" s="30"/>
      <c r="BZ24" s="30"/>
      <c r="CA24" s="30"/>
      <c r="CB24" s="30"/>
      <c r="CC24" s="30"/>
      <c r="CD24" s="30"/>
      <c r="CE24" s="30"/>
      <c r="CF24" s="30"/>
      <c r="CG24" s="30"/>
      <c r="CH24" s="30"/>
      <c r="CI24" s="30"/>
      <c r="CJ24" s="30"/>
      <c r="CK24" s="30"/>
      <c r="CL24" s="30"/>
      <c r="CM24" s="30"/>
      <c r="CN24" s="30"/>
      <c r="CO24" s="30"/>
      <c r="CP24" s="30"/>
      <c r="CQ24" s="30"/>
      <c r="CR24" s="30"/>
      <c r="CS24" s="30"/>
      <c r="CT24" s="30"/>
      <c r="CU24" s="30"/>
      <c r="CV24" s="30"/>
      <c r="CW24" s="30"/>
      <c r="CX24" s="30"/>
      <c r="CY24" s="30"/>
      <c r="CZ24" s="30"/>
      <c r="DA24" s="30"/>
      <c r="DB24" s="30"/>
      <c r="DC24" s="30"/>
      <c r="DD24" s="30"/>
      <c r="DE24" s="30"/>
      <c r="DF24" s="30"/>
      <c r="DG24" s="30"/>
      <c r="DH24" s="30"/>
      <c r="DI24" s="30"/>
      <c r="DJ24" s="30"/>
      <c r="DK24" s="30"/>
      <c r="DL24" s="30"/>
      <c r="DM24" s="30"/>
      <c r="DN24" s="30"/>
      <c r="DO24" s="30"/>
      <c r="DP24" s="30"/>
      <c r="DQ24" s="30"/>
    </row>
    <row r="25" spans="2:121" s="4" customFormat="1" x14ac:dyDescent="0.3">
      <c r="B25" s="53">
        <v>6</v>
      </c>
      <c r="C25" s="56"/>
      <c r="D25" s="30"/>
      <c r="E25" s="20"/>
      <c r="F25" s="30"/>
      <c r="G25" s="30"/>
      <c r="H25" s="30"/>
      <c r="I25" s="30"/>
      <c r="J25" s="30"/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  <c r="W25" s="30"/>
      <c r="X25" s="30"/>
      <c r="Y25" s="30"/>
      <c r="Z25" s="30"/>
      <c r="AA25" s="30"/>
      <c r="AB25" s="30"/>
      <c r="AC25" s="30"/>
      <c r="AD25" s="30"/>
      <c r="AE25" s="30"/>
      <c r="AF25" s="30"/>
      <c r="AG25" s="30"/>
      <c r="AH25" s="30"/>
      <c r="AI25" s="30"/>
      <c r="AJ25" s="30"/>
      <c r="AK25" s="30"/>
      <c r="AL25" s="30"/>
      <c r="AM25" s="30"/>
      <c r="AN25" s="30"/>
      <c r="AO25" s="30"/>
      <c r="AP25" s="30"/>
      <c r="AQ25" s="30"/>
      <c r="AR25" s="30"/>
      <c r="AS25" s="30"/>
      <c r="AT25" s="30"/>
      <c r="AU25" s="30"/>
      <c r="AV25" s="30"/>
      <c r="AW25" s="30"/>
      <c r="AX25" s="30"/>
      <c r="AY25" s="30"/>
      <c r="AZ25" s="30"/>
      <c r="BA25" s="30"/>
      <c r="BB25" s="30"/>
      <c r="BC25" s="30"/>
      <c r="BD25" s="30"/>
      <c r="BE25" s="30"/>
      <c r="BF25" s="30"/>
      <c r="BG25" s="30"/>
      <c r="BH25" s="33"/>
      <c r="BI25" s="30"/>
      <c r="BJ25" s="30"/>
      <c r="BK25" s="30"/>
      <c r="BL25" s="30"/>
      <c r="BM25" s="30"/>
      <c r="BN25" s="30"/>
      <c r="BO25" s="30"/>
      <c r="BP25" s="30"/>
      <c r="BQ25" s="30"/>
      <c r="BR25" s="30"/>
      <c r="BS25" s="30"/>
      <c r="BT25" s="30"/>
      <c r="BU25" s="30"/>
      <c r="BV25" s="30"/>
      <c r="BW25" s="30"/>
      <c r="BX25" s="30"/>
      <c r="BY25" s="30"/>
      <c r="BZ25" s="30"/>
      <c r="CA25" s="30"/>
      <c r="CB25" s="30"/>
      <c r="CC25" s="30"/>
      <c r="CD25" s="30"/>
      <c r="CE25" s="30"/>
      <c r="CF25" s="30"/>
      <c r="CG25" s="30"/>
      <c r="CH25" s="30"/>
      <c r="CI25" s="30"/>
      <c r="CJ25" s="30"/>
      <c r="CK25" s="30"/>
      <c r="CL25" s="30"/>
      <c r="CM25" s="30"/>
      <c r="CN25" s="30"/>
      <c r="CO25" s="30"/>
      <c r="CP25" s="30"/>
      <c r="CQ25" s="30"/>
      <c r="CR25" s="30"/>
      <c r="CS25" s="30"/>
      <c r="CT25" s="30"/>
      <c r="CU25" s="30"/>
      <c r="CV25" s="30"/>
      <c r="CW25" s="30"/>
      <c r="CX25" s="30"/>
      <c r="CY25" s="30"/>
      <c r="CZ25" s="30"/>
      <c r="DA25" s="30"/>
      <c r="DB25" s="30"/>
      <c r="DC25" s="30"/>
      <c r="DD25" s="30"/>
      <c r="DE25" s="30"/>
      <c r="DF25" s="30"/>
      <c r="DG25" s="30"/>
      <c r="DH25" s="30"/>
      <c r="DI25" s="30"/>
      <c r="DJ25" s="30"/>
      <c r="DK25" s="30"/>
      <c r="DL25" s="30"/>
      <c r="DM25" s="30"/>
      <c r="DN25" s="30"/>
      <c r="DO25" s="30"/>
      <c r="DP25" s="30"/>
      <c r="DQ25" s="30"/>
    </row>
    <row r="26" spans="2:121" s="4" customFormat="1" x14ac:dyDescent="0.3">
      <c r="B26" s="53">
        <v>7</v>
      </c>
      <c r="C26" s="56"/>
      <c r="D26" s="30"/>
      <c r="E26" s="20"/>
      <c r="F26" s="30"/>
      <c r="G26" s="30"/>
      <c r="H26" s="30"/>
      <c r="I26" s="30"/>
      <c r="J26" s="30"/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  <c r="W26" s="30"/>
      <c r="X26" s="30"/>
      <c r="Y26" s="30"/>
      <c r="Z26" s="30"/>
      <c r="AA26" s="30"/>
      <c r="AB26" s="30"/>
      <c r="AC26" s="30"/>
      <c r="AD26" s="30"/>
      <c r="AE26" s="30"/>
      <c r="AF26" s="30"/>
      <c r="AG26" s="30"/>
      <c r="AH26" s="30"/>
      <c r="AI26" s="30"/>
      <c r="AJ26" s="30"/>
      <c r="AK26" s="30"/>
      <c r="AL26" s="30"/>
      <c r="AM26" s="30"/>
      <c r="AN26" s="30"/>
      <c r="AO26" s="30"/>
      <c r="AP26" s="30"/>
      <c r="AQ26" s="30"/>
      <c r="AR26" s="30"/>
      <c r="AS26" s="30"/>
      <c r="AT26" s="30"/>
      <c r="AU26" s="30"/>
      <c r="AV26" s="30"/>
      <c r="AW26" s="30"/>
      <c r="AX26" s="30"/>
      <c r="AY26" s="30"/>
      <c r="AZ26" s="30"/>
      <c r="BA26" s="30"/>
      <c r="BB26" s="30"/>
      <c r="BC26" s="30"/>
      <c r="BD26" s="30"/>
      <c r="BE26" s="30"/>
      <c r="BF26" s="30"/>
      <c r="BG26" s="30"/>
      <c r="BH26" s="33"/>
      <c r="BI26" s="30"/>
      <c r="BJ26" s="30"/>
      <c r="BK26" s="30"/>
      <c r="BL26" s="30"/>
      <c r="BM26" s="30"/>
      <c r="BN26" s="30"/>
      <c r="BO26" s="30"/>
      <c r="BP26" s="30"/>
      <c r="BQ26" s="30"/>
      <c r="BR26" s="30"/>
      <c r="BS26" s="30"/>
      <c r="BT26" s="30"/>
      <c r="BU26" s="30"/>
      <c r="BV26" s="30"/>
      <c r="BW26" s="30"/>
      <c r="BX26" s="30"/>
      <c r="BY26" s="30"/>
      <c r="BZ26" s="30"/>
      <c r="CA26" s="30"/>
      <c r="CB26" s="30"/>
      <c r="CC26" s="30"/>
      <c r="CD26" s="30"/>
      <c r="CE26" s="30"/>
      <c r="CF26" s="30"/>
      <c r="CG26" s="30"/>
      <c r="CH26" s="30"/>
      <c r="CI26" s="30"/>
      <c r="CJ26" s="30"/>
      <c r="CK26" s="30"/>
      <c r="CL26" s="30"/>
      <c r="CM26" s="30"/>
      <c r="CN26" s="30"/>
      <c r="CO26" s="30"/>
      <c r="CP26" s="30"/>
      <c r="CQ26" s="30"/>
      <c r="CR26" s="30"/>
      <c r="CS26" s="30"/>
      <c r="CT26" s="30"/>
      <c r="CU26" s="30"/>
      <c r="CV26" s="30"/>
      <c r="CW26" s="30"/>
      <c r="CX26" s="30"/>
      <c r="CY26" s="30"/>
      <c r="CZ26" s="30"/>
      <c r="DA26" s="30"/>
      <c r="DB26" s="30"/>
      <c r="DC26" s="30"/>
      <c r="DD26" s="30"/>
      <c r="DE26" s="30"/>
      <c r="DF26" s="30"/>
      <c r="DG26" s="30"/>
      <c r="DH26" s="30"/>
      <c r="DI26" s="30"/>
      <c r="DJ26" s="30"/>
      <c r="DK26" s="30"/>
      <c r="DL26" s="30"/>
      <c r="DM26" s="30"/>
      <c r="DN26" s="30"/>
      <c r="DO26" s="30"/>
      <c r="DP26" s="30"/>
      <c r="DQ26" s="30"/>
    </row>
    <row r="27" spans="2:121" s="4" customFormat="1" x14ac:dyDescent="0.3">
      <c r="B27" s="54"/>
      <c r="C27" s="55" t="s">
        <v>26</v>
      </c>
      <c r="D27" s="30"/>
      <c r="E27" s="20"/>
      <c r="F27" s="30"/>
      <c r="G27" s="30"/>
      <c r="H27" s="30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  <c r="AF27" s="30"/>
      <c r="AG27" s="30"/>
      <c r="AH27" s="30"/>
      <c r="AI27" s="30"/>
      <c r="AJ27" s="30"/>
      <c r="AK27" s="30"/>
      <c r="AL27" s="30"/>
      <c r="AM27" s="30"/>
      <c r="AN27" s="30"/>
      <c r="AO27" s="30"/>
      <c r="AP27" s="30"/>
      <c r="AQ27" s="30"/>
      <c r="AR27" s="30"/>
      <c r="AS27" s="30"/>
      <c r="AT27" s="30"/>
      <c r="AU27" s="30"/>
      <c r="AV27" s="30"/>
      <c r="AW27" s="30"/>
      <c r="AX27" s="30"/>
      <c r="AY27" s="30"/>
      <c r="AZ27" s="30"/>
      <c r="BA27" s="30"/>
      <c r="BB27" s="30"/>
      <c r="BC27" s="30"/>
      <c r="BD27" s="30"/>
      <c r="BE27" s="30"/>
      <c r="BF27" s="30"/>
      <c r="BG27" s="30"/>
      <c r="BH27" s="33"/>
      <c r="BI27" s="30"/>
      <c r="BJ27" s="30"/>
      <c r="BK27" s="30"/>
      <c r="BL27" s="30"/>
      <c r="BM27" s="30"/>
      <c r="BN27" s="30"/>
      <c r="BO27" s="30"/>
      <c r="BP27" s="30"/>
      <c r="BQ27" s="30"/>
      <c r="BR27" s="30"/>
      <c r="BS27" s="30"/>
      <c r="BT27" s="30"/>
      <c r="BU27" s="30"/>
      <c r="BV27" s="30"/>
      <c r="BW27" s="30"/>
      <c r="BX27" s="30"/>
      <c r="BY27" s="30"/>
      <c r="BZ27" s="30"/>
      <c r="CA27" s="30"/>
      <c r="CB27" s="30"/>
      <c r="CC27" s="30"/>
      <c r="CD27" s="30"/>
      <c r="CE27" s="30"/>
      <c r="CF27" s="30"/>
      <c r="CG27" s="30"/>
      <c r="CH27" s="30"/>
      <c r="CI27" s="30"/>
      <c r="CJ27" s="30"/>
      <c r="CK27" s="30"/>
      <c r="CL27" s="30"/>
      <c r="CM27" s="30"/>
      <c r="CN27" s="30"/>
      <c r="CO27" s="30"/>
      <c r="CP27" s="30"/>
      <c r="CQ27" s="30"/>
      <c r="CR27" s="30"/>
      <c r="CS27" s="30"/>
      <c r="CT27" s="30"/>
      <c r="CU27" s="30"/>
      <c r="CV27" s="30"/>
      <c r="CW27" s="30"/>
      <c r="CX27" s="30"/>
      <c r="CY27" s="30"/>
      <c r="CZ27" s="30"/>
      <c r="DA27" s="30"/>
      <c r="DB27" s="30"/>
      <c r="DC27" s="30"/>
      <c r="DD27" s="30"/>
      <c r="DE27" s="30"/>
      <c r="DF27" s="30"/>
      <c r="DG27" s="30"/>
      <c r="DH27" s="30"/>
      <c r="DI27" s="30"/>
      <c r="DJ27" s="30"/>
      <c r="DK27" s="30"/>
      <c r="DL27" s="30"/>
      <c r="DM27" s="30"/>
      <c r="DN27" s="30"/>
      <c r="DO27" s="30"/>
      <c r="DP27" s="30"/>
      <c r="DQ27" s="30"/>
    </row>
    <row r="28" spans="2:121" s="4" customFormat="1" ht="14.1" x14ac:dyDescent="0.3">
      <c r="B28" s="53">
        <v>1</v>
      </c>
      <c r="C28" s="56"/>
      <c r="D28" s="30"/>
      <c r="E28" s="20"/>
      <c r="F28" s="30"/>
      <c r="G28" s="30"/>
      <c r="H28" s="30"/>
      <c r="I28" s="30"/>
      <c r="J28" s="30"/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  <c r="W28" s="30"/>
      <c r="X28" s="30"/>
      <c r="Y28" s="30"/>
      <c r="Z28" s="30"/>
      <c r="AA28" s="30"/>
      <c r="AB28" s="30"/>
      <c r="AC28" s="30"/>
      <c r="AD28" s="30"/>
      <c r="AE28" s="30"/>
      <c r="AF28" s="30"/>
      <c r="AG28" s="30"/>
      <c r="AH28" s="30"/>
      <c r="AI28" s="30"/>
      <c r="AJ28" s="30"/>
      <c r="AK28" s="30"/>
      <c r="AL28" s="30"/>
      <c r="AM28" s="30"/>
      <c r="AN28" s="30"/>
      <c r="AO28" s="30"/>
      <c r="AP28" s="30"/>
      <c r="AQ28" s="30"/>
      <c r="AR28" s="30"/>
      <c r="AS28" s="30"/>
      <c r="AT28" s="30"/>
      <c r="AU28" s="30"/>
      <c r="AV28" s="30"/>
      <c r="AW28" s="30"/>
      <c r="AX28" s="30"/>
      <c r="AY28" s="30"/>
      <c r="AZ28" s="30"/>
      <c r="BA28" s="30"/>
      <c r="BB28" s="30"/>
      <c r="BC28" s="30"/>
      <c r="BD28" s="30"/>
      <c r="BE28" s="30"/>
      <c r="BF28" s="30"/>
      <c r="BG28" s="30"/>
      <c r="BH28" s="33"/>
      <c r="BI28" s="30"/>
      <c r="BJ28" s="30"/>
      <c r="BK28" s="30"/>
      <c r="BL28" s="30"/>
      <c r="BM28" s="30"/>
      <c r="BN28" s="30"/>
      <c r="BO28" s="30"/>
      <c r="BP28" s="30"/>
      <c r="BQ28" s="30"/>
      <c r="BR28" s="30"/>
      <c r="BS28" s="30"/>
      <c r="BT28" s="30"/>
      <c r="BU28" s="30"/>
      <c r="BV28" s="30"/>
      <c r="BW28" s="30"/>
      <c r="BX28" s="30"/>
      <c r="BY28" s="30"/>
      <c r="BZ28" s="30"/>
      <c r="CA28" s="30"/>
      <c r="CB28" s="30"/>
      <c r="CC28" s="30"/>
      <c r="CD28" s="30"/>
      <c r="CE28" s="30"/>
      <c r="CF28" s="30"/>
      <c r="CG28" s="30"/>
      <c r="CH28" s="30"/>
      <c r="CI28" s="30"/>
      <c r="CJ28" s="30"/>
      <c r="CK28" s="30"/>
      <c r="CL28" s="30"/>
      <c r="CM28" s="30"/>
      <c r="CN28" s="30"/>
      <c r="CO28" s="30"/>
      <c r="CP28" s="30"/>
      <c r="CQ28" s="30"/>
      <c r="CR28" s="30"/>
      <c r="CS28" s="30"/>
      <c r="CT28" s="30"/>
      <c r="CU28" s="30"/>
      <c r="CV28" s="30"/>
      <c r="CW28" s="30"/>
      <c r="CX28" s="30"/>
      <c r="CY28" s="30"/>
      <c r="CZ28" s="30"/>
      <c r="DA28" s="30"/>
      <c r="DB28" s="30"/>
      <c r="DC28" s="30"/>
      <c r="DD28" s="30"/>
      <c r="DE28" s="30"/>
      <c r="DF28" s="30"/>
      <c r="DG28" s="30"/>
      <c r="DH28" s="30"/>
      <c r="DI28" s="30"/>
      <c r="DJ28" s="30"/>
      <c r="DK28" s="30"/>
      <c r="DL28" s="30"/>
      <c r="DM28" s="30"/>
      <c r="DN28" s="30"/>
      <c r="DO28" s="30"/>
      <c r="DP28" s="30"/>
      <c r="DQ28" s="30"/>
    </row>
    <row r="29" spans="2:121" s="4" customFormat="1" ht="14.1" x14ac:dyDescent="0.3">
      <c r="B29" s="53">
        <v>2</v>
      </c>
      <c r="C29" s="56"/>
      <c r="D29" s="30"/>
      <c r="E29" s="20"/>
      <c r="F29" s="30"/>
      <c r="G29" s="30"/>
      <c r="H29" s="30"/>
      <c r="I29" s="30"/>
      <c r="J29" s="30"/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  <c r="W29" s="30"/>
      <c r="X29" s="30"/>
      <c r="Y29" s="30"/>
      <c r="Z29" s="30"/>
      <c r="AA29" s="30"/>
      <c r="AB29" s="30"/>
      <c r="AC29" s="30"/>
      <c r="AD29" s="30"/>
      <c r="AE29" s="30"/>
      <c r="AF29" s="30"/>
      <c r="AG29" s="30"/>
      <c r="AH29" s="30"/>
      <c r="AI29" s="30"/>
      <c r="AJ29" s="30"/>
      <c r="AK29" s="30"/>
      <c r="AL29" s="30"/>
      <c r="AM29" s="30"/>
      <c r="AN29" s="30"/>
      <c r="AO29" s="30"/>
      <c r="AP29" s="30"/>
      <c r="AQ29" s="30"/>
      <c r="AR29" s="30"/>
      <c r="AS29" s="30"/>
      <c r="AT29" s="30"/>
      <c r="AU29" s="30"/>
      <c r="AV29" s="30"/>
      <c r="AW29" s="30"/>
      <c r="AX29" s="30"/>
      <c r="AY29" s="30"/>
      <c r="AZ29" s="30"/>
      <c r="BA29" s="30"/>
      <c r="BB29" s="30"/>
      <c r="BC29" s="30"/>
      <c r="BD29" s="30"/>
      <c r="BE29" s="30"/>
      <c r="BF29" s="30"/>
      <c r="BG29" s="30"/>
      <c r="BH29" s="33"/>
      <c r="BI29" s="30"/>
      <c r="BJ29" s="30"/>
      <c r="BK29" s="30"/>
      <c r="BL29" s="30"/>
      <c r="BM29" s="30"/>
      <c r="BN29" s="30"/>
      <c r="BO29" s="30"/>
      <c r="BP29" s="30"/>
      <c r="BQ29" s="30"/>
      <c r="BR29" s="30"/>
      <c r="BS29" s="30"/>
      <c r="BT29" s="30"/>
      <c r="BU29" s="30"/>
      <c r="BV29" s="30"/>
      <c r="BW29" s="30"/>
      <c r="BX29" s="30"/>
      <c r="BY29" s="30"/>
      <c r="BZ29" s="30"/>
      <c r="CA29" s="30"/>
      <c r="CB29" s="30"/>
      <c r="CC29" s="30"/>
      <c r="CD29" s="30"/>
      <c r="CE29" s="30"/>
      <c r="CF29" s="30"/>
      <c r="CG29" s="30"/>
      <c r="CH29" s="30"/>
      <c r="CI29" s="30"/>
      <c r="CJ29" s="30"/>
      <c r="CK29" s="30"/>
      <c r="CL29" s="30"/>
      <c r="CM29" s="30"/>
      <c r="CN29" s="30"/>
      <c r="CO29" s="30"/>
      <c r="CP29" s="30"/>
      <c r="CQ29" s="30"/>
      <c r="CR29" s="30"/>
      <c r="CS29" s="30"/>
      <c r="CT29" s="30"/>
      <c r="CU29" s="30"/>
      <c r="CV29" s="30"/>
      <c r="CW29" s="30"/>
      <c r="CX29" s="30"/>
      <c r="CY29" s="30"/>
      <c r="CZ29" s="30"/>
      <c r="DA29" s="30"/>
      <c r="DB29" s="30"/>
      <c r="DC29" s="30"/>
      <c r="DD29" s="30"/>
      <c r="DE29" s="30"/>
      <c r="DF29" s="30"/>
      <c r="DG29" s="30"/>
      <c r="DH29" s="30"/>
      <c r="DI29" s="30"/>
      <c r="DJ29" s="30"/>
      <c r="DK29" s="30"/>
      <c r="DL29" s="30"/>
      <c r="DM29" s="30"/>
      <c r="DN29" s="30"/>
      <c r="DO29" s="30"/>
      <c r="DP29" s="30"/>
      <c r="DQ29" s="30"/>
    </row>
    <row r="30" spans="2:121" s="4" customFormat="1" ht="14.1" x14ac:dyDescent="0.3">
      <c r="B30" s="53">
        <v>3</v>
      </c>
      <c r="C30" s="56"/>
      <c r="D30" s="30"/>
      <c r="E30" s="20"/>
      <c r="F30" s="30"/>
      <c r="G30" s="30"/>
      <c r="H30" s="30"/>
      <c r="I30" s="30"/>
      <c r="J30" s="30"/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  <c r="X30" s="30"/>
      <c r="Y30" s="30"/>
      <c r="Z30" s="30"/>
      <c r="AA30" s="30"/>
      <c r="AB30" s="30"/>
      <c r="AC30" s="30"/>
      <c r="AD30" s="30"/>
      <c r="AE30" s="30"/>
      <c r="AF30" s="30"/>
      <c r="AG30" s="30"/>
      <c r="AH30" s="30"/>
      <c r="AI30" s="30"/>
      <c r="AJ30" s="30"/>
      <c r="AK30" s="30"/>
      <c r="AL30" s="30"/>
      <c r="AM30" s="30"/>
      <c r="AN30" s="30"/>
      <c r="AO30" s="30"/>
      <c r="AP30" s="30"/>
      <c r="AQ30" s="30"/>
      <c r="AR30" s="30"/>
      <c r="AS30" s="30"/>
      <c r="AT30" s="30"/>
      <c r="AU30" s="30"/>
      <c r="AV30" s="30"/>
      <c r="AW30" s="30"/>
      <c r="AX30" s="30"/>
      <c r="AY30" s="30"/>
      <c r="AZ30" s="30"/>
      <c r="BA30" s="30"/>
      <c r="BB30" s="30"/>
      <c r="BC30" s="30"/>
      <c r="BD30" s="30"/>
      <c r="BE30" s="30"/>
      <c r="BF30" s="30"/>
      <c r="BG30" s="30"/>
      <c r="BH30" s="33"/>
      <c r="BI30" s="30"/>
      <c r="BJ30" s="30"/>
      <c r="BK30" s="30"/>
      <c r="BL30" s="30"/>
      <c r="BM30" s="30"/>
      <c r="BN30" s="30"/>
      <c r="BO30" s="30"/>
      <c r="BP30" s="30"/>
      <c r="BQ30" s="30"/>
      <c r="BR30" s="30"/>
      <c r="BS30" s="30"/>
      <c r="BT30" s="30"/>
      <c r="BU30" s="30"/>
      <c r="BV30" s="30"/>
      <c r="BW30" s="30"/>
      <c r="BX30" s="30"/>
      <c r="BY30" s="30"/>
      <c r="BZ30" s="30"/>
      <c r="CA30" s="30"/>
      <c r="CB30" s="30"/>
      <c r="CC30" s="30"/>
      <c r="CD30" s="30"/>
      <c r="CE30" s="30"/>
      <c r="CF30" s="30"/>
      <c r="CG30" s="30"/>
      <c r="CH30" s="30"/>
      <c r="CI30" s="30"/>
      <c r="CJ30" s="30"/>
      <c r="CK30" s="30"/>
      <c r="CL30" s="30"/>
      <c r="CM30" s="30"/>
      <c r="CN30" s="30"/>
      <c r="CO30" s="30"/>
      <c r="CP30" s="30"/>
      <c r="CQ30" s="30"/>
      <c r="CR30" s="30"/>
      <c r="CS30" s="30"/>
      <c r="CT30" s="30"/>
      <c r="CU30" s="30"/>
      <c r="CV30" s="30"/>
      <c r="CW30" s="30"/>
      <c r="CX30" s="30"/>
      <c r="CY30" s="30"/>
      <c r="CZ30" s="30"/>
      <c r="DA30" s="30"/>
      <c r="DB30" s="30"/>
      <c r="DC30" s="30"/>
      <c r="DD30" s="30"/>
      <c r="DE30" s="30"/>
      <c r="DF30" s="30"/>
      <c r="DG30" s="30"/>
      <c r="DH30" s="30"/>
      <c r="DI30" s="30"/>
      <c r="DJ30" s="30"/>
      <c r="DK30" s="30"/>
      <c r="DL30" s="30"/>
      <c r="DM30" s="30"/>
      <c r="DN30" s="30"/>
      <c r="DO30" s="30"/>
      <c r="DP30" s="30"/>
      <c r="DQ30" s="30"/>
    </row>
    <row r="31" spans="2:121" s="4" customFormat="1" ht="14.1" x14ac:dyDescent="0.3">
      <c r="B31" s="54"/>
      <c r="C31" s="55" t="s">
        <v>9</v>
      </c>
      <c r="D31" s="30"/>
      <c r="E31" s="20"/>
      <c r="F31" s="30"/>
      <c r="G31" s="30"/>
      <c r="H31" s="30"/>
      <c r="I31" s="30"/>
      <c r="J31" s="30"/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  <c r="X31" s="30"/>
      <c r="Y31" s="30"/>
      <c r="Z31" s="30"/>
      <c r="AA31" s="30"/>
      <c r="AB31" s="30"/>
      <c r="AC31" s="30"/>
      <c r="AD31" s="30"/>
      <c r="AE31" s="30"/>
      <c r="AF31" s="30"/>
      <c r="AG31" s="30"/>
      <c r="AH31" s="30"/>
      <c r="AI31" s="30"/>
      <c r="AJ31" s="30"/>
      <c r="AK31" s="30"/>
      <c r="AL31" s="30"/>
      <c r="AM31" s="30"/>
      <c r="AN31" s="30"/>
      <c r="AO31" s="30"/>
      <c r="AP31" s="30"/>
      <c r="AQ31" s="30"/>
      <c r="AR31" s="30"/>
      <c r="AS31" s="30"/>
      <c r="AT31" s="30"/>
      <c r="AU31" s="30"/>
      <c r="AV31" s="30"/>
      <c r="AW31" s="30"/>
      <c r="AX31" s="30"/>
      <c r="AY31" s="30"/>
      <c r="AZ31" s="30"/>
      <c r="BA31" s="30"/>
      <c r="BB31" s="30"/>
      <c r="BC31" s="30"/>
      <c r="BD31" s="30"/>
      <c r="BE31" s="30"/>
      <c r="BF31" s="30"/>
      <c r="BG31" s="30"/>
      <c r="BH31" s="33"/>
      <c r="BI31" s="30"/>
      <c r="BJ31" s="30"/>
      <c r="BK31" s="30"/>
      <c r="BL31" s="30"/>
      <c r="BM31" s="30"/>
      <c r="BN31" s="30"/>
      <c r="BO31" s="30"/>
      <c r="BP31" s="30"/>
      <c r="BQ31" s="30"/>
      <c r="BR31" s="30"/>
      <c r="BS31" s="30"/>
      <c r="BT31" s="30"/>
      <c r="BU31" s="30"/>
      <c r="BV31" s="30"/>
      <c r="BW31" s="30"/>
      <c r="BX31" s="30"/>
      <c r="BY31" s="30"/>
      <c r="BZ31" s="30"/>
      <c r="CA31" s="30"/>
      <c r="CB31" s="30"/>
      <c r="CC31" s="30"/>
      <c r="CD31" s="30"/>
      <c r="CE31" s="30"/>
      <c r="CF31" s="30"/>
      <c r="CG31" s="30"/>
      <c r="CH31" s="30"/>
      <c r="CI31" s="30"/>
      <c r="CJ31" s="30"/>
      <c r="CK31" s="30"/>
      <c r="CL31" s="30"/>
      <c r="CM31" s="30"/>
      <c r="CN31" s="30"/>
      <c r="CO31" s="30"/>
      <c r="CP31" s="30"/>
      <c r="CQ31" s="30"/>
      <c r="CR31" s="30"/>
      <c r="CS31" s="30"/>
      <c r="CT31" s="30"/>
      <c r="CU31" s="30"/>
      <c r="CV31" s="30"/>
      <c r="CW31" s="30"/>
      <c r="CX31" s="30"/>
      <c r="CY31" s="30"/>
      <c r="CZ31" s="30"/>
      <c r="DA31" s="30"/>
      <c r="DB31" s="30"/>
      <c r="DC31" s="30"/>
      <c r="DD31" s="30"/>
      <c r="DE31" s="30"/>
      <c r="DF31" s="30"/>
      <c r="DG31" s="30"/>
      <c r="DH31" s="30"/>
      <c r="DI31" s="30"/>
      <c r="DJ31" s="30"/>
      <c r="DK31" s="30"/>
      <c r="DL31" s="30"/>
      <c r="DM31" s="30"/>
      <c r="DN31" s="30"/>
      <c r="DO31" s="30"/>
      <c r="DP31" s="30"/>
      <c r="DQ31" s="30"/>
    </row>
    <row r="32" spans="2:121" s="4" customFormat="1" ht="14.1" x14ac:dyDescent="0.3">
      <c r="B32" s="53">
        <v>1</v>
      </c>
      <c r="C32" s="56"/>
      <c r="D32" s="30"/>
      <c r="E32" s="20"/>
      <c r="F32" s="30"/>
      <c r="G32" s="30"/>
      <c r="H32" s="30"/>
      <c r="I32" s="30"/>
      <c r="J32" s="30"/>
      <c r="K32" s="30"/>
      <c r="L32" s="30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  <c r="X32" s="30"/>
      <c r="Y32" s="30"/>
      <c r="Z32" s="30"/>
      <c r="AA32" s="30"/>
      <c r="AB32" s="30"/>
      <c r="AC32" s="30"/>
      <c r="AD32" s="30"/>
      <c r="AE32" s="30"/>
      <c r="AF32" s="30"/>
      <c r="AG32" s="30"/>
      <c r="AH32" s="30"/>
      <c r="AI32" s="30"/>
      <c r="AJ32" s="30"/>
      <c r="AK32" s="30"/>
      <c r="AL32" s="30"/>
      <c r="AM32" s="30"/>
      <c r="AN32" s="30"/>
      <c r="AO32" s="30"/>
      <c r="AP32" s="30"/>
      <c r="AQ32" s="30"/>
      <c r="AR32" s="30"/>
      <c r="AS32" s="30"/>
      <c r="AT32" s="30"/>
      <c r="AU32" s="30"/>
      <c r="AV32" s="30"/>
      <c r="AW32" s="30"/>
      <c r="AX32" s="30"/>
      <c r="AY32" s="30"/>
      <c r="AZ32" s="30"/>
      <c r="BA32" s="30"/>
      <c r="BB32" s="30"/>
      <c r="BC32" s="30"/>
      <c r="BD32" s="30"/>
      <c r="BE32" s="30"/>
      <c r="BF32" s="30"/>
      <c r="BG32" s="30"/>
      <c r="BH32" s="33"/>
      <c r="BI32" s="30"/>
      <c r="BJ32" s="30"/>
      <c r="BK32" s="30"/>
      <c r="BL32" s="30"/>
      <c r="BM32" s="30"/>
      <c r="BN32" s="30"/>
      <c r="BO32" s="30"/>
      <c r="BP32" s="30"/>
      <c r="BQ32" s="30"/>
      <c r="BR32" s="30"/>
      <c r="BS32" s="30"/>
      <c r="BT32" s="30"/>
      <c r="BU32" s="30"/>
      <c r="BV32" s="30"/>
      <c r="BW32" s="30"/>
      <c r="BX32" s="30"/>
      <c r="BY32" s="30"/>
      <c r="BZ32" s="30"/>
      <c r="CA32" s="30"/>
      <c r="CB32" s="30"/>
      <c r="CC32" s="30"/>
      <c r="CD32" s="30"/>
      <c r="CE32" s="30"/>
      <c r="CF32" s="30"/>
      <c r="CG32" s="30"/>
      <c r="CH32" s="30"/>
      <c r="CI32" s="30"/>
      <c r="CJ32" s="30"/>
      <c r="CK32" s="30"/>
      <c r="CL32" s="30"/>
      <c r="CM32" s="30"/>
      <c r="CN32" s="30"/>
      <c r="CO32" s="30"/>
      <c r="CP32" s="30"/>
      <c r="CQ32" s="30"/>
      <c r="CR32" s="30"/>
      <c r="CS32" s="30"/>
      <c r="CT32" s="30"/>
      <c r="CU32" s="30"/>
      <c r="CV32" s="30"/>
      <c r="CW32" s="30"/>
      <c r="CX32" s="30"/>
      <c r="CY32" s="30"/>
      <c r="CZ32" s="30"/>
      <c r="DA32" s="30"/>
      <c r="DB32" s="30"/>
      <c r="DC32" s="30"/>
      <c r="DD32" s="30"/>
      <c r="DE32" s="30"/>
      <c r="DF32" s="30"/>
      <c r="DG32" s="30"/>
      <c r="DH32" s="30"/>
      <c r="DI32" s="30"/>
      <c r="DJ32" s="30"/>
      <c r="DK32" s="30"/>
      <c r="DL32" s="30"/>
      <c r="DM32" s="30"/>
      <c r="DN32" s="30"/>
      <c r="DO32" s="30"/>
      <c r="DP32" s="30"/>
      <c r="DQ32" s="30"/>
    </row>
    <row r="33" spans="2:121" s="4" customFormat="1" ht="14.1" x14ac:dyDescent="0.3">
      <c r="B33" s="53">
        <v>2</v>
      </c>
      <c r="C33" s="56"/>
      <c r="D33" s="30"/>
      <c r="E33" s="20"/>
      <c r="F33" s="30"/>
      <c r="G33" s="30"/>
      <c r="H33" s="30"/>
      <c r="I33" s="30"/>
      <c r="J33" s="30"/>
      <c r="K33" s="30"/>
      <c r="L33" s="30"/>
      <c r="M33" s="30"/>
      <c r="N33" s="30"/>
      <c r="O33" s="30"/>
      <c r="P33" s="30"/>
      <c r="Q33" s="30"/>
      <c r="R33" s="30"/>
      <c r="S33" s="30"/>
      <c r="T33" s="30"/>
      <c r="U33" s="30"/>
      <c r="V33" s="30"/>
      <c r="W33" s="30"/>
      <c r="X33" s="30"/>
      <c r="Y33" s="30"/>
      <c r="Z33" s="30"/>
      <c r="AA33" s="30"/>
      <c r="AB33" s="30"/>
      <c r="AC33" s="30"/>
      <c r="AD33" s="30"/>
      <c r="AE33" s="30"/>
      <c r="AF33" s="30"/>
      <c r="AG33" s="30"/>
      <c r="AH33" s="30"/>
      <c r="AI33" s="30"/>
      <c r="AJ33" s="30"/>
      <c r="AK33" s="30"/>
      <c r="AL33" s="30"/>
      <c r="AM33" s="30"/>
      <c r="AN33" s="30"/>
      <c r="AO33" s="30"/>
      <c r="AP33" s="30"/>
      <c r="AQ33" s="30"/>
      <c r="AR33" s="30"/>
      <c r="AS33" s="30"/>
      <c r="AT33" s="30"/>
      <c r="AU33" s="30"/>
      <c r="AV33" s="30"/>
      <c r="AW33" s="30"/>
      <c r="AX33" s="30"/>
      <c r="AY33" s="30"/>
      <c r="AZ33" s="30"/>
      <c r="BA33" s="30"/>
      <c r="BB33" s="30"/>
      <c r="BC33" s="30"/>
      <c r="BD33" s="30"/>
      <c r="BE33" s="30"/>
      <c r="BF33" s="30"/>
      <c r="BG33" s="30"/>
      <c r="BH33" s="33"/>
      <c r="BI33" s="30"/>
      <c r="BJ33" s="30"/>
      <c r="BK33" s="30"/>
      <c r="BL33" s="30"/>
      <c r="BM33" s="30"/>
      <c r="BN33" s="30"/>
      <c r="BO33" s="30"/>
      <c r="BP33" s="30"/>
      <c r="BQ33" s="30"/>
      <c r="BR33" s="30"/>
      <c r="BS33" s="30"/>
      <c r="BT33" s="30"/>
      <c r="BU33" s="30"/>
      <c r="BV33" s="30"/>
      <c r="BW33" s="30"/>
      <c r="BX33" s="30"/>
      <c r="BY33" s="30"/>
      <c r="BZ33" s="30"/>
      <c r="CA33" s="30"/>
      <c r="CB33" s="30"/>
      <c r="CC33" s="30"/>
      <c r="CD33" s="30"/>
      <c r="CE33" s="30"/>
      <c r="CF33" s="30"/>
      <c r="CG33" s="30"/>
      <c r="CH33" s="30"/>
      <c r="CI33" s="30"/>
      <c r="CJ33" s="30"/>
      <c r="CK33" s="30"/>
      <c r="CL33" s="30"/>
      <c r="CM33" s="30"/>
      <c r="CN33" s="30"/>
      <c r="CO33" s="30"/>
      <c r="CP33" s="30"/>
      <c r="CQ33" s="30"/>
      <c r="CR33" s="30"/>
      <c r="CS33" s="30"/>
      <c r="CT33" s="30"/>
      <c r="CU33" s="30"/>
      <c r="CV33" s="30"/>
      <c r="CW33" s="30"/>
      <c r="CX33" s="30"/>
      <c r="CY33" s="30"/>
      <c r="CZ33" s="30"/>
      <c r="DA33" s="30"/>
      <c r="DB33" s="30"/>
      <c r="DC33" s="30"/>
      <c r="DD33" s="30"/>
      <c r="DE33" s="30"/>
      <c r="DF33" s="30"/>
      <c r="DG33" s="30"/>
      <c r="DH33" s="30"/>
      <c r="DI33" s="30"/>
      <c r="DJ33" s="30"/>
      <c r="DK33" s="30"/>
      <c r="DL33" s="30"/>
      <c r="DM33" s="30"/>
      <c r="DN33" s="30"/>
      <c r="DO33" s="30"/>
      <c r="DP33" s="30"/>
      <c r="DQ33" s="30"/>
    </row>
    <row r="34" spans="2:121" s="4" customFormat="1" ht="14.1" x14ac:dyDescent="0.3">
      <c r="B34" s="53">
        <v>3</v>
      </c>
      <c r="C34" s="56"/>
      <c r="D34" s="30"/>
      <c r="E34" s="20"/>
      <c r="F34" s="30"/>
      <c r="G34" s="30"/>
      <c r="H34" s="30"/>
      <c r="I34" s="30"/>
      <c r="J34" s="30"/>
      <c r="K34" s="30"/>
      <c r="L34" s="30"/>
      <c r="M34" s="30"/>
      <c r="N34" s="30"/>
      <c r="O34" s="30"/>
      <c r="P34" s="30"/>
      <c r="Q34" s="30"/>
      <c r="R34" s="30"/>
      <c r="S34" s="30"/>
      <c r="T34" s="30"/>
      <c r="U34" s="30"/>
      <c r="V34" s="30"/>
      <c r="W34" s="30"/>
      <c r="X34" s="30"/>
      <c r="Y34" s="30"/>
      <c r="Z34" s="30"/>
      <c r="AA34" s="30"/>
      <c r="AB34" s="30"/>
      <c r="AC34" s="30"/>
      <c r="AD34" s="30"/>
      <c r="AE34" s="30"/>
      <c r="AF34" s="30"/>
      <c r="AG34" s="30"/>
      <c r="AH34" s="30"/>
      <c r="AI34" s="30"/>
      <c r="AJ34" s="30"/>
      <c r="AK34" s="30"/>
      <c r="AL34" s="30"/>
      <c r="AM34" s="30"/>
      <c r="AN34" s="30"/>
      <c r="AO34" s="30"/>
      <c r="AP34" s="30"/>
      <c r="AQ34" s="30"/>
      <c r="AR34" s="30"/>
      <c r="AS34" s="30"/>
      <c r="AT34" s="30"/>
      <c r="AU34" s="30"/>
      <c r="AV34" s="30"/>
      <c r="AW34" s="30"/>
      <c r="AX34" s="30"/>
      <c r="AY34" s="30"/>
      <c r="AZ34" s="30"/>
      <c r="BA34" s="30"/>
      <c r="BB34" s="30"/>
      <c r="BC34" s="30"/>
      <c r="BD34" s="30"/>
      <c r="BE34" s="30"/>
      <c r="BF34" s="30"/>
      <c r="BG34" s="30"/>
      <c r="BH34" s="33"/>
      <c r="BI34" s="30"/>
      <c r="BJ34" s="30"/>
      <c r="BK34" s="30"/>
      <c r="BL34" s="30"/>
      <c r="BM34" s="30"/>
      <c r="BN34" s="30"/>
      <c r="BO34" s="30"/>
      <c r="BP34" s="30"/>
      <c r="BQ34" s="30"/>
      <c r="BR34" s="30"/>
      <c r="BS34" s="30"/>
      <c r="BT34" s="30"/>
      <c r="BU34" s="30"/>
      <c r="BV34" s="30"/>
      <c r="BW34" s="30"/>
      <c r="BX34" s="30"/>
      <c r="BY34" s="30"/>
      <c r="BZ34" s="30"/>
      <c r="CA34" s="30"/>
      <c r="CB34" s="30"/>
      <c r="CC34" s="30"/>
      <c r="CD34" s="30"/>
      <c r="CE34" s="30"/>
      <c r="CF34" s="30"/>
      <c r="CG34" s="30"/>
      <c r="CH34" s="30"/>
      <c r="CI34" s="30"/>
      <c r="CJ34" s="30"/>
      <c r="CK34" s="30"/>
      <c r="CL34" s="30"/>
      <c r="CM34" s="30"/>
      <c r="CN34" s="30"/>
      <c r="CO34" s="30"/>
      <c r="CP34" s="30"/>
      <c r="CQ34" s="30"/>
      <c r="CR34" s="30"/>
      <c r="CS34" s="30"/>
      <c r="CT34" s="30"/>
      <c r="CU34" s="30"/>
      <c r="CV34" s="30"/>
      <c r="CW34" s="30"/>
      <c r="CX34" s="30"/>
      <c r="CY34" s="30"/>
      <c r="CZ34" s="30"/>
      <c r="DA34" s="30"/>
      <c r="DB34" s="30"/>
      <c r="DC34" s="30"/>
      <c r="DD34" s="30"/>
      <c r="DE34" s="30"/>
      <c r="DF34" s="30"/>
      <c r="DG34" s="30"/>
      <c r="DH34" s="30"/>
      <c r="DI34" s="30"/>
      <c r="DJ34" s="30"/>
      <c r="DK34" s="30"/>
      <c r="DL34" s="30"/>
      <c r="DM34" s="30"/>
      <c r="DN34" s="30"/>
      <c r="DO34" s="30"/>
      <c r="DP34" s="30"/>
      <c r="DQ34" s="30"/>
    </row>
    <row r="35" spans="2:121" s="4" customFormat="1" ht="14.1" x14ac:dyDescent="0.3">
      <c r="B35" s="54"/>
      <c r="C35" s="55" t="s">
        <v>100</v>
      </c>
      <c r="D35" s="30">
        <v>11</v>
      </c>
      <c r="E35" s="20"/>
      <c r="F35" s="30"/>
      <c r="G35" s="30"/>
      <c r="H35" s="30"/>
      <c r="I35" s="30"/>
      <c r="J35" s="30"/>
      <c r="K35" s="30"/>
      <c r="L35" s="30"/>
      <c r="M35" s="30"/>
      <c r="N35" s="30"/>
      <c r="O35" s="30"/>
      <c r="P35" s="30"/>
      <c r="Q35" s="30"/>
      <c r="R35" s="30"/>
      <c r="S35" s="30"/>
      <c r="T35" s="30"/>
      <c r="U35" s="30"/>
      <c r="V35" s="30"/>
      <c r="W35" s="30"/>
      <c r="X35" s="30"/>
      <c r="Y35" s="30"/>
      <c r="Z35" s="30"/>
      <c r="AA35" s="30"/>
      <c r="AB35" s="30"/>
      <c r="AC35" s="30"/>
      <c r="AD35" s="30"/>
      <c r="AE35" s="30"/>
      <c r="AF35" s="30"/>
      <c r="AG35" s="30"/>
      <c r="AH35" s="30"/>
      <c r="AI35" s="30"/>
      <c r="AJ35" s="30"/>
      <c r="AK35" s="30"/>
      <c r="AL35" s="30"/>
      <c r="AM35" s="30"/>
      <c r="AN35" s="30"/>
      <c r="AO35" s="30"/>
      <c r="AP35" s="30">
        <v>7</v>
      </c>
      <c r="AQ35" s="30"/>
      <c r="AR35" s="30"/>
      <c r="AS35" s="30"/>
      <c r="AT35" s="30"/>
      <c r="AU35" s="30"/>
      <c r="AV35" s="30"/>
      <c r="AW35" s="30"/>
      <c r="AX35" s="30"/>
      <c r="AY35" s="30"/>
      <c r="AZ35" s="30"/>
      <c r="BA35" s="30"/>
      <c r="BB35" s="30"/>
      <c r="BC35" s="30">
        <v>4</v>
      </c>
      <c r="BD35" s="30"/>
      <c r="BE35" s="30"/>
      <c r="BF35" s="30"/>
      <c r="BG35" s="30"/>
      <c r="BH35" s="33"/>
      <c r="BI35" s="30"/>
      <c r="BJ35" s="30"/>
      <c r="BK35" s="30"/>
      <c r="BL35" s="30"/>
      <c r="BM35" s="30"/>
      <c r="BN35" s="30"/>
      <c r="BO35" s="30"/>
      <c r="BP35" s="30"/>
      <c r="BQ35" s="30"/>
      <c r="BR35" s="30"/>
      <c r="BS35" s="30"/>
      <c r="BT35" s="30"/>
      <c r="BU35" s="30"/>
      <c r="BV35" s="30"/>
      <c r="BW35" s="30"/>
      <c r="BX35" s="30"/>
      <c r="BY35" s="30"/>
      <c r="BZ35" s="30"/>
      <c r="CA35" s="30"/>
      <c r="CB35" s="30"/>
      <c r="CC35" s="30"/>
      <c r="CD35" s="30"/>
      <c r="CE35" s="30"/>
      <c r="CF35" s="30"/>
      <c r="CG35" s="30"/>
      <c r="CH35" s="30"/>
      <c r="CI35" s="30"/>
      <c r="CJ35" s="30"/>
      <c r="CK35" s="30"/>
      <c r="CL35" s="30"/>
      <c r="CM35" s="30"/>
      <c r="CN35" s="30"/>
      <c r="CO35" s="30"/>
      <c r="CP35" s="30"/>
      <c r="CQ35" s="30"/>
      <c r="CR35" s="30"/>
      <c r="CS35" s="30"/>
      <c r="CT35" s="30"/>
      <c r="CU35" s="30"/>
      <c r="CV35" s="30"/>
      <c r="CW35" s="30"/>
      <c r="CX35" s="30"/>
      <c r="CY35" s="30"/>
      <c r="CZ35" s="30"/>
      <c r="DA35" s="30"/>
      <c r="DB35" s="30"/>
      <c r="DC35" s="30"/>
      <c r="DD35" s="30"/>
      <c r="DE35" s="30"/>
      <c r="DF35" s="30"/>
      <c r="DG35" s="30"/>
      <c r="DH35" s="30"/>
      <c r="DI35" s="30"/>
      <c r="DJ35" s="30"/>
      <c r="DK35" s="30"/>
      <c r="DL35" s="30"/>
      <c r="DM35" s="30"/>
      <c r="DN35" s="30"/>
      <c r="DO35" s="30"/>
      <c r="DP35" s="30"/>
      <c r="DQ35" s="30"/>
    </row>
    <row r="36" spans="2:121" s="4" customFormat="1" ht="14.1" x14ac:dyDescent="0.3">
      <c r="B36" s="53">
        <v>1</v>
      </c>
      <c r="C36" s="56"/>
      <c r="D36" s="30"/>
      <c r="E36" s="2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V36" s="30"/>
      <c r="W36" s="30"/>
      <c r="X36" s="30"/>
      <c r="Y36" s="30"/>
      <c r="Z36" s="30"/>
      <c r="AA36" s="30"/>
      <c r="AB36" s="30"/>
      <c r="AC36" s="30"/>
      <c r="AD36" s="30"/>
      <c r="AE36" s="30"/>
      <c r="AF36" s="30"/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  <c r="AR36" s="30"/>
      <c r="AS36" s="30"/>
      <c r="AT36" s="30"/>
      <c r="AU36" s="30"/>
      <c r="AV36" s="30"/>
      <c r="AW36" s="30"/>
      <c r="AX36" s="30"/>
      <c r="AY36" s="30"/>
      <c r="AZ36" s="30"/>
      <c r="BA36" s="30"/>
      <c r="BB36" s="30"/>
      <c r="BC36" s="30"/>
      <c r="BD36" s="30"/>
      <c r="BE36" s="30"/>
      <c r="BF36" s="30"/>
      <c r="BG36" s="30"/>
      <c r="BH36" s="33"/>
      <c r="BI36" s="30"/>
      <c r="BJ36" s="30"/>
      <c r="BK36" s="30"/>
      <c r="BL36" s="30"/>
      <c r="BM36" s="30"/>
      <c r="BN36" s="30"/>
      <c r="BO36" s="30"/>
      <c r="BP36" s="30"/>
      <c r="BQ36" s="30"/>
      <c r="BR36" s="30"/>
      <c r="BS36" s="30"/>
      <c r="BT36" s="30"/>
      <c r="BU36" s="30"/>
      <c r="BV36" s="30"/>
      <c r="BW36" s="30"/>
      <c r="BX36" s="30"/>
      <c r="BY36" s="30"/>
      <c r="BZ36" s="30"/>
      <c r="CA36" s="30"/>
      <c r="CB36" s="30"/>
      <c r="CC36" s="30"/>
      <c r="CD36" s="30"/>
      <c r="CE36" s="30"/>
      <c r="CF36" s="30"/>
      <c r="CG36" s="30"/>
      <c r="CH36" s="30"/>
      <c r="CI36" s="30"/>
      <c r="CJ36" s="30"/>
      <c r="CK36" s="30"/>
      <c r="CL36" s="30"/>
      <c r="CM36" s="30"/>
      <c r="CN36" s="30"/>
      <c r="CO36" s="30"/>
      <c r="CP36" s="30"/>
      <c r="CQ36" s="30"/>
      <c r="CR36" s="30"/>
      <c r="CS36" s="30"/>
      <c r="CT36" s="30"/>
      <c r="CU36" s="30"/>
      <c r="CV36" s="30"/>
      <c r="CW36" s="30"/>
      <c r="CX36" s="30"/>
      <c r="CY36" s="30"/>
      <c r="CZ36" s="30"/>
      <c r="DA36" s="30"/>
      <c r="DB36" s="30"/>
      <c r="DC36" s="30"/>
      <c r="DD36" s="30"/>
      <c r="DE36" s="30"/>
      <c r="DF36" s="30"/>
      <c r="DG36" s="30"/>
      <c r="DH36" s="30"/>
      <c r="DI36" s="30"/>
      <c r="DJ36" s="30"/>
      <c r="DK36" s="30"/>
      <c r="DL36" s="30"/>
      <c r="DM36" s="30"/>
      <c r="DN36" s="30"/>
      <c r="DO36" s="30"/>
      <c r="DP36" s="30"/>
      <c r="DQ36" s="30"/>
    </row>
    <row r="37" spans="2:121" s="4" customFormat="1" ht="14.1" x14ac:dyDescent="0.3">
      <c r="B37" s="53">
        <v>2</v>
      </c>
      <c r="C37" s="56"/>
      <c r="D37" s="30"/>
      <c r="E37" s="2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  <c r="AF37" s="30"/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  <c r="AR37" s="30"/>
      <c r="AS37" s="30"/>
      <c r="AT37" s="30"/>
      <c r="AU37" s="30"/>
      <c r="AV37" s="30"/>
      <c r="AW37" s="30"/>
      <c r="AX37" s="30"/>
      <c r="AY37" s="30"/>
      <c r="AZ37" s="30"/>
      <c r="BA37" s="30"/>
      <c r="BB37" s="30"/>
      <c r="BC37" s="30"/>
      <c r="BD37" s="30"/>
      <c r="BE37" s="30"/>
      <c r="BF37" s="30"/>
      <c r="BG37" s="30"/>
      <c r="BH37" s="33"/>
      <c r="BI37" s="30"/>
      <c r="BJ37" s="30"/>
      <c r="BK37" s="30"/>
      <c r="BL37" s="30"/>
      <c r="BM37" s="30"/>
      <c r="BN37" s="30"/>
      <c r="BO37" s="30"/>
      <c r="BP37" s="30"/>
      <c r="BQ37" s="30"/>
      <c r="BR37" s="30"/>
      <c r="BS37" s="30"/>
      <c r="BT37" s="30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0"/>
      <c r="CJ37" s="30"/>
      <c r="CK37" s="30"/>
      <c r="CL37" s="30"/>
      <c r="CM37" s="30"/>
      <c r="CN37" s="30"/>
      <c r="CO37" s="30"/>
      <c r="CP37" s="30"/>
      <c r="CQ37" s="30"/>
      <c r="CR37" s="30"/>
      <c r="CS37" s="30"/>
      <c r="CT37" s="30"/>
      <c r="CU37" s="30"/>
      <c r="CV37" s="30"/>
      <c r="CW37" s="30"/>
      <c r="CX37" s="30"/>
      <c r="CY37" s="30"/>
      <c r="CZ37" s="30"/>
      <c r="DA37" s="30"/>
      <c r="DB37" s="30"/>
      <c r="DC37" s="30"/>
      <c r="DD37" s="30"/>
      <c r="DE37" s="30"/>
      <c r="DF37" s="30"/>
      <c r="DG37" s="30"/>
      <c r="DH37" s="30"/>
      <c r="DI37" s="30"/>
      <c r="DJ37" s="30"/>
      <c r="DK37" s="30"/>
      <c r="DL37" s="30"/>
      <c r="DM37" s="30"/>
      <c r="DN37" s="30"/>
      <c r="DO37" s="30"/>
      <c r="DP37" s="30"/>
      <c r="DQ37" s="30"/>
    </row>
    <row r="38" spans="2:121" s="4" customFormat="1" ht="14.1" x14ac:dyDescent="0.3">
      <c r="B38" s="53">
        <v>3</v>
      </c>
      <c r="C38" s="56"/>
      <c r="D38" s="30"/>
      <c r="E38" s="20"/>
      <c r="F38" s="30"/>
      <c r="G38" s="30"/>
      <c r="H38" s="30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0"/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  <c r="AR38" s="30"/>
      <c r="AS38" s="30"/>
      <c r="AT38" s="30"/>
      <c r="AU38" s="30"/>
      <c r="AV38" s="30"/>
      <c r="AW38" s="30"/>
      <c r="AX38" s="30"/>
      <c r="AY38" s="30"/>
      <c r="AZ38" s="30"/>
      <c r="BA38" s="30"/>
      <c r="BB38" s="30"/>
      <c r="BC38" s="30"/>
      <c r="BD38" s="30"/>
      <c r="BE38" s="30"/>
      <c r="BF38" s="30"/>
      <c r="BG38" s="30"/>
      <c r="BH38" s="33"/>
      <c r="BI38" s="30"/>
      <c r="BJ38" s="30"/>
      <c r="BK38" s="30"/>
      <c r="BL38" s="30"/>
      <c r="BM38" s="30"/>
      <c r="BN38" s="30"/>
      <c r="BO38" s="30"/>
      <c r="BP38" s="30"/>
      <c r="BQ38" s="30"/>
      <c r="BR38" s="30"/>
      <c r="BS38" s="30"/>
      <c r="BT38" s="30"/>
      <c r="BU38" s="30"/>
      <c r="BV38" s="30"/>
      <c r="BW38" s="30"/>
      <c r="BX38" s="30"/>
      <c r="BY38" s="30"/>
      <c r="BZ38" s="30"/>
      <c r="CA38" s="30"/>
      <c r="CB38" s="30"/>
      <c r="CC38" s="30"/>
      <c r="CD38" s="30"/>
      <c r="CE38" s="30"/>
      <c r="CF38" s="30"/>
      <c r="CG38" s="30"/>
      <c r="CH38" s="30"/>
      <c r="CI38" s="30"/>
      <c r="CJ38" s="30"/>
      <c r="CK38" s="30"/>
      <c r="CL38" s="30"/>
      <c r="CM38" s="30"/>
      <c r="CN38" s="30"/>
      <c r="CO38" s="30"/>
      <c r="CP38" s="30"/>
      <c r="CQ38" s="30"/>
      <c r="CR38" s="30"/>
      <c r="CS38" s="30"/>
      <c r="CT38" s="30"/>
      <c r="CU38" s="30"/>
      <c r="CV38" s="30"/>
      <c r="CW38" s="30"/>
      <c r="CX38" s="30"/>
      <c r="CY38" s="30"/>
      <c r="CZ38" s="30"/>
      <c r="DA38" s="30"/>
      <c r="DB38" s="30"/>
      <c r="DC38" s="30"/>
      <c r="DD38" s="30"/>
      <c r="DE38" s="30"/>
      <c r="DF38" s="30"/>
      <c r="DG38" s="30"/>
      <c r="DH38" s="30"/>
      <c r="DI38" s="30"/>
      <c r="DJ38" s="30"/>
      <c r="DK38" s="30"/>
      <c r="DL38" s="30"/>
      <c r="DM38" s="30"/>
      <c r="DN38" s="30"/>
      <c r="DO38" s="30"/>
      <c r="DP38" s="30"/>
      <c r="DQ38" s="30"/>
    </row>
    <row r="39" spans="2:121" s="4" customFormat="1" ht="14.1" x14ac:dyDescent="0.3">
      <c r="B39" s="54"/>
      <c r="C39" s="55" t="s">
        <v>10</v>
      </c>
      <c r="D39" s="30"/>
      <c r="E39" s="20"/>
      <c r="F39" s="30"/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0"/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  <c r="AR39" s="30"/>
      <c r="AS39" s="30"/>
      <c r="AT39" s="30"/>
      <c r="AU39" s="30"/>
      <c r="AV39" s="30"/>
      <c r="AW39" s="30"/>
      <c r="AX39" s="30"/>
      <c r="AY39" s="30"/>
      <c r="AZ39" s="30"/>
      <c r="BA39" s="30"/>
      <c r="BB39" s="30"/>
      <c r="BC39" s="30"/>
      <c r="BD39" s="30"/>
      <c r="BE39" s="30"/>
      <c r="BF39" s="30"/>
      <c r="BG39" s="30"/>
      <c r="BH39" s="33"/>
      <c r="BI39" s="30"/>
      <c r="BJ39" s="30"/>
      <c r="BK39" s="30"/>
      <c r="BL39" s="30"/>
      <c r="BM39" s="30"/>
      <c r="BN39" s="30"/>
      <c r="BO39" s="30"/>
      <c r="BP39" s="30"/>
      <c r="BQ39" s="30"/>
      <c r="BR39" s="30"/>
      <c r="BS39" s="30"/>
      <c r="BT39" s="30"/>
      <c r="BU39" s="30"/>
      <c r="BV39" s="30"/>
      <c r="BW39" s="30"/>
      <c r="BX39" s="30"/>
      <c r="BY39" s="30"/>
      <c r="BZ39" s="30"/>
      <c r="CA39" s="30"/>
      <c r="CB39" s="30"/>
      <c r="CC39" s="30"/>
      <c r="CD39" s="30"/>
      <c r="CE39" s="30"/>
      <c r="CF39" s="30"/>
      <c r="CG39" s="30"/>
      <c r="CH39" s="30"/>
      <c r="CI39" s="30"/>
      <c r="CJ39" s="30"/>
      <c r="CK39" s="30"/>
      <c r="CL39" s="30"/>
      <c r="CM39" s="30"/>
      <c r="CN39" s="30"/>
      <c r="CO39" s="30"/>
      <c r="CP39" s="30"/>
      <c r="CQ39" s="30"/>
      <c r="CR39" s="30"/>
      <c r="CS39" s="30"/>
      <c r="CT39" s="30"/>
      <c r="CU39" s="30"/>
      <c r="CV39" s="30"/>
      <c r="CW39" s="30"/>
      <c r="CX39" s="30"/>
      <c r="CY39" s="30"/>
      <c r="CZ39" s="30"/>
      <c r="DA39" s="30"/>
      <c r="DB39" s="30"/>
      <c r="DC39" s="30"/>
      <c r="DD39" s="30"/>
      <c r="DE39" s="30"/>
      <c r="DF39" s="30"/>
      <c r="DG39" s="30"/>
      <c r="DH39" s="30"/>
      <c r="DI39" s="30"/>
      <c r="DJ39" s="30"/>
      <c r="DK39" s="30"/>
      <c r="DL39" s="30"/>
      <c r="DM39" s="30"/>
      <c r="DN39" s="30"/>
      <c r="DO39" s="30"/>
      <c r="DP39" s="30"/>
      <c r="DQ39" s="30"/>
    </row>
    <row r="40" spans="2:121" s="4" customFormat="1" ht="14.1" x14ac:dyDescent="0.3">
      <c r="B40" s="53">
        <v>1</v>
      </c>
      <c r="C40" s="56"/>
      <c r="D40" s="30"/>
      <c r="E40" s="20"/>
      <c r="F40" s="30"/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0"/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  <c r="AR40" s="30"/>
      <c r="AS40" s="30"/>
      <c r="AT40" s="30"/>
      <c r="AU40" s="30"/>
      <c r="AV40" s="30"/>
      <c r="AW40" s="30"/>
      <c r="AX40" s="30"/>
      <c r="AY40" s="30"/>
      <c r="AZ40" s="30"/>
      <c r="BA40" s="30"/>
      <c r="BB40" s="30"/>
      <c r="BC40" s="30"/>
      <c r="BD40" s="30"/>
      <c r="BE40" s="30"/>
      <c r="BF40" s="30"/>
      <c r="BG40" s="30"/>
      <c r="BH40" s="33"/>
      <c r="BI40" s="30"/>
      <c r="BJ40" s="30"/>
      <c r="BK40" s="30"/>
      <c r="BL40" s="30"/>
      <c r="BM40" s="30"/>
      <c r="BN40" s="30"/>
      <c r="BO40" s="30"/>
      <c r="BP40" s="30"/>
      <c r="BQ40" s="30"/>
      <c r="BR40" s="30"/>
      <c r="BS40" s="30"/>
      <c r="BT40" s="30"/>
      <c r="BU40" s="30"/>
      <c r="BV40" s="30"/>
      <c r="BW40" s="30"/>
      <c r="BX40" s="30"/>
      <c r="BY40" s="30"/>
      <c r="BZ40" s="30"/>
      <c r="CA40" s="30"/>
      <c r="CB40" s="30"/>
      <c r="CC40" s="30"/>
      <c r="CD40" s="30"/>
      <c r="CE40" s="30"/>
      <c r="CF40" s="30"/>
      <c r="CG40" s="30"/>
      <c r="CH40" s="30"/>
      <c r="CI40" s="30"/>
      <c r="CJ40" s="30"/>
      <c r="CK40" s="30"/>
      <c r="CL40" s="30"/>
      <c r="CM40" s="30"/>
      <c r="CN40" s="30"/>
      <c r="CO40" s="30"/>
      <c r="CP40" s="30"/>
      <c r="CQ40" s="30"/>
      <c r="CR40" s="30"/>
      <c r="CS40" s="30"/>
      <c r="CT40" s="30"/>
      <c r="CU40" s="30"/>
      <c r="CV40" s="30"/>
      <c r="CW40" s="30"/>
      <c r="CX40" s="30"/>
      <c r="CY40" s="30"/>
      <c r="CZ40" s="30"/>
      <c r="DA40" s="30"/>
      <c r="DB40" s="30"/>
      <c r="DC40" s="30"/>
      <c r="DD40" s="30"/>
      <c r="DE40" s="30"/>
      <c r="DF40" s="30"/>
      <c r="DG40" s="30"/>
      <c r="DH40" s="30"/>
      <c r="DI40" s="30"/>
      <c r="DJ40" s="30"/>
      <c r="DK40" s="30"/>
      <c r="DL40" s="30"/>
      <c r="DM40" s="30"/>
      <c r="DN40" s="30"/>
      <c r="DO40" s="30"/>
      <c r="DP40" s="30"/>
      <c r="DQ40" s="30"/>
    </row>
    <row r="41" spans="2:121" s="4" customFormat="1" ht="14.1" x14ac:dyDescent="0.3">
      <c r="B41" s="53">
        <v>2</v>
      </c>
      <c r="C41" s="56"/>
      <c r="D41" s="30"/>
      <c r="E41" s="20"/>
      <c r="F41" s="30"/>
      <c r="G41" s="30"/>
      <c r="H41" s="30"/>
      <c r="I41" s="30"/>
      <c r="J41" s="30"/>
      <c r="K41" s="30"/>
      <c r="L41" s="30"/>
      <c r="M41" s="30"/>
      <c r="N41" s="30"/>
      <c r="O41" s="30"/>
      <c r="P41" s="30"/>
      <c r="Q41" s="30"/>
      <c r="R41" s="30"/>
      <c r="S41" s="30"/>
      <c r="T41" s="30"/>
      <c r="U41" s="30"/>
      <c r="V41" s="30"/>
      <c r="W41" s="30"/>
      <c r="X41" s="30"/>
      <c r="Y41" s="30"/>
      <c r="Z41" s="30"/>
      <c r="AA41" s="30"/>
      <c r="AB41" s="30"/>
      <c r="AC41" s="30"/>
      <c r="AD41" s="30"/>
      <c r="AE41" s="30"/>
      <c r="AF41" s="30"/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  <c r="AR41" s="30"/>
      <c r="AS41" s="30"/>
      <c r="AT41" s="30"/>
      <c r="AU41" s="30"/>
      <c r="AV41" s="30"/>
      <c r="AW41" s="30"/>
      <c r="AX41" s="30"/>
      <c r="AY41" s="30"/>
      <c r="AZ41" s="30"/>
      <c r="BA41" s="30"/>
      <c r="BB41" s="30"/>
      <c r="BC41" s="30"/>
      <c r="BD41" s="30"/>
      <c r="BE41" s="30"/>
      <c r="BF41" s="30"/>
      <c r="BG41" s="30"/>
      <c r="BH41" s="33"/>
      <c r="BI41" s="30"/>
      <c r="BJ41" s="30"/>
      <c r="BK41" s="30"/>
      <c r="BL41" s="30"/>
      <c r="BM41" s="30"/>
      <c r="BN41" s="30"/>
      <c r="BO41" s="30"/>
      <c r="BP41" s="30"/>
      <c r="BQ41" s="30"/>
      <c r="BR41" s="30"/>
      <c r="BS41" s="30"/>
      <c r="BT41" s="30"/>
      <c r="BU41" s="30"/>
      <c r="BV41" s="30"/>
      <c r="BW41" s="30"/>
      <c r="BX41" s="30"/>
      <c r="BY41" s="30"/>
      <c r="BZ41" s="30"/>
      <c r="CA41" s="30"/>
      <c r="CB41" s="30"/>
      <c r="CC41" s="30"/>
      <c r="CD41" s="30"/>
      <c r="CE41" s="30"/>
      <c r="CF41" s="30"/>
      <c r="CG41" s="30"/>
      <c r="CH41" s="30"/>
      <c r="CI41" s="30"/>
      <c r="CJ41" s="30"/>
      <c r="CK41" s="30"/>
      <c r="CL41" s="30"/>
      <c r="CM41" s="30"/>
      <c r="CN41" s="30"/>
      <c r="CO41" s="30"/>
      <c r="CP41" s="30"/>
      <c r="CQ41" s="30"/>
      <c r="CR41" s="30"/>
      <c r="CS41" s="30"/>
      <c r="CT41" s="30"/>
      <c r="CU41" s="30"/>
      <c r="CV41" s="30"/>
      <c r="CW41" s="30"/>
      <c r="CX41" s="30"/>
      <c r="CY41" s="30"/>
      <c r="CZ41" s="30"/>
      <c r="DA41" s="30"/>
      <c r="DB41" s="30"/>
      <c r="DC41" s="30"/>
      <c r="DD41" s="30"/>
      <c r="DE41" s="30"/>
      <c r="DF41" s="30"/>
      <c r="DG41" s="30"/>
      <c r="DH41" s="30"/>
      <c r="DI41" s="30"/>
      <c r="DJ41" s="30"/>
      <c r="DK41" s="30"/>
      <c r="DL41" s="30"/>
      <c r="DM41" s="30"/>
      <c r="DN41" s="30"/>
      <c r="DO41" s="30"/>
      <c r="DP41" s="30"/>
      <c r="DQ41" s="30"/>
    </row>
    <row r="42" spans="2:121" s="4" customFormat="1" ht="14.1" x14ac:dyDescent="0.3">
      <c r="B42" s="53">
        <v>3</v>
      </c>
      <c r="C42" s="56"/>
      <c r="D42" s="30"/>
      <c r="E42" s="20"/>
      <c r="F42" s="30"/>
      <c r="G42" s="30"/>
      <c r="H42" s="30"/>
      <c r="I42" s="30"/>
      <c r="J42" s="30"/>
      <c r="K42" s="30"/>
      <c r="L42" s="30"/>
      <c r="M42" s="30"/>
      <c r="N42" s="30"/>
      <c r="O42" s="30"/>
      <c r="P42" s="30"/>
      <c r="Q42" s="30"/>
      <c r="R42" s="30"/>
      <c r="S42" s="30"/>
      <c r="T42" s="30"/>
      <c r="U42" s="30"/>
      <c r="V42" s="30"/>
      <c r="W42" s="30"/>
      <c r="X42" s="30"/>
      <c r="Y42" s="30"/>
      <c r="Z42" s="30"/>
      <c r="AA42" s="30"/>
      <c r="AB42" s="30"/>
      <c r="AC42" s="30"/>
      <c r="AD42" s="30"/>
      <c r="AE42" s="30"/>
      <c r="AF42" s="30"/>
      <c r="AG42" s="30"/>
      <c r="AH42" s="30"/>
      <c r="AI42" s="30"/>
      <c r="AJ42" s="30"/>
      <c r="AK42" s="30"/>
      <c r="AL42" s="30"/>
      <c r="AM42" s="30"/>
      <c r="AN42" s="30"/>
      <c r="AO42" s="30"/>
      <c r="AP42" s="30"/>
      <c r="AQ42" s="30"/>
      <c r="AR42" s="30"/>
      <c r="AS42" s="30"/>
      <c r="AT42" s="30"/>
      <c r="AU42" s="30"/>
      <c r="AV42" s="30"/>
      <c r="AW42" s="30"/>
      <c r="AX42" s="30"/>
      <c r="AY42" s="30"/>
      <c r="AZ42" s="30"/>
      <c r="BA42" s="30"/>
      <c r="BB42" s="30"/>
      <c r="BC42" s="30"/>
      <c r="BD42" s="30"/>
      <c r="BE42" s="30"/>
      <c r="BF42" s="30"/>
      <c r="BG42" s="30"/>
      <c r="BH42" s="33"/>
      <c r="BI42" s="30"/>
      <c r="BJ42" s="30"/>
      <c r="BK42" s="30"/>
      <c r="BL42" s="30"/>
      <c r="BM42" s="30"/>
      <c r="BN42" s="30"/>
      <c r="BO42" s="30"/>
      <c r="BP42" s="30"/>
      <c r="BQ42" s="30"/>
      <c r="BR42" s="30"/>
      <c r="BS42" s="30"/>
      <c r="BT42" s="30"/>
      <c r="BU42" s="30"/>
      <c r="BV42" s="30"/>
      <c r="BW42" s="30"/>
      <c r="BX42" s="30"/>
      <c r="BY42" s="30"/>
      <c r="BZ42" s="30"/>
      <c r="CA42" s="30"/>
      <c r="CB42" s="30"/>
      <c r="CC42" s="30"/>
      <c r="CD42" s="30"/>
      <c r="CE42" s="30"/>
      <c r="CF42" s="30"/>
      <c r="CG42" s="30"/>
      <c r="CH42" s="30"/>
      <c r="CI42" s="30"/>
      <c r="CJ42" s="30"/>
      <c r="CK42" s="30"/>
      <c r="CL42" s="30"/>
      <c r="CM42" s="30"/>
      <c r="CN42" s="30"/>
      <c r="CO42" s="30"/>
      <c r="CP42" s="30"/>
      <c r="CQ42" s="30"/>
      <c r="CR42" s="30"/>
      <c r="CS42" s="30"/>
      <c r="CT42" s="30"/>
      <c r="CU42" s="30"/>
      <c r="CV42" s="30"/>
      <c r="CW42" s="30"/>
      <c r="CX42" s="30"/>
      <c r="CY42" s="30"/>
      <c r="CZ42" s="30"/>
      <c r="DA42" s="30"/>
      <c r="DB42" s="30"/>
      <c r="DC42" s="30"/>
      <c r="DD42" s="30"/>
      <c r="DE42" s="30"/>
      <c r="DF42" s="30"/>
      <c r="DG42" s="30"/>
      <c r="DH42" s="30"/>
      <c r="DI42" s="30"/>
      <c r="DJ42" s="30"/>
      <c r="DK42" s="30"/>
      <c r="DL42" s="30"/>
      <c r="DM42" s="30"/>
      <c r="DN42" s="30"/>
      <c r="DO42" s="30"/>
      <c r="DP42" s="30"/>
      <c r="DQ42" s="30"/>
    </row>
    <row r="43" spans="2:121" s="4" customFormat="1" ht="14.1" x14ac:dyDescent="0.3">
      <c r="B43" s="54"/>
      <c r="C43" s="55" t="s">
        <v>99</v>
      </c>
      <c r="D43" s="30"/>
      <c r="E43" s="20"/>
      <c r="F43" s="30"/>
      <c r="G43" s="30"/>
      <c r="H43" s="30"/>
      <c r="I43" s="30"/>
      <c r="J43" s="30"/>
      <c r="K43" s="30"/>
      <c r="L43" s="30"/>
      <c r="M43" s="30"/>
      <c r="N43" s="30"/>
      <c r="O43" s="30"/>
      <c r="P43" s="30"/>
      <c r="Q43" s="30"/>
      <c r="R43" s="30"/>
      <c r="S43" s="30"/>
      <c r="T43" s="30"/>
      <c r="U43" s="30"/>
      <c r="V43" s="30"/>
      <c r="W43" s="30"/>
      <c r="X43" s="30"/>
      <c r="Y43" s="30"/>
      <c r="Z43" s="30"/>
      <c r="AA43" s="30"/>
      <c r="AB43" s="30"/>
      <c r="AC43" s="30"/>
      <c r="AD43" s="30"/>
      <c r="AE43" s="30"/>
      <c r="AF43" s="30"/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  <c r="AR43" s="30"/>
      <c r="AS43" s="30"/>
      <c r="AT43" s="30"/>
      <c r="AU43" s="30"/>
      <c r="AV43" s="30"/>
      <c r="AW43" s="30"/>
      <c r="AX43" s="30"/>
      <c r="AY43" s="30"/>
      <c r="AZ43" s="30"/>
      <c r="BA43" s="30"/>
      <c r="BB43" s="30"/>
      <c r="BC43" s="30"/>
      <c r="BD43" s="30"/>
      <c r="BE43" s="30"/>
      <c r="BF43" s="30"/>
      <c r="BG43" s="30"/>
      <c r="BH43" s="33"/>
      <c r="BI43" s="30"/>
      <c r="BJ43" s="30"/>
      <c r="BK43" s="30"/>
      <c r="BL43" s="30"/>
      <c r="BM43" s="30"/>
      <c r="BN43" s="30"/>
      <c r="BO43" s="30"/>
      <c r="BP43" s="30"/>
      <c r="BQ43" s="30"/>
      <c r="BR43" s="30"/>
      <c r="BS43" s="30"/>
      <c r="BT43" s="30"/>
      <c r="BU43" s="30"/>
      <c r="BV43" s="30"/>
      <c r="BW43" s="30"/>
      <c r="BX43" s="30"/>
      <c r="BY43" s="30"/>
      <c r="BZ43" s="30"/>
      <c r="CA43" s="30"/>
      <c r="CB43" s="30"/>
      <c r="CC43" s="30"/>
      <c r="CD43" s="30"/>
      <c r="CE43" s="30"/>
      <c r="CF43" s="30"/>
      <c r="CG43" s="30"/>
      <c r="CH43" s="30"/>
      <c r="CI43" s="30"/>
      <c r="CJ43" s="30"/>
      <c r="CK43" s="30"/>
      <c r="CL43" s="30"/>
      <c r="CM43" s="30"/>
      <c r="CN43" s="30"/>
      <c r="CO43" s="30"/>
      <c r="CP43" s="30"/>
      <c r="CQ43" s="30"/>
      <c r="CR43" s="30"/>
      <c r="CS43" s="30"/>
      <c r="CT43" s="30"/>
      <c r="CU43" s="30"/>
      <c r="CV43" s="30"/>
      <c r="CW43" s="30"/>
      <c r="CX43" s="30"/>
      <c r="CY43" s="30"/>
      <c r="CZ43" s="30"/>
      <c r="DA43" s="30"/>
      <c r="DB43" s="30"/>
      <c r="DC43" s="30"/>
      <c r="DD43" s="30"/>
      <c r="DE43" s="30"/>
      <c r="DF43" s="30"/>
      <c r="DG43" s="30"/>
      <c r="DH43" s="30"/>
      <c r="DI43" s="30"/>
      <c r="DJ43" s="30"/>
      <c r="DK43" s="30"/>
      <c r="DL43" s="30"/>
      <c r="DM43" s="30"/>
      <c r="DN43" s="30"/>
      <c r="DO43" s="30"/>
      <c r="DP43" s="30"/>
      <c r="DQ43" s="30"/>
    </row>
    <row r="44" spans="2:121" s="4" customFormat="1" ht="14.1" x14ac:dyDescent="0.3">
      <c r="B44" s="53">
        <v>1</v>
      </c>
      <c r="C44" s="56"/>
      <c r="D44" s="30"/>
      <c r="E44" s="20"/>
      <c r="F44" s="30"/>
      <c r="G44" s="30"/>
      <c r="H44" s="30"/>
      <c r="I44" s="30"/>
      <c r="J44" s="30"/>
      <c r="K44" s="30"/>
      <c r="L44" s="30"/>
      <c r="M44" s="30"/>
      <c r="N44" s="30"/>
      <c r="O44" s="30"/>
      <c r="P44" s="30"/>
      <c r="Q44" s="30"/>
      <c r="R44" s="30"/>
      <c r="S44" s="30"/>
      <c r="T44" s="30"/>
      <c r="U44" s="30"/>
      <c r="V44" s="30"/>
      <c r="W44" s="30"/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  <c r="AR44" s="30"/>
      <c r="AS44" s="30"/>
      <c r="AT44" s="30"/>
      <c r="AU44" s="30"/>
      <c r="AV44" s="30"/>
      <c r="AW44" s="30"/>
      <c r="AX44" s="30"/>
      <c r="AY44" s="30"/>
      <c r="AZ44" s="30"/>
      <c r="BA44" s="30"/>
      <c r="BB44" s="30"/>
      <c r="BC44" s="30"/>
      <c r="BD44" s="30"/>
      <c r="BE44" s="30"/>
      <c r="BF44" s="30"/>
      <c r="BG44" s="30"/>
      <c r="BH44" s="33"/>
      <c r="BI44" s="30"/>
      <c r="BJ44" s="30"/>
      <c r="BK44" s="30"/>
      <c r="BL44" s="30"/>
      <c r="BM44" s="30"/>
      <c r="BN44" s="30"/>
      <c r="BO44" s="30"/>
      <c r="BP44" s="30"/>
      <c r="BQ44" s="30"/>
      <c r="BR44" s="30"/>
      <c r="BS44" s="30"/>
      <c r="BT44" s="30"/>
      <c r="BU44" s="30"/>
      <c r="BV44" s="30"/>
      <c r="BW44" s="30"/>
      <c r="BX44" s="30"/>
      <c r="BY44" s="30"/>
      <c r="BZ44" s="30"/>
      <c r="CA44" s="30"/>
      <c r="CB44" s="30"/>
      <c r="CC44" s="30"/>
      <c r="CD44" s="30"/>
      <c r="CE44" s="30"/>
      <c r="CF44" s="30"/>
      <c r="CG44" s="30"/>
      <c r="CH44" s="30"/>
      <c r="CI44" s="30"/>
      <c r="CJ44" s="30"/>
      <c r="CK44" s="30"/>
      <c r="CL44" s="30"/>
      <c r="CM44" s="30"/>
      <c r="CN44" s="30"/>
      <c r="CO44" s="30"/>
      <c r="CP44" s="30"/>
      <c r="CQ44" s="30"/>
      <c r="CR44" s="30"/>
      <c r="CS44" s="30"/>
      <c r="CT44" s="30"/>
      <c r="CU44" s="30"/>
      <c r="CV44" s="30"/>
      <c r="CW44" s="30"/>
      <c r="CX44" s="30"/>
      <c r="CY44" s="30"/>
      <c r="CZ44" s="30"/>
      <c r="DA44" s="30"/>
      <c r="DB44" s="30"/>
      <c r="DC44" s="30"/>
      <c r="DD44" s="30"/>
      <c r="DE44" s="30"/>
      <c r="DF44" s="30"/>
      <c r="DG44" s="30"/>
      <c r="DH44" s="30"/>
      <c r="DI44" s="30"/>
      <c r="DJ44" s="30"/>
      <c r="DK44" s="30"/>
      <c r="DL44" s="30"/>
      <c r="DM44" s="30"/>
      <c r="DN44" s="30"/>
      <c r="DO44" s="30"/>
      <c r="DP44" s="30"/>
      <c r="DQ44" s="30"/>
    </row>
    <row r="45" spans="2:121" s="4" customFormat="1" ht="14.1" x14ac:dyDescent="0.3">
      <c r="B45" s="53">
        <v>2</v>
      </c>
      <c r="C45" s="56"/>
      <c r="D45" s="30"/>
      <c r="E45" s="20"/>
      <c r="F45" s="30"/>
      <c r="G45" s="30"/>
      <c r="H45" s="30"/>
      <c r="I45" s="30"/>
      <c r="J45" s="30"/>
      <c r="K45" s="30"/>
      <c r="L45" s="30"/>
      <c r="M45" s="30"/>
      <c r="N45" s="30"/>
      <c r="O45" s="30"/>
      <c r="P45" s="30"/>
      <c r="Q45" s="30"/>
      <c r="R45" s="30"/>
      <c r="S45" s="30"/>
      <c r="T45" s="30"/>
      <c r="U45" s="30"/>
      <c r="V45" s="30"/>
      <c r="W45" s="30"/>
      <c r="X45" s="30"/>
      <c r="Y45" s="30"/>
      <c r="Z45" s="30"/>
      <c r="AA45" s="30"/>
      <c r="AB45" s="30"/>
      <c r="AC45" s="30"/>
      <c r="AD45" s="30"/>
      <c r="AE45" s="30"/>
      <c r="AF45" s="30"/>
      <c r="AG45" s="30"/>
      <c r="AH45" s="30"/>
      <c r="AI45" s="30"/>
      <c r="AJ45" s="30"/>
      <c r="AK45" s="30"/>
      <c r="AL45" s="30"/>
      <c r="AM45" s="30"/>
      <c r="AN45" s="30"/>
      <c r="AO45" s="30"/>
      <c r="AP45" s="30"/>
      <c r="AQ45" s="30"/>
      <c r="AR45" s="30"/>
      <c r="AS45" s="30"/>
      <c r="AT45" s="30"/>
      <c r="AU45" s="30"/>
      <c r="AV45" s="30"/>
      <c r="AW45" s="30"/>
      <c r="AX45" s="30"/>
      <c r="AY45" s="30"/>
      <c r="AZ45" s="30"/>
      <c r="BA45" s="30"/>
      <c r="BB45" s="30"/>
      <c r="BC45" s="30"/>
      <c r="BD45" s="30"/>
      <c r="BE45" s="30"/>
      <c r="BF45" s="30"/>
      <c r="BG45" s="30"/>
      <c r="BH45" s="33"/>
      <c r="BI45" s="30"/>
      <c r="BJ45" s="30"/>
      <c r="BK45" s="30"/>
      <c r="BL45" s="30"/>
      <c r="BM45" s="30"/>
      <c r="BN45" s="30"/>
      <c r="BO45" s="30"/>
      <c r="BP45" s="30"/>
      <c r="BQ45" s="30"/>
      <c r="BR45" s="30"/>
      <c r="BS45" s="30"/>
      <c r="BT45" s="30"/>
      <c r="BU45" s="30"/>
      <c r="BV45" s="30"/>
      <c r="BW45" s="30"/>
      <c r="BX45" s="30"/>
      <c r="BY45" s="30"/>
      <c r="BZ45" s="30"/>
      <c r="CA45" s="30"/>
      <c r="CB45" s="30"/>
      <c r="CC45" s="30"/>
      <c r="CD45" s="30"/>
      <c r="CE45" s="30"/>
      <c r="CF45" s="30"/>
      <c r="CG45" s="30"/>
      <c r="CH45" s="30"/>
      <c r="CI45" s="30"/>
      <c r="CJ45" s="30"/>
      <c r="CK45" s="30"/>
      <c r="CL45" s="30"/>
      <c r="CM45" s="30"/>
      <c r="CN45" s="30"/>
      <c r="CO45" s="30"/>
      <c r="CP45" s="30"/>
      <c r="CQ45" s="30"/>
      <c r="CR45" s="30"/>
      <c r="CS45" s="30"/>
      <c r="CT45" s="30"/>
      <c r="CU45" s="30"/>
      <c r="CV45" s="30"/>
      <c r="CW45" s="30"/>
      <c r="CX45" s="30"/>
      <c r="CY45" s="30"/>
      <c r="CZ45" s="30"/>
      <c r="DA45" s="30"/>
      <c r="DB45" s="30"/>
      <c r="DC45" s="30"/>
      <c r="DD45" s="30"/>
      <c r="DE45" s="30"/>
      <c r="DF45" s="30"/>
      <c r="DG45" s="30"/>
      <c r="DH45" s="30"/>
      <c r="DI45" s="30"/>
      <c r="DJ45" s="30"/>
      <c r="DK45" s="30"/>
      <c r="DL45" s="30"/>
      <c r="DM45" s="30"/>
      <c r="DN45" s="30"/>
      <c r="DO45" s="30"/>
      <c r="DP45" s="30"/>
      <c r="DQ45" s="30"/>
    </row>
    <row r="46" spans="2:121" s="4" customFormat="1" ht="14.1" x14ac:dyDescent="0.3">
      <c r="B46" s="53">
        <v>3</v>
      </c>
      <c r="C46" s="56"/>
      <c r="D46" s="30"/>
      <c r="E46" s="20"/>
      <c r="F46" s="30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  <c r="R46" s="30"/>
      <c r="S46" s="30"/>
      <c r="T46" s="30"/>
      <c r="U46" s="30"/>
      <c r="V46" s="30"/>
      <c r="W46" s="30"/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  <c r="AR46" s="30"/>
      <c r="AS46" s="30"/>
      <c r="AT46" s="30"/>
      <c r="AU46" s="30"/>
      <c r="AV46" s="30"/>
      <c r="AW46" s="30"/>
      <c r="AX46" s="30"/>
      <c r="AY46" s="30"/>
      <c r="AZ46" s="30"/>
      <c r="BA46" s="30"/>
      <c r="BB46" s="30"/>
      <c r="BC46" s="30"/>
      <c r="BD46" s="30"/>
      <c r="BE46" s="30"/>
      <c r="BF46" s="30"/>
      <c r="BG46" s="30"/>
      <c r="BH46" s="33"/>
      <c r="BI46" s="30"/>
      <c r="BJ46" s="30"/>
      <c r="BK46" s="30"/>
      <c r="BL46" s="30"/>
      <c r="BM46" s="30"/>
      <c r="BN46" s="30"/>
      <c r="BO46" s="30"/>
      <c r="BP46" s="30"/>
      <c r="BQ46" s="30"/>
      <c r="BR46" s="30"/>
      <c r="BS46" s="30"/>
      <c r="BT46" s="30"/>
      <c r="BU46" s="30"/>
      <c r="BV46" s="30"/>
      <c r="BW46" s="30"/>
      <c r="BX46" s="30"/>
      <c r="BY46" s="30"/>
      <c r="BZ46" s="30"/>
      <c r="CA46" s="30"/>
      <c r="CB46" s="30"/>
      <c r="CC46" s="30"/>
      <c r="CD46" s="30"/>
      <c r="CE46" s="30"/>
      <c r="CF46" s="30"/>
      <c r="CG46" s="30"/>
      <c r="CH46" s="30"/>
      <c r="CI46" s="30"/>
      <c r="CJ46" s="30"/>
      <c r="CK46" s="30"/>
      <c r="CL46" s="30"/>
      <c r="CM46" s="30"/>
      <c r="CN46" s="30"/>
      <c r="CO46" s="30"/>
      <c r="CP46" s="30"/>
      <c r="CQ46" s="30"/>
      <c r="CR46" s="30"/>
      <c r="CS46" s="30"/>
      <c r="CT46" s="30"/>
      <c r="CU46" s="30"/>
      <c r="CV46" s="30"/>
      <c r="CW46" s="30"/>
      <c r="CX46" s="30"/>
      <c r="CY46" s="30"/>
      <c r="CZ46" s="30"/>
      <c r="DA46" s="30"/>
      <c r="DB46" s="30"/>
      <c r="DC46" s="30"/>
      <c r="DD46" s="30"/>
      <c r="DE46" s="30"/>
      <c r="DF46" s="30"/>
      <c r="DG46" s="30"/>
      <c r="DH46" s="30"/>
      <c r="DI46" s="30"/>
      <c r="DJ46" s="30"/>
      <c r="DK46" s="30"/>
      <c r="DL46" s="30"/>
      <c r="DM46" s="30"/>
      <c r="DN46" s="30"/>
      <c r="DO46" s="30"/>
      <c r="DP46" s="30"/>
      <c r="DQ46" s="30"/>
    </row>
    <row r="47" spans="2:121" s="4" customFormat="1" ht="14.1" x14ac:dyDescent="0.3">
      <c r="B47" s="54"/>
      <c r="C47" s="55" t="s">
        <v>27</v>
      </c>
      <c r="D47" s="30"/>
      <c r="E47" s="20"/>
      <c r="F47" s="30"/>
      <c r="G47" s="30"/>
      <c r="H47" s="30"/>
      <c r="I47" s="30"/>
      <c r="J47" s="30"/>
      <c r="K47" s="30"/>
      <c r="L47" s="30"/>
      <c r="M47" s="30"/>
      <c r="N47" s="30"/>
      <c r="O47" s="30"/>
      <c r="P47" s="30"/>
      <c r="Q47" s="30"/>
      <c r="R47" s="30"/>
      <c r="S47" s="30"/>
      <c r="T47" s="30"/>
      <c r="U47" s="30"/>
      <c r="V47" s="30"/>
      <c r="W47" s="30"/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  <c r="AR47" s="30"/>
      <c r="AS47" s="30"/>
      <c r="AT47" s="30"/>
      <c r="AU47" s="30"/>
      <c r="AV47" s="30"/>
      <c r="AW47" s="30"/>
      <c r="AX47" s="30"/>
      <c r="AY47" s="30"/>
      <c r="AZ47" s="30"/>
      <c r="BA47" s="30"/>
      <c r="BB47" s="30"/>
      <c r="BC47" s="30"/>
      <c r="BD47" s="30"/>
      <c r="BE47" s="30"/>
      <c r="BF47" s="30"/>
      <c r="BG47" s="30"/>
      <c r="BH47" s="33"/>
      <c r="BI47" s="30"/>
      <c r="BJ47" s="30"/>
      <c r="BK47" s="30"/>
      <c r="BL47" s="30"/>
      <c r="BM47" s="30"/>
      <c r="BN47" s="30"/>
      <c r="BO47" s="30"/>
      <c r="BP47" s="30"/>
      <c r="BQ47" s="30"/>
      <c r="BR47" s="30"/>
      <c r="BS47" s="30"/>
      <c r="BT47" s="30"/>
      <c r="BU47" s="30"/>
      <c r="BV47" s="30"/>
      <c r="BW47" s="30"/>
      <c r="BX47" s="30"/>
      <c r="BY47" s="30"/>
      <c r="BZ47" s="30"/>
      <c r="CA47" s="30"/>
      <c r="CB47" s="30"/>
      <c r="CC47" s="30"/>
      <c r="CD47" s="30"/>
      <c r="CE47" s="30"/>
      <c r="CF47" s="30"/>
      <c r="CG47" s="30"/>
      <c r="CH47" s="30"/>
      <c r="CI47" s="30"/>
      <c r="CJ47" s="30"/>
      <c r="CK47" s="30"/>
      <c r="CL47" s="30"/>
      <c r="CM47" s="30"/>
      <c r="CN47" s="30"/>
      <c r="CO47" s="30"/>
      <c r="CP47" s="30"/>
      <c r="CQ47" s="30"/>
      <c r="CR47" s="30"/>
      <c r="CS47" s="30"/>
      <c r="CT47" s="30"/>
      <c r="CU47" s="30"/>
      <c r="CV47" s="30"/>
      <c r="CW47" s="30"/>
      <c r="CX47" s="30"/>
      <c r="CY47" s="30"/>
      <c r="CZ47" s="30"/>
      <c r="DA47" s="30"/>
      <c r="DB47" s="30"/>
      <c r="DC47" s="30"/>
      <c r="DD47" s="30"/>
      <c r="DE47" s="30"/>
      <c r="DF47" s="30"/>
      <c r="DG47" s="30"/>
      <c r="DH47" s="30"/>
      <c r="DI47" s="30"/>
      <c r="DJ47" s="30"/>
      <c r="DK47" s="30"/>
      <c r="DL47" s="30"/>
      <c r="DM47" s="30"/>
      <c r="DN47" s="30"/>
      <c r="DO47" s="30"/>
      <c r="DP47" s="30"/>
      <c r="DQ47" s="30"/>
    </row>
    <row r="48" spans="2:121" s="4" customFormat="1" ht="14.1" x14ac:dyDescent="0.3">
      <c r="B48" s="53">
        <v>1</v>
      </c>
      <c r="C48" s="56"/>
      <c r="D48" s="30"/>
      <c r="E48" s="2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30"/>
      <c r="R48" s="30"/>
      <c r="S48" s="30"/>
      <c r="T48" s="30"/>
      <c r="U48" s="30"/>
      <c r="V48" s="30"/>
      <c r="W48" s="30"/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  <c r="AR48" s="30"/>
      <c r="AS48" s="30"/>
      <c r="AT48" s="30"/>
      <c r="AU48" s="30"/>
      <c r="AV48" s="30"/>
      <c r="AW48" s="30"/>
      <c r="AX48" s="30"/>
      <c r="AY48" s="30"/>
      <c r="AZ48" s="30"/>
      <c r="BA48" s="30"/>
      <c r="BB48" s="30"/>
      <c r="BC48" s="30"/>
      <c r="BD48" s="30"/>
      <c r="BE48" s="30"/>
      <c r="BF48" s="30"/>
      <c r="BG48" s="30"/>
      <c r="BH48" s="33"/>
      <c r="BI48" s="30"/>
      <c r="BJ48" s="30"/>
      <c r="BK48" s="30"/>
      <c r="BL48" s="30"/>
      <c r="BM48" s="30"/>
      <c r="BN48" s="30"/>
      <c r="BO48" s="30"/>
      <c r="BP48" s="30"/>
      <c r="BQ48" s="30"/>
      <c r="BR48" s="30"/>
      <c r="BS48" s="30"/>
      <c r="BT48" s="30"/>
      <c r="BU48" s="30"/>
      <c r="BV48" s="30"/>
      <c r="BW48" s="30"/>
      <c r="BX48" s="30"/>
      <c r="BY48" s="30"/>
      <c r="BZ48" s="30"/>
      <c r="CA48" s="30"/>
      <c r="CB48" s="30"/>
      <c r="CC48" s="30"/>
      <c r="CD48" s="30"/>
      <c r="CE48" s="30"/>
      <c r="CF48" s="30"/>
      <c r="CG48" s="30"/>
      <c r="CH48" s="30"/>
      <c r="CI48" s="30"/>
      <c r="CJ48" s="30"/>
      <c r="CK48" s="30"/>
      <c r="CL48" s="30"/>
      <c r="CM48" s="30"/>
      <c r="CN48" s="30"/>
      <c r="CO48" s="30"/>
      <c r="CP48" s="30"/>
      <c r="CQ48" s="30"/>
      <c r="CR48" s="30"/>
      <c r="CS48" s="30"/>
      <c r="CT48" s="30"/>
      <c r="CU48" s="30"/>
      <c r="CV48" s="30"/>
      <c r="CW48" s="30"/>
      <c r="CX48" s="30"/>
      <c r="CY48" s="30"/>
      <c r="CZ48" s="30"/>
      <c r="DA48" s="30"/>
      <c r="DB48" s="30"/>
      <c r="DC48" s="30"/>
      <c r="DD48" s="30"/>
      <c r="DE48" s="30"/>
      <c r="DF48" s="30"/>
      <c r="DG48" s="30"/>
      <c r="DH48" s="30"/>
      <c r="DI48" s="30"/>
      <c r="DJ48" s="30"/>
      <c r="DK48" s="30"/>
      <c r="DL48" s="30"/>
      <c r="DM48" s="30"/>
      <c r="DN48" s="30"/>
      <c r="DO48" s="30"/>
      <c r="DP48" s="30"/>
      <c r="DQ48" s="30"/>
    </row>
    <row r="49" spans="2:121" s="4" customFormat="1" ht="14.1" x14ac:dyDescent="0.3">
      <c r="B49" s="53">
        <v>2</v>
      </c>
      <c r="C49" s="56"/>
      <c r="D49" s="30"/>
      <c r="E49" s="20"/>
      <c r="F49" s="30"/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0"/>
      <c r="V49" s="30"/>
      <c r="W49" s="30"/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  <c r="AR49" s="30"/>
      <c r="AS49" s="30"/>
      <c r="AT49" s="30"/>
      <c r="AU49" s="30"/>
      <c r="AV49" s="30"/>
      <c r="AW49" s="30"/>
      <c r="AX49" s="30"/>
      <c r="AY49" s="30"/>
      <c r="AZ49" s="30"/>
      <c r="BA49" s="30"/>
      <c r="BB49" s="30"/>
      <c r="BC49" s="30"/>
      <c r="BD49" s="30"/>
      <c r="BE49" s="30"/>
      <c r="BF49" s="30"/>
      <c r="BG49" s="30"/>
      <c r="BH49" s="33"/>
      <c r="BI49" s="30"/>
      <c r="BJ49" s="30"/>
      <c r="BK49" s="30"/>
      <c r="BL49" s="30"/>
      <c r="BM49" s="30"/>
      <c r="BN49" s="30"/>
      <c r="BO49" s="30"/>
      <c r="BP49" s="30"/>
      <c r="BQ49" s="30"/>
      <c r="BR49" s="30"/>
      <c r="BS49" s="30"/>
      <c r="BT49" s="30"/>
      <c r="BU49" s="30"/>
      <c r="BV49" s="30"/>
      <c r="BW49" s="30"/>
      <c r="BX49" s="30"/>
      <c r="BY49" s="30"/>
      <c r="BZ49" s="30"/>
      <c r="CA49" s="30"/>
      <c r="CB49" s="30"/>
      <c r="CC49" s="30"/>
      <c r="CD49" s="30"/>
      <c r="CE49" s="30"/>
      <c r="CF49" s="30"/>
      <c r="CG49" s="30"/>
      <c r="CH49" s="30"/>
      <c r="CI49" s="30"/>
      <c r="CJ49" s="30"/>
      <c r="CK49" s="30"/>
      <c r="CL49" s="30"/>
      <c r="CM49" s="30"/>
      <c r="CN49" s="30"/>
      <c r="CO49" s="30"/>
      <c r="CP49" s="30"/>
      <c r="CQ49" s="30"/>
      <c r="CR49" s="30"/>
      <c r="CS49" s="30"/>
      <c r="CT49" s="30"/>
      <c r="CU49" s="30"/>
      <c r="CV49" s="30"/>
      <c r="CW49" s="30"/>
      <c r="CX49" s="30"/>
      <c r="CY49" s="30"/>
      <c r="CZ49" s="30"/>
      <c r="DA49" s="30"/>
      <c r="DB49" s="30"/>
      <c r="DC49" s="30"/>
      <c r="DD49" s="30"/>
      <c r="DE49" s="30"/>
      <c r="DF49" s="30"/>
      <c r="DG49" s="30"/>
      <c r="DH49" s="30"/>
      <c r="DI49" s="30"/>
      <c r="DJ49" s="30"/>
      <c r="DK49" s="30"/>
      <c r="DL49" s="30"/>
      <c r="DM49" s="30"/>
      <c r="DN49" s="30"/>
      <c r="DO49" s="30"/>
      <c r="DP49" s="30"/>
      <c r="DQ49" s="30"/>
    </row>
    <row r="50" spans="2:121" s="4" customFormat="1" ht="14.1" x14ac:dyDescent="0.3">
      <c r="B50" s="53">
        <v>3</v>
      </c>
      <c r="C50" s="56"/>
      <c r="D50" s="30"/>
      <c r="E50" s="20"/>
      <c r="F50" s="30"/>
      <c r="G50" s="30"/>
      <c r="H50" s="30"/>
      <c r="I50" s="30"/>
      <c r="J50" s="30"/>
      <c r="K50" s="30"/>
      <c r="L50" s="30"/>
      <c r="M50" s="30"/>
      <c r="N50" s="30"/>
      <c r="O50" s="30"/>
      <c r="P50" s="30"/>
      <c r="Q50" s="30"/>
      <c r="R50" s="30"/>
      <c r="S50" s="30"/>
      <c r="T50" s="30"/>
      <c r="U50" s="30"/>
      <c r="V50" s="30"/>
      <c r="W50" s="30"/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  <c r="AR50" s="30"/>
      <c r="AS50" s="30"/>
      <c r="AT50" s="30"/>
      <c r="AU50" s="30"/>
      <c r="AV50" s="30"/>
      <c r="AW50" s="30"/>
      <c r="AX50" s="30"/>
      <c r="AY50" s="30"/>
      <c r="AZ50" s="30"/>
      <c r="BA50" s="30"/>
      <c r="BB50" s="30"/>
      <c r="BC50" s="30"/>
      <c r="BD50" s="30"/>
      <c r="BE50" s="30"/>
      <c r="BF50" s="30"/>
      <c r="BG50" s="30"/>
      <c r="BH50" s="33"/>
      <c r="BI50" s="30"/>
      <c r="BJ50" s="30"/>
      <c r="BK50" s="30"/>
      <c r="BL50" s="30"/>
      <c r="BM50" s="30"/>
      <c r="BN50" s="30"/>
      <c r="BO50" s="30"/>
      <c r="BP50" s="30"/>
      <c r="BQ50" s="30"/>
      <c r="BR50" s="30"/>
      <c r="BS50" s="30"/>
      <c r="BT50" s="30"/>
      <c r="BU50" s="30"/>
      <c r="BV50" s="30"/>
      <c r="BW50" s="30"/>
      <c r="BX50" s="30"/>
      <c r="BY50" s="30"/>
      <c r="BZ50" s="30"/>
      <c r="CA50" s="30"/>
      <c r="CB50" s="30"/>
      <c r="CC50" s="30"/>
      <c r="CD50" s="30"/>
      <c r="CE50" s="30"/>
      <c r="CF50" s="30"/>
      <c r="CG50" s="30"/>
      <c r="CH50" s="30"/>
      <c r="CI50" s="30"/>
      <c r="CJ50" s="30"/>
      <c r="CK50" s="30"/>
      <c r="CL50" s="30"/>
      <c r="CM50" s="30"/>
      <c r="CN50" s="30"/>
      <c r="CO50" s="30"/>
      <c r="CP50" s="30"/>
      <c r="CQ50" s="30"/>
      <c r="CR50" s="30"/>
      <c r="CS50" s="30"/>
      <c r="CT50" s="30"/>
      <c r="CU50" s="30"/>
      <c r="CV50" s="30"/>
      <c r="CW50" s="30"/>
      <c r="CX50" s="30"/>
      <c r="CY50" s="30"/>
      <c r="CZ50" s="30"/>
      <c r="DA50" s="30"/>
      <c r="DB50" s="30"/>
      <c r="DC50" s="30"/>
      <c r="DD50" s="30"/>
      <c r="DE50" s="30"/>
      <c r="DF50" s="30"/>
      <c r="DG50" s="30"/>
      <c r="DH50" s="30"/>
      <c r="DI50" s="30"/>
      <c r="DJ50" s="30"/>
      <c r="DK50" s="30"/>
      <c r="DL50" s="30"/>
      <c r="DM50" s="30"/>
      <c r="DN50" s="30"/>
      <c r="DO50" s="30"/>
      <c r="DP50" s="30"/>
      <c r="DQ50" s="30"/>
    </row>
  </sheetData>
  <sheetProtection formatColumns="0" formatRows="0" sort="0" autoFilter="0"/>
  <mergeCells count="7">
    <mergeCell ref="CA17:CS17"/>
    <mergeCell ref="CT17:DQ17"/>
    <mergeCell ref="B17:D17"/>
    <mergeCell ref="F17:W17"/>
    <mergeCell ref="X17:AO17"/>
    <mergeCell ref="AP17:BG17"/>
    <mergeCell ref="BI17:BZ17"/>
  </mergeCells>
  <dataValidations count="1">
    <dataValidation type="decimal" operator="greaterThanOrEqual" allowBlank="1" showInputMessage="1" showErrorMessage="1" sqref="D19:BG50 BI19:DQ50">
      <formula1>0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Xrays" altText="Add Drug / Medication / Supply">
                <anchor moveWithCells="1">
                  <from>
                    <xdr:col>1</xdr:col>
                    <xdr:colOff>28575</xdr:colOff>
                    <xdr:row>18</xdr:row>
                    <xdr:rowOff>9525</xdr:rowOff>
                  </from>
                  <to>
                    <xdr:col>1</xdr:col>
                    <xdr:colOff>752475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Xrays" altText="Delete Drug / Medication / Supply">
                <anchor moveWithCells="1">
                  <from>
                    <xdr:col>1</xdr:col>
                    <xdr:colOff>800100</xdr:colOff>
                    <xdr:row>18</xdr:row>
                    <xdr:rowOff>9525</xdr:rowOff>
                  </from>
                  <to>
                    <xdr:col>1</xdr:col>
                    <xdr:colOff>1524000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Add_Mammos" altText="Add Drug / Medication / Supply">
                <anchor moveWithCells="1">
                  <from>
                    <xdr:col>1</xdr:col>
                    <xdr:colOff>28575</xdr:colOff>
                    <xdr:row>26</xdr:row>
                    <xdr:rowOff>9525</xdr:rowOff>
                  </from>
                  <to>
                    <xdr:col>1</xdr:col>
                    <xdr:colOff>752475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Delete_Mammos" altText="Delete Drug / Medication / Supply">
                <anchor moveWithCells="1">
                  <from>
                    <xdr:col>1</xdr:col>
                    <xdr:colOff>800100</xdr:colOff>
                    <xdr:row>26</xdr:row>
                    <xdr:rowOff>9525</xdr:rowOff>
                  </from>
                  <to>
                    <xdr:col>1</xdr:col>
                    <xdr:colOff>1524000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Add_Ultras" altText="Add Drug / Medication / Supply">
                <anchor moveWithCells="1">
                  <from>
                    <xdr:col>1</xdr:col>
                    <xdr:colOff>28575</xdr:colOff>
                    <xdr:row>30</xdr:row>
                    <xdr:rowOff>9525</xdr:rowOff>
                  </from>
                  <to>
                    <xdr:col>1</xdr:col>
                    <xdr:colOff>752475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Delete_Ultras" altText="Delete Drug / Medication / Supply">
                <anchor moveWithCells="1">
                  <from>
                    <xdr:col>1</xdr:col>
                    <xdr:colOff>800100</xdr:colOff>
                    <xdr:row>30</xdr:row>
                    <xdr:rowOff>9525</xdr:rowOff>
                  </from>
                  <to>
                    <xdr:col>1</xdr:col>
                    <xdr:colOff>1524000</xdr:colOff>
                    <xdr:row>30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Add_Ecgs" altText="Add Drug / Medication / Supply">
                <anchor moveWithCells="1">
                  <from>
                    <xdr:col>1</xdr:col>
                    <xdr:colOff>28575</xdr:colOff>
                    <xdr:row>34</xdr:row>
                    <xdr:rowOff>9525</xdr:rowOff>
                  </from>
                  <to>
                    <xdr:col>1</xdr:col>
                    <xdr:colOff>752475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Delete_Ecgs" altText="Delete Drug / Medication / Supply">
                <anchor moveWithCells="1">
                  <from>
                    <xdr:col>1</xdr:col>
                    <xdr:colOff>800100</xdr:colOff>
                    <xdr:row>34</xdr:row>
                    <xdr:rowOff>9525</xdr:rowOff>
                  </from>
                  <to>
                    <xdr:col>1</xdr:col>
                    <xdr:colOff>1524000</xdr:colOff>
                    <xdr:row>34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Add_CTScans" altText="Add Drug / Medication / Supply">
                <anchor moveWithCells="1">
                  <from>
                    <xdr:col>1</xdr:col>
                    <xdr:colOff>28575</xdr:colOff>
                    <xdr:row>38</xdr:row>
                    <xdr:rowOff>9525</xdr:rowOff>
                  </from>
                  <to>
                    <xdr:col>1</xdr:col>
                    <xdr:colOff>752475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Delete_CTScans" altText="Delete Drug / Medication / Supply">
                <anchor moveWithCells="1">
                  <from>
                    <xdr:col>1</xdr:col>
                    <xdr:colOff>800100</xdr:colOff>
                    <xdr:row>38</xdr:row>
                    <xdr:rowOff>9525</xdr:rowOff>
                  </from>
                  <to>
                    <xdr:col>1</xdr:col>
                    <xdr:colOff>1524000</xdr:colOff>
                    <xdr:row>38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Add_MRIScans" altText="Add Drug / Medication / Supply">
                <anchor moveWithCells="1">
                  <from>
                    <xdr:col>1</xdr:col>
                    <xdr:colOff>28575</xdr:colOff>
                    <xdr:row>42</xdr:row>
                    <xdr:rowOff>9525</xdr:rowOff>
                  </from>
                  <to>
                    <xdr:col>1</xdr:col>
                    <xdr:colOff>752475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Delete_MRIScans" altText="Delete Drug / Medication / Supply">
                <anchor moveWithCells="1">
                  <from>
                    <xdr:col>1</xdr:col>
                    <xdr:colOff>800100</xdr:colOff>
                    <xdr:row>42</xdr:row>
                    <xdr:rowOff>9525</xdr:rowOff>
                  </from>
                  <to>
                    <xdr:col>1</xdr:col>
                    <xdr:colOff>1524000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Add_PETScans" altText="Add Drug / Medication / Supply">
                <anchor moveWithCells="1">
                  <from>
                    <xdr:col>1</xdr:col>
                    <xdr:colOff>28575</xdr:colOff>
                    <xdr:row>46</xdr:row>
                    <xdr:rowOff>9525</xdr:rowOff>
                  </from>
                  <to>
                    <xdr:col>1</xdr:col>
                    <xdr:colOff>752475</xdr:colOff>
                    <xdr:row>46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Delete_PETScans" altText="Delete Drug / Medication / Supply">
                <anchor moveWithCells="1">
                  <from>
                    <xdr:col>1</xdr:col>
                    <xdr:colOff>800100</xdr:colOff>
                    <xdr:row>46</xdr:row>
                    <xdr:rowOff>9525</xdr:rowOff>
                  </from>
                  <to>
                    <xdr:col>1</xdr:col>
                    <xdr:colOff>1524000</xdr:colOff>
                    <xdr:row>46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4.1 Med_Equipment_DImaging</vt:lpstr>
      <vt:lpstr>4.2 Outputs_DImaging</vt:lpstr>
      <vt:lpstr>MedicalEquipment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Home</cp:lastModifiedBy>
  <dcterms:created xsi:type="dcterms:W3CDTF">2018-04-02T20:38:47Z</dcterms:created>
  <dcterms:modified xsi:type="dcterms:W3CDTF">2018-05-30T09:56:50Z</dcterms:modified>
</cp:coreProperties>
</file>