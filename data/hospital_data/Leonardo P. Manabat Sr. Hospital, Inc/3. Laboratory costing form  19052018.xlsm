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60" windowWidth="15525" windowHeight="6990" activeTab="1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4" i="1" l="1"/>
  <c r="K74" i="1" s="1"/>
  <c r="J73" i="1" l="1"/>
  <c r="K73" i="1" s="1"/>
  <c r="J72" i="1"/>
  <c r="K72" i="1" s="1"/>
  <c r="J71" i="1"/>
  <c r="K71" i="1" s="1"/>
  <c r="J70" i="1"/>
  <c r="K70" i="1" s="1"/>
  <c r="J69" i="1"/>
  <c r="K69" i="1" s="1"/>
  <c r="J68" i="1"/>
  <c r="K68" i="1" s="1"/>
  <c r="J67" i="1"/>
  <c r="K67" i="1" s="1"/>
  <c r="J66" i="1"/>
  <c r="K66" i="1" s="1"/>
  <c r="J65" i="1"/>
  <c r="K65" i="1" s="1"/>
  <c r="J64" i="1"/>
  <c r="K64" i="1" s="1"/>
  <c r="J63" i="1"/>
  <c r="K63" i="1" s="1"/>
  <c r="J62" i="1"/>
  <c r="K62" i="1" s="1"/>
  <c r="J61" i="1"/>
  <c r="K61" i="1" s="1"/>
  <c r="J60" i="1"/>
  <c r="K60" i="1" s="1"/>
  <c r="J59" i="1"/>
  <c r="K59" i="1" s="1"/>
  <c r="J58" i="1"/>
  <c r="K58" i="1" s="1"/>
  <c r="J57" i="1"/>
  <c r="K57" i="1" s="1"/>
  <c r="J56" i="1"/>
  <c r="K56" i="1" s="1"/>
  <c r="J55" i="1"/>
  <c r="K55" i="1" s="1"/>
  <c r="J54" i="1"/>
  <c r="K54" i="1" s="1"/>
  <c r="J53" i="1"/>
  <c r="K53" i="1" s="1"/>
  <c r="J52" i="1"/>
  <c r="K52" i="1" s="1"/>
  <c r="J51" i="1"/>
  <c r="K51" i="1" s="1"/>
  <c r="J50" i="1"/>
  <c r="K50" i="1" s="1"/>
  <c r="J49" i="1"/>
  <c r="K49" i="1" s="1"/>
  <c r="J48" i="1"/>
  <c r="K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J35" i="1"/>
  <c r="K35" i="1" s="1"/>
  <c r="J34" i="1"/>
  <c r="K34" i="1" s="1"/>
  <c r="J33" i="1"/>
  <c r="K33" i="1" s="1"/>
  <c r="J32" i="1"/>
  <c r="K32" i="1" s="1"/>
  <c r="J31" i="1"/>
  <c r="K31" i="1" s="1"/>
  <c r="J30" i="1"/>
  <c r="K30" i="1" s="1"/>
  <c r="J29" i="1"/>
  <c r="K29" i="1" s="1"/>
  <c r="J28" i="1"/>
  <c r="K28" i="1" s="1"/>
  <c r="J27" i="1"/>
  <c r="K27" i="1" s="1"/>
  <c r="J26" i="1"/>
  <c r="K26" i="1" s="1"/>
  <c r="J25" i="1"/>
  <c r="K25" i="1" s="1"/>
  <c r="J24" i="1"/>
  <c r="K24" i="1" s="1"/>
  <c r="J23" i="1"/>
  <c r="K23" i="1" s="1"/>
  <c r="J22" i="1"/>
  <c r="K22" i="1" s="1"/>
  <c r="J21" i="1"/>
  <c r="K21" i="1" s="1"/>
  <c r="J20" i="1"/>
  <c r="K20" i="1" s="1"/>
  <c r="J19" i="1"/>
  <c r="K19" i="1" s="1"/>
  <c r="J18" i="1"/>
  <c r="K18" i="1" s="1"/>
  <c r="J17" i="1"/>
  <c r="K17" i="1" s="1"/>
  <c r="J16" i="1"/>
  <c r="K16" i="1" s="1"/>
  <c r="J15" i="1"/>
  <c r="K15" i="1" s="1"/>
  <c r="K14" i="1"/>
  <c r="J14" i="1"/>
</calcChain>
</file>

<file path=xl/sharedStrings.xml><?xml version="1.0" encoding="utf-8"?>
<sst xmlns="http://schemas.openxmlformats.org/spreadsheetml/2006/main" count="372" uniqueCount="260">
  <si>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</si>
  <si>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</si>
  <si>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</si>
  <si>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</si>
  <si>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</si>
  <si>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</si>
  <si>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</si>
  <si>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</si>
  <si>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</si>
  <si>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</si>
  <si>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</si>
  <si>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</si>
  <si>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</si>
  <si>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</si>
  <si>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</si>
  <si>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</si>
  <si>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</si>
  <si>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</si>
  <si>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</si>
  <si>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</si>
  <si>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</si>
  <si>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</si>
  <si>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</si>
  <si>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</si>
  <si>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</si>
  <si>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</si>
  <si>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</si>
  <si>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</si>
  <si>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</si>
  <si>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</si>
  <si>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</si>
  <si>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</si>
  <si>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</si>
  <si>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</si>
  <si>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</si>
  <si>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</si>
  <si>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</si>
  <si>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</si>
  <si>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</si>
  <si>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</si>
  <si>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</si>
  <si>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</si>
  <si>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</si>
  <si>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</si>
  <si>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</si>
  <si>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</si>
  <si>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</si>
  <si>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</si>
  <si>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</si>
  <si>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</si>
  <si>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</si>
  <si>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</si>
  <si>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</si>
  <si>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</si>
  <si>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</si>
  <si>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</si>
  <si>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</si>
  <si>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</si>
  <si>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</si>
  <si>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</si>
  <si>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</si>
  <si>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</si>
  <si>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</si>
  <si>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</si>
  <si>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</si>
  <si>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</si>
  <si>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</si>
  <si>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</si>
  <si>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</si>
  <si>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</si>
  <si>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</si>
  <si>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</si>
  <si>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</si>
  <si>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</si>
  <si>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</si>
  <si>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</si>
  <si>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</si>
  <si>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</si>
  <si>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</si>
  <si>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</si>
  <si>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</si>
  <si>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</si>
  <si>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</si>
  <si>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</si>
  <si>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</si>
  <si>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</si>
  <si>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</si>
  <si>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</si>
  <si>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</si>
  <si>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</si>
  <si>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</si>
  <si>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</si>
  <si>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</si>
  <si>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</si>
  <si>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</si>
  <si>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</si>
  <si>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</si>
  <si>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</si>
  <si>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</si>
  <si>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</si>
  <si>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</si>
  <si>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</si>
  <si>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</si>
  <si>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</si>
  <si>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</si>
  <si>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</si>
  <si>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</si>
  <si>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</si>
  <si>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</si>
  <si>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</si>
  <si>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</si>
  <si>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CBC</t>
  </si>
  <si>
    <t>BIOPSY</t>
  </si>
  <si>
    <t>ME-00001</t>
  </si>
  <si>
    <t>ME-00002</t>
  </si>
  <si>
    <t>ME-00003</t>
  </si>
  <si>
    <t>ME-00004</t>
  </si>
  <si>
    <t>ME-00005</t>
  </si>
  <si>
    <t>ME-00006</t>
  </si>
  <si>
    <t>ME-00007</t>
  </si>
  <si>
    <t>ME-00008</t>
  </si>
  <si>
    <t>ME-00009</t>
  </si>
  <si>
    <t>ME-00010</t>
  </si>
  <si>
    <t>ME-00011</t>
  </si>
  <si>
    <t>ME-00012</t>
  </si>
  <si>
    <t>ME-00013</t>
  </si>
  <si>
    <t>ME-00014</t>
  </si>
  <si>
    <t>ME-00015</t>
  </si>
  <si>
    <t>ME-00016</t>
  </si>
  <si>
    <t>ME-00017</t>
  </si>
  <si>
    <t>ME-00018</t>
  </si>
  <si>
    <t>ME-00019</t>
  </si>
  <si>
    <t>ME-00020</t>
  </si>
  <si>
    <t>ME-00021</t>
  </si>
  <si>
    <t>ME-00022</t>
  </si>
  <si>
    <t>Centrifuge:       Digisystem DSC-1,    SN 1108267</t>
  </si>
  <si>
    <t>Centrifuge:       Digisystem DSC-200T,  SN 1111488</t>
  </si>
  <si>
    <t>Centrifuge:       Hematocrit Centrifuge,  SN 050986</t>
  </si>
  <si>
    <t>Microscope:     Nikon YS100,  SN 618308</t>
  </si>
  <si>
    <t xml:space="preserve">                     Olympus CH20,  SN 2L02193</t>
  </si>
  <si>
    <t>HBA1C Analyzer: Nycocard Reader II,  SN 87932</t>
  </si>
  <si>
    <t>Mindray Chemistry Analyzer BS-120,  SN WK09101494</t>
  </si>
  <si>
    <t>Mindray Hematology Analyzer BC-5380,  SN RF-21101838</t>
  </si>
  <si>
    <t>Electrolytes Analyzer: Easylyte Plus Na/K/Cl,  SN: 6602ANKC</t>
  </si>
  <si>
    <t>Coagulation Analyzer: Diacheck,   SN C1-6994</t>
  </si>
  <si>
    <t>Glucometer: Optium Xceed,     SN CGP231-P0760</t>
  </si>
  <si>
    <t xml:space="preserve">                       Optium Xcedd,     SN XCG231-P06E3</t>
  </si>
  <si>
    <t>Freestyle Optium Neo H SN:LBGU198F14251</t>
  </si>
  <si>
    <t>Water Bath:   DSB 500,     SN 1109054</t>
  </si>
  <si>
    <t>Dry Bath:      SN:0903004</t>
  </si>
  <si>
    <t>BS-120 Lamp Halogen</t>
  </si>
  <si>
    <t>Dryer (test tube)</t>
  </si>
  <si>
    <t>Small cooler (Blood transport)</t>
  </si>
  <si>
    <t>Condura Refrigerator</t>
  </si>
  <si>
    <t>Chiller Refrigerator</t>
  </si>
  <si>
    <t>Extraction chair/Metal Foam</t>
  </si>
  <si>
    <t>PPE kit</t>
  </si>
  <si>
    <t>HE-00004</t>
  </si>
  <si>
    <t>HE-00005</t>
  </si>
  <si>
    <t>HE-00006</t>
  </si>
  <si>
    <t>HE-00007</t>
  </si>
  <si>
    <t>HE-00008</t>
  </si>
  <si>
    <t>HE-00009</t>
  </si>
  <si>
    <t>HE-00010</t>
  </si>
  <si>
    <t>HE-00011</t>
  </si>
  <si>
    <t>HE-00012</t>
  </si>
  <si>
    <t>Electric fan small</t>
  </si>
  <si>
    <t>Exhaust fan</t>
  </si>
  <si>
    <t>TCL 12inches flat TV</t>
  </si>
  <si>
    <t>Emergency light LED</t>
  </si>
  <si>
    <t>Door Bell</t>
  </si>
  <si>
    <t>LED light fixtures</t>
  </si>
  <si>
    <t>Computer (PC)</t>
  </si>
  <si>
    <t>Monitor (PC)</t>
  </si>
  <si>
    <t>Canon Printer</t>
  </si>
  <si>
    <t>Hospital Equipments</t>
  </si>
  <si>
    <t>HE-00013</t>
  </si>
  <si>
    <t>HE-00014</t>
  </si>
  <si>
    <t>HE-00015</t>
  </si>
  <si>
    <t>AVR 1000 watts</t>
  </si>
  <si>
    <t>UPS  (backup power supply) 720 watts</t>
  </si>
  <si>
    <t>Electronic Typewriter (brother)</t>
  </si>
  <si>
    <t>HE-00069</t>
  </si>
  <si>
    <t>HTI-00001</t>
  </si>
  <si>
    <t>HTI-00002</t>
  </si>
  <si>
    <t>HTI-00003</t>
  </si>
  <si>
    <t>HTI-00004</t>
  </si>
  <si>
    <t>HTI-00005</t>
  </si>
  <si>
    <t>HTI-00006</t>
  </si>
  <si>
    <t>HTI-00007</t>
  </si>
  <si>
    <t>HTI-00008</t>
  </si>
  <si>
    <t>HTI-00009</t>
  </si>
  <si>
    <t>HTI-00010</t>
  </si>
  <si>
    <t>HTI-00011</t>
  </si>
  <si>
    <t>HTI-00012</t>
  </si>
  <si>
    <t>HTI-00013</t>
  </si>
  <si>
    <t>HTI-00014</t>
  </si>
  <si>
    <t>HTI-00015</t>
  </si>
  <si>
    <t>HTI-00016</t>
  </si>
  <si>
    <t>HTI-00017</t>
  </si>
  <si>
    <t>HTI-00018</t>
  </si>
  <si>
    <t>HTI-00019</t>
  </si>
  <si>
    <t>HTI-00020</t>
  </si>
  <si>
    <t>HTI-00021</t>
  </si>
  <si>
    <t>HTI-00022</t>
  </si>
  <si>
    <t>HTI-00023</t>
  </si>
  <si>
    <t>HTI-00024</t>
  </si>
  <si>
    <t>HTI-00025</t>
  </si>
  <si>
    <t xml:space="preserve">Test tube rack plastic </t>
  </si>
  <si>
    <t>Cell counter medicare</t>
  </si>
  <si>
    <t>Micro-hematocrit reader</t>
  </si>
  <si>
    <t>Neubauer Counting chamber</t>
  </si>
  <si>
    <t>Wintrobe glass tube</t>
  </si>
  <si>
    <t>Shalis pipette</t>
  </si>
  <si>
    <t>RBC pipette</t>
  </si>
  <si>
    <t>WBC pipette</t>
  </si>
  <si>
    <t>Timers</t>
  </si>
  <si>
    <t>Pulse Oximeter</t>
  </si>
  <si>
    <t>Alcohol Iso-swab</t>
  </si>
  <si>
    <t>Pyrex Test tube 10ml</t>
  </si>
  <si>
    <t>Coplin Jars</t>
  </si>
  <si>
    <t>Urinometer</t>
  </si>
  <si>
    <t>Alcohol lamp</t>
  </si>
  <si>
    <t>Test tube holders</t>
  </si>
  <si>
    <t>Test tube brush</t>
  </si>
  <si>
    <t>Alcohol Thermometer</t>
  </si>
  <si>
    <t>Slide container</t>
  </si>
  <si>
    <t>Weighing scale 500g</t>
  </si>
  <si>
    <t>Dragon 10-1000ul</t>
  </si>
  <si>
    <t>Dragon 10-100ul</t>
  </si>
  <si>
    <t>Dragon5-50ul</t>
  </si>
  <si>
    <t>Dragon 20ul</t>
  </si>
  <si>
    <t>Dragon 100-1000ul</t>
  </si>
  <si>
    <t>Hospital Tools and Instruments</t>
  </si>
  <si>
    <t>ME-00114</t>
  </si>
  <si>
    <t>Blood Ref</t>
  </si>
  <si>
    <t>Medical Equipments</t>
  </si>
  <si>
    <t>May 28-June 01, 2018</t>
  </si>
  <si>
    <t>hemoglobin/hematocrit</t>
  </si>
  <si>
    <t>Urinalysis</t>
  </si>
  <si>
    <t>Fecalysis</t>
  </si>
  <si>
    <t>HBSAg</t>
  </si>
  <si>
    <t>CLINICAL CHEMISTRY</t>
  </si>
  <si>
    <t>RBS</t>
  </si>
  <si>
    <t>FBS</t>
  </si>
  <si>
    <t>BUN</t>
  </si>
  <si>
    <t>CREA</t>
  </si>
  <si>
    <t>BUA</t>
  </si>
  <si>
    <t>CHOLESTEROL</t>
  </si>
  <si>
    <t>TRIGLYCERIDES</t>
  </si>
  <si>
    <t>HDL</t>
  </si>
  <si>
    <t>LDL</t>
  </si>
  <si>
    <t>OT</t>
  </si>
  <si>
    <t>PT</t>
  </si>
  <si>
    <t>NA</t>
  </si>
  <si>
    <t>K</t>
  </si>
  <si>
    <t>CL</t>
  </si>
  <si>
    <t>CA</t>
  </si>
  <si>
    <t>ALBUMIN</t>
  </si>
  <si>
    <t>AMYLASE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</si>
</sst>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8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25</xdr:row>
          <xdr:rowOff>9525</xdr:rowOff>
        </xdr:from>
        <xdr:to>
          <xdr:col>1</xdr:col>
          <xdr:colOff>752475</xdr:colOff>
          <xdr:row>25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25</xdr:row>
          <xdr:rowOff>9525</xdr:rowOff>
        </xdr:from>
        <xdr:to>
          <xdr:col>1</xdr:col>
          <xdr:colOff>1524000</xdr:colOff>
          <xdr:row>25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9525</xdr:rowOff>
        </xdr:from>
        <xdr:to>
          <xdr:col>1</xdr:col>
          <xdr:colOff>752475</xdr:colOff>
          <xdr:row>30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30</xdr:row>
          <xdr:rowOff>9525</xdr:rowOff>
        </xdr:from>
        <xdr:to>
          <xdr:col>1</xdr:col>
          <xdr:colOff>1524000</xdr:colOff>
          <xdr:row>30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34</xdr:row>
          <xdr:rowOff>9525</xdr:rowOff>
        </xdr:from>
        <xdr:to>
          <xdr:col>1</xdr:col>
          <xdr:colOff>752475</xdr:colOff>
          <xdr:row>34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34</xdr:row>
          <xdr:rowOff>9525</xdr:rowOff>
        </xdr:from>
        <xdr:to>
          <xdr:col>1</xdr:col>
          <xdr:colOff>1524000</xdr:colOff>
          <xdr:row>34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38</xdr:row>
          <xdr:rowOff>9525</xdr:rowOff>
        </xdr:from>
        <xdr:to>
          <xdr:col>1</xdr:col>
          <xdr:colOff>752475</xdr:colOff>
          <xdr:row>38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38</xdr:row>
          <xdr:rowOff>9525</xdr:rowOff>
        </xdr:from>
        <xdr:to>
          <xdr:col>1</xdr:col>
          <xdr:colOff>1524000</xdr:colOff>
          <xdr:row>38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9525</xdr:rowOff>
        </xdr:from>
        <xdr:to>
          <xdr:col>1</xdr:col>
          <xdr:colOff>752475</xdr:colOff>
          <xdr:row>42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9525</xdr:rowOff>
        </xdr:from>
        <xdr:to>
          <xdr:col>1</xdr:col>
          <xdr:colOff>1524000</xdr:colOff>
          <xdr:row>42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zoomScale="90" zoomScaleNormal="90" workbookViewId="0">
      <pane xSplit="2" ySplit="13" topLeftCell="C65" activePane="bottomRight" state="frozen"/>
      <selection pane="topRight" activeCell="C1" sqref="C1"/>
      <selection pane="bottomLeft" activeCell="A14" sqref="A14"/>
      <selection pane="bottomRight" activeCell="E74" sqref="E74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4" width="34.5703125" style="2" customWidth="1"/>
    <col min="5" max="5" width="48.7109375" style="2" customWidth="1"/>
    <col min="6" max="6" width="1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ht="14.1" x14ac:dyDescent="0.3">
      <c r="B2" s="26" t="s">
        <v>34</v>
      </c>
      <c r="C2" s="32"/>
      <c r="D2" s="32"/>
    </row>
    <row r="3" spans="2:13" ht="14.1" x14ac:dyDescent="0.3">
      <c r="B3" s="1"/>
    </row>
    <row r="4" spans="2:13" ht="14.1" hidden="1" outlineLevel="1" x14ac:dyDescent="0.3">
      <c r="B4" s="2" t="s">
        <v>109</v>
      </c>
      <c r="C4" s="2">
        <v>150</v>
      </c>
    </row>
    <row r="5" spans="2:13" ht="14.1" collapsed="1" x14ac:dyDescent="0.3">
      <c r="B5" s="14" t="s">
        <v>21</v>
      </c>
      <c r="C5" s="33"/>
      <c r="D5" s="34"/>
    </row>
    <row r="6" spans="2:13" ht="14.1" x14ac:dyDescent="0.3">
      <c r="B6" s="20" t="s">
        <v>22</v>
      </c>
      <c r="C6" s="18"/>
      <c r="D6" s="19"/>
    </row>
    <row r="7" spans="2:13" ht="14.1" x14ac:dyDescent="0.3">
      <c r="B7" s="17" t="s">
        <v>23</v>
      </c>
      <c r="C7" s="18"/>
      <c r="D7" s="55">
        <v>2017</v>
      </c>
    </row>
    <row r="8" spans="2:13" ht="14.1" x14ac:dyDescent="0.3">
      <c r="B8" s="20" t="s">
        <v>25</v>
      </c>
      <c r="C8" s="18"/>
      <c r="D8" s="19"/>
    </row>
    <row r="9" spans="2:13" ht="14.1" x14ac:dyDescent="0.3">
      <c r="B9" s="23" t="s">
        <v>24</v>
      </c>
      <c r="C9" s="35"/>
      <c r="D9" s="36"/>
    </row>
    <row r="11" spans="2:13" s="28" customFormat="1" ht="14.1" x14ac:dyDescent="0.3">
      <c r="B11" s="31" t="s">
        <v>108</v>
      </c>
      <c r="C11" s="31"/>
    </row>
    <row r="12" spans="2:13" s="28" customFormat="1" ht="14.1" x14ac:dyDescent="0.3">
      <c r="B12" s="29"/>
      <c r="C12" s="29"/>
      <c r="D12" s="30"/>
    </row>
    <row r="13" spans="2:13" s="4" customFormat="1" ht="51" x14ac:dyDescent="0.3">
      <c r="B13" s="37" t="s">
        <v>101</v>
      </c>
      <c r="C13" s="37" t="s">
        <v>26</v>
      </c>
      <c r="D13" s="37" t="s">
        <v>27</v>
      </c>
      <c r="E13" s="37" t="s">
        <v>28</v>
      </c>
      <c r="F13" s="37" t="s">
        <v>8</v>
      </c>
      <c r="G13" s="38" t="s">
        <v>33</v>
      </c>
      <c r="H13" s="37" t="s">
        <v>73</v>
      </c>
      <c r="I13" s="37" t="s">
        <v>110</v>
      </c>
      <c r="J13" s="37" t="s">
        <v>9</v>
      </c>
      <c r="K13" s="37" t="s">
        <v>0</v>
      </c>
      <c r="L13" s="37" t="s">
        <v>36</v>
      </c>
      <c r="M13" s="37" t="s">
        <v>29</v>
      </c>
    </row>
    <row r="14" spans="2:13" x14ac:dyDescent="0.3">
      <c r="B14" s="5">
        <v>1</v>
      </c>
      <c r="C14" s="40" t="s">
        <v>113</v>
      </c>
      <c r="D14" s="40" t="s">
        <v>1</v>
      </c>
      <c r="E14" s="40" t="s">
        <v>135</v>
      </c>
      <c r="F14" s="41"/>
      <c r="G14" s="42">
        <v>42186</v>
      </c>
      <c r="H14" s="39">
        <v>12000</v>
      </c>
      <c r="I14" s="39">
        <v>1</v>
      </c>
      <c r="J14" s="39">
        <f>I14*H14</f>
        <v>12000</v>
      </c>
      <c r="K14" s="39">
        <f>J14/L14</f>
        <v>4000</v>
      </c>
      <c r="L14" s="39">
        <v>3</v>
      </c>
      <c r="M14" s="40"/>
    </row>
    <row r="15" spans="2:13" x14ac:dyDescent="0.3">
      <c r="B15" s="5">
        <v>2</v>
      </c>
      <c r="C15" s="40" t="s">
        <v>114</v>
      </c>
      <c r="D15" s="40" t="s">
        <v>1</v>
      </c>
      <c r="E15" s="40" t="s">
        <v>136</v>
      </c>
      <c r="F15" s="40"/>
      <c r="G15" s="42">
        <v>42186</v>
      </c>
      <c r="H15" s="39">
        <v>12000</v>
      </c>
      <c r="I15" s="39">
        <v>1</v>
      </c>
      <c r="J15" s="39">
        <f t="shared" ref="J15:J35" si="0">I15*H15</f>
        <v>12000</v>
      </c>
      <c r="K15" s="39">
        <f t="shared" ref="K15:K74" si="1">J15/L15</f>
        <v>4000</v>
      </c>
      <c r="L15" s="39">
        <v>3</v>
      </c>
      <c r="M15" s="40"/>
    </row>
    <row r="16" spans="2:13" x14ac:dyDescent="0.3">
      <c r="B16" s="5">
        <v>3</v>
      </c>
      <c r="C16" s="40" t="s">
        <v>115</v>
      </c>
      <c r="D16" s="40" t="s">
        <v>1</v>
      </c>
      <c r="E16" s="40" t="s">
        <v>137</v>
      </c>
      <c r="F16" s="40"/>
      <c r="G16" s="42">
        <v>42186</v>
      </c>
      <c r="H16" s="39">
        <v>10000</v>
      </c>
      <c r="I16" s="39">
        <v>1</v>
      </c>
      <c r="J16" s="39">
        <f t="shared" si="0"/>
        <v>10000</v>
      </c>
      <c r="K16" s="39">
        <f t="shared" si="1"/>
        <v>3333.3333333333335</v>
      </c>
      <c r="L16" s="39">
        <v>3</v>
      </c>
      <c r="M16" s="43"/>
    </row>
    <row r="17" spans="2:13" x14ac:dyDescent="0.3">
      <c r="B17" s="5">
        <v>4</v>
      </c>
      <c r="C17" s="40" t="s">
        <v>116</v>
      </c>
      <c r="D17" s="40" t="s">
        <v>1</v>
      </c>
      <c r="E17" s="40" t="s">
        <v>138</v>
      </c>
      <c r="F17" s="40"/>
      <c r="G17" s="42">
        <v>42186</v>
      </c>
      <c r="H17" s="39">
        <v>40000</v>
      </c>
      <c r="I17" s="39">
        <v>1</v>
      </c>
      <c r="J17" s="39">
        <f t="shared" si="0"/>
        <v>40000</v>
      </c>
      <c r="K17" s="39">
        <f t="shared" si="1"/>
        <v>8000</v>
      </c>
      <c r="L17" s="39">
        <v>5</v>
      </c>
      <c r="M17" s="40"/>
    </row>
    <row r="18" spans="2:13" x14ac:dyDescent="0.3">
      <c r="B18" s="5">
        <v>5</v>
      </c>
      <c r="C18" s="40" t="s">
        <v>117</v>
      </c>
      <c r="D18" s="40" t="s">
        <v>1</v>
      </c>
      <c r="E18" s="40" t="s">
        <v>139</v>
      </c>
      <c r="F18" s="40"/>
      <c r="G18" s="42">
        <v>42186</v>
      </c>
      <c r="H18" s="39">
        <v>20000</v>
      </c>
      <c r="I18" s="39">
        <v>1</v>
      </c>
      <c r="J18" s="39">
        <f t="shared" si="0"/>
        <v>20000</v>
      </c>
      <c r="K18" s="39">
        <f t="shared" si="1"/>
        <v>4000</v>
      </c>
      <c r="L18" s="39">
        <v>5</v>
      </c>
      <c r="M18" s="40"/>
    </row>
    <row r="19" spans="2:13" x14ac:dyDescent="0.3">
      <c r="B19" s="5">
        <v>6</v>
      </c>
      <c r="C19" s="40" t="s">
        <v>118</v>
      </c>
      <c r="D19" s="40" t="s">
        <v>1</v>
      </c>
      <c r="E19" s="40" t="s">
        <v>140</v>
      </c>
      <c r="F19" s="40"/>
      <c r="G19" s="42">
        <v>42186</v>
      </c>
      <c r="H19" s="39">
        <v>40000</v>
      </c>
      <c r="I19" s="39">
        <v>1</v>
      </c>
      <c r="J19" s="39">
        <f t="shared" si="0"/>
        <v>40000</v>
      </c>
      <c r="K19" s="39">
        <f t="shared" si="1"/>
        <v>8000</v>
      </c>
      <c r="L19" s="39">
        <v>5</v>
      </c>
      <c r="M19" s="43"/>
    </row>
    <row r="20" spans="2:13" x14ac:dyDescent="0.3">
      <c r="B20" s="5">
        <v>7</v>
      </c>
      <c r="C20" s="40" t="s">
        <v>119</v>
      </c>
      <c r="D20" s="40" t="s">
        <v>1</v>
      </c>
      <c r="E20" s="40" t="s">
        <v>141</v>
      </c>
      <c r="F20" s="40"/>
      <c r="G20" s="42">
        <v>42186</v>
      </c>
      <c r="H20" s="39">
        <v>500000</v>
      </c>
      <c r="I20" s="39">
        <v>1</v>
      </c>
      <c r="J20" s="39">
        <f t="shared" si="0"/>
        <v>500000</v>
      </c>
      <c r="K20" s="39">
        <f t="shared" si="1"/>
        <v>125000</v>
      </c>
      <c r="L20" s="39">
        <v>4</v>
      </c>
      <c r="M20" s="40"/>
    </row>
    <row r="21" spans="2:13" x14ac:dyDescent="0.3">
      <c r="B21" s="5">
        <v>8</v>
      </c>
      <c r="C21" s="40" t="s">
        <v>120</v>
      </c>
      <c r="D21" s="40" t="s">
        <v>1</v>
      </c>
      <c r="E21" s="40" t="s">
        <v>142</v>
      </c>
      <c r="F21" s="40"/>
      <c r="G21" s="42">
        <v>42186</v>
      </c>
      <c r="H21" s="39">
        <v>920000</v>
      </c>
      <c r="I21" s="39">
        <v>1</v>
      </c>
      <c r="J21" s="39">
        <f t="shared" si="0"/>
        <v>920000</v>
      </c>
      <c r="K21" s="39">
        <f t="shared" si="1"/>
        <v>184000</v>
      </c>
      <c r="L21" s="39">
        <v>5</v>
      </c>
      <c r="M21" s="40"/>
    </row>
    <row r="22" spans="2:13" x14ac:dyDescent="0.3">
      <c r="B22" s="5">
        <v>9</v>
      </c>
      <c r="C22" s="40" t="s">
        <v>121</v>
      </c>
      <c r="D22" s="40" t="s">
        <v>1</v>
      </c>
      <c r="E22" s="40" t="s">
        <v>143</v>
      </c>
      <c r="F22" s="40"/>
      <c r="G22" s="42">
        <v>42186</v>
      </c>
      <c r="H22" s="39">
        <v>120000</v>
      </c>
      <c r="I22" s="39">
        <v>1</v>
      </c>
      <c r="J22" s="39">
        <f t="shared" si="0"/>
        <v>120000</v>
      </c>
      <c r="K22" s="39">
        <f t="shared" si="1"/>
        <v>24000</v>
      </c>
      <c r="L22" s="39">
        <v>5</v>
      </c>
      <c r="M22" s="43"/>
    </row>
    <row r="23" spans="2:13" x14ac:dyDescent="0.3">
      <c r="B23" s="5">
        <v>10</v>
      </c>
      <c r="C23" s="40" t="s">
        <v>122</v>
      </c>
      <c r="D23" s="40" t="s">
        <v>1</v>
      </c>
      <c r="E23" s="40" t="s">
        <v>144</v>
      </c>
      <c r="F23" s="40"/>
      <c r="G23" s="42">
        <v>42186</v>
      </c>
      <c r="H23" s="39">
        <v>40000</v>
      </c>
      <c r="I23" s="39">
        <v>1</v>
      </c>
      <c r="J23" s="39">
        <f t="shared" si="0"/>
        <v>40000</v>
      </c>
      <c r="K23" s="39">
        <f t="shared" si="1"/>
        <v>8000</v>
      </c>
      <c r="L23" s="39">
        <v>5</v>
      </c>
      <c r="M23" s="40"/>
    </row>
    <row r="24" spans="2:13" x14ac:dyDescent="0.3">
      <c r="B24" s="5">
        <v>11</v>
      </c>
      <c r="C24" s="40" t="s">
        <v>123</v>
      </c>
      <c r="D24" s="40" t="s">
        <v>1</v>
      </c>
      <c r="E24" s="40" t="s">
        <v>145</v>
      </c>
      <c r="F24" s="40"/>
      <c r="G24" s="42">
        <v>42186</v>
      </c>
      <c r="H24" s="39">
        <v>2500</v>
      </c>
      <c r="I24" s="39">
        <v>1</v>
      </c>
      <c r="J24" s="39">
        <f t="shared" si="0"/>
        <v>2500</v>
      </c>
      <c r="K24" s="39">
        <f t="shared" si="1"/>
        <v>1250</v>
      </c>
      <c r="L24" s="39">
        <v>2</v>
      </c>
      <c r="M24" s="40"/>
    </row>
    <row r="25" spans="2:13" x14ac:dyDescent="0.3">
      <c r="B25" s="5">
        <v>12</v>
      </c>
      <c r="C25" s="40" t="s">
        <v>124</v>
      </c>
      <c r="D25" s="40" t="s">
        <v>1</v>
      </c>
      <c r="E25" s="40" t="s">
        <v>146</v>
      </c>
      <c r="F25" s="40"/>
      <c r="G25" s="42">
        <v>42186</v>
      </c>
      <c r="H25" s="39">
        <v>2500</v>
      </c>
      <c r="I25" s="39">
        <v>1</v>
      </c>
      <c r="J25" s="39">
        <f t="shared" si="0"/>
        <v>2500</v>
      </c>
      <c r="K25" s="39">
        <f t="shared" si="1"/>
        <v>1250</v>
      </c>
      <c r="L25" s="39">
        <v>2</v>
      </c>
      <c r="M25" s="43"/>
    </row>
    <row r="26" spans="2:13" x14ac:dyDescent="0.3">
      <c r="B26" s="5">
        <v>13</v>
      </c>
      <c r="C26" s="40" t="s">
        <v>125</v>
      </c>
      <c r="D26" s="40" t="s">
        <v>1</v>
      </c>
      <c r="E26" s="40" t="s">
        <v>147</v>
      </c>
      <c r="F26" s="40"/>
      <c r="G26" s="42">
        <v>42186</v>
      </c>
      <c r="H26" s="39">
        <v>3000</v>
      </c>
      <c r="I26" s="39">
        <v>1</v>
      </c>
      <c r="J26" s="39">
        <f t="shared" si="0"/>
        <v>3000</v>
      </c>
      <c r="K26" s="39">
        <f t="shared" si="1"/>
        <v>1500</v>
      </c>
      <c r="L26" s="39">
        <v>2</v>
      </c>
      <c r="M26" s="40"/>
    </row>
    <row r="27" spans="2:13" x14ac:dyDescent="0.3">
      <c r="B27" s="5">
        <v>14</v>
      </c>
      <c r="C27" s="40" t="s">
        <v>126</v>
      </c>
      <c r="D27" s="40" t="s">
        <v>1</v>
      </c>
      <c r="E27" s="40" t="s">
        <v>148</v>
      </c>
      <c r="F27" s="40"/>
      <c r="G27" s="42">
        <v>42186</v>
      </c>
      <c r="H27" s="39">
        <v>15000</v>
      </c>
      <c r="I27" s="39">
        <v>1</v>
      </c>
      <c r="J27" s="39">
        <f t="shared" si="0"/>
        <v>15000</v>
      </c>
      <c r="K27" s="39">
        <f t="shared" si="1"/>
        <v>3000</v>
      </c>
      <c r="L27" s="39">
        <v>5</v>
      </c>
      <c r="M27" s="40"/>
    </row>
    <row r="28" spans="2:13" x14ac:dyDescent="0.3">
      <c r="B28" s="5">
        <v>15</v>
      </c>
      <c r="C28" s="40" t="s">
        <v>127</v>
      </c>
      <c r="D28" s="40" t="s">
        <v>1</v>
      </c>
      <c r="E28" s="40" t="s">
        <v>149</v>
      </c>
      <c r="F28" s="40"/>
      <c r="G28" s="42">
        <v>42186</v>
      </c>
      <c r="H28" s="39">
        <v>10000</v>
      </c>
      <c r="I28" s="39">
        <v>1</v>
      </c>
      <c r="J28" s="39">
        <f t="shared" si="0"/>
        <v>10000</v>
      </c>
      <c r="K28" s="39">
        <f t="shared" si="1"/>
        <v>2000</v>
      </c>
      <c r="L28" s="39">
        <v>5</v>
      </c>
      <c r="M28" s="43"/>
    </row>
    <row r="29" spans="2:13" x14ac:dyDescent="0.3">
      <c r="B29" s="5">
        <v>16</v>
      </c>
      <c r="C29" s="40" t="s">
        <v>128</v>
      </c>
      <c r="D29" s="40" t="s">
        <v>1</v>
      </c>
      <c r="E29" s="40" t="s">
        <v>150</v>
      </c>
      <c r="F29" s="40"/>
      <c r="G29" s="42">
        <v>42186</v>
      </c>
      <c r="H29" s="39">
        <v>10000</v>
      </c>
      <c r="I29" s="39">
        <v>1</v>
      </c>
      <c r="J29" s="39">
        <f t="shared" si="0"/>
        <v>10000</v>
      </c>
      <c r="K29" s="39">
        <f t="shared" si="1"/>
        <v>2000</v>
      </c>
      <c r="L29" s="39">
        <v>5</v>
      </c>
      <c r="M29" s="40"/>
    </row>
    <row r="30" spans="2:13" x14ac:dyDescent="0.3">
      <c r="B30" s="5">
        <v>17</v>
      </c>
      <c r="C30" s="40" t="s">
        <v>129</v>
      </c>
      <c r="D30" s="40" t="s">
        <v>1</v>
      </c>
      <c r="E30" s="40" t="s">
        <v>151</v>
      </c>
      <c r="F30" s="40"/>
      <c r="G30" s="42">
        <v>42186</v>
      </c>
      <c r="H30" s="39">
        <v>5500</v>
      </c>
      <c r="I30" s="39">
        <v>1</v>
      </c>
      <c r="J30" s="39">
        <f t="shared" si="0"/>
        <v>5500</v>
      </c>
      <c r="K30" s="39">
        <f t="shared" si="1"/>
        <v>2750</v>
      </c>
      <c r="L30" s="39">
        <v>2</v>
      </c>
      <c r="M30" s="40"/>
    </row>
    <row r="31" spans="2:13" x14ac:dyDescent="0.3">
      <c r="B31" s="5">
        <v>18</v>
      </c>
      <c r="C31" s="40" t="s">
        <v>130</v>
      </c>
      <c r="D31" s="40" t="s">
        <v>1</v>
      </c>
      <c r="E31" s="40" t="s">
        <v>152</v>
      </c>
      <c r="F31" s="40"/>
      <c r="G31" s="42">
        <v>42186</v>
      </c>
      <c r="H31" s="39">
        <v>2500</v>
      </c>
      <c r="I31" s="39">
        <v>1</v>
      </c>
      <c r="J31" s="39">
        <f t="shared" si="0"/>
        <v>2500</v>
      </c>
      <c r="K31" s="39">
        <f t="shared" si="1"/>
        <v>1250</v>
      </c>
      <c r="L31" s="39">
        <v>2</v>
      </c>
      <c r="M31" s="43"/>
    </row>
    <row r="32" spans="2:13" x14ac:dyDescent="0.3">
      <c r="B32" s="5">
        <v>19</v>
      </c>
      <c r="C32" s="40" t="s">
        <v>131</v>
      </c>
      <c r="D32" s="40" t="s">
        <v>1</v>
      </c>
      <c r="E32" s="40" t="s">
        <v>153</v>
      </c>
      <c r="F32" s="40"/>
      <c r="G32" s="42">
        <v>42186</v>
      </c>
      <c r="H32" s="39">
        <v>7000</v>
      </c>
      <c r="I32" s="39">
        <v>1</v>
      </c>
      <c r="J32" s="39">
        <f t="shared" si="0"/>
        <v>7000</v>
      </c>
      <c r="K32" s="39">
        <f t="shared" si="1"/>
        <v>2333.3333333333335</v>
      </c>
      <c r="L32" s="39">
        <v>3</v>
      </c>
      <c r="M32" s="40"/>
    </row>
    <row r="33" spans="2:13" x14ac:dyDescent="0.3">
      <c r="B33" s="5">
        <v>20</v>
      </c>
      <c r="C33" s="40" t="s">
        <v>132</v>
      </c>
      <c r="D33" s="40" t="s">
        <v>1</v>
      </c>
      <c r="E33" s="40" t="s">
        <v>154</v>
      </c>
      <c r="F33" s="40"/>
      <c r="G33" s="42">
        <v>42186</v>
      </c>
      <c r="H33" s="39">
        <v>4500</v>
      </c>
      <c r="I33" s="39">
        <v>1</v>
      </c>
      <c r="J33" s="39">
        <f t="shared" si="0"/>
        <v>4500</v>
      </c>
      <c r="K33" s="39">
        <f t="shared" si="1"/>
        <v>1500</v>
      </c>
      <c r="L33" s="39">
        <v>3</v>
      </c>
      <c r="M33" s="40"/>
    </row>
    <row r="34" spans="2:13" x14ac:dyDescent="0.3">
      <c r="B34" s="5">
        <v>21</v>
      </c>
      <c r="C34" s="40" t="s">
        <v>133</v>
      </c>
      <c r="D34" s="40" t="s">
        <v>1</v>
      </c>
      <c r="E34" s="40" t="s">
        <v>155</v>
      </c>
      <c r="F34" s="40"/>
      <c r="G34" s="42">
        <v>42186</v>
      </c>
      <c r="H34" s="39">
        <v>3000</v>
      </c>
      <c r="I34" s="39">
        <v>2</v>
      </c>
      <c r="J34" s="39">
        <f t="shared" si="0"/>
        <v>6000</v>
      </c>
      <c r="K34" s="39">
        <f t="shared" si="1"/>
        <v>2000</v>
      </c>
      <c r="L34" s="39">
        <v>3</v>
      </c>
      <c r="M34" s="43"/>
    </row>
    <row r="35" spans="2:13" x14ac:dyDescent="0.3">
      <c r="B35" s="5">
        <v>22</v>
      </c>
      <c r="C35" s="40" t="s">
        <v>134</v>
      </c>
      <c r="D35" s="40" t="s">
        <v>1</v>
      </c>
      <c r="E35" s="40" t="s">
        <v>156</v>
      </c>
      <c r="F35" s="40"/>
      <c r="G35" s="42">
        <v>42186</v>
      </c>
      <c r="H35" s="39">
        <v>800</v>
      </c>
      <c r="I35" s="39">
        <v>1</v>
      </c>
      <c r="J35" s="39">
        <f t="shared" si="0"/>
        <v>800</v>
      </c>
      <c r="K35" s="39">
        <f t="shared" si="1"/>
        <v>400</v>
      </c>
      <c r="L35" s="39">
        <v>2</v>
      </c>
      <c r="M35" s="40"/>
    </row>
    <row r="36" spans="2:13" x14ac:dyDescent="0.3">
      <c r="B36" s="5">
        <v>23</v>
      </c>
      <c r="C36" s="40" t="s">
        <v>157</v>
      </c>
      <c r="D36" s="40" t="s">
        <v>175</v>
      </c>
      <c r="E36" s="40" t="s">
        <v>166</v>
      </c>
      <c r="F36" s="40"/>
      <c r="G36" s="42">
        <v>42186</v>
      </c>
      <c r="H36" s="39">
        <v>1500</v>
      </c>
      <c r="I36" s="39">
        <v>1</v>
      </c>
      <c r="J36" s="39">
        <f t="shared" ref="J36:J44" si="2">I36*H36</f>
        <v>1500</v>
      </c>
      <c r="K36" s="39">
        <f t="shared" si="1"/>
        <v>750</v>
      </c>
      <c r="L36" s="39">
        <v>2</v>
      </c>
      <c r="M36" s="40"/>
    </row>
    <row r="37" spans="2:13" x14ac:dyDescent="0.3">
      <c r="B37" s="5">
        <v>24</v>
      </c>
      <c r="C37" s="40" t="s">
        <v>158</v>
      </c>
      <c r="D37" s="40" t="s">
        <v>175</v>
      </c>
      <c r="E37" s="40" t="s">
        <v>167</v>
      </c>
      <c r="F37" s="40"/>
      <c r="G37" s="42">
        <v>42186</v>
      </c>
      <c r="H37" s="39">
        <v>2800</v>
      </c>
      <c r="I37" s="39">
        <v>2</v>
      </c>
      <c r="J37" s="39">
        <f t="shared" si="2"/>
        <v>5600</v>
      </c>
      <c r="K37" s="39">
        <f t="shared" si="1"/>
        <v>1120</v>
      </c>
      <c r="L37" s="39">
        <v>5</v>
      </c>
      <c r="M37" s="43"/>
    </row>
    <row r="38" spans="2:13" x14ac:dyDescent="0.3">
      <c r="B38" s="5">
        <v>25</v>
      </c>
      <c r="C38" s="40" t="s">
        <v>159</v>
      </c>
      <c r="D38" s="40" t="s">
        <v>175</v>
      </c>
      <c r="E38" s="40" t="s">
        <v>168</v>
      </c>
      <c r="F38" s="40"/>
      <c r="G38" s="42">
        <v>42186</v>
      </c>
      <c r="H38" s="39">
        <v>10000</v>
      </c>
      <c r="I38" s="39">
        <v>1</v>
      </c>
      <c r="J38" s="39">
        <f t="shared" si="2"/>
        <v>10000</v>
      </c>
      <c r="K38" s="39">
        <f t="shared" si="1"/>
        <v>2000</v>
      </c>
      <c r="L38" s="39">
        <v>5</v>
      </c>
      <c r="M38" s="40"/>
    </row>
    <row r="39" spans="2:13" x14ac:dyDescent="0.3">
      <c r="B39" s="5">
        <v>26</v>
      </c>
      <c r="C39" s="40" t="s">
        <v>160</v>
      </c>
      <c r="D39" s="40" t="s">
        <v>175</v>
      </c>
      <c r="E39" s="40" t="s">
        <v>169</v>
      </c>
      <c r="F39" s="40"/>
      <c r="G39" s="42">
        <v>42186</v>
      </c>
      <c r="H39" s="39">
        <v>1500</v>
      </c>
      <c r="I39" s="39">
        <v>1</v>
      </c>
      <c r="J39" s="39">
        <f t="shared" si="2"/>
        <v>1500</v>
      </c>
      <c r="K39" s="39">
        <f t="shared" si="1"/>
        <v>750</v>
      </c>
      <c r="L39" s="39">
        <v>2</v>
      </c>
      <c r="M39" s="40"/>
    </row>
    <row r="40" spans="2:13" x14ac:dyDescent="0.3">
      <c r="B40" s="5">
        <v>27</v>
      </c>
      <c r="C40" s="40" t="s">
        <v>161</v>
      </c>
      <c r="D40" s="40" t="s">
        <v>175</v>
      </c>
      <c r="E40" s="40" t="s">
        <v>170</v>
      </c>
      <c r="F40" s="40"/>
      <c r="G40" s="42">
        <v>42186</v>
      </c>
      <c r="H40" s="39">
        <v>500</v>
      </c>
      <c r="I40" s="39">
        <v>1</v>
      </c>
      <c r="J40" s="39">
        <f t="shared" si="2"/>
        <v>500</v>
      </c>
      <c r="K40" s="39">
        <f t="shared" si="1"/>
        <v>250</v>
      </c>
      <c r="L40" s="39">
        <v>2</v>
      </c>
      <c r="M40" s="43"/>
    </row>
    <row r="41" spans="2:13" x14ac:dyDescent="0.3">
      <c r="B41" s="5">
        <v>28</v>
      </c>
      <c r="C41" s="40" t="s">
        <v>162</v>
      </c>
      <c r="D41" s="40" t="s">
        <v>175</v>
      </c>
      <c r="E41" s="40" t="s">
        <v>171</v>
      </c>
      <c r="F41" s="40"/>
      <c r="G41" s="42">
        <v>42186</v>
      </c>
      <c r="H41" s="39">
        <v>800</v>
      </c>
      <c r="I41" s="39">
        <v>8</v>
      </c>
      <c r="J41" s="39">
        <f t="shared" si="2"/>
        <v>6400</v>
      </c>
      <c r="K41" s="39">
        <f t="shared" si="1"/>
        <v>3200</v>
      </c>
      <c r="L41" s="39">
        <v>2</v>
      </c>
      <c r="M41" s="40"/>
    </row>
    <row r="42" spans="2:13" x14ac:dyDescent="0.3">
      <c r="B42" s="5">
        <v>29</v>
      </c>
      <c r="C42" s="40" t="s">
        <v>163</v>
      </c>
      <c r="D42" s="40" t="s">
        <v>175</v>
      </c>
      <c r="E42" s="40" t="s">
        <v>172</v>
      </c>
      <c r="F42" s="40"/>
      <c r="G42" s="42">
        <v>42186</v>
      </c>
      <c r="H42" s="39">
        <v>2500</v>
      </c>
      <c r="I42" s="39">
        <v>2</v>
      </c>
      <c r="J42" s="39">
        <f t="shared" si="2"/>
        <v>5000</v>
      </c>
      <c r="K42" s="39">
        <f t="shared" si="1"/>
        <v>1000</v>
      </c>
      <c r="L42" s="39">
        <v>5</v>
      </c>
      <c r="M42" s="40"/>
    </row>
    <row r="43" spans="2:13" x14ac:dyDescent="0.3">
      <c r="B43" s="5">
        <v>30</v>
      </c>
      <c r="C43" s="40" t="s">
        <v>164</v>
      </c>
      <c r="D43" s="40" t="s">
        <v>175</v>
      </c>
      <c r="E43" s="40" t="s">
        <v>173</v>
      </c>
      <c r="F43" s="40"/>
      <c r="G43" s="42">
        <v>42186</v>
      </c>
      <c r="H43" s="39">
        <v>6000</v>
      </c>
      <c r="I43" s="39">
        <v>2</v>
      </c>
      <c r="J43" s="39">
        <f t="shared" si="2"/>
        <v>12000</v>
      </c>
      <c r="K43" s="39">
        <f t="shared" si="1"/>
        <v>2400</v>
      </c>
      <c r="L43" s="39">
        <v>5</v>
      </c>
      <c r="M43" s="43"/>
    </row>
    <row r="44" spans="2:13" x14ac:dyDescent="0.3">
      <c r="B44" s="5">
        <v>31</v>
      </c>
      <c r="C44" s="40" t="s">
        <v>165</v>
      </c>
      <c r="D44" s="40" t="s">
        <v>175</v>
      </c>
      <c r="E44" s="40" t="s">
        <v>174</v>
      </c>
      <c r="F44" s="40"/>
      <c r="G44" s="42">
        <v>42186</v>
      </c>
      <c r="H44" s="39">
        <v>10000</v>
      </c>
      <c r="I44" s="39">
        <v>1</v>
      </c>
      <c r="J44" s="39">
        <f t="shared" si="2"/>
        <v>10000</v>
      </c>
      <c r="K44" s="39">
        <f t="shared" si="1"/>
        <v>5000</v>
      </c>
      <c r="L44" s="39">
        <v>2</v>
      </c>
      <c r="M44" s="40"/>
    </row>
    <row r="45" spans="2:13" x14ac:dyDescent="0.3">
      <c r="B45" s="5">
        <v>32</v>
      </c>
      <c r="C45" s="40" t="s">
        <v>176</v>
      </c>
      <c r="D45" s="40" t="s">
        <v>175</v>
      </c>
      <c r="E45" s="40" t="s">
        <v>179</v>
      </c>
      <c r="F45" s="40"/>
      <c r="G45" s="42">
        <v>2</v>
      </c>
      <c r="H45" s="39">
        <v>2500</v>
      </c>
      <c r="I45" s="39">
        <v>2</v>
      </c>
      <c r="J45" s="39">
        <f t="shared" ref="J45:J48" si="3">I45*H45</f>
        <v>5000</v>
      </c>
      <c r="K45" s="39">
        <f t="shared" si="1"/>
        <v>2500</v>
      </c>
      <c r="L45" s="39">
        <v>2</v>
      </c>
      <c r="M45" s="40"/>
    </row>
    <row r="46" spans="2:13" x14ac:dyDescent="0.3">
      <c r="B46" s="5">
        <v>33</v>
      </c>
      <c r="C46" s="40" t="s">
        <v>177</v>
      </c>
      <c r="D46" s="40" t="s">
        <v>175</v>
      </c>
      <c r="E46" s="40" t="s">
        <v>180</v>
      </c>
      <c r="F46" s="40"/>
      <c r="G46" s="42">
        <v>3</v>
      </c>
      <c r="H46" s="39">
        <v>15000</v>
      </c>
      <c r="I46" s="39">
        <v>3</v>
      </c>
      <c r="J46" s="39">
        <f t="shared" si="3"/>
        <v>45000</v>
      </c>
      <c r="K46" s="39">
        <f t="shared" si="1"/>
        <v>15000</v>
      </c>
      <c r="L46" s="39">
        <v>3</v>
      </c>
      <c r="M46" s="43"/>
    </row>
    <row r="47" spans="2:13" x14ac:dyDescent="0.3">
      <c r="B47" s="5">
        <v>34</v>
      </c>
      <c r="C47" s="40" t="s">
        <v>178</v>
      </c>
      <c r="D47" s="40" t="s">
        <v>175</v>
      </c>
      <c r="E47" s="40" t="s">
        <v>181</v>
      </c>
      <c r="F47" s="40"/>
      <c r="G47" s="42">
        <v>1</v>
      </c>
      <c r="H47" s="39">
        <v>7000</v>
      </c>
      <c r="I47" s="39">
        <v>1</v>
      </c>
      <c r="J47" s="39">
        <f t="shared" si="3"/>
        <v>7000</v>
      </c>
      <c r="K47" s="39">
        <f t="shared" si="1"/>
        <v>2333.3333333333335</v>
      </c>
      <c r="L47" s="39">
        <v>3</v>
      </c>
      <c r="M47" s="40"/>
    </row>
    <row r="48" spans="2:13" x14ac:dyDescent="0.3">
      <c r="B48" s="5">
        <v>35</v>
      </c>
      <c r="C48" s="40" t="s">
        <v>182</v>
      </c>
      <c r="D48" s="40" t="s">
        <v>175</v>
      </c>
      <c r="E48" s="40" t="s">
        <v>174</v>
      </c>
      <c r="F48" s="40"/>
      <c r="G48" s="42">
        <v>42613</v>
      </c>
      <c r="H48" s="39">
        <v>5500</v>
      </c>
      <c r="I48" s="39">
        <v>1</v>
      </c>
      <c r="J48" s="39">
        <f t="shared" si="3"/>
        <v>5500</v>
      </c>
      <c r="K48" s="39">
        <f t="shared" si="1"/>
        <v>2750</v>
      </c>
      <c r="L48" s="39">
        <v>2</v>
      </c>
      <c r="M48" s="40"/>
    </row>
    <row r="49" spans="2:13" x14ac:dyDescent="0.3">
      <c r="B49" s="5">
        <v>36</v>
      </c>
      <c r="C49" s="40" t="s">
        <v>183</v>
      </c>
      <c r="D49" s="40" t="s">
        <v>233</v>
      </c>
      <c r="E49" s="40" t="s">
        <v>208</v>
      </c>
      <c r="F49" s="40"/>
      <c r="G49" s="42">
        <v>42186</v>
      </c>
      <c r="H49" s="39">
        <v>400</v>
      </c>
      <c r="I49" s="39">
        <v>5</v>
      </c>
      <c r="J49" s="39">
        <f t="shared" ref="J49:J74" si="4">I49*H49</f>
        <v>2000</v>
      </c>
      <c r="K49" s="39">
        <f t="shared" si="1"/>
        <v>1000</v>
      </c>
      <c r="L49" s="39">
        <v>2</v>
      </c>
      <c r="M49" s="43"/>
    </row>
    <row r="50" spans="2:13" x14ac:dyDescent="0.3">
      <c r="B50" s="5">
        <v>37</v>
      </c>
      <c r="C50" s="40" t="s">
        <v>184</v>
      </c>
      <c r="D50" s="40" t="s">
        <v>233</v>
      </c>
      <c r="E50" s="40" t="s">
        <v>209</v>
      </c>
      <c r="F50" s="40"/>
      <c r="G50" s="42">
        <v>42186</v>
      </c>
      <c r="H50" s="39">
        <v>5000</v>
      </c>
      <c r="I50" s="39">
        <v>1</v>
      </c>
      <c r="J50" s="39">
        <f t="shared" si="4"/>
        <v>5000</v>
      </c>
      <c r="K50" s="39">
        <f t="shared" si="1"/>
        <v>1000</v>
      </c>
      <c r="L50" s="39">
        <v>5</v>
      </c>
      <c r="M50" s="40"/>
    </row>
    <row r="51" spans="2:13" x14ac:dyDescent="0.3">
      <c r="B51" s="5">
        <v>38</v>
      </c>
      <c r="C51" s="40" t="s">
        <v>185</v>
      </c>
      <c r="D51" s="40" t="s">
        <v>233</v>
      </c>
      <c r="E51" s="40" t="s">
        <v>210</v>
      </c>
      <c r="F51" s="40"/>
      <c r="G51" s="42">
        <v>42186</v>
      </c>
      <c r="H51" s="39">
        <v>2500</v>
      </c>
      <c r="I51" s="39">
        <v>1</v>
      </c>
      <c r="J51" s="39">
        <f t="shared" si="4"/>
        <v>2500</v>
      </c>
      <c r="K51" s="39">
        <f t="shared" si="1"/>
        <v>1250</v>
      </c>
      <c r="L51" s="39">
        <v>2</v>
      </c>
      <c r="M51" s="40"/>
    </row>
    <row r="52" spans="2:13" x14ac:dyDescent="0.3">
      <c r="B52" s="5">
        <v>39</v>
      </c>
      <c r="C52" s="40" t="s">
        <v>186</v>
      </c>
      <c r="D52" s="40" t="s">
        <v>233</v>
      </c>
      <c r="E52" s="40" t="s">
        <v>211</v>
      </c>
      <c r="F52" s="40"/>
      <c r="G52" s="42">
        <v>42186</v>
      </c>
      <c r="H52" s="39">
        <v>1000</v>
      </c>
      <c r="I52" s="39">
        <v>2</v>
      </c>
      <c r="J52" s="39">
        <f t="shared" si="4"/>
        <v>2000</v>
      </c>
      <c r="K52" s="39">
        <f t="shared" si="1"/>
        <v>1000</v>
      </c>
      <c r="L52" s="39">
        <v>2</v>
      </c>
      <c r="M52" s="43"/>
    </row>
    <row r="53" spans="2:13" x14ac:dyDescent="0.3">
      <c r="B53" s="5">
        <v>40</v>
      </c>
      <c r="C53" s="40" t="s">
        <v>187</v>
      </c>
      <c r="D53" s="40" t="s">
        <v>233</v>
      </c>
      <c r="E53" s="40" t="s">
        <v>212</v>
      </c>
      <c r="F53" s="40"/>
      <c r="G53" s="42">
        <v>42186</v>
      </c>
      <c r="H53" s="39">
        <v>375</v>
      </c>
      <c r="I53" s="39">
        <v>2</v>
      </c>
      <c r="J53" s="39">
        <f t="shared" si="4"/>
        <v>750</v>
      </c>
      <c r="K53" s="39">
        <f t="shared" si="1"/>
        <v>375</v>
      </c>
      <c r="L53" s="39">
        <v>2</v>
      </c>
      <c r="M53" s="40"/>
    </row>
    <row r="54" spans="2:13" x14ac:dyDescent="0.3">
      <c r="B54" s="5">
        <v>41</v>
      </c>
      <c r="C54" s="40" t="s">
        <v>188</v>
      </c>
      <c r="D54" s="40" t="s">
        <v>233</v>
      </c>
      <c r="E54" s="40" t="s">
        <v>213</v>
      </c>
      <c r="F54" s="40"/>
      <c r="G54" s="42">
        <v>42186</v>
      </c>
      <c r="H54" s="39">
        <v>200</v>
      </c>
      <c r="I54" s="39">
        <v>1</v>
      </c>
      <c r="J54" s="39">
        <f t="shared" si="4"/>
        <v>200</v>
      </c>
      <c r="K54" s="39">
        <f t="shared" si="1"/>
        <v>100</v>
      </c>
      <c r="L54" s="39">
        <v>2</v>
      </c>
      <c r="M54" s="40"/>
    </row>
    <row r="55" spans="2:13" x14ac:dyDescent="0.3">
      <c r="B55" s="5">
        <v>42</v>
      </c>
      <c r="C55" s="40" t="s">
        <v>189</v>
      </c>
      <c r="D55" s="40" t="s">
        <v>233</v>
      </c>
      <c r="E55" s="40" t="s">
        <v>214</v>
      </c>
      <c r="F55" s="40"/>
      <c r="G55" s="42">
        <v>42186</v>
      </c>
      <c r="H55" s="39">
        <v>200</v>
      </c>
      <c r="I55" s="39">
        <v>1</v>
      </c>
      <c r="J55" s="39">
        <f t="shared" si="4"/>
        <v>200</v>
      </c>
      <c r="K55" s="39">
        <f t="shared" si="1"/>
        <v>100</v>
      </c>
      <c r="L55" s="39">
        <v>2</v>
      </c>
      <c r="M55" s="43"/>
    </row>
    <row r="56" spans="2:13" x14ac:dyDescent="0.3">
      <c r="B56" s="5">
        <v>43</v>
      </c>
      <c r="C56" s="40" t="s">
        <v>190</v>
      </c>
      <c r="D56" s="40" t="s">
        <v>233</v>
      </c>
      <c r="E56" s="40" t="s">
        <v>215</v>
      </c>
      <c r="F56" s="40"/>
      <c r="G56" s="42">
        <v>42186</v>
      </c>
      <c r="H56" s="39">
        <v>250</v>
      </c>
      <c r="I56" s="39">
        <v>7</v>
      </c>
      <c r="J56" s="39">
        <f t="shared" si="4"/>
        <v>1750</v>
      </c>
      <c r="K56" s="39">
        <f t="shared" si="1"/>
        <v>875</v>
      </c>
      <c r="L56" s="39">
        <v>2</v>
      </c>
      <c r="M56" s="40"/>
    </row>
    <row r="57" spans="2:13" x14ac:dyDescent="0.3">
      <c r="B57" s="5">
        <v>44</v>
      </c>
      <c r="C57" s="40" t="s">
        <v>191</v>
      </c>
      <c r="D57" s="40" t="s">
        <v>233</v>
      </c>
      <c r="E57" s="40" t="s">
        <v>216</v>
      </c>
      <c r="F57" s="40"/>
      <c r="G57" s="42">
        <v>42186</v>
      </c>
      <c r="H57" s="39">
        <v>120</v>
      </c>
      <c r="I57" s="39">
        <v>6</v>
      </c>
      <c r="J57" s="39">
        <f t="shared" si="4"/>
        <v>720</v>
      </c>
      <c r="K57" s="39">
        <f t="shared" si="1"/>
        <v>360</v>
      </c>
      <c r="L57" s="39">
        <v>2</v>
      </c>
      <c r="M57" s="40"/>
    </row>
    <row r="58" spans="2:13" x14ac:dyDescent="0.3">
      <c r="B58" s="5">
        <v>45</v>
      </c>
      <c r="C58" s="40" t="s">
        <v>192</v>
      </c>
      <c r="D58" s="40" t="s">
        <v>233</v>
      </c>
      <c r="E58" s="40" t="s">
        <v>217</v>
      </c>
      <c r="F58" s="40"/>
      <c r="G58" s="42">
        <v>42186</v>
      </c>
      <c r="H58" s="39">
        <v>500</v>
      </c>
      <c r="I58" s="39">
        <v>3</v>
      </c>
      <c r="J58" s="39">
        <f t="shared" si="4"/>
        <v>1500</v>
      </c>
      <c r="K58" s="39">
        <f t="shared" si="1"/>
        <v>750</v>
      </c>
      <c r="L58" s="39">
        <v>2</v>
      </c>
      <c r="M58" s="43"/>
    </row>
    <row r="59" spans="2:13" x14ac:dyDescent="0.3">
      <c r="B59" s="5">
        <v>46</v>
      </c>
      <c r="C59" s="40" t="s">
        <v>193</v>
      </c>
      <c r="D59" s="40" t="s">
        <v>233</v>
      </c>
      <c r="E59" s="40" t="s">
        <v>218</v>
      </c>
      <c r="F59" s="40"/>
      <c r="G59" s="42">
        <v>42186</v>
      </c>
      <c r="H59" s="39">
        <v>250</v>
      </c>
      <c r="I59" s="39">
        <v>14</v>
      </c>
      <c r="J59" s="39">
        <f t="shared" si="4"/>
        <v>3500</v>
      </c>
      <c r="K59" s="39">
        <f t="shared" si="1"/>
        <v>1750</v>
      </c>
      <c r="L59" s="39">
        <v>2</v>
      </c>
      <c r="M59" s="40"/>
    </row>
    <row r="60" spans="2:13" x14ac:dyDescent="0.3">
      <c r="B60" s="5">
        <v>47</v>
      </c>
      <c r="C60" s="40" t="s">
        <v>194</v>
      </c>
      <c r="D60" s="40" t="s">
        <v>233</v>
      </c>
      <c r="E60" s="40" t="s">
        <v>219</v>
      </c>
      <c r="F60" s="40"/>
      <c r="G60" s="42">
        <v>42186</v>
      </c>
      <c r="H60" s="39">
        <v>60</v>
      </c>
      <c r="I60" s="39">
        <v>6</v>
      </c>
      <c r="J60" s="39">
        <f t="shared" si="4"/>
        <v>360</v>
      </c>
      <c r="K60" s="39">
        <f t="shared" si="1"/>
        <v>180</v>
      </c>
      <c r="L60" s="39">
        <v>2</v>
      </c>
      <c r="M60" s="40"/>
    </row>
    <row r="61" spans="2:13" x14ac:dyDescent="0.3">
      <c r="B61" s="5">
        <v>48</v>
      </c>
      <c r="C61" s="40" t="s">
        <v>195</v>
      </c>
      <c r="D61" s="40" t="s">
        <v>233</v>
      </c>
      <c r="E61" s="40" t="s">
        <v>220</v>
      </c>
      <c r="F61" s="40"/>
      <c r="G61" s="42">
        <v>42186</v>
      </c>
      <c r="H61" s="39">
        <v>250</v>
      </c>
      <c r="I61" s="39">
        <v>8</v>
      </c>
      <c r="J61" s="39">
        <f t="shared" si="4"/>
        <v>2000</v>
      </c>
      <c r="K61" s="39">
        <f t="shared" si="1"/>
        <v>1000</v>
      </c>
      <c r="L61" s="39">
        <v>2</v>
      </c>
      <c r="M61" s="43"/>
    </row>
    <row r="62" spans="2:13" x14ac:dyDescent="0.3">
      <c r="B62" s="5">
        <v>49</v>
      </c>
      <c r="C62" s="40" t="s">
        <v>196</v>
      </c>
      <c r="D62" s="40" t="s">
        <v>233</v>
      </c>
      <c r="E62" s="40" t="s">
        <v>221</v>
      </c>
      <c r="F62" s="40"/>
      <c r="G62" s="42">
        <v>42186</v>
      </c>
      <c r="H62" s="39">
        <v>2000</v>
      </c>
      <c r="I62" s="39">
        <v>1</v>
      </c>
      <c r="J62" s="39">
        <f t="shared" si="4"/>
        <v>2000</v>
      </c>
      <c r="K62" s="39">
        <f t="shared" si="1"/>
        <v>1000</v>
      </c>
      <c r="L62" s="39">
        <v>2</v>
      </c>
      <c r="M62" s="40"/>
    </row>
    <row r="63" spans="2:13" x14ac:dyDescent="0.3">
      <c r="B63" s="5">
        <v>50</v>
      </c>
      <c r="C63" s="40" t="s">
        <v>197</v>
      </c>
      <c r="D63" s="40" t="s">
        <v>233</v>
      </c>
      <c r="E63" s="40" t="s">
        <v>222</v>
      </c>
      <c r="F63" s="40"/>
      <c r="G63" s="42">
        <v>42186</v>
      </c>
      <c r="H63" s="39">
        <v>250</v>
      </c>
      <c r="I63" s="39">
        <v>2</v>
      </c>
      <c r="J63" s="39">
        <f t="shared" si="4"/>
        <v>500</v>
      </c>
      <c r="K63" s="39">
        <f t="shared" si="1"/>
        <v>250</v>
      </c>
      <c r="L63" s="39">
        <v>2</v>
      </c>
      <c r="M63" s="40"/>
    </row>
    <row r="64" spans="2:13" x14ac:dyDescent="0.3">
      <c r="B64" s="5">
        <v>51</v>
      </c>
      <c r="C64" s="40" t="s">
        <v>198</v>
      </c>
      <c r="D64" s="40" t="s">
        <v>233</v>
      </c>
      <c r="E64" s="40" t="s">
        <v>223</v>
      </c>
      <c r="F64" s="40"/>
      <c r="G64" s="42">
        <v>42186</v>
      </c>
      <c r="H64" s="39">
        <v>400</v>
      </c>
      <c r="I64" s="39">
        <v>3</v>
      </c>
      <c r="J64" s="39">
        <f t="shared" si="4"/>
        <v>1200</v>
      </c>
      <c r="K64" s="39">
        <f t="shared" si="1"/>
        <v>600</v>
      </c>
      <c r="L64" s="39">
        <v>2</v>
      </c>
      <c r="M64" s="43"/>
    </row>
    <row r="65" spans="2:13" x14ac:dyDescent="0.3">
      <c r="B65" s="5">
        <v>52</v>
      </c>
      <c r="C65" s="40" t="s">
        <v>199</v>
      </c>
      <c r="D65" s="40" t="s">
        <v>233</v>
      </c>
      <c r="E65" s="40" t="s">
        <v>224</v>
      </c>
      <c r="F65" s="40"/>
      <c r="G65" s="42">
        <v>42186</v>
      </c>
      <c r="H65" s="39">
        <v>35</v>
      </c>
      <c r="I65" s="39">
        <v>10</v>
      </c>
      <c r="J65" s="39">
        <f t="shared" si="4"/>
        <v>350</v>
      </c>
      <c r="K65" s="39">
        <f t="shared" si="1"/>
        <v>175</v>
      </c>
      <c r="L65" s="39">
        <v>2</v>
      </c>
      <c r="M65" s="40"/>
    </row>
    <row r="66" spans="2:13" x14ac:dyDescent="0.3">
      <c r="B66" s="5">
        <v>53</v>
      </c>
      <c r="C66" s="40" t="s">
        <v>200</v>
      </c>
      <c r="D66" s="40" t="s">
        <v>233</v>
      </c>
      <c r="E66" s="40" t="s">
        <v>225</v>
      </c>
      <c r="F66" s="40"/>
      <c r="G66" s="42">
        <v>42186</v>
      </c>
      <c r="H66" s="39">
        <v>100</v>
      </c>
      <c r="I66" s="39">
        <v>5</v>
      </c>
      <c r="J66" s="39">
        <f t="shared" si="4"/>
        <v>500</v>
      </c>
      <c r="K66" s="39">
        <f t="shared" si="1"/>
        <v>250</v>
      </c>
      <c r="L66" s="39">
        <v>2</v>
      </c>
      <c r="M66" s="40"/>
    </row>
    <row r="67" spans="2:13" x14ac:dyDescent="0.3">
      <c r="B67" s="5">
        <v>54</v>
      </c>
      <c r="C67" s="40" t="s">
        <v>201</v>
      </c>
      <c r="D67" s="40" t="s">
        <v>233</v>
      </c>
      <c r="E67" s="40" t="s">
        <v>226</v>
      </c>
      <c r="F67" s="40"/>
      <c r="G67" s="42">
        <v>42186</v>
      </c>
      <c r="H67" s="39">
        <v>600</v>
      </c>
      <c r="I67" s="39">
        <v>2</v>
      </c>
      <c r="J67" s="39">
        <f t="shared" si="4"/>
        <v>1200</v>
      </c>
      <c r="K67" s="39">
        <f t="shared" si="1"/>
        <v>600</v>
      </c>
      <c r="L67" s="39">
        <v>2</v>
      </c>
      <c r="M67" s="43"/>
    </row>
    <row r="68" spans="2:13" x14ac:dyDescent="0.3">
      <c r="B68" s="5">
        <v>55</v>
      </c>
      <c r="C68" s="40" t="s">
        <v>202</v>
      </c>
      <c r="D68" s="40" t="s">
        <v>233</v>
      </c>
      <c r="E68" s="40" t="s">
        <v>227</v>
      </c>
      <c r="F68" s="40"/>
      <c r="G68" s="42">
        <v>42186</v>
      </c>
      <c r="H68" s="39">
        <v>500</v>
      </c>
      <c r="I68" s="39">
        <v>1</v>
      </c>
      <c r="J68" s="39">
        <f t="shared" si="4"/>
        <v>500</v>
      </c>
      <c r="K68" s="39">
        <f t="shared" si="1"/>
        <v>250</v>
      </c>
      <c r="L68" s="39">
        <v>2</v>
      </c>
      <c r="M68" s="40"/>
    </row>
    <row r="69" spans="2:13" x14ac:dyDescent="0.3">
      <c r="B69" s="5">
        <v>56</v>
      </c>
      <c r="C69" s="40" t="s">
        <v>203</v>
      </c>
      <c r="D69" s="40" t="s">
        <v>233</v>
      </c>
      <c r="E69" s="40" t="s">
        <v>228</v>
      </c>
      <c r="F69" s="40"/>
      <c r="G69" s="42">
        <v>42186</v>
      </c>
      <c r="H69" s="39">
        <v>5000</v>
      </c>
      <c r="I69" s="39">
        <v>3</v>
      </c>
      <c r="J69" s="39">
        <f t="shared" si="4"/>
        <v>15000</v>
      </c>
      <c r="K69" s="39">
        <f t="shared" si="1"/>
        <v>7500</v>
      </c>
      <c r="L69" s="39">
        <v>2</v>
      </c>
      <c r="M69" s="40"/>
    </row>
    <row r="70" spans="2:13" x14ac:dyDescent="0.3">
      <c r="B70" s="5">
        <v>57</v>
      </c>
      <c r="C70" s="40" t="s">
        <v>204</v>
      </c>
      <c r="D70" s="40" t="s">
        <v>233</v>
      </c>
      <c r="E70" s="40" t="s">
        <v>229</v>
      </c>
      <c r="F70" s="40"/>
      <c r="G70" s="42">
        <v>42186</v>
      </c>
      <c r="H70" s="39">
        <v>4000</v>
      </c>
      <c r="I70" s="39">
        <v>2</v>
      </c>
      <c r="J70" s="39">
        <f t="shared" si="4"/>
        <v>8000</v>
      </c>
      <c r="K70" s="39">
        <f t="shared" si="1"/>
        <v>4000</v>
      </c>
      <c r="L70" s="39">
        <v>2</v>
      </c>
      <c r="M70" s="43"/>
    </row>
    <row r="71" spans="2:13" x14ac:dyDescent="0.3">
      <c r="B71" s="5">
        <v>58</v>
      </c>
      <c r="C71" s="40" t="s">
        <v>205</v>
      </c>
      <c r="D71" s="40" t="s">
        <v>233</v>
      </c>
      <c r="E71" s="40" t="s">
        <v>230</v>
      </c>
      <c r="F71" s="40"/>
      <c r="G71" s="42">
        <v>42186</v>
      </c>
      <c r="H71" s="39">
        <v>4000</v>
      </c>
      <c r="I71" s="39">
        <v>1</v>
      </c>
      <c r="J71" s="39">
        <f t="shared" si="4"/>
        <v>4000</v>
      </c>
      <c r="K71" s="39">
        <f t="shared" si="1"/>
        <v>2000</v>
      </c>
      <c r="L71" s="39">
        <v>2</v>
      </c>
      <c r="M71" s="40"/>
    </row>
    <row r="72" spans="2:13" x14ac:dyDescent="0.3">
      <c r="B72" s="5">
        <v>59</v>
      </c>
      <c r="C72" s="40" t="s">
        <v>206</v>
      </c>
      <c r="D72" s="40" t="s">
        <v>233</v>
      </c>
      <c r="E72" s="40" t="s">
        <v>231</v>
      </c>
      <c r="F72" s="40"/>
      <c r="G72" s="42">
        <v>42186</v>
      </c>
      <c r="H72" s="39">
        <v>4000</v>
      </c>
      <c r="I72" s="39">
        <v>1</v>
      </c>
      <c r="J72" s="39">
        <f t="shared" si="4"/>
        <v>4000</v>
      </c>
      <c r="K72" s="39">
        <f t="shared" si="1"/>
        <v>2000</v>
      </c>
      <c r="L72" s="39">
        <v>2</v>
      </c>
      <c r="M72" s="40"/>
    </row>
    <row r="73" spans="2:13" x14ac:dyDescent="0.3">
      <c r="B73" s="5">
        <v>60</v>
      </c>
      <c r="C73" s="40" t="s">
        <v>207</v>
      </c>
      <c r="D73" s="40" t="s">
        <v>233</v>
      </c>
      <c r="E73" s="40" t="s">
        <v>232</v>
      </c>
      <c r="F73" s="40"/>
      <c r="G73" s="42">
        <v>42186</v>
      </c>
      <c r="H73" s="39">
        <v>5000</v>
      </c>
      <c r="I73" s="39">
        <v>1</v>
      </c>
      <c r="J73" s="39">
        <f t="shared" si="4"/>
        <v>5000</v>
      </c>
      <c r="K73" s="39">
        <f t="shared" si="1"/>
        <v>2500</v>
      </c>
      <c r="L73" s="39">
        <v>2</v>
      </c>
      <c r="M73" s="43"/>
    </row>
    <row r="74" spans="2:13" x14ac:dyDescent="0.3">
      <c r="B74" s="5">
        <v>61</v>
      </c>
      <c r="C74" s="40" t="s">
        <v>234</v>
      </c>
      <c r="D74" s="40" t="s">
        <v>236</v>
      </c>
      <c r="E74" s="40" t="s">
        <v>235</v>
      </c>
      <c r="F74" s="40"/>
      <c r="G74" s="42">
        <v>42657</v>
      </c>
      <c r="H74" s="39">
        <v>100000</v>
      </c>
      <c r="I74" s="39">
        <v>1</v>
      </c>
      <c r="J74" s="39">
        <f t="shared" si="4"/>
        <v>100000</v>
      </c>
      <c r="K74" s="39">
        <f t="shared" si="1"/>
        <v>25000</v>
      </c>
      <c r="L74" s="39">
        <v>4</v>
      </c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>
        <v>0</v>
      </c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password="C2E9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66"/>
  <sheetViews>
    <sheetView showGridLines="0" tabSelected="1" zoomScaleNormal="100" workbookViewId="0">
      <pane xSplit="4" ySplit="17" topLeftCell="AJ30" activePane="bottomRight" state="frozen"/>
      <selection pane="topRight" activeCell="E1" sqref="E1"/>
      <selection pane="bottomLeft" activeCell="A18" sqref="A18"/>
      <selection pane="bottomRight" activeCell="AY36" sqref="AY36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customWidth="1"/>
    <col min="60" max="60" width="1.7109375" style="44" customWidth="1"/>
    <col min="61" max="121" width="8.7109375" style="28" hidden="1" customWidth="1"/>
    <col min="122" max="16384" width="8.7109375" style="6"/>
  </cols>
  <sheetData>
    <row r="2" spans="2:121" ht="14.1" x14ac:dyDescent="0.3">
      <c r="B2" s="26" t="s">
        <v>20</v>
      </c>
      <c r="C2" s="27"/>
      <c r="D2" s="27"/>
      <c r="BH2" s="28"/>
    </row>
    <row r="3" spans="2:121" ht="14.1" x14ac:dyDescent="0.3">
      <c r="B3" s="1"/>
    </row>
    <row r="4" spans="2:121" ht="14.1" hidden="1" outlineLevel="1" x14ac:dyDescent="0.3">
      <c r="B4" s="2" t="s">
        <v>102</v>
      </c>
      <c r="C4" s="6">
        <v>7</v>
      </c>
    </row>
    <row r="5" spans="2:121" ht="14.1" hidden="1" outlineLevel="1" x14ac:dyDescent="0.3">
      <c r="B5" s="2" t="s">
        <v>103</v>
      </c>
      <c r="C5" s="6">
        <v>4</v>
      </c>
    </row>
    <row r="6" spans="2:121" ht="14.1" hidden="1" outlineLevel="1" x14ac:dyDescent="0.3">
      <c r="B6" s="2" t="s">
        <v>104</v>
      </c>
      <c r="C6" s="6">
        <v>3</v>
      </c>
    </row>
    <row r="7" spans="2:121" ht="14.1" hidden="1" outlineLevel="1" x14ac:dyDescent="0.3">
      <c r="B7" s="2" t="s">
        <v>105</v>
      </c>
      <c r="C7" s="6">
        <v>3</v>
      </c>
    </row>
    <row r="8" spans="2:121" ht="14.1" hidden="1" outlineLevel="1" x14ac:dyDescent="0.3">
      <c r="B8" s="2" t="s">
        <v>106</v>
      </c>
      <c r="C8" s="6">
        <v>3</v>
      </c>
    </row>
    <row r="9" spans="2:121" ht="14.1" hidden="1" outlineLevel="1" x14ac:dyDescent="0.3">
      <c r="B9" s="2" t="s">
        <v>107</v>
      </c>
      <c r="C9" s="6">
        <v>23</v>
      </c>
    </row>
    <row r="10" spans="2:121" ht="14.1" collapsed="1" x14ac:dyDescent="0.3">
      <c r="B10" s="14" t="s">
        <v>30</v>
      </c>
      <c r="C10" s="15"/>
      <c r="D10" s="16"/>
      <c r="BH10" s="46"/>
    </row>
    <row r="11" spans="2:121" s="2" customFormat="1" ht="14.1" x14ac:dyDescent="0.3">
      <c r="B11" s="17" t="s">
        <v>23</v>
      </c>
      <c r="C11" s="56" t="s">
        <v>237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4.1" x14ac:dyDescent="0.3">
      <c r="B12" s="20" t="s">
        <v>31</v>
      </c>
      <c r="C12" s="21"/>
      <c r="D12" s="22"/>
    </row>
    <row r="13" spans="2:121" ht="14.1" x14ac:dyDescent="0.3">
      <c r="B13" s="20" t="s">
        <v>32</v>
      </c>
      <c r="C13" s="21"/>
      <c r="D13" s="22"/>
    </row>
    <row r="14" spans="2:121" ht="14.1" x14ac:dyDescent="0.3">
      <c r="B14" s="23" t="s">
        <v>35</v>
      </c>
      <c r="C14" s="24"/>
      <c r="D14" s="25"/>
    </row>
    <row r="15" spans="2:121" ht="12.95" x14ac:dyDescent="0.3">
      <c r="E15" s="6"/>
    </row>
    <row r="16" spans="2:121" ht="15" thickBot="1" x14ac:dyDescent="0.4">
      <c r="B16" s="59"/>
      <c r="C16" s="60"/>
      <c r="D16" s="61"/>
      <c r="E16" s="45"/>
      <c r="F16" s="62" t="s">
        <v>37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53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64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37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53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64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140.1" x14ac:dyDescent="0.3">
      <c r="B17" s="52" t="s">
        <v>101</v>
      </c>
      <c r="C17" s="53" t="s">
        <v>16</v>
      </c>
      <c r="D17" s="54" t="s">
        <v>17</v>
      </c>
      <c r="E17" s="47"/>
      <c r="F17" s="48" t="s">
        <v>38</v>
      </c>
      <c r="G17" s="48" t="s">
        <v>96</v>
      </c>
      <c r="H17" s="48" t="s">
        <v>39</v>
      </c>
      <c r="I17" s="48" t="s">
        <v>40</v>
      </c>
      <c r="J17" s="48" t="s">
        <v>41</v>
      </c>
      <c r="K17" s="48" t="s">
        <v>42</v>
      </c>
      <c r="L17" s="48" t="s">
        <v>43</v>
      </c>
      <c r="M17" s="48" t="s">
        <v>97</v>
      </c>
      <c r="N17" s="48" t="s">
        <v>44</v>
      </c>
      <c r="O17" s="48" t="s">
        <v>45</v>
      </c>
      <c r="P17" s="48" t="s">
        <v>46</v>
      </c>
      <c r="Q17" s="48" t="s">
        <v>47</v>
      </c>
      <c r="R17" s="48" t="s">
        <v>48</v>
      </c>
      <c r="S17" s="48" t="s">
        <v>49</v>
      </c>
      <c r="T17" s="48" t="s">
        <v>50</v>
      </c>
      <c r="U17" s="48" t="s">
        <v>51</v>
      </c>
      <c r="V17" s="48" t="s">
        <v>52</v>
      </c>
      <c r="W17" s="48" t="s">
        <v>82</v>
      </c>
      <c r="X17" s="48" t="s">
        <v>54</v>
      </c>
      <c r="Y17" s="48" t="s">
        <v>57</v>
      </c>
      <c r="Z17" s="49" t="s">
        <v>74</v>
      </c>
      <c r="AA17" s="48" t="s">
        <v>56</v>
      </c>
      <c r="AB17" s="49" t="s">
        <v>55</v>
      </c>
      <c r="AC17" s="48" t="s">
        <v>75</v>
      </c>
      <c r="AD17" s="48" t="s">
        <v>76</v>
      </c>
      <c r="AE17" s="48" t="s">
        <v>78</v>
      </c>
      <c r="AF17" s="48" t="s">
        <v>6</v>
      </c>
      <c r="AG17" s="48" t="s">
        <v>58</v>
      </c>
      <c r="AH17" s="48" t="s">
        <v>79</v>
      </c>
      <c r="AI17" s="48" t="s">
        <v>59</v>
      </c>
      <c r="AJ17" s="48" t="s">
        <v>60</v>
      </c>
      <c r="AK17" s="48" t="s">
        <v>61</v>
      </c>
      <c r="AL17" s="48" t="s">
        <v>62</v>
      </c>
      <c r="AM17" s="49" t="s">
        <v>80</v>
      </c>
      <c r="AN17" s="49" t="s">
        <v>81</v>
      </c>
      <c r="AO17" s="48" t="s">
        <v>82</v>
      </c>
      <c r="AP17" s="48" t="s">
        <v>98</v>
      </c>
      <c r="AQ17" s="48" t="s">
        <v>83</v>
      </c>
      <c r="AR17" s="48" t="s">
        <v>84</v>
      </c>
      <c r="AS17" s="48" t="s">
        <v>85</v>
      </c>
      <c r="AT17" s="48" t="s">
        <v>86</v>
      </c>
      <c r="AU17" s="48" t="s">
        <v>87</v>
      </c>
      <c r="AV17" s="48" t="s">
        <v>88</v>
      </c>
      <c r="AW17" s="49" t="s">
        <v>99</v>
      </c>
      <c r="AX17" s="48" t="s">
        <v>100</v>
      </c>
      <c r="AY17" s="48" t="s">
        <v>66</v>
      </c>
      <c r="AZ17" s="48" t="s">
        <v>7</v>
      </c>
      <c r="BA17" s="48" t="s">
        <v>63</v>
      </c>
      <c r="BB17" s="48" t="s">
        <v>5</v>
      </c>
      <c r="BC17" s="48" t="s">
        <v>67</v>
      </c>
      <c r="BD17" s="48" t="s">
        <v>2</v>
      </c>
      <c r="BE17" s="48" t="s">
        <v>3</v>
      </c>
      <c r="BF17" s="48" t="s">
        <v>68</v>
      </c>
      <c r="BG17" s="48" t="s">
        <v>4</v>
      </c>
      <c r="BI17" s="48" t="s">
        <v>38</v>
      </c>
      <c r="BJ17" s="48" t="s">
        <v>93</v>
      </c>
      <c r="BK17" s="48" t="s">
        <v>39</v>
      </c>
      <c r="BL17" s="48" t="s">
        <v>40</v>
      </c>
      <c r="BM17" s="48" t="s">
        <v>41</v>
      </c>
      <c r="BN17" s="48" t="s">
        <v>42</v>
      </c>
      <c r="BO17" s="48" t="s">
        <v>43</v>
      </c>
      <c r="BP17" s="48" t="s">
        <v>94</v>
      </c>
      <c r="BQ17" s="48" t="s">
        <v>44</v>
      </c>
      <c r="BR17" s="48" t="s">
        <v>45</v>
      </c>
      <c r="BS17" s="48" t="s">
        <v>46</v>
      </c>
      <c r="BT17" s="48" t="s">
        <v>47</v>
      </c>
      <c r="BU17" s="48" t="s">
        <v>48</v>
      </c>
      <c r="BV17" s="48" t="s">
        <v>49</v>
      </c>
      <c r="BW17" s="48" t="s">
        <v>50</v>
      </c>
      <c r="BX17" s="48" t="s">
        <v>51</v>
      </c>
      <c r="BY17" s="48" t="s">
        <v>95</v>
      </c>
      <c r="BZ17" s="48" t="s">
        <v>82</v>
      </c>
      <c r="CA17" s="48" t="s">
        <v>54</v>
      </c>
      <c r="CB17" s="48" t="s">
        <v>57</v>
      </c>
      <c r="CC17" s="48" t="s">
        <v>74</v>
      </c>
      <c r="CD17" s="48" t="s">
        <v>56</v>
      </c>
      <c r="CE17" s="48" t="s">
        <v>55</v>
      </c>
      <c r="CF17" s="48" t="s">
        <v>75</v>
      </c>
      <c r="CG17" s="48" t="s">
        <v>76</v>
      </c>
      <c r="CH17" s="48" t="s">
        <v>77</v>
      </c>
      <c r="CI17" s="48" t="s">
        <v>78</v>
      </c>
      <c r="CJ17" s="48" t="s">
        <v>6</v>
      </c>
      <c r="CK17" s="48" t="s">
        <v>58</v>
      </c>
      <c r="CL17" s="48" t="s">
        <v>79</v>
      </c>
      <c r="CM17" s="48" t="s">
        <v>59</v>
      </c>
      <c r="CN17" s="48" t="s">
        <v>60</v>
      </c>
      <c r="CO17" s="48" t="s">
        <v>61</v>
      </c>
      <c r="CP17" s="48" t="s">
        <v>62</v>
      </c>
      <c r="CQ17" s="48" t="s">
        <v>80</v>
      </c>
      <c r="CR17" s="48" t="s">
        <v>81</v>
      </c>
      <c r="CS17" s="49" t="s">
        <v>82</v>
      </c>
      <c r="CT17" s="48" t="s">
        <v>65</v>
      </c>
      <c r="CU17" s="48" t="s">
        <v>83</v>
      </c>
      <c r="CV17" s="48" t="s">
        <v>84</v>
      </c>
      <c r="CW17" s="48" t="s">
        <v>85</v>
      </c>
      <c r="CX17" s="48" t="s">
        <v>86</v>
      </c>
      <c r="CY17" s="48" t="s">
        <v>87</v>
      </c>
      <c r="CZ17" s="48" t="s">
        <v>88</v>
      </c>
      <c r="DA17" s="50" t="s">
        <v>89</v>
      </c>
      <c r="DB17" s="48" t="s">
        <v>90</v>
      </c>
      <c r="DC17" s="48" t="s">
        <v>66</v>
      </c>
      <c r="DD17" s="48" t="s">
        <v>7</v>
      </c>
      <c r="DE17" s="48" t="s">
        <v>91</v>
      </c>
      <c r="DF17" s="48" t="s">
        <v>63</v>
      </c>
      <c r="DG17" s="48" t="s">
        <v>92</v>
      </c>
      <c r="DH17" s="48" t="s">
        <v>5</v>
      </c>
      <c r="DI17" s="48" t="s">
        <v>67</v>
      </c>
      <c r="DJ17" s="48" t="s">
        <v>2</v>
      </c>
      <c r="DK17" s="48" t="s">
        <v>3</v>
      </c>
      <c r="DL17" s="48" t="s">
        <v>68</v>
      </c>
      <c r="DM17" s="48" t="s">
        <v>4</v>
      </c>
      <c r="DN17" s="48" t="s">
        <v>69</v>
      </c>
      <c r="DO17" s="48" t="s">
        <v>70</v>
      </c>
      <c r="DP17" s="48" t="s">
        <v>71</v>
      </c>
      <c r="DQ17" s="48" t="s">
        <v>72</v>
      </c>
    </row>
    <row r="18" spans="2:121" ht="14.45" customHeight="1" x14ac:dyDescent="0.3">
      <c r="B18" s="12"/>
      <c r="C18" s="13" t="s">
        <v>10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18</v>
      </c>
      <c r="D19" s="40">
        <v>2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>
        <v>2</v>
      </c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4.1" x14ac:dyDescent="0.3">
      <c r="B20" s="10">
        <v>2</v>
      </c>
      <c r="C20" s="40" t="s">
        <v>19</v>
      </c>
      <c r="D20" s="40">
        <v>2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>
        <v>2</v>
      </c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</row>
    <row r="21" spans="2:121" ht="14.1" x14ac:dyDescent="0.3">
      <c r="B21" s="10">
        <v>3</v>
      </c>
      <c r="C21" s="40"/>
      <c r="D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4.1" x14ac:dyDescent="0.3">
      <c r="B22" s="10">
        <v>4</v>
      </c>
      <c r="C22" s="40"/>
      <c r="D22" s="40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4.1" x14ac:dyDescent="0.3">
      <c r="B23" s="10">
        <v>5</v>
      </c>
      <c r="C23" s="40"/>
      <c r="D23" s="40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4.1" x14ac:dyDescent="0.3">
      <c r="B24" s="10">
        <v>6</v>
      </c>
      <c r="C24" s="40"/>
      <c r="D24" s="40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6.5" x14ac:dyDescent="0.3">
      <c r="B25" s="10">
        <v>7</v>
      </c>
      <c r="C25" s="40"/>
      <c r="D25" s="40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6.5" x14ac:dyDescent="0.3">
      <c r="B26" s="9"/>
      <c r="C26" s="11" t="s">
        <v>11</v>
      </c>
      <c r="D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4.1" x14ac:dyDescent="0.3">
      <c r="B27" s="10">
        <v>1</v>
      </c>
      <c r="C27" s="40" t="s">
        <v>111</v>
      </c>
      <c r="D27" s="39">
        <v>37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>
        <v>25</v>
      </c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>
        <v>6</v>
      </c>
      <c r="BD27" s="39">
        <v>2</v>
      </c>
      <c r="BE27" s="39">
        <v>1</v>
      </c>
      <c r="BF27" s="39">
        <v>3</v>
      </c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4.1" x14ac:dyDescent="0.3">
      <c r="B28" s="10">
        <v>2</v>
      </c>
      <c r="C28" s="40" t="s">
        <v>238</v>
      </c>
      <c r="D28" s="39">
        <v>2</v>
      </c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>
        <v>1</v>
      </c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>
        <v>1</v>
      </c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4.1" x14ac:dyDescent="0.3">
      <c r="B29" s="10">
        <v>3</v>
      </c>
      <c r="C29" s="40"/>
      <c r="D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4.1" x14ac:dyDescent="0.3">
      <c r="B30" s="10">
        <v>4</v>
      </c>
      <c r="C30" s="40"/>
      <c r="D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4.1" x14ac:dyDescent="0.3">
      <c r="B31" s="9"/>
      <c r="C31" s="11" t="s">
        <v>12</v>
      </c>
      <c r="D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4.1" x14ac:dyDescent="0.3">
      <c r="B32" s="10">
        <v>1</v>
      </c>
      <c r="C32" s="40" t="s">
        <v>112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4.1" x14ac:dyDescent="0.3">
      <c r="B33" s="10">
        <v>2</v>
      </c>
      <c r="C33" s="40"/>
      <c r="D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4.1" x14ac:dyDescent="0.3">
      <c r="B34" s="10">
        <v>3</v>
      </c>
      <c r="C34" s="40"/>
      <c r="D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6.5" x14ac:dyDescent="0.3">
      <c r="B35" s="9"/>
      <c r="C35" s="11" t="s">
        <v>13</v>
      </c>
      <c r="D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6.5" x14ac:dyDescent="0.3">
      <c r="B36" s="10">
        <v>1</v>
      </c>
      <c r="C36" s="40" t="s">
        <v>239</v>
      </c>
      <c r="D36" s="39">
        <v>50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>
        <v>50</v>
      </c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6.5" x14ac:dyDescent="0.3">
      <c r="B37" s="10">
        <v>2</v>
      </c>
      <c r="C37" s="40" t="s">
        <v>240</v>
      </c>
      <c r="D37" s="39">
        <v>3</v>
      </c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>
        <v>3</v>
      </c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6.5" x14ac:dyDescent="0.3">
      <c r="B38" s="10">
        <v>3</v>
      </c>
      <c r="C38" s="40"/>
      <c r="D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6.5" x14ac:dyDescent="0.3">
      <c r="B39" s="9"/>
      <c r="C39" s="11" t="s">
        <v>14</v>
      </c>
      <c r="D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1</v>
      </c>
      <c r="C40" s="40" t="s">
        <v>241</v>
      </c>
      <c r="D40" s="39">
        <v>5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>
        <v>5</v>
      </c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10">
        <v>2</v>
      </c>
      <c r="C41" s="40"/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6.5" x14ac:dyDescent="0.3">
      <c r="B42" s="10">
        <v>3</v>
      </c>
      <c r="C42" s="40"/>
      <c r="D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6.5" x14ac:dyDescent="0.3">
      <c r="B43" s="9"/>
      <c r="C43" s="11" t="s">
        <v>15</v>
      </c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10">
        <v>1</v>
      </c>
      <c r="C44" s="40" t="s">
        <v>242</v>
      </c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6.5" x14ac:dyDescent="0.3">
      <c r="B45" s="10">
        <v>2</v>
      </c>
      <c r="C45" s="40" t="s">
        <v>243</v>
      </c>
      <c r="D45" s="39">
        <v>3</v>
      </c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>
        <v>3</v>
      </c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6.5" x14ac:dyDescent="0.3">
      <c r="B46" s="10">
        <v>3</v>
      </c>
      <c r="C46" s="40" t="s">
        <v>244</v>
      </c>
      <c r="D46" s="39">
        <v>19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>
        <v>14</v>
      </c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>
        <v>5</v>
      </c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10">
        <v>4</v>
      </c>
      <c r="C47" s="40" t="s">
        <v>245</v>
      </c>
      <c r="D47" s="39">
        <v>6</v>
      </c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>
        <v>3</v>
      </c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>
        <v>3</v>
      </c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5</v>
      </c>
      <c r="C48" s="40" t="s">
        <v>246</v>
      </c>
      <c r="D48" s="39">
        <v>17</v>
      </c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>
        <v>13</v>
      </c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>
        <v>4</v>
      </c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10">
        <v>6</v>
      </c>
      <c r="C49" s="40" t="s">
        <v>247</v>
      </c>
      <c r="D49" s="39">
        <v>12</v>
      </c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>
        <v>8</v>
      </c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>
        <v>4</v>
      </c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6.5" x14ac:dyDescent="0.3">
      <c r="B50" s="10">
        <v>7</v>
      </c>
      <c r="C50" s="40" t="s">
        <v>248</v>
      </c>
      <c r="D50" s="39">
        <v>14</v>
      </c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>
        <v>10</v>
      </c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>
        <v>4</v>
      </c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6.5" x14ac:dyDescent="0.3">
      <c r="B51" s="10">
        <v>8</v>
      </c>
      <c r="C51" s="40" t="s">
        <v>249</v>
      </c>
      <c r="D51" s="39">
        <v>11</v>
      </c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>
        <v>7</v>
      </c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>
        <v>4</v>
      </c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6.5" x14ac:dyDescent="0.3">
      <c r="B52" s="10">
        <v>9</v>
      </c>
      <c r="C52" s="40" t="s">
        <v>250</v>
      </c>
      <c r="D52" s="39">
        <v>11</v>
      </c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>
        <v>7</v>
      </c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>
        <v>4</v>
      </c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  <row r="53" spans="2:121" ht="16.5" x14ac:dyDescent="0.3">
      <c r="B53" s="10">
        <v>10</v>
      </c>
      <c r="C53" s="40" t="s">
        <v>251</v>
      </c>
      <c r="D53" s="39">
        <v>11</v>
      </c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>
        <v>7</v>
      </c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>
        <v>4</v>
      </c>
      <c r="BD53" s="39"/>
      <c r="BE53" s="39"/>
      <c r="BF53" s="39"/>
      <c r="BG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</row>
    <row r="54" spans="2:121" ht="16.5" x14ac:dyDescent="0.3">
      <c r="B54" s="10">
        <v>11</v>
      </c>
      <c r="C54" s="40" t="s">
        <v>252</v>
      </c>
      <c r="D54" s="39">
        <v>6</v>
      </c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>
        <v>5</v>
      </c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>
        <v>1</v>
      </c>
      <c r="BD54" s="39"/>
      <c r="BE54" s="39"/>
      <c r="BF54" s="39"/>
      <c r="BG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</row>
    <row r="55" spans="2:121" ht="16.5" x14ac:dyDescent="0.3">
      <c r="B55" s="10">
        <v>12</v>
      </c>
      <c r="C55" s="40" t="s">
        <v>253</v>
      </c>
      <c r="D55" s="39">
        <v>7</v>
      </c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>
        <v>6</v>
      </c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>
        <v>1</v>
      </c>
      <c r="BD55" s="39"/>
      <c r="BE55" s="39"/>
      <c r="BF55" s="39"/>
      <c r="BG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</row>
    <row r="56" spans="2:121" ht="16.5" x14ac:dyDescent="0.3">
      <c r="B56" s="10">
        <v>13</v>
      </c>
      <c r="C56" s="40" t="s">
        <v>254</v>
      </c>
      <c r="D56" s="39">
        <v>6</v>
      </c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>
        <v>4</v>
      </c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>
        <v>2</v>
      </c>
      <c r="BD56" s="39"/>
      <c r="BE56" s="39"/>
      <c r="BF56" s="39"/>
      <c r="BG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</row>
    <row r="57" spans="2:121" ht="16.5" x14ac:dyDescent="0.3">
      <c r="B57" s="10">
        <v>14</v>
      </c>
      <c r="C57" s="40" t="s">
        <v>255</v>
      </c>
      <c r="D57" s="39">
        <v>8</v>
      </c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>
        <v>4</v>
      </c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>
        <v>4</v>
      </c>
      <c r="BD57" s="39"/>
      <c r="BE57" s="39"/>
      <c r="BF57" s="39"/>
      <c r="BG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</row>
    <row r="58" spans="2:121" ht="16.5" x14ac:dyDescent="0.3">
      <c r="B58" s="10">
        <v>15</v>
      </c>
      <c r="C58" s="40" t="s">
        <v>256</v>
      </c>
      <c r="D58" s="39">
        <v>4</v>
      </c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>
        <v>3</v>
      </c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>
        <v>1</v>
      </c>
      <c r="BD58" s="39"/>
      <c r="BE58" s="39"/>
      <c r="BF58" s="39"/>
      <c r="BG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</row>
    <row r="59" spans="2:121" ht="16.5" x14ac:dyDescent="0.3">
      <c r="B59" s="10">
        <v>16</v>
      </c>
      <c r="C59" s="40" t="s">
        <v>257</v>
      </c>
      <c r="D59" s="39">
        <v>1</v>
      </c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>
        <v>1</v>
      </c>
      <c r="BD59" s="39"/>
      <c r="BE59" s="39"/>
      <c r="BF59" s="39"/>
      <c r="BG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</row>
    <row r="60" spans="2:121" ht="16.5" x14ac:dyDescent="0.3">
      <c r="B60" s="10">
        <v>17</v>
      </c>
      <c r="C60" s="40" t="s">
        <v>258</v>
      </c>
      <c r="D60" s="39">
        <v>1</v>
      </c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>
        <v>1</v>
      </c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</row>
    <row r="61" spans="2:121" ht="16.5" x14ac:dyDescent="0.3">
      <c r="B61" s="10">
        <v>18</v>
      </c>
      <c r="C61" s="40" t="s">
        <v>259</v>
      </c>
      <c r="D61" s="39">
        <v>1</v>
      </c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>
        <v>1</v>
      </c>
      <c r="BD61" s="39"/>
      <c r="BE61" s="39"/>
      <c r="BF61" s="39"/>
      <c r="BG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</row>
    <row r="62" spans="2:121" ht="16.5" x14ac:dyDescent="0.3">
      <c r="B62" s="10">
        <v>19</v>
      </c>
      <c r="C62" s="40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</row>
    <row r="63" spans="2:121" ht="16.5" x14ac:dyDescent="0.3">
      <c r="B63" s="10">
        <v>20</v>
      </c>
      <c r="C63" s="40"/>
      <c r="D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</row>
    <row r="64" spans="2:121" ht="16.5" x14ac:dyDescent="0.3">
      <c r="B64" s="10">
        <v>21</v>
      </c>
      <c r="C64" s="40"/>
      <c r="D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</row>
    <row r="65" spans="2:121" ht="16.5" x14ac:dyDescent="0.3">
      <c r="B65" s="10">
        <v>22</v>
      </c>
      <c r="C65" s="40"/>
      <c r="D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</row>
    <row r="66" spans="2:121" ht="16.5" x14ac:dyDescent="0.3">
      <c r="B66" s="10">
        <v>23</v>
      </c>
      <c r="C66" s="40"/>
      <c r="D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66 BI18:DQ66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25</xdr:row>
                    <xdr:rowOff>9525</xdr:rowOff>
                  </from>
                  <to>
                    <xdr:col>1</xdr:col>
                    <xdr:colOff>752475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25</xdr:row>
                    <xdr:rowOff>9525</xdr:rowOff>
                  </from>
                  <to>
                    <xdr:col>1</xdr:col>
                    <xdr:colOff>1524000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30</xdr:row>
                    <xdr:rowOff>9525</xdr:rowOff>
                  </from>
                  <to>
                    <xdr:col>1</xdr:col>
                    <xdr:colOff>752475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30</xdr:row>
                    <xdr:rowOff>9525</xdr:rowOff>
                  </from>
                  <to>
                    <xdr:col>1</xdr:col>
                    <xdr:colOff>1524000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34</xdr:row>
                    <xdr:rowOff>9525</xdr:rowOff>
                  </from>
                  <to>
                    <xdr:col>1</xdr:col>
                    <xdr:colOff>752475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34</xdr:row>
                    <xdr:rowOff>9525</xdr:rowOff>
                  </from>
                  <to>
                    <xdr:col>1</xdr:col>
                    <xdr:colOff>1524000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38</xdr:row>
                    <xdr:rowOff>9525</xdr:rowOff>
                  </from>
                  <to>
                    <xdr:col>1</xdr:col>
                    <xdr:colOff>752475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38</xdr:row>
                    <xdr:rowOff>9525</xdr:rowOff>
                  </from>
                  <to>
                    <xdr:col>1</xdr:col>
                    <xdr:colOff>1524000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42</xdr:row>
                    <xdr:rowOff>9525</xdr:rowOff>
                  </from>
                  <to>
                    <xdr:col>1</xdr:col>
                    <xdr:colOff>752475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9525</xdr:rowOff>
                  </from>
                  <to>
                    <xdr:col>1</xdr:col>
                    <xdr:colOff>1524000</xdr:colOff>
                    <xdr:row>42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Home</cp:lastModifiedBy>
  <dcterms:created xsi:type="dcterms:W3CDTF">2018-04-02T20:38:47Z</dcterms:created>
  <dcterms:modified xsi:type="dcterms:W3CDTF">2018-05-30T04:52:40Z</dcterms:modified>
</cp:coreProperties>
</file>