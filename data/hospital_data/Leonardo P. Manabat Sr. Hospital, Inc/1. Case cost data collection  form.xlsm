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1" xr2:uid="{00000000-000D-0000-FFFF-FFFF00000000}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Supplies_Medical'!$C$15:$C$139</definedName>
    <definedName name="Drugs">'1.2 Drugs&amp;Med'!$C$11:$C$25</definedName>
    <definedName name="_xlnm.Print_Area" localSheetId="0">'1.1 Case data_general'!$B$1:$F$157</definedName>
    <definedName name="_xlnm.Print_Area" localSheetId="1">'1.2 Drugs&amp;Med'!$B$2:$J$104</definedName>
  </definedNames>
  <calcPr calcId="171027"/>
</workbook>
</file>

<file path=xl/calcChain.xml><?xml version="1.0" encoding="utf-8"?>
<calcChain xmlns="http://schemas.openxmlformats.org/spreadsheetml/2006/main">
  <c r="G117" i="9" l="1"/>
  <c r="G116" i="9"/>
  <c r="G115" i="9"/>
  <c r="G114" i="9"/>
  <c r="G113" i="9"/>
  <c r="G112" i="9"/>
  <c r="G111" i="9"/>
  <c r="G110" i="9"/>
  <c r="G109" i="9"/>
  <c r="J103" i="2"/>
  <c r="J102" i="2"/>
  <c r="J101" i="2"/>
  <c r="J100" i="2"/>
  <c r="J99" i="2"/>
  <c r="J98" i="2"/>
  <c r="J97" i="2"/>
  <c r="J96" i="2"/>
  <c r="G108" i="9"/>
  <c r="G107" i="9"/>
  <c r="G106" i="9"/>
  <c r="G105" i="9"/>
  <c r="G104" i="9"/>
  <c r="G103" i="9"/>
  <c r="G102" i="9"/>
  <c r="G101" i="9"/>
  <c r="G100" i="9"/>
  <c r="G99" i="9"/>
  <c r="G98" i="9"/>
  <c r="J95" i="2"/>
  <c r="J94" i="2"/>
  <c r="J93" i="2"/>
  <c r="J92" i="2"/>
  <c r="J91" i="2"/>
  <c r="J90" i="2"/>
  <c r="J89" i="2"/>
  <c r="J88" i="2"/>
  <c r="J87" i="2"/>
  <c r="J86" i="2"/>
  <c r="J85" i="2"/>
  <c r="G120" i="9"/>
  <c r="G119" i="9"/>
  <c r="G97" i="9"/>
  <c r="G96" i="9"/>
  <c r="G95" i="9"/>
  <c r="G94" i="9"/>
  <c r="G93" i="9"/>
  <c r="G92" i="9"/>
  <c r="G91" i="9"/>
  <c r="G90" i="9"/>
  <c r="G89" i="9"/>
  <c r="G88" i="9"/>
  <c r="G87" i="9"/>
  <c r="G86" i="9"/>
  <c r="G85" i="9"/>
  <c r="G84" i="9"/>
  <c r="G83" i="9"/>
  <c r="G82" i="9"/>
  <c r="G81" i="9"/>
  <c r="G80" i="9"/>
  <c r="G79" i="9"/>
  <c r="G78" i="9"/>
  <c r="G77" i="9"/>
  <c r="G76" i="9"/>
  <c r="G75" i="9"/>
  <c r="G74" i="9"/>
  <c r="G73" i="9"/>
  <c r="G72" i="9"/>
  <c r="G71" i="9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G70" i="9"/>
  <c r="G69" i="9"/>
  <c r="G68" i="9"/>
  <c r="G67" i="9"/>
  <c r="G66" i="9"/>
  <c r="G65" i="9"/>
  <c r="G64" i="9"/>
  <c r="G63" i="9"/>
  <c r="G62" i="9"/>
  <c r="J70" i="2"/>
  <c r="J69" i="2"/>
  <c r="J68" i="2"/>
  <c r="J67" i="2"/>
  <c r="J66" i="2"/>
  <c r="J65" i="2"/>
  <c r="J64" i="2"/>
  <c r="J63" i="2"/>
  <c r="J62" i="2"/>
  <c r="J61" i="2"/>
  <c r="J60" i="2"/>
  <c r="J59" i="2"/>
  <c r="G61" i="9"/>
  <c r="G60" i="9"/>
  <c r="G59" i="9"/>
  <c r="G58" i="9"/>
  <c r="G57" i="9"/>
  <c r="G56" i="9"/>
  <c r="G55" i="9"/>
  <c r="G54" i="9"/>
  <c r="J58" i="2"/>
  <c r="J57" i="2"/>
  <c r="J56" i="2"/>
  <c r="J55" i="2"/>
  <c r="J54" i="2"/>
  <c r="J53" i="2"/>
  <c r="G53" i="9"/>
  <c r="G52" i="9"/>
  <c r="G51" i="9"/>
  <c r="G50" i="9"/>
  <c r="G49" i="9"/>
  <c r="G48" i="9"/>
  <c r="G47" i="9"/>
  <c r="G46" i="9"/>
  <c r="G45" i="9"/>
  <c r="J52" i="2"/>
  <c r="J51" i="2"/>
  <c r="J50" i="2"/>
  <c r="J49" i="2"/>
  <c r="J48" i="2"/>
  <c r="J47" i="2"/>
  <c r="J46" i="2"/>
  <c r="J45" i="2"/>
  <c r="G44" i="9" l="1"/>
  <c r="G43" i="9"/>
  <c r="J44" i="2"/>
  <c r="J43" i="2"/>
  <c r="J42" i="2"/>
  <c r="G42" i="9"/>
  <c r="G41" i="9"/>
  <c r="G40" i="9"/>
  <c r="G39" i="9"/>
  <c r="G38" i="9"/>
  <c r="G37" i="9"/>
  <c r="G36" i="9"/>
  <c r="G35" i="9"/>
  <c r="J41" i="2"/>
  <c r="J40" i="2"/>
  <c r="J39" i="2"/>
  <c r="J38" i="2"/>
  <c r="J37" i="2"/>
  <c r="J36" i="2"/>
  <c r="G34" i="9" l="1"/>
  <c r="G33" i="9"/>
  <c r="G32" i="9"/>
  <c r="G31" i="9"/>
  <c r="G30" i="9"/>
  <c r="J35" i="2"/>
  <c r="J34" i="2"/>
  <c r="J33" i="2"/>
  <c r="J32" i="2"/>
  <c r="J31" i="2"/>
  <c r="J30" i="2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16" i="9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11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G5" i="11" s="1" a="1"/>
  <c r="G5" i="11" s="1"/>
  <c r="F3" i="11" a="1"/>
  <c r="F3" i="11" s="1"/>
  <c r="F4" i="11" s="1" a="1"/>
  <c r="F4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157" i="1"/>
  <c r="E157" i="1"/>
  <c r="D157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<sst xmlns="http://schemas.openxmlformats.org/spreadsheetml/2006/main" count="992" uniqueCount="309">
  <si>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</si>
  <si>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</si>
  <si>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</si>
  <si>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</si>
  <si>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</si>
  <si>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</si>
  <si>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</si>
  <si>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</si>
  <si>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</si>
  <si>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</si>
  <si>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</si>
  <si>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</si>
  <si>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</si>
  <si>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</si>
  <si>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</si>
  <si>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</si>
  <si>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</si>
  <si>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</si>
  <si>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</si>
  <si>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</si>
  <si>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</si>
  <si>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</si>
  <si>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Room and board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</si>
  <si>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</si>
  <si>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</si>
  <si>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</si>
  <si>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</si>
  <si>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</si>
  <si>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</si>
  <si>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</si>
  <si>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</si>
  <si>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</si>
  <si>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</si>
  <si>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</si>
  <si>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</si>
  <si>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</si>
  <si>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</si>
  <si>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</si>
  <si>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</si>
  <si>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</si>
  <si>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</si>
  <si>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</si>
  <si>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</si>
  <si>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</si>
  <si>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</si>
  <si>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</si>
  <si>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</si>
  <si>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</si>
  <si>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</si>
  <si>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</si>
  <si>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</si>
  <si>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</si>
  <si>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</si>
  <si>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</si>
  <si>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</si>
  <si>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</si>
  <si>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</si>
  <si>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</si>
  <si>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</si>
  <si>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</si>
  <si>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</si>
  <si>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</si>
  <si>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</si>
  <si>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</si>
  <si>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</si>
  <si>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</si>
  <si>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</si>
  <si>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</si>
  <si>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</si>
  <si>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</si>
  <si>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</si>
  <si>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</si>
  <si>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</si>
  <si>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</si>
  <si>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</si>
  <si>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</si>
  <si>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</si>
  <si>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</si>
  <si>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</si>
  <si>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</si>
  <si>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</si>
  <si>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</si>
  <si>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</si>
  <si>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</si>
  <si>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</si>
  <si>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</si>
  <si>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</si>
  <si>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</si>
  <si>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</si>
  <si>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</si>
  <si>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</si>
  <si>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</si>
  <si>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</si>
  <si>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</si>
  <si>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</si>
  <si>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</si>
  <si>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</si>
  <si>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</si>
  <si>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</si>
  <si>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</si>
  <si>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</si>
  <si>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</si>
  <si>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</si>
  <si>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</si>
  <si>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</si>
  <si>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</si>
  <si>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</si>
  <si>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</si>
  <si>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</si>
  <si>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</si>
  <si>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</si>
  <si>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</si>
  <si>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</si>
  <si>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</si>
  <si>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</si>
  <si>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</si>
  <si>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</si>
  <si>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</si>
  <si>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</si>
  <si>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</si>
  <si>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</si>
  <si>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</si>
  <si>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</si>
  <si>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</si>
  <si>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</si>
  <si>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</si>
  <si>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</si>
  <si>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</si>
  <si>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</si>
  <si>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</si>
  <si>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</si>
  <si>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</si>
  <si>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</si>
  <si>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</si>
  <si>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</si>
  <si>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</si>
  <si>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</si>
  <si>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</si>
  <si>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</si>
  <si>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</si>
  <si>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</si>
  <si>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</si>
  <si>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</si>
  <si>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</si>
  <si>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</si>
  <si>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</si>
  <si>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</si>
  <si>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</si>
  <si>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</si>
  <si>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</si>
  <si>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</si>
  <si>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</si>
  <si>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</si>
  <si>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</si>
  <si>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</si>
  <si>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</si>
  <si>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</si>
  <si>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</si>
  <si>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</si>
  <si>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</si>
  <si>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</si>
  <si>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</si>
  <si>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</si>
  <si>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</si>
  <si>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</si>
  <si>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</si>
  <si>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</si>
  <si>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K85 (ACUTE PANCREATITIS)</t>
  </si>
  <si>
    <t>43235 (ENDOSCOPY)</t>
  </si>
  <si>
    <t>CBC</t>
  </si>
  <si>
    <t>PROTIME</t>
  </si>
  <si>
    <t>FBS</t>
  </si>
  <si>
    <t>LIPIDS</t>
  </si>
  <si>
    <t>BUA</t>
  </si>
  <si>
    <t>BUN</t>
  </si>
  <si>
    <t>CREA</t>
  </si>
  <si>
    <t>SGPT</t>
  </si>
  <si>
    <t>SGOT</t>
  </si>
  <si>
    <t>AMYLASE</t>
  </si>
  <si>
    <t>BILIRUBINS</t>
  </si>
  <si>
    <t>HGT</t>
  </si>
  <si>
    <t>NA</t>
  </si>
  <si>
    <t>K</t>
  </si>
  <si>
    <t>PF</t>
  </si>
  <si>
    <t>CHEST XRAY</t>
  </si>
  <si>
    <t>ECG</t>
  </si>
  <si>
    <t>SC DISCOUNT</t>
  </si>
  <si>
    <t>PAID BY THE PATIENT</t>
  </si>
  <si>
    <t>HUMULIN R</t>
  </si>
  <si>
    <t>TABLET</t>
  </si>
  <si>
    <t>LITERS</t>
  </si>
  <si>
    <t>VIAL</t>
  </si>
  <si>
    <t>CAPSULE</t>
  </si>
  <si>
    <t>AMPULE</t>
  </si>
  <si>
    <t>SPRAY</t>
  </si>
  <si>
    <t>UNIT</t>
  </si>
  <si>
    <t>1L</t>
  </si>
  <si>
    <t>100MG</t>
  </si>
  <si>
    <t>30MG</t>
  </si>
  <si>
    <t>500CC</t>
  </si>
  <si>
    <t>500MG</t>
  </si>
  <si>
    <t>1GM</t>
  </si>
  <si>
    <t>25MG</t>
  </si>
  <si>
    <t>40MEQ</t>
  </si>
  <si>
    <t>MACROSET</t>
  </si>
  <si>
    <t>ABBOCATH</t>
  </si>
  <si>
    <t>ADMISSION KIT</t>
  </si>
  <si>
    <t>SYRINGE 5CC</t>
  </si>
  <si>
    <t>MICROSET</t>
  </si>
  <si>
    <t>FREE NEEDLE</t>
  </si>
  <si>
    <t>SYRINGE 3CC</t>
  </si>
  <si>
    <t>OS PACK</t>
  </si>
  <si>
    <t>GLOVES DISPOSABLE</t>
  </si>
  <si>
    <t>HPYLORI TEST</t>
  </si>
  <si>
    <t>SYRINGE 1CC</t>
  </si>
  <si>
    <t>O21.0 (HYPEREMESIS GRAVIDARUM)</t>
  </si>
  <si>
    <t>URINALYSIS</t>
  </si>
  <si>
    <t>150MG</t>
  </si>
  <si>
    <t>10MG</t>
  </si>
  <si>
    <t>O80.9 (NSD)</t>
  </si>
  <si>
    <t>NSDO1</t>
  </si>
  <si>
    <t>KETAMINE</t>
  </si>
  <si>
    <t>ABBOCATH G20</t>
  </si>
  <si>
    <t>CHROMIC 20</t>
  </si>
  <si>
    <t>STERILE GLOVES</t>
  </si>
  <si>
    <t>NSD</t>
  </si>
  <si>
    <t>J18.92 (PNEUMONIA MODERATE RISK)</t>
  </si>
  <si>
    <t>CHEST XRAY APL</t>
  </si>
  <si>
    <t>NEBULES</t>
  </si>
  <si>
    <t>ABBOCATH G24/22</t>
  </si>
  <si>
    <t>O2 CANNULA</t>
  </si>
  <si>
    <t>NEBULIZER KIT</t>
  </si>
  <si>
    <t>A09.9</t>
  </si>
  <si>
    <t>FECALYSIS</t>
  </si>
  <si>
    <t>500ML</t>
  </si>
  <si>
    <t>300MG</t>
  </si>
  <si>
    <t>ABBOCATH G22/24</t>
  </si>
  <si>
    <t>SOLUSET</t>
  </si>
  <si>
    <t>I10.9 (HYPERTENSION)</t>
  </si>
  <si>
    <t>O82.0</t>
  </si>
  <si>
    <t>59514/58600 (CS AND BTL)</t>
  </si>
  <si>
    <t>75MG</t>
  </si>
  <si>
    <t>5MG</t>
  </si>
  <si>
    <t>200MCG</t>
  </si>
  <si>
    <t>10UNITS</t>
  </si>
  <si>
    <t>SPINAL NEEDLE</t>
  </si>
  <si>
    <t>FOLEY CATH</t>
  </si>
  <si>
    <t>URINE BAG</t>
  </si>
  <si>
    <t>SURGICAL GLOVES</t>
  </si>
  <si>
    <t>SURGICAL BLADE</t>
  </si>
  <si>
    <t>OR CAP</t>
  </si>
  <si>
    <t>FACE MASK</t>
  </si>
  <si>
    <t>ABDOMINAL PACK</t>
  </si>
  <si>
    <t>DISPOSABLE GLOVES</t>
  </si>
  <si>
    <t>CORD CLAMP</t>
  </si>
  <si>
    <t>FEEDING TUBE</t>
  </si>
  <si>
    <t>SUCTION POOL DRAIN</t>
  </si>
  <si>
    <t>CHROMIC 1</t>
  </si>
  <si>
    <t>CHROMIC 2-0</t>
  </si>
  <si>
    <t>VICRYL 4-0</t>
  </si>
  <si>
    <t>VICRYL 1</t>
  </si>
  <si>
    <t>CS AND BTL</t>
  </si>
  <si>
    <t>PC</t>
  </si>
  <si>
    <t>KIT</t>
  </si>
  <si>
    <t>PACK</t>
  </si>
  <si>
    <t>BOX</t>
  </si>
  <si>
    <t>MEFENAMIC ACID/REVALAN</t>
  </si>
  <si>
    <t>CEFALEXINE/RM</t>
  </si>
  <si>
    <t>DICLOFENAC/VOREN</t>
  </si>
  <si>
    <t>OXYTOCIN/ESTIMA</t>
  </si>
  <si>
    <t>VITAMIN K/PHYTOMEN</t>
  </si>
  <si>
    <t>METHYLERGOMETRINE/METHERGIN</t>
  </si>
  <si>
    <t>MIDAZOLAM/DORMICUM</t>
  </si>
  <si>
    <t>D5 LRS/BRAUN</t>
  </si>
  <si>
    <t>LIDOCAINE/XYLOCAINE</t>
  </si>
  <si>
    <t>METOCLOPROMIDE/METSIL</t>
  </si>
  <si>
    <t>BUPIVACAINE/CHIROCAINE</t>
  </si>
  <si>
    <t>AMPICILLIN/AMPICIN</t>
  </si>
  <si>
    <t>CEFTRIAXONE/TRIAX</t>
  </si>
  <si>
    <t>SALBUTAMOL/VENTOLIN</t>
  </si>
  <si>
    <t>PLAIN NSS/BRAUN</t>
  </si>
  <si>
    <t>D5 IMB/BRAUN</t>
  </si>
  <si>
    <t>PARACETAMOL/SELEGESIC</t>
  </si>
  <si>
    <t>D5 0.3NACL/BRAUN</t>
  </si>
  <si>
    <t>AMLODIPINE/RM</t>
  </si>
  <si>
    <t>CAPTOPRIL/RM</t>
  </si>
  <si>
    <t>D5 WATER/BRAUN</t>
  </si>
  <si>
    <t>DIAZEPAM/VALIUM</t>
  </si>
  <si>
    <t>LIDOCAINE/EUROMED</t>
  </si>
  <si>
    <t>NALBUPHINE/NUBAIN</t>
  </si>
  <si>
    <t>D5 NM/BRAUN</t>
  </si>
  <si>
    <t>RANITIDINE/RENITEC</t>
  </si>
  <si>
    <t>METRONIDAZOLE/ANEROBIZOLE</t>
  </si>
  <si>
    <t>KCL/DIUMIDE-K</t>
  </si>
  <si>
    <t>PANCREATININE/CREON</t>
  </si>
  <si>
    <t>CEFTRIOXONE/TRIAX</t>
  </si>
  <si>
    <t>OMEPRAZOLE/OMEPRON</t>
  </si>
  <si>
    <t>REBAMIPIDE/MUCOSTA</t>
  </si>
  <si>
    <t>OTILONIUM/SPASMOMEN</t>
  </si>
  <si>
    <t>PLAINS NSS/BRAUN</t>
  </si>
  <si>
    <t>AMINO ACIDS/AMINOLEBAN</t>
  </si>
  <si>
    <t>LANSOPRAZOLE/PREVACID</t>
  </si>
  <si>
    <t>E87.6 (HYPOKALEMIA)</t>
  </si>
  <si>
    <t>CL</t>
  </si>
  <si>
    <t>CA</t>
  </si>
  <si>
    <t>POTASSIUM</t>
  </si>
  <si>
    <t>CEFUROXIME/ZEGEN</t>
  </si>
  <si>
    <t>750MG</t>
  </si>
  <si>
    <t>TRAMADOL/SIVEROL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</si>
</sst>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43" fontId="10" fillId="5" borderId="21" xfId="1" applyFont="1" applyFill="1" applyBorder="1" applyProtection="1">
      <protection locked="0"/>
    </xf>
    <xf numFmtId="43" fontId="10" fillId="5" borderId="1" xfId="1" applyFont="1" applyFill="1" applyBorder="1" applyProtection="1">
      <protection locked="0"/>
    </xf>
    <xf numFmtId="43" fontId="10" fillId="5" borderId="22" xfId="1" applyFont="1" applyFill="1" applyBorder="1" applyProtection="1">
      <protection locked="0"/>
    </xf>
    <xf numFmtId="43" fontId="1" fillId="0" borderId="26" xfId="1" applyFont="1" applyBorder="1"/>
    <xf numFmtId="43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43" fontId="1" fillId="0" borderId="1" xfId="1" applyFont="1" applyBorder="1" applyProtection="1"/>
    <xf numFmtId="43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9" fontId="10" fillId="5" borderId="21" xfId="0" applyNumberFormat="1" applyFont="1" applyFill="1" applyBorder="1" applyAlignment="1" applyProtection="1">
      <alignment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10" fontId="10" fillId="5" borderId="21" xfId="0" applyNumberFormat="1" applyFont="1" applyFill="1" applyBorder="1" applyAlignment="1" applyProtection="1">
      <alignment wrapText="1"/>
      <protection locked="0"/>
    </xf>
  </cellXfs>
  <cellStyles count="4">
    <cellStyle name="Comma" xfId="1" builtinId="3"/>
    <cellStyle name="Linked Cell" xfId="3" builtinId="24"/>
    <cellStyle name="Normal" xfId="0" builtinId="0"/>
    <cellStyle name="Normal 2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19050</xdr:rowOff>
        </xdr:from>
        <xdr:to>
          <xdr:col>1</xdr:col>
          <xdr:colOff>733425</xdr:colOff>
          <xdr:row>29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29</xdr:row>
          <xdr:rowOff>19050</xdr:rowOff>
        </xdr:from>
        <xdr:to>
          <xdr:col>1</xdr:col>
          <xdr:colOff>1504950</xdr:colOff>
          <xdr:row>29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87</xdr:row>
          <xdr:rowOff>19050</xdr:rowOff>
        </xdr:from>
        <xdr:to>
          <xdr:col>1</xdr:col>
          <xdr:colOff>733425</xdr:colOff>
          <xdr:row>87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87</xdr:row>
          <xdr:rowOff>19050</xdr:rowOff>
        </xdr:from>
        <xdr:to>
          <xdr:col>1</xdr:col>
          <xdr:colOff>1504950</xdr:colOff>
          <xdr:row>87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101</xdr:row>
          <xdr:rowOff>19050</xdr:rowOff>
        </xdr:from>
        <xdr:to>
          <xdr:col>1</xdr:col>
          <xdr:colOff>733425</xdr:colOff>
          <xdr:row>101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101</xdr:row>
          <xdr:rowOff>19050</xdr:rowOff>
        </xdr:from>
        <xdr:to>
          <xdr:col>1</xdr:col>
          <xdr:colOff>1504950</xdr:colOff>
          <xdr:row>101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106</xdr:row>
          <xdr:rowOff>19050</xdr:rowOff>
        </xdr:from>
        <xdr:to>
          <xdr:col>1</xdr:col>
          <xdr:colOff>733425</xdr:colOff>
          <xdr:row>106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106</xdr:row>
          <xdr:rowOff>19050</xdr:rowOff>
        </xdr:from>
        <xdr:to>
          <xdr:col>1</xdr:col>
          <xdr:colOff>1504950</xdr:colOff>
          <xdr:row>106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115</xdr:row>
          <xdr:rowOff>19050</xdr:rowOff>
        </xdr:from>
        <xdr:to>
          <xdr:col>1</xdr:col>
          <xdr:colOff>733425</xdr:colOff>
          <xdr:row>115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115</xdr:row>
          <xdr:rowOff>19050</xdr:rowOff>
        </xdr:from>
        <xdr:to>
          <xdr:col>1</xdr:col>
          <xdr:colOff>1504950</xdr:colOff>
          <xdr:row>115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118</xdr:row>
          <xdr:rowOff>28575</xdr:rowOff>
        </xdr:from>
        <xdr:to>
          <xdr:col>1</xdr:col>
          <xdr:colOff>762000</xdr:colOff>
          <xdr:row>118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118</xdr:row>
          <xdr:rowOff>28575</xdr:rowOff>
        </xdr:from>
        <xdr:to>
          <xdr:col>1</xdr:col>
          <xdr:colOff>1533525</xdr:colOff>
          <xdr:row>118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129</xdr:row>
          <xdr:rowOff>28575</xdr:rowOff>
        </xdr:from>
        <xdr:to>
          <xdr:col>1</xdr:col>
          <xdr:colOff>771525</xdr:colOff>
          <xdr:row>129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129</xdr:row>
          <xdr:rowOff>28575</xdr:rowOff>
        </xdr:from>
        <xdr:to>
          <xdr:col>1</xdr:col>
          <xdr:colOff>1543050</xdr:colOff>
          <xdr:row>129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Y1094"/>
  <sheetViews>
    <sheetView zoomScaleNormal="100" workbookViewId="0">
      <selection activeCell="F156" sqref="F15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10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46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11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40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62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63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215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219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30">
        <v>4</v>
      </c>
      <c r="C22" s="31" t="s">
        <v>238</v>
      </c>
      <c r="D22" s="21"/>
      <c r="E22" s="21"/>
      <c r="F22" s="2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30">
        <v>5</v>
      </c>
      <c r="C23" s="31" t="s">
        <v>226</v>
      </c>
      <c r="D23" s="21"/>
      <c r="E23" s="21"/>
      <c r="F23" s="2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30">
        <v>6</v>
      </c>
      <c r="C24" s="31" t="s">
        <v>232</v>
      </c>
      <c r="D24" s="21"/>
      <c r="E24" s="21"/>
      <c r="F24" s="2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30">
        <v>7</v>
      </c>
      <c r="C25" s="31" t="s">
        <v>226</v>
      </c>
      <c r="D25" s="21"/>
      <c r="E25" s="21"/>
      <c r="F25" s="2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30">
        <v>8</v>
      </c>
      <c r="C26" s="31" t="s">
        <v>239</v>
      </c>
      <c r="D26" s="21"/>
      <c r="E26" s="21"/>
      <c r="F26" s="22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30">
        <v>9</v>
      </c>
      <c r="C27" s="31" t="s">
        <v>226</v>
      </c>
      <c r="D27" s="21"/>
      <c r="E27" s="21"/>
      <c r="F27" s="2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30">
        <v>10</v>
      </c>
      <c r="C28" s="31" t="s">
        <v>302</v>
      </c>
      <c r="D28" s="21"/>
      <c r="E28" s="21"/>
      <c r="F28" s="22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thickBot="1" x14ac:dyDescent="0.35">
      <c r="A29" s="1"/>
      <c r="B29" s="116" t="s">
        <v>54</v>
      </c>
      <c r="C29" s="117"/>
      <c r="D29" s="117"/>
      <c r="E29" s="117"/>
      <c r="F29" s="118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1</v>
      </c>
      <c r="C30" s="27" t="s">
        <v>168</v>
      </c>
      <c r="D30" s="29"/>
      <c r="E30" s="55"/>
      <c r="F30" s="55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2</v>
      </c>
      <c r="C31" s="27" t="s">
        <v>220</v>
      </c>
      <c r="D31" s="29"/>
      <c r="E31" s="55"/>
      <c r="F31" s="55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3</v>
      </c>
      <c r="C32" s="27" t="s">
        <v>240</v>
      </c>
      <c r="D32" s="29"/>
      <c r="E32" s="55"/>
      <c r="F32" s="55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4</v>
      </c>
      <c r="C33" s="27"/>
      <c r="D33" s="29"/>
      <c r="E33" s="55"/>
      <c r="F33" s="55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5</v>
      </c>
      <c r="C34" s="27"/>
      <c r="D34" s="29"/>
      <c r="E34" s="55"/>
      <c r="F34" s="55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9" t="s">
        <v>45</v>
      </c>
      <c r="C35" s="120"/>
      <c r="D35" s="120"/>
      <c r="E35" s="120"/>
      <c r="F35" s="130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110" t="s">
        <v>161</v>
      </c>
      <c r="C36" s="113" t="s">
        <v>164</v>
      </c>
      <c r="D36" s="13"/>
      <c r="E36" s="13"/>
      <c r="F36" s="13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110" t="s">
        <v>162</v>
      </c>
      <c r="C37" s="114" t="s">
        <v>126</v>
      </c>
      <c r="D37" s="13"/>
      <c r="E37" s="13"/>
      <c r="F37" s="1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14" t="s">
        <v>163</v>
      </c>
      <c r="C38" s="114" t="s">
        <v>140</v>
      </c>
      <c r="D38" s="13"/>
      <c r="E38" s="13"/>
      <c r="F38" s="13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5" t="s">
        <v>17</v>
      </c>
      <c r="C39" s="7"/>
      <c r="D39" s="7"/>
      <c r="E39" s="56">
        <v>2</v>
      </c>
      <c r="F39" s="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6" t="s">
        <v>18</v>
      </c>
      <c r="C40" s="117"/>
      <c r="D40" s="117"/>
      <c r="E40" s="117"/>
      <c r="F40" s="118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30">
        <v>1</v>
      </c>
      <c r="C41" s="31" t="s">
        <v>169</v>
      </c>
      <c r="D41" s="23"/>
      <c r="E41" s="57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 t="s">
        <v>170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 t="s">
        <v>171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 t="s">
        <v>172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5</v>
      </c>
      <c r="C45" s="27" t="s">
        <v>173</v>
      </c>
      <c r="D45" s="23"/>
      <c r="E45" s="55">
        <v>1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6</v>
      </c>
      <c r="C46" s="27" t="s">
        <v>174</v>
      </c>
      <c r="D46" s="23"/>
      <c r="E46" s="55">
        <v>1</v>
      </c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7</v>
      </c>
      <c r="C47" s="27" t="s">
        <v>175</v>
      </c>
      <c r="D47" s="23"/>
      <c r="E47" s="55">
        <v>1</v>
      </c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8</v>
      </c>
      <c r="C48" s="27" t="s">
        <v>176</v>
      </c>
      <c r="D48" s="23"/>
      <c r="E48" s="55">
        <v>1</v>
      </c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9</v>
      </c>
      <c r="C49" s="27" t="s">
        <v>177</v>
      </c>
      <c r="D49" s="23"/>
      <c r="E49" s="55">
        <v>1</v>
      </c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10</v>
      </c>
      <c r="C50" s="27" t="s">
        <v>178</v>
      </c>
      <c r="D50" s="23"/>
      <c r="E50" s="55">
        <v>2</v>
      </c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11</v>
      </c>
      <c r="C51" s="27" t="s">
        <v>179</v>
      </c>
      <c r="D51" s="23"/>
      <c r="E51" s="55">
        <v>1</v>
      </c>
      <c r="F51" s="24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12</v>
      </c>
      <c r="C52" s="27" t="s">
        <v>180</v>
      </c>
      <c r="D52" s="23"/>
      <c r="E52" s="55">
        <v>1</v>
      </c>
      <c r="F52" s="24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13</v>
      </c>
      <c r="C53" s="27" t="s">
        <v>181</v>
      </c>
      <c r="D53" s="23"/>
      <c r="E53" s="55">
        <v>1</v>
      </c>
      <c r="F53" s="24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14</v>
      </c>
      <c r="C54" s="27" t="s">
        <v>182</v>
      </c>
      <c r="D54" s="23"/>
      <c r="E54" s="55">
        <v>1</v>
      </c>
      <c r="F54" s="24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15</v>
      </c>
      <c r="C55" s="27" t="s">
        <v>180</v>
      </c>
      <c r="D55" s="23"/>
      <c r="E55" s="55">
        <v>2</v>
      </c>
      <c r="F55" s="24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16</v>
      </c>
      <c r="C56" s="27" t="s">
        <v>182</v>
      </c>
      <c r="D56" s="23"/>
      <c r="E56" s="55">
        <v>1</v>
      </c>
      <c r="F56" s="24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17</v>
      </c>
      <c r="C57" s="27" t="s">
        <v>169</v>
      </c>
      <c r="D57" s="23"/>
      <c r="E57" s="55">
        <v>1</v>
      </c>
      <c r="F57" s="24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18</v>
      </c>
      <c r="C58" s="27" t="s">
        <v>216</v>
      </c>
      <c r="D58" s="23"/>
      <c r="E58" s="55">
        <v>1</v>
      </c>
      <c r="F58" s="24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19</v>
      </c>
      <c r="C59" s="27" t="s">
        <v>169</v>
      </c>
      <c r="D59" s="23"/>
      <c r="E59" s="55">
        <v>1</v>
      </c>
      <c r="F59" s="24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20</v>
      </c>
      <c r="C60" s="27" t="s">
        <v>171</v>
      </c>
      <c r="D60" s="23"/>
      <c r="E60" s="55">
        <v>1</v>
      </c>
      <c r="F60" s="24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21</v>
      </c>
      <c r="C61" s="27" t="s">
        <v>172</v>
      </c>
      <c r="D61" s="23"/>
      <c r="E61" s="55">
        <v>1</v>
      </c>
      <c r="F61" s="24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22</v>
      </c>
      <c r="C62" s="27" t="s">
        <v>173</v>
      </c>
      <c r="D62" s="23"/>
      <c r="E62" s="55">
        <v>1</v>
      </c>
      <c r="F62" s="24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23</v>
      </c>
      <c r="C63" s="27" t="s">
        <v>174</v>
      </c>
      <c r="D63" s="23"/>
      <c r="E63" s="55">
        <v>1</v>
      </c>
      <c r="F63" s="24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24</v>
      </c>
      <c r="C64" s="27" t="s">
        <v>175</v>
      </c>
      <c r="D64" s="23"/>
      <c r="E64" s="55">
        <v>1</v>
      </c>
      <c r="F64" s="24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6">
        <v>25</v>
      </c>
      <c r="C65" s="27" t="s">
        <v>176</v>
      </c>
      <c r="D65" s="23"/>
      <c r="E65" s="55">
        <v>1</v>
      </c>
      <c r="F65" s="24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26">
        <v>26</v>
      </c>
      <c r="C66" s="27" t="s">
        <v>177</v>
      </c>
      <c r="D66" s="23"/>
      <c r="E66" s="55">
        <v>1</v>
      </c>
      <c r="F66" s="24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26">
        <v>27</v>
      </c>
      <c r="C67" s="27" t="s">
        <v>216</v>
      </c>
      <c r="D67" s="23"/>
      <c r="E67" s="55">
        <v>1</v>
      </c>
      <c r="F67" s="24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26">
        <v>28</v>
      </c>
      <c r="C68" s="27" t="s">
        <v>169</v>
      </c>
      <c r="D68" s="23"/>
      <c r="E68" s="55">
        <v>1</v>
      </c>
      <c r="F68" s="24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26">
        <v>29</v>
      </c>
      <c r="C69" s="27" t="s">
        <v>169</v>
      </c>
      <c r="D69" s="23"/>
      <c r="E69" s="55">
        <v>1</v>
      </c>
      <c r="F69" s="24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26">
        <v>30</v>
      </c>
      <c r="C70" s="27" t="s">
        <v>233</v>
      </c>
      <c r="D70" s="23"/>
      <c r="E70" s="55">
        <v>1</v>
      </c>
      <c r="F70" s="24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26">
        <v>31</v>
      </c>
      <c r="C71" s="27" t="s">
        <v>169</v>
      </c>
      <c r="D71" s="23"/>
      <c r="E71" s="55">
        <v>1</v>
      </c>
      <c r="F71" s="24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26">
        <v>32</v>
      </c>
      <c r="C72" s="27" t="s">
        <v>169</v>
      </c>
      <c r="D72" s="23"/>
      <c r="E72" s="55">
        <v>1</v>
      </c>
      <c r="F72" s="24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26">
        <v>33</v>
      </c>
      <c r="C73" s="27" t="s">
        <v>169</v>
      </c>
      <c r="D73" s="23"/>
      <c r="E73" s="55">
        <v>1</v>
      </c>
      <c r="F73" s="24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26">
        <v>34</v>
      </c>
      <c r="C74" s="27" t="s">
        <v>171</v>
      </c>
      <c r="D74" s="23"/>
      <c r="E74" s="55">
        <v>1</v>
      </c>
      <c r="F74" s="24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26">
        <v>35</v>
      </c>
      <c r="C75" s="27" t="s">
        <v>172</v>
      </c>
      <c r="D75" s="23"/>
      <c r="E75" s="55">
        <v>1</v>
      </c>
      <c r="F75" s="24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26">
        <v>36</v>
      </c>
      <c r="C76" s="27" t="s">
        <v>173</v>
      </c>
      <c r="D76" s="23"/>
      <c r="E76" s="55">
        <v>1</v>
      </c>
      <c r="F76" s="24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26">
        <v>37</v>
      </c>
      <c r="C77" s="27" t="s">
        <v>174</v>
      </c>
      <c r="D77" s="23"/>
      <c r="E77" s="55">
        <v>1</v>
      </c>
      <c r="F77" s="24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26">
        <v>38</v>
      </c>
      <c r="C78" s="27" t="s">
        <v>175</v>
      </c>
      <c r="D78" s="23"/>
      <c r="E78" s="55">
        <v>1</v>
      </c>
      <c r="F78" s="24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26">
        <v>39</v>
      </c>
      <c r="C79" s="27" t="s">
        <v>176</v>
      </c>
      <c r="D79" s="23"/>
      <c r="E79" s="55">
        <v>1</v>
      </c>
      <c r="F79" s="24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26">
        <v>40</v>
      </c>
      <c r="C80" s="27" t="s">
        <v>177</v>
      </c>
      <c r="D80" s="23"/>
      <c r="E80" s="55">
        <v>1</v>
      </c>
      <c r="F80" s="24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26">
        <v>41</v>
      </c>
      <c r="C81" s="27" t="s">
        <v>181</v>
      </c>
      <c r="D81" s="23"/>
      <c r="E81" s="55">
        <v>1</v>
      </c>
      <c r="F81" s="24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26">
        <v>42</v>
      </c>
      <c r="C82" s="27" t="s">
        <v>303</v>
      </c>
      <c r="D82" s="23"/>
      <c r="E82" s="55">
        <v>1</v>
      </c>
      <c r="F82" s="24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26">
        <v>43</v>
      </c>
      <c r="C83" s="27" t="s">
        <v>304</v>
      </c>
      <c r="D83" s="23"/>
      <c r="E83" s="55">
        <v>1</v>
      </c>
      <c r="F83" s="24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26">
        <v>44</v>
      </c>
      <c r="C84" s="27" t="s">
        <v>182</v>
      </c>
      <c r="D84" s="23"/>
      <c r="E84" s="55">
        <v>1</v>
      </c>
      <c r="F84" s="24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26">
        <v>45</v>
      </c>
      <c r="C85" s="27" t="s">
        <v>305</v>
      </c>
      <c r="D85" s="23"/>
      <c r="E85" s="55">
        <v>1</v>
      </c>
      <c r="F85" s="24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26">
        <v>46</v>
      </c>
      <c r="C86" s="27" t="s">
        <v>216</v>
      </c>
      <c r="D86" s="23"/>
      <c r="E86" s="55">
        <v>1</v>
      </c>
      <c r="F86" s="24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thickBot="1" x14ac:dyDescent="0.35">
      <c r="A87" s="1"/>
      <c r="B87" s="119" t="s">
        <v>19</v>
      </c>
      <c r="C87" s="120"/>
      <c r="D87" s="117"/>
      <c r="E87" s="120"/>
      <c r="F87" s="118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26">
        <v>1</v>
      </c>
      <c r="C88" s="27" t="s">
        <v>184</v>
      </c>
      <c r="D88" s="23"/>
      <c r="E88" s="55">
        <v>1</v>
      </c>
      <c r="F88" s="24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26">
        <v>2</v>
      </c>
      <c r="C89" s="27" t="s">
        <v>185</v>
      </c>
      <c r="D89" s="23"/>
      <c r="E89" s="55">
        <v>1</v>
      </c>
      <c r="F89" s="24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26">
        <v>3</v>
      </c>
      <c r="C90" s="27" t="s">
        <v>185</v>
      </c>
      <c r="D90" s="23"/>
      <c r="E90" s="55">
        <v>1</v>
      </c>
      <c r="F90" s="24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26">
        <v>4</v>
      </c>
      <c r="C91" s="27" t="s">
        <v>184</v>
      </c>
      <c r="D91" s="23"/>
      <c r="E91" s="55">
        <v>1</v>
      </c>
      <c r="F91" s="24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26">
        <v>5</v>
      </c>
      <c r="C92" s="27" t="s">
        <v>185</v>
      </c>
      <c r="D92" s="23"/>
      <c r="E92" s="55">
        <v>1</v>
      </c>
      <c r="F92" s="24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26">
        <v>6</v>
      </c>
      <c r="C93" s="27" t="s">
        <v>227</v>
      </c>
      <c r="D93" s="23"/>
      <c r="E93" s="55">
        <v>1</v>
      </c>
      <c r="F93" s="24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26">
        <v>7</v>
      </c>
      <c r="C94" s="27" t="s">
        <v>227</v>
      </c>
      <c r="D94" s="23"/>
      <c r="E94" s="55">
        <v>1</v>
      </c>
      <c r="F94" s="24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26">
        <v>8</v>
      </c>
      <c r="C95" s="27" t="s">
        <v>227</v>
      </c>
      <c r="D95" s="23"/>
      <c r="E95" s="55">
        <v>1</v>
      </c>
      <c r="F95" s="24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26">
        <v>9</v>
      </c>
      <c r="C96" s="27" t="s">
        <v>227</v>
      </c>
      <c r="D96" s="23"/>
      <c r="E96" s="55">
        <v>1</v>
      </c>
      <c r="F96" s="24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26">
        <v>10</v>
      </c>
      <c r="C97" s="27" t="s">
        <v>184</v>
      </c>
      <c r="D97" s="23"/>
      <c r="E97" s="55">
        <v>1</v>
      </c>
      <c r="F97" s="24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26">
        <v>11</v>
      </c>
      <c r="C98" s="27" t="s">
        <v>185</v>
      </c>
      <c r="D98" s="23"/>
      <c r="E98" s="55">
        <v>1</v>
      </c>
      <c r="F98" s="24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thickBot="1" x14ac:dyDescent="0.35">
      <c r="A99" s="1"/>
      <c r="B99" s="119" t="s">
        <v>46</v>
      </c>
      <c r="C99" s="120"/>
      <c r="D99" s="117"/>
      <c r="E99" s="120"/>
      <c r="F99" s="118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4" t="s">
        <v>47</v>
      </c>
      <c r="C100" s="13"/>
      <c r="D100" s="13"/>
      <c r="E100" s="16"/>
      <c r="F100" s="13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thickBot="1" x14ac:dyDescent="0.35">
      <c r="A101" s="1"/>
      <c r="B101" s="116" t="s">
        <v>55</v>
      </c>
      <c r="C101" s="117"/>
      <c r="D101" s="117"/>
      <c r="E101" s="117"/>
      <c r="F101" s="118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20"/>
      <c r="B102" s="30">
        <v>1</v>
      </c>
      <c r="C102" s="31"/>
      <c r="D102" s="32"/>
      <c r="E102" s="57"/>
      <c r="F102" s="57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20"/>
      <c r="B103" s="30">
        <v>2</v>
      </c>
      <c r="C103" s="31"/>
      <c r="D103" s="32"/>
      <c r="E103" s="57"/>
      <c r="F103" s="57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20"/>
      <c r="B104" s="26">
        <v>3</v>
      </c>
      <c r="C104" s="27"/>
      <c r="D104" s="28"/>
      <c r="E104" s="55"/>
      <c r="F104" s="55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20"/>
      <c r="B105" s="26">
        <v>4</v>
      </c>
      <c r="C105" s="27"/>
      <c r="D105" s="28"/>
      <c r="E105" s="55"/>
      <c r="F105" s="55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thickBot="1" x14ac:dyDescent="0.35">
      <c r="A106" s="1"/>
      <c r="B106" s="116" t="s">
        <v>20</v>
      </c>
      <c r="C106" s="117"/>
      <c r="D106" s="117"/>
      <c r="E106" s="117"/>
      <c r="F106" s="118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26">
        <v>1</v>
      </c>
      <c r="C107" s="27"/>
      <c r="D107" s="28"/>
      <c r="E107" s="55"/>
      <c r="F107" s="55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26">
        <v>2</v>
      </c>
      <c r="C108" s="27"/>
      <c r="D108" s="28"/>
      <c r="E108" s="55"/>
      <c r="F108" s="55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26">
        <v>3</v>
      </c>
      <c r="C109" s="27"/>
      <c r="D109" s="28"/>
      <c r="E109" s="55"/>
      <c r="F109" s="55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26">
        <v>4</v>
      </c>
      <c r="C110" s="27"/>
      <c r="D110" s="28"/>
      <c r="E110" s="55"/>
      <c r="F110" s="55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26">
        <v>5</v>
      </c>
      <c r="C111" s="27"/>
      <c r="D111" s="28"/>
      <c r="E111" s="55"/>
      <c r="F111" s="55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26">
        <v>6</v>
      </c>
      <c r="C112" s="27"/>
      <c r="D112" s="28"/>
      <c r="E112" s="55"/>
      <c r="F112" s="55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25"/>
      <c r="C113" s="25"/>
      <c r="D113" s="25"/>
      <c r="E113" s="25"/>
      <c r="F113" s="25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57.75" customHeight="1" thickBot="1" x14ac:dyDescent="0.35">
      <c r="A115" s="1"/>
      <c r="B115" s="17" t="s">
        <v>57</v>
      </c>
      <c r="C115" s="17" t="s">
        <v>53</v>
      </c>
      <c r="D115" s="17" t="s">
        <v>58</v>
      </c>
      <c r="E115" s="18" t="s">
        <v>59</v>
      </c>
      <c r="F115" s="19" t="s">
        <v>21</v>
      </c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2">
        <v>1</v>
      </c>
      <c r="C116" s="27" t="s">
        <v>22</v>
      </c>
      <c r="D116" s="55">
        <v>8820</v>
      </c>
      <c r="E116" s="55"/>
      <c r="F116" s="55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0">
        <v>2</v>
      </c>
      <c r="C117" s="27" t="s">
        <v>183</v>
      </c>
      <c r="D117" s="55">
        <v>3780</v>
      </c>
      <c r="E117" s="55"/>
      <c r="F117" s="55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0">
        <v>3</v>
      </c>
      <c r="C118" s="27" t="s">
        <v>186</v>
      </c>
      <c r="D118" s="55"/>
      <c r="E118" s="55">
        <v>9258.2000000000007</v>
      </c>
      <c r="F118" s="55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0">
        <v>4</v>
      </c>
      <c r="C119" s="27" t="s">
        <v>187</v>
      </c>
      <c r="D119" s="55"/>
      <c r="E119" s="55"/>
      <c r="F119" s="55">
        <v>28112.799999999999</v>
      </c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0">
        <v>5</v>
      </c>
      <c r="C120" s="27" t="s">
        <v>22</v>
      </c>
      <c r="D120" s="55">
        <v>4760</v>
      </c>
      <c r="E120" s="55"/>
      <c r="F120" s="55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0">
        <v>6</v>
      </c>
      <c r="C121" s="27" t="s">
        <v>183</v>
      </c>
      <c r="D121" s="55">
        <v>2040</v>
      </c>
      <c r="E121" s="55"/>
      <c r="F121" s="55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0">
        <v>7</v>
      </c>
      <c r="C122" s="27" t="s">
        <v>186</v>
      </c>
      <c r="D122" s="55"/>
      <c r="E122" s="55">
        <v>600</v>
      </c>
      <c r="F122" s="55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0">
        <v>8</v>
      </c>
      <c r="C123" s="27" t="s">
        <v>187</v>
      </c>
      <c r="D123" s="55"/>
      <c r="E123" s="55"/>
      <c r="F123" s="55">
        <v>4360</v>
      </c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0">
        <v>9</v>
      </c>
      <c r="C124" s="27" t="s">
        <v>22</v>
      </c>
      <c r="D124" s="55">
        <v>3000</v>
      </c>
      <c r="E124" s="55"/>
      <c r="F124" s="55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0">
        <v>10</v>
      </c>
      <c r="C125" s="27" t="s">
        <v>183</v>
      </c>
      <c r="D125" s="55">
        <v>2000</v>
      </c>
      <c r="E125" s="55"/>
      <c r="F125" s="55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0">
        <v>11</v>
      </c>
      <c r="C126" s="27" t="s">
        <v>186</v>
      </c>
      <c r="D126" s="55"/>
      <c r="E126" s="55">
        <v>1855</v>
      </c>
      <c r="F126" s="55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0">
        <v>12</v>
      </c>
      <c r="C127" s="27" t="s">
        <v>187</v>
      </c>
      <c r="D127" s="55"/>
      <c r="E127" s="55"/>
      <c r="F127" s="55">
        <v>3000</v>
      </c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0">
        <v>13</v>
      </c>
      <c r="C128" s="27" t="s">
        <v>22</v>
      </c>
      <c r="D128" s="55">
        <v>6300</v>
      </c>
      <c r="E128" s="55"/>
      <c r="F128" s="55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0">
        <v>14</v>
      </c>
      <c r="C129" s="27" t="s">
        <v>183</v>
      </c>
      <c r="D129" s="55">
        <v>2700</v>
      </c>
      <c r="E129" s="55"/>
      <c r="F129" s="55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0">
        <v>15</v>
      </c>
      <c r="C130" s="27" t="s">
        <v>186</v>
      </c>
      <c r="D130" s="55"/>
      <c r="E130" s="55">
        <v>0</v>
      </c>
      <c r="F130" s="55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0">
        <v>16</v>
      </c>
      <c r="C131" s="27" t="s">
        <v>187</v>
      </c>
      <c r="D131" s="55"/>
      <c r="E131" s="55"/>
      <c r="F131" s="55">
        <v>605</v>
      </c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0">
        <v>17</v>
      </c>
      <c r="C132" s="27" t="s">
        <v>22</v>
      </c>
      <c r="D132" s="55">
        <v>10500</v>
      </c>
      <c r="E132" s="55"/>
      <c r="F132" s="55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0">
        <v>18</v>
      </c>
      <c r="C133" s="27" t="s">
        <v>183</v>
      </c>
      <c r="D133" s="55">
        <v>4500</v>
      </c>
      <c r="E133" s="55"/>
      <c r="F133" s="55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0">
        <v>19</v>
      </c>
      <c r="C134" s="27" t="s">
        <v>186</v>
      </c>
      <c r="D134" s="55"/>
      <c r="E134" s="55">
        <v>0</v>
      </c>
      <c r="F134" s="55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0">
        <v>20</v>
      </c>
      <c r="C135" s="27" t="s">
        <v>187</v>
      </c>
      <c r="D135" s="55"/>
      <c r="E135" s="55"/>
      <c r="F135" s="55">
        <v>5421</v>
      </c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0">
        <v>21</v>
      </c>
      <c r="C136" s="27" t="s">
        <v>22</v>
      </c>
      <c r="D136" s="55">
        <v>4200</v>
      </c>
      <c r="E136" s="55"/>
      <c r="F136" s="55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0">
        <v>22</v>
      </c>
      <c r="C137" s="27" t="s">
        <v>183</v>
      </c>
      <c r="D137" s="55">
        <v>1800</v>
      </c>
      <c r="E137" s="55"/>
      <c r="F137" s="55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0">
        <v>23</v>
      </c>
      <c r="C138" s="27" t="s">
        <v>186</v>
      </c>
      <c r="D138" s="55"/>
      <c r="E138" s="55">
        <v>0</v>
      </c>
      <c r="F138" s="55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0">
        <v>24</v>
      </c>
      <c r="C139" s="27" t="s">
        <v>187</v>
      </c>
      <c r="D139" s="55"/>
      <c r="E139" s="55"/>
      <c r="F139" s="55">
        <v>9304</v>
      </c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0">
        <v>25</v>
      </c>
      <c r="C140" s="27" t="s">
        <v>22</v>
      </c>
      <c r="D140" s="55">
        <v>10500</v>
      </c>
      <c r="E140" s="55"/>
      <c r="F140" s="55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0">
        <v>26</v>
      </c>
      <c r="C141" s="27" t="s">
        <v>183</v>
      </c>
      <c r="D141" s="55">
        <v>4500</v>
      </c>
      <c r="E141" s="55"/>
      <c r="F141" s="55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0">
        <v>27</v>
      </c>
      <c r="C142" s="27" t="s">
        <v>186</v>
      </c>
      <c r="D142" s="55"/>
      <c r="E142" s="55">
        <v>1617.45</v>
      </c>
      <c r="F142" s="55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0">
        <v>28</v>
      </c>
      <c r="C143" s="27" t="s">
        <v>187</v>
      </c>
      <c r="D143" s="55"/>
      <c r="E143" s="55"/>
      <c r="F143" s="55">
        <v>5510.55</v>
      </c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0">
        <v>29</v>
      </c>
      <c r="C144" s="27" t="s">
        <v>22</v>
      </c>
      <c r="D144" s="55">
        <v>14400</v>
      </c>
      <c r="E144" s="55"/>
      <c r="F144" s="55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0">
        <v>30</v>
      </c>
      <c r="C145" s="27" t="s">
        <v>183</v>
      </c>
      <c r="D145" s="55">
        <v>8600</v>
      </c>
      <c r="E145" s="55"/>
      <c r="F145" s="55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0">
        <v>31</v>
      </c>
      <c r="C146" s="27" t="s">
        <v>186</v>
      </c>
      <c r="D146" s="55"/>
      <c r="E146" s="55">
        <v>1896</v>
      </c>
      <c r="F146" s="55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0">
        <v>32</v>
      </c>
      <c r="C147" s="27" t="s">
        <v>187</v>
      </c>
      <c r="D147" s="55"/>
      <c r="E147" s="55"/>
      <c r="F147" s="55">
        <v>8000</v>
      </c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0">
        <v>33</v>
      </c>
      <c r="C148" s="27" t="s">
        <v>22</v>
      </c>
      <c r="D148" s="55">
        <v>10500</v>
      </c>
      <c r="E148" s="55"/>
      <c r="F148" s="55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0">
        <v>34</v>
      </c>
      <c r="C149" s="27" t="s">
        <v>183</v>
      </c>
      <c r="D149" s="55">
        <v>4500</v>
      </c>
      <c r="E149" s="55"/>
      <c r="F149" s="55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0">
        <v>35</v>
      </c>
      <c r="C150" s="27" t="s">
        <v>186</v>
      </c>
      <c r="D150" s="55"/>
      <c r="E150" s="55">
        <v>500</v>
      </c>
      <c r="F150" s="55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0">
        <v>36</v>
      </c>
      <c r="C151" s="27" t="s">
        <v>187</v>
      </c>
      <c r="D151" s="55"/>
      <c r="E151" s="55"/>
      <c r="F151" s="55">
        <v>6360</v>
      </c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0">
        <v>37</v>
      </c>
      <c r="C152" s="27" t="s">
        <v>22</v>
      </c>
      <c r="D152" s="55">
        <v>5950</v>
      </c>
      <c r="E152" s="55"/>
      <c r="F152" s="55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0">
        <v>38</v>
      </c>
      <c r="C153" s="27" t="s">
        <v>183</v>
      </c>
      <c r="D153" s="55">
        <v>2550</v>
      </c>
      <c r="E153" s="55"/>
      <c r="F153" s="55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0">
        <v>39</v>
      </c>
      <c r="C154" s="27" t="s">
        <v>186</v>
      </c>
      <c r="D154" s="55"/>
      <c r="E154" s="55">
        <v>2045.25</v>
      </c>
      <c r="F154" s="55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0">
        <v>40</v>
      </c>
      <c r="C155" s="27" t="s">
        <v>187</v>
      </c>
      <c r="D155" s="55"/>
      <c r="E155" s="55"/>
      <c r="F155" s="55">
        <v>17209.75</v>
      </c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4.9000000000000004" customHeight="1" thickBot="1" x14ac:dyDescent="0.35">
      <c r="A156" s="1"/>
      <c r="B156" s="1"/>
      <c r="C156" s="1"/>
      <c r="D156" s="58"/>
      <c r="E156" s="58"/>
      <c r="F156" s="58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thickTop="1" x14ac:dyDescent="0.3">
      <c r="A157" s="1"/>
      <c r="B157" s="11"/>
      <c r="C157" s="4" t="s">
        <v>23</v>
      </c>
      <c r="D157" s="59">
        <f>SUM(D116:D156)</f>
        <v>115900</v>
      </c>
      <c r="E157" s="59">
        <f>SUM(E116:E156)</f>
        <v>17771.900000000001</v>
      </c>
      <c r="F157" s="59">
        <f>SUM(F116:F156)</f>
        <v>87883.1</v>
      </c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  <row r="1018" spans="1:25" ht="13.5" customHeight="1" x14ac:dyDescent="0.3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</row>
    <row r="1019" spans="1:25" ht="13.5" customHeight="1" x14ac:dyDescent="0.3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</row>
    <row r="1020" spans="1:25" ht="13.5" customHeight="1" x14ac:dyDescent="0.3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</row>
    <row r="1021" spans="1:25" ht="13.5" customHeight="1" x14ac:dyDescent="0.3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</row>
    <row r="1022" spans="1:25" ht="13.5" customHeight="1" x14ac:dyDescent="0.3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</row>
    <row r="1023" spans="1:25" ht="13.5" customHeight="1" x14ac:dyDescent="0.3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</row>
    <row r="1024" spans="1:25" ht="13.5" customHeight="1" x14ac:dyDescent="0.3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</row>
    <row r="1025" spans="1:25" ht="13.5" customHeight="1" x14ac:dyDescent="0.3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</row>
    <row r="1026" spans="1:25" ht="13.5" customHeight="1" x14ac:dyDescent="0.3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</row>
    <row r="1027" spans="1:25" ht="13.5" customHeight="1" x14ac:dyDescent="0.3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</row>
    <row r="1028" spans="1:25" ht="13.5" customHeight="1" x14ac:dyDescent="0.3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</row>
    <row r="1029" spans="1:25" ht="13.5" customHeight="1" x14ac:dyDescent="0.3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</row>
    <row r="1030" spans="1:25" ht="13.5" customHeight="1" x14ac:dyDescent="0.3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</row>
    <row r="1031" spans="1:25" ht="13.5" customHeight="1" x14ac:dyDescent="0.3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</row>
    <row r="1032" spans="1:25" ht="13.5" customHeight="1" x14ac:dyDescent="0.3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</row>
    <row r="1033" spans="1:25" ht="13.5" customHeight="1" x14ac:dyDescent="0.3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</row>
    <row r="1034" spans="1:25" ht="13.5" customHeight="1" x14ac:dyDescent="0.3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</row>
    <row r="1035" spans="1:25" ht="13.5" customHeight="1" x14ac:dyDescent="0.3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</row>
    <row r="1036" spans="1:25" ht="13.5" customHeight="1" x14ac:dyDescent="0.3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</row>
    <row r="1037" spans="1:25" ht="13.5" customHeight="1" x14ac:dyDescent="0.3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</row>
    <row r="1038" spans="1:25" ht="13.5" customHeight="1" x14ac:dyDescent="0.3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</row>
    <row r="1039" spans="1:25" ht="13.5" customHeight="1" x14ac:dyDescent="0.3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</row>
    <row r="1040" spans="1:25" ht="13.5" customHeight="1" x14ac:dyDescent="0.3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</row>
    <row r="1041" spans="1:25" ht="13.5" customHeight="1" x14ac:dyDescent="0.3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</row>
    <row r="1042" spans="1:25" ht="13.5" customHeight="1" x14ac:dyDescent="0.3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</row>
    <row r="1043" spans="1:25" ht="13.5" customHeight="1" x14ac:dyDescent="0.3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</row>
    <row r="1044" spans="1:25" ht="13.5" customHeight="1" x14ac:dyDescent="0.3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</row>
    <row r="1045" spans="1:25" ht="13.5" customHeight="1" x14ac:dyDescent="0.3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</row>
    <row r="1046" spans="1:25" ht="13.5" customHeight="1" x14ac:dyDescent="0.3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</row>
    <row r="1047" spans="1:25" ht="13.5" customHeight="1" x14ac:dyDescent="0.3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</row>
    <row r="1048" spans="1:25" ht="13.5" customHeight="1" x14ac:dyDescent="0.3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</row>
    <row r="1049" spans="1:25" ht="13.5" customHeight="1" x14ac:dyDescent="0.3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</row>
    <row r="1050" spans="1:25" ht="13.5" customHeight="1" x14ac:dyDescent="0.3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</row>
    <row r="1051" spans="1:25" ht="13.5" customHeight="1" x14ac:dyDescent="0.3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</row>
    <row r="1052" spans="1:25" ht="13.5" customHeight="1" x14ac:dyDescent="0.3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</row>
    <row r="1053" spans="1:25" ht="13.5" customHeight="1" x14ac:dyDescent="0.3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</row>
    <row r="1054" spans="1:25" ht="13.5" customHeight="1" x14ac:dyDescent="0.3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</row>
    <row r="1055" spans="1:25" ht="13.5" customHeight="1" x14ac:dyDescent="0.3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</row>
    <row r="1056" spans="1:25" ht="13.5" customHeight="1" x14ac:dyDescent="0.3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</row>
    <row r="1057" spans="1:25" ht="13.5" customHeight="1" x14ac:dyDescent="0.3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</row>
    <row r="1058" spans="1:25" ht="13.5" customHeight="1" x14ac:dyDescent="0.3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</row>
    <row r="1059" spans="1:25" ht="13.5" customHeight="1" x14ac:dyDescent="0.3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</row>
    <row r="1060" spans="1:25" ht="13.5" customHeight="1" x14ac:dyDescent="0.3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</row>
    <row r="1061" spans="1:25" ht="13.5" customHeight="1" x14ac:dyDescent="0.3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</row>
    <row r="1062" spans="1:25" ht="13.5" customHeight="1" x14ac:dyDescent="0.3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</row>
    <row r="1063" spans="1:25" ht="13.5" customHeight="1" x14ac:dyDescent="0.3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</row>
    <row r="1064" spans="1:25" ht="13.5" customHeight="1" x14ac:dyDescent="0.3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</row>
    <row r="1065" spans="1:25" ht="13.5" customHeight="1" x14ac:dyDescent="0.3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</row>
    <row r="1066" spans="1:25" ht="13.5" customHeight="1" x14ac:dyDescent="0.3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</row>
    <row r="1067" spans="1:25" ht="13.5" customHeight="1" x14ac:dyDescent="0.3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</row>
    <row r="1068" spans="1:25" ht="13.5" customHeight="1" x14ac:dyDescent="0.3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</row>
    <row r="1069" spans="1:25" ht="13.5" customHeight="1" x14ac:dyDescent="0.3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</row>
    <row r="1070" spans="1:25" ht="13.5" customHeight="1" x14ac:dyDescent="0.3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</row>
    <row r="1071" spans="1:25" ht="13.5" customHeight="1" x14ac:dyDescent="0.3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</row>
    <row r="1072" spans="1:25" ht="13.5" customHeight="1" x14ac:dyDescent="0.3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</row>
    <row r="1073" spans="1:25" ht="13.5" customHeight="1" x14ac:dyDescent="0.3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</row>
    <row r="1074" spans="1:25" ht="13.5" customHeight="1" x14ac:dyDescent="0.3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</row>
    <row r="1075" spans="1:25" ht="13.5" customHeight="1" x14ac:dyDescent="0.3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</row>
    <row r="1076" spans="1:25" ht="13.5" customHeight="1" x14ac:dyDescent="0.3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</row>
    <row r="1077" spans="1:25" ht="13.5" customHeight="1" x14ac:dyDescent="0.3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</row>
    <row r="1078" spans="1:25" ht="13.5" customHeight="1" x14ac:dyDescent="0.3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</row>
    <row r="1079" spans="1:25" ht="13.5" customHeight="1" x14ac:dyDescent="0.3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</row>
    <row r="1080" spans="1:25" ht="13.5" customHeight="1" x14ac:dyDescent="0.3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</row>
    <row r="1081" spans="1:25" ht="13.5" customHeight="1" x14ac:dyDescent="0.3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</row>
    <row r="1082" spans="1:25" ht="13.5" customHeight="1" x14ac:dyDescent="0.3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</row>
    <row r="1083" spans="1:25" ht="13.5" customHeight="1" x14ac:dyDescent="0.3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</row>
    <row r="1084" spans="1:25" ht="13.5" customHeight="1" x14ac:dyDescent="0.3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</row>
    <row r="1085" spans="1:25" ht="13.5" customHeight="1" x14ac:dyDescent="0.3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</row>
    <row r="1086" spans="1:25" ht="13.5" customHeight="1" x14ac:dyDescent="0.3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</row>
    <row r="1087" spans="1:25" ht="13.5" customHeight="1" x14ac:dyDescent="0.3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</row>
    <row r="1088" spans="1:25" ht="13.5" customHeight="1" x14ac:dyDescent="0.3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</row>
    <row r="1089" spans="1:25" ht="13.5" customHeight="1" x14ac:dyDescent="0.3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</row>
    <row r="1090" spans="1:25" ht="13.5" customHeight="1" x14ac:dyDescent="0.3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</row>
    <row r="1091" spans="1:25" ht="13.5" customHeight="1" x14ac:dyDescent="0.3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</row>
    <row r="1092" spans="1:25" ht="13.5" customHeight="1" x14ac:dyDescent="0.3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</row>
    <row r="1093" spans="1:25" ht="13.5" customHeight="1" x14ac:dyDescent="0.3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</row>
    <row r="1094" spans="1:25" ht="13.5" customHeight="1" x14ac:dyDescent="0.3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</row>
  </sheetData>
  <sheetProtection algorithmName="SHA-512" hashValue="nfAawwyQfsF3PGDwe9FHTDYwtZqG4VlLcV3ackgfHXtBLWaoOHA4rbyhrcHcsgBIXOBPxXQvpssF/QeB7XeFvg==" saltValue="p9nh+M2Y8/Rn6bqkxMREhA==" spinCount="100000" sheet="1" objects="1" scenarios="1" formatColumns="0" formatRows="0" sort="0" autoFilter="0"/>
  <mergeCells count="12">
    <mergeCell ref="B106:F106"/>
    <mergeCell ref="B99:F99"/>
    <mergeCell ref="B12:F12"/>
    <mergeCell ref="B13:F13"/>
    <mergeCell ref="B14:F14"/>
    <mergeCell ref="B15:F15"/>
    <mergeCell ref="B18:F18"/>
    <mergeCell ref="B29:F29"/>
    <mergeCell ref="B40:F40"/>
    <mergeCell ref="B35:F35"/>
    <mergeCell ref="B87:F87"/>
    <mergeCell ref="B101:F101"/>
  </mergeCells>
  <dataValidations count="1">
    <dataValidation type="decimal" operator="greaterThanOrEqual" allowBlank="1" showInputMessage="1" showErrorMessage="1" sqref="E39 E88:E98 E100 E30:F34 E102:F105 E107:F112 D116:F155 E41:E43 E44:E86" xr:uid="{00000000-0002-0000-0000-000000000000}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11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29</xdr:row>
                    <xdr:rowOff>19050</xdr:rowOff>
                  </from>
                  <to>
                    <xdr:col>1</xdr:col>
                    <xdr:colOff>733425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29</xdr:row>
                    <xdr:rowOff>19050</xdr:rowOff>
                  </from>
                  <to>
                    <xdr:col>1</xdr:col>
                    <xdr:colOff>1504950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87</xdr:row>
                    <xdr:rowOff>19050</xdr:rowOff>
                  </from>
                  <to>
                    <xdr:col>1</xdr:col>
                    <xdr:colOff>733425</xdr:colOff>
                    <xdr:row>87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87</xdr:row>
                    <xdr:rowOff>19050</xdr:rowOff>
                  </from>
                  <to>
                    <xdr:col>1</xdr:col>
                    <xdr:colOff>1504950</xdr:colOff>
                    <xdr:row>87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101</xdr:row>
                    <xdr:rowOff>19050</xdr:rowOff>
                  </from>
                  <to>
                    <xdr:col>1</xdr:col>
                    <xdr:colOff>733425</xdr:colOff>
                    <xdr:row>101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101</xdr:row>
                    <xdr:rowOff>19050</xdr:rowOff>
                  </from>
                  <to>
                    <xdr:col>1</xdr:col>
                    <xdr:colOff>1504950</xdr:colOff>
                    <xdr:row>101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106</xdr:row>
                    <xdr:rowOff>19050</xdr:rowOff>
                  </from>
                  <to>
                    <xdr:col>1</xdr:col>
                    <xdr:colOff>733425</xdr:colOff>
                    <xdr:row>106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106</xdr:row>
                    <xdr:rowOff>19050</xdr:rowOff>
                  </from>
                  <to>
                    <xdr:col>1</xdr:col>
                    <xdr:colOff>1504950</xdr:colOff>
                    <xdr:row>106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115</xdr:row>
                    <xdr:rowOff>19050</xdr:rowOff>
                  </from>
                  <to>
                    <xdr:col>1</xdr:col>
                    <xdr:colOff>733425</xdr:colOff>
                    <xdr:row>115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115</xdr:row>
                    <xdr:rowOff>19050</xdr:rowOff>
                  </from>
                  <to>
                    <xdr:col>1</xdr:col>
                    <xdr:colOff>1504950</xdr:colOff>
                    <xdr:row>115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 xr:uid="{00000000-0002-0000-0000-000001000000}">
          <x14:formula1>
            <xm:f>Depts!$G$3:$G$27</xm:f>
          </x14:formula1>
          <xm:sqref>C38</xm:sqref>
        </x14:dataValidation>
        <x14:dataValidation type="list" allowBlank="1" showInputMessage="1" showErrorMessage="1" promptTitle="PhilHealth Survey Tool" prompt="Please select one option" xr:uid="{00000000-0002-0000-0000-000002000000}">
          <x14:formula1>
            <xm:f>Depts!$F$3:$F$27</xm:f>
          </x14:formula1>
          <xm:sqref>C37</xm:sqref>
        </x14:dataValidation>
        <x14:dataValidation type="list" allowBlank="1" showInputMessage="1" showErrorMessage="1" promptTitle="PhilHealth Survey Tool" prompt="Please select one option" xr:uid="{00000000-0002-0000-0000-000003000000}">
          <x14:formula1>
            <xm:f>Depts!$E$3:$E$27</xm:f>
          </x14:formula1>
          <xm:sqref>C36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70C0"/>
    <outlinePr summaryBelow="0" summaryRight="0"/>
  </sheetPr>
  <dimension ref="A1:T1054"/>
  <sheetViews>
    <sheetView tabSelected="1" topLeftCell="C1" zoomScale="115" zoomScaleNormal="115" workbookViewId="0">
      <selection activeCell="D13" sqref="D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93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66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280</v>
      </c>
      <c r="D11" s="27" t="s">
        <v>190</v>
      </c>
      <c r="E11" s="27" t="s">
        <v>196</v>
      </c>
      <c r="F11" s="55">
        <v>2</v>
      </c>
      <c r="G11" s="55">
        <v>1</v>
      </c>
      <c r="H11" s="55">
        <v>2</v>
      </c>
      <c r="I11" s="55">
        <v>300</v>
      </c>
      <c r="J11" s="55">
        <f>H11*I11</f>
        <v>600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298</v>
      </c>
      <c r="D12" s="27" t="s">
        <v>189</v>
      </c>
      <c r="E12" s="27"/>
      <c r="F12" s="55">
        <v>1</v>
      </c>
      <c r="G12" s="55">
        <v>3</v>
      </c>
      <c r="H12" s="55">
        <v>3</v>
      </c>
      <c r="I12" s="55">
        <v>42</v>
      </c>
      <c r="J12" s="55">
        <f t="shared" ref="J12:J103" si="0">H12*I12</f>
        <v>126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297</v>
      </c>
      <c r="D13" s="27" t="s">
        <v>189</v>
      </c>
      <c r="E13" s="27" t="s">
        <v>197</v>
      </c>
      <c r="F13" s="55">
        <v>1</v>
      </c>
      <c r="G13" s="55">
        <v>3</v>
      </c>
      <c r="H13" s="55">
        <v>3</v>
      </c>
      <c r="I13" s="55">
        <v>42</v>
      </c>
      <c r="J13" s="55">
        <f t="shared" si="0"/>
        <v>126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301</v>
      </c>
      <c r="D14" s="27" t="s">
        <v>191</v>
      </c>
      <c r="E14" s="27" t="s">
        <v>198</v>
      </c>
      <c r="F14" s="55">
        <v>1</v>
      </c>
      <c r="G14" s="55">
        <v>1</v>
      </c>
      <c r="H14" s="55">
        <v>1</v>
      </c>
      <c r="I14" s="55">
        <v>1800</v>
      </c>
      <c r="J14" s="55">
        <f t="shared" si="0"/>
        <v>1800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300</v>
      </c>
      <c r="D15" s="27"/>
      <c r="E15" s="27" t="s">
        <v>199</v>
      </c>
      <c r="F15" s="55">
        <v>1</v>
      </c>
      <c r="G15" s="55">
        <v>2</v>
      </c>
      <c r="H15" s="55">
        <v>1</v>
      </c>
      <c r="I15" s="55">
        <v>2640</v>
      </c>
      <c r="J15" s="55">
        <f t="shared" si="0"/>
        <v>2640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292</v>
      </c>
      <c r="D16" s="27" t="s">
        <v>191</v>
      </c>
      <c r="E16" s="27" t="s">
        <v>200</v>
      </c>
      <c r="F16" s="55">
        <v>1</v>
      </c>
      <c r="G16" s="55">
        <v>3</v>
      </c>
      <c r="H16" s="55">
        <v>3</v>
      </c>
      <c r="I16" s="55">
        <v>240</v>
      </c>
      <c r="J16" s="55">
        <f t="shared" si="0"/>
        <v>720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2:20" ht="12.75" customHeight="1" x14ac:dyDescent="0.3">
      <c r="B17" s="42">
        <v>7</v>
      </c>
      <c r="C17" s="27" t="s">
        <v>296</v>
      </c>
      <c r="D17" s="27" t="s">
        <v>192</v>
      </c>
      <c r="E17" s="27" t="s">
        <v>198</v>
      </c>
      <c r="F17" s="55">
        <v>1</v>
      </c>
      <c r="G17" s="55">
        <v>1</v>
      </c>
      <c r="H17" s="55">
        <v>1</v>
      </c>
      <c r="I17" s="55">
        <v>100</v>
      </c>
      <c r="J17" s="55">
        <f t="shared" si="0"/>
        <v>100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2:20" ht="12.75" customHeight="1" x14ac:dyDescent="0.3">
      <c r="B18" s="42">
        <v>8</v>
      </c>
      <c r="C18" s="27" t="s">
        <v>278</v>
      </c>
      <c r="D18" s="27"/>
      <c r="E18" s="27" t="s">
        <v>201</v>
      </c>
      <c r="F18" s="55">
        <v>1</v>
      </c>
      <c r="G18" s="55">
        <v>2</v>
      </c>
      <c r="H18" s="55">
        <v>2</v>
      </c>
      <c r="I18" s="55">
        <v>1200</v>
      </c>
      <c r="J18" s="55">
        <f t="shared" si="0"/>
        <v>2400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2:20" ht="12.75" customHeight="1" x14ac:dyDescent="0.3">
      <c r="B19" s="42">
        <v>9</v>
      </c>
      <c r="C19" s="27" t="s">
        <v>272</v>
      </c>
      <c r="D19" s="27" t="s">
        <v>193</v>
      </c>
      <c r="E19" s="27" t="s">
        <v>202</v>
      </c>
      <c r="F19" s="55">
        <v>1</v>
      </c>
      <c r="G19" s="55">
        <v>1</v>
      </c>
      <c r="H19" s="55">
        <v>1</v>
      </c>
      <c r="I19" s="55">
        <v>360</v>
      </c>
      <c r="J19" s="55">
        <f t="shared" si="0"/>
        <v>360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2:20" ht="12.75" customHeight="1" x14ac:dyDescent="0.3">
      <c r="B20" s="42">
        <v>10</v>
      </c>
      <c r="C20" s="27" t="s">
        <v>274</v>
      </c>
      <c r="D20" s="27" t="s">
        <v>194</v>
      </c>
      <c r="E20" s="27"/>
      <c r="F20" s="55">
        <v>1</v>
      </c>
      <c r="G20" s="55">
        <v>1</v>
      </c>
      <c r="H20" s="55">
        <v>1</v>
      </c>
      <c r="I20" s="55">
        <v>180</v>
      </c>
      <c r="J20" s="55">
        <f t="shared" si="0"/>
        <v>180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2:20" ht="12.75" customHeight="1" x14ac:dyDescent="0.3">
      <c r="B21" s="42">
        <v>11</v>
      </c>
      <c r="C21" s="27" t="s">
        <v>299</v>
      </c>
      <c r="D21" s="27" t="s">
        <v>190</v>
      </c>
      <c r="E21" s="27" t="s">
        <v>196</v>
      </c>
      <c r="F21" s="55">
        <v>2</v>
      </c>
      <c r="G21" s="55">
        <v>2</v>
      </c>
      <c r="H21" s="55">
        <v>2</v>
      </c>
      <c r="I21" s="55">
        <v>300</v>
      </c>
      <c r="J21" s="55">
        <f t="shared" si="0"/>
        <v>600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2:20" ht="12.75" customHeight="1" x14ac:dyDescent="0.3">
      <c r="B22" s="42">
        <v>12</v>
      </c>
      <c r="C22" s="27" t="s">
        <v>298</v>
      </c>
      <c r="D22" s="27" t="s">
        <v>189</v>
      </c>
      <c r="E22" s="27"/>
      <c r="F22" s="55"/>
      <c r="G22" s="55"/>
      <c r="H22" s="55">
        <v>3</v>
      </c>
      <c r="I22" s="55">
        <v>42</v>
      </c>
      <c r="J22" s="55">
        <f t="shared" si="0"/>
        <v>126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2:20" ht="12.75" customHeight="1" x14ac:dyDescent="0.3">
      <c r="B23" s="42">
        <v>13</v>
      </c>
      <c r="C23" s="27" t="s">
        <v>297</v>
      </c>
      <c r="D23" s="27" t="s">
        <v>189</v>
      </c>
      <c r="E23" s="27" t="s">
        <v>197</v>
      </c>
      <c r="F23" s="55">
        <v>3</v>
      </c>
      <c r="G23" s="55">
        <v>3</v>
      </c>
      <c r="H23" s="55">
        <v>3</v>
      </c>
      <c r="I23" s="55">
        <v>42</v>
      </c>
      <c r="J23" s="55">
        <f t="shared" si="0"/>
        <v>126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2:20" ht="12.75" customHeight="1" x14ac:dyDescent="0.3">
      <c r="B24" s="42">
        <v>14</v>
      </c>
      <c r="C24" s="27" t="s">
        <v>296</v>
      </c>
      <c r="D24" s="27" t="s">
        <v>192</v>
      </c>
      <c r="E24" s="27" t="s">
        <v>198</v>
      </c>
      <c r="F24" s="55">
        <v>1</v>
      </c>
      <c r="G24" s="55">
        <v>3</v>
      </c>
      <c r="H24" s="55">
        <v>1</v>
      </c>
      <c r="I24" s="55">
        <v>100</v>
      </c>
      <c r="J24" s="55">
        <f t="shared" si="0"/>
        <v>100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2:20" ht="12.75" customHeight="1" x14ac:dyDescent="0.3">
      <c r="B25" s="42">
        <v>15</v>
      </c>
      <c r="C25" s="27" t="s">
        <v>295</v>
      </c>
      <c r="D25" s="27" t="s">
        <v>191</v>
      </c>
      <c r="E25" s="27" t="s">
        <v>201</v>
      </c>
      <c r="F25" s="55">
        <v>2</v>
      </c>
      <c r="G25" s="55">
        <v>3</v>
      </c>
      <c r="H25" s="55">
        <v>1</v>
      </c>
      <c r="I25" s="55">
        <v>1200</v>
      </c>
      <c r="J25" s="55">
        <f t="shared" si="0"/>
        <v>1200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2:20" ht="12.75" customHeight="1" x14ac:dyDescent="0.3">
      <c r="B26" s="42">
        <v>16</v>
      </c>
      <c r="C26" s="27" t="s">
        <v>294</v>
      </c>
      <c r="D26" s="27" t="s">
        <v>189</v>
      </c>
      <c r="E26" s="27"/>
      <c r="F26" s="55">
        <v>2</v>
      </c>
      <c r="G26" s="55">
        <v>2</v>
      </c>
      <c r="H26" s="55">
        <v>8</v>
      </c>
      <c r="I26" s="55">
        <v>45</v>
      </c>
      <c r="J26" s="55">
        <f t="shared" si="0"/>
        <v>360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2:20" ht="12.75" customHeight="1" x14ac:dyDescent="0.3">
      <c r="B27" s="42">
        <v>17</v>
      </c>
      <c r="C27" s="27" t="s">
        <v>293</v>
      </c>
      <c r="D27" s="27" t="s">
        <v>191</v>
      </c>
      <c r="E27" s="27" t="s">
        <v>203</v>
      </c>
      <c r="F27" s="55">
        <v>1</v>
      </c>
      <c r="G27" s="55">
        <v>1</v>
      </c>
      <c r="H27" s="55">
        <v>1</v>
      </c>
      <c r="I27" s="55">
        <v>240</v>
      </c>
      <c r="J27" s="55">
        <f t="shared" si="0"/>
        <v>240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2:20" ht="12.75" customHeight="1" x14ac:dyDescent="0.3">
      <c r="B28" s="42">
        <v>18</v>
      </c>
      <c r="C28" s="27" t="s">
        <v>188</v>
      </c>
      <c r="D28" s="27" t="s">
        <v>195</v>
      </c>
      <c r="E28" s="27"/>
      <c r="F28" s="55">
        <v>2</v>
      </c>
      <c r="G28" s="55">
        <v>1</v>
      </c>
      <c r="H28" s="55">
        <v>4</v>
      </c>
      <c r="I28" s="55">
        <v>30</v>
      </c>
      <c r="J28" s="55">
        <f t="shared" si="0"/>
        <v>120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2:20" ht="12.75" customHeight="1" x14ac:dyDescent="0.3">
      <c r="B29" s="42">
        <v>19</v>
      </c>
      <c r="C29" s="27" t="s">
        <v>292</v>
      </c>
      <c r="D29" s="27" t="s">
        <v>191</v>
      </c>
      <c r="E29" s="27" t="s">
        <v>200</v>
      </c>
      <c r="F29" s="55">
        <v>3</v>
      </c>
      <c r="G29" s="55">
        <v>3</v>
      </c>
      <c r="H29" s="55">
        <v>3</v>
      </c>
      <c r="I29" s="55">
        <v>240</v>
      </c>
      <c r="J29" s="55">
        <f t="shared" si="0"/>
        <v>720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2:20" ht="12.75" customHeight="1" x14ac:dyDescent="0.3">
      <c r="B30" s="42">
        <v>20</v>
      </c>
      <c r="C30" s="27" t="s">
        <v>273</v>
      </c>
      <c r="D30" s="27" t="s">
        <v>190</v>
      </c>
      <c r="E30" s="27" t="s">
        <v>196</v>
      </c>
      <c r="F30" s="55">
        <v>1</v>
      </c>
      <c r="G30" s="55">
        <v>1</v>
      </c>
      <c r="H30" s="55">
        <v>1</v>
      </c>
      <c r="I30" s="55">
        <v>300</v>
      </c>
      <c r="J30" s="55">
        <f t="shared" si="0"/>
        <v>300</v>
      </c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2:20" ht="12.75" customHeight="1" x14ac:dyDescent="0.3">
      <c r="B31" s="42">
        <v>21</v>
      </c>
      <c r="C31" s="27" t="s">
        <v>290</v>
      </c>
      <c r="D31" s="27" t="s">
        <v>190</v>
      </c>
      <c r="E31" s="27" t="s">
        <v>196</v>
      </c>
      <c r="F31" s="55">
        <v>1</v>
      </c>
      <c r="G31" s="55">
        <v>1</v>
      </c>
      <c r="H31" s="55">
        <v>1</v>
      </c>
      <c r="I31" s="55">
        <v>300</v>
      </c>
      <c r="J31" s="55">
        <f t="shared" si="0"/>
        <v>300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2:20" ht="12.75" customHeight="1" x14ac:dyDescent="0.3">
      <c r="B32" s="42">
        <v>22</v>
      </c>
      <c r="C32" s="27" t="s">
        <v>291</v>
      </c>
      <c r="D32" s="27" t="s">
        <v>193</v>
      </c>
      <c r="E32" s="27" t="s">
        <v>217</v>
      </c>
      <c r="F32" s="55">
        <v>1</v>
      </c>
      <c r="G32" s="55">
        <v>1</v>
      </c>
      <c r="H32" s="55">
        <v>1</v>
      </c>
      <c r="I32" s="55">
        <v>180</v>
      </c>
      <c r="J32" s="55">
        <f t="shared" si="0"/>
        <v>180</v>
      </c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2:20" ht="12.75" customHeight="1" x14ac:dyDescent="0.3">
      <c r="B33" s="42">
        <v>23</v>
      </c>
      <c r="C33" s="27" t="s">
        <v>275</v>
      </c>
      <c r="D33" s="27" t="s">
        <v>193</v>
      </c>
      <c r="E33" s="27" t="s">
        <v>218</v>
      </c>
      <c r="F33" s="55">
        <v>1</v>
      </c>
      <c r="G33" s="55">
        <v>3</v>
      </c>
      <c r="H33" s="55">
        <v>3</v>
      </c>
      <c r="I33" s="55">
        <v>180</v>
      </c>
      <c r="J33" s="55">
        <f t="shared" si="0"/>
        <v>540</v>
      </c>
      <c r="K33" s="34"/>
      <c r="L33" s="34"/>
      <c r="M33" s="34"/>
      <c r="N33" s="34"/>
      <c r="O33" s="34"/>
      <c r="P33" s="34"/>
      <c r="Q33" s="34"/>
      <c r="R33" s="34"/>
      <c r="S33" s="34"/>
      <c r="T33" s="34"/>
    </row>
    <row r="34" spans="2:20" ht="12.75" customHeight="1" x14ac:dyDescent="0.3">
      <c r="B34" s="42">
        <v>24</v>
      </c>
      <c r="C34" s="27" t="s">
        <v>290</v>
      </c>
      <c r="D34" s="27" t="s">
        <v>190</v>
      </c>
      <c r="E34" s="27" t="s">
        <v>196</v>
      </c>
      <c r="F34" s="55">
        <v>2</v>
      </c>
      <c r="G34" s="55"/>
      <c r="H34" s="55">
        <v>2</v>
      </c>
      <c r="I34" s="55">
        <v>300</v>
      </c>
      <c r="J34" s="55">
        <f t="shared" si="0"/>
        <v>600</v>
      </c>
      <c r="K34" s="34"/>
      <c r="L34" s="34"/>
      <c r="M34" s="34"/>
      <c r="N34" s="34"/>
      <c r="O34" s="34"/>
      <c r="P34" s="34"/>
      <c r="Q34" s="34"/>
      <c r="R34" s="34"/>
      <c r="S34" s="34"/>
      <c r="T34" s="34"/>
    </row>
    <row r="35" spans="2:20" ht="12.75" customHeight="1" x14ac:dyDescent="0.3">
      <c r="B35" s="42">
        <v>25</v>
      </c>
      <c r="C35" s="27" t="s">
        <v>275</v>
      </c>
      <c r="D35" s="27" t="s">
        <v>193</v>
      </c>
      <c r="E35" s="27" t="s">
        <v>218</v>
      </c>
      <c r="F35" s="55">
        <v>3</v>
      </c>
      <c r="G35" s="55">
        <v>3</v>
      </c>
      <c r="H35" s="55">
        <v>3</v>
      </c>
      <c r="I35" s="55">
        <v>180</v>
      </c>
      <c r="J35" s="55">
        <f t="shared" si="0"/>
        <v>540</v>
      </c>
      <c r="K35" s="34"/>
      <c r="L35" s="34"/>
      <c r="M35" s="34"/>
      <c r="N35" s="34"/>
      <c r="O35" s="34"/>
      <c r="P35" s="34"/>
      <c r="Q35" s="34"/>
      <c r="R35" s="34"/>
      <c r="S35" s="34"/>
      <c r="T35" s="34"/>
    </row>
    <row r="36" spans="2:20" ht="12.75" customHeight="1" x14ac:dyDescent="0.3">
      <c r="B36" s="42">
        <v>26</v>
      </c>
      <c r="C36" s="27" t="s">
        <v>273</v>
      </c>
      <c r="D36" s="27" t="s">
        <v>190</v>
      </c>
      <c r="E36" s="27" t="s">
        <v>196</v>
      </c>
      <c r="F36" s="55">
        <v>1</v>
      </c>
      <c r="G36" s="55">
        <v>1</v>
      </c>
      <c r="H36" s="55">
        <v>1</v>
      </c>
      <c r="I36" s="55">
        <v>300</v>
      </c>
      <c r="J36" s="55">
        <f t="shared" si="0"/>
        <v>300</v>
      </c>
      <c r="K36" s="34"/>
      <c r="L36" s="34"/>
      <c r="M36" s="34"/>
      <c r="N36" s="34"/>
      <c r="O36" s="34"/>
      <c r="P36" s="34"/>
      <c r="Q36" s="34"/>
      <c r="R36" s="34"/>
      <c r="S36" s="34"/>
      <c r="T36" s="34"/>
    </row>
    <row r="37" spans="2:20" ht="12.75" customHeight="1" x14ac:dyDescent="0.3">
      <c r="B37" s="42">
        <v>27</v>
      </c>
      <c r="C37" s="27" t="s">
        <v>269</v>
      </c>
      <c r="D37" s="27" t="s">
        <v>193</v>
      </c>
      <c r="E37" s="27"/>
      <c r="F37" s="55">
        <v>1</v>
      </c>
      <c r="G37" s="55">
        <v>1</v>
      </c>
      <c r="H37" s="55">
        <v>1</v>
      </c>
      <c r="I37" s="55">
        <v>180</v>
      </c>
      <c r="J37" s="55">
        <f t="shared" si="0"/>
        <v>180</v>
      </c>
      <c r="K37" s="34"/>
      <c r="L37" s="34"/>
      <c r="M37" s="34"/>
      <c r="N37" s="34"/>
      <c r="O37" s="34"/>
      <c r="P37" s="34"/>
      <c r="Q37" s="34"/>
      <c r="R37" s="34"/>
      <c r="S37" s="34"/>
      <c r="T37" s="34"/>
    </row>
    <row r="38" spans="2:20" ht="12.75" customHeight="1" x14ac:dyDescent="0.3">
      <c r="B38" s="42">
        <v>28</v>
      </c>
      <c r="C38" s="27" t="s">
        <v>289</v>
      </c>
      <c r="D38" s="27" t="s">
        <v>193</v>
      </c>
      <c r="E38" s="27"/>
      <c r="F38" s="55">
        <v>1</v>
      </c>
      <c r="G38" s="55">
        <v>1</v>
      </c>
      <c r="H38" s="55">
        <v>1</v>
      </c>
      <c r="I38" s="55">
        <v>380</v>
      </c>
      <c r="J38" s="55">
        <f t="shared" si="0"/>
        <v>380</v>
      </c>
      <c r="K38" s="34"/>
      <c r="L38" s="34"/>
      <c r="M38" s="34"/>
      <c r="N38" s="34"/>
      <c r="O38" s="34"/>
      <c r="P38" s="34"/>
      <c r="Q38" s="34"/>
      <c r="R38" s="34"/>
      <c r="S38" s="34"/>
      <c r="T38" s="34"/>
    </row>
    <row r="39" spans="2:20" ht="12.75" customHeight="1" x14ac:dyDescent="0.3">
      <c r="B39" s="42">
        <v>29</v>
      </c>
      <c r="C39" s="27" t="s">
        <v>288</v>
      </c>
      <c r="D39" s="27"/>
      <c r="E39" s="115">
        <v>0.02</v>
      </c>
      <c r="F39" s="55">
        <v>5</v>
      </c>
      <c r="G39" s="55">
        <v>1</v>
      </c>
      <c r="H39" s="55">
        <v>5</v>
      </c>
      <c r="I39" s="55">
        <v>30</v>
      </c>
      <c r="J39" s="55">
        <f t="shared" si="0"/>
        <v>150</v>
      </c>
      <c r="K39" s="34"/>
      <c r="L39" s="34"/>
      <c r="M39" s="34"/>
      <c r="N39" s="34"/>
      <c r="O39" s="34"/>
      <c r="P39" s="34"/>
      <c r="Q39" s="34"/>
      <c r="R39" s="34"/>
      <c r="S39" s="34"/>
      <c r="T39" s="34"/>
    </row>
    <row r="40" spans="2:20" ht="12.75" customHeight="1" x14ac:dyDescent="0.3">
      <c r="B40" s="42">
        <v>30</v>
      </c>
      <c r="C40" s="27" t="s">
        <v>287</v>
      </c>
      <c r="D40" s="27" t="s">
        <v>193</v>
      </c>
      <c r="E40" s="27" t="s">
        <v>218</v>
      </c>
      <c r="F40" s="55">
        <v>1</v>
      </c>
      <c r="G40" s="55">
        <v>1</v>
      </c>
      <c r="H40" s="55">
        <v>1</v>
      </c>
      <c r="I40" s="55">
        <v>450</v>
      </c>
      <c r="J40" s="55">
        <f t="shared" si="0"/>
        <v>450</v>
      </c>
      <c r="K40" s="34"/>
      <c r="L40" s="34"/>
      <c r="M40" s="34"/>
      <c r="N40" s="34"/>
      <c r="O40" s="34"/>
      <c r="P40" s="34"/>
      <c r="Q40" s="34"/>
      <c r="R40" s="34"/>
      <c r="S40" s="34"/>
      <c r="T40" s="34"/>
    </row>
    <row r="41" spans="2:20" ht="12.75" customHeight="1" x14ac:dyDescent="0.3">
      <c r="B41" s="42">
        <v>31</v>
      </c>
      <c r="C41" s="27" t="s">
        <v>221</v>
      </c>
      <c r="D41" s="27" t="s">
        <v>221</v>
      </c>
      <c r="E41" s="27"/>
      <c r="F41" s="55">
        <v>1</v>
      </c>
      <c r="G41" s="55">
        <v>1</v>
      </c>
      <c r="H41" s="55">
        <v>1</v>
      </c>
      <c r="I41" s="55">
        <v>300</v>
      </c>
      <c r="J41" s="55">
        <f t="shared" si="0"/>
        <v>300</v>
      </c>
      <c r="K41" s="34"/>
      <c r="L41" s="34"/>
      <c r="M41" s="34"/>
      <c r="N41" s="34"/>
      <c r="O41" s="34"/>
      <c r="P41" s="34"/>
      <c r="Q41" s="34"/>
      <c r="R41" s="34"/>
      <c r="S41" s="34"/>
      <c r="T41" s="34"/>
    </row>
    <row r="42" spans="2:20" ht="12.75" customHeight="1" x14ac:dyDescent="0.3">
      <c r="B42" s="42">
        <v>32</v>
      </c>
      <c r="C42" s="27" t="s">
        <v>286</v>
      </c>
      <c r="D42" s="27"/>
      <c r="E42" s="27" t="s">
        <v>199</v>
      </c>
      <c r="F42" s="55">
        <v>1</v>
      </c>
      <c r="G42" s="55">
        <v>1</v>
      </c>
      <c r="H42" s="55">
        <v>1</v>
      </c>
      <c r="I42" s="55">
        <v>300</v>
      </c>
      <c r="J42" s="55">
        <f t="shared" si="0"/>
        <v>300</v>
      </c>
      <c r="K42" s="34"/>
      <c r="L42" s="34"/>
      <c r="M42" s="34"/>
      <c r="N42" s="34"/>
      <c r="O42" s="34"/>
      <c r="P42" s="34"/>
      <c r="Q42" s="34"/>
      <c r="R42" s="34"/>
      <c r="S42" s="34"/>
      <c r="T42" s="34"/>
    </row>
    <row r="43" spans="2:20" ht="12.75" customHeight="1" x14ac:dyDescent="0.3">
      <c r="B43" s="42">
        <v>33</v>
      </c>
      <c r="C43" s="27" t="s">
        <v>285</v>
      </c>
      <c r="D43" s="27" t="s">
        <v>189</v>
      </c>
      <c r="E43" s="27" t="s">
        <v>202</v>
      </c>
      <c r="F43" s="55">
        <v>1</v>
      </c>
      <c r="G43" s="55">
        <v>1</v>
      </c>
      <c r="H43" s="55">
        <v>1</v>
      </c>
      <c r="I43" s="55">
        <v>35</v>
      </c>
      <c r="J43" s="55">
        <f t="shared" si="0"/>
        <v>35</v>
      </c>
      <c r="K43" s="34"/>
      <c r="L43" s="34"/>
      <c r="M43" s="34"/>
      <c r="N43" s="34"/>
      <c r="O43" s="34"/>
      <c r="P43" s="34"/>
      <c r="Q43" s="34"/>
      <c r="R43" s="34"/>
      <c r="S43" s="34"/>
      <c r="T43" s="34"/>
    </row>
    <row r="44" spans="2:20" ht="12.75" customHeight="1" x14ac:dyDescent="0.3">
      <c r="B44" s="42">
        <v>34</v>
      </c>
      <c r="C44" s="27" t="s">
        <v>284</v>
      </c>
      <c r="D44" s="27" t="s">
        <v>189</v>
      </c>
      <c r="E44" s="27" t="s">
        <v>218</v>
      </c>
      <c r="F44" s="55">
        <v>1</v>
      </c>
      <c r="G44" s="55">
        <v>1</v>
      </c>
      <c r="H44" s="55">
        <v>1</v>
      </c>
      <c r="I44" s="55">
        <v>35</v>
      </c>
      <c r="J44" s="55">
        <f t="shared" si="0"/>
        <v>35</v>
      </c>
      <c r="K44" s="34"/>
      <c r="L44" s="34"/>
      <c r="M44" s="34"/>
      <c r="N44" s="34"/>
      <c r="O44" s="34"/>
      <c r="P44" s="34"/>
      <c r="Q44" s="34"/>
      <c r="R44" s="34"/>
      <c r="S44" s="34"/>
      <c r="T44" s="34"/>
    </row>
    <row r="45" spans="2:20" ht="12.75" customHeight="1" x14ac:dyDescent="0.3">
      <c r="B45" s="42">
        <v>35</v>
      </c>
      <c r="C45" s="27" t="s">
        <v>273</v>
      </c>
      <c r="D45" s="27" t="s">
        <v>190</v>
      </c>
      <c r="E45" s="27" t="s">
        <v>196</v>
      </c>
      <c r="F45" s="55">
        <v>2</v>
      </c>
      <c r="G45" s="55"/>
      <c r="H45" s="55">
        <v>2</v>
      </c>
      <c r="I45" s="55">
        <v>300</v>
      </c>
      <c r="J45" s="55">
        <f t="shared" si="0"/>
        <v>600</v>
      </c>
      <c r="K45" s="34"/>
      <c r="L45" s="34"/>
      <c r="M45" s="34"/>
      <c r="N45" s="34"/>
      <c r="O45" s="34"/>
      <c r="P45" s="34"/>
      <c r="Q45" s="34"/>
      <c r="R45" s="34"/>
      <c r="S45" s="34"/>
      <c r="T45" s="34"/>
    </row>
    <row r="46" spans="2:20" ht="12.75" customHeight="1" x14ac:dyDescent="0.3">
      <c r="B46" s="42">
        <v>36</v>
      </c>
      <c r="C46" s="27" t="s">
        <v>279</v>
      </c>
      <c r="D46" s="27" t="s">
        <v>228</v>
      </c>
      <c r="E46" s="27"/>
      <c r="F46" s="55">
        <v>2</v>
      </c>
      <c r="G46" s="55">
        <v>5</v>
      </c>
      <c r="H46" s="55">
        <v>4</v>
      </c>
      <c r="I46" s="55">
        <v>85</v>
      </c>
      <c r="J46" s="55">
        <f t="shared" si="0"/>
        <v>340</v>
      </c>
      <c r="K46" s="34"/>
      <c r="L46" s="34"/>
      <c r="M46" s="34"/>
      <c r="N46" s="34"/>
      <c r="O46" s="34"/>
      <c r="P46" s="34"/>
      <c r="Q46" s="34"/>
      <c r="R46" s="34"/>
      <c r="S46" s="34"/>
      <c r="T46" s="34"/>
    </row>
    <row r="47" spans="2:20" ht="12.75" customHeight="1" x14ac:dyDescent="0.3">
      <c r="B47" s="42">
        <v>37</v>
      </c>
      <c r="C47" s="27" t="s">
        <v>278</v>
      </c>
      <c r="D47" s="27"/>
      <c r="E47" s="27" t="s">
        <v>201</v>
      </c>
      <c r="F47" s="55">
        <v>1</v>
      </c>
      <c r="G47" s="55">
        <v>5</v>
      </c>
      <c r="H47" s="55">
        <v>1</v>
      </c>
      <c r="I47" s="55">
        <v>1200</v>
      </c>
      <c r="J47" s="55">
        <f t="shared" si="0"/>
        <v>1200</v>
      </c>
      <c r="K47" s="34"/>
      <c r="L47" s="34"/>
      <c r="M47" s="34"/>
      <c r="N47" s="34"/>
      <c r="O47" s="34"/>
      <c r="P47" s="34"/>
      <c r="Q47" s="34"/>
      <c r="R47" s="34"/>
      <c r="S47" s="34"/>
      <c r="T47" s="34"/>
    </row>
    <row r="48" spans="2:20" ht="12.75" customHeight="1" x14ac:dyDescent="0.3">
      <c r="B48" s="42">
        <v>38</v>
      </c>
      <c r="C48" s="27" t="s">
        <v>273</v>
      </c>
      <c r="D48" s="27" t="s">
        <v>190</v>
      </c>
      <c r="E48" s="27" t="s">
        <v>196</v>
      </c>
      <c r="F48" s="55">
        <v>1</v>
      </c>
      <c r="G48" s="55">
        <v>1</v>
      </c>
      <c r="H48" s="55">
        <v>1</v>
      </c>
      <c r="I48" s="55">
        <v>300</v>
      </c>
      <c r="J48" s="55">
        <f t="shared" si="0"/>
        <v>300</v>
      </c>
      <c r="K48" s="34"/>
      <c r="L48" s="34"/>
      <c r="M48" s="34"/>
      <c r="N48" s="34"/>
      <c r="O48" s="34"/>
      <c r="P48" s="34"/>
      <c r="Q48" s="34"/>
      <c r="R48" s="34"/>
      <c r="S48" s="34"/>
      <c r="T48" s="34"/>
    </row>
    <row r="49" spans="2:20" ht="12.75" customHeight="1" x14ac:dyDescent="0.3">
      <c r="B49" s="42">
        <v>39</v>
      </c>
      <c r="C49" s="27" t="s">
        <v>279</v>
      </c>
      <c r="D49" s="27" t="s">
        <v>228</v>
      </c>
      <c r="E49" s="27"/>
      <c r="F49" s="55">
        <v>3</v>
      </c>
      <c r="G49" s="55">
        <v>3</v>
      </c>
      <c r="H49" s="55">
        <v>3</v>
      </c>
      <c r="I49" s="55">
        <v>85</v>
      </c>
      <c r="J49" s="55">
        <f t="shared" si="0"/>
        <v>255</v>
      </c>
      <c r="K49" s="34"/>
      <c r="L49" s="34"/>
      <c r="M49" s="34"/>
      <c r="N49" s="34"/>
      <c r="O49" s="34"/>
      <c r="P49" s="34"/>
      <c r="Q49" s="34"/>
      <c r="R49" s="34"/>
      <c r="S49" s="34"/>
      <c r="T49" s="34"/>
    </row>
    <row r="50" spans="2:20" ht="12.75" customHeight="1" x14ac:dyDescent="0.3">
      <c r="B50" s="42">
        <v>40</v>
      </c>
      <c r="C50" s="27" t="s">
        <v>278</v>
      </c>
      <c r="D50" s="27"/>
      <c r="E50" s="27" t="s">
        <v>201</v>
      </c>
      <c r="F50" s="55">
        <v>2</v>
      </c>
      <c r="G50" s="55">
        <v>5</v>
      </c>
      <c r="H50" s="55">
        <v>1</v>
      </c>
      <c r="I50" s="55">
        <v>1200</v>
      </c>
      <c r="J50" s="55">
        <f t="shared" si="0"/>
        <v>1200</v>
      </c>
      <c r="K50" s="34"/>
      <c r="L50" s="34"/>
      <c r="M50" s="34"/>
      <c r="N50" s="34"/>
      <c r="O50" s="34"/>
      <c r="P50" s="34"/>
      <c r="Q50" s="34"/>
      <c r="R50" s="34"/>
      <c r="S50" s="34"/>
      <c r="T50" s="34"/>
    </row>
    <row r="51" spans="2:20" ht="12.75" customHeight="1" x14ac:dyDescent="0.3">
      <c r="B51" s="42">
        <v>41</v>
      </c>
      <c r="C51" s="27" t="s">
        <v>279</v>
      </c>
      <c r="D51" s="27" t="s">
        <v>228</v>
      </c>
      <c r="E51" s="27"/>
      <c r="F51" s="55">
        <v>3</v>
      </c>
      <c r="G51" s="55">
        <v>5</v>
      </c>
      <c r="H51" s="55">
        <v>2</v>
      </c>
      <c r="I51" s="55">
        <v>85</v>
      </c>
      <c r="J51" s="55">
        <f t="shared" si="0"/>
        <v>170</v>
      </c>
      <c r="K51" s="34"/>
      <c r="L51" s="34"/>
      <c r="M51" s="34"/>
      <c r="N51" s="34"/>
      <c r="O51" s="34"/>
      <c r="P51" s="34"/>
      <c r="Q51" s="34"/>
      <c r="R51" s="34"/>
      <c r="S51" s="34"/>
      <c r="T51" s="34"/>
    </row>
    <row r="52" spans="2:20" ht="12.75" customHeight="1" x14ac:dyDescent="0.3">
      <c r="B52" s="42">
        <v>42</v>
      </c>
      <c r="C52" s="27" t="s">
        <v>279</v>
      </c>
      <c r="D52" s="27" t="s">
        <v>228</v>
      </c>
      <c r="E52" s="27"/>
      <c r="F52" s="55">
        <v>3</v>
      </c>
      <c r="G52" s="55">
        <v>5</v>
      </c>
      <c r="H52" s="55">
        <v>2</v>
      </c>
      <c r="I52" s="55">
        <v>85</v>
      </c>
      <c r="J52" s="55">
        <f t="shared" si="0"/>
        <v>170</v>
      </c>
      <c r="K52" s="34"/>
      <c r="L52" s="34"/>
      <c r="M52" s="34"/>
      <c r="N52" s="34"/>
      <c r="O52" s="34"/>
      <c r="P52" s="34"/>
      <c r="Q52" s="34"/>
      <c r="R52" s="34"/>
      <c r="S52" s="34"/>
      <c r="T52" s="34"/>
    </row>
    <row r="53" spans="2:20" ht="12.75" customHeight="1" x14ac:dyDescent="0.3">
      <c r="B53" s="42">
        <v>43</v>
      </c>
      <c r="C53" s="27" t="s">
        <v>283</v>
      </c>
      <c r="D53" s="27"/>
      <c r="E53" s="27" t="s">
        <v>199</v>
      </c>
      <c r="F53" s="55">
        <v>2</v>
      </c>
      <c r="G53" s="55"/>
      <c r="H53" s="55">
        <v>2</v>
      </c>
      <c r="I53" s="55">
        <v>300</v>
      </c>
      <c r="J53" s="55">
        <f t="shared" si="0"/>
        <v>600</v>
      </c>
      <c r="K53" s="34"/>
      <c r="L53" s="34"/>
      <c r="M53" s="34"/>
      <c r="N53" s="34"/>
      <c r="O53" s="34"/>
      <c r="P53" s="34"/>
      <c r="Q53" s="34"/>
      <c r="R53" s="34"/>
      <c r="S53" s="34"/>
      <c r="T53" s="34"/>
    </row>
    <row r="54" spans="2:20" ht="12.75" customHeight="1" x14ac:dyDescent="0.3">
      <c r="B54" s="42">
        <v>44</v>
      </c>
      <c r="C54" s="27" t="s">
        <v>278</v>
      </c>
      <c r="D54" s="27"/>
      <c r="E54" s="27" t="s">
        <v>201</v>
      </c>
      <c r="F54" s="55">
        <v>1</v>
      </c>
      <c r="G54" s="55">
        <v>3</v>
      </c>
      <c r="H54" s="55">
        <v>2</v>
      </c>
      <c r="I54" s="55">
        <v>1200</v>
      </c>
      <c r="J54" s="55">
        <f t="shared" si="0"/>
        <v>2400</v>
      </c>
      <c r="K54" s="34"/>
      <c r="L54" s="34"/>
      <c r="M54" s="34"/>
      <c r="N54" s="34"/>
      <c r="O54" s="34"/>
      <c r="P54" s="34"/>
      <c r="Q54" s="34"/>
      <c r="R54" s="34"/>
      <c r="S54" s="34"/>
      <c r="T54" s="34"/>
    </row>
    <row r="55" spans="2:20" ht="12.75" customHeight="1" x14ac:dyDescent="0.3">
      <c r="B55" s="42">
        <v>45</v>
      </c>
      <c r="C55" s="27" t="s">
        <v>280</v>
      </c>
      <c r="D55" s="27"/>
      <c r="E55" s="27" t="s">
        <v>234</v>
      </c>
      <c r="F55" s="55">
        <v>1</v>
      </c>
      <c r="G55" s="55">
        <v>1</v>
      </c>
      <c r="H55" s="55">
        <v>1</v>
      </c>
      <c r="I55" s="55">
        <v>300</v>
      </c>
      <c r="J55" s="55">
        <f t="shared" si="0"/>
        <v>300</v>
      </c>
      <c r="K55" s="34"/>
      <c r="L55" s="34"/>
      <c r="M55" s="34"/>
      <c r="N55" s="34"/>
      <c r="O55" s="34"/>
      <c r="P55" s="34"/>
      <c r="Q55" s="34"/>
      <c r="R55" s="34"/>
      <c r="S55" s="34"/>
      <c r="T55" s="34"/>
    </row>
    <row r="56" spans="2:20" ht="12.75" customHeight="1" x14ac:dyDescent="0.3">
      <c r="B56" s="42">
        <v>46</v>
      </c>
      <c r="C56" s="27" t="s">
        <v>278</v>
      </c>
      <c r="D56" s="27"/>
      <c r="E56" s="27" t="s">
        <v>201</v>
      </c>
      <c r="F56" s="55">
        <v>1</v>
      </c>
      <c r="G56" s="55">
        <v>3</v>
      </c>
      <c r="H56" s="55">
        <v>1</v>
      </c>
      <c r="I56" s="55">
        <v>1200</v>
      </c>
      <c r="J56" s="55">
        <f t="shared" si="0"/>
        <v>1200</v>
      </c>
      <c r="K56" s="34"/>
      <c r="L56" s="34"/>
      <c r="M56" s="34"/>
      <c r="N56" s="34"/>
      <c r="O56" s="34"/>
      <c r="P56" s="34"/>
      <c r="Q56" s="34"/>
      <c r="R56" s="34"/>
      <c r="S56" s="34"/>
      <c r="T56" s="34"/>
    </row>
    <row r="57" spans="2:20" ht="12.75" customHeight="1" x14ac:dyDescent="0.3">
      <c r="B57" s="42">
        <v>47</v>
      </c>
      <c r="C57" s="27" t="s">
        <v>282</v>
      </c>
      <c r="D57" s="27" t="s">
        <v>193</v>
      </c>
      <c r="E57" s="27" t="s">
        <v>235</v>
      </c>
      <c r="F57" s="55">
        <v>3</v>
      </c>
      <c r="G57" s="55">
        <v>2</v>
      </c>
      <c r="H57" s="55">
        <v>4</v>
      </c>
      <c r="I57" s="55">
        <v>120</v>
      </c>
      <c r="J57" s="55">
        <f t="shared" si="0"/>
        <v>480</v>
      </c>
      <c r="K57" s="34"/>
      <c r="L57" s="34"/>
      <c r="M57" s="34"/>
      <c r="N57" s="34"/>
      <c r="O57" s="34"/>
      <c r="P57" s="34"/>
      <c r="Q57" s="34"/>
      <c r="R57" s="34"/>
      <c r="S57" s="34"/>
      <c r="T57" s="34"/>
    </row>
    <row r="58" spans="2:20" ht="12.75" customHeight="1" x14ac:dyDescent="0.3">
      <c r="B58" s="42">
        <v>48</v>
      </c>
      <c r="C58" s="27" t="s">
        <v>281</v>
      </c>
      <c r="D58" s="27"/>
      <c r="E58" s="27" t="s">
        <v>199</v>
      </c>
      <c r="F58" s="55">
        <v>1</v>
      </c>
      <c r="G58" s="55">
        <v>1</v>
      </c>
      <c r="H58" s="55">
        <v>1</v>
      </c>
      <c r="I58" s="55">
        <v>300</v>
      </c>
      <c r="J58" s="55">
        <f t="shared" si="0"/>
        <v>300</v>
      </c>
      <c r="K58" s="34"/>
      <c r="L58" s="34"/>
      <c r="M58" s="34"/>
      <c r="N58" s="34"/>
      <c r="O58" s="34"/>
      <c r="P58" s="34"/>
      <c r="Q58" s="34"/>
      <c r="R58" s="34"/>
      <c r="S58" s="34"/>
      <c r="T58" s="34"/>
    </row>
    <row r="59" spans="2:20" ht="12.75" customHeight="1" x14ac:dyDescent="0.3">
      <c r="B59" s="42">
        <v>49</v>
      </c>
      <c r="C59" s="27" t="s">
        <v>273</v>
      </c>
      <c r="D59" s="27"/>
      <c r="E59" s="27" t="s">
        <v>199</v>
      </c>
      <c r="F59" s="55">
        <v>2</v>
      </c>
      <c r="G59" s="55"/>
      <c r="H59" s="55">
        <v>2</v>
      </c>
      <c r="I59" s="55">
        <v>300</v>
      </c>
      <c r="J59" s="55">
        <f t="shared" si="0"/>
        <v>600</v>
      </c>
      <c r="K59" s="34"/>
      <c r="L59" s="34"/>
      <c r="M59" s="34"/>
      <c r="N59" s="34"/>
      <c r="O59" s="34"/>
      <c r="P59" s="34"/>
      <c r="Q59" s="34"/>
      <c r="R59" s="34"/>
      <c r="S59" s="34"/>
      <c r="T59" s="34"/>
    </row>
    <row r="60" spans="2:20" ht="12.75" customHeight="1" x14ac:dyDescent="0.3">
      <c r="B60" s="42">
        <v>50</v>
      </c>
      <c r="C60" s="27" t="s">
        <v>279</v>
      </c>
      <c r="D60" s="27" t="s">
        <v>228</v>
      </c>
      <c r="E60" s="27"/>
      <c r="F60" s="55">
        <v>2</v>
      </c>
      <c r="G60" s="55">
        <v>5</v>
      </c>
      <c r="H60" s="55">
        <v>4</v>
      </c>
      <c r="I60" s="55">
        <v>85</v>
      </c>
      <c r="J60" s="55">
        <f t="shared" si="0"/>
        <v>340</v>
      </c>
      <c r="K60" s="34"/>
      <c r="L60" s="34"/>
      <c r="M60" s="34"/>
      <c r="N60" s="34"/>
      <c r="O60" s="34"/>
      <c r="P60" s="34"/>
      <c r="Q60" s="34"/>
      <c r="R60" s="34"/>
      <c r="S60" s="34"/>
      <c r="T60" s="34"/>
    </row>
    <row r="61" spans="2:20" ht="12.75" customHeight="1" x14ac:dyDescent="0.3">
      <c r="B61" s="42">
        <v>51</v>
      </c>
      <c r="C61" s="27" t="s">
        <v>280</v>
      </c>
      <c r="D61" s="27"/>
      <c r="E61" s="27" t="s">
        <v>234</v>
      </c>
      <c r="F61" s="55">
        <v>1</v>
      </c>
      <c r="G61" s="55">
        <v>1</v>
      </c>
      <c r="H61" s="55">
        <v>1</v>
      </c>
      <c r="I61" s="55">
        <v>300</v>
      </c>
      <c r="J61" s="55">
        <f t="shared" si="0"/>
        <v>300</v>
      </c>
      <c r="K61" s="34"/>
      <c r="L61" s="34"/>
      <c r="M61" s="34"/>
      <c r="N61" s="34"/>
      <c r="O61" s="34"/>
      <c r="P61" s="34"/>
      <c r="Q61" s="34"/>
      <c r="R61" s="34"/>
      <c r="S61" s="34"/>
      <c r="T61" s="34"/>
    </row>
    <row r="62" spans="2:20" ht="12.75" customHeight="1" x14ac:dyDescent="0.3">
      <c r="B62" s="42">
        <v>52</v>
      </c>
      <c r="C62" s="27" t="s">
        <v>278</v>
      </c>
      <c r="D62" s="27"/>
      <c r="E62" s="27" t="s">
        <v>201</v>
      </c>
      <c r="F62" s="55">
        <v>1</v>
      </c>
      <c r="G62" s="55">
        <v>3</v>
      </c>
      <c r="H62" s="55">
        <v>2</v>
      </c>
      <c r="I62" s="55">
        <v>1200</v>
      </c>
      <c r="J62" s="55">
        <f t="shared" si="0"/>
        <v>2400</v>
      </c>
      <c r="K62" s="34"/>
      <c r="L62" s="34"/>
      <c r="M62" s="34"/>
      <c r="N62" s="34"/>
      <c r="O62" s="34"/>
      <c r="P62" s="34"/>
      <c r="Q62" s="34"/>
      <c r="R62" s="34"/>
      <c r="S62" s="34"/>
      <c r="T62" s="34"/>
    </row>
    <row r="63" spans="2:20" ht="12.75" customHeight="1" x14ac:dyDescent="0.3">
      <c r="B63" s="42">
        <v>53</v>
      </c>
      <c r="C63" s="27" t="s">
        <v>273</v>
      </c>
      <c r="D63" s="27"/>
      <c r="E63" s="27" t="s">
        <v>199</v>
      </c>
      <c r="F63" s="55">
        <v>2</v>
      </c>
      <c r="G63" s="55"/>
      <c r="H63" s="55">
        <v>2</v>
      </c>
      <c r="I63" s="55">
        <v>300</v>
      </c>
      <c r="J63" s="55">
        <f t="shared" si="0"/>
        <v>600</v>
      </c>
      <c r="K63" s="34"/>
      <c r="L63" s="34"/>
      <c r="M63" s="34"/>
      <c r="N63" s="34"/>
      <c r="O63" s="34"/>
      <c r="P63" s="34"/>
      <c r="Q63" s="34"/>
      <c r="R63" s="34"/>
      <c r="S63" s="34"/>
      <c r="T63" s="34"/>
    </row>
    <row r="64" spans="2:20" ht="12.75" customHeight="1" x14ac:dyDescent="0.3">
      <c r="B64" s="42">
        <v>54</v>
      </c>
      <c r="C64" s="27" t="s">
        <v>279</v>
      </c>
      <c r="D64" s="27" t="s">
        <v>228</v>
      </c>
      <c r="E64" s="27"/>
      <c r="F64" s="55">
        <v>3</v>
      </c>
      <c r="G64" s="55">
        <v>5</v>
      </c>
      <c r="H64" s="55">
        <v>2</v>
      </c>
      <c r="I64" s="55">
        <v>85</v>
      </c>
      <c r="J64" s="55">
        <f t="shared" si="0"/>
        <v>170</v>
      </c>
      <c r="K64" s="34"/>
      <c r="L64" s="34"/>
      <c r="M64" s="34"/>
      <c r="N64" s="34"/>
      <c r="O64" s="34"/>
      <c r="P64" s="34"/>
      <c r="Q64" s="34"/>
      <c r="R64" s="34"/>
      <c r="S64" s="34"/>
      <c r="T64" s="34"/>
    </row>
    <row r="65" spans="2:20" ht="12.75" customHeight="1" x14ac:dyDescent="0.3">
      <c r="B65" s="42">
        <v>55</v>
      </c>
      <c r="C65" s="27" t="s">
        <v>273</v>
      </c>
      <c r="D65" s="27"/>
      <c r="E65" s="27" t="s">
        <v>199</v>
      </c>
      <c r="F65" s="55">
        <v>1</v>
      </c>
      <c r="G65" s="55">
        <v>1</v>
      </c>
      <c r="H65" s="55">
        <v>1</v>
      </c>
      <c r="I65" s="55">
        <v>300</v>
      </c>
      <c r="J65" s="55">
        <f t="shared" si="0"/>
        <v>300</v>
      </c>
      <c r="K65" s="34"/>
      <c r="L65" s="34"/>
      <c r="M65" s="34"/>
      <c r="N65" s="34"/>
      <c r="O65" s="34"/>
      <c r="P65" s="34"/>
      <c r="Q65" s="34"/>
      <c r="R65" s="34"/>
      <c r="S65" s="34"/>
      <c r="T65" s="34"/>
    </row>
    <row r="66" spans="2:20" ht="12.75" customHeight="1" x14ac:dyDescent="0.3">
      <c r="B66" s="42">
        <v>56</v>
      </c>
      <c r="C66" s="27" t="s">
        <v>279</v>
      </c>
      <c r="D66" s="27" t="s">
        <v>228</v>
      </c>
      <c r="E66" s="27"/>
      <c r="F66" s="55">
        <v>3</v>
      </c>
      <c r="G66" s="55">
        <v>5</v>
      </c>
      <c r="H66" s="55">
        <v>2</v>
      </c>
      <c r="I66" s="55">
        <v>85</v>
      </c>
      <c r="J66" s="55">
        <f t="shared" si="0"/>
        <v>170</v>
      </c>
      <c r="K66" s="34"/>
      <c r="L66" s="34"/>
      <c r="M66" s="34"/>
      <c r="N66" s="34"/>
      <c r="O66" s="34"/>
      <c r="P66" s="34"/>
      <c r="Q66" s="34"/>
      <c r="R66" s="34"/>
      <c r="S66" s="34"/>
      <c r="T66" s="34"/>
    </row>
    <row r="67" spans="2:20" ht="12.75" customHeight="1" x14ac:dyDescent="0.3">
      <c r="B67" s="42">
        <v>57</v>
      </c>
      <c r="C67" s="27" t="s">
        <v>278</v>
      </c>
      <c r="D67" s="27"/>
      <c r="E67" s="27" t="s">
        <v>201</v>
      </c>
      <c r="F67" s="55">
        <v>2</v>
      </c>
      <c r="G67" s="55">
        <v>5</v>
      </c>
      <c r="H67" s="55">
        <v>1</v>
      </c>
      <c r="I67" s="55">
        <v>1200</v>
      </c>
      <c r="J67" s="55">
        <f t="shared" si="0"/>
        <v>1200</v>
      </c>
      <c r="K67" s="34"/>
      <c r="L67" s="34"/>
      <c r="M67" s="34"/>
      <c r="N67" s="34"/>
      <c r="O67" s="34"/>
      <c r="P67" s="34"/>
      <c r="Q67" s="34"/>
      <c r="R67" s="34"/>
      <c r="S67" s="34"/>
      <c r="T67" s="34"/>
    </row>
    <row r="68" spans="2:20" ht="12.75" customHeight="1" x14ac:dyDescent="0.3">
      <c r="B68" s="42">
        <v>58</v>
      </c>
      <c r="C68" s="27" t="s">
        <v>273</v>
      </c>
      <c r="D68" s="27"/>
      <c r="E68" s="27" t="s">
        <v>199</v>
      </c>
      <c r="F68" s="55">
        <v>1</v>
      </c>
      <c r="G68" s="55">
        <v>1</v>
      </c>
      <c r="H68" s="55">
        <v>1</v>
      </c>
      <c r="I68" s="55">
        <v>300</v>
      </c>
      <c r="J68" s="55">
        <f t="shared" si="0"/>
        <v>300</v>
      </c>
      <c r="K68" s="34"/>
      <c r="L68" s="34"/>
      <c r="M68" s="34"/>
      <c r="N68" s="34"/>
      <c r="O68" s="34"/>
      <c r="P68" s="34"/>
      <c r="Q68" s="34"/>
      <c r="R68" s="34"/>
      <c r="S68" s="34"/>
      <c r="T68" s="34"/>
    </row>
    <row r="69" spans="2:20" ht="12.75" customHeight="1" x14ac:dyDescent="0.3">
      <c r="B69" s="42">
        <v>59</v>
      </c>
      <c r="C69" s="27" t="s">
        <v>279</v>
      </c>
      <c r="D69" s="27" t="s">
        <v>228</v>
      </c>
      <c r="E69" s="27"/>
      <c r="F69" s="55">
        <v>3</v>
      </c>
      <c r="G69" s="55">
        <v>5</v>
      </c>
      <c r="H69" s="55">
        <v>2</v>
      </c>
      <c r="I69" s="55">
        <v>85</v>
      </c>
      <c r="J69" s="55">
        <f t="shared" si="0"/>
        <v>170</v>
      </c>
      <c r="K69" s="34"/>
      <c r="L69" s="34"/>
      <c r="M69" s="34"/>
      <c r="N69" s="34"/>
      <c r="O69" s="34"/>
      <c r="P69" s="34"/>
      <c r="Q69" s="34"/>
      <c r="R69" s="34"/>
      <c r="S69" s="34"/>
      <c r="T69" s="34"/>
    </row>
    <row r="70" spans="2:20" ht="12.75" customHeight="1" x14ac:dyDescent="0.3">
      <c r="B70" s="42">
        <v>60</v>
      </c>
      <c r="C70" s="27" t="s">
        <v>278</v>
      </c>
      <c r="D70" s="27"/>
      <c r="E70" s="27" t="s">
        <v>201</v>
      </c>
      <c r="F70" s="55">
        <v>2</v>
      </c>
      <c r="G70" s="55">
        <v>5</v>
      </c>
      <c r="H70" s="55">
        <v>1</v>
      </c>
      <c r="I70" s="55">
        <v>1200</v>
      </c>
      <c r="J70" s="55">
        <f t="shared" si="0"/>
        <v>1200</v>
      </c>
      <c r="K70" s="34"/>
      <c r="L70" s="34"/>
      <c r="M70" s="34"/>
      <c r="N70" s="34"/>
      <c r="O70" s="34"/>
      <c r="P70" s="34"/>
      <c r="Q70" s="34"/>
      <c r="R70" s="34"/>
      <c r="S70" s="34"/>
      <c r="T70" s="34"/>
    </row>
    <row r="71" spans="2:20" ht="12.75" customHeight="1" x14ac:dyDescent="0.3">
      <c r="B71" s="42">
        <v>61</v>
      </c>
      <c r="C71" s="27" t="s">
        <v>273</v>
      </c>
      <c r="D71" s="27" t="s">
        <v>190</v>
      </c>
      <c r="E71" s="27" t="s">
        <v>196</v>
      </c>
      <c r="F71" s="55">
        <v>1</v>
      </c>
      <c r="G71" s="55">
        <v>1</v>
      </c>
      <c r="H71" s="55">
        <v>1</v>
      </c>
      <c r="I71" s="55">
        <v>300</v>
      </c>
      <c r="J71" s="55">
        <f t="shared" si="0"/>
        <v>300</v>
      </c>
      <c r="K71" s="34"/>
      <c r="L71" s="34"/>
      <c r="M71" s="34"/>
      <c r="N71" s="34"/>
      <c r="O71" s="34"/>
      <c r="P71" s="34"/>
      <c r="Q71" s="34"/>
      <c r="R71" s="34"/>
      <c r="S71" s="34"/>
      <c r="T71" s="34"/>
    </row>
    <row r="72" spans="2:20" ht="12.75" customHeight="1" x14ac:dyDescent="0.3">
      <c r="B72" s="42">
        <v>62</v>
      </c>
      <c r="C72" s="27" t="s">
        <v>277</v>
      </c>
      <c r="D72" s="27" t="s">
        <v>191</v>
      </c>
      <c r="E72" s="27" t="s">
        <v>201</v>
      </c>
      <c r="F72" s="55">
        <v>1</v>
      </c>
      <c r="G72" s="55">
        <v>1</v>
      </c>
      <c r="H72" s="55">
        <v>1</v>
      </c>
      <c r="I72" s="55">
        <v>240</v>
      </c>
      <c r="J72" s="55">
        <f t="shared" si="0"/>
        <v>240</v>
      </c>
      <c r="K72" s="34"/>
      <c r="L72" s="34"/>
      <c r="M72" s="34"/>
      <c r="N72" s="34"/>
      <c r="O72" s="34"/>
      <c r="P72" s="34"/>
      <c r="Q72" s="34"/>
      <c r="R72" s="34"/>
      <c r="S72" s="34"/>
      <c r="T72" s="34"/>
    </row>
    <row r="73" spans="2:20" ht="12.75" customHeight="1" x14ac:dyDescent="0.3">
      <c r="B73" s="42">
        <v>63</v>
      </c>
      <c r="C73" s="27" t="s">
        <v>268</v>
      </c>
      <c r="D73" s="27" t="s">
        <v>193</v>
      </c>
      <c r="E73" s="27" t="s">
        <v>241</v>
      </c>
      <c r="F73" s="55">
        <v>1</v>
      </c>
      <c r="G73" s="55">
        <v>2</v>
      </c>
      <c r="H73" s="55">
        <v>1</v>
      </c>
      <c r="I73" s="55">
        <v>240</v>
      </c>
      <c r="J73" s="55">
        <f t="shared" si="0"/>
        <v>240</v>
      </c>
      <c r="K73" s="34"/>
      <c r="L73" s="34"/>
      <c r="M73" s="34"/>
      <c r="N73" s="34"/>
      <c r="O73" s="34"/>
      <c r="P73" s="34"/>
      <c r="Q73" s="34"/>
      <c r="R73" s="34"/>
      <c r="S73" s="34"/>
      <c r="T73" s="34"/>
    </row>
    <row r="74" spans="2:20" ht="12.75" customHeight="1" x14ac:dyDescent="0.3">
      <c r="B74" s="42">
        <v>64</v>
      </c>
      <c r="C74" s="27" t="s">
        <v>276</v>
      </c>
      <c r="D74" s="27" t="s">
        <v>193</v>
      </c>
      <c r="E74" s="151">
        <v>5.0000000000000001E-3</v>
      </c>
      <c r="F74" s="55">
        <v>1</v>
      </c>
      <c r="G74" s="55">
        <v>1</v>
      </c>
      <c r="H74" s="55">
        <v>1</v>
      </c>
      <c r="I74" s="55">
        <v>1140</v>
      </c>
      <c r="J74" s="55">
        <f t="shared" si="0"/>
        <v>1140</v>
      </c>
      <c r="K74" s="34"/>
      <c r="L74" s="34"/>
      <c r="M74" s="34"/>
      <c r="N74" s="34"/>
      <c r="O74" s="34"/>
      <c r="P74" s="34"/>
      <c r="Q74" s="34"/>
      <c r="R74" s="34"/>
      <c r="S74" s="34"/>
      <c r="T74" s="34"/>
    </row>
    <row r="75" spans="2:20" ht="12.75" customHeight="1" x14ac:dyDescent="0.3">
      <c r="B75" s="42">
        <v>65</v>
      </c>
      <c r="C75" s="27" t="s">
        <v>275</v>
      </c>
      <c r="D75" s="27" t="s">
        <v>193</v>
      </c>
      <c r="E75" s="27" t="s">
        <v>218</v>
      </c>
      <c r="F75" s="55">
        <v>1</v>
      </c>
      <c r="G75" s="55">
        <v>1</v>
      </c>
      <c r="H75" s="55">
        <v>1</v>
      </c>
      <c r="I75" s="55">
        <v>180</v>
      </c>
      <c r="J75" s="55">
        <f t="shared" si="0"/>
        <v>180</v>
      </c>
      <c r="K75" s="34"/>
      <c r="L75" s="34"/>
      <c r="M75" s="34"/>
      <c r="N75" s="34"/>
      <c r="O75" s="34"/>
      <c r="P75" s="34"/>
      <c r="Q75" s="34"/>
      <c r="R75" s="34"/>
      <c r="S75" s="34"/>
      <c r="T75" s="34"/>
    </row>
    <row r="76" spans="2:20" ht="12.75" customHeight="1" x14ac:dyDescent="0.3">
      <c r="B76" s="42">
        <v>66</v>
      </c>
      <c r="C76" s="27" t="s">
        <v>274</v>
      </c>
      <c r="D76" s="27"/>
      <c r="E76" s="27"/>
      <c r="F76" s="55">
        <v>1</v>
      </c>
      <c r="G76" s="55">
        <v>1</v>
      </c>
      <c r="H76" s="55">
        <v>3</v>
      </c>
      <c r="I76" s="55">
        <v>30</v>
      </c>
      <c r="J76" s="55">
        <f t="shared" si="0"/>
        <v>90</v>
      </c>
      <c r="K76" s="34"/>
      <c r="L76" s="34"/>
      <c r="M76" s="34"/>
      <c r="N76" s="34"/>
      <c r="O76" s="34"/>
      <c r="P76" s="34"/>
      <c r="Q76" s="34"/>
      <c r="R76" s="34"/>
      <c r="S76" s="34"/>
      <c r="T76" s="34"/>
    </row>
    <row r="77" spans="2:20" ht="12.75" customHeight="1" x14ac:dyDescent="0.3">
      <c r="B77" s="42">
        <v>67</v>
      </c>
      <c r="C77" s="27" t="s">
        <v>273</v>
      </c>
      <c r="D77" s="27" t="s">
        <v>190</v>
      </c>
      <c r="E77" s="27" t="s">
        <v>196</v>
      </c>
      <c r="F77" s="55">
        <v>3</v>
      </c>
      <c r="G77" s="55"/>
      <c r="H77" s="55">
        <v>3</v>
      </c>
      <c r="I77" s="55">
        <v>300</v>
      </c>
      <c r="J77" s="55">
        <f t="shared" si="0"/>
        <v>900</v>
      </c>
      <c r="K77" s="34"/>
      <c r="L77" s="34"/>
      <c r="M77" s="34"/>
      <c r="N77" s="34"/>
      <c r="O77" s="34"/>
      <c r="P77" s="34"/>
      <c r="Q77" s="34"/>
      <c r="R77" s="34"/>
      <c r="S77" s="34"/>
      <c r="T77" s="34"/>
    </row>
    <row r="78" spans="2:20" ht="12.75" customHeight="1" x14ac:dyDescent="0.3">
      <c r="B78" s="42">
        <v>68</v>
      </c>
      <c r="C78" s="27" t="s">
        <v>272</v>
      </c>
      <c r="D78" s="27" t="s">
        <v>193</v>
      </c>
      <c r="E78" s="27" t="s">
        <v>242</v>
      </c>
      <c r="F78" s="55">
        <v>1</v>
      </c>
      <c r="G78" s="55">
        <v>1</v>
      </c>
      <c r="H78" s="55">
        <v>1</v>
      </c>
      <c r="I78" s="55">
        <v>360</v>
      </c>
      <c r="J78" s="55">
        <f t="shared" si="0"/>
        <v>360</v>
      </c>
      <c r="K78" s="34"/>
      <c r="L78" s="34"/>
      <c r="M78" s="34"/>
      <c r="N78" s="34"/>
      <c r="O78" s="34"/>
      <c r="P78" s="34"/>
      <c r="Q78" s="34"/>
      <c r="R78" s="34"/>
      <c r="S78" s="34"/>
      <c r="T78" s="34"/>
    </row>
    <row r="79" spans="2:20" ht="12.75" customHeight="1" x14ac:dyDescent="0.3">
      <c r="B79" s="42">
        <v>69</v>
      </c>
      <c r="C79" s="27" t="s">
        <v>271</v>
      </c>
      <c r="D79" s="27"/>
      <c r="E79" s="27" t="s">
        <v>243</v>
      </c>
      <c r="F79" s="55">
        <v>1</v>
      </c>
      <c r="G79" s="55">
        <v>1</v>
      </c>
      <c r="H79" s="55">
        <v>1</v>
      </c>
      <c r="I79" s="55">
        <v>520</v>
      </c>
      <c r="J79" s="55">
        <f t="shared" si="0"/>
        <v>520</v>
      </c>
      <c r="K79" s="34"/>
      <c r="L79" s="34"/>
      <c r="M79" s="34"/>
      <c r="N79" s="34"/>
      <c r="O79" s="34"/>
      <c r="P79" s="34"/>
      <c r="Q79" s="34"/>
      <c r="R79" s="34"/>
      <c r="S79" s="34"/>
      <c r="T79" s="34"/>
    </row>
    <row r="80" spans="2:20" ht="12.75" customHeight="1" x14ac:dyDescent="0.3">
      <c r="B80" s="42">
        <v>70</v>
      </c>
      <c r="C80" s="27" t="s">
        <v>270</v>
      </c>
      <c r="D80" s="27" t="s">
        <v>193</v>
      </c>
      <c r="E80" s="27"/>
      <c r="F80" s="55">
        <v>1</v>
      </c>
      <c r="G80" s="55">
        <v>1</v>
      </c>
      <c r="H80" s="55">
        <v>1</v>
      </c>
      <c r="I80" s="55">
        <v>120</v>
      </c>
      <c r="J80" s="55">
        <f t="shared" si="0"/>
        <v>120</v>
      </c>
      <c r="K80" s="34"/>
      <c r="L80" s="34"/>
      <c r="M80" s="34"/>
      <c r="N80" s="34"/>
      <c r="O80" s="34"/>
      <c r="P80" s="34"/>
      <c r="Q80" s="34"/>
      <c r="R80" s="34"/>
      <c r="S80" s="34"/>
      <c r="T80" s="34"/>
    </row>
    <row r="81" spans="2:20" ht="12.75" customHeight="1" x14ac:dyDescent="0.3">
      <c r="B81" s="42">
        <v>71</v>
      </c>
      <c r="C81" s="27" t="s">
        <v>269</v>
      </c>
      <c r="D81" s="27" t="s">
        <v>193</v>
      </c>
      <c r="E81" s="27" t="s">
        <v>244</v>
      </c>
      <c r="F81" s="55"/>
      <c r="G81" s="55"/>
      <c r="H81" s="55">
        <v>2</v>
      </c>
      <c r="I81" s="55">
        <v>180</v>
      </c>
      <c r="J81" s="55">
        <f t="shared" si="0"/>
        <v>360</v>
      </c>
      <c r="K81" s="34"/>
      <c r="L81" s="34"/>
      <c r="M81" s="34"/>
      <c r="N81" s="34"/>
      <c r="O81" s="34"/>
      <c r="P81" s="34"/>
      <c r="Q81" s="34"/>
      <c r="R81" s="34"/>
      <c r="S81" s="34"/>
      <c r="T81" s="34"/>
    </row>
    <row r="82" spans="2:20" ht="12.75" customHeight="1" x14ac:dyDescent="0.3">
      <c r="B82" s="42">
        <v>72</v>
      </c>
      <c r="C82" s="27" t="s">
        <v>268</v>
      </c>
      <c r="D82" s="27" t="s">
        <v>193</v>
      </c>
      <c r="E82" s="27" t="s">
        <v>241</v>
      </c>
      <c r="F82" s="55">
        <v>1</v>
      </c>
      <c r="G82" s="55">
        <v>1</v>
      </c>
      <c r="H82" s="55">
        <v>1</v>
      </c>
      <c r="I82" s="55">
        <v>240</v>
      </c>
      <c r="J82" s="55">
        <f t="shared" si="0"/>
        <v>240</v>
      </c>
      <c r="K82" s="34"/>
      <c r="L82" s="34"/>
      <c r="M82" s="34"/>
      <c r="N82" s="34"/>
      <c r="O82" s="34"/>
      <c r="P82" s="34"/>
      <c r="Q82" s="34"/>
      <c r="R82" s="34"/>
      <c r="S82" s="34"/>
      <c r="T82" s="34"/>
    </row>
    <row r="83" spans="2:20" ht="12.75" customHeight="1" x14ac:dyDescent="0.3">
      <c r="B83" s="42">
        <v>73</v>
      </c>
      <c r="C83" s="27" t="s">
        <v>267</v>
      </c>
      <c r="D83" s="27" t="s">
        <v>192</v>
      </c>
      <c r="E83" s="27" t="s">
        <v>200</v>
      </c>
      <c r="F83" s="55">
        <v>3</v>
      </c>
      <c r="G83" s="55">
        <v>2</v>
      </c>
      <c r="H83" s="55">
        <v>2</v>
      </c>
      <c r="I83" s="55">
        <v>75</v>
      </c>
      <c r="J83" s="55">
        <f t="shared" si="0"/>
        <v>150</v>
      </c>
      <c r="K83" s="34"/>
      <c r="L83" s="34"/>
      <c r="M83" s="34"/>
      <c r="N83" s="34"/>
      <c r="O83" s="34"/>
      <c r="P83" s="34"/>
      <c r="Q83" s="34"/>
      <c r="R83" s="34"/>
      <c r="S83" s="34"/>
      <c r="T83" s="34"/>
    </row>
    <row r="84" spans="2:20" ht="12.75" customHeight="1" x14ac:dyDescent="0.3">
      <c r="B84" s="42">
        <v>74</v>
      </c>
      <c r="C84" s="27" t="s">
        <v>266</v>
      </c>
      <c r="D84" s="27" t="s">
        <v>189</v>
      </c>
      <c r="E84" s="27" t="s">
        <v>200</v>
      </c>
      <c r="F84" s="55">
        <v>3</v>
      </c>
      <c r="G84" s="55">
        <v>2</v>
      </c>
      <c r="H84" s="55">
        <v>3</v>
      </c>
      <c r="I84" s="55">
        <v>42</v>
      </c>
      <c r="J84" s="55">
        <f t="shared" si="0"/>
        <v>126</v>
      </c>
      <c r="K84" s="34"/>
      <c r="L84" s="34"/>
      <c r="M84" s="34"/>
      <c r="N84" s="34"/>
      <c r="O84" s="34"/>
      <c r="P84" s="34"/>
      <c r="Q84" s="34"/>
      <c r="R84" s="34"/>
      <c r="S84" s="34"/>
      <c r="T84" s="34"/>
    </row>
    <row r="85" spans="2:20" ht="12.75" customHeight="1" x14ac:dyDescent="0.3">
      <c r="B85" s="42">
        <v>75</v>
      </c>
      <c r="C85" s="27" t="s">
        <v>283</v>
      </c>
      <c r="D85" s="27" t="s">
        <v>190</v>
      </c>
      <c r="E85" s="27" t="s">
        <v>199</v>
      </c>
      <c r="F85" s="55">
        <v>3</v>
      </c>
      <c r="G85" s="55">
        <v>2</v>
      </c>
      <c r="H85" s="55">
        <v>1</v>
      </c>
      <c r="I85" s="55">
        <v>300</v>
      </c>
      <c r="J85" s="55">
        <f t="shared" si="0"/>
        <v>300</v>
      </c>
      <c r="K85" s="34"/>
      <c r="L85" s="34"/>
      <c r="M85" s="34"/>
      <c r="N85" s="34"/>
      <c r="O85" s="34"/>
      <c r="P85" s="34"/>
      <c r="Q85" s="34"/>
      <c r="R85" s="34"/>
      <c r="S85" s="34"/>
      <c r="T85" s="34"/>
    </row>
    <row r="86" spans="2:20" ht="12.75" customHeight="1" x14ac:dyDescent="0.3">
      <c r="B86" s="42">
        <v>76</v>
      </c>
      <c r="C86" s="27" t="s">
        <v>282</v>
      </c>
      <c r="D86" s="27" t="s">
        <v>193</v>
      </c>
      <c r="E86" s="27" t="s">
        <v>235</v>
      </c>
      <c r="F86" s="55">
        <v>3</v>
      </c>
      <c r="G86" s="55">
        <v>3</v>
      </c>
      <c r="H86" s="55">
        <v>3</v>
      </c>
      <c r="I86" s="55">
        <v>120</v>
      </c>
      <c r="J86" s="55">
        <f t="shared" si="0"/>
        <v>360</v>
      </c>
      <c r="K86" s="34"/>
      <c r="L86" s="34"/>
      <c r="M86" s="34"/>
      <c r="N86" s="34"/>
      <c r="O86" s="34"/>
      <c r="P86" s="34"/>
      <c r="Q86" s="34"/>
      <c r="R86" s="34"/>
      <c r="S86" s="34"/>
      <c r="T86" s="34"/>
    </row>
    <row r="87" spans="2:20" ht="12.75" customHeight="1" x14ac:dyDescent="0.3">
      <c r="B87" s="42">
        <v>77</v>
      </c>
      <c r="C87" s="27" t="s">
        <v>279</v>
      </c>
      <c r="D87" s="27"/>
      <c r="E87" s="27"/>
      <c r="F87" s="55">
        <v>3</v>
      </c>
      <c r="G87" s="55">
        <v>3</v>
      </c>
      <c r="H87" s="55">
        <v>2</v>
      </c>
      <c r="I87" s="55">
        <v>85</v>
      </c>
      <c r="J87" s="55">
        <f t="shared" si="0"/>
        <v>170</v>
      </c>
      <c r="K87" s="34"/>
      <c r="L87" s="34"/>
      <c r="M87" s="34"/>
      <c r="N87" s="34"/>
      <c r="O87" s="34"/>
      <c r="P87" s="34"/>
      <c r="Q87" s="34"/>
      <c r="R87" s="34"/>
      <c r="S87" s="34"/>
      <c r="T87" s="34"/>
    </row>
    <row r="88" spans="2:20" ht="12.75" customHeight="1" x14ac:dyDescent="0.3">
      <c r="B88" s="42">
        <v>78</v>
      </c>
      <c r="C88" s="27" t="s">
        <v>278</v>
      </c>
      <c r="D88" s="27"/>
      <c r="E88" s="27" t="s">
        <v>201</v>
      </c>
      <c r="F88" s="55">
        <v>2</v>
      </c>
      <c r="G88" s="55">
        <v>1</v>
      </c>
      <c r="H88" s="55">
        <v>2</v>
      </c>
      <c r="I88" s="55">
        <v>1200</v>
      </c>
      <c r="J88" s="55">
        <f t="shared" si="0"/>
        <v>2400</v>
      </c>
      <c r="K88" s="34"/>
      <c r="L88" s="34"/>
      <c r="M88" s="34"/>
      <c r="N88" s="34"/>
      <c r="O88" s="34"/>
      <c r="P88" s="34"/>
      <c r="Q88" s="34"/>
      <c r="R88" s="34"/>
      <c r="S88" s="34"/>
      <c r="T88" s="34"/>
    </row>
    <row r="89" spans="2:20" ht="12.75" customHeight="1" x14ac:dyDescent="0.3">
      <c r="B89" s="42">
        <v>79</v>
      </c>
      <c r="C89" s="27" t="s">
        <v>280</v>
      </c>
      <c r="D89" s="27" t="s">
        <v>190</v>
      </c>
      <c r="E89" s="27" t="s">
        <v>196</v>
      </c>
      <c r="F89" s="55">
        <v>1</v>
      </c>
      <c r="G89" s="55">
        <v>1</v>
      </c>
      <c r="H89" s="55">
        <v>1</v>
      </c>
      <c r="I89" s="55">
        <v>300</v>
      </c>
      <c r="J89" s="55">
        <f t="shared" si="0"/>
        <v>300</v>
      </c>
      <c r="K89" s="34"/>
      <c r="L89" s="34"/>
      <c r="M89" s="34"/>
      <c r="N89" s="34"/>
      <c r="O89" s="34"/>
      <c r="P89" s="34"/>
      <c r="Q89" s="34"/>
      <c r="R89" s="34"/>
      <c r="S89" s="34"/>
      <c r="T89" s="34"/>
    </row>
    <row r="90" spans="2:20" ht="12.75" customHeight="1" x14ac:dyDescent="0.3">
      <c r="B90" s="42">
        <v>80</v>
      </c>
      <c r="C90" s="27" t="s">
        <v>281</v>
      </c>
      <c r="D90" s="27"/>
      <c r="E90" s="27" t="s">
        <v>199</v>
      </c>
      <c r="F90" s="55">
        <v>1</v>
      </c>
      <c r="G90" s="55">
        <v>1</v>
      </c>
      <c r="H90" s="55">
        <v>1</v>
      </c>
      <c r="I90" s="55">
        <v>300</v>
      </c>
      <c r="J90" s="55">
        <f t="shared" si="0"/>
        <v>300</v>
      </c>
      <c r="K90" s="34"/>
      <c r="L90" s="34"/>
      <c r="M90" s="34"/>
      <c r="N90" s="34"/>
      <c r="O90" s="34"/>
      <c r="P90" s="34"/>
      <c r="Q90" s="34"/>
      <c r="R90" s="34"/>
      <c r="S90" s="34"/>
      <c r="T90" s="34"/>
    </row>
    <row r="91" spans="2:20" ht="12.75" customHeight="1" x14ac:dyDescent="0.3">
      <c r="B91" s="42">
        <v>81</v>
      </c>
      <c r="C91" s="27" t="s">
        <v>279</v>
      </c>
      <c r="D91" s="27"/>
      <c r="E91" s="27"/>
      <c r="F91" s="55">
        <v>3</v>
      </c>
      <c r="G91" s="55">
        <v>3</v>
      </c>
      <c r="H91" s="55">
        <v>4</v>
      </c>
      <c r="I91" s="55">
        <v>85</v>
      </c>
      <c r="J91" s="55">
        <f t="shared" si="0"/>
        <v>340</v>
      </c>
      <c r="K91" s="34"/>
      <c r="L91" s="34"/>
      <c r="M91" s="34"/>
      <c r="N91" s="34"/>
      <c r="O91" s="34"/>
      <c r="P91" s="34"/>
      <c r="Q91" s="34"/>
      <c r="R91" s="34"/>
      <c r="S91" s="34"/>
      <c r="T91" s="34"/>
    </row>
    <row r="92" spans="2:20" ht="12.75" customHeight="1" x14ac:dyDescent="0.3">
      <c r="B92" s="42">
        <v>82</v>
      </c>
      <c r="C92" s="27" t="s">
        <v>278</v>
      </c>
      <c r="D92" s="27"/>
      <c r="E92" s="27" t="s">
        <v>201</v>
      </c>
      <c r="F92" s="55">
        <v>1</v>
      </c>
      <c r="G92" s="55">
        <v>1</v>
      </c>
      <c r="H92" s="55">
        <v>1</v>
      </c>
      <c r="I92" s="55">
        <v>1200</v>
      </c>
      <c r="J92" s="55">
        <f t="shared" si="0"/>
        <v>1200</v>
      </c>
      <c r="K92" s="34"/>
      <c r="L92" s="34"/>
      <c r="M92" s="34"/>
      <c r="N92" s="34"/>
      <c r="O92" s="34"/>
      <c r="P92" s="34"/>
      <c r="Q92" s="34"/>
      <c r="R92" s="34"/>
      <c r="S92" s="34"/>
      <c r="T92" s="34"/>
    </row>
    <row r="93" spans="2:20" ht="12.75" customHeight="1" x14ac:dyDescent="0.3">
      <c r="B93" s="42">
        <v>83</v>
      </c>
      <c r="C93" s="27" t="s">
        <v>282</v>
      </c>
      <c r="D93" s="27" t="s">
        <v>193</v>
      </c>
      <c r="E93" s="27" t="s">
        <v>235</v>
      </c>
      <c r="F93" s="55">
        <v>1</v>
      </c>
      <c r="G93" s="55">
        <v>3</v>
      </c>
      <c r="H93" s="55">
        <v>4</v>
      </c>
      <c r="I93" s="55">
        <v>120</v>
      </c>
      <c r="J93" s="55">
        <f t="shared" si="0"/>
        <v>480</v>
      </c>
      <c r="K93" s="34"/>
      <c r="L93" s="34"/>
      <c r="M93" s="34"/>
      <c r="N93" s="34"/>
      <c r="O93" s="34"/>
      <c r="P93" s="34"/>
      <c r="Q93" s="34"/>
      <c r="R93" s="34"/>
      <c r="S93" s="34"/>
      <c r="T93" s="34"/>
    </row>
    <row r="94" spans="2:20" ht="12.75" customHeight="1" x14ac:dyDescent="0.3">
      <c r="B94" s="42">
        <v>84</v>
      </c>
      <c r="C94" s="27" t="s">
        <v>281</v>
      </c>
      <c r="D94" s="27"/>
      <c r="E94" s="27" t="s">
        <v>199</v>
      </c>
      <c r="F94" s="55">
        <v>1</v>
      </c>
      <c r="G94" s="55">
        <v>1</v>
      </c>
      <c r="H94" s="55">
        <v>1</v>
      </c>
      <c r="I94" s="55">
        <v>300</v>
      </c>
      <c r="J94" s="55">
        <f t="shared" si="0"/>
        <v>300</v>
      </c>
      <c r="K94" s="34"/>
      <c r="L94" s="34"/>
      <c r="M94" s="34"/>
      <c r="N94" s="34"/>
      <c r="O94" s="34"/>
      <c r="P94" s="34"/>
      <c r="Q94" s="34"/>
      <c r="R94" s="34"/>
      <c r="S94" s="34"/>
      <c r="T94" s="34"/>
    </row>
    <row r="95" spans="2:20" ht="12.75" customHeight="1" x14ac:dyDescent="0.3">
      <c r="B95" s="42">
        <v>85</v>
      </c>
      <c r="C95" s="27" t="s">
        <v>279</v>
      </c>
      <c r="D95" s="27"/>
      <c r="E95" s="27"/>
      <c r="F95" s="55">
        <v>3</v>
      </c>
      <c r="G95" s="55">
        <v>3</v>
      </c>
      <c r="H95" s="55">
        <v>4</v>
      </c>
      <c r="I95" s="55">
        <v>85</v>
      </c>
      <c r="J95" s="55">
        <f t="shared" si="0"/>
        <v>340</v>
      </c>
      <c r="K95" s="34"/>
      <c r="L95" s="34"/>
      <c r="M95" s="34"/>
      <c r="N95" s="34"/>
      <c r="O95" s="34"/>
      <c r="P95" s="34"/>
      <c r="Q95" s="34"/>
      <c r="R95" s="34"/>
      <c r="S95" s="34"/>
      <c r="T95" s="34"/>
    </row>
    <row r="96" spans="2:20" ht="12.75" customHeight="1" x14ac:dyDescent="0.3">
      <c r="B96" s="42">
        <v>86</v>
      </c>
      <c r="C96" s="27" t="s">
        <v>280</v>
      </c>
      <c r="D96" s="27" t="s">
        <v>190</v>
      </c>
      <c r="E96" s="27" t="s">
        <v>196</v>
      </c>
      <c r="F96" s="55">
        <v>3</v>
      </c>
      <c r="G96" s="55">
        <v>1</v>
      </c>
      <c r="H96" s="55">
        <v>3</v>
      </c>
      <c r="I96" s="55">
        <v>300</v>
      </c>
      <c r="J96" s="55">
        <f t="shared" si="0"/>
        <v>900</v>
      </c>
      <c r="K96" s="34"/>
      <c r="L96" s="34"/>
      <c r="M96" s="34"/>
      <c r="N96" s="34"/>
      <c r="O96" s="34"/>
      <c r="P96" s="34"/>
      <c r="Q96" s="34"/>
      <c r="R96" s="34"/>
      <c r="S96" s="34"/>
      <c r="T96" s="34"/>
    </row>
    <row r="97" spans="1:20" ht="12.75" customHeight="1" x14ac:dyDescent="0.3">
      <c r="B97" s="42">
        <v>87</v>
      </c>
      <c r="C97" s="27" t="s">
        <v>306</v>
      </c>
      <c r="D97" s="27" t="s">
        <v>191</v>
      </c>
      <c r="E97" s="27" t="s">
        <v>307</v>
      </c>
      <c r="F97" s="55">
        <v>3</v>
      </c>
      <c r="G97" s="55">
        <v>1</v>
      </c>
      <c r="H97" s="55">
        <v>3</v>
      </c>
      <c r="I97" s="55">
        <v>660</v>
      </c>
      <c r="J97" s="55">
        <f t="shared" si="0"/>
        <v>1980</v>
      </c>
      <c r="K97" s="34"/>
      <c r="L97" s="34"/>
      <c r="M97" s="34"/>
      <c r="N97" s="34"/>
      <c r="O97" s="34"/>
      <c r="P97" s="34"/>
      <c r="Q97" s="34"/>
      <c r="R97" s="34"/>
      <c r="S97" s="34"/>
      <c r="T97" s="34"/>
    </row>
    <row r="98" spans="1:20" ht="12.75" customHeight="1" x14ac:dyDescent="0.3">
      <c r="B98" s="42">
        <v>88</v>
      </c>
      <c r="C98" s="27" t="s">
        <v>308</v>
      </c>
      <c r="D98" s="27" t="s">
        <v>193</v>
      </c>
      <c r="E98" s="27" t="s">
        <v>197</v>
      </c>
      <c r="F98" s="55">
        <v>2</v>
      </c>
      <c r="G98" s="55">
        <v>1</v>
      </c>
      <c r="H98" s="55">
        <v>3</v>
      </c>
      <c r="I98" s="55">
        <v>300</v>
      </c>
      <c r="J98" s="55">
        <f t="shared" si="0"/>
        <v>900</v>
      </c>
      <c r="K98" s="34"/>
      <c r="L98" s="34"/>
      <c r="M98" s="34"/>
      <c r="N98" s="34"/>
      <c r="O98" s="34"/>
      <c r="P98" s="34"/>
      <c r="Q98" s="34"/>
      <c r="R98" s="34"/>
      <c r="S98" s="34"/>
      <c r="T98" s="34"/>
    </row>
    <row r="99" spans="1:20" ht="12.75" customHeight="1" x14ac:dyDescent="0.3">
      <c r="B99" s="42">
        <v>89</v>
      </c>
      <c r="C99" s="27" t="s">
        <v>280</v>
      </c>
      <c r="D99" s="27" t="s">
        <v>190</v>
      </c>
      <c r="E99" s="27" t="s">
        <v>196</v>
      </c>
      <c r="F99" s="55">
        <v>2</v>
      </c>
      <c r="G99" s="55">
        <v>1</v>
      </c>
      <c r="H99" s="55">
        <v>2</v>
      </c>
      <c r="I99" s="55">
        <v>300</v>
      </c>
      <c r="J99" s="55">
        <f t="shared" si="0"/>
        <v>600</v>
      </c>
      <c r="K99" s="34"/>
      <c r="L99" s="34"/>
      <c r="M99" s="34"/>
      <c r="N99" s="34"/>
      <c r="O99" s="34"/>
      <c r="P99" s="34"/>
      <c r="Q99" s="34"/>
      <c r="R99" s="34"/>
      <c r="S99" s="34"/>
      <c r="T99" s="34"/>
    </row>
    <row r="100" spans="1:20" ht="12.75" customHeight="1" x14ac:dyDescent="0.3">
      <c r="B100" s="42">
        <v>90</v>
      </c>
      <c r="C100" s="27" t="s">
        <v>306</v>
      </c>
      <c r="D100" s="27" t="s">
        <v>191</v>
      </c>
      <c r="E100" s="27" t="s">
        <v>307</v>
      </c>
      <c r="F100" s="55">
        <v>3</v>
      </c>
      <c r="G100" s="55">
        <v>1</v>
      </c>
      <c r="H100" s="55">
        <v>3</v>
      </c>
      <c r="I100" s="55">
        <v>660</v>
      </c>
      <c r="J100" s="55">
        <f t="shared" si="0"/>
        <v>1980</v>
      </c>
      <c r="K100" s="34"/>
      <c r="L100" s="34"/>
      <c r="M100" s="34"/>
      <c r="N100" s="34"/>
      <c r="O100" s="34"/>
      <c r="P100" s="34"/>
      <c r="Q100" s="34"/>
      <c r="R100" s="34"/>
      <c r="S100" s="34"/>
      <c r="T100" s="34"/>
    </row>
    <row r="101" spans="1:20" ht="12.75" customHeight="1" x14ac:dyDescent="0.3">
      <c r="B101" s="42">
        <v>91</v>
      </c>
      <c r="C101" s="27" t="s">
        <v>300</v>
      </c>
      <c r="D101" s="27"/>
      <c r="E101" s="27" t="s">
        <v>199</v>
      </c>
      <c r="F101" s="55">
        <v>1</v>
      </c>
      <c r="G101" s="55">
        <v>1</v>
      </c>
      <c r="H101" s="55">
        <v>1</v>
      </c>
      <c r="I101" s="55">
        <v>2640</v>
      </c>
      <c r="J101" s="55">
        <f t="shared" si="0"/>
        <v>2640</v>
      </c>
      <c r="K101" s="34"/>
      <c r="L101" s="34"/>
      <c r="M101" s="34"/>
      <c r="N101" s="34"/>
      <c r="O101" s="34"/>
      <c r="P101" s="34"/>
      <c r="Q101" s="34"/>
      <c r="R101" s="34"/>
      <c r="S101" s="34"/>
      <c r="T101" s="34"/>
    </row>
    <row r="102" spans="1:20" ht="12.75" customHeight="1" x14ac:dyDescent="0.3">
      <c r="B102" s="42">
        <v>92</v>
      </c>
      <c r="C102" s="27" t="s">
        <v>280</v>
      </c>
      <c r="D102" s="27" t="s">
        <v>190</v>
      </c>
      <c r="E102" s="27" t="s">
        <v>196</v>
      </c>
      <c r="F102" s="55">
        <v>1</v>
      </c>
      <c r="G102" s="55">
        <v>1</v>
      </c>
      <c r="H102" s="55">
        <v>1</v>
      </c>
      <c r="I102" s="55">
        <v>300</v>
      </c>
      <c r="J102" s="55">
        <f t="shared" si="0"/>
        <v>300</v>
      </c>
      <c r="K102" s="34"/>
      <c r="L102" s="34"/>
      <c r="M102" s="34"/>
      <c r="N102" s="34"/>
      <c r="O102" s="34"/>
      <c r="P102" s="34"/>
      <c r="Q102" s="34"/>
      <c r="R102" s="34"/>
      <c r="S102" s="34"/>
      <c r="T102" s="34"/>
    </row>
    <row r="103" spans="1:20" ht="12.75" customHeight="1" x14ac:dyDescent="0.3">
      <c r="B103" s="42">
        <v>93</v>
      </c>
      <c r="C103" s="27" t="s">
        <v>306</v>
      </c>
      <c r="D103" s="27" t="s">
        <v>191</v>
      </c>
      <c r="E103" s="27" t="s">
        <v>307</v>
      </c>
      <c r="F103" s="55">
        <v>3</v>
      </c>
      <c r="G103" s="55">
        <v>1</v>
      </c>
      <c r="H103" s="55">
        <v>3</v>
      </c>
      <c r="I103" s="55">
        <v>660</v>
      </c>
      <c r="J103" s="55">
        <f t="shared" si="0"/>
        <v>1980</v>
      </c>
      <c r="K103" s="34"/>
      <c r="L103" s="34"/>
      <c r="M103" s="34"/>
      <c r="N103" s="34"/>
      <c r="O103" s="34"/>
      <c r="P103" s="34"/>
      <c r="Q103" s="34"/>
      <c r="R103" s="34"/>
      <c r="S103" s="34"/>
      <c r="T103" s="34"/>
    </row>
    <row r="104" spans="1:20" ht="12.75" customHeight="1" x14ac:dyDescent="0.25">
      <c r="A104" s="33"/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</row>
    <row r="105" spans="1:20" ht="15.75" customHeight="1" x14ac:dyDescent="0.25"/>
    <row r="106" spans="1:20" ht="15.75" customHeight="1" x14ac:dyDescent="0.25"/>
    <row r="107" spans="1:20" ht="15.75" customHeight="1" x14ac:dyDescent="0.25"/>
    <row r="108" spans="1:20" ht="15.75" customHeight="1" x14ac:dyDescent="0.25"/>
    <row r="109" spans="1:20" ht="15.75" customHeight="1" x14ac:dyDescent="0.25"/>
    <row r="110" spans="1:20" ht="15.75" customHeight="1" x14ac:dyDescent="0.25"/>
    <row r="111" spans="1:20" ht="15.75" customHeight="1" x14ac:dyDescent="0.25"/>
    <row r="112" spans="1:20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  <row r="1018" ht="15.75" customHeight="1" x14ac:dyDescent="0.25"/>
    <row r="1019" ht="15.75" customHeight="1" x14ac:dyDescent="0.25"/>
    <row r="1020" ht="15.75" customHeight="1" x14ac:dyDescent="0.25"/>
    <row r="1021" ht="15.75" customHeight="1" x14ac:dyDescent="0.25"/>
    <row r="1022" ht="15.75" customHeight="1" x14ac:dyDescent="0.25"/>
    <row r="1023" ht="15.75" customHeight="1" x14ac:dyDescent="0.25"/>
    <row r="1024" ht="15.75" customHeight="1" x14ac:dyDescent="0.25"/>
    <row r="1025" ht="15.75" customHeight="1" x14ac:dyDescent="0.25"/>
    <row r="1026" ht="15.75" customHeight="1" x14ac:dyDescent="0.25"/>
    <row r="1027" ht="15.75" customHeight="1" x14ac:dyDescent="0.25"/>
    <row r="1028" ht="15.75" customHeight="1" x14ac:dyDescent="0.25"/>
    <row r="1029" ht="15.75" customHeight="1" x14ac:dyDescent="0.25"/>
    <row r="1030" ht="15.75" customHeight="1" x14ac:dyDescent="0.25"/>
    <row r="1031" ht="15.75" customHeight="1" x14ac:dyDescent="0.25"/>
    <row r="1032" ht="15.75" customHeight="1" x14ac:dyDescent="0.25"/>
    <row r="1033" ht="15.75" customHeight="1" x14ac:dyDescent="0.25"/>
    <row r="1034" ht="15.75" customHeight="1" x14ac:dyDescent="0.25"/>
    <row r="1035" ht="15.75" customHeight="1" x14ac:dyDescent="0.25"/>
    <row r="1036" ht="15.75" customHeight="1" x14ac:dyDescent="0.25"/>
    <row r="1037" ht="15.75" customHeight="1" x14ac:dyDescent="0.25"/>
    <row r="1038" ht="15.75" customHeight="1" x14ac:dyDescent="0.25"/>
    <row r="1039" ht="15.75" customHeight="1" x14ac:dyDescent="0.25"/>
    <row r="1040" ht="15.75" customHeight="1" x14ac:dyDescent="0.25"/>
    <row r="1041" ht="15.75" customHeight="1" x14ac:dyDescent="0.25"/>
    <row r="1042" ht="15.75" customHeight="1" x14ac:dyDescent="0.25"/>
    <row r="1043" ht="15.75" customHeight="1" x14ac:dyDescent="0.25"/>
    <row r="1044" ht="15.75" customHeight="1" x14ac:dyDescent="0.25"/>
    <row r="1045" ht="15.75" customHeight="1" x14ac:dyDescent="0.25"/>
    <row r="1046" ht="15.75" customHeight="1" x14ac:dyDescent="0.25"/>
    <row r="1047" ht="15.75" customHeight="1" x14ac:dyDescent="0.25"/>
    <row r="1048" ht="15.75" customHeight="1" x14ac:dyDescent="0.25"/>
    <row r="1049" ht="15.75" customHeight="1" x14ac:dyDescent="0.25"/>
    <row r="1050" ht="15.75" customHeight="1" x14ac:dyDescent="0.25"/>
    <row r="1051" ht="15.75" customHeight="1" x14ac:dyDescent="0.25"/>
    <row r="1052" ht="15.75" customHeight="1" x14ac:dyDescent="0.25"/>
    <row r="1053" ht="15.75" customHeight="1" x14ac:dyDescent="0.25"/>
    <row r="1054" ht="15.75" customHeight="1" x14ac:dyDescent="0.25"/>
  </sheetData>
  <sheetProtection algorithmName="SHA-512" hashValue="UTYzlxksuUvdQQTuY422EGx2dVpTBE7uQF8z3cDyUXUHzBjbYHZyO987CkUZbPrf3Mm+2+xZujkj0EIuUNtTOw==" saltValue="IljTGR8OKmEs791hJzOOIw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03" xr:uid="{00000000-0002-0000-0100-000000000000}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tabColor rgb="FF0070C0"/>
    <outlinePr summaryBelow="0" summaryRight="0"/>
  </sheetPr>
  <dimension ref="A1:P1063"/>
  <sheetViews>
    <sheetView workbookViewId="0">
      <selection activeCell="B118" sqref="B118:G11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102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24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25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71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26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27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28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29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74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204</v>
      </c>
      <c r="D16" s="70" t="s">
        <v>262</v>
      </c>
      <c r="E16" s="55">
        <v>1</v>
      </c>
      <c r="F16" s="55">
        <v>420</v>
      </c>
      <c r="G16" s="55">
        <f>E16*F16</f>
        <v>420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205</v>
      </c>
      <c r="D17" s="70" t="s">
        <v>262</v>
      </c>
      <c r="E17" s="55">
        <v>1</v>
      </c>
      <c r="F17" s="55">
        <v>300</v>
      </c>
      <c r="G17" s="55">
        <f t="shared" ref="G17:G117" si="0">E17*F17</f>
        <v>300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206</v>
      </c>
      <c r="D18" s="70" t="s">
        <v>263</v>
      </c>
      <c r="E18" s="55">
        <v>1</v>
      </c>
      <c r="F18" s="55">
        <v>600</v>
      </c>
      <c r="G18" s="55">
        <f t="shared" si="0"/>
        <v>600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207</v>
      </c>
      <c r="D19" s="70" t="s">
        <v>262</v>
      </c>
      <c r="E19" s="55">
        <v>2</v>
      </c>
      <c r="F19" s="55">
        <v>25</v>
      </c>
      <c r="G19" s="55">
        <f t="shared" si="0"/>
        <v>50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208</v>
      </c>
      <c r="D20" s="70" t="s">
        <v>262</v>
      </c>
      <c r="E20" s="55">
        <v>1</v>
      </c>
      <c r="F20" s="55">
        <v>420</v>
      </c>
      <c r="G20" s="55">
        <f t="shared" si="0"/>
        <v>420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209</v>
      </c>
      <c r="D21" s="70" t="s">
        <v>262</v>
      </c>
      <c r="E21" s="55">
        <v>1</v>
      </c>
      <c r="F21" s="55">
        <v>15</v>
      </c>
      <c r="G21" s="55">
        <f t="shared" si="0"/>
        <v>15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210</v>
      </c>
      <c r="D22" s="70" t="s">
        <v>262</v>
      </c>
      <c r="E22" s="55">
        <v>1</v>
      </c>
      <c r="F22" s="55">
        <v>25</v>
      </c>
      <c r="G22" s="55">
        <f t="shared" si="0"/>
        <v>25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210</v>
      </c>
      <c r="D23" s="70" t="s">
        <v>262</v>
      </c>
      <c r="E23" s="55">
        <v>1</v>
      </c>
      <c r="F23" s="55">
        <v>25</v>
      </c>
      <c r="G23" s="55">
        <f t="shared" si="0"/>
        <v>25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211</v>
      </c>
      <c r="D24" s="70" t="s">
        <v>264</v>
      </c>
      <c r="E24" s="55">
        <v>1</v>
      </c>
      <c r="F24" s="55">
        <v>120</v>
      </c>
      <c r="G24" s="55">
        <f t="shared" si="0"/>
        <v>120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212</v>
      </c>
      <c r="D25" s="70" t="s">
        <v>265</v>
      </c>
      <c r="E25" s="55">
        <v>2</v>
      </c>
      <c r="F25" s="55">
        <v>18</v>
      </c>
      <c r="G25" s="55">
        <f t="shared" si="0"/>
        <v>36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209</v>
      </c>
      <c r="D26" s="70" t="s">
        <v>262</v>
      </c>
      <c r="E26" s="55">
        <v>2</v>
      </c>
      <c r="F26" s="55">
        <v>15</v>
      </c>
      <c r="G26" s="55">
        <f t="shared" si="0"/>
        <v>30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213</v>
      </c>
      <c r="D27" s="70"/>
      <c r="E27" s="55">
        <v>1</v>
      </c>
      <c r="F27" s="55">
        <v>200</v>
      </c>
      <c r="G27" s="55">
        <f t="shared" si="0"/>
        <v>200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207</v>
      </c>
      <c r="D28" s="70" t="s">
        <v>262</v>
      </c>
      <c r="E28" s="55">
        <v>1</v>
      </c>
      <c r="F28" s="55">
        <v>25</v>
      </c>
      <c r="G28" s="55">
        <f t="shared" si="0"/>
        <v>25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214</v>
      </c>
      <c r="D29" s="70" t="s">
        <v>262</v>
      </c>
      <c r="E29" s="55">
        <v>1</v>
      </c>
      <c r="F29" s="55">
        <v>26</v>
      </c>
      <c r="G29" s="55">
        <f t="shared" si="0"/>
        <v>26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204</v>
      </c>
      <c r="D30" s="70" t="s">
        <v>262</v>
      </c>
      <c r="E30" s="55">
        <v>1</v>
      </c>
      <c r="F30" s="55">
        <v>420</v>
      </c>
      <c r="G30" s="55">
        <f t="shared" si="0"/>
        <v>420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 t="s">
        <v>205</v>
      </c>
      <c r="D31" s="70" t="s">
        <v>262</v>
      </c>
      <c r="E31" s="55">
        <v>1</v>
      </c>
      <c r="F31" s="55">
        <v>300</v>
      </c>
      <c r="G31" s="55">
        <f t="shared" si="0"/>
        <v>300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 t="s">
        <v>206</v>
      </c>
      <c r="D32" s="70" t="s">
        <v>263</v>
      </c>
      <c r="E32" s="55">
        <v>1</v>
      </c>
      <c r="F32" s="55">
        <v>600</v>
      </c>
      <c r="G32" s="55">
        <f t="shared" si="0"/>
        <v>600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 t="s">
        <v>207</v>
      </c>
      <c r="D33" s="70" t="s">
        <v>262</v>
      </c>
      <c r="E33" s="55">
        <v>3</v>
      </c>
      <c r="F33" s="55">
        <v>25</v>
      </c>
      <c r="G33" s="55">
        <f t="shared" si="0"/>
        <v>75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19</v>
      </c>
      <c r="C34" s="69" t="s">
        <v>210</v>
      </c>
      <c r="D34" s="70" t="s">
        <v>262</v>
      </c>
      <c r="E34" s="55">
        <v>3</v>
      </c>
      <c r="F34" s="55">
        <v>25</v>
      </c>
      <c r="G34" s="55">
        <f t="shared" si="0"/>
        <v>75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20</v>
      </c>
      <c r="C35" s="69" t="s">
        <v>204</v>
      </c>
      <c r="D35" s="70" t="s">
        <v>262</v>
      </c>
      <c r="E35" s="55">
        <v>1</v>
      </c>
      <c r="F35" s="55">
        <v>420</v>
      </c>
      <c r="G35" s="55">
        <f t="shared" si="0"/>
        <v>420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21</v>
      </c>
      <c r="C36" s="69" t="s">
        <v>222</v>
      </c>
      <c r="D36" s="70" t="s">
        <v>262</v>
      </c>
      <c r="E36" s="55">
        <v>1</v>
      </c>
      <c r="F36" s="55">
        <v>300</v>
      </c>
      <c r="G36" s="55">
        <f t="shared" si="0"/>
        <v>300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22</v>
      </c>
      <c r="C37" s="69" t="s">
        <v>210</v>
      </c>
      <c r="D37" s="70" t="s">
        <v>262</v>
      </c>
      <c r="E37" s="55">
        <v>1</v>
      </c>
      <c r="F37" s="55">
        <v>25</v>
      </c>
      <c r="G37" s="55">
        <f t="shared" si="0"/>
        <v>25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23</v>
      </c>
      <c r="C38" s="69" t="s">
        <v>223</v>
      </c>
      <c r="D38" s="70" t="s">
        <v>262</v>
      </c>
      <c r="E38" s="55">
        <v>1</v>
      </c>
      <c r="F38" s="55">
        <v>300</v>
      </c>
      <c r="G38" s="55">
        <f t="shared" si="0"/>
        <v>300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24</v>
      </c>
      <c r="C39" s="69" t="s">
        <v>224</v>
      </c>
      <c r="D39" s="70" t="s">
        <v>265</v>
      </c>
      <c r="E39" s="55">
        <v>1</v>
      </c>
      <c r="F39" s="55">
        <v>90</v>
      </c>
      <c r="G39" s="55">
        <f t="shared" si="0"/>
        <v>90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25</v>
      </c>
      <c r="C40" s="69" t="s">
        <v>212</v>
      </c>
      <c r="D40" s="70" t="s">
        <v>265</v>
      </c>
      <c r="E40" s="55">
        <v>2</v>
      </c>
      <c r="F40" s="55">
        <v>20</v>
      </c>
      <c r="G40" s="55">
        <f t="shared" si="0"/>
        <v>40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26</v>
      </c>
      <c r="C41" s="69" t="s">
        <v>211</v>
      </c>
      <c r="D41" s="70" t="s">
        <v>264</v>
      </c>
      <c r="E41" s="55">
        <v>1</v>
      </c>
      <c r="F41" s="55">
        <v>120</v>
      </c>
      <c r="G41" s="55">
        <f t="shared" si="0"/>
        <v>120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27</v>
      </c>
      <c r="C42" s="69" t="s">
        <v>207</v>
      </c>
      <c r="D42" s="70" t="s">
        <v>262</v>
      </c>
      <c r="E42" s="55">
        <v>1</v>
      </c>
      <c r="F42" s="55">
        <v>25</v>
      </c>
      <c r="G42" s="55">
        <f t="shared" si="0"/>
        <v>25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28</v>
      </c>
      <c r="C43" s="69" t="s">
        <v>204</v>
      </c>
      <c r="D43" s="70" t="s">
        <v>262</v>
      </c>
      <c r="E43" s="55">
        <v>1</v>
      </c>
      <c r="F43" s="55">
        <v>420</v>
      </c>
      <c r="G43" s="55">
        <f t="shared" si="0"/>
        <v>420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29</v>
      </c>
      <c r="C44" s="69" t="s">
        <v>205</v>
      </c>
      <c r="D44" s="70" t="s">
        <v>262</v>
      </c>
      <c r="E44" s="55">
        <v>1</v>
      </c>
      <c r="F44" s="55">
        <v>300</v>
      </c>
      <c r="G44" s="55">
        <f t="shared" si="0"/>
        <v>300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30</v>
      </c>
      <c r="C45" s="69" t="s">
        <v>204</v>
      </c>
      <c r="D45" s="70" t="s">
        <v>262</v>
      </c>
      <c r="E45" s="55">
        <v>1</v>
      </c>
      <c r="F45" s="55">
        <v>420</v>
      </c>
      <c r="G45" s="55">
        <f t="shared" si="0"/>
        <v>420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31</v>
      </c>
      <c r="C46" s="69" t="s">
        <v>229</v>
      </c>
      <c r="D46" s="70" t="s">
        <v>262</v>
      </c>
      <c r="E46" s="55">
        <v>1</v>
      </c>
      <c r="F46" s="55">
        <v>300</v>
      </c>
      <c r="G46" s="55">
        <f t="shared" si="0"/>
        <v>300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32</v>
      </c>
      <c r="C47" s="69" t="s">
        <v>206</v>
      </c>
      <c r="D47" s="70" t="s">
        <v>263</v>
      </c>
      <c r="E47" s="55">
        <v>1</v>
      </c>
      <c r="F47" s="55">
        <v>600</v>
      </c>
      <c r="G47" s="55">
        <f t="shared" si="0"/>
        <v>600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33</v>
      </c>
      <c r="C48" s="69" t="s">
        <v>210</v>
      </c>
      <c r="D48" s="70" t="s">
        <v>262</v>
      </c>
      <c r="E48" s="55">
        <v>1</v>
      </c>
      <c r="F48" s="55">
        <v>25</v>
      </c>
      <c r="G48" s="55">
        <f t="shared" si="0"/>
        <v>25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34</v>
      </c>
      <c r="C49" s="69" t="s">
        <v>230</v>
      </c>
      <c r="D49" s="70" t="s">
        <v>262</v>
      </c>
      <c r="E49" s="55">
        <v>1</v>
      </c>
      <c r="F49" s="55">
        <v>240</v>
      </c>
      <c r="G49" s="55">
        <f t="shared" si="0"/>
        <v>240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35</v>
      </c>
      <c r="C50" s="69" t="s">
        <v>231</v>
      </c>
      <c r="D50" s="70" t="s">
        <v>263</v>
      </c>
      <c r="E50" s="55">
        <v>1</v>
      </c>
      <c r="F50" s="55">
        <v>240</v>
      </c>
      <c r="G50" s="55">
        <f t="shared" si="0"/>
        <v>240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36</v>
      </c>
      <c r="C51" s="69" t="s">
        <v>207</v>
      </c>
      <c r="D51" s="70" t="s">
        <v>262</v>
      </c>
      <c r="E51" s="55">
        <v>2</v>
      </c>
      <c r="F51" s="55">
        <v>24</v>
      </c>
      <c r="G51" s="55">
        <f t="shared" si="0"/>
        <v>48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37</v>
      </c>
      <c r="C52" s="69" t="s">
        <v>210</v>
      </c>
      <c r="D52" s="70" t="s">
        <v>262</v>
      </c>
      <c r="E52" s="55">
        <v>2</v>
      </c>
      <c r="F52" s="55">
        <v>24</v>
      </c>
      <c r="G52" s="55">
        <f t="shared" si="0"/>
        <v>48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38</v>
      </c>
      <c r="C53" s="69" t="s">
        <v>207</v>
      </c>
      <c r="D53" s="70" t="s">
        <v>262</v>
      </c>
      <c r="E53" s="55">
        <v>1</v>
      </c>
      <c r="F53" s="55">
        <v>25</v>
      </c>
      <c r="G53" s="55">
        <f t="shared" si="0"/>
        <v>25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39</v>
      </c>
      <c r="C54" s="69" t="s">
        <v>208</v>
      </c>
      <c r="D54" s="70" t="s">
        <v>262</v>
      </c>
      <c r="E54" s="55">
        <v>1</v>
      </c>
      <c r="F54" s="55">
        <v>420</v>
      </c>
      <c r="G54" s="55">
        <f t="shared" si="0"/>
        <v>420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40</v>
      </c>
      <c r="C55" s="69" t="s">
        <v>236</v>
      </c>
      <c r="D55" s="70" t="s">
        <v>262</v>
      </c>
      <c r="E55" s="55">
        <v>1</v>
      </c>
      <c r="F55" s="55">
        <v>300</v>
      </c>
      <c r="G55" s="55">
        <f t="shared" si="0"/>
        <v>300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41</v>
      </c>
      <c r="C56" s="69" t="s">
        <v>206</v>
      </c>
      <c r="D56" s="70" t="s">
        <v>262</v>
      </c>
      <c r="E56" s="55">
        <v>1</v>
      </c>
      <c r="F56" s="55">
        <v>600</v>
      </c>
      <c r="G56" s="55">
        <f t="shared" si="0"/>
        <v>600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42</v>
      </c>
      <c r="C57" s="69" t="s">
        <v>210</v>
      </c>
      <c r="D57" s="70" t="s">
        <v>262</v>
      </c>
      <c r="E57" s="55">
        <v>1</v>
      </c>
      <c r="F57" s="55">
        <v>25</v>
      </c>
      <c r="G57" s="55">
        <f t="shared" si="0"/>
        <v>25</v>
      </c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68">
        <v>43</v>
      </c>
      <c r="C58" s="69" t="s">
        <v>237</v>
      </c>
      <c r="D58" s="70" t="s">
        <v>262</v>
      </c>
      <c r="E58" s="55">
        <v>1</v>
      </c>
      <c r="F58" s="55">
        <v>600</v>
      </c>
      <c r="G58" s="55">
        <f t="shared" si="0"/>
        <v>600</v>
      </c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44</v>
      </c>
      <c r="C59" s="69" t="s">
        <v>207</v>
      </c>
      <c r="D59" s="70" t="s">
        <v>262</v>
      </c>
      <c r="E59" s="55">
        <v>1</v>
      </c>
      <c r="F59" s="55">
        <v>25</v>
      </c>
      <c r="G59" s="55">
        <f t="shared" si="0"/>
        <v>25</v>
      </c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45</v>
      </c>
      <c r="C60" s="69" t="s">
        <v>210</v>
      </c>
      <c r="D60" s="70" t="s">
        <v>262</v>
      </c>
      <c r="E60" s="55">
        <v>6</v>
      </c>
      <c r="F60" s="55">
        <v>24</v>
      </c>
      <c r="G60" s="55">
        <f t="shared" si="0"/>
        <v>144</v>
      </c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46</v>
      </c>
      <c r="C61" s="69" t="s">
        <v>236</v>
      </c>
      <c r="D61" s="70" t="s">
        <v>262</v>
      </c>
      <c r="E61" s="55">
        <v>1</v>
      </c>
      <c r="F61" s="55">
        <v>300</v>
      </c>
      <c r="G61" s="55">
        <f t="shared" si="0"/>
        <v>300</v>
      </c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47</v>
      </c>
      <c r="C62" s="69" t="s">
        <v>208</v>
      </c>
      <c r="D62" s="70" t="s">
        <v>262</v>
      </c>
      <c r="E62" s="55">
        <v>1</v>
      </c>
      <c r="F62" s="55">
        <v>420</v>
      </c>
      <c r="G62" s="55">
        <f t="shared" si="0"/>
        <v>420</v>
      </c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48</v>
      </c>
      <c r="C63" s="69" t="s">
        <v>236</v>
      </c>
      <c r="D63" s="70" t="s">
        <v>262</v>
      </c>
      <c r="E63" s="55">
        <v>1</v>
      </c>
      <c r="F63" s="55">
        <v>300</v>
      </c>
      <c r="G63" s="55">
        <f t="shared" si="0"/>
        <v>300</v>
      </c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49</v>
      </c>
      <c r="C64" s="69" t="s">
        <v>206</v>
      </c>
      <c r="D64" s="70" t="s">
        <v>263</v>
      </c>
      <c r="E64" s="55">
        <v>1</v>
      </c>
      <c r="F64" s="55">
        <v>600</v>
      </c>
      <c r="G64" s="55">
        <f t="shared" si="0"/>
        <v>600</v>
      </c>
      <c r="H64" s="39"/>
      <c r="I64" s="39"/>
      <c r="J64" s="39"/>
      <c r="K64" s="39"/>
      <c r="L64" s="39"/>
      <c r="M64" s="39"/>
      <c r="N64" s="39"/>
      <c r="O64" s="39"/>
      <c r="P64" s="39"/>
    </row>
    <row r="65" spans="2:16" ht="14.25" customHeight="1" x14ac:dyDescent="0.3">
      <c r="B65" s="68">
        <v>50</v>
      </c>
      <c r="C65" s="69" t="s">
        <v>210</v>
      </c>
      <c r="D65" s="70" t="s">
        <v>262</v>
      </c>
      <c r="E65" s="55">
        <v>5</v>
      </c>
      <c r="F65" s="55">
        <v>25</v>
      </c>
      <c r="G65" s="55">
        <f t="shared" si="0"/>
        <v>125</v>
      </c>
      <c r="H65" s="39"/>
      <c r="I65" s="39"/>
      <c r="J65" s="39"/>
      <c r="K65" s="39"/>
      <c r="L65" s="39"/>
      <c r="M65" s="39"/>
      <c r="N65" s="39"/>
      <c r="O65" s="39"/>
      <c r="P65" s="39"/>
    </row>
    <row r="66" spans="2:16" ht="14.25" customHeight="1" x14ac:dyDescent="0.3">
      <c r="B66" s="68">
        <v>51</v>
      </c>
      <c r="C66" s="69" t="s">
        <v>231</v>
      </c>
      <c r="D66" s="70" t="s">
        <v>263</v>
      </c>
      <c r="E66" s="55">
        <v>1</v>
      </c>
      <c r="F66" s="55">
        <v>240</v>
      </c>
      <c r="G66" s="55">
        <f t="shared" si="0"/>
        <v>240</v>
      </c>
      <c r="H66" s="39"/>
      <c r="I66" s="39"/>
      <c r="J66" s="39"/>
      <c r="K66" s="39"/>
      <c r="L66" s="39"/>
      <c r="M66" s="39"/>
      <c r="N66" s="39"/>
      <c r="O66" s="39"/>
      <c r="P66" s="39"/>
    </row>
    <row r="67" spans="2:16" ht="14.25" customHeight="1" x14ac:dyDescent="0.3">
      <c r="B67" s="68">
        <v>52</v>
      </c>
      <c r="C67" s="69" t="s">
        <v>210</v>
      </c>
      <c r="D67" s="70" t="s">
        <v>262</v>
      </c>
      <c r="E67" s="55">
        <v>2</v>
      </c>
      <c r="F67" s="55">
        <v>24</v>
      </c>
      <c r="G67" s="55">
        <f t="shared" si="0"/>
        <v>48</v>
      </c>
      <c r="H67" s="39"/>
      <c r="I67" s="39"/>
      <c r="J67" s="39"/>
      <c r="K67" s="39"/>
      <c r="L67" s="39"/>
      <c r="M67" s="39"/>
      <c r="N67" s="39"/>
      <c r="O67" s="39"/>
      <c r="P67" s="39"/>
    </row>
    <row r="68" spans="2:16" ht="14.25" customHeight="1" x14ac:dyDescent="0.3">
      <c r="B68" s="68">
        <v>53</v>
      </c>
      <c r="C68" s="69" t="s">
        <v>210</v>
      </c>
      <c r="D68" s="70" t="s">
        <v>262</v>
      </c>
      <c r="E68" s="55">
        <v>2</v>
      </c>
      <c r="F68" s="55">
        <v>25</v>
      </c>
      <c r="G68" s="55">
        <f t="shared" si="0"/>
        <v>50</v>
      </c>
      <c r="H68" s="39"/>
      <c r="I68" s="39"/>
      <c r="J68" s="39"/>
      <c r="K68" s="39"/>
      <c r="L68" s="39"/>
      <c r="M68" s="39"/>
      <c r="N68" s="39"/>
      <c r="O68" s="39"/>
      <c r="P68" s="39"/>
    </row>
    <row r="69" spans="2:16" ht="14.25" customHeight="1" x14ac:dyDescent="0.3">
      <c r="B69" s="68">
        <v>54</v>
      </c>
      <c r="C69" s="69" t="s">
        <v>236</v>
      </c>
      <c r="D69" s="70" t="s">
        <v>262</v>
      </c>
      <c r="E69" s="55">
        <v>4</v>
      </c>
      <c r="F69" s="55">
        <v>300</v>
      </c>
      <c r="G69" s="55">
        <f t="shared" si="0"/>
        <v>1200</v>
      </c>
      <c r="H69" s="39"/>
      <c r="I69" s="39"/>
      <c r="J69" s="39"/>
      <c r="K69" s="39"/>
      <c r="L69" s="39"/>
      <c r="M69" s="39"/>
      <c r="N69" s="39"/>
      <c r="O69" s="39"/>
      <c r="P69" s="39"/>
    </row>
    <row r="70" spans="2:16" ht="14.25" customHeight="1" x14ac:dyDescent="0.3">
      <c r="B70" s="68">
        <v>55</v>
      </c>
      <c r="C70" s="69" t="s">
        <v>207</v>
      </c>
      <c r="D70" s="70" t="s">
        <v>262</v>
      </c>
      <c r="E70" s="55">
        <v>2</v>
      </c>
      <c r="F70" s="55">
        <v>25</v>
      </c>
      <c r="G70" s="55">
        <f t="shared" si="0"/>
        <v>50</v>
      </c>
      <c r="H70" s="39"/>
      <c r="I70" s="39"/>
      <c r="J70" s="39"/>
      <c r="K70" s="39"/>
      <c r="L70" s="39"/>
      <c r="M70" s="39"/>
      <c r="N70" s="39"/>
      <c r="O70" s="39"/>
      <c r="P70" s="39"/>
    </row>
    <row r="71" spans="2:16" ht="14.25" customHeight="1" x14ac:dyDescent="0.3">
      <c r="B71" s="68">
        <v>56</v>
      </c>
      <c r="C71" s="69" t="s">
        <v>204</v>
      </c>
      <c r="D71" s="70" t="s">
        <v>262</v>
      </c>
      <c r="E71" s="55">
        <v>1</v>
      </c>
      <c r="F71" s="55">
        <v>420</v>
      </c>
      <c r="G71" s="55">
        <f t="shared" si="0"/>
        <v>420</v>
      </c>
      <c r="H71" s="39"/>
      <c r="I71" s="39"/>
      <c r="J71" s="39"/>
      <c r="K71" s="39"/>
      <c r="L71" s="39"/>
      <c r="M71" s="39"/>
      <c r="N71" s="39"/>
      <c r="O71" s="39"/>
      <c r="P71" s="39"/>
    </row>
    <row r="72" spans="2:16" ht="14.25" customHeight="1" x14ac:dyDescent="0.3">
      <c r="B72" s="68">
        <v>57</v>
      </c>
      <c r="C72" s="69" t="s">
        <v>222</v>
      </c>
      <c r="D72" s="70" t="s">
        <v>262</v>
      </c>
      <c r="E72" s="55">
        <v>1</v>
      </c>
      <c r="F72" s="55">
        <v>300</v>
      </c>
      <c r="G72" s="55">
        <f t="shared" si="0"/>
        <v>300</v>
      </c>
      <c r="H72" s="39"/>
      <c r="I72" s="39"/>
      <c r="J72" s="39"/>
      <c r="K72" s="39"/>
      <c r="L72" s="39"/>
      <c r="M72" s="39"/>
      <c r="N72" s="39"/>
      <c r="O72" s="39"/>
      <c r="P72" s="39"/>
    </row>
    <row r="73" spans="2:16" ht="14.25" customHeight="1" x14ac:dyDescent="0.3">
      <c r="B73" s="68">
        <v>58</v>
      </c>
      <c r="C73" s="69" t="s">
        <v>207</v>
      </c>
      <c r="D73" s="70" t="s">
        <v>262</v>
      </c>
      <c r="E73" s="55">
        <v>1</v>
      </c>
      <c r="F73" s="55">
        <v>25</v>
      </c>
      <c r="G73" s="55">
        <f t="shared" si="0"/>
        <v>25</v>
      </c>
      <c r="H73" s="39"/>
      <c r="I73" s="39"/>
      <c r="J73" s="39"/>
      <c r="K73" s="39"/>
      <c r="L73" s="39"/>
      <c r="M73" s="39"/>
      <c r="N73" s="39"/>
      <c r="O73" s="39"/>
      <c r="P73" s="39"/>
    </row>
    <row r="74" spans="2:16" ht="14.25" customHeight="1" x14ac:dyDescent="0.3">
      <c r="B74" s="68">
        <v>59</v>
      </c>
      <c r="C74" s="69" t="s">
        <v>210</v>
      </c>
      <c r="D74" s="70" t="s">
        <v>262</v>
      </c>
      <c r="E74" s="55">
        <v>1</v>
      </c>
      <c r="F74" s="55">
        <v>25</v>
      </c>
      <c r="G74" s="55">
        <f t="shared" si="0"/>
        <v>25</v>
      </c>
      <c r="H74" s="39"/>
      <c r="I74" s="39"/>
      <c r="J74" s="39"/>
      <c r="K74" s="39"/>
      <c r="L74" s="39"/>
      <c r="M74" s="39"/>
      <c r="N74" s="39"/>
      <c r="O74" s="39"/>
      <c r="P74" s="39"/>
    </row>
    <row r="75" spans="2:16" ht="14.25" customHeight="1" x14ac:dyDescent="0.3">
      <c r="B75" s="68">
        <v>60</v>
      </c>
      <c r="C75" s="69" t="s">
        <v>209</v>
      </c>
      <c r="D75" s="70" t="s">
        <v>262</v>
      </c>
      <c r="E75" s="55">
        <v>2</v>
      </c>
      <c r="F75" s="55">
        <v>15</v>
      </c>
      <c r="G75" s="55">
        <f t="shared" si="0"/>
        <v>30</v>
      </c>
      <c r="H75" s="39"/>
      <c r="I75" s="39"/>
      <c r="J75" s="39"/>
      <c r="K75" s="39"/>
      <c r="L75" s="39"/>
      <c r="M75" s="39"/>
      <c r="N75" s="39"/>
      <c r="O75" s="39"/>
      <c r="P75" s="39"/>
    </row>
    <row r="76" spans="2:16" ht="14.25" customHeight="1" x14ac:dyDescent="0.3">
      <c r="B76" s="68">
        <v>61</v>
      </c>
      <c r="C76" s="69" t="s">
        <v>245</v>
      </c>
      <c r="D76" s="70" t="s">
        <v>262</v>
      </c>
      <c r="E76" s="55">
        <v>1</v>
      </c>
      <c r="F76" s="55">
        <v>300</v>
      </c>
      <c r="G76" s="55">
        <f t="shared" si="0"/>
        <v>300</v>
      </c>
      <c r="H76" s="39"/>
      <c r="I76" s="39"/>
      <c r="J76" s="39"/>
      <c r="K76" s="39"/>
      <c r="L76" s="39"/>
      <c r="M76" s="39"/>
      <c r="N76" s="39"/>
      <c r="O76" s="39"/>
      <c r="P76" s="39"/>
    </row>
    <row r="77" spans="2:16" ht="14.25" customHeight="1" x14ac:dyDescent="0.3">
      <c r="B77" s="68">
        <v>62</v>
      </c>
      <c r="C77" s="69" t="s">
        <v>246</v>
      </c>
      <c r="D77" s="70" t="s">
        <v>262</v>
      </c>
      <c r="E77" s="55">
        <v>1</v>
      </c>
      <c r="F77" s="55">
        <v>210</v>
      </c>
      <c r="G77" s="55">
        <f t="shared" si="0"/>
        <v>210</v>
      </c>
      <c r="H77" s="39"/>
      <c r="I77" s="39"/>
      <c r="J77" s="39"/>
      <c r="K77" s="39"/>
      <c r="L77" s="39"/>
      <c r="M77" s="39"/>
      <c r="N77" s="39"/>
      <c r="O77" s="39"/>
      <c r="P77" s="39"/>
    </row>
    <row r="78" spans="2:16" ht="14.25" customHeight="1" x14ac:dyDescent="0.3">
      <c r="B78" s="68">
        <v>63</v>
      </c>
      <c r="C78" s="69" t="s">
        <v>247</v>
      </c>
      <c r="D78" s="70" t="s">
        <v>262</v>
      </c>
      <c r="E78" s="55">
        <v>1</v>
      </c>
      <c r="F78" s="55">
        <v>75</v>
      </c>
      <c r="G78" s="55">
        <f t="shared" si="0"/>
        <v>75</v>
      </c>
      <c r="H78" s="39"/>
      <c r="I78" s="39"/>
      <c r="J78" s="39"/>
      <c r="K78" s="39"/>
      <c r="L78" s="39"/>
      <c r="M78" s="39"/>
      <c r="N78" s="39"/>
      <c r="O78" s="39"/>
      <c r="P78" s="39"/>
    </row>
    <row r="79" spans="2:16" ht="14.25" customHeight="1" x14ac:dyDescent="0.3">
      <c r="B79" s="68">
        <v>64</v>
      </c>
      <c r="C79" s="69" t="s">
        <v>248</v>
      </c>
      <c r="D79" s="70" t="s">
        <v>262</v>
      </c>
      <c r="E79" s="55">
        <v>4</v>
      </c>
      <c r="F79" s="55">
        <v>90</v>
      </c>
      <c r="G79" s="55">
        <f t="shared" si="0"/>
        <v>360</v>
      </c>
      <c r="H79" s="39"/>
      <c r="I79" s="39"/>
      <c r="J79" s="39"/>
      <c r="K79" s="39"/>
      <c r="L79" s="39"/>
      <c r="M79" s="39"/>
      <c r="N79" s="39"/>
      <c r="O79" s="39"/>
      <c r="P79" s="39"/>
    </row>
    <row r="80" spans="2:16" ht="14.25" customHeight="1" x14ac:dyDescent="0.3">
      <c r="B80" s="68">
        <v>65</v>
      </c>
      <c r="C80" s="69" t="s">
        <v>249</v>
      </c>
      <c r="D80" s="70" t="s">
        <v>262</v>
      </c>
      <c r="E80" s="55">
        <v>1</v>
      </c>
      <c r="F80" s="55">
        <v>120</v>
      </c>
      <c r="G80" s="55">
        <f t="shared" si="0"/>
        <v>120</v>
      </c>
      <c r="H80" s="39"/>
      <c r="I80" s="39"/>
      <c r="J80" s="39"/>
      <c r="K80" s="39"/>
      <c r="L80" s="39"/>
      <c r="M80" s="39"/>
      <c r="N80" s="39"/>
      <c r="O80" s="39"/>
      <c r="P80" s="39"/>
    </row>
    <row r="81" spans="2:16" ht="14.25" customHeight="1" x14ac:dyDescent="0.3">
      <c r="B81" s="68">
        <v>66</v>
      </c>
      <c r="C81" s="69" t="s">
        <v>250</v>
      </c>
      <c r="D81" s="70" t="s">
        <v>262</v>
      </c>
      <c r="E81" s="55">
        <v>5</v>
      </c>
      <c r="F81" s="55">
        <v>15</v>
      </c>
      <c r="G81" s="55">
        <f t="shared" si="0"/>
        <v>75</v>
      </c>
      <c r="H81" s="39"/>
      <c r="I81" s="39"/>
      <c r="J81" s="39"/>
      <c r="K81" s="39"/>
      <c r="L81" s="39"/>
      <c r="M81" s="39"/>
      <c r="N81" s="39"/>
      <c r="O81" s="39"/>
      <c r="P81" s="39"/>
    </row>
    <row r="82" spans="2:16" ht="14.25" customHeight="1" x14ac:dyDescent="0.3">
      <c r="B82" s="68">
        <v>67</v>
      </c>
      <c r="C82" s="69" t="s">
        <v>251</v>
      </c>
      <c r="D82" s="70" t="s">
        <v>265</v>
      </c>
      <c r="E82" s="55">
        <v>5</v>
      </c>
      <c r="F82" s="55">
        <v>30</v>
      </c>
      <c r="G82" s="55">
        <f t="shared" si="0"/>
        <v>150</v>
      </c>
      <c r="H82" s="39"/>
      <c r="I82" s="39"/>
      <c r="J82" s="39"/>
      <c r="K82" s="39"/>
      <c r="L82" s="39"/>
      <c r="M82" s="39"/>
      <c r="N82" s="39"/>
      <c r="O82" s="39"/>
      <c r="P82" s="39"/>
    </row>
    <row r="83" spans="2:16" ht="14.25" customHeight="1" x14ac:dyDescent="0.3">
      <c r="B83" s="68">
        <v>68</v>
      </c>
      <c r="C83" s="69" t="s">
        <v>211</v>
      </c>
      <c r="D83" s="70" t="s">
        <v>265</v>
      </c>
      <c r="E83" s="55">
        <v>2</v>
      </c>
      <c r="F83" s="55">
        <v>120</v>
      </c>
      <c r="G83" s="55">
        <f t="shared" si="0"/>
        <v>240</v>
      </c>
      <c r="H83" s="39"/>
      <c r="I83" s="39"/>
      <c r="J83" s="39"/>
      <c r="K83" s="39"/>
      <c r="L83" s="39"/>
      <c r="M83" s="39"/>
      <c r="N83" s="39"/>
      <c r="O83" s="39"/>
      <c r="P83" s="39"/>
    </row>
    <row r="84" spans="2:16" ht="14.25" customHeight="1" x14ac:dyDescent="0.3">
      <c r="B84" s="68">
        <v>69</v>
      </c>
      <c r="C84" s="69" t="s">
        <v>252</v>
      </c>
      <c r="D84" s="70" t="s">
        <v>264</v>
      </c>
      <c r="E84" s="55">
        <v>2</v>
      </c>
      <c r="F84" s="55">
        <v>240</v>
      </c>
      <c r="G84" s="55">
        <f t="shared" si="0"/>
        <v>480</v>
      </c>
      <c r="H84" s="39"/>
      <c r="I84" s="39"/>
      <c r="J84" s="39"/>
      <c r="K84" s="39"/>
      <c r="L84" s="39"/>
      <c r="M84" s="39"/>
      <c r="N84" s="39"/>
      <c r="O84" s="39"/>
      <c r="P84" s="39"/>
    </row>
    <row r="85" spans="2:16" ht="14.25" customHeight="1" x14ac:dyDescent="0.3">
      <c r="B85" s="68">
        <v>70</v>
      </c>
      <c r="C85" s="69" t="s">
        <v>253</v>
      </c>
      <c r="D85" s="70" t="s">
        <v>265</v>
      </c>
      <c r="E85" s="55">
        <v>2</v>
      </c>
      <c r="F85" s="55">
        <v>20</v>
      </c>
      <c r="G85" s="55">
        <f t="shared" si="0"/>
        <v>40</v>
      </c>
      <c r="H85" s="39"/>
      <c r="I85" s="39"/>
      <c r="J85" s="39"/>
      <c r="K85" s="39"/>
      <c r="L85" s="39"/>
      <c r="M85" s="39"/>
      <c r="N85" s="39"/>
      <c r="O85" s="39"/>
      <c r="P85" s="39"/>
    </row>
    <row r="86" spans="2:16" ht="14.25" customHeight="1" x14ac:dyDescent="0.3">
      <c r="B86" s="68">
        <v>71</v>
      </c>
      <c r="C86" s="69" t="s">
        <v>207</v>
      </c>
      <c r="D86" s="70" t="s">
        <v>262</v>
      </c>
      <c r="E86" s="55">
        <v>5</v>
      </c>
      <c r="F86" s="55">
        <v>25</v>
      </c>
      <c r="G86" s="55">
        <f t="shared" si="0"/>
        <v>125</v>
      </c>
      <c r="H86" s="39"/>
      <c r="I86" s="39"/>
      <c r="J86" s="39"/>
      <c r="K86" s="39"/>
      <c r="L86" s="39"/>
      <c r="M86" s="39"/>
      <c r="N86" s="39"/>
      <c r="O86" s="39"/>
      <c r="P86" s="39"/>
    </row>
    <row r="87" spans="2:16" ht="14.25" customHeight="1" x14ac:dyDescent="0.3">
      <c r="B87" s="68">
        <v>72</v>
      </c>
      <c r="C87" s="69" t="s">
        <v>210</v>
      </c>
      <c r="D87" s="70" t="s">
        <v>262</v>
      </c>
      <c r="E87" s="55">
        <v>5</v>
      </c>
      <c r="F87" s="55">
        <v>25</v>
      </c>
      <c r="G87" s="55">
        <f t="shared" si="0"/>
        <v>125</v>
      </c>
      <c r="H87" s="39"/>
      <c r="I87" s="39"/>
      <c r="J87" s="39"/>
      <c r="K87" s="39"/>
      <c r="L87" s="39"/>
      <c r="M87" s="39"/>
      <c r="N87" s="39"/>
      <c r="O87" s="39"/>
      <c r="P87" s="39"/>
    </row>
    <row r="88" spans="2:16" ht="14.25" customHeight="1" x14ac:dyDescent="0.3">
      <c r="B88" s="68">
        <v>73</v>
      </c>
      <c r="C88" s="69" t="s">
        <v>209</v>
      </c>
      <c r="D88" s="70" t="s">
        <v>262</v>
      </c>
      <c r="E88" s="55">
        <v>2</v>
      </c>
      <c r="F88" s="55">
        <v>15</v>
      </c>
      <c r="G88" s="55">
        <f t="shared" si="0"/>
        <v>30</v>
      </c>
      <c r="H88" s="39"/>
      <c r="I88" s="39"/>
      <c r="J88" s="39"/>
      <c r="K88" s="39"/>
      <c r="L88" s="39"/>
      <c r="M88" s="39"/>
      <c r="N88" s="39"/>
      <c r="O88" s="39"/>
      <c r="P88" s="39"/>
    </row>
    <row r="89" spans="2:16" ht="14.25" customHeight="1" x14ac:dyDescent="0.3">
      <c r="B89" s="68">
        <v>74</v>
      </c>
      <c r="C89" s="69" t="s">
        <v>230</v>
      </c>
      <c r="D89" s="70" t="s">
        <v>262</v>
      </c>
      <c r="E89" s="55">
        <v>1</v>
      </c>
      <c r="F89" s="55">
        <v>240</v>
      </c>
      <c r="G89" s="55">
        <f t="shared" si="0"/>
        <v>240</v>
      </c>
      <c r="H89" s="39"/>
      <c r="I89" s="39"/>
      <c r="J89" s="39"/>
      <c r="K89" s="39"/>
      <c r="L89" s="39"/>
      <c r="M89" s="39"/>
      <c r="N89" s="39"/>
      <c r="O89" s="39"/>
      <c r="P89" s="39"/>
    </row>
    <row r="90" spans="2:16" ht="14.25" customHeight="1" x14ac:dyDescent="0.3">
      <c r="B90" s="68">
        <v>75</v>
      </c>
      <c r="C90" s="69" t="s">
        <v>254</v>
      </c>
      <c r="D90" s="70" t="s">
        <v>262</v>
      </c>
      <c r="E90" s="55">
        <v>1</v>
      </c>
      <c r="F90" s="55">
        <v>60</v>
      </c>
      <c r="G90" s="55">
        <f t="shared" si="0"/>
        <v>60</v>
      </c>
      <c r="H90" s="39"/>
      <c r="I90" s="39"/>
      <c r="J90" s="39"/>
      <c r="K90" s="39"/>
      <c r="L90" s="39"/>
      <c r="M90" s="39"/>
      <c r="N90" s="39"/>
      <c r="O90" s="39"/>
      <c r="P90" s="39"/>
    </row>
    <row r="91" spans="2:16" ht="14.25" customHeight="1" x14ac:dyDescent="0.3">
      <c r="B91" s="68">
        <v>76</v>
      </c>
      <c r="C91" s="69" t="s">
        <v>255</v>
      </c>
      <c r="D91" s="70" t="s">
        <v>262</v>
      </c>
      <c r="E91" s="55">
        <v>1</v>
      </c>
      <c r="F91" s="55">
        <v>210</v>
      </c>
      <c r="G91" s="55">
        <f t="shared" si="0"/>
        <v>210</v>
      </c>
      <c r="H91" s="39"/>
      <c r="I91" s="39"/>
      <c r="J91" s="39"/>
      <c r="K91" s="39"/>
      <c r="L91" s="39"/>
      <c r="M91" s="39"/>
      <c r="N91" s="39"/>
      <c r="O91" s="39"/>
      <c r="P91" s="39"/>
    </row>
    <row r="92" spans="2:16" ht="14.25" customHeight="1" x14ac:dyDescent="0.3">
      <c r="B92" s="68">
        <v>77</v>
      </c>
      <c r="C92" s="69" t="s">
        <v>214</v>
      </c>
      <c r="D92" s="70" t="s">
        <v>262</v>
      </c>
      <c r="E92" s="55">
        <v>1</v>
      </c>
      <c r="F92" s="55">
        <v>25</v>
      </c>
      <c r="G92" s="55">
        <f t="shared" si="0"/>
        <v>25</v>
      </c>
      <c r="H92" s="39"/>
      <c r="I92" s="39"/>
      <c r="J92" s="39"/>
      <c r="K92" s="39"/>
      <c r="L92" s="39"/>
      <c r="M92" s="39"/>
      <c r="N92" s="39"/>
      <c r="O92" s="39"/>
      <c r="P92" s="39"/>
    </row>
    <row r="93" spans="2:16" ht="14.25" customHeight="1" x14ac:dyDescent="0.3">
      <c r="B93" s="68">
        <v>78</v>
      </c>
      <c r="C93" s="69" t="s">
        <v>256</v>
      </c>
      <c r="D93" s="70" t="s">
        <v>262</v>
      </c>
      <c r="E93" s="55">
        <v>1</v>
      </c>
      <c r="F93" s="55">
        <v>900</v>
      </c>
      <c r="G93" s="55">
        <f t="shared" si="0"/>
        <v>900</v>
      </c>
      <c r="H93" s="39"/>
      <c r="I93" s="39"/>
      <c r="J93" s="39"/>
      <c r="K93" s="39"/>
      <c r="L93" s="39"/>
      <c r="M93" s="39"/>
      <c r="N93" s="39"/>
      <c r="O93" s="39"/>
      <c r="P93" s="39"/>
    </row>
    <row r="94" spans="2:16" ht="14.25" customHeight="1" x14ac:dyDescent="0.3">
      <c r="B94" s="68">
        <v>79</v>
      </c>
      <c r="C94" s="69" t="s">
        <v>257</v>
      </c>
      <c r="D94" s="70" t="s">
        <v>262</v>
      </c>
      <c r="E94" s="55">
        <v>1</v>
      </c>
      <c r="F94" s="55">
        <v>300</v>
      </c>
      <c r="G94" s="55">
        <f t="shared" si="0"/>
        <v>300</v>
      </c>
      <c r="H94" s="39"/>
      <c r="I94" s="39"/>
      <c r="J94" s="39"/>
      <c r="K94" s="39"/>
      <c r="L94" s="39"/>
      <c r="M94" s="39"/>
      <c r="N94" s="39"/>
      <c r="O94" s="39"/>
      <c r="P94" s="39"/>
    </row>
    <row r="95" spans="2:16" ht="14.25" customHeight="1" x14ac:dyDescent="0.3">
      <c r="B95" s="68">
        <v>80</v>
      </c>
      <c r="C95" s="69" t="s">
        <v>258</v>
      </c>
      <c r="D95" s="70" t="s">
        <v>262</v>
      </c>
      <c r="E95" s="55">
        <v>1</v>
      </c>
      <c r="F95" s="55">
        <v>300</v>
      </c>
      <c r="G95" s="55">
        <f t="shared" si="0"/>
        <v>300</v>
      </c>
      <c r="H95" s="39"/>
      <c r="I95" s="39"/>
      <c r="J95" s="39"/>
      <c r="K95" s="39"/>
      <c r="L95" s="39"/>
      <c r="M95" s="39"/>
      <c r="N95" s="39"/>
      <c r="O95" s="39"/>
      <c r="P95" s="39"/>
    </row>
    <row r="96" spans="2:16" ht="14.25" customHeight="1" x14ac:dyDescent="0.3">
      <c r="B96" s="68">
        <v>81</v>
      </c>
      <c r="C96" s="69" t="s">
        <v>259</v>
      </c>
      <c r="D96" s="70" t="s">
        <v>262</v>
      </c>
      <c r="E96" s="55">
        <v>1</v>
      </c>
      <c r="F96" s="55">
        <v>900</v>
      </c>
      <c r="G96" s="55">
        <f t="shared" si="0"/>
        <v>900</v>
      </c>
      <c r="H96" s="39"/>
      <c r="I96" s="39"/>
      <c r="J96" s="39"/>
      <c r="K96" s="39"/>
      <c r="L96" s="39"/>
      <c r="M96" s="39"/>
      <c r="N96" s="39"/>
      <c r="O96" s="39"/>
      <c r="P96" s="39"/>
    </row>
    <row r="97" spans="2:16" ht="14.25" customHeight="1" x14ac:dyDescent="0.3">
      <c r="B97" s="68">
        <v>82</v>
      </c>
      <c r="C97" s="69" t="s">
        <v>260</v>
      </c>
      <c r="D97" s="70" t="s">
        <v>262</v>
      </c>
      <c r="E97" s="55">
        <v>1</v>
      </c>
      <c r="F97" s="55">
        <v>660</v>
      </c>
      <c r="G97" s="55">
        <f t="shared" si="0"/>
        <v>660</v>
      </c>
      <c r="H97" s="39"/>
      <c r="I97" s="39"/>
      <c r="J97" s="39"/>
      <c r="K97" s="39"/>
      <c r="L97" s="39"/>
      <c r="M97" s="39"/>
      <c r="N97" s="39"/>
      <c r="O97" s="39"/>
      <c r="P97" s="39"/>
    </row>
    <row r="98" spans="2:16" ht="14.25" customHeight="1" x14ac:dyDescent="0.3">
      <c r="B98" s="68">
        <v>83</v>
      </c>
      <c r="C98" s="69" t="s">
        <v>208</v>
      </c>
      <c r="D98" s="70" t="s">
        <v>262</v>
      </c>
      <c r="E98" s="55">
        <v>1</v>
      </c>
      <c r="F98" s="55">
        <v>420</v>
      </c>
      <c r="G98" s="55">
        <f t="shared" si="0"/>
        <v>420</v>
      </c>
      <c r="H98" s="39"/>
      <c r="I98" s="39"/>
      <c r="J98" s="39"/>
      <c r="K98" s="39"/>
      <c r="L98" s="39"/>
      <c r="M98" s="39"/>
      <c r="N98" s="39"/>
      <c r="O98" s="39"/>
      <c r="P98" s="39"/>
    </row>
    <row r="99" spans="2:16" ht="14.25" customHeight="1" x14ac:dyDescent="0.3">
      <c r="B99" s="68">
        <v>84</v>
      </c>
      <c r="C99" s="69" t="s">
        <v>236</v>
      </c>
      <c r="D99" s="70" t="s">
        <v>262</v>
      </c>
      <c r="E99" s="55">
        <v>1</v>
      </c>
      <c r="F99" s="55">
        <v>300</v>
      </c>
      <c r="G99" s="55">
        <f t="shared" si="0"/>
        <v>300</v>
      </c>
      <c r="H99" s="39"/>
      <c r="I99" s="39"/>
      <c r="J99" s="39"/>
      <c r="K99" s="39"/>
      <c r="L99" s="39"/>
      <c r="M99" s="39"/>
      <c r="N99" s="39"/>
      <c r="O99" s="39"/>
      <c r="P99" s="39"/>
    </row>
    <row r="100" spans="2:16" ht="14.25" customHeight="1" x14ac:dyDescent="0.3">
      <c r="B100" s="68">
        <v>85</v>
      </c>
      <c r="C100" s="69" t="s">
        <v>206</v>
      </c>
      <c r="D100" s="70" t="s">
        <v>263</v>
      </c>
      <c r="E100" s="55">
        <v>1</v>
      </c>
      <c r="F100" s="55">
        <v>600</v>
      </c>
      <c r="G100" s="55">
        <f t="shared" si="0"/>
        <v>600</v>
      </c>
      <c r="H100" s="39"/>
      <c r="I100" s="39"/>
      <c r="J100" s="39"/>
      <c r="K100" s="39"/>
      <c r="L100" s="39"/>
      <c r="M100" s="39"/>
      <c r="N100" s="39"/>
      <c r="O100" s="39"/>
      <c r="P100" s="39"/>
    </row>
    <row r="101" spans="2:16" ht="14.25" customHeight="1" x14ac:dyDescent="0.3">
      <c r="B101" s="68">
        <v>86</v>
      </c>
      <c r="C101" s="69" t="s">
        <v>210</v>
      </c>
      <c r="D101" s="70" t="s">
        <v>262</v>
      </c>
      <c r="E101" s="55">
        <v>3</v>
      </c>
      <c r="F101" s="55">
        <v>25</v>
      </c>
      <c r="G101" s="55">
        <f t="shared" si="0"/>
        <v>75</v>
      </c>
      <c r="H101" s="39"/>
      <c r="I101" s="39"/>
      <c r="J101" s="39"/>
      <c r="K101" s="39"/>
      <c r="L101" s="39"/>
      <c r="M101" s="39"/>
      <c r="N101" s="39"/>
      <c r="O101" s="39"/>
      <c r="P101" s="39"/>
    </row>
    <row r="102" spans="2:16" ht="14.25" customHeight="1" x14ac:dyDescent="0.3">
      <c r="B102" s="68">
        <v>87</v>
      </c>
      <c r="C102" s="69" t="s">
        <v>231</v>
      </c>
      <c r="D102" s="70" t="s">
        <v>263</v>
      </c>
      <c r="E102" s="55">
        <v>1</v>
      </c>
      <c r="F102" s="55">
        <v>240</v>
      </c>
      <c r="G102" s="55">
        <f t="shared" si="0"/>
        <v>240</v>
      </c>
      <c r="H102" s="39"/>
      <c r="I102" s="39"/>
      <c r="J102" s="39"/>
      <c r="K102" s="39"/>
      <c r="L102" s="39"/>
      <c r="M102" s="39"/>
      <c r="N102" s="39"/>
      <c r="O102" s="39"/>
      <c r="P102" s="39"/>
    </row>
    <row r="103" spans="2:16" ht="14.25" customHeight="1" x14ac:dyDescent="0.3">
      <c r="B103" s="68">
        <v>88</v>
      </c>
      <c r="C103" s="69" t="s">
        <v>207</v>
      </c>
      <c r="D103" s="70" t="s">
        <v>262</v>
      </c>
      <c r="E103" s="55">
        <v>2</v>
      </c>
      <c r="F103" s="55">
        <v>25</v>
      </c>
      <c r="G103" s="55">
        <f t="shared" si="0"/>
        <v>50</v>
      </c>
      <c r="H103" s="39"/>
      <c r="I103" s="39"/>
      <c r="J103" s="39"/>
      <c r="K103" s="39"/>
      <c r="L103" s="39"/>
      <c r="M103" s="39"/>
      <c r="N103" s="39"/>
      <c r="O103" s="39"/>
      <c r="P103" s="39"/>
    </row>
    <row r="104" spans="2:16" ht="14.25" customHeight="1" x14ac:dyDescent="0.3">
      <c r="B104" s="68">
        <v>89</v>
      </c>
      <c r="C104" s="69" t="s">
        <v>237</v>
      </c>
      <c r="D104" s="70" t="s">
        <v>262</v>
      </c>
      <c r="E104" s="55">
        <v>1</v>
      </c>
      <c r="F104" s="55">
        <v>600</v>
      </c>
      <c r="G104" s="55">
        <f t="shared" si="0"/>
        <v>600</v>
      </c>
      <c r="H104" s="39"/>
      <c r="I104" s="39"/>
      <c r="J104" s="39"/>
      <c r="K104" s="39"/>
      <c r="L104" s="39"/>
      <c r="M104" s="39"/>
      <c r="N104" s="39"/>
      <c r="O104" s="39"/>
      <c r="P104" s="39"/>
    </row>
    <row r="105" spans="2:16" ht="14.25" customHeight="1" x14ac:dyDescent="0.3">
      <c r="B105" s="68">
        <v>90</v>
      </c>
      <c r="C105" s="69" t="s">
        <v>209</v>
      </c>
      <c r="D105" s="70" t="s">
        <v>262</v>
      </c>
      <c r="E105" s="55">
        <v>1</v>
      </c>
      <c r="F105" s="55">
        <v>15</v>
      </c>
      <c r="G105" s="55">
        <f t="shared" si="0"/>
        <v>15</v>
      </c>
      <c r="H105" s="39"/>
      <c r="I105" s="39"/>
      <c r="J105" s="39"/>
      <c r="K105" s="39"/>
      <c r="L105" s="39"/>
      <c r="M105" s="39"/>
      <c r="N105" s="39"/>
      <c r="O105" s="39"/>
      <c r="P105" s="39"/>
    </row>
    <row r="106" spans="2:16" ht="14.25" customHeight="1" x14ac:dyDescent="0.3">
      <c r="B106" s="68">
        <v>91</v>
      </c>
      <c r="C106" s="69" t="s">
        <v>207</v>
      </c>
      <c r="D106" s="70" t="s">
        <v>262</v>
      </c>
      <c r="E106" s="55">
        <v>1</v>
      </c>
      <c r="F106" s="55">
        <v>25</v>
      </c>
      <c r="G106" s="55">
        <f t="shared" si="0"/>
        <v>25</v>
      </c>
      <c r="H106" s="39"/>
      <c r="I106" s="39"/>
      <c r="J106" s="39"/>
      <c r="K106" s="39"/>
      <c r="L106" s="39"/>
      <c r="M106" s="39"/>
      <c r="N106" s="39"/>
      <c r="O106" s="39"/>
      <c r="P106" s="39"/>
    </row>
    <row r="107" spans="2:16" ht="14.25" customHeight="1" x14ac:dyDescent="0.3">
      <c r="B107" s="68">
        <v>92</v>
      </c>
      <c r="C107" s="69" t="s">
        <v>236</v>
      </c>
      <c r="D107" s="70" t="s">
        <v>262</v>
      </c>
      <c r="E107" s="55">
        <v>2</v>
      </c>
      <c r="F107" s="55">
        <v>300</v>
      </c>
      <c r="G107" s="55">
        <f t="shared" si="0"/>
        <v>600</v>
      </c>
      <c r="H107" s="39"/>
      <c r="I107" s="39"/>
      <c r="J107" s="39"/>
      <c r="K107" s="39"/>
      <c r="L107" s="39"/>
      <c r="M107" s="39"/>
      <c r="N107" s="39"/>
      <c r="O107" s="39"/>
      <c r="P107" s="39"/>
    </row>
    <row r="108" spans="2:16" ht="14.25" customHeight="1" x14ac:dyDescent="0.3">
      <c r="B108" s="68">
        <v>93</v>
      </c>
      <c r="C108" s="69" t="s">
        <v>210</v>
      </c>
      <c r="D108" s="70" t="s">
        <v>262</v>
      </c>
      <c r="E108" s="55">
        <v>8</v>
      </c>
      <c r="F108" s="55">
        <v>25</v>
      </c>
      <c r="G108" s="55">
        <f t="shared" si="0"/>
        <v>200</v>
      </c>
      <c r="H108" s="39"/>
      <c r="I108" s="39"/>
      <c r="J108" s="39"/>
      <c r="K108" s="39"/>
      <c r="L108" s="39"/>
      <c r="M108" s="39"/>
      <c r="N108" s="39"/>
      <c r="O108" s="39"/>
      <c r="P108" s="39"/>
    </row>
    <row r="109" spans="2:16" ht="14.25" customHeight="1" x14ac:dyDescent="0.3">
      <c r="B109" s="68">
        <v>94</v>
      </c>
      <c r="C109" s="69" t="s">
        <v>204</v>
      </c>
      <c r="D109" s="70" t="s">
        <v>262</v>
      </c>
      <c r="E109" s="55">
        <v>1</v>
      </c>
      <c r="F109" s="55">
        <v>420</v>
      </c>
      <c r="G109" s="55">
        <f t="shared" si="0"/>
        <v>420</v>
      </c>
      <c r="H109" s="39"/>
      <c r="I109" s="39"/>
      <c r="J109" s="39"/>
      <c r="K109" s="39"/>
      <c r="L109" s="39"/>
      <c r="M109" s="39"/>
      <c r="N109" s="39"/>
      <c r="O109" s="39"/>
      <c r="P109" s="39"/>
    </row>
    <row r="110" spans="2:16" ht="14.25" customHeight="1" x14ac:dyDescent="0.3">
      <c r="B110" s="68">
        <v>95</v>
      </c>
      <c r="C110" s="69" t="s">
        <v>205</v>
      </c>
      <c r="D110" s="70" t="s">
        <v>262</v>
      </c>
      <c r="E110" s="55">
        <v>2</v>
      </c>
      <c r="F110" s="55">
        <v>300</v>
      </c>
      <c r="G110" s="55">
        <f t="shared" si="0"/>
        <v>600</v>
      </c>
      <c r="H110" s="39"/>
      <c r="I110" s="39"/>
      <c r="J110" s="39"/>
      <c r="K110" s="39"/>
      <c r="L110" s="39"/>
      <c r="M110" s="39"/>
      <c r="N110" s="39"/>
      <c r="O110" s="39"/>
      <c r="P110" s="39"/>
    </row>
    <row r="111" spans="2:16" ht="14.25" customHeight="1" x14ac:dyDescent="0.3">
      <c r="B111" s="68">
        <v>96</v>
      </c>
      <c r="C111" s="69" t="s">
        <v>207</v>
      </c>
      <c r="D111" s="70" t="s">
        <v>262</v>
      </c>
      <c r="E111" s="55">
        <v>3</v>
      </c>
      <c r="F111" s="55">
        <v>25</v>
      </c>
      <c r="G111" s="55">
        <f t="shared" si="0"/>
        <v>75</v>
      </c>
      <c r="H111" s="39"/>
      <c r="I111" s="39"/>
      <c r="J111" s="39"/>
      <c r="K111" s="39"/>
      <c r="L111" s="39"/>
      <c r="M111" s="39"/>
      <c r="N111" s="39"/>
      <c r="O111" s="39"/>
      <c r="P111" s="39"/>
    </row>
    <row r="112" spans="2:16" ht="14.25" customHeight="1" x14ac:dyDescent="0.3">
      <c r="B112" s="68">
        <v>97</v>
      </c>
      <c r="C112" s="69" t="s">
        <v>210</v>
      </c>
      <c r="D112" s="70" t="s">
        <v>262</v>
      </c>
      <c r="E112" s="55">
        <v>3</v>
      </c>
      <c r="F112" s="55">
        <v>25</v>
      </c>
      <c r="G112" s="55">
        <f t="shared" si="0"/>
        <v>75</v>
      </c>
      <c r="H112" s="39"/>
      <c r="I112" s="39"/>
      <c r="J112" s="39"/>
      <c r="K112" s="39"/>
      <c r="L112" s="39"/>
      <c r="M112" s="39"/>
      <c r="N112" s="39"/>
      <c r="O112" s="39"/>
      <c r="P112" s="39"/>
    </row>
    <row r="113" spans="2:16" ht="14.25" customHeight="1" x14ac:dyDescent="0.3">
      <c r="B113" s="68">
        <v>98</v>
      </c>
      <c r="C113" s="69" t="s">
        <v>209</v>
      </c>
      <c r="D113" s="70" t="s">
        <v>262</v>
      </c>
      <c r="E113" s="55">
        <v>1</v>
      </c>
      <c r="F113" s="55">
        <v>15</v>
      </c>
      <c r="G113" s="55">
        <f t="shared" si="0"/>
        <v>15</v>
      </c>
      <c r="H113" s="39"/>
      <c r="I113" s="39"/>
      <c r="J113" s="39"/>
      <c r="K113" s="39"/>
      <c r="L113" s="39"/>
      <c r="M113" s="39"/>
      <c r="N113" s="39"/>
      <c r="O113" s="39"/>
      <c r="P113" s="39"/>
    </row>
    <row r="114" spans="2:16" ht="14.25" customHeight="1" x14ac:dyDescent="0.3">
      <c r="B114" s="68">
        <v>99</v>
      </c>
      <c r="C114" s="69" t="s">
        <v>206</v>
      </c>
      <c r="D114" s="70" t="s">
        <v>263</v>
      </c>
      <c r="E114" s="55">
        <v>1</v>
      </c>
      <c r="F114" s="55">
        <v>600</v>
      </c>
      <c r="G114" s="55">
        <f t="shared" si="0"/>
        <v>600</v>
      </c>
      <c r="H114" s="39"/>
      <c r="I114" s="39"/>
      <c r="J114" s="39"/>
      <c r="K114" s="39"/>
      <c r="L114" s="39"/>
      <c r="M114" s="39"/>
      <c r="N114" s="39"/>
      <c r="O114" s="39"/>
      <c r="P114" s="39"/>
    </row>
    <row r="115" spans="2:16" ht="14.25" customHeight="1" x14ac:dyDescent="0.3">
      <c r="B115" s="68">
        <v>100</v>
      </c>
      <c r="C115" s="69" t="s">
        <v>208</v>
      </c>
      <c r="D115" s="70" t="s">
        <v>262</v>
      </c>
      <c r="E115" s="55">
        <v>1</v>
      </c>
      <c r="F115" s="55">
        <v>420</v>
      </c>
      <c r="G115" s="55">
        <f t="shared" si="0"/>
        <v>420</v>
      </c>
      <c r="H115" s="39"/>
      <c r="I115" s="39"/>
      <c r="J115" s="39"/>
      <c r="K115" s="39"/>
      <c r="L115" s="39"/>
      <c r="M115" s="39"/>
      <c r="N115" s="39"/>
      <c r="O115" s="39"/>
      <c r="P115" s="39"/>
    </row>
    <row r="116" spans="2:16" ht="14.25" customHeight="1" x14ac:dyDescent="0.3">
      <c r="B116" s="68">
        <v>101</v>
      </c>
      <c r="C116" s="69" t="s">
        <v>207</v>
      </c>
      <c r="D116" s="70" t="s">
        <v>262</v>
      </c>
      <c r="E116" s="55">
        <v>3</v>
      </c>
      <c r="F116" s="55">
        <v>25</v>
      </c>
      <c r="G116" s="55">
        <f t="shared" si="0"/>
        <v>75</v>
      </c>
      <c r="H116" s="39"/>
      <c r="I116" s="39"/>
      <c r="J116" s="39"/>
      <c r="K116" s="39"/>
      <c r="L116" s="39"/>
      <c r="M116" s="39"/>
      <c r="N116" s="39"/>
      <c r="O116" s="39"/>
      <c r="P116" s="39"/>
    </row>
    <row r="117" spans="2:16" ht="14.25" customHeight="1" x14ac:dyDescent="0.3">
      <c r="B117" s="68">
        <v>102</v>
      </c>
      <c r="C117" s="69" t="s">
        <v>207</v>
      </c>
      <c r="D117" s="70" t="s">
        <v>262</v>
      </c>
      <c r="E117" s="55">
        <v>3</v>
      </c>
      <c r="F117" s="55">
        <v>25</v>
      </c>
      <c r="G117" s="55">
        <f t="shared" si="0"/>
        <v>75</v>
      </c>
      <c r="H117" s="39"/>
      <c r="I117" s="39"/>
      <c r="J117" s="39"/>
      <c r="K117" s="39"/>
      <c r="L117" s="39"/>
      <c r="M117" s="39"/>
      <c r="N117" s="39"/>
      <c r="O117" s="39"/>
      <c r="P117" s="39"/>
    </row>
    <row r="118" spans="2:16" ht="14.25" customHeight="1" x14ac:dyDescent="0.3">
      <c r="B118" s="137" t="s">
        <v>78</v>
      </c>
      <c r="C118" s="138"/>
      <c r="D118" s="138"/>
      <c r="E118" s="138"/>
      <c r="F118" s="138"/>
      <c r="G118" s="139"/>
      <c r="H118" s="39"/>
      <c r="I118" s="39"/>
      <c r="J118" s="39"/>
      <c r="K118" s="39"/>
      <c r="L118" s="39"/>
      <c r="M118" s="39"/>
      <c r="N118" s="39"/>
      <c r="O118" s="39"/>
      <c r="P118" s="39"/>
    </row>
    <row r="119" spans="2:16" ht="14.25" customHeight="1" x14ac:dyDescent="0.3">
      <c r="B119" s="68">
        <v>1</v>
      </c>
      <c r="C119" s="69" t="s">
        <v>225</v>
      </c>
      <c r="D119" s="70"/>
      <c r="E119" s="55">
        <v>1</v>
      </c>
      <c r="F119" s="55">
        <v>1500</v>
      </c>
      <c r="G119" s="55">
        <f>E119*F119</f>
        <v>1500</v>
      </c>
      <c r="H119" s="39"/>
      <c r="I119" s="39"/>
      <c r="J119" s="39"/>
      <c r="K119" s="39"/>
      <c r="L119" s="39"/>
      <c r="M119" s="39"/>
      <c r="N119" s="39"/>
      <c r="O119" s="39"/>
      <c r="P119" s="39"/>
    </row>
    <row r="120" spans="2:16" ht="14.25" customHeight="1" x14ac:dyDescent="0.3">
      <c r="B120" s="68">
        <v>2</v>
      </c>
      <c r="C120" s="69" t="s">
        <v>261</v>
      </c>
      <c r="D120" s="70"/>
      <c r="E120" s="55">
        <v>1</v>
      </c>
      <c r="F120" s="55">
        <v>3000</v>
      </c>
      <c r="G120" s="55">
        <f>E120*F120</f>
        <v>3000</v>
      </c>
      <c r="H120" s="39"/>
      <c r="I120" s="39"/>
      <c r="J120" s="39"/>
      <c r="K120" s="39"/>
      <c r="L120" s="39"/>
      <c r="M120" s="39"/>
      <c r="N120" s="39"/>
      <c r="O120" s="39"/>
      <c r="P120" s="39"/>
    </row>
    <row r="121" spans="2:16" ht="14.25" customHeight="1" x14ac:dyDescent="0.3">
      <c r="B121" s="68">
        <v>3</v>
      </c>
      <c r="C121" s="69"/>
      <c r="D121" s="70"/>
      <c r="E121" s="55"/>
      <c r="F121" s="55"/>
      <c r="G121" s="55"/>
      <c r="H121" s="39"/>
      <c r="I121" s="39"/>
      <c r="J121" s="39"/>
      <c r="K121" s="39"/>
      <c r="L121" s="39"/>
      <c r="M121" s="39"/>
      <c r="N121" s="39"/>
      <c r="O121" s="39"/>
      <c r="P121" s="39"/>
    </row>
    <row r="122" spans="2:16" ht="14.25" customHeight="1" x14ac:dyDescent="0.3">
      <c r="B122" s="68">
        <v>4</v>
      </c>
      <c r="C122" s="69"/>
      <c r="D122" s="70"/>
      <c r="E122" s="55"/>
      <c r="F122" s="55"/>
      <c r="G122" s="55"/>
      <c r="H122" s="39"/>
      <c r="I122" s="39"/>
      <c r="J122" s="39"/>
      <c r="K122" s="39"/>
      <c r="L122" s="39"/>
      <c r="M122" s="39"/>
      <c r="N122" s="39"/>
      <c r="O122" s="39"/>
      <c r="P122" s="39"/>
    </row>
    <row r="123" spans="2:16" ht="14.25" customHeight="1" x14ac:dyDescent="0.3">
      <c r="B123" s="68">
        <v>5</v>
      </c>
      <c r="C123" s="69"/>
      <c r="D123" s="70"/>
      <c r="E123" s="55"/>
      <c r="F123" s="55"/>
      <c r="G123" s="55"/>
      <c r="H123" s="39"/>
      <c r="I123" s="39"/>
      <c r="J123" s="39"/>
      <c r="K123" s="39"/>
      <c r="L123" s="39"/>
      <c r="M123" s="39"/>
      <c r="N123" s="39"/>
      <c r="O123" s="39"/>
      <c r="P123" s="39"/>
    </row>
    <row r="124" spans="2:16" ht="14.25" customHeight="1" x14ac:dyDescent="0.3">
      <c r="B124" s="68">
        <v>6</v>
      </c>
      <c r="C124" s="69"/>
      <c r="D124" s="70"/>
      <c r="E124" s="55"/>
      <c r="F124" s="55"/>
      <c r="G124" s="55"/>
      <c r="H124" s="39"/>
      <c r="I124" s="39"/>
      <c r="J124" s="39"/>
      <c r="K124" s="39"/>
      <c r="L124" s="39"/>
      <c r="M124" s="39"/>
      <c r="N124" s="39"/>
      <c r="O124" s="39"/>
      <c r="P124" s="39"/>
    </row>
    <row r="125" spans="2:16" ht="14.25" customHeight="1" x14ac:dyDescent="0.3">
      <c r="B125" s="68">
        <v>7</v>
      </c>
      <c r="C125" s="69"/>
      <c r="D125" s="70"/>
      <c r="E125" s="55"/>
      <c r="F125" s="55"/>
      <c r="G125" s="55"/>
      <c r="H125" s="39"/>
      <c r="I125" s="39"/>
      <c r="J125" s="39"/>
      <c r="K125" s="39"/>
      <c r="L125" s="39"/>
      <c r="M125" s="39"/>
      <c r="N125" s="39"/>
      <c r="O125" s="39"/>
      <c r="P125" s="39"/>
    </row>
    <row r="126" spans="2:16" ht="14.25" customHeight="1" x14ac:dyDescent="0.3">
      <c r="B126" s="68">
        <v>8</v>
      </c>
      <c r="C126" s="69"/>
      <c r="D126" s="70"/>
      <c r="E126" s="55"/>
      <c r="F126" s="55"/>
      <c r="G126" s="55"/>
      <c r="H126" s="39"/>
      <c r="I126" s="39"/>
      <c r="J126" s="39"/>
      <c r="K126" s="39"/>
      <c r="L126" s="39"/>
      <c r="M126" s="39"/>
      <c r="N126" s="39"/>
      <c r="O126" s="39"/>
      <c r="P126" s="39"/>
    </row>
    <row r="127" spans="2:16" ht="14.25" customHeight="1" x14ac:dyDescent="0.3">
      <c r="B127" s="68">
        <v>9</v>
      </c>
      <c r="C127" s="69"/>
      <c r="D127" s="70"/>
      <c r="E127" s="55"/>
      <c r="F127" s="55"/>
      <c r="G127" s="55"/>
      <c r="H127" s="39"/>
      <c r="I127" s="39"/>
      <c r="J127" s="39"/>
      <c r="K127" s="39"/>
      <c r="L127" s="39"/>
      <c r="M127" s="39"/>
      <c r="N127" s="39"/>
      <c r="O127" s="39"/>
      <c r="P127" s="39"/>
    </row>
    <row r="128" spans="2:16" ht="14.25" customHeight="1" x14ac:dyDescent="0.3">
      <c r="B128" s="68">
        <v>10</v>
      </c>
      <c r="C128" s="69"/>
      <c r="D128" s="70"/>
      <c r="E128" s="55"/>
      <c r="F128" s="55"/>
      <c r="G128" s="55"/>
      <c r="H128" s="39"/>
      <c r="I128" s="39"/>
      <c r="J128" s="39"/>
      <c r="K128" s="39"/>
      <c r="L128" s="39"/>
      <c r="M128" s="39"/>
      <c r="N128" s="39"/>
      <c r="O128" s="39"/>
      <c r="P128" s="39"/>
    </row>
    <row r="129" spans="1:16" ht="14.25" customHeight="1" x14ac:dyDescent="0.3">
      <c r="B129" s="137" t="s">
        <v>30</v>
      </c>
      <c r="C129" s="138"/>
      <c r="D129" s="138"/>
      <c r="E129" s="138"/>
      <c r="F129" s="138"/>
      <c r="G129" s="139"/>
      <c r="H129" s="39"/>
      <c r="I129" s="39"/>
      <c r="J129" s="39"/>
      <c r="K129" s="39"/>
      <c r="L129" s="39"/>
      <c r="M129" s="39"/>
      <c r="N129" s="39"/>
      <c r="O129" s="39"/>
      <c r="P129" s="39"/>
    </row>
    <row r="130" spans="1:16" ht="14.25" customHeight="1" x14ac:dyDescent="0.3">
      <c r="B130" s="68">
        <v>1</v>
      </c>
      <c r="C130" s="69"/>
      <c r="D130" s="70"/>
      <c r="E130" s="55"/>
      <c r="F130" s="55"/>
      <c r="G130" s="55"/>
      <c r="H130" s="39"/>
      <c r="I130" s="39"/>
      <c r="J130" s="39"/>
      <c r="K130" s="39"/>
      <c r="L130" s="39"/>
      <c r="M130" s="39"/>
      <c r="N130" s="39"/>
      <c r="O130" s="39"/>
      <c r="P130" s="39"/>
    </row>
    <row r="131" spans="1:16" ht="14.25" customHeight="1" x14ac:dyDescent="0.3">
      <c r="B131" s="68">
        <v>2</v>
      </c>
      <c r="C131" s="69"/>
      <c r="D131" s="70"/>
      <c r="E131" s="55"/>
      <c r="F131" s="55"/>
      <c r="G131" s="55"/>
      <c r="H131" s="39"/>
      <c r="I131" s="39"/>
      <c r="J131" s="39"/>
      <c r="K131" s="39"/>
      <c r="L131" s="39"/>
      <c r="M131" s="39"/>
      <c r="N131" s="39"/>
      <c r="O131" s="39"/>
      <c r="P131" s="39"/>
    </row>
    <row r="132" spans="1:16" ht="14.25" customHeight="1" x14ac:dyDescent="0.3">
      <c r="B132" s="68">
        <v>3</v>
      </c>
      <c r="C132" s="69"/>
      <c r="D132" s="70"/>
      <c r="E132" s="55"/>
      <c r="F132" s="55"/>
      <c r="G132" s="55"/>
      <c r="H132" s="39"/>
      <c r="I132" s="39"/>
      <c r="J132" s="39"/>
      <c r="K132" s="39"/>
      <c r="L132" s="39"/>
      <c r="M132" s="39"/>
      <c r="N132" s="39"/>
      <c r="O132" s="39"/>
      <c r="P132" s="39"/>
    </row>
    <row r="133" spans="1:16" ht="14.25" customHeight="1" x14ac:dyDescent="0.3">
      <c r="B133" s="68">
        <v>4</v>
      </c>
      <c r="C133" s="69"/>
      <c r="D133" s="70"/>
      <c r="E133" s="55"/>
      <c r="F133" s="55"/>
      <c r="G133" s="55"/>
      <c r="H133" s="39"/>
      <c r="I133" s="39"/>
      <c r="J133" s="39"/>
      <c r="K133" s="39"/>
      <c r="L133" s="39"/>
      <c r="M133" s="39"/>
      <c r="N133" s="39"/>
      <c r="O133" s="39"/>
      <c r="P133" s="39"/>
    </row>
    <row r="134" spans="1:16" ht="14.25" customHeight="1" x14ac:dyDescent="0.3">
      <c r="B134" s="68">
        <v>5</v>
      </c>
      <c r="C134" s="69"/>
      <c r="D134" s="70"/>
      <c r="E134" s="55"/>
      <c r="F134" s="55"/>
      <c r="G134" s="55"/>
      <c r="H134" s="39"/>
      <c r="I134" s="39"/>
      <c r="J134" s="39"/>
      <c r="K134" s="39"/>
      <c r="L134" s="39"/>
      <c r="M134" s="39"/>
      <c r="N134" s="39"/>
      <c r="O134" s="39"/>
      <c r="P134" s="39"/>
    </row>
    <row r="135" spans="1:16" ht="14.25" customHeight="1" x14ac:dyDescent="0.3">
      <c r="B135" s="68">
        <v>6</v>
      </c>
      <c r="C135" s="69"/>
      <c r="D135" s="70"/>
      <c r="E135" s="55"/>
      <c r="F135" s="55"/>
      <c r="G135" s="55"/>
      <c r="H135" s="39"/>
      <c r="I135" s="39"/>
      <c r="J135" s="39"/>
      <c r="K135" s="39"/>
      <c r="L135" s="39"/>
      <c r="M135" s="39"/>
      <c r="N135" s="39"/>
      <c r="O135" s="39"/>
      <c r="P135" s="39"/>
    </row>
    <row r="136" spans="1:16" ht="14.25" customHeight="1" x14ac:dyDescent="0.3">
      <c r="B136" s="68">
        <v>7</v>
      </c>
      <c r="C136" s="69"/>
      <c r="D136" s="70"/>
      <c r="E136" s="55"/>
      <c r="F136" s="55"/>
      <c r="G136" s="55"/>
      <c r="H136" s="39"/>
      <c r="I136" s="39"/>
      <c r="J136" s="39"/>
      <c r="K136" s="39"/>
      <c r="L136" s="39"/>
      <c r="M136" s="39"/>
      <c r="N136" s="39"/>
      <c r="O136" s="39"/>
      <c r="P136" s="39"/>
    </row>
    <row r="137" spans="1:16" ht="14.25" customHeight="1" x14ac:dyDescent="0.3">
      <c r="B137" s="68">
        <v>8</v>
      </c>
      <c r="C137" s="69"/>
      <c r="D137" s="70"/>
      <c r="E137" s="55"/>
      <c r="F137" s="55"/>
      <c r="G137" s="55"/>
      <c r="H137" s="39"/>
      <c r="I137" s="39"/>
      <c r="J137" s="39"/>
      <c r="K137" s="39"/>
      <c r="L137" s="39"/>
      <c r="M137" s="39"/>
      <c r="N137" s="39"/>
      <c r="O137" s="39"/>
      <c r="P137" s="39"/>
    </row>
    <row r="138" spans="1:16" ht="14.25" customHeight="1" x14ac:dyDescent="0.3">
      <c r="B138" s="68">
        <v>9</v>
      </c>
      <c r="C138" s="69"/>
      <c r="D138" s="70"/>
      <c r="E138" s="55"/>
      <c r="F138" s="55"/>
      <c r="G138" s="55"/>
      <c r="H138" s="39"/>
      <c r="I138" s="39"/>
      <c r="J138" s="39"/>
      <c r="K138" s="39"/>
      <c r="L138" s="39"/>
      <c r="M138" s="39"/>
      <c r="N138" s="39"/>
      <c r="O138" s="39"/>
      <c r="P138" s="39"/>
    </row>
    <row r="139" spans="1:16" ht="14.25" customHeight="1" x14ac:dyDescent="0.3">
      <c r="B139" s="68">
        <v>10</v>
      </c>
      <c r="C139" s="69"/>
      <c r="D139" s="70"/>
      <c r="E139" s="55"/>
      <c r="F139" s="55"/>
      <c r="G139" s="55"/>
      <c r="H139" s="39"/>
      <c r="I139" s="39"/>
      <c r="J139" s="39"/>
      <c r="K139" s="39"/>
      <c r="L139" s="39"/>
      <c r="M139" s="39"/>
      <c r="N139" s="39"/>
      <c r="O139" s="39"/>
      <c r="P139" s="39"/>
    </row>
    <row r="140" spans="1:16" ht="14.25" customHeight="1" x14ac:dyDescent="0.3">
      <c r="A140" s="44"/>
      <c r="B140" s="39"/>
      <c r="C140" s="44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</row>
    <row r="141" spans="1:16" ht="14.25" customHeight="1" x14ac:dyDescent="0.3">
      <c r="A141" s="44"/>
      <c r="B141" s="39"/>
      <c r="C141" s="44"/>
      <c r="D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</row>
    <row r="142" spans="1:16" ht="15.75" customHeight="1" x14ac:dyDescent="0.25"/>
    <row r="143" spans="1:16" ht="15.75" customHeight="1" x14ac:dyDescent="0.25"/>
    <row r="144" spans="1:16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  <row r="1018" ht="15.75" customHeight="1" x14ac:dyDescent="0.25"/>
    <row r="1019" ht="15.75" customHeight="1" x14ac:dyDescent="0.25"/>
    <row r="1020" ht="15.75" customHeight="1" x14ac:dyDescent="0.25"/>
    <row r="1021" ht="15.75" customHeight="1" x14ac:dyDescent="0.25"/>
    <row r="1022" ht="15.75" customHeight="1" x14ac:dyDescent="0.25"/>
    <row r="1023" ht="15.75" customHeight="1" x14ac:dyDescent="0.25"/>
    <row r="1024" ht="15.75" customHeight="1" x14ac:dyDescent="0.25"/>
    <row r="1025" ht="15.75" customHeight="1" x14ac:dyDescent="0.25"/>
    <row r="1026" ht="15.75" customHeight="1" x14ac:dyDescent="0.25"/>
    <row r="1027" ht="15.75" customHeight="1" x14ac:dyDescent="0.25"/>
    <row r="1028" ht="15.75" customHeight="1" x14ac:dyDescent="0.25"/>
    <row r="1029" ht="15.75" customHeight="1" x14ac:dyDescent="0.25"/>
    <row r="1030" ht="15.75" customHeight="1" x14ac:dyDescent="0.25"/>
    <row r="1031" ht="15.75" customHeight="1" x14ac:dyDescent="0.25"/>
    <row r="1032" ht="15.75" customHeight="1" x14ac:dyDescent="0.25"/>
    <row r="1033" ht="15.75" customHeight="1" x14ac:dyDescent="0.25"/>
    <row r="1034" ht="15.75" customHeight="1" x14ac:dyDescent="0.25"/>
    <row r="1035" ht="15.75" customHeight="1" x14ac:dyDescent="0.25"/>
    <row r="1036" ht="15.75" customHeight="1" x14ac:dyDescent="0.25"/>
    <row r="1037" ht="15.75" customHeight="1" x14ac:dyDescent="0.25"/>
    <row r="1038" ht="15.75" customHeight="1" x14ac:dyDescent="0.25"/>
    <row r="1039" ht="15.75" customHeight="1" x14ac:dyDescent="0.25"/>
    <row r="1040" ht="15.75" customHeight="1" x14ac:dyDescent="0.25"/>
    <row r="1041" ht="15.75" customHeight="1" x14ac:dyDescent="0.25"/>
    <row r="1042" ht="15.75" customHeight="1" x14ac:dyDescent="0.25"/>
    <row r="1043" ht="15.75" customHeight="1" x14ac:dyDescent="0.25"/>
    <row r="1044" ht="15.75" customHeight="1" x14ac:dyDescent="0.25"/>
    <row r="1045" ht="15.75" customHeight="1" x14ac:dyDescent="0.25"/>
    <row r="1046" ht="15.75" customHeight="1" x14ac:dyDescent="0.25"/>
    <row r="1047" ht="15.75" customHeight="1" x14ac:dyDescent="0.25"/>
    <row r="1048" ht="15.75" customHeight="1" x14ac:dyDescent="0.25"/>
    <row r="1049" ht="15.75" customHeight="1" x14ac:dyDescent="0.25"/>
    <row r="1050" ht="15.75" customHeight="1" x14ac:dyDescent="0.25"/>
    <row r="1051" ht="15.75" customHeight="1" x14ac:dyDescent="0.25"/>
    <row r="1052" ht="15.75" customHeight="1" x14ac:dyDescent="0.25"/>
    <row r="1053" ht="15.75" customHeight="1" x14ac:dyDescent="0.25"/>
    <row r="1054" ht="15.75" customHeight="1" x14ac:dyDescent="0.25"/>
    <row r="1055" ht="15.75" customHeight="1" x14ac:dyDescent="0.25"/>
    <row r="1056" ht="15.75" customHeight="1" x14ac:dyDescent="0.25"/>
    <row r="1057" ht="15.75" customHeight="1" x14ac:dyDescent="0.25"/>
    <row r="1058" ht="15.75" customHeight="1" x14ac:dyDescent="0.25"/>
    <row r="1059" ht="15.75" customHeight="1" x14ac:dyDescent="0.25"/>
    <row r="1060" ht="15.75" customHeight="1" x14ac:dyDescent="0.25"/>
    <row r="1061" ht="15.75" customHeight="1" x14ac:dyDescent="0.25"/>
    <row r="1062" ht="15.75" customHeight="1" x14ac:dyDescent="0.25"/>
    <row r="1063" ht="15.75" customHeight="1" x14ac:dyDescent="0.25"/>
  </sheetData>
  <sheetProtection algorithmName="SHA-512" hashValue="r3kyyOgLFm0KXcOH9i0Z/Y8azC/oNFaQAGtx5dn6d3tEqyqsfIgYUvKlYM2XKs3+12/IJUFqjY8uEFtGfwHusg==" saltValue="uG1Al2lQZKrrxngplFR5Hg==" spinCount="100000" sheet="1" objects="1" scenarios="1" formatColumns="0" formatRows="0" sort="0" autoFilter="0"/>
  <mergeCells count="9">
    <mergeCell ref="B7:G7"/>
    <mergeCell ref="B118:G118"/>
    <mergeCell ref="B129:G12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139" xr:uid="{00000000-0002-0000-0200-000000000000}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118</xdr:row>
                    <xdr:rowOff>28575</xdr:rowOff>
                  </from>
                  <to>
                    <xdr:col>1</xdr:col>
                    <xdr:colOff>762000</xdr:colOff>
                    <xdr:row>118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118</xdr:row>
                    <xdr:rowOff>28575</xdr:rowOff>
                  </from>
                  <to>
                    <xdr:col>1</xdr:col>
                    <xdr:colOff>1533525</xdr:colOff>
                    <xdr:row>118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129</xdr:row>
                    <xdr:rowOff>28575</xdr:rowOff>
                  </from>
                  <to>
                    <xdr:col>1</xdr:col>
                    <xdr:colOff>771525</xdr:colOff>
                    <xdr:row>129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129</xdr:row>
                    <xdr:rowOff>28575</xdr:rowOff>
                  </from>
                  <to>
                    <xdr:col>1</xdr:col>
                    <xdr:colOff>1543050</xdr:colOff>
                    <xdr:row>129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rgb="FF0070C0"/>
    <outlinePr summaryBelow="0" summaryRight="0"/>
  </sheetPr>
  <dimension ref="B1:Z1000"/>
  <sheetViews>
    <sheetView workbookViewId="0">
      <selection activeCell="D21" sqref="D21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33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87</v>
      </c>
      <c r="N12" s="90" t="s">
        <v>88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25</v>
      </c>
      <c r="E13" s="55"/>
      <c r="F13" s="55"/>
      <c r="G13" s="55">
        <v>40</v>
      </c>
      <c r="H13" s="55"/>
      <c r="I13" s="55"/>
      <c r="J13" s="55"/>
      <c r="K13" s="55"/>
      <c r="L13" s="55"/>
      <c r="M13" s="55"/>
      <c r="N13" s="55"/>
      <c r="P13" s="88">
        <f>SUM(D13:N13)</f>
        <v>65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>
        <v>50</v>
      </c>
      <c r="F14" s="55"/>
      <c r="G14" s="55">
        <v>50</v>
      </c>
      <c r="H14" s="55"/>
      <c r="I14" s="55"/>
      <c r="J14" s="55"/>
      <c r="K14" s="55">
        <v>300</v>
      </c>
      <c r="L14" s="55"/>
      <c r="M14" s="55"/>
      <c r="N14" s="55"/>
      <c r="P14" s="88">
        <f t="shared" ref="P14:P22" si="0">SUM(D14:N14)</f>
        <v>400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25</v>
      </c>
      <c r="E30" s="88">
        <f t="shared" si="1"/>
        <v>50</v>
      </c>
      <c r="F30" s="88">
        <f t="shared" si="1"/>
        <v>0</v>
      </c>
      <c r="G30" s="88">
        <f t="shared" si="1"/>
        <v>90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300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data_general'!$C$36</f>
        <v>Level I</v>
      </c>
      <c r="G1" s="112" t="str">
        <f>'1.1 Case data_general'!$C$37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2018-05-11T08:46:15Z</dcterms:created>
  <dcterms:modified xsi:type="dcterms:W3CDTF">2018-06-05T07:48:19Z</dcterms:modified>
</cp:coreProperties>
</file>