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20205" windowHeight="7530" activeTab="1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  <definedName name="_xlnm.Print_Titles" localSheetId="0">'3.1Med_Equipment_Lab'!$13:$13</definedName>
    <definedName name="_xlnm.Print_Titles" localSheetId="1">'3.2Outputs_Lab'!$17:$17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1" l="1"/>
  <c r="J36" i="1" l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D25" i="6" l="1"/>
  <c r="D26" i="6"/>
  <c r="D27" i="6"/>
  <c r="D28" i="6"/>
  <c r="D77" i="6"/>
  <c r="D78" i="6"/>
  <c r="D79" i="6"/>
  <c r="J22" i="1"/>
  <c r="J18" i="1"/>
  <c r="J19" i="1"/>
  <c r="J20" i="1"/>
  <c r="J21" i="1"/>
  <c r="J15" i="1"/>
  <c r="J16" i="1"/>
  <c r="J17" i="1"/>
  <c r="J14" i="1"/>
  <c r="D45" i="6"/>
  <c r="D46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4" i="6"/>
  <c r="D43" i="6"/>
  <c r="D42" i="6"/>
  <c r="D41" i="6"/>
  <c r="D40" i="6"/>
  <c r="D39" i="6"/>
  <c r="D38" i="6"/>
  <c r="D37" i="6"/>
  <c r="D36" i="6"/>
  <c r="D34" i="6"/>
  <c r="D33" i="6"/>
  <c r="D32" i="6"/>
  <c r="D31" i="6"/>
  <c r="D30" i="6"/>
  <c r="D24" i="6"/>
  <c r="D23" i="6"/>
  <c r="D22" i="6"/>
  <c r="D20" i="6"/>
  <c r="D19" i="6"/>
</calcChain>
</file>

<file path=xl/sharedStrings.xml><?xml version="1.0" encoding="utf-8"?>
<sst xmlns="http://schemas.openxmlformats.org/spreadsheetml/2006/main" count="344" uniqueCount="257">
  <si>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</si>
  <si>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</si>
  <si>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</si>
  <si>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</si>
  <si>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</si>
  <si>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</si>
  <si>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</si>
  <si>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</si>
  <si>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</si>
  <si>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</si>
  <si>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</si>
  <si>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</si>
  <si>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</si>
  <si>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</si>
  <si>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</si>
  <si>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</si>
  <si>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</si>
  <si>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</si>
  <si>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</si>
  <si>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</si>
  <si>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</si>
  <si>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</si>
  <si>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</si>
  <si>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</si>
  <si>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</si>
  <si>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</si>
  <si>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</si>
  <si>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</si>
  <si>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</si>
  <si>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</si>
  <si>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</si>
  <si>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</si>
  <si>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</si>
  <si>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</si>
  <si>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</si>
  <si>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</si>
  <si>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</si>
  <si>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</si>
  <si>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</si>
  <si>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</si>
  <si>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</si>
  <si>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</si>
  <si>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</si>
  <si>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</si>
  <si>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</si>
  <si>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</si>
  <si>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</si>
  <si>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</si>
  <si>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</si>
  <si>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</si>
  <si>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</si>
  <si>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</si>
  <si>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</si>
  <si>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</si>
  <si>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</si>
  <si>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</si>
  <si>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</si>
  <si>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</si>
  <si>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</si>
  <si>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</si>
  <si>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</si>
  <si>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</si>
  <si>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</si>
  <si>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</si>
  <si>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</si>
  <si>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</si>
  <si>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</si>
  <si>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</si>
  <si>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</si>
  <si>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</si>
  <si>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</si>
  <si>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</si>
  <si>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</si>
  <si>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</si>
  <si>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</si>
  <si>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</si>
  <si>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</si>
  <si>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</si>
  <si>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</si>
  <si>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</si>
  <si>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</si>
  <si>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</si>
  <si>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</si>
  <si>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</si>
  <si>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</si>
  <si>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</si>
  <si>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</si>
  <si>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</si>
  <si>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</si>
  <si>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</si>
  <si>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</si>
  <si>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</si>
  <si>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</si>
  <si>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</si>
  <si>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</si>
  <si>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</si>
  <si>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</si>
  <si>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</si>
  <si>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</si>
  <si>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</si>
  <si>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</si>
  <si>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</si>
  <si>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</si>
  <si>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</si>
  <si>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</si>
  <si>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</si>
  <si>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</si>
  <si>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</si>
  <si>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BIOPSY</t>
  </si>
  <si>
    <t>CELL BLOCK/CYTOLOGY</t>
  </si>
  <si>
    <t>PAP'S SMEAR</t>
  </si>
  <si>
    <t>SLIDE REVIEW</t>
  </si>
  <si>
    <t>URINALYSIS</t>
  </si>
  <si>
    <t>FECALYSIS</t>
  </si>
  <si>
    <t>PREGNANCY TEST</t>
  </si>
  <si>
    <t>OCCULT BLOOD</t>
  </si>
  <si>
    <t>BODY FLUID ANALYSIS</t>
  </si>
  <si>
    <t>URINE KETONE</t>
  </si>
  <si>
    <t>URINE GLUCOSE</t>
  </si>
  <si>
    <t>URINE ALBUMIN</t>
  </si>
  <si>
    <t>URINE KOH</t>
  </si>
  <si>
    <t>BLOOD CULTURE AND SENSITIVITY</t>
  </si>
  <si>
    <t>CSF CULTURE AND SENSITIVITY</t>
  </si>
  <si>
    <t>STOOL CULTURE AND SENSITIVITY</t>
  </si>
  <si>
    <t>THROAT SWAB CULTURE AND SENSITIVITY</t>
  </si>
  <si>
    <t>UROGENITAL CULTURE AND SENSITIVITY</t>
  </si>
  <si>
    <t>EAR/EYE CULTURE AND SENSITIVITY</t>
  </si>
  <si>
    <t>RESPIRATORY CULTURE AND SENSITIVITY</t>
  </si>
  <si>
    <t>WOUND CULTURE AND SENSITIVITY</t>
  </si>
  <si>
    <t>BODY FLUID CULTURE AND SENSITIVITY</t>
  </si>
  <si>
    <t>GRAM STAIN</t>
  </si>
  <si>
    <t>AFB</t>
  </si>
  <si>
    <t>GENE EXPERT</t>
  </si>
  <si>
    <t>URINE CULTURE AND SENSITIVITY</t>
  </si>
  <si>
    <t>MAY 28 - JUNE 1, 2018</t>
  </si>
  <si>
    <t>HBsAg (RAPID)</t>
  </si>
  <si>
    <t>HBsAg (EIA)</t>
  </si>
  <si>
    <t>SYPHILIS (RAPID)</t>
  </si>
  <si>
    <t>ANTI-HCV (RAPID)</t>
  </si>
  <si>
    <t>HIV (RAPID)</t>
  </si>
  <si>
    <t>SALMONELLA IgG/IgM</t>
  </si>
  <si>
    <t>LEPTOSPIROSIS</t>
  </si>
  <si>
    <t>DENGUE NS1</t>
  </si>
  <si>
    <t>DENGUE IgG/IgM</t>
  </si>
  <si>
    <t>ANA</t>
  </si>
  <si>
    <t>C3</t>
  </si>
  <si>
    <t>C REACTIVE PROTEIN</t>
  </si>
  <si>
    <t>ANTI STREPTOLYSIN O</t>
  </si>
  <si>
    <t>RHEUMATOID FACTOR</t>
  </si>
  <si>
    <t>THYROID STIMULATING HORMONE</t>
  </si>
  <si>
    <t>FT4</t>
  </si>
  <si>
    <t>FT3</t>
  </si>
  <si>
    <t>T3</t>
  </si>
  <si>
    <t>T4</t>
  </si>
  <si>
    <t>ANTI-HBs</t>
  </si>
  <si>
    <t>ANTI-Hbe</t>
  </si>
  <si>
    <t>HBeAg</t>
  </si>
  <si>
    <t>HAV IgM</t>
  </si>
  <si>
    <t>CEA</t>
  </si>
  <si>
    <t>PSA</t>
  </si>
  <si>
    <t>B HCG</t>
  </si>
  <si>
    <t>AFP</t>
  </si>
  <si>
    <t>CA 125</t>
  </si>
  <si>
    <t>CA 19-9</t>
  </si>
  <si>
    <t>CD4</t>
  </si>
  <si>
    <t>BLOOD TYPING</t>
  </si>
  <si>
    <t>CROSS MATCHING</t>
  </si>
  <si>
    <t>URINE BILE</t>
  </si>
  <si>
    <t>SPERMATOZOA</t>
  </si>
  <si>
    <t>FROZEN SECTION</t>
  </si>
  <si>
    <t>DRY OVEN</t>
  </si>
  <si>
    <t>MEMERT</t>
  </si>
  <si>
    <t>INCUBATOR</t>
  </si>
  <si>
    <t>SHEL-LAB</t>
  </si>
  <si>
    <t>MECANICAL STIRRER</t>
  </si>
  <si>
    <t>WEIGHING SCALE</t>
  </si>
  <si>
    <t>DIGITAL</t>
  </si>
  <si>
    <t>CO2 INCUBATOR</t>
  </si>
  <si>
    <t>NB-203 XL</t>
  </si>
  <si>
    <t>BIOSAFETY CABINET CLASS II A</t>
  </si>
  <si>
    <t>NB-602 WS</t>
  </si>
  <si>
    <t>MICROSCOPE</t>
  </si>
  <si>
    <t>LEICA DM 500</t>
  </si>
  <si>
    <t>AUTOCLAVE</t>
  </si>
  <si>
    <t>HBsAg (CLIA)</t>
  </si>
  <si>
    <t>ANTI-HBc</t>
  </si>
  <si>
    <t>CBC PC</t>
  </si>
  <si>
    <t>PROTIME</t>
  </si>
  <si>
    <t>APTT</t>
  </si>
  <si>
    <t>RETIC COUNT</t>
  </si>
  <si>
    <t>PBS</t>
  </si>
  <si>
    <t>ESR</t>
  </si>
  <si>
    <t>CT BT</t>
  </si>
  <si>
    <t>BIOBASE INCUBATOR</t>
  </si>
  <si>
    <t>LABORATORY EQUIPMENT</t>
  </si>
  <si>
    <t>BLOOD BAG WELDER</t>
  </si>
  <si>
    <t>COMPODOCT/GERMANY</t>
  </si>
  <si>
    <t>AUTOMATED BLOOD MIXER</t>
  </si>
  <si>
    <t>BLOOD BANK REFRIGERATOR</t>
  </si>
  <si>
    <t>TUBE SEALER</t>
  </si>
  <si>
    <t>FRESENIUS KABI</t>
  </si>
  <si>
    <t>PANASONIC</t>
  </si>
  <si>
    <t>HUMAN LABWE</t>
  </si>
  <si>
    <t>PLATELET INCUBATOR WITH AGITATOR</t>
  </si>
  <si>
    <t>PRESVAC</t>
  </si>
  <si>
    <t>PLASMA FREEZER</t>
  </si>
  <si>
    <t>HAIER</t>
  </si>
  <si>
    <t>REFRIGERATED CENTRIFUGE</t>
  </si>
  <si>
    <t>ROTOSILENTIA 630</t>
  </si>
  <si>
    <t>SANYO</t>
  </si>
  <si>
    <t>DRY WATERBATH</t>
  </si>
  <si>
    <t>CHONGSHA</t>
  </si>
  <si>
    <t>PLASMA THAWER</t>
  </si>
  <si>
    <t>FLOATATION BATH</t>
  </si>
  <si>
    <t>LEICA HI 1210</t>
  </si>
  <si>
    <t>MICROTOME</t>
  </si>
  <si>
    <t>LEICA RM</t>
  </si>
  <si>
    <t>EMBEDDING MACHINE</t>
  </si>
  <si>
    <t>MYR EC 350 1</t>
  </si>
  <si>
    <t>COLD PLATE</t>
  </si>
  <si>
    <t>MYR EC 350 2</t>
  </si>
  <si>
    <t>TISSUE PROCESSOR</t>
  </si>
  <si>
    <t>E2258</t>
  </si>
  <si>
    <t>LEICA TP 1020</t>
  </si>
  <si>
    <t>OLYMPUS</t>
  </si>
  <si>
    <t>JBL-ENG-ACU-37</t>
  </si>
  <si>
    <t>JBL-ENG-ACU-38</t>
  </si>
  <si>
    <t>JBL-ENG-ACU-39</t>
  </si>
  <si>
    <t>SPLIT TYPE AIRCON FM 3 TON</t>
  </si>
  <si>
    <t>WINDOW TYPE AIRCON 1.0Hp</t>
  </si>
  <si>
    <t>JBL-ENG-ACU-40</t>
  </si>
  <si>
    <t>JBL-ENG-ACU-41</t>
  </si>
  <si>
    <t>JBL-ENG-ACU-42</t>
  </si>
  <si>
    <t>SPLIT TYPE AIRCON WM 2.0Hp</t>
  </si>
  <si>
    <t>SPLIT TYPE AIRCON WM 1.5Hp</t>
  </si>
  <si>
    <t>WINDOW TYPE AIRCON 2.0Hp</t>
  </si>
  <si>
    <t>JBL-ENG-ACU-45</t>
  </si>
  <si>
    <t>JBL-ENG-ACU-46</t>
  </si>
  <si>
    <t>JBL-ENG-ACU-47</t>
  </si>
  <si>
    <t>JBL-ENG-ACU-48</t>
  </si>
  <si>
    <t>JBL-ENG-ACU-49</t>
  </si>
  <si>
    <t>JBL-IHO-PC0084</t>
  </si>
  <si>
    <t>JBL-IHO-PC0085</t>
  </si>
  <si>
    <t>JBL-IHO-PC0160</t>
  </si>
  <si>
    <t>JBL-IHO-PC0170</t>
  </si>
  <si>
    <t>JBL-IHO-PC0171</t>
  </si>
  <si>
    <t>JBL-IHO-PC0184</t>
  </si>
  <si>
    <t>COMPUTER</t>
  </si>
  <si>
    <t>AOC</t>
  </si>
  <si>
    <t>ACER</t>
  </si>
  <si>
    <t>HP</t>
  </si>
  <si>
    <t>PC0881UZ</t>
  </si>
  <si>
    <t>9C0APLW8</t>
  </si>
  <si>
    <t>9C0APLVX</t>
  </si>
  <si>
    <t>9C0APLUZ</t>
  </si>
  <si>
    <t>PC0APLUZ</t>
  </si>
  <si>
    <t>MEDIX-COMPUTER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</si>
</sst>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[$-409]mmmm\ d\,\ yy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165" fontId="13" fillId="3" borderId="0" xfId="0" applyNumberFormat="1" applyFont="1" applyFill="1" applyBorder="1" applyAlignment="1" applyProtection="1">
      <alignment horizontal="center" vertical="center"/>
      <protection locked="0"/>
    </xf>
    <xf numFmtId="164" fontId="13" fillId="0" borderId="1" xfId="0" applyNumberFormat="1" applyFont="1" applyBorder="1" applyProtection="1"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647700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2</xdr:col>
          <xdr:colOff>123825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9525</xdr:rowOff>
        </xdr:from>
        <xdr:to>
          <xdr:col>1</xdr:col>
          <xdr:colOff>752475</xdr:colOff>
          <xdr:row>20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9525</xdr:rowOff>
        </xdr:from>
        <xdr:to>
          <xdr:col>1</xdr:col>
          <xdr:colOff>1524000</xdr:colOff>
          <xdr:row>20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9525</xdr:rowOff>
        </xdr:from>
        <xdr:to>
          <xdr:col>1</xdr:col>
          <xdr:colOff>752475</xdr:colOff>
          <xdr:row>28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28</xdr:row>
          <xdr:rowOff>9525</xdr:rowOff>
        </xdr:from>
        <xdr:to>
          <xdr:col>1</xdr:col>
          <xdr:colOff>1524000</xdr:colOff>
          <xdr:row>28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34</xdr:row>
          <xdr:rowOff>9525</xdr:rowOff>
        </xdr:from>
        <xdr:to>
          <xdr:col>1</xdr:col>
          <xdr:colOff>752475</xdr:colOff>
          <xdr:row>34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34</xdr:row>
          <xdr:rowOff>9525</xdr:rowOff>
        </xdr:from>
        <xdr:to>
          <xdr:col>1</xdr:col>
          <xdr:colOff>1524000</xdr:colOff>
          <xdr:row>34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46</xdr:row>
          <xdr:rowOff>9525</xdr:rowOff>
        </xdr:from>
        <xdr:to>
          <xdr:col>1</xdr:col>
          <xdr:colOff>752475</xdr:colOff>
          <xdr:row>46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46</xdr:row>
          <xdr:rowOff>9525</xdr:rowOff>
        </xdr:from>
        <xdr:to>
          <xdr:col>1</xdr:col>
          <xdr:colOff>1524000</xdr:colOff>
          <xdr:row>46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79</xdr:row>
          <xdr:rowOff>9525</xdr:rowOff>
        </xdr:from>
        <xdr:to>
          <xdr:col>1</xdr:col>
          <xdr:colOff>752475</xdr:colOff>
          <xdr:row>79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79</xdr:row>
          <xdr:rowOff>9525</xdr:rowOff>
        </xdr:from>
        <xdr:to>
          <xdr:col>1</xdr:col>
          <xdr:colOff>1524000</xdr:colOff>
          <xdr:row>79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zoomScale="90" zoomScaleNormal="90" workbookViewId="0">
      <pane ySplit="13" topLeftCell="A14" activePane="bottomLeft" state="frozen"/>
      <selection pane="bottomLeft" activeCell="H26" sqref="H26"/>
    </sheetView>
  </sheetViews>
  <sheetFormatPr defaultColWidth="8.7109375" defaultRowHeight="16.5" outlineLevelRow="1" x14ac:dyDescent="0.3"/>
  <cols>
    <col min="1" max="1" width="4.5703125" style="2" customWidth="1"/>
    <col min="2" max="2" width="21.7109375" style="2" customWidth="1"/>
    <col min="3" max="3" width="12.42578125" style="2" customWidth="1"/>
    <col min="4" max="4" width="24.7109375" style="2" customWidth="1"/>
    <col min="5" max="5" width="34.5703125" style="2" customWidth="1"/>
    <col min="6" max="6" width="22.7109375" style="3" bestFit="1" customWidth="1"/>
    <col min="7" max="7" width="11.7109375" style="2" customWidth="1"/>
    <col min="8" max="8" width="13.7109375" style="2" customWidth="1"/>
    <col min="9" max="9" width="9.140625" style="2" customWidth="1"/>
    <col min="10" max="10" width="17.42578125" style="2" customWidth="1"/>
    <col min="11" max="11" width="15.285156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6" t="s">
        <v>31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106</v>
      </c>
      <c r="C4" s="2">
        <v>150</v>
      </c>
    </row>
    <row r="5" spans="2:13" collapsed="1" x14ac:dyDescent="0.3">
      <c r="B5" s="14" t="s">
        <v>18</v>
      </c>
      <c r="C5" s="33"/>
      <c r="D5" s="34"/>
    </row>
    <row r="6" spans="2:13" x14ac:dyDescent="0.3">
      <c r="B6" s="20" t="s">
        <v>19</v>
      </c>
      <c r="C6" s="18"/>
      <c r="D6" s="19"/>
    </row>
    <row r="7" spans="2:13" x14ac:dyDescent="0.3">
      <c r="B7" s="17" t="s">
        <v>20</v>
      </c>
      <c r="C7" s="18"/>
      <c r="D7" s="55">
        <v>2017</v>
      </c>
    </row>
    <row r="8" spans="2:13" x14ac:dyDescent="0.3">
      <c r="B8" s="20" t="s">
        <v>22</v>
      </c>
      <c r="C8" s="18"/>
      <c r="D8" s="19"/>
    </row>
    <row r="9" spans="2:13" x14ac:dyDescent="0.3">
      <c r="B9" s="23" t="s">
        <v>21</v>
      </c>
      <c r="C9" s="35"/>
      <c r="D9" s="36"/>
    </row>
    <row r="11" spans="2:13" s="28" customFormat="1" x14ac:dyDescent="0.2">
      <c r="B11" s="31" t="s">
        <v>105</v>
      </c>
      <c r="C11" s="31"/>
    </row>
    <row r="12" spans="2:13" s="28" customFormat="1" x14ac:dyDescent="0.3">
      <c r="B12" s="29"/>
      <c r="C12" s="29"/>
      <c r="D12" s="30"/>
    </row>
    <row r="13" spans="2:13" s="4" customFormat="1" ht="38.25" x14ac:dyDescent="0.3">
      <c r="B13" s="37" t="s">
        <v>98</v>
      </c>
      <c r="C13" s="37" t="s">
        <v>23</v>
      </c>
      <c r="D13" s="37" t="s">
        <v>24</v>
      </c>
      <c r="E13" s="37" t="s">
        <v>25</v>
      </c>
      <c r="F13" s="37" t="s">
        <v>7</v>
      </c>
      <c r="G13" s="38" t="s">
        <v>30</v>
      </c>
      <c r="H13" s="37" t="s">
        <v>70</v>
      </c>
      <c r="I13" s="37" t="s">
        <v>107</v>
      </c>
      <c r="J13" s="37" t="s">
        <v>8</v>
      </c>
      <c r="K13" s="37" t="s">
        <v>0</v>
      </c>
      <c r="L13" s="37" t="s">
        <v>33</v>
      </c>
      <c r="M13" s="37" t="s">
        <v>26</v>
      </c>
    </row>
    <row r="14" spans="2:13" x14ac:dyDescent="0.3">
      <c r="B14" s="5">
        <v>1</v>
      </c>
      <c r="C14" s="40"/>
      <c r="D14" s="40" t="s">
        <v>194</v>
      </c>
      <c r="E14" s="40" t="s">
        <v>170</v>
      </c>
      <c r="F14" s="41" t="s">
        <v>171</v>
      </c>
      <c r="G14" s="42"/>
      <c r="H14" s="39">
        <v>43944</v>
      </c>
      <c r="I14" s="39">
        <v>1</v>
      </c>
      <c r="J14" s="39">
        <f>H14*I14</f>
        <v>43944</v>
      </c>
      <c r="K14" s="39">
        <v>4174.68</v>
      </c>
      <c r="L14" s="39">
        <v>10</v>
      </c>
      <c r="M14" s="40"/>
    </row>
    <row r="15" spans="2:13" x14ac:dyDescent="0.3">
      <c r="B15" s="5">
        <v>2</v>
      </c>
      <c r="C15" s="40"/>
      <c r="D15" s="40"/>
      <c r="E15" s="40" t="s">
        <v>172</v>
      </c>
      <c r="F15" s="40" t="s">
        <v>173</v>
      </c>
      <c r="G15" s="42"/>
      <c r="H15" s="39">
        <v>77764</v>
      </c>
      <c r="I15" s="39">
        <v>1</v>
      </c>
      <c r="J15" s="39">
        <f t="shared" ref="J15:J36" si="0">H15*I15</f>
        <v>77764</v>
      </c>
      <c r="K15" s="39">
        <v>27325.8</v>
      </c>
      <c r="L15" s="39">
        <v>10</v>
      </c>
      <c r="M15" s="40"/>
    </row>
    <row r="16" spans="2:13" x14ac:dyDescent="0.3">
      <c r="B16" s="5">
        <v>3</v>
      </c>
      <c r="C16" s="40"/>
      <c r="D16" s="40"/>
      <c r="E16" s="40" t="s">
        <v>174</v>
      </c>
      <c r="F16" s="40"/>
      <c r="G16" s="42"/>
      <c r="H16" s="39">
        <v>1200</v>
      </c>
      <c r="I16" s="39">
        <v>1</v>
      </c>
      <c r="J16" s="39">
        <f t="shared" si="0"/>
        <v>1200</v>
      </c>
      <c r="K16" s="39">
        <f>J16/L16</f>
        <v>120</v>
      </c>
      <c r="L16" s="39">
        <v>10</v>
      </c>
      <c r="M16" s="43"/>
    </row>
    <row r="17" spans="2:13" x14ac:dyDescent="0.3">
      <c r="B17" s="5">
        <v>4</v>
      </c>
      <c r="C17" s="40"/>
      <c r="D17" s="40"/>
      <c r="E17" s="40" t="s">
        <v>175</v>
      </c>
      <c r="F17" s="40" t="s">
        <v>176</v>
      </c>
      <c r="G17" s="42"/>
      <c r="H17" s="39">
        <v>70000</v>
      </c>
      <c r="I17" s="39">
        <v>1</v>
      </c>
      <c r="J17" s="39">
        <f t="shared" si="0"/>
        <v>70000</v>
      </c>
      <c r="K17" s="39">
        <v>16340</v>
      </c>
      <c r="L17" s="39">
        <v>10</v>
      </c>
      <c r="M17" s="40"/>
    </row>
    <row r="18" spans="2:13" x14ac:dyDescent="0.3">
      <c r="B18" s="5">
        <v>5</v>
      </c>
      <c r="C18" s="40"/>
      <c r="D18" s="40"/>
      <c r="E18" s="40" t="s">
        <v>177</v>
      </c>
      <c r="F18" s="40" t="s">
        <v>178</v>
      </c>
      <c r="G18" s="42">
        <v>42725</v>
      </c>
      <c r="H18" s="39">
        <v>459000</v>
      </c>
      <c r="I18" s="39">
        <v>1</v>
      </c>
      <c r="J18" s="39">
        <f t="shared" si="0"/>
        <v>459000</v>
      </c>
      <c r="K18" s="39">
        <v>43605</v>
      </c>
      <c r="L18" s="39">
        <v>10</v>
      </c>
      <c r="M18" s="40"/>
    </row>
    <row r="19" spans="2:13" x14ac:dyDescent="0.3">
      <c r="B19" s="5">
        <v>6</v>
      </c>
      <c r="C19" s="40"/>
      <c r="D19" s="40"/>
      <c r="E19" s="40" t="s">
        <v>179</v>
      </c>
      <c r="F19" s="40" t="s">
        <v>180</v>
      </c>
      <c r="G19" s="42">
        <v>42726</v>
      </c>
      <c r="H19" s="39">
        <v>422100</v>
      </c>
      <c r="I19" s="39">
        <v>1</v>
      </c>
      <c r="J19" s="39">
        <f t="shared" si="0"/>
        <v>422100</v>
      </c>
      <c r="K19" s="39">
        <v>40099.5</v>
      </c>
      <c r="L19" s="39">
        <v>10</v>
      </c>
      <c r="M19" s="43"/>
    </row>
    <row r="20" spans="2:13" x14ac:dyDescent="0.3">
      <c r="B20" s="5">
        <v>7</v>
      </c>
      <c r="C20" s="40"/>
      <c r="D20" s="40"/>
      <c r="E20" s="40" t="s">
        <v>181</v>
      </c>
      <c r="F20" s="40" t="s">
        <v>182</v>
      </c>
      <c r="G20" s="42">
        <v>42739</v>
      </c>
      <c r="H20" s="39">
        <v>130000</v>
      </c>
      <c r="I20" s="39">
        <v>1</v>
      </c>
      <c r="J20" s="39">
        <f t="shared" si="0"/>
        <v>130000</v>
      </c>
      <c r="K20" s="39">
        <v>12350</v>
      </c>
      <c r="L20" s="39">
        <v>10</v>
      </c>
      <c r="M20" s="40"/>
    </row>
    <row r="21" spans="2:13" x14ac:dyDescent="0.3">
      <c r="B21" s="5">
        <v>8</v>
      </c>
      <c r="C21" s="40"/>
      <c r="D21" s="40"/>
      <c r="E21" s="40" t="s">
        <v>183</v>
      </c>
      <c r="F21" s="40"/>
      <c r="G21" s="42">
        <v>42502</v>
      </c>
      <c r="H21" s="39">
        <v>380000</v>
      </c>
      <c r="I21" s="39">
        <v>1</v>
      </c>
      <c r="J21" s="39">
        <f t="shared" si="0"/>
        <v>380000</v>
      </c>
      <c r="K21" s="39">
        <v>13918.45</v>
      </c>
      <c r="L21" s="39">
        <v>10</v>
      </c>
      <c r="M21" s="40"/>
    </row>
    <row r="22" spans="2:13" x14ac:dyDescent="0.3">
      <c r="B22" s="5">
        <v>9</v>
      </c>
      <c r="C22" s="40"/>
      <c r="D22" s="40"/>
      <c r="E22" s="40" t="s">
        <v>183</v>
      </c>
      <c r="F22" s="40"/>
      <c r="G22" s="42">
        <v>2017</v>
      </c>
      <c r="H22" s="39">
        <v>380000</v>
      </c>
      <c r="I22" s="39">
        <v>1</v>
      </c>
      <c r="J22" s="39">
        <f t="shared" si="0"/>
        <v>380000</v>
      </c>
      <c r="K22" s="39">
        <v>13918.45</v>
      </c>
      <c r="L22" s="39">
        <v>10</v>
      </c>
      <c r="M22" s="43"/>
    </row>
    <row r="23" spans="2:13" x14ac:dyDescent="0.3">
      <c r="B23" s="5">
        <v>10</v>
      </c>
      <c r="C23" s="40"/>
      <c r="D23" s="40"/>
      <c r="E23" s="40" t="s">
        <v>193</v>
      </c>
      <c r="F23" s="40"/>
      <c r="G23" s="42">
        <v>42739</v>
      </c>
      <c r="H23" s="39"/>
      <c r="I23" s="39"/>
      <c r="J23" s="39">
        <f t="shared" si="0"/>
        <v>0</v>
      </c>
      <c r="K23" s="39">
        <v>0</v>
      </c>
      <c r="L23" s="39">
        <v>10</v>
      </c>
      <c r="M23" s="40"/>
    </row>
    <row r="24" spans="2:13" x14ac:dyDescent="0.3">
      <c r="B24" s="5">
        <v>11</v>
      </c>
      <c r="C24" s="40"/>
      <c r="D24" s="40"/>
      <c r="E24" s="40" t="s">
        <v>195</v>
      </c>
      <c r="F24" s="40" t="s">
        <v>196</v>
      </c>
      <c r="G24" s="42">
        <v>43160</v>
      </c>
      <c r="H24" s="39">
        <v>998000</v>
      </c>
      <c r="I24" s="39">
        <v>1</v>
      </c>
      <c r="J24" s="39">
        <f t="shared" si="0"/>
        <v>998000</v>
      </c>
      <c r="K24" s="39">
        <v>94810</v>
      </c>
      <c r="L24" s="39">
        <v>10</v>
      </c>
      <c r="M24" s="40"/>
    </row>
    <row r="25" spans="2:13" x14ac:dyDescent="0.3">
      <c r="B25" s="5">
        <v>12</v>
      </c>
      <c r="C25" s="40"/>
      <c r="D25" s="40"/>
      <c r="E25" s="40" t="s">
        <v>197</v>
      </c>
      <c r="F25" s="40" t="s">
        <v>200</v>
      </c>
      <c r="G25" s="42">
        <v>43101</v>
      </c>
      <c r="H25" s="39">
        <v>172000</v>
      </c>
      <c r="I25" s="39">
        <v>3</v>
      </c>
      <c r="J25" s="39">
        <f t="shared" si="0"/>
        <v>516000</v>
      </c>
      <c r="K25" s="39">
        <v>16340</v>
      </c>
      <c r="L25" s="39">
        <v>10</v>
      </c>
      <c r="M25" s="43"/>
    </row>
    <row r="26" spans="2:13" x14ac:dyDescent="0.3">
      <c r="B26" s="5">
        <v>13</v>
      </c>
      <c r="C26" s="40"/>
      <c r="D26" s="40"/>
      <c r="E26" s="40" t="s">
        <v>198</v>
      </c>
      <c r="F26" s="40" t="s">
        <v>201</v>
      </c>
      <c r="G26" s="42">
        <v>43101</v>
      </c>
      <c r="H26" s="39">
        <v>1097000</v>
      </c>
      <c r="I26" s="39">
        <v>1</v>
      </c>
      <c r="J26" s="39">
        <f t="shared" si="0"/>
        <v>1097000</v>
      </c>
      <c r="K26" s="39">
        <v>10653.965</v>
      </c>
      <c r="L26" s="39">
        <v>10</v>
      </c>
      <c r="M26" s="40"/>
    </row>
    <row r="27" spans="2:13" x14ac:dyDescent="0.3">
      <c r="B27" s="5">
        <v>14</v>
      </c>
      <c r="C27" s="40"/>
      <c r="D27" s="40"/>
      <c r="E27" s="40" t="s">
        <v>199</v>
      </c>
      <c r="F27" s="40" t="s">
        <v>202</v>
      </c>
      <c r="G27" s="42">
        <v>43101</v>
      </c>
      <c r="H27" s="39">
        <v>98000</v>
      </c>
      <c r="I27" s="39">
        <v>1</v>
      </c>
      <c r="J27" s="39">
        <f t="shared" si="0"/>
        <v>98000</v>
      </c>
      <c r="K27" s="39">
        <v>10925</v>
      </c>
      <c r="L27" s="39">
        <v>10</v>
      </c>
      <c r="M27" s="40"/>
    </row>
    <row r="28" spans="2:13" x14ac:dyDescent="0.3">
      <c r="B28" s="5">
        <v>15</v>
      </c>
      <c r="C28" s="40"/>
      <c r="D28" s="40"/>
      <c r="E28" s="40" t="s">
        <v>203</v>
      </c>
      <c r="F28" s="40" t="s">
        <v>204</v>
      </c>
      <c r="G28" s="42">
        <v>42370</v>
      </c>
      <c r="H28" s="39">
        <v>818888</v>
      </c>
      <c r="I28" s="39">
        <v>1</v>
      </c>
      <c r="J28" s="39">
        <f t="shared" si="0"/>
        <v>818888</v>
      </c>
      <c r="K28" s="39">
        <v>77794.36</v>
      </c>
      <c r="L28" s="39">
        <v>10</v>
      </c>
      <c r="M28" s="43"/>
    </row>
    <row r="29" spans="2:13" x14ac:dyDescent="0.3">
      <c r="B29" s="5">
        <v>16</v>
      </c>
      <c r="C29" s="40"/>
      <c r="D29" s="40"/>
      <c r="E29" s="40" t="s">
        <v>205</v>
      </c>
      <c r="F29" s="40" t="s">
        <v>206</v>
      </c>
      <c r="G29" s="42">
        <v>40909</v>
      </c>
      <c r="H29" s="39">
        <v>680000</v>
      </c>
      <c r="I29" s="39">
        <v>1</v>
      </c>
      <c r="J29" s="39">
        <f t="shared" si="0"/>
        <v>680000</v>
      </c>
      <c r="K29" s="39">
        <v>64600</v>
      </c>
      <c r="L29" s="39">
        <v>10</v>
      </c>
      <c r="M29" s="40"/>
    </row>
    <row r="30" spans="2:13" x14ac:dyDescent="0.3">
      <c r="B30" s="5">
        <v>17</v>
      </c>
      <c r="C30" s="40"/>
      <c r="D30" s="40"/>
      <c r="E30" s="40" t="s">
        <v>198</v>
      </c>
      <c r="F30" s="40"/>
      <c r="G30" s="42">
        <v>41275</v>
      </c>
      <c r="H30" s="39">
        <v>221392.86</v>
      </c>
      <c r="I30" s="39">
        <v>1</v>
      </c>
      <c r="J30" s="39">
        <f t="shared" si="0"/>
        <v>221392.86</v>
      </c>
      <c r="K30" s="39">
        <v>10653.965</v>
      </c>
      <c r="L30" s="39">
        <v>10</v>
      </c>
      <c r="M30" s="40"/>
    </row>
    <row r="31" spans="2:13" x14ac:dyDescent="0.3">
      <c r="B31" s="5">
        <v>18</v>
      </c>
      <c r="C31" s="40"/>
      <c r="D31" s="40"/>
      <c r="E31" s="40" t="s">
        <v>207</v>
      </c>
      <c r="F31" s="40" t="s">
        <v>208</v>
      </c>
      <c r="G31" s="42">
        <v>41640</v>
      </c>
      <c r="H31" s="39">
        <v>2767851.15</v>
      </c>
      <c r="I31" s="39">
        <v>1</v>
      </c>
      <c r="J31" s="39">
        <f t="shared" si="0"/>
        <v>2767851.15</v>
      </c>
      <c r="K31" s="39">
        <v>262946.42924999999</v>
      </c>
      <c r="L31" s="39">
        <v>10</v>
      </c>
      <c r="M31" s="43"/>
    </row>
    <row r="32" spans="2:13" x14ac:dyDescent="0.3">
      <c r="B32" s="5">
        <v>19</v>
      </c>
      <c r="C32" s="40"/>
      <c r="D32" s="40"/>
      <c r="E32" s="40" t="s">
        <v>198</v>
      </c>
      <c r="F32" s="40" t="s">
        <v>209</v>
      </c>
      <c r="G32" s="42">
        <v>35796</v>
      </c>
      <c r="H32" s="39">
        <v>25000</v>
      </c>
      <c r="I32" s="39">
        <v>1</v>
      </c>
      <c r="J32" s="39">
        <f t="shared" si="0"/>
        <v>25000</v>
      </c>
      <c r="K32" s="39">
        <v>10653.965</v>
      </c>
      <c r="L32" s="39">
        <v>10</v>
      </c>
      <c r="M32" s="40"/>
    </row>
    <row r="33" spans="2:13" x14ac:dyDescent="0.3">
      <c r="B33" s="5">
        <v>20</v>
      </c>
      <c r="C33" s="40"/>
      <c r="D33" s="40"/>
      <c r="E33" s="40" t="s">
        <v>210</v>
      </c>
      <c r="F33" s="40"/>
      <c r="G33" s="42">
        <v>42736</v>
      </c>
      <c r="H33" s="39">
        <v>185000</v>
      </c>
      <c r="I33" s="39">
        <v>1</v>
      </c>
      <c r="J33" s="39">
        <f t="shared" si="0"/>
        <v>185000</v>
      </c>
      <c r="K33" s="39">
        <v>17575</v>
      </c>
      <c r="L33" s="39">
        <v>10</v>
      </c>
      <c r="M33" s="40"/>
    </row>
    <row r="34" spans="2:13" x14ac:dyDescent="0.3">
      <c r="B34" s="5">
        <v>21</v>
      </c>
      <c r="C34" s="40"/>
      <c r="D34" s="40"/>
      <c r="E34" s="40" t="s">
        <v>207</v>
      </c>
      <c r="F34" s="40" t="s">
        <v>204</v>
      </c>
      <c r="G34" s="42">
        <v>42736</v>
      </c>
      <c r="H34" s="39">
        <v>2088988</v>
      </c>
      <c r="I34" s="39">
        <v>1</v>
      </c>
      <c r="J34" s="39">
        <f t="shared" si="0"/>
        <v>2088988</v>
      </c>
      <c r="K34" s="39">
        <v>262946.42924999999</v>
      </c>
      <c r="L34" s="39">
        <v>10</v>
      </c>
      <c r="M34" s="43"/>
    </row>
    <row r="35" spans="2:13" x14ac:dyDescent="0.3">
      <c r="B35" s="5">
        <v>22</v>
      </c>
      <c r="C35" s="40"/>
      <c r="D35" s="40"/>
      <c r="E35" s="40" t="s">
        <v>199</v>
      </c>
      <c r="F35" s="40" t="s">
        <v>211</v>
      </c>
      <c r="G35" s="42">
        <v>42736</v>
      </c>
      <c r="H35" s="39">
        <v>115000</v>
      </c>
      <c r="I35" s="39">
        <v>1</v>
      </c>
      <c r="J35" s="39">
        <f t="shared" si="0"/>
        <v>115000</v>
      </c>
      <c r="K35" s="39">
        <v>10925</v>
      </c>
      <c r="L35" s="39">
        <v>10</v>
      </c>
      <c r="M35" s="40"/>
    </row>
    <row r="36" spans="2:13" x14ac:dyDescent="0.3">
      <c r="B36" s="5">
        <v>23</v>
      </c>
      <c r="C36" s="40"/>
      <c r="D36" s="40"/>
      <c r="E36" s="40" t="s">
        <v>212</v>
      </c>
      <c r="F36" s="40" t="s">
        <v>204</v>
      </c>
      <c r="G36" s="42">
        <v>42736</v>
      </c>
      <c r="H36" s="39">
        <v>400000</v>
      </c>
      <c r="I36" s="39">
        <v>1</v>
      </c>
      <c r="J36" s="39">
        <f t="shared" si="0"/>
        <v>400000</v>
      </c>
      <c r="K36" s="39">
        <v>38000</v>
      </c>
      <c r="L36" s="39">
        <v>10</v>
      </c>
      <c r="M36" s="40"/>
    </row>
    <row r="37" spans="2:13" x14ac:dyDescent="0.3">
      <c r="B37" s="5">
        <v>24</v>
      </c>
      <c r="C37" s="40"/>
      <c r="D37" s="40"/>
      <c r="E37" s="40" t="s">
        <v>213</v>
      </c>
      <c r="F37" s="40" t="s">
        <v>214</v>
      </c>
      <c r="G37" s="42">
        <v>53752</v>
      </c>
      <c r="H37" s="39"/>
      <c r="I37" s="39"/>
      <c r="J37" s="39"/>
      <c r="K37" s="39">
        <v>8550</v>
      </c>
      <c r="L37" s="39">
        <v>10</v>
      </c>
      <c r="M37" s="43"/>
    </row>
    <row r="38" spans="2:13" x14ac:dyDescent="0.3">
      <c r="B38" s="5">
        <v>25</v>
      </c>
      <c r="C38" s="40"/>
      <c r="D38" s="40"/>
      <c r="E38" s="40" t="s">
        <v>215</v>
      </c>
      <c r="F38" s="40" t="s">
        <v>216</v>
      </c>
      <c r="G38" s="42">
        <v>42795</v>
      </c>
      <c r="H38" s="39"/>
      <c r="I38" s="39"/>
      <c r="J38" s="39"/>
      <c r="K38" s="39">
        <v>66500</v>
      </c>
      <c r="L38" s="39">
        <v>10</v>
      </c>
      <c r="M38" s="40"/>
    </row>
    <row r="39" spans="2:13" x14ac:dyDescent="0.3">
      <c r="B39" s="5">
        <v>26</v>
      </c>
      <c r="C39" s="40"/>
      <c r="D39" s="40"/>
      <c r="E39" s="40" t="s">
        <v>215</v>
      </c>
      <c r="F39" s="40" t="s">
        <v>216</v>
      </c>
      <c r="G39" s="42">
        <v>38687</v>
      </c>
      <c r="H39" s="39"/>
      <c r="I39" s="39"/>
      <c r="J39" s="39"/>
      <c r="K39" s="39">
        <v>66500</v>
      </c>
      <c r="L39" s="39">
        <v>10</v>
      </c>
      <c r="M39" s="40"/>
    </row>
    <row r="40" spans="2:13" x14ac:dyDescent="0.3">
      <c r="B40" s="5">
        <v>27</v>
      </c>
      <c r="C40" s="40"/>
      <c r="D40" s="40"/>
      <c r="E40" s="40" t="s">
        <v>217</v>
      </c>
      <c r="F40" s="40" t="s">
        <v>218</v>
      </c>
      <c r="G40" s="42">
        <v>43009</v>
      </c>
      <c r="H40" s="39"/>
      <c r="I40" s="39"/>
      <c r="J40" s="39"/>
      <c r="K40" s="39">
        <v>87495</v>
      </c>
      <c r="L40" s="39">
        <v>10</v>
      </c>
      <c r="M40" s="43"/>
    </row>
    <row r="41" spans="2:13" x14ac:dyDescent="0.3">
      <c r="B41" s="5">
        <v>28</v>
      </c>
      <c r="C41" s="40"/>
      <c r="D41" s="40"/>
      <c r="E41" s="40" t="s">
        <v>219</v>
      </c>
      <c r="F41" s="40" t="s">
        <v>220</v>
      </c>
      <c r="G41" s="42">
        <v>43009</v>
      </c>
      <c r="H41" s="39"/>
      <c r="I41" s="39"/>
      <c r="J41" s="39"/>
      <c r="K41" s="39">
        <v>77794.36</v>
      </c>
      <c r="L41" s="39">
        <v>10</v>
      </c>
      <c r="M41" s="40"/>
    </row>
    <row r="42" spans="2:13" x14ac:dyDescent="0.3">
      <c r="B42" s="5">
        <v>29</v>
      </c>
      <c r="C42" s="40"/>
      <c r="D42" s="40"/>
      <c r="E42" s="40" t="s">
        <v>221</v>
      </c>
      <c r="F42" s="40" t="s">
        <v>222</v>
      </c>
      <c r="G42" s="42"/>
      <c r="H42" s="39"/>
      <c r="I42" s="39"/>
      <c r="J42" s="39"/>
      <c r="K42" s="39">
        <v>190000</v>
      </c>
      <c r="L42" s="39">
        <v>10</v>
      </c>
      <c r="M42" s="40"/>
    </row>
    <row r="43" spans="2:13" x14ac:dyDescent="0.3">
      <c r="B43" s="5">
        <v>30</v>
      </c>
      <c r="C43" s="40"/>
      <c r="D43" s="40"/>
      <c r="E43" s="40" t="s">
        <v>221</v>
      </c>
      <c r="F43" s="40" t="s">
        <v>223</v>
      </c>
      <c r="G43" s="42">
        <v>42795</v>
      </c>
      <c r="H43" s="39"/>
      <c r="I43" s="39"/>
      <c r="J43" s="39"/>
      <c r="K43" s="39">
        <v>190000</v>
      </c>
      <c r="L43" s="39">
        <v>10</v>
      </c>
      <c r="M43" s="43"/>
    </row>
    <row r="44" spans="2:13" x14ac:dyDescent="0.3">
      <c r="B44" s="5">
        <v>31</v>
      </c>
      <c r="C44" s="40"/>
      <c r="D44" s="40"/>
      <c r="E44" s="40" t="s">
        <v>170</v>
      </c>
      <c r="F44" s="40" t="s">
        <v>173</v>
      </c>
      <c r="G44" s="42">
        <v>41640</v>
      </c>
      <c r="H44" s="39"/>
      <c r="I44" s="39"/>
      <c r="J44" s="39"/>
      <c r="K44" s="39">
        <v>4174.68</v>
      </c>
      <c r="L44" s="39">
        <v>10</v>
      </c>
      <c r="M44" s="40"/>
    </row>
    <row r="45" spans="2:13" x14ac:dyDescent="0.3">
      <c r="B45" s="5">
        <v>32</v>
      </c>
      <c r="C45" s="40"/>
      <c r="D45" s="40"/>
      <c r="E45" s="40" t="s">
        <v>181</v>
      </c>
      <c r="F45" s="40" t="s">
        <v>224</v>
      </c>
      <c r="G45" s="42"/>
      <c r="H45" s="39"/>
      <c r="I45" s="39"/>
      <c r="J45" s="39"/>
      <c r="K45" s="39">
        <v>12350</v>
      </c>
      <c r="L45" s="39">
        <v>10</v>
      </c>
      <c r="M45" s="40"/>
    </row>
    <row r="46" spans="2:13" x14ac:dyDescent="0.3">
      <c r="B46" s="5">
        <v>33</v>
      </c>
      <c r="C46" s="40"/>
      <c r="D46" s="40"/>
      <c r="E46" s="40" t="s">
        <v>181</v>
      </c>
      <c r="F46" s="40" t="s">
        <v>224</v>
      </c>
      <c r="G46" s="42">
        <v>34335</v>
      </c>
      <c r="H46" s="39"/>
      <c r="I46" s="39"/>
      <c r="J46" s="39"/>
      <c r="K46" s="39">
        <v>12350</v>
      </c>
      <c r="L46" s="39">
        <v>10</v>
      </c>
      <c r="M46" s="43"/>
    </row>
    <row r="47" spans="2:13" x14ac:dyDescent="0.3">
      <c r="B47" s="5">
        <v>34</v>
      </c>
      <c r="C47" s="40"/>
      <c r="D47" s="40" t="s">
        <v>225</v>
      </c>
      <c r="E47" s="40" t="s">
        <v>233</v>
      </c>
      <c r="F47" s="40"/>
      <c r="G47" s="42"/>
      <c r="H47" s="39"/>
      <c r="I47" s="39"/>
      <c r="J47" s="39"/>
      <c r="K47" s="39">
        <v>5187</v>
      </c>
      <c r="L47" s="39">
        <v>10</v>
      </c>
      <c r="M47" s="40"/>
    </row>
    <row r="48" spans="2:13" x14ac:dyDescent="0.3">
      <c r="B48" s="5">
        <v>35</v>
      </c>
      <c r="C48" s="40"/>
      <c r="D48" s="40" t="s">
        <v>226</v>
      </c>
      <c r="E48" s="40" t="s">
        <v>233</v>
      </c>
      <c r="F48" s="40"/>
      <c r="G48" s="42"/>
      <c r="H48" s="39"/>
      <c r="I48" s="39"/>
      <c r="J48" s="39"/>
      <c r="K48" s="39">
        <v>5187</v>
      </c>
      <c r="L48" s="39">
        <v>10</v>
      </c>
      <c r="M48" s="40"/>
    </row>
    <row r="49" spans="2:13" x14ac:dyDescent="0.3">
      <c r="B49" s="5">
        <v>36</v>
      </c>
      <c r="C49" s="40"/>
      <c r="D49" s="40" t="s">
        <v>227</v>
      </c>
      <c r="E49" s="40" t="s">
        <v>229</v>
      </c>
      <c r="F49" s="40"/>
      <c r="G49" s="42"/>
      <c r="H49" s="39"/>
      <c r="I49" s="39"/>
      <c r="J49" s="39"/>
      <c r="K49" s="39">
        <v>2184.9050000000002</v>
      </c>
      <c r="L49" s="39">
        <v>10</v>
      </c>
      <c r="M49" s="43"/>
    </row>
    <row r="50" spans="2:13" x14ac:dyDescent="0.3">
      <c r="B50" s="5">
        <v>37</v>
      </c>
      <c r="C50" s="40"/>
      <c r="D50" s="40" t="s">
        <v>230</v>
      </c>
      <c r="E50" s="40" t="s">
        <v>228</v>
      </c>
      <c r="F50" s="40"/>
      <c r="G50" s="42"/>
      <c r="H50" s="39"/>
      <c r="I50" s="39"/>
      <c r="J50" s="39"/>
      <c r="K50" s="39">
        <v>5187</v>
      </c>
      <c r="L50" s="39">
        <v>10</v>
      </c>
      <c r="M50" s="40"/>
    </row>
    <row r="51" spans="2:13" x14ac:dyDescent="0.3">
      <c r="B51" s="5">
        <v>38</v>
      </c>
      <c r="C51" s="40"/>
      <c r="D51" s="40" t="s">
        <v>231</v>
      </c>
      <c r="E51" s="40" t="s">
        <v>234</v>
      </c>
      <c r="F51" s="40"/>
      <c r="G51" s="42"/>
      <c r="H51" s="39"/>
      <c r="I51" s="39"/>
      <c r="J51" s="39"/>
      <c r="K51" s="39">
        <v>5187</v>
      </c>
      <c r="L51" s="39">
        <v>10</v>
      </c>
      <c r="M51" s="40"/>
    </row>
    <row r="52" spans="2:13" x14ac:dyDescent="0.3">
      <c r="B52" s="5">
        <v>39</v>
      </c>
      <c r="C52" s="40"/>
      <c r="D52" s="40" t="s">
        <v>232</v>
      </c>
      <c r="E52" s="40" t="s">
        <v>235</v>
      </c>
      <c r="F52" s="40"/>
      <c r="G52" s="42"/>
      <c r="H52" s="39"/>
      <c r="I52" s="39"/>
      <c r="J52" s="39"/>
      <c r="K52" s="39">
        <v>2184.9050000000002</v>
      </c>
      <c r="L52" s="39">
        <v>10</v>
      </c>
      <c r="M52" s="43"/>
    </row>
    <row r="53" spans="2:13" x14ac:dyDescent="0.3">
      <c r="B53" s="5">
        <v>40</v>
      </c>
      <c r="C53" s="40"/>
      <c r="D53" s="40" t="s">
        <v>236</v>
      </c>
      <c r="E53" s="40" t="s">
        <v>234</v>
      </c>
      <c r="F53" s="40"/>
      <c r="G53" s="42"/>
      <c r="H53" s="39"/>
      <c r="I53" s="39"/>
      <c r="J53" s="39"/>
      <c r="K53" s="39">
        <v>5187</v>
      </c>
      <c r="L53" s="39">
        <v>10</v>
      </c>
      <c r="M53" s="40"/>
    </row>
    <row r="54" spans="2:13" x14ac:dyDescent="0.3">
      <c r="B54" s="5">
        <v>41</v>
      </c>
      <c r="C54" s="40"/>
      <c r="D54" s="40" t="s">
        <v>237</v>
      </c>
      <c r="E54" s="40" t="s">
        <v>229</v>
      </c>
      <c r="F54" s="40"/>
      <c r="G54" s="42"/>
      <c r="H54" s="39"/>
      <c r="I54" s="39"/>
      <c r="J54" s="39"/>
      <c r="K54" s="39">
        <v>2184.9050000000002</v>
      </c>
      <c r="L54" s="39">
        <v>10</v>
      </c>
      <c r="M54" s="40"/>
    </row>
    <row r="55" spans="2:13" x14ac:dyDescent="0.3">
      <c r="B55" s="5">
        <v>42</v>
      </c>
      <c r="C55" s="40"/>
      <c r="D55" s="40" t="s">
        <v>238</v>
      </c>
      <c r="E55" s="40" t="s">
        <v>234</v>
      </c>
      <c r="F55" s="40"/>
      <c r="G55" s="42"/>
      <c r="H55" s="39"/>
      <c r="I55" s="39"/>
      <c r="J55" s="39"/>
      <c r="K55" s="39">
        <v>5187</v>
      </c>
      <c r="L55" s="39">
        <v>10</v>
      </c>
      <c r="M55" s="43"/>
    </row>
    <row r="56" spans="2:13" x14ac:dyDescent="0.3">
      <c r="B56" s="5">
        <v>43</v>
      </c>
      <c r="C56" s="40"/>
      <c r="D56" s="40" t="s">
        <v>239</v>
      </c>
      <c r="E56" s="40" t="s">
        <v>235</v>
      </c>
      <c r="F56" s="40"/>
      <c r="G56" s="42"/>
      <c r="H56" s="39"/>
      <c r="I56" s="39"/>
      <c r="J56" s="39"/>
      <c r="K56" s="39">
        <v>2184.9050000000002</v>
      </c>
      <c r="L56" s="39">
        <v>10</v>
      </c>
      <c r="M56" s="40"/>
    </row>
    <row r="57" spans="2:13" x14ac:dyDescent="0.3">
      <c r="B57" s="5">
        <v>44</v>
      </c>
      <c r="C57" s="40"/>
      <c r="D57" s="40" t="s">
        <v>240</v>
      </c>
      <c r="E57" s="40" t="s">
        <v>229</v>
      </c>
      <c r="F57" s="40"/>
      <c r="G57" s="42"/>
      <c r="H57" s="39"/>
      <c r="I57" s="39"/>
      <c r="J57" s="39"/>
      <c r="K57" s="39">
        <v>2184.9050000000002</v>
      </c>
      <c r="L57" s="39">
        <v>10</v>
      </c>
      <c r="M57" s="40"/>
    </row>
    <row r="58" spans="2:13" x14ac:dyDescent="0.3">
      <c r="B58" s="5">
        <v>45</v>
      </c>
      <c r="C58" s="40"/>
      <c r="D58" s="40" t="s">
        <v>241</v>
      </c>
      <c r="E58" s="40" t="s">
        <v>247</v>
      </c>
      <c r="F58" s="40" t="s">
        <v>248</v>
      </c>
      <c r="G58" s="42"/>
      <c r="H58" s="39"/>
      <c r="I58" s="39"/>
      <c r="J58" s="39"/>
      <c r="K58" s="39">
        <v>19500</v>
      </c>
      <c r="L58" s="39">
        <v>5</v>
      </c>
      <c r="M58" s="43"/>
    </row>
    <row r="59" spans="2:13" x14ac:dyDescent="0.3">
      <c r="B59" s="5">
        <v>46</v>
      </c>
      <c r="C59" s="40"/>
      <c r="D59" s="40" t="s">
        <v>242</v>
      </c>
      <c r="E59" s="40" t="s">
        <v>247</v>
      </c>
      <c r="F59" s="40" t="s">
        <v>248</v>
      </c>
      <c r="G59" s="42"/>
      <c r="H59" s="39"/>
      <c r="I59" s="39"/>
      <c r="J59" s="39"/>
      <c r="K59" s="39">
        <v>19500</v>
      </c>
      <c r="L59" s="39">
        <v>5</v>
      </c>
      <c r="M59" s="40"/>
    </row>
    <row r="60" spans="2:13" x14ac:dyDescent="0.3">
      <c r="B60" s="5">
        <v>47</v>
      </c>
      <c r="C60" s="40"/>
      <c r="D60" s="40" t="s">
        <v>243</v>
      </c>
      <c r="E60" s="40" t="s">
        <v>247</v>
      </c>
      <c r="F60" s="40" t="s">
        <v>249</v>
      </c>
      <c r="G60" s="42"/>
      <c r="H60" s="39"/>
      <c r="I60" s="39"/>
      <c r="J60" s="39"/>
      <c r="K60" s="39">
        <v>19500</v>
      </c>
      <c r="L60" s="39">
        <v>5</v>
      </c>
      <c r="M60" s="40"/>
    </row>
    <row r="61" spans="2:13" x14ac:dyDescent="0.3">
      <c r="B61" s="5">
        <v>48</v>
      </c>
      <c r="C61" s="40"/>
      <c r="D61" s="40" t="s">
        <v>244</v>
      </c>
      <c r="E61" s="40" t="s">
        <v>247</v>
      </c>
      <c r="F61" s="40" t="s">
        <v>250</v>
      </c>
      <c r="G61" s="42"/>
      <c r="H61" s="39"/>
      <c r="I61" s="39"/>
      <c r="J61" s="39"/>
      <c r="K61" s="39">
        <v>19500</v>
      </c>
      <c r="L61" s="39">
        <v>5</v>
      </c>
      <c r="M61" s="43"/>
    </row>
    <row r="62" spans="2:13" x14ac:dyDescent="0.3">
      <c r="B62" s="5">
        <v>49</v>
      </c>
      <c r="C62" s="40"/>
      <c r="D62" s="40" t="s">
        <v>245</v>
      </c>
      <c r="E62" s="40" t="s">
        <v>247</v>
      </c>
      <c r="F62" s="40" t="s">
        <v>250</v>
      </c>
      <c r="G62" s="42"/>
      <c r="H62" s="39"/>
      <c r="I62" s="39"/>
      <c r="J62" s="39"/>
      <c r="K62" s="39">
        <v>19500</v>
      </c>
      <c r="L62" s="39">
        <v>5</v>
      </c>
      <c r="M62" s="40"/>
    </row>
    <row r="63" spans="2:13" x14ac:dyDescent="0.3">
      <c r="B63" s="5">
        <v>50</v>
      </c>
      <c r="C63" s="40"/>
      <c r="D63" s="40" t="s">
        <v>246</v>
      </c>
      <c r="E63" s="40" t="s">
        <v>247</v>
      </c>
      <c r="F63" s="40" t="s">
        <v>250</v>
      </c>
      <c r="G63" s="42"/>
      <c r="H63" s="39"/>
      <c r="I63" s="39"/>
      <c r="J63" s="39"/>
      <c r="K63" s="39">
        <v>19500</v>
      </c>
      <c r="L63" s="39">
        <v>5</v>
      </c>
      <c r="M63" s="40"/>
    </row>
    <row r="64" spans="2:13" x14ac:dyDescent="0.3">
      <c r="B64" s="5">
        <v>51</v>
      </c>
      <c r="C64" s="40"/>
      <c r="D64" s="40" t="s">
        <v>251</v>
      </c>
      <c r="E64" s="40" t="s">
        <v>256</v>
      </c>
      <c r="F64" s="40"/>
      <c r="G64" s="42"/>
      <c r="H64" s="39"/>
      <c r="I64" s="39"/>
      <c r="J64" s="39"/>
      <c r="K64" s="39">
        <v>19500</v>
      </c>
      <c r="L64" s="39">
        <v>5</v>
      </c>
      <c r="M64" s="43"/>
    </row>
    <row r="65" spans="2:13" x14ac:dyDescent="0.3">
      <c r="B65" s="5">
        <v>52</v>
      </c>
      <c r="C65" s="40"/>
      <c r="D65" s="40" t="s">
        <v>252</v>
      </c>
      <c r="E65" s="40" t="s">
        <v>256</v>
      </c>
      <c r="F65" s="40"/>
      <c r="G65" s="42"/>
      <c r="H65" s="39"/>
      <c r="I65" s="39"/>
      <c r="J65" s="39"/>
      <c r="K65" s="39">
        <v>19500</v>
      </c>
      <c r="L65" s="39">
        <v>5</v>
      </c>
      <c r="M65" s="40"/>
    </row>
    <row r="66" spans="2:13" x14ac:dyDescent="0.3">
      <c r="B66" s="5">
        <v>53</v>
      </c>
      <c r="C66" s="40"/>
      <c r="D66" s="40" t="s">
        <v>253</v>
      </c>
      <c r="E66" s="40" t="s">
        <v>256</v>
      </c>
      <c r="F66" s="40"/>
      <c r="G66" s="42"/>
      <c r="H66" s="39"/>
      <c r="I66" s="39"/>
      <c r="J66" s="39"/>
      <c r="K66" s="39">
        <v>19500</v>
      </c>
      <c r="L66" s="39">
        <v>5</v>
      </c>
      <c r="M66" s="40"/>
    </row>
    <row r="67" spans="2:13" x14ac:dyDescent="0.3">
      <c r="B67" s="5">
        <v>54</v>
      </c>
      <c r="C67" s="40"/>
      <c r="D67" s="40" t="s">
        <v>254</v>
      </c>
      <c r="E67" s="40" t="s">
        <v>256</v>
      </c>
      <c r="F67" s="40"/>
      <c r="G67" s="42"/>
      <c r="H67" s="39"/>
      <c r="I67" s="39"/>
      <c r="J67" s="39"/>
      <c r="K67" s="39">
        <v>19500</v>
      </c>
      <c r="L67" s="39">
        <v>5</v>
      </c>
      <c r="M67" s="43"/>
    </row>
    <row r="68" spans="2:13" x14ac:dyDescent="0.3">
      <c r="B68" s="5">
        <v>55</v>
      </c>
      <c r="C68" s="40"/>
      <c r="D68" s="40" t="s">
        <v>255</v>
      </c>
      <c r="E68" s="40" t="s">
        <v>256</v>
      </c>
      <c r="F68" s="40"/>
      <c r="G68" s="42"/>
      <c r="H68" s="39"/>
      <c r="I68" s="39"/>
      <c r="J68" s="39"/>
      <c r="K68" s="39">
        <v>19500</v>
      </c>
      <c r="L68" s="39">
        <v>5</v>
      </c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algorithmName="SHA-512" hashValue="a+A4vDHMQ652FPPcPI5Ky3hsSM7iQtVUl1rQ+shdz3CUM5GuYi7AScPjTOX+YL+kvZrnVybeLDKHKBwwSBzF9g==" saltValue="CxSMSLa79R/4QhgCHHIWPw==" spinCount="100000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17" right="1.43" top="0.32" bottom="0.27" header="0.3" footer="0.3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647700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2</xdr:col>
                    <xdr:colOff>123825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93"/>
  <sheetViews>
    <sheetView showGridLines="0" tabSelected="1" topLeftCell="CI17" zoomScale="85" zoomScaleNormal="85" workbookViewId="0">
      <pane ySplit="1" topLeftCell="A18" activePane="bottomLeft" state="frozen"/>
      <selection activeCell="A17" sqref="A17"/>
      <selection pane="bottomLeft" activeCell="CW30" sqref="CW30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hidden="1" customWidth="1"/>
    <col min="60" max="60" width="1.7109375" style="44" hidden="1" customWidth="1"/>
    <col min="61" max="85" width="8.7109375" style="28" hidden="1" customWidth="1"/>
    <col min="86" max="121" width="8.7109375" style="28" customWidth="1"/>
    <col min="122" max="16384" width="8.7109375" style="6"/>
  </cols>
  <sheetData>
    <row r="2" spans="2:121" ht="16.5" x14ac:dyDescent="0.3">
      <c r="B2" s="26" t="s">
        <v>17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99</v>
      </c>
      <c r="C4" s="6">
        <v>2</v>
      </c>
    </row>
    <row r="5" spans="2:121" ht="16.5" hidden="1" outlineLevel="1" x14ac:dyDescent="0.3">
      <c r="B5" s="2" t="s">
        <v>100</v>
      </c>
      <c r="C5" s="6">
        <v>7</v>
      </c>
    </row>
    <row r="6" spans="2:121" ht="16.5" hidden="1" outlineLevel="1" x14ac:dyDescent="0.3">
      <c r="B6" s="2" t="s">
        <v>101</v>
      </c>
      <c r="C6" s="6">
        <v>5</v>
      </c>
    </row>
    <row r="7" spans="2:121" ht="16.5" hidden="1" outlineLevel="1" x14ac:dyDescent="0.3">
      <c r="B7" s="2" t="s">
        <v>102</v>
      </c>
      <c r="C7" s="6">
        <v>11</v>
      </c>
    </row>
    <row r="8" spans="2:121" ht="16.5" hidden="1" outlineLevel="1" x14ac:dyDescent="0.3">
      <c r="B8" s="2" t="s">
        <v>103</v>
      </c>
      <c r="C8" s="6">
        <v>32</v>
      </c>
    </row>
    <row r="9" spans="2:121" ht="16.5" hidden="1" outlineLevel="1" x14ac:dyDescent="0.3">
      <c r="B9" s="2" t="s">
        <v>104</v>
      </c>
      <c r="C9" s="6">
        <v>13</v>
      </c>
    </row>
    <row r="10" spans="2:121" ht="16.5" collapsed="1" x14ac:dyDescent="0.3">
      <c r="B10" s="14" t="s">
        <v>27</v>
      </c>
      <c r="C10" s="15"/>
      <c r="D10" s="16"/>
      <c r="BH10" s="46"/>
    </row>
    <row r="11" spans="2:121" s="2" customFormat="1" ht="16.5" x14ac:dyDescent="0.3">
      <c r="B11" s="17" t="s">
        <v>20</v>
      </c>
      <c r="C11" s="56" t="s">
        <v>134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28</v>
      </c>
      <c r="C12" s="21"/>
      <c r="D12" s="22"/>
    </row>
    <row r="13" spans="2:121" ht="16.5" x14ac:dyDescent="0.3">
      <c r="B13" s="20" t="s">
        <v>29</v>
      </c>
      <c r="C13" s="21"/>
      <c r="D13" s="22"/>
    </row>
    <row r="14" spans="2:121" ht="16.5" x14ac:dyDescent="0.3">
      <c r="B14" s="23" t="s">
        <v>32</v>
      </c>
      <c r="C14" s="24"/>
      <c r="D14" s="25"/>
    </row>
    <row r="15" spans="2:121" x14ac:dyDescent="0.2">
      <c r="E15" s="6"/>
    </row>
    <row r="16" spans="2:121" ht="17.25" thickBot="1" x14ac:dyDescent="0.35">
      <c r="B16" s="60"/>
      <c r="C16" s="61"/>
      <c r="D16" s="62"/>
      <c r="E16" s="45"/>
      <c r="F16" s="63" t="s">
        <v>34</v>
      </c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3" t="s">
        <v>50</v>
      </c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5" t="s">
        <v>61</v>
      </c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I16" s="58" t="s">
        <v>34</v>
      </c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66" t="s">
        <v>50</v>
      </c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58" t="s">
        <v>61</v>
      </c>
      <c r="CU16" s="58"/>
      <c r="CV16" s="58"/>
      <c r="CW16" s="58"/>
      <c r="CX16" s="58"/>
      <c r="CY16" s="58"/>
      <c r="CZ16" s="58"/>
      <c r="DA16" s="58"/>
      <c r="DB16" s="58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  <c r="DP16" s="59"/>
      <c r="DQ16" s="59"/>
    </row>
    <row r="17" spans="2:121" ht="141" customHeight="1" x14ac:dyDescent="0.2">
      <c r="B17" s="52" t="s">
        <v>98</v>
      </c>
      <c r="C17" s="53" t="s">
        <v>15</v>
      </c>
      <c r="D17" s="54" t="s">
        <v>16</v>
      </c>
      <c r="E17" s="47"/>
      <c r="F17" s="48" t="s">
        <v>35</v>
      </c>
      <c r="G17" s="48" t="s">
        <v>93</v>
      </c>
      <c r="H17" s="48" t="s">
        <v>36</v>
      </c>
      <c r="I17" s="48" t="s">
        <v>37</v>
      </c>
      <c r="J17" s="48" t="s">
        <v>38</v>
      </c>
      <c r="K17" s="48" t="s">
        <v>39</v>
      </c>
      <c r="L17" s="48" t="s">
        <v>40</v>
      </c>
      <c r="M17" s="48" t="s">
        <v>94</v>
      </c>
      <c r="N17" s="48" t="s">
        <v>41</v>
      </c>
      <c r="O17" s="48" t="s">
        <v>42</v>
      </c>
      <c r="P17" s="48" t="s">
        <v>43</v>
      </c>
      <c r="Q17" s="48" t="s">
        <v>44</v>
      </c>
      <c r="R17" s="48" t="s">
        <v>45</v>
      </c>
      <c r="S17" s="48" t="s">
        <v>46</v>
      </c>
      <c r="T17" s="48" t="s">
        <v>47</v>
      </c>
      <c r="U17" s="48" t="s">
        <v>48</v>
      </c>
      <c r="V17" s="48" t="s">
        <v>49</v>
      </c>
      <c r="W17" s="48" t="s">
        <v>79</v>
      </c>
      <c r="X17" s="48" t="s">
        <v>51</v>
      </c>
      <c r="Y17" s="48" t="s">
        <v>54</v>
      </c>
      <c r="Z17" s="49" t="s">
        <v>71</v>
      </c>
      <c r="AA17" s="48" t="s">
        <v>53</v>
      </c>
      <c r="AB17" s="49" t="s">
        <v>52</v>
      </c>
      <c r="AC17" s="48" t="s">
        <v>72</v>
      </c>
      <c r="AD17" s="48" t="s">
        <v>73</v>
      </c>
      <c r="AE17" s="48" t="s">
        <v>75</v>
      </c>
      <c r="AF17" s="48" t="s">
        <v>5</v>
      </c>
      <c r="AG17" s="48" t="s">
        <v>55</v>
      </c>
      <c r="AH17" s="48" t="s">
        <v>76</v>
      </c>
      <c r="AI17" s="48" t="s">
        <v>56</v>
      </c>
      <c r="AJ17" s="48" t="s">
        <v>57</v>
      </c>
      <c r="AK17" s="48" t="s">
        <v>58</v>
      </c>
      <c r="AL17" s="48" t="s">
        <v>59</v>
      </c>
      <c r="AM17" s="49" t="s">
        <v>77</v>
      </c>
      <c r="AN17" s="49" t="s">
        <v>78</v>
      </c>
      <c r="AO17" s="48" t="s">
        <v>79</v>
      </c>
      <c r="AP17" s="48" t="s">
        <v>95</v>
      </c>
      <c r="AQ17" s="48" t="s">
        <v>80</v>
      </c>
      <c r="AR17" s="48" t="s">
        <v>81</v>
      </c>
      <c r="AS17" s="48" t="s">
        <v>82</v>
      </c>
      <c r="AT17" s="48" t="s">
        <v>83</v>
      </c>
      <c r="AU17" s="48" t="s">
        <v>84</v>
      </c>
      <c r="AV17" s="48" t="s">
        <v>85</v>
      </c>
      <c r="AW17" s="49" t="s">
        <v>96</v>
      </c>
      <c r="AX17" s="48" t="s">
        <v>97</v>
      </c>
      <c r="AY17" s="48" t="s">
        <v>63</v>
      </c>
      <c r="AZ17" s="48" t="s">
        <v>6</v>
      </c>
      <c r="BA17" s="48" t="s">
        <v>60</v>
      </c>
      <c r="BB17" s="48" t="s">
        <v>4</v>
      </c>
      <c r="BC17" s="48" t="s">
        <v>64</v>
      </c>
      <c r="BD17" s="48" t="s">
        <v>1</v>
      </c>
      <c r="BE17" s="48" t="s">
        <v>2</v>
      </c>
      <c r="BF17" s="48" t="s">
        <v>65</v>
      </c>
      <c r="BG17" s="48" t="s">
        <v>3</v>
      </c>
      <c r="BI17" s="48" t="s">
        <v>35</v>
      </c>
      <c r="BJ17" s="48" t="s">
        <v>90</v>
      </c>
      <c r="BK17" s="48" t="s">
        <v>36</v>
      </c>
      <c r="BL17" s="48" t="s">
        <v>37</v>
      </c>
      <c r="BM17" s="48" t="s">
        <v>38</v>
      </c>
      <c r="BN17" s="48" t="s">
        <v>39</v>
      </c>
      <c r="BO17" s="48" t="s">
        <v>40</v>
      </c>
      <c r="BP17" s="48" t="s">
        <v>91</v>
      </c>
      <c r="BQ17" s="48" t="s">
        <v>41</v>
      </c>
      <c r="BR17" s="48" t="s">
        <v>42</v>
      </c>
      <c r="BS17" s="48" t="s">
        <v>43</v>
      </c>
      <c r="BT17" s="48" t="s">
        <v>44</v>
      </c>
      <c r="BU17" s="48" t="s">
        <v>45</v>
      </c>
      <c r="BV17" s="48" t="s">
        <v>46</v>
      </c>
      <c r="BW17" s="48" t="s">
        <v>47</v>
      </c>
      <c r="BX17" s="48" t="s">
        <v>48</v>
      </c>
      <c r="BY17" s="48" t="s">
        <v>92</v>
      </c>
      <c r="BZ17" s="48" t="s">
        <v>79</v>
      </c>
      <c r="CA17" s="48" t="s">
        <v>51</v>
      </c>
      <c r="CB17" s="48" t="s">
        <v>54</v>
      </c>
      <c r="CC17" s="48" t="s">
        <v>71</v>
      </c>
      <c r="CD17" s="48" t="s">
        <v>53</v>
      </c>
      <c r="CE17" s="48" t="s">
        <v>52</v>
      </c>
      <c r="CF17" s="48" t="s">
        <v>72</v>
      </c>
      <c r="CG17" s="48" t="s">
        <v>73</v>
      </c>
      <c r="CH17" s="48" t="s">
        <v>74</v>
      </c>
      <c r="CI17" s="48" t="s">
        <v>75</v>
      </c>
      <c r="CJ17" s="48" t="s">
        <v>5</v>
      </c>
      <c r="CK17" s="48" t="s">
        <v>55</v>
      </c>
      <c r="CL17" s="48" t="s">
        <v>76</v>
      </c>
      <c r="CM17" s="48" t="s">
        <v>56</v>
      </c>
      <c r="CN17" s="48" t="s">
        <v>57</v>
      </c>
      <c r="CO17" s="48" t="s">
        <v>58</v>
      </c>
      <c r="CP17" s="48" t="s">
        <v>59</v>
      </c>
      <c r="CQ17" s="48" t="s">
        <v>77</v>
      </c>
      <c r="CR17" s="48" t="s">
        <v>78</v>
      </c>
      <c r="CS17" s="49" t="s">
        <v>79</v>
      </c>
      <c r="CT17" s="48" t="s">
        <v>62</v>
      </c>
      <c r="CU17" s="48" t="s">
        <v>80</v>
      </c>
      <c r="CV17" s="48" t="s">
        <v>81</v>
      </c>
      <c r="CW17" s="48" t="s">
        <v>82</v>
      </c>
      <c r="CX17" s="48" t="s">
        <v>83</v>
      </c>
      <c r="CY17" s="48" t="s">
        <v>84</v>
      </c>
      <c r="CZ17" s="48" t="s">
        <v>85</v>
      </c>
      <c r="DA17" s="50" t="s">
        <v>86</v>
      </c>
      <c r="DB17" s="48" t="s">
        <v>87</v>
      </c>
      <c r="DC17" s="48" t="s">
        <v>63</v>
      </c>
      <c r="DD17" s="48" t="s">
        <v>6</v>
      </c>
      <c r="DE17" s="48" t="s">
        <v>88</v>
      </c>
      <c r="DF17" s="48" t="s">
        <v>60</v>
      </c>
      <c r="DG17" s="48" t="s">
        <v>89</v>
      </c>
      <c r="DH17" s="48" t="s">
        <v>4</v>
      </c>
      <c r="DI17" s="48" t="s">
        <v>64</v>
      </c>
      <c r="DJ17" s="48" t="s">
        <v>1</v>
      </c>
      <c r="DK17" s="48" t="s">
        <v>2</v>
      </c>
      <c r="DL17" s="48" t="s">
        <v>65</v>
      </c>
      <c r="DM17" s="48" t="s">
        <v>3</v>
      </c>
      <c r="DN17" s="48" t="s">
        <v>66</v>
      </c>
      <c r="DO17" s="48" t="s">
        <v>67</v>
      </c>
      <c r="DP17" s="48" t="s">
        <v>68</v>
      </c>
      <c r="DQ17" s="48" t="s">
        <v>69</v>
      </c>
    </row>
    <row r="18" spans="2:121" ht="14.45" customHeight="1" x14ac:dyDescent="0.3">
      <c r="B18" s="12"/>
      <c r="C18" s="13" t="s">
        <v>9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165</v>
      </c>
      <c r="D19" s="57">
        <f>SUM(CH19:DQ19)</f>
        <v>421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>
        <v>13</v>
      </c>
      <c r="CO19" s="39"/>
      <c r="CP19" s="39"/>
      <c r="CQ19" s="39"/>
      <c r="CR19" s="39"/>
      <c r="CS19" s="39"/>
      <c r="CT19" s="39">
        <v>20</v>
      </c>
      <c r="CU19" s="39"/>
      <c r="CV19" s="39"/>
      <c r="CW19" s="39"/>
      <c r="CX19" s="39"/>
      <c r="CY19" s="39"/>
      <c r="CZ19" s="39"/>
      <c r="DA19" s="39"/>
      <c r="DB19" s="39"/>
      <c r="DC19" s="39">
        <v>34</v>
      </c>
      <c r="DD19" s="39"/>
      <c r="DE19" s="39"/>
      <c r="DF19" s="39"/>
      <c r="DG19" s="39"/>
      <c r="DH19" s="39"/>
      <c r="DI19" s="39">
        <v>58</v>
      </c>
      <c r="DJ19" s="39">
        <v>24</v>
      </c>
      <c r="DK19" s="39">
        <v>53</v>
      </c>
      <c r="DL19" s="39">
        <v>165</v>
      </c>
      <c r="DM19" s="39"/>
      <c r="DN19" s="39"/>
      <c r="DO19" s="39">
        <v>50</v>
      </c>
      <c r="DP19" s="39"/>
      <c r="DQ19" s="39">
        <v>4</v>
      </c>
    </row>
    <row r="20" spans="2:121" s="8" customFormat="1" ht="16.5" x14ac:dyDescent="0.3">
      <c r="B20" s="10">
        <v>2</v>
      </c>
      <c r="C20" s="40" t="s">
        <v>166</v>
      </c>
      <c r="D20" s="57">
        <f>SUM(CH20:DQ20)</f>
        <v>397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>
        <v>6</v>
      </c>
      <c r="CO20" s="39">
        <v>8</v>
      </c>
      <c r="CP20" s="39">
        <v>1</v>
      </c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>
        <v>46</v>
      </c>
      <c r="DD20" s="39">
        <v>3</v>
      </c>
      <c r="DE20" s="39"/>
      <c r="DF20" s="39"/>
      <c r="DG20" s="39"/>
      <c r="DH20" s="39"/>
      <c r="DI20" s="39">
        <v>105</v>
      </c>
      <c r="DJ20" s="39">
        <v>27</v>
      </c>
      <c r="DK20" s="39">
        <v>47</v>
      </c>
      <c r="DL20" s="39">
        <v>103</v>
      </c>
      <c r="DM20" s="39"/>
      <c r="DN20" s="39"/>
      <c r="DO20" s="39">
        <v>48</v>
      </c>
      <c r="DP20" s="39"/>
      <c r="DQ20" s="39">
        <v>3</v>
      </c>
    </row>
    <row r="21" spans="2:121" ht="16.5" x14ac:dyDescent="0.3">
      <c r="B21" s="9"/>
      <c r="C21" s="11" t="s">
        <v>10</v>
      </c>
      <c r="D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10">
        <v>1</v>
      </c>
      <c r="C22" s="40" t="s">
        <v>186</v>
      </c>
      <c r="D22" s="57">
        <f t="shared" ref="D22:D28" si="0">SUM(CH22:DQ22)</f>
        <v>1170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>
        <v>1</v>
      </c>
      <c r="CN22" s="39"/>
      <c r="CO22" s="39"/>
      <c r="CP22" s="39"/>
      <c r="CQ22" s="39"/>
      <c r="CR22" s="39"/>
      <c r="CS22" s="39"/>
      <c r="CT22" s="39">
        <v>439</v>
      </c>
      <c r="CU22" s="39"/>
      <c r="CV22" s="39"/>
      <c r="CW22" s="39">
        <v>12</v>
      </c>
      <c r="CX22" s="39"/>
      <c r="CY22" s="39"/>
      <c r="CZ22" s="39"/>
      <c r="DA22" s="39"/>
      <c r="DB22" s="39"/>
      <c r="DC22" s="39">
        <v>30</v>
      </c>
      <c r="DD22" s="39"/>
      <c r="DE22" s="39"/>
      <c r="DF22" s="39"/>
      <c r="DG22" s="39"/>
      <c r="DH22" s="39"/>
      <c r="DI22" s="39">
        <v>184</v>
      </c>
      <c r="DJ22" s="39">
        <v>112</v>
      </c>
      <c r="DK22" s="39">
        <v>106</v>
      </c>
      <c r="DL22" s="39">
        <v>216</v>
      </c>
      <c r="DM22" s="39"/>
      <c r="DN22" s="39"/>
      <c r="DO22" s="39">
        <v>70</v>
      </c>
      <c r="DP22" s="39"/>
      <c r="DQ22" s="39"/>
    </row>
    <row r="23" spans="2:121" ht="16.5" x14ac:dyDescent="0.3">
      <c r="B23" s="10">
        <v>2</v>
      </c>
      <c r="C23" s="40" t="s">
        <v>187</v>
      </c>
      <c r="D23" s="57">
        <f t="shared" si="0"/>
        <v>179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>
        <v>43</v>
      </c>
      <c r="CU23" s="39"/>
      <c r="CV23" s="39"/>
      <c r="CW23" s="39"/>
      <c r="CX23" s="39"/>
      <c r="CY23" s="39"/>
      <c r="CZ23" s="39"/>
      <c r="DA23" s="39"/>
      <c r="DB23" s="39"/>
      <c r="DC23" s="39">
        <v>56</v>
      </c>
      <c r="DD23" s="39"/>
      <c r="DE23" s="39"/>
      <c r="DF23" s="39"/>
      <c r="DG23" s="39"/>
      <c r="DH23" s="39"/>
      <c r="DI23" s="39">
        <v>17</v>
      </c>
      <c r="DJ23" s="39">
        <v>2</v>
      </c>
      <c r="DK23" s="39">
        <v>24</v>
      </c>
      <c r="DL23" s="39">
        <v>14</v>
      </c>
      <c r="DM23" s="39"/>
      <c r="DN23" s="39"/>
      <c r="DO23" s="39">
        <v>23</v>
      </c>
      <c r="DP23" s="39"/>
      <c r="DQ23" s="39"/>
    </row>
    <row r="24" spans="2:121" ht="16.5" x14ac:dyDescent="0.3">
      <c r="B24" s="10">
        <v>3</v>
      </c>
      <c r="C24" s="40" t="s">
        <v>188</v>
      </c>
      <c r="D24" s="57">
        <f t="shared" si="0"/>
        <v>179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>
        <v>43</v>
      </c>
      <c r="CU24" s="39"/>
      <c r="CV24" s="39"/>
      <c r="CW24" s="39"/>
      <c r="CX24" s="39"/>
      <c r="CY24" s="39"/>
      <c r="CZ24" s="39"/>
      <c r="DA24" s="39"/>
      <c r="DB24" s="39"/>
      <c r="DC24" s="39">
        <v>56</v>
      </c>
      <c r="DD24" s="39"/>
      <c r="DE24" s="39"/>
      <c r="DF24" s="39"/>
      <c r="DG24" s="39"/>
      <c r="DH24" s="39"/>
      <c r="DI24" s="39">
        <v>17</v>
      </c>
      <c r="DJ24" s="39">
        <v>2</v>
      </c>
      <c r="DK24" s="39">
        <v>24</v>
      </c>
      <c r="DL24" s="39">
        <v>14</v>
      </c>
      <c r="DM24" s="39"/>
      <c r="DN24" s="39"/>
      <c r="DO24" s="39">
        <v>23</v>
      </c>
      <c r="DP24" s="39"/>
      <c r="DQ24" s="39"/>
    </row>
    <row r="25" spans="2:121" ht="16.5" x14ac:dyDescent="0.3">
      <c r="B25" s="10">
        <v>4</v>
      </c>
      <c r="C25" s="40" t="s">
        <v>189</v>
      </c>
      <c r="D25" s="57">
        <f t="shared" si="0"/>
        <v>12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>
        <v>8</v>
      </c>
      <c r="DD25" s="39"/>
      <c r="DE25" s="39"/>
      <c r="DF25" s="39"/>
      <c r="DG25" s="39"/>
      <c r="DH25" s="39"/>
      <c r="DI25" s="39">
        <v>1</v>
      </c>
      <c r="DJ25" s="39"/>
      <c r="DK25" s="39">
        <v>2</v>
      </c>
      <c r="DL25" s="39">
        <v>1</v>
      </c>
      <c r="DM25" s="39"/>
      <c r="DN25" s="39"/>
      <c r="DO25" s="39"/>
      <c r="DP25" s="39"/>
      <c r="DQ25" s="39"/>
    </row>
    <row r="26" spans="2:121" ht="16.5" x14ac:dyDescent="0.3">
      <c r="B26" s="10">
        <v>5</v>
      </c>
      <c r="C26" s="40" t="s">
        <v>190</v>
      </c>
      <c r="D26" s="57">
        <f t="shared" si="0"/>
        <v>37</v>
      </c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>
        <v>11</v>
      </c>
      <c r="CU26" s="39"/>
      <c r="CV26" s="39"/>
      <c r="CW26" s="39"/>
      <c r="CX26" s="39"/>
      <c r="CY26" s="39"/>
      <c r="CZ26" s="39"/>
      <c r="DA26" s="39"/>
      <c r="DB26" s="39"/>
      <c r="DC26" s="39">
        <v>7</v>
      </c>
      <c r="DD26" s="39"/>
      <c r="DE26" s="39"/>
      <c r="DF26" s="39"/>
      <c r="DG26" s="39"/>
      <c r="DH26" s="39"/>
      <c r="DI26" s="39">
        <v>8</v>
      </c>
      <c r="DJ26" s="39">
        <v>4</v>
      </c>
      <c r="DK26" s="39">
        <v>2</v>
      </c>
      <c r="DL26" s="39">
        <v>5</v>
      </c>
      <c r="DM26" s="39"/>
      <c r="DN26" s="39"/>
      <c r="DO26" s="39"/>
      <c r="DP26" s="39"/>
      <c r="DQ26" s="39"/>
    </row>
    <row r="27" spans="2:121" ht="16.5" x14ac:dyDescent="0.3">
      <c r="B27" s="10">
        <v>6</v>
      </c>
      <c r="C27" s="40" t="s">
        <v>191</v>
      </c>
      <c r="D27" s="57">
        <f t="shared" si="0"/>
        <v>13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>
        <v>3</v>
      </c>
      <c r="CU27" s="39"/>
      <c r="CV27" s="39"/>
      <c r="CW27" s="39"/>
      <c r="CX27" s="39"/>
      <c r="CY27" s="39"/>
      <c r="CZ27" s="39"/>
      <c r="DA27" s="39"/>
      <c r="DB27" s="39"/>
      <c r="DC27" s="39">
        <v>4</v>
      </c>
      <c r="DD27" s="39"/>
      <c r="DE27" s="39"/>
      <c r="DF27" s="39"/>
      <c r="DG27" s="39"/>
      <c r="DH27" s="39"/>
      <c r="DI27" s="39"/>
      <c r="DJ27" s="39"/>
      <c r="DK27" s="39">
        <v>2</v>
      </c>
      <c r="DL27" s="39">
        <v>1</v>
      </c>
      <c r="DM27" s="39"/>
      <c r="DN27" s="39"/>
      <c r="DO27" s="39">
        <v>3</v>
      </c>
      <c r="DP27" s="39"/>
      <c r="DQ27" s="39"/>
    </row>
    <row r="28" spans="2:121" ht="16.5" x14ac:dyDescent="0.3">
      <c r="B28" s="10">
        <v>7</v>
      </c>
      <c r="C28" s="40" t="s">
        <v>192</v>
      </c>
      <c r="D28" s="57">
        <f t="shared" si="0"/>
        <v>23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>
        <v>12</v>
      </c>
      <c r="CU28" s="39"/>
      <c r="CV28" s="39"/>
      <c r="CW28" s="39"/>
      <c r="CX28" s="39"/>
      <c r="CY28" s="39"/>
      <c r="CZ28" s="39"/>
      <c r="DA28" s="39"/>
      <c r="DB28" s="39"/>
      <c r="DC28" s="39">
        <v>3</v>
      </c>
      <c r="DD28" s="39"/>
      <c r="DE28" s="39"/>
      <c r="DF28" s="39"/>
      <c r="DG28" s="39"/>
      <c r="DH28" s="39"/>
      <c r="DI28" s="39"/>
      <c r="DJ28" s="39">
        <v>1</v>
      </c>
      <c r="DK28" s="39">
        <v>2</v>
      </c>
      <c r="DL28" s="39">
        <v>3</v>
      </c>
      <c r="DM28" s="39"/>
      <c r="DN28" s="39"/>
      <c r="DO28" s="39">
        <v>2</v>
      </c>
      <c r="DP28" s="39"/>
      <c r="DQ28" s="39"/>
    </row>
    <row r="29" spans="2:121" ht="16.5" x14ac:dyDescent="0.3">
      <c r="B29" s="9"/>
      <c r="C29" s="11" t="s">
        <v>11</v>
      </c>
      <c r="D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6.5" x14ac:dyDescent="0.3">
      <c r="B30" s="10">
        <v>1</v>
      </c>
      <c r="C30" s="40" t="s">
        <v>108</v>
      </c>
      <c r="D30" s="57">
        <f t="shared" ref="D30:D34" si="1">SUM(CH30:DQ30)</f>
        <v>99</v>
      </c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>
        <v>1</v>
      </c>
      <c r="CL30" s="39"/>
      <c r="CM30" s="39"/>
      <c r="CN30" s="39"/>
      <c r="CO30" s="39"/>
      <c r="CP30" s="39"/>
      <c r="CQ30" s="39"/>
      <c r="CR30" s="39"/>
      <c r="CS30" s="39"/>
      <c r="CT30" s="39">
        <v>15</v>
      </c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>
        <v>1</v>
      </c>
      <c r="DJ30" s="39"/>
      <c r="DK30" s="39">
        <v>39</v>
      </c>
      <c r="DL30" s="39">
        <v>32</v>
      </c>
      <c r="DM30" s="39"/>
      <c r="DN30" s="39"/>
      <c r="DO30" s="39">
        <v>6</v>
      </c>
      <c r="DP30" s="39"/>
      <c r="DQ30" s="39">
        <v>5</v>
      </c>
    </row>
    <row r="31" spans="2:121" ht="16.5" x14ac:dyDescent="0.3">
      <c r="B31" s="10">
        <v>2</v>
      </c>
      <c r="C31" s="40" t="s">
        <v>109</v>
      </c>
      <c r="D31" s="57">
        <f t="shared" si="1"/>
        <v>8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>
        <v>4</v>
      </c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>
        <v>3</v>
      </c>
      <c r="DL31" s="39"/>
      <c r="DM31" s="39"/>
      <c r="DN31" s="39"/>
      <c r="DO31" s="39"/>
      <c r="DP31" s="39"/>
      <c r="DQ31" s="39">
        <v>1</v>
      </c>
    </row>
    <row r="32" spans="2:121" ht="16.5" x14ac:dyDescent="0.3">
      <c r="B32" s="10">
        <v>3</v>
      </c>
      <c r="C32" s="40" t="s">
        <v>110</v>
      </c>
      <c r="D32" s="57">
        <f t="shared" si="1"/>
        <v>9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>
        <v>9</v>
      </c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4</v>
      </c>
      <c r="C33" s="40" t="s">
        <v>169</v>
      </c>
      <c r="D33" s="57">
        <f t="shared" si="1"/>
        <v>3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>
        <v>1</v>
      </c>
      <c r="DL33" s="39">
        <v>2</v>
      </c>
      <c r="DM33" s="39"/>
      <c r="DN33" s="39"/>
      <c r="DO33" s="39"/>
      <c r="DP33" s="39"/>
      <c r="DQ33" s="39"/>
    </row>
    <row r="34" spans="2:121" ht="16.5" x14ac:dyDescent="0.3">
      <c r="B34" s="10">
        <v>5</v>
      </c>
      <c r="C34" s="40" t="s">
        <v>111</v>
      </c>
      <c r="D34" s="57">
        <f t="shared" si="1"/>
        <v>2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>
        <v>2</v>
      </c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9"/>
      <c r="C35" s="11" t="s">
        <v>12</v>
      </c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1</v>
      </c>
      <c r="C36" s="40" t="s">
        <v>112</v>
      </c>
      <c r="D36" s="57">
        <f t="shared" ref="D36:D46" si="2">SUM(CH36:DQ36)</f>
        <v>376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>
        <v>137</v>
      </c>
      <c r="CU36" s="39"/>
      <c r="CV36" s="39"/>
      <c r="CW36" s="39"/>
      <c r="CX36" s="39"/>
      <c r="CY36" s="39"/>
      <c r="CZ36" s="39"/>
      <c r="DA36" s="39"/>
      <c r="DB36" s="39"/>
      <c r="DC36" s="39">
        <v>148</v>
      </c>
      <c r="DD36" s="39"/>
      <c r="DE36" s="39"/>
      <c r="DF36" s="39"/>
      <c r="DG36" s="39"/>
      <c r="DH36" s="39"/>
      <c r="DI36" s="39">
        <v>25</v>
      </c>
      <c r="DJ36" s="39">
        <v>22</v>
      </c>
      <c r="DK36" s="39">
        <v>8</v>
      </c>
      <c r="DL36" s="39">
        <v>35</v>
      </c>
      <c r="DM36" s="39"/>
      <c r="DN36" s="39"/>
      <c r="DO36" s="39"/>
      <c r="DP36" s="39"/>
      <c r="DQ36" s="39">
        <v>1</v>
      </c>
    </row>
    <row r="37" spans="2:121" ht="16.5" x14ac:dyDescent="0.3">
      <c r="B37" s="10">
        <v>2</v>
      </c>
      <c r="C37" s="40" t="s">
        <v>113</v>
      </c>
      <c r="D37" s="57">
        <f t="shared" si="2"/>
        <v>68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>
        <v>15</v>
      </c>
      <c r="CU37" s="39"/>
      <c r="CV37" s="39"/>
      <c r="CW37" s="39"/>
      <c r="CX37" s="39"/>
      <c r="CY37" s="39"/>
      <c r="CZ37" s="39"/>
      <c r="DA37" s="39"/>
      <c r="DB37" s="39"/>
      <c r="DC37" s="39">
        <v>14</v>
      </c>
      <c r="DD37" s="39"/>
      <c r="DE37" s="39"/>
      <c r="DF37" s="39"/>
      <c r="DG37" s="39"/>
      <c r="DH37" s="39"/>
      <c r="DI37" s="39">
        <v>21</v>
      </c>
      <c r="DJ37" s="39">
        <v>14</v>
      </c>
      <c r="DK37" s="39">
        <v>1</v>
      </c>
      <c r="DL37" s="39">
        <v>2</v>
      </c>
      <c r="DM37" s="39"/>
      <c r="DN37" s="39"/>
      <c r="DO37" s="39">
        <v>1</v>
      </c>
      <c r="DP37" s="39"/>
      <c r="DQ37" s="39"/>
    </row>
    <row r="38" spans="2:121" ht="16.5" x14ac:dyDescent="0.3">
      <c r="B38" s="10">
        <v>3</v>
      </c>
      <c r="C38" s="40" t="s">
        <v>114</v>
      </c>
      <c r="D38" s="57">
        <f t="shared" si="2"/>
        <v>37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>
        <v>11</v>
      </c>
      <c r="CU38" s="39"/>
      <c r="CV38" s="39"/>
      <c r="CW38" s="39"/>
      <c r="CX38" s="39"/>
      <c r="CY38" s="39"/>
      <c r="CZ38" s="39"/>
      <c r="DA38" s="39"/>
      <c r="DB38" s="39"/>
      <c r="DC38" s="39">
        <v>21</v>
      </c>
      <c r="DD38" s="39"/>
      <c r="DE38" s="39"/>
      <c r="DF38" s="39"/>
      <c r="DG38" s="39"/>
      <c r="DH38" s="39"/>
      <c r="DI38" s="39">
        <v>1</v>
      </c>
      <c r="DJ38" s="39">
        <v>1</v>
      </c>
      <c r="DK38" s="39">
        <v>1</v>
      </c>
      <c r="DL38" s="39">
        <v>2</v>
      </c>
      <c r="DM38" s="39"/>
      <c r="DN38" s="39"/>
      <c r="DO38" s="39"/>
      <c r="DP38" s="39"/>
      <c r="DQ38" s="39"/>
    </row>
    <row r="39" spans="2:121" ht="16.5" x14ac:dyDescent="0.3">
      <c r="B39" s="10">
        <v>4</v>
      </c>
      <c r="C39" s="40" t="s">
        <v>115</v>
      </c>
      <c r="D39" s="57">
        <f t="shared" si="2"/>
        <v>27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>
        <v>4</v>
      </c>
      <c r="CU39" s="39"/>
      <c r="CV39" s="39"/>
      <c r="CW39" s="39"/>
      <c r="CX39" s="39"/>
      <c r="CY39" s="39"/>
      <c r="CZ39" s="39"/>
      <c r="DA39" s="39"/>
      <c r="DB39" s="39"/>
      <c r="DC39" s="39">
        <v>3</v>
      </c>
      <c r="DD39" s="39"/>
      <c r="DE39" s="39"/>
      <c r="DF39" s="39"/>
      <c r="DG39" s="39"/>
      <c r="DH39" s="39"/>
      <c r="DI39" s="39">
        <v>19</v>
      </c>
      <c r="DJ39" s="39">
        <v>1</v>
      </c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5</v>
      </c>
      <c r="C40" s="40" t="s">
        <v>116</v>
      </c>
      <c r="D40" s="57">
        <f t="shared" si="2"/>
        <v>5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>
        <v>1</v>
      </c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>
        <v>4</v>
      </c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10">
        <v>6</v>
      </c>
      <c r="C41" s="40" t="s">
        <v>117</v>
      </c>
      <c r="D41" s="57">
        <f t="shared" si="2"/>
        <v>7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>
        <v>4</v>
      </c>
      <c r="DD41" s="39"/>
      <c r="DE41" s="39"/>
      <c r="DF41" s="39"/>
      <c r="DG41" s="39"/>
      <c r="DH41" s="39"/>
      <c r="DI41" s="39">
        <v>1</v>
      </c>
      <c r="DJ41" s="39"/>
      <c r="DK41" s="39">
        <v>1</v>
      </c>
      <c r="DL41" s="39">
        <v>1</v>
      </c>
      <c r="DM41" s="39"/>
      <c r="DN41" s="39"/>
      <c r="DO41" s="39"/>
      <c r="DP41" s="39"/>
      <c r="DQ41" s="39"/>
    </row>
    <row r="42" spans="2:121" ht="16.5" x14ac:dyDescent="0.3">
      <c r="B42" s="10">
        <v>7</v>
      </c>
      <c r="C42" s="40" t="s">
        <v>118</v>
      </c>
      <c r="D42" s="57">
        <f t="shared" si="2"/>
        <v>0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10">
        <v>8</v>
      </c>
      <c r="C43" s="40" t="s">
        <v>119</v>
      </c>
      <c r="D43" s="57">
        <f t="shared" si="2"/>
        <v>0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9</v>
      </c>
      <c r="C44" s="40" t="s">
        <v>120</v>
      </c>
      <c r="D44" s="57">
        <f t="shared" si="2"/>
        <v>3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>
        <v>1</v>
      </c>
      <c r="DK44" s="39">
        <v>1</v>
      </c>
      <c r="DL44" s="39">
        <v>1</v>
      </c>
      <c r="DM44" s="39"/>
      <c r="DN44" s="39"/>
      <c r="DO44" s="39"/>
      <c r="DP44" s="39"/>
      <c r="DQ44" s="39"/>
    </row>
    <row r="45" spans="2:121" ht="16.5" x14ac:dyDescent="0.3">
      <c r="B45" s="10">
        <v>10</v>
      </c>
      <c r="C45" s="40" t="s">
        <v>167</v>
      </c>
      <c r="D45" s="57">
        <f t="shared" si="2"/>
        <v>1</v>
      </c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>
        <v>1</v>
      </c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11</v>
      </c>
      <c r="C46" s="40" t="s">
        <v>168</v>
      </c>
      <c r="D46" s="57">
        <f t="shared" si="2"/>
        <v>2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>
        <v>2</v>
      </c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9"/>
      <c r="C47" s="11" t="s">
        <v>13</v>
      </c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1</v>
      </c>
      <c r="C48" s="40" t="s">
        <v>135</v>
      </c>
      <c r="D48" s="57">
        <f t="shared" ref="D48:D79" si="3">SUM(CH48:DQ48)</f>
        <v>224</v>
      </c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>
        <v>19</v>
      </c>
      <c r="CU48" s="39"/>
      <c r="CV48" s="39"/>
      <c r="CW48" s="39">
        <v>22</v>
      </c>
      <c r="CX48" s="39"/>
      <c r="CY48" s="39"/>
      <c r="CZ48" s="39"/>
      <c r="DA48" s="39"/>
      <c r="DB48" s="39"/>
      <c r="DC48" s="39">
        <v>35</v>
      </c>
      <c r="DD48" s="39"/>
      <c r="DE48" s="39"/>
      <c r="DF48" s="39"/>
      <c r="DG48" s="39"/>
      <c r="DH48" s="39"/>
      <c r="DI48" s="39">
        <v>6</v>
      </c>
      <c r="DJ48" s="39"/>
      <c r="DK48" s="39">
        <v>3</v>
      </c>
      <c r="DL48" s="39">
        <v>139</v>
      </c>
      <c r="DM48" s="39"/>
      <c r="DN48" s="39"/>
      <c r="DO48" s="39"/>
      <c r="DP48" s="39"/>
      <c r="DQ48" s="39"/>
    </row>
    <row r="49" spans="2:121" ht="16.5" x14ac:dyDescent="0.3">
      <c r="B49" s="10">
        <v>2</v>
      </c>
      <c r="C49" s="40" t="s">
        <v>136</v>
      </c>
      <c r="D49" s="57">
        <f t="shared" si="3"/>
        <v>4</v>
      </c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>
        <v>3</v>
      </c>
      <c r="DD49" s="39"/>
      <c r="DE49" s="39"/>
      <c r="DF49" s="39"/>
      <c r="DG49" s="39"/>
      <c r="DH49" s="39"/>
      <c r="DI49" s="39"/>
      <c r="DJ49" s="39"/>
      <c r="DK49" s="39"/>
      <c r="DL49" s="39">
        <v>1</v>
      </c>
      <c r="DM49" s="39"/>
      <c r="DN49" s="39"/>
      <c r="DO49" s="39"/>
      <c r="DP49" s="39"/>
      <c r="DQ49" s="39"/>
    </row>
    <row r="50" spans="2:121" ht="16.5" x14ac:dyDescent="0.3">
      <c r="B50" s="10">
        <v>3</v>
      </c>
      <c r="C50" s="40" t="s">
        <v>137</v>
      </c>
      <c r="D50" s="57">
        <f t="shared" si="3"/>
        <v>153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>
        <v>9</v>
      </c>
      <c r="CU50" s="39"/>
      <c r="CV50" s="39"/>
      <c r="CW50" s="39">
        <v>19</v>
      </c>
      <c r="CX50" s="39"/>
      <c r="CY50" s="39"/>
      <c r="CZ50" s="39"/>
      <c r="DA50" s="39"/>
      <c r="DB50" s="39"/>
      <c r="DC50" s="39">
        <v>1</v>
      </c>
      <c r="DD50" s="39"/>
      <c r="DE50" s="39"/>
      <c r="DF50" s="39"/>
      <c r="DG50" s="39"/>
      <c r="DH50" s="39"/>
      <c r="DI50" s="39"/>
      <c r="DJ50" s="39"/>
      <c r="DK50" s="39"/>
      <c r="DL50" s="39">
        <v>124</v>
      </c>
      <c r="DM50" s="39"/>
      <c r="DN50" s="39"/>
      <c r="DO50" s="39"/>
      <c r="DP50" s="39"/>
      <c r="DQ50" s="39"/>
    </row>
    <row r="51" spans="2:121" ht="16.5" x14ac:dyDescent="0.3">
      <c r="B51" s="10">
        <v>4</v>
      </c>
      <c r="C51" s="40" t="s">
        <v>138</v>
      </c>
      <c r="D51" s="57">
        <f t="shared" si="3"/>
        <v>55</v>
      </c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>
        <v>2</v>
      </c>
      <c r="CU51" s="39"/>
      <c r="CV51" s="39"/>
      <c r="CW51" s="39">
        <v>8</v>
      </c>
      <c r="CX51" s="39"/>
      <c r="CY51" s="39"/>
      <c r="CZ51" s="39"/>
      <c r="DA51" s="39"/>
      <c r="DB51" s="39"/>
      <c r="DC51" s="39">
        <v>36</v>
      </c>
      <c r="DD51" s="39"/>
      <c r="DE51" s="39"/>
      <c r="DF51" s="39"/>
      <c r="DG51" s="39"/>
      <c r="DH51" s="39"/>
      <c r="DI51" s="39">
        <v>7</v>
      </c>
      <c r="DJ51" s="39"/>
      <c r="DK51" s="39">
        <v>2</v>
      </c>
      <c r="DL51" s="39"/>
      <c r="DM51" s="39"/>
      <c r="DN51" s="39"/>
      <c r="DO51" s="39"/>
      <c r="DP51" s="39"/>
      <c r="DQ51" s="39"/>
    </row>
    <row r="52" spans="2:121" ht="16.5" x14ac:dyDescent="0.3">
      <c r="B52" s="10">
        <v>5</v>
      </c>
      <c r="C52" s="40" t="s">
        <v>139</v>
      </c>
      <c r="D52" s="57">
        <f t="shared" si="3"/>
        <v>26</v>
      </c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>
        <v>25</v>
      </c>
      <c r="CX52" s="39"/>
      <c r="CY52" s="39"/>
      <c r="CZ52" s="39"/>
      <c r="DA52" s="39"/>
      <c r="DB52" s="39"/>
      <c r="DC52" s="39">
        <v>1</v>
      </c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  <row r="53" spans="2:121" ht="16.5" x14ac:dyDescent="0.3">
      <c r="B53" s="10">
        <v>6</v>
      </c>
      <c r="C53" s="40" t="s">
        <v>140</v>
      </c>
      <c r="D53" s="57">
        <f t="shared" si="3"/>
        <v>2</v>
      </c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>
        <v>1</v>
      </c>
      <c r="DJ53" s="39">
        <v>1</v>
      </c>
      <c r="DK53" s="39"/>
      <c r="DL53" s="39"/>
      <c r="DM53" s="39"/>
      <c r="DN53" s="39"/>
      <c r="DO53" s="39"/>
      <c r="DP53" s="39"/>
      <c r="DQ53" s="39"/>
    </row>
    <row r="54" spans="2:121" ht="16.5" x14ac:dyDescent="0.3">
      <c r="B54" s="10">
        <v>7</v>
      </c>
      <c r="C54" s="40" t="s">
        <v>141</v>
      </c>
      <c r="D54" s="57">
        <f t="shared" si="3"/>
        <v>0</v>
      </c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</row>
    <row r="55" spans="2:121" ht="16.5" x14ac:dyDescent="0.3">
      <c r="B55" s="10">
        <v>8</v>
      </c>
      <c r="C55" s="40" t="s">
        <v>142</v>
      </c>
      <c r="D55" s="57">
        <f t="shared" si="3"/>
        <v>30</v>
      </c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>
        <v>1</v>
      </c>
      <c r="CU55" s="39"/>
      <c r="CV55" s="39"/>
      <c r="CW55" s="39"/>
      <c r="CX55" s="39"/>
      <c r="CY55" s="39"/>
      <c r="CZ55" s="39"/>
      <c r="DA55" s="39"/>
      <c r="DB55" s="39"/>
      <c r="DC55" s="39">
        <v>28</v>
      </c>
      <c r="DD55" s="39"/>
      <c r="DE55" s="39"/>
      <c r="DF55" s="39"/>
      <c r="DG55" s="39"/>
      <c r="DH55" s="39"/>
      <c r="DI55" s="39">
        <v>1</v>
      </c>
      <c r="DJ55" s="39"/>
      <c r="DK55" s="39"/>
      <c r="DL55" s="39"/>
      <c r="DM55" s="39"/>
      <c r="DN55" s="39"/>
      <c r="DO55" s="39"/>
      <c r="DP55" s="39"/>
      <c r="DQ55" s="39"/>
    </row>
    <row r="56" spans="2:121" ht="16.5" x14ac:dyDescent="0.3">
      <c r="B56" s="10">
        <v>9</v>
      </c>
      <c r="C56" s="40" t="s">
        <v>143</v>
      </c>
      <c r="D56" s="57">
        <f t="shared" si="3"/>
        <v>10</v>
      </c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>
        <v>10</v>
      </c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</row>
    <row r="57" spans="2:121" ht="16.5" x14ac:dyDescent="0.3">
      <c r="B57" s="10">
        <v>10</v>
      </c>
      <c r="C57" s="40" t="s">
        <v>144</v>
      </c>
      <c r="D57" s="57">
        <f t="shared" si="3"/>
        <v>4</v>
      </c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>
        <v>1</v>
      </c>
      <c r="CU57" s="39"/>
      <c r="CV57" s="39"/>
      <c r="CW57" s="39"/>
      <c r="CX57" s="39"/>
      <c r="CY57" s="39"/>
      <c r="CZ57" s="39"/>
      <c r="DA57" s="39"/>
      <c r="DB57" s="39"/>
      <c r="DC57" s="39">
        <v>1</v>
      </c>
      <c r="DD57" s="39"/>
      <c r="DE57" s="39"/>
      <c r="DF57" s="39"/>
      <c r="DG57" s="39"/>
      <c r="DH57" s="39"/>
      <c r="DI57" s="39">
        <v>2</v>
      </c>
      <c r="DJ57" s="39"/>
      <c r="DK57" s="39"/>
      <c r="DL57" s="39"/>
      <c r="DM57" s="39"/>
      <c r="DN57" s="39"/>
      <c r="DO57" s="39"/>
      <c r="DP57" s="39"/>
      <c r="DQ57" s="39"/>
    </row>
    <row r="58" spans="2:121" ht="16.5" x14ac:dyDescent="0.3">
      <c r="B58" s="10">
        <v>11</v>
      </c>
      <c r="C58" s="40" t="s">
        <v>145</v>
      </c>
      <c r="D58" s="57">
        <f t="shared" si="3"/>
        <v>5</v>
      </c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>
        <v>2</v>
      </c>
      <c r="CU58" s="39"/>
      <c r="CV58" s="39"/>
      <c r="CW58" s="39"/>
      <c r="CX58" s="39"/>
      <c r="CY58" s="39"/>
      <c r="CZ58" s="39"/>
      <c r="DA58" s="39"/>
      <c r="DB58" s="39"/>
      <c r="DC58" s="39">
        <v>3</v>
      </c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</row>
    <row r="59" spans="2:121" ht="16.5" x14ac:dyDescent="0.3">
      <c r="B59" s="10">
        <v>12</v>
      </c>
      <c r="C59" s="40" t="s">
        <v>146</v>
      </c>
      <c r="D59" s="57">
        <f t="shared" si="3"/>
        <v>36</v>
      </c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>
        <v>4</v>
      </c>
      <c r="CU59" s="39"/>
      <c r="CV59" s="39"/>
      <c r="CW59" s="39"/>
      <c r="CX59" s="39"/>
      <c r="CY59" s="39"/>
      <c r="CZ59" s="39"/>
      <c r="DA59" s="39"/>
      <c r="DB59" s="39"/>
      <c r="DC59" s="39">
        <v>14</v>
      </c>
      <c r="DD59" s="39"/>
      <c r="DE59" s="39"/>
      <c r="DF59" s="39"/>
      <c r="DG59" s="39"/>
      <c r="DH59" s="39"/>
      <c r="DI59" s="39">
        <v>1</v>
      </c>
      <c r="DJ59" s="39">
        <v>3</v>
      </c>
      <c r="DK59" s="39">
        <v>3</v>
      </c>
      <c r="DL59" s="39">
        <v>1</v>
      </c>
      <c r="DM59" s="39"/>
      <c r="DN59" s="39"/>
      <c r="DO59" s="39">
        <v>10</v>
      </c>
      <c r="DP59" s="39"/>
      <c r="DQ59" s="39"/>
    </row>
    <row r="60" spans="2:121" ht="16.5" x14ac:dyDescent="0.3">
      <c r="B60" s="10">
        <v>13</v>
      </c>
      <c r="C60" s="40" t="s">
        <v>147</v>
      </c>
      <c r="D60" s="57">
        <f t="shared" si="3"/>
        <v>5</v>
      </c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>
        <v>1</v>
      </c>
      <c r="CU60" s="39"/>
      <c r="CV60" s="39"/>
      <c r="CW60" s="39"/>
      <c r="CX60" s="39"/>
      <c r="CY60" s="39"/>
      <c r="CZ60" s="39"/>
      <c r="DA60" s="39"/>
      <c r="DB60" s="39"/>
      <c r="DC60" s="39">
        <v>3</v>
      </c>
      <c r="DD60" s="39"/>
      <c r="DE60" s="39"/>
      <c r="DF60" s="39"/>
      <c r="DG60" s="39"/>
      <c r="DH60" s="39"/>
      <c r="DI60" s="39">
        <v>1</v>
      </c>
      <c r="DJ60" s="39"/>
      <c r="DK60" s="39"/>
      <c r="DL60" s="39"/>
      <c r="DM60" s="39"/>
      <c r="DN60" s="39"/>
      <c r="DO60" s="39"/>
      <c r="DP60" s="39"/>
      <c r="DQ60" s="39"/>
    </row>
    <row r="61" spans="2:121" ht="16.5" x14ac:dyDescent="0.3">
      <c r="B61" s="10">
        <v>14</v>
      </c>
      <c r="C61" s="40" t="s">
        <v>148</v>
      </c>
      <c r="D61" s="57">
        <f t="shared" si="3"/>
        <v>1</v>
      </c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>
        <v>1</v>
      </c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</row>
    <row r="62" spans="2:121" ht="16.5" x14ac:dyDescent="0.3">
      <c r="B62" s="10">
        <v>15</v>
      </c>
      <c r="C62" s="40" t="s">
        <v>149</v>
      </c>
      <c r="D62" s="57">
        <f t="shared" si="3"/>
        <v>40</v>
      </c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>
        <v>20</v>
      </c>
      <c r="CU62" s="39"/>
      <c r="CV62" s="39"/>
      <c r="CW62" s="39"/>
      <c r="CX62" s="39"/>
      <c r="CY62" s="39"/>
      <c r="CZ62" s="39"/>
      <c r="DA62" s="39"/>
      <c r="DB62" s="39"/>
      <c r="DC62" s="39">
        <v>8</v>
      </c>
      <c r="DD62" s="39"/>
      <c r="DE62" s="39"/>
      <c r="DF62" s="39"/>
      <c r="DG62" s="39"/>
      <c r="DH62" s="39"/>
      <c r="DI62" s="39">
        <v>7</v>
      </c>
      <c r="DJ62" s="39">
        <v>1</v>
      </c>
      <c r="DK62" s="39"/>
      <c r="DL62" s="39">
        <v>4</v>
      </c>
      <c r="DM62" s="39"/>
      <c r="DN62" s="39"/>
      <c r="DO62" s="39"/>
      <c r="DP62" s="39"/>
      <c r="DQ62" s="39"/>
    </row>
    <row r="63" spans="2:121" ht="16.5" x14ac:dyDescent="0.3">
      <c r="B63" s="10">
        <v>16</v>
      </c>
      <c r="C63" s="40" t="s">
        <v>150</v>
      </c>
      <c r="D63" s="57">
        <f t="shared" si="3"/>
        <v>35</v>
      </c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>
        <v>15</v>
      </c>
      <c r="CU63" s="39"/>
      <c r="CV63" s="39"/>
      <c r="CW63" s="39"/>
      <c r="CX63" s="39"/>
      <c r="CY63" s="39"/>
      <c r="CZ63" s="39"/>
      <c r="DA63" s="39"/>
      <c r="DB63" s="39"/>
      <c r="DC63" s="39">
        <v>8</v>
      </c>
      <c r="DD63" s="39"/>
      <c r="DE63" s="39"/>
      <c r="DF63" s="39"/>
      <c r="DG63" s="39"/>
      <c r="DH63" s="39"/>
      <c r="DI63" s="39">
        <v>8</v>
      </c>
      <c r="DJ63" s="39"/>
      <c r="DK63" s="39"/>
      <c r="DL63" s="39">
        <v>4</v>
      </c>
      <c r="DM63" s="39"/>
      <c r="DN63" s="39"/>
      <c r="DO63" s="39"/>
      <c r="DP63" s="39"/>
      <c r="DQ63" s="39"/>
    </row>
    <row r="64" spans="2:121" ht="16.5" x14ac:dyDescent="0.3">
      <c r="B64" s="10">
        <v>17</v>
      </c>
      <c r="C64" s="40" t="s">
        <v>151</v>
      </c>
      <c r="D64" s="57">
        <f t="shared" si="3"/>
        <v>6</v>
      </c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>
        <v>1</v>
      </c>
      <c r="CU64" s="39"/>
      <c r="CV64" s="39"/>
      <c r="CW64" s="39"/>
      <c r="CX64" s="39"/>
      <c r="CY64" s="39"/>
      <c r="CZ64" s="39"/>
      <c r="DA64" s="39"/>
      <c r="DB64" s="39"/>
      <c r="DC64" s="39">
        <v>2</v>
      </c>
      <c r="DD64" s="39"/>
      <c r="DE64" s="39"/>
      <c r="DF64" s="39"/>
      <c r="DG64" s="39"/>
      <c r="DH64" s="39"/>
      <c r="DI64" s="39">
        <v>1</v>
      </c>
      <c r="DJ64" s="39"/>
      <c r="DK64" s="39"/>
      <c r="DL64" s="39"/>
      <c r="DM64" s="39"/>
      <c r="DN64" s="39"/>
      <c r="DO64" s="39">
        <v>2</v>
      </c>
      <c r="DP64" s="39"/>
      <c r="DQ64" s="39"/>
    </row>
    <row r="65" spans="2:121" ht="16.5" x14ac:dyDescent="0.3">
      <c r="B65" s="10">
        <v>18</v>
      </c>
      <c r="C65" s="40" t="s">
        <v>152</v>
      </c>
      <c r="D65" s="57">
        <f t="shared" si="3"/>
        <v>0</v>
      </c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</row>
    <row r="66" spans="2:121" ht="16.5" x14ac:dyDescent="0.3">
      <c r="B66" s="10">
        <v>19</v>
      </c>
      <c r="C66" s="40" t="s">
        <v>153</v>
      </c>
      <c r="D66" s="57">
        <f t="shared" si="3"/>
        <v>0</v>
      </c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</row>
    <row r="67" spans="2:121" ht="16.5" x14ac:dyDescent="0.3">
      <c r="B67" s="10">
        <v>20</v>
      </c>
      <c r="C67" s="40" t="s">
        <v>184</v>
      </c>
      <c r="D67" s="57">
        <f t="shared" si="3"/>
        <v>8</v>
      </c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>
        <v>2</v>
      </c>
      <c r="CU67" s="39"/>
      <c r="CV67" s="39"/>
      <c r="CW67" s="39"/>
      <c r="CX67" s="39"/>
      <c r="CY67" s="39"/>
      <c r="CZ67" s="39"/>
      <c r="DA67" s="39"/>
      <c r="DB67" s="39"/>
      <c r="DC67" s="39">
        <v>1</v>
      </c>
      <c r="DD67" s="39"/>
      <c r="DE67" s="39"/>
      <c r="DF67" s="39"/>
      <c r="DG67" s="39"/>
      <c r="DH67" s="39"/>
      <c r="DI67" s="39">
        <v>2</v>
      </c>
      <c r="DJ67" s="39">
        <v>1</v>
      </c>
      <c r="DK67" s="39">
        <v>1</v>
      </c>
      <c r="DL67" s="39">
        <v>1</v>
      </c>
      <c r="DM67" s="39"/>
      <c r="DN67" s="39"/>
      <c r="DO67" s="39"/>
      <c r="DP67" s="39"/>
      <c r="DQ67" s="39"/>
    </row>
    <row r="68" spans="2:121" ht="16.5" x14ac:dyDescent="0.3">
      <c r="B68" s="10">
        <v>21</v>
      </c>
      <c r="C68" s="40" t="s">
        <v>185</v>
      </c>
      <c r="D68" s="57">
        <f t="shared" si="3"/>
        <v>8</v>
      </c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>
        <v>2</v>
      </c>
      <c r="CU68" s="39"/>
      <c r="CV68" s="39"/>
      <c r="CW68" s="39"/>
      <c r="CX68" s="39"/>
      <c r="CY68" s="39"/>
      <c r="CZ68" s="39"/>
      <c r="DA68" s="39"/>
      <c r="DB68" s="39"/>
      <c r="DC68" s="39">
        <v>1</v>
      </c>
      <c r="DD68" s="39"/>
      <c r="DE68" s="39"/>
      <c r="DF68" s="39"/>
      <c r="DG68" s="39"/>
      <c r="DH68" s="39"/>
      <c r="DI68" s="39">
        <v>2</v>
      </c>
      <c r="DJ68" s="39">
        <v>1</v>
      </c>
      <c r="DK68" s="39">
        <v>1</v>
      </c>
      <c r="DL68" s="39">
        <v>1</v>
      </c>
      <c r="DM68" s="39"/>
      <c r="DN68" s="39"/>
      <c r="DO68" s="39"/>
      <c r="DP68" s="39"/>
      <c r="DQ68" s="39"/>
    </row>
    <row r="69" spans="2:121" ht="16.5" x14ac:dyDescent="0.3">
      <c r="B69" s="10">
        <v>22</v>
      </c>
      <c r="C69" s="40" t="s">
        <v>154</v>
      </c>
      <c r="D69" s="57">
        <f t="shared" si="3"/>
        <v>0</v>
      </c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</row>
    <row r="70" spans="2:121" ht="16.5" x14ac:dyDescent="0.3">
      <c r="B70" s="10">
        <v>23</v>
      </c>
      <c r="C70" s="40" t="s">
        <v>155</v>
      </c>
      <c r="D70" s="57">
        <f t="shared" si="3"/>
        <v>0</v>
      </c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</row>
    <row r="71" spans="2:121" ht="16.5" x14ac:dyDescent="0.3">
      <c r="B71" s="10">
        <v>24</v>
      </c>
      <c r="C71" s="40" t="s">
        <v>156</v>
      </c>
      <c r="D71" s="57">
        <f t="shared" si="3"/>
        <v>0</v>
      </c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</row>
    <row r="72" spans="2:121" ht="16.5" x14ac:dyDescent="0.3">
      <c r="B72" s="10">
        <v>25</v>
      </c>
      <c r="C72" s="40" t="s">
        <v>157</v>
      </c>
      <c r="D72" s="57">
        <f t="shared" si="3"/>
        <v>0</v>
      </c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</row>
    <row r="73" spans="2:121" ht="16.5" x14ac:dyDescent="0.3">
      <c r="B73" s="10">
        <v>26</v>
      </c>
      <c r="C73" s="40" t="s">
        <v>158</v>
      </c>
      <c r="D73" s="57">
        <f t="shared" si="3"/>
        <v>0</v>
      </c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</row>
    <row r="74" spans="2:121" ht="16.5" x14ac:dyDescent="0.3">
      <c r="B74" s="10">
        <v>27</v>
      </c>
      <c r="C74" s="40" t="s">
        <v>159</v>
      </c>
      <c r="D74" s="57">
        <f t="shared" si="3"/>
        <v>0</v>
      </c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</row>
    <row r="75" spans="2:121" ht="16.5" x14ac:dyDescent="0.3">
      <c r="B75" s="10">
        <v>28</v>
      </c>
      <c r="C75" s="40" t="s">
        <v>160</v>
      </c>
      <c r="D75" s="57">
        <f t="shared" si="3"/>
        <v>3</v>
      </c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>
        <v>2</v>
      </c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>
        <v>1</v>
      </c>
      <c r="DK75" s="39"/>
      <c r="DL75" s="39"/>
      <c r="DM75" s="39"/>
      <c r="DN75" s="39"/>
      <c r="DO75" s="39"/>
      <c r="DP75" s="39"/>
      <c r="DQ75" s="39"/>
    </row>
    <row r="76" spans="2:121" ht="16.5" x14ac:dyDescent="0.3">
      <c r="B76" s="10">
        <v>29</v>
      </c>
      <c r="C76" s="40" t="s">
        <v>161</v>
      </c>
      <c r="D76" s="57">
        <f t="shared" si="3"/>
        <v>1</v>
      </c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>
        <v>1</v>
      </c>
      <c r="DK76" s="39"/>
      <c r="DL76" s="39"/>
      <c r="DM76" s="39"/>
      <c r="DN76" s="39"/>
      <c r="DO76" s="39"/>
      <c r="DP76" s="39"/>
      <c r="DQ76" s="39"/>
    </row>
    <row r="77" spans="2:121" ht="16.5" x14ac:dyDescent="0.3">
      <c r="B77" s="10">
        <v>30</v>
      </c>
      <c r="C77" s="40" t="s">
        <v>162</v>
      </c>
      <c r="D77" s="57">
        <f t="shared" si="3"/>
        <v>0</v>
      </c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</row>
    <row r="78" spans="2:121" ht="16.5" x14ac:dyDescent="0.3">
      <c r="B78" s="10">
        <v>31</v>
      </c>
      <c r="C78" s="40" t="s">
        <v>163</v>
      </c>
      <c r="D78" s="57">
        <f t="shared" si="3"/>
        <v>0</v>
      </c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</row>
    <row r="79" spans="2:121" ht="16.5" x14ac:dyDescent="0.3">
      <c r="B79" s="10">
        <v>32</v>
      </c>
      <c r="C79" s="40" t="s">
        <v>164</v>
      </c>
      <c r="D79" s="57">
        <f t="shared" si="3"/>
        <v>30</v>
      </c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>
        <v>30</v>
      </c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</row>
    <row r="80" spans="2:121" ht="16.5" x14ac:dyDescent="0.3">
      <c r="B80" s="9"/>
      <c r="C80" s="11" t="s">
        <v>14</v>
      </c>
      <c r="D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</row>
    <row r="81" spans="2:121" ht="16.5" x14ac:dyDescent="0.3">
      <c r="B81" s="10">
        <v>1</v>
      </c>
      <c r="C81" s="40" t="s">
        <v>121</v>
      </c>
      <c r="D81" s="57">
        <f t="shared" ref="D81:D93" si="4">SUM(CH81:DQ81)</f>
        <v>210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>
        <v>2</v>
      </c>
      <c r="CN81" s="39">
        <v>10</v>
      </c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>
        <v>92</v>
      </c>
      <c r="DD81" s="39"/>
      <c r="DE81" s="39"/>
      <c r="DF81" s="39"/>
      <c r="DG81" s="39"/>
      <c r="DH81" s="39"/>
      <c r="DI81" s="39">
        <v>49</v>
      </c>
      <c r="DJ81" s="39">
        <v>30</v>
      </c>
      <c r="DK81" s="39">
        <v>17</v>
      </c>
      <c r="DL81" s="39">
        <v>8</v>
      </c>
      <c r="DM81" s="39"/>
      <c r="DN81" s="39"/>
      <c r="DO81" s="39">
        <v>1</v>
      </c>
      <c r="DP81" s="39"/>
      <c r="DQ81" s="39">
        <v>1</v>
      </c>
    </row>
    <row r="82" spans="2:121" ht="16.5" x14ac:dyDescent="0.3">
      <c r="B82" s="10">
        <v>2</v>
      </c>
      <c r="C82" s="40" t="s">
        <v>122</v>
      </c>
      <c r="D82" s="57">
        <f t="shared" si="4"/>
        <v>5</v>
      </c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>
        <v>1</v>
      </c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>
        <v>4</v>
      </c>
      <c r="DK82" s="39"/>
      <c r="DL82" s="39"/>
      <c r="DM82" s="39"/>
      <c r="DN82" s="39"/>
      <c r="DO82" s="39"/>
      <c r="DP82" s="39"/>
      <c r="DQ82" s="39"/>
    </row>
    <row r="83" spans="2:121" ht="16.5" x14ac:dyDescent="0.3">
      <c r="B83" s="10">
        <v>3</v>
      </c>
      <c r="C83" s="40" t="s">
        <v>123</v>
      </c>
      <c r="D83" s="57">
        <f t="shared" si="4"/>
        <v>2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>
        <v>1</v>
      </c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>
        <v>1</v>
      </c>
      <c r="DK83" s="39"/>
      <c r="DL83" s="39"/>
      <c r="DM83" s="39"/>
      <c r="DN83" s="39"/>
      <c r="DO83" s="39"/>
      <c r="DP83" s="39"/>
      <c r="DQ83" s="39"/>
    </row>
    <row r="84" spans="2:121" ht="16.5" x14ac:dyDescent="0.3">
      <c r="B84" s="10">
        <v>4</v>
      </c>
      <c r="C84" s="40" t="s">
        <v>124</v>
      </c>
      <c r="D84" s="57">
        <f t="shared" si="4"/>
        <v>1</v>
      </c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>
        <v>1</v>
      </c>
      <c r="DJ84" s="39"/>
      <c r="DK84" s="39"/>
      <c r="DL84" s="39"/>
      <c r="DM84" s="39"/>
      <c r="DN84" s="39"/>
      <c r="DO84" s="39"/>
      <c r="DP84" s="39"/>
      <c r="DQ84" s="39"/>
    </row>
    <row r="85" spans="2:121" ht="16.5" x14ac:dyDescent="0.3">
      <c r="B85" s="10">
        <v>5</v>
      </c>
      <c r="C85" s="40" t="s">
        <v>125</v>
      </c>
      <c r="D85" s="57">
        <f t="shared" si="4"/>
        <v>1</v>
      </c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>
        <v>1</v>
      </c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</row>
    <row r="86" spans="2:121" ht="16.5" x14ac:dyDescent="0.3">
      <c r="B86" s="10">
        <v>6</v>
      </c>
      <c r="C86" s="40" t="s">
        <v>126</v>
      </c>
      <c r="D86" s="57">
        <f t="shared" si="4"/>
        <v>8</v>
      </c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>
        <v>3</v>
      </c>
      <c r="CU86" s="39"/>
      <c r="CV86" s="39"/>
      <c r="CW86" s="39"/>
      <c r="CX86" s="39"/>
      <c r="CY86" s="39"/>
      <c r="CZ86" s="39"/>
      <c r="DA86" s="39"/>
      <c r="DB86" s="39"/>
      <c r="DC86" s="39">
        <v>1</v>
      </c>
      <c r="DD86" s="39"/>
      <c r="DE86" s="39"/>
      <c r="DF86" s="39"/>
      <c r="DG86" s="39"/>
      <c r="DH86" s="39"/>
      <c r="DI86" s="39">
        <v>1</v>
      </c>
      <c r="DJ86" s="39">
        <v>2</v>
      </c>
      <c r="DK86" s="39">
        <v>1</v>
      </c>
      <c r="DL86" s="39"/>
      <c r="DM86" s="39"/>
      <c r="DN86" s="39"/>
      <c r="DO86" s="39"/>
      <c r="DP86" s="39"/>
      <c r="DQ86" s="39"/>
    </row>
    <row r="87" spans="2:121" ht="16.5" x14ac:dyDescent="0.3">
      <c r="B87" s="10">
        <v>7</v>
      </c>
      <c r="C87" s="40" t="s">
        <v>133</v>
      </c>
      <c r="D87" s="57">
        <f t="shared" si="4"/>
        <v>11</v>
      </c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>
        <v>1</v>
      </c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>
        <v>2</v>
      </c>
      <c r="DD87" s="39"/>
      <c r="DE87" s="39"/>
      <c r="DF87" s="39"/>
      <c r="DG87" s="39"/>
      <c r="DH87" s="39"/>
      <c r="DI87" s="39">
        <v>5</v>
      </c>
      <c r="DJ87" s="39">
        <v>2</v>
      </c>
      <c r="DK87" s="39"/>
      <c r="DL87" s="39">
        <v>1</v>
      </c>
      <c r="DM87" s="39"/>
      <c r="DN87" s="39"/>
      <c r="DO87" s="39"/>
      <c r="DP87" s="39"/>
      <c r="DQ87" s="39"/>
    </row>
    <row r="88" spans="2:121" ht="16.5" x14ac:dyDescent="0.3">
      <c r="B88" s="10">
        <v>8</v>
      </c>
      <c r="C88" s="40" t="s">
        <v>127</v>
      </c>
      <c r="D88" s="57">
        <f t="shared" si="4"/>
        <v>5</v>
      </c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>
        <v>1</v>
      </c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>
        <v>3</v>
      </c>
      <c r="DJ88" s="39"/>
      <c r="DK88" s="39"/>
      <c r="DL88" s="39">
        <v>1</v>
      </c>
      <c r="DM88" s="39"/>
      <c r="DN88" s="39"/>
      <c r="DO88" s="39"/>
      <c r="DP88" s="39"/>
      <c r="DQ88" s="39"/>
    </row>
    <row r="89" spans="2:121" ht="16.5" x14ac:dyDescent="0.3">
      <c r="B89" s="10">
        <v>9</v>
      </c>
      <c r="C89" s="40" t="s">
        <v>128</v>
      </c>
      <c r="D89" s="57">
        <f t="shared" si="4"/>
        <v>15</v>
      </c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>
        <v>1</v>
      </c>
      <c r="CP89" s="39"/>
      <c r="CQ89" s="39"/>
      <c r="CR89" s="39"/>
      <c r="CS89" s="39"/>
      <c r="CT89" s="39">
        <v>2</v>
      </c>
      <c r="CU89" s="39"/>
      <c r="CV89" s="39"/>
      <c r="CW89" s="39"/>
      <c r="CX89" s="39"/>
      <c r="CY89" s="39"/>
      <c r="CZ89" s="39"/>
      <c r="DA89" s="39"/>
      <c r="DB89" s="39"/>
      <c r="DC89" s="39">
        <v>3</v>
      </c>
      <c r="DD89" s="39"/>
      <c r="DE89" s="39"/>
      <c r="DF89" s="39"/>
      <c r="DG89" s="39"/>
      <c r="DH89" s="39"/>
      <c r="DI89" s="39"/>
      <c r="DJ89" s="39"/>
      <c r="DK89" s="39">
        <v>8</v>
      </c>
      <c r="DL89" s="39"/>
      <c r="DM89" s="39"/>
      <c r="DN89" s="39"/>
      <c r="DO89" s="39">
        <v>1</v>
      </c>
      <c r="DP89" s="39"/>
      <c r="DQ89" s="39"/>
    </row>
    <row r="90" spans="2:121" ht="16.5" x14ac:dyDescent="0.3">
      <c r="B90" s="10">
        <v>10</v>
      </c>
      <c r="C90" s="40" t="s">
        <v>129</v>
      </c>
      <c r="D90" s="57">
        <f t="shared" si="4"/>
        <v>7</v>
      </c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>
        <v>1</v>
      </c>
      <c r="CP90" s="39"/>
      <c r="CQ90" s="39"/>
      <c r="CR90" s="39"/>
      <c r="CS90" s="39"/>
      <c r="CT90" s="39">
        <v>1</v>
      </c>
      <c r="CU90" s="39"/>
      <c r="CV90" s="39"/>
      <c r="CW90" s="39"/>
      <c r="CX90" s="39"/>
      <c r="CY90" s="39"/>
      <c r="CZ90" s="39"/>
      <c r="DA90" s="39"/>
      <c r="DB90" s="39"/>
      <c r="DC90" s="39">
        <v>1</v>
      </c>
      <c r="DD90" s="39"/>
      <c r="DE90" s="39"/>
      <c r="DF90" s="39"/>
      <c r="DG90" s="39"/>
      <c r="DH90" s="39"/>
      <c r="DI90" s="39">
        <v>3</v>
      </c>
      <c r="DJ90" s="39"/>
      <c r="DK90" s="39">
        <v>1</v>
      </c>
      <c r="DL90" s="39"/>
      <c r="DM90" s="39"/>
      <c r="DN90" s="39"/>
      <c r="DO90" s="39"/>
      <c r="DP90" s="39"/>
      <c r="DQ90" s="39"/>
    </row>
    <row r="91" spans="2:121" ht="16.5" x14ac:dyDescent="0.3">
      <c r="B91" s="10">
        <v>11</v>
      </c>
      <c r="C91" s="40" t="s">
        <v>130</v>
      </c>
      <c r="D91" s="57">
        <f t="shared" si="4"/>
        <v>23</v>
      </c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>
        <v>8</v>
      </c>
      <c r="CU91" s="39"/>
      <c r="CV91" s="39"/>
      <c r="CW91" s="39"/>
      <c r="CX91" s="39"/>
      <c r="CY91" s="39"/>
      <c r="CZ91" s="39"/>
      <c r="DA91" s="39"/>
      <c r="DB91" s="39"/>
      <c r="DC91" s="39">
        <v>4</v>
      </c>
      <c r="DD91" s="39"/>
      <c r="DE91" s="39"/>
      <c r="DF91" s="39"/>
      <c r="DG91" s="39"/>
      <c r="DH91" s="39"/>
      <c r="DI91" s="39">
        <v>7</v>
      </c>
      <c r="DJ91" s="39"/>
      <c r="DK91" s="39">
        <v>2</v>
      </c>
      <c r="DL91" s="39">
        <v>1</v>
      </c>
      <c r="DM91" s="39"/>
      <c r="DN91" s="39"/>
      <c r="DO91" s="39">
        <v>1</v>
      </c>
      <c r="DP91" s="39"/>
      <c r="DQ91" s="39"/>
    </row>
    <row r="92" spans="2:121" ht="16.5" x14ac:dyDescent="0.3">
      <c r="B92" s="10">
        <v>12</v>
      </c>
      <c r="C92" s="40" t="s">
        <v>131</v>
      </c>
      <c r="D92" s="57">
        <f t="shared" si="4"/>
        <v>23</v>
      </c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>
        <v>7</v>
      </c>
      <c r="CU92" s="39"/>
      <c r="CV92" s="39">
        <v>12</v>
      </c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>
        <v>2</v>
      </c>
      <c r="DJ92" s="39">
        <v>1</v>
      </c>
      <c r="DK92" s="39">
        <v>1</v>
      </c>
      <c r="DL92" s="39"/>
      <c r="DM92" s="39"/>
      <c r="DN92" s="39"/>
      <c r="DO92" s="39"/>
      <c r="DP92" s="39"/>
      <c r="DQ92" s="39"/>
    </row>
    <row r="93" spans="2:121" ht="16.5" x14ac:dyDescent="0.3">
      <c r="B93" s="10">
        <v>13</v>
      </c>
      <c r="C93" s="40" t="s">
        <v>132</v>
      </c>
      <c r="D93" s="57">
        <f t="shared" si="4"/>
        <v>61</v>
      </c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>
        <v>53</v>
      </c>
      <c r="CW93" s="39">
        <v>3</v>
      </c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>
        <v>2</v>
      </c>
      <c r="DJ93" s="39">
        <v>3</v>
      </c>
      <c r="DK93" s="39"/>
      <c r="DL93" s="39"/>
      <c r="DM93" s="39"/>
      <c r="DN93" s="39"/>
      <c r="DO93" s="39"/>
      <c r="DP93" s="39"/>
      <c r="DQ93" s="39"/>
    </row>
  </sheetData>
  <sheetProtection algorithmName="SHA-512" hashValue="/Ykw2kCaJqYKTVI8Q0Zs3zQn753vp1uu6JVZ9USnyYHClLX0nmrqa167Yh8oIcVYocjQTcZ5IDXpmpCJwnWW/g==" saltValue="+fnc9Xqlq6isWfGBqdMwPw==" spinCount="100000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93 BI18:DQ93">
      <formula1>0</formula1>
    </dataValidation>
  </dataValidations>
  <pageMargins left="0.18" right="1.23" top="0.43" bottom="0.47" header="0.43" footer="0.51"/>
  <pageSetup paperSize="5" scale="8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20</xdr:row>
                    <xdr:rowOff>9525</xdr:rowOff>
                  </from>
                  <to>
                    <xdr:col>1</xdr:col>
                    <xdr:colOff>752475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20</xdr:row>
                    <xdr:rowOff>9525</xdr:rowOff>
                  </from>
                  <to>
                    <xdr:col>1</xdr:col>
                    <xdr:colOff>1524000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28</xdr:row>
                    <xdr:rowOff>9525</xdr:rowOff>
                  </from>
                  <to>
                    <xdr:col>1</xdr:col>
                    <xdr:colOff>752475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28</xdr:row>
                    <xdr:rowOff>9525</xdr:rowOff>
                  </from>
                  <to>
                    <xdr:col>1</xdr:col>
                    <xdr:colOff>1524000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34</xdr:row>
                    <xdr:rowOff>9525</xdr:rowOff>
                  </from>
                  <to>
                    <xdr:col>1</xdr:col>
                    <xdr:colOff>752475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34</xdr:row>
                    <xdr:rowOff>9525</xdr:rowOff>
                  </from>
                  <to>
                    <xdr:col>1</xdr:col>
                    <xdr:colOff>1524000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46</xdr:row>
                    <xdr:rowOff>9525</xdr:rowOff>
                  </from>
                  <to>
                    <xdr:col>1</xdr:col>
                    <xdr:colOff>752475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46</xdr:row>
                    <xdr:rowOff>9525</xdr:rowOff>
                  </from>
                  <to>
                    <xdr:col>1</xdr:col>
                    <xdr:colOff>1524000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79</xdr:row>
                    <xdr:rowOff>9525</xdr:rowOff>
                  </from>
                  <to>
                    <xdr:col>1</xdr:col>
                    <xdr:colOff>752475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79</xdr:row>
                    <xdr:rowOff>9525</xdr:rowOff>
                  </from>
                  <to>
                    <xdr:col>1</xdr:col>
                    <xdr:colOff>1524000</xdr:colOff>
                    <xdr:row>79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3.1Med_Equipment_Lab</vt:lpstr>
      <vt:lpstr>3.2Outputs_Lab</vt:lpstr>
      <vt:lpstr>MedicalEquipment</vt:lpstr>
      <vt:lpstr>'3.1Med_Equipment_Lab'!Print_Titles</vt:lpstr>
      <vt:lpstr>'3.2Outputs_Lab'!Print_Titles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2018-06-14T01:22:01Z</cp:lastPrinted>
  <dcterms:created xsi:type="dcterms:W3CDTF">2018-04-02T20:38:47Z</dcterms:created>
  <dcterms:modified xsi:type="dcterms:W3CDTF">2018-08-20T03:08:50Z</dcterms:modified>
</cp:coreProperties>
</file>