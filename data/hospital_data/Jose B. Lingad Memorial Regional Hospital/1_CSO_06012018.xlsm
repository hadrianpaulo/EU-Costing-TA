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VELYN\Desktop\Costing\"/>
    </mc:Choice>
  </mc:AlternateContent>
  <workbookProtection workbookAlgorithmName="SHA-512" workbookHashValue="c44O9NEa4W2Rr8w3wHLdT6qhpl0Kg4MJmWVdhSDUS1peMZF+1ZMybn/uj9tmkxJoI650hwk/zW8/3ktejs1IPw==" workbookSaltValue="zNhXjkdUXQhg1rNAplv1uw==" workbookSpinCount="100000" lockStructure="1"/>
  <bookViews>
    <workbookView xWindow="0" yWindow="0" windowWidth="20490" windowHeight="7080"/>
  </bookViews>
  <sheets>
    <sheet name="7.1CSO supplies costs" sheetId="1" r:id="rId1"/>
  </sheets>
  <externalReferences>
    <externalReference r:id="rId2"/>
  </externalReferences>
  <definedNames>
    <definedName name="Drugs">'[1]1.0 Drugs&amp;Med List'!$B$16:$B$315</definedName>
    <definedName name="_xlnm.Print_Titles" localSheetId="0">'7.1CSO supplies costs'!$A:$D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F15" i="1" l="1"/>
  <c r="BU15" i="1"/>
  <c r="CD15" i="1"/>
  <c r="BK15" i="1"/>
  <c r="DR15" i="1" s="1"/>
  <c r="BJ15" i="1"/>
  <c r="BV15" i="1"/>
  <c r="BW15" i="1"/>
  <c r="BQ15" i="1"/>
  <c r="BN15" i="1"/>
  <c r="CS15" i="1"/>
  <c r="CK15" i="1"/>
  <c r="DQ15" i="1"/>
  <c r="DL15" i="1"/>
  <c r="DI15" i="1"/>
  <c r="CT15" i="1"/>
  <c r="CK19" i="1"/>
  <c r="DR19" i="1" s="1"/>
  <c r="DL19" i="1"/>
  <c r="DC19" i="1"/>
  <c r="CX19" i="1"/>
  <c r="CT19" i="1"/>
  <c r="DK19" i="1"/>
  <c r="DJ19" i="1"/>
  <c r="DI19" i="1"/>
  <c r="D21" i="1" l="1"/>
  <c r="D20" i="1"/>
  <c r="D18" i="1"/>
  <c r="D17" i="1"/>
  <c r="D16" i="1"/>
  <c r="D15" i="1"/>
  <c r="D33" i="1" l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Z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</calcChain>
</file>

<file path=xl/sharedStrings.xml><?xml version="1.0" encoding="utf-8"?>
<sst xmlns="http://schemas.openxmlformats.org/spreadsheetml/2006/main" count="140" uniqueCount="89">
  <si>
    <t>Delivery Room</t>
  </si>
  <si>
    <t>Category of supplies</t>
  </si>
  <si>
    <t>Total amount of consumption cost (peso)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</si>
  <si>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Central supply office supervisor/staff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</si>
  <si>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 Central supply logbook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</si>
  <si>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costs of supplies consumed in each unit/department of the hospital</t>
    </r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</si>
  <si>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</si>
  <si>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</si>
  <si>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</si>
  <si>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</si>
  <si>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</si>
  <si>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</si>
  <si>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</si>
  <si>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</si>
  <si>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</si>
  <si>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</si>
  <si>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</si>
  <si>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</si>
  <si>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</si>
  <si>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</si>
  <si>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</si>
  <si>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</si>
  <si>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</si>
  <si>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</si>
  <si>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</si>
  <si>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</si>
  <si>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</si>
  <si>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</si>
  <si>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</si>
  <si>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</si>
  <si>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</si>
  <si>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</si>
  <si>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</si>
  <si>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</si>
  <si>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</si>
  <si>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</si>
  <si>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</si>
  <si>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</si>
  <si>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</si>
  <si>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</si>
  <si>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</si>
  <si>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</si>
  <si>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</si>
  <si>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</si>
  <si>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</si>
  <si>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</si>
  <si>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</si>
  <si>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t>Total</t>
  </si>
  <si>
    <t>Others</t>
  </si>
  <si>
    <t>Sterilization</t>
  </si>
  <si>
    <t>Laboratory</t>
  </si>
  <si>
    <t>Radiology / Diagnostic Imaging (CT Scan, MRI, ECG, Mammography, Endoscopy)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</si>
  <si>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</si>
  <si>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</si>
  <si>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</si>
  <si>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</si>
  <si>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</si>
  <si>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</si>
  <si>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</si>
  <si>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</si>
  <si>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</si>
  <si>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</si>
  <si>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Heart Station</t>
  </si>
  <si>
    <t>Diabetes MAP</t>
  </si>
  <si>
    <t>Hypertension MAP</t>
  </si>
  <si>
    <t>Nuclear Medicine</t>
  </si>
  <si>
    <t>Endoscopy Unit</t>
  </si>
  <si>
    <t>Medical and other supplies and consumables dispensed by Central Supply Office/Unit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</si>
  <si>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expenses of medical and other supplies used by  various departments</t>
    </r>
  </si>
  <si>
    <t>#</t>
  </si>
  <si>
    <t>Period covered:</t>
  </si>
  <si>
    <t>IT Departments</t>
  </si>
  <si>
    <t>Housekeeping</t>
  </si>
  <si>
    <t>Outpatient Department (general)</t>
  </si>
  <si>
    <t xml:space="preserve">Diabetes </t>
  </si>
  <si>
    <t>Hypertension</t>
  </si>
  <si>
    <t>IT Department</t>
  </si>
  <si>
    <t xml:space="preserve">Housekeeping </t>
  </si>
  <si>
    <t>Office of the Chief of Medical Professional Staff / Chief of Clinics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</si>
  <si>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</si>
  <si>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Supplies</t>
  </si>
  <si>
    <t>OFFICE SUPPLIES</t>
  </si>
  <si>
    <t>DRUGS AND MEDICINE</t>
  </si>
  <si>
    <t>LABORATORY</t>
  </si>
  <si>
    <t>RADIOLOGY</t>
  </si>
  <si>
    <t>SURGICAL AND DENTAL</t>
  </si>
  <si>
    <t>MEDICAL OXYGEN</t>
  </si>
  <si>
    <t>OTHERS (ENG'G, HOUSE KEEPING)</t>
  </si>
  <si>
    <t>Others (Opthalmology)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</si>
</sst>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i/>
      <sz val="10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Calibri"/>
      <family val="2"/>
    </font>
    <font>
      <sz val="11"/>
      <name val="Arial Narrow"/>
      <family val="2"/>
    </font>
    <font>
      <b/>
      <sz val="11"/>
      <color rgb="FFFF000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9" fillId="0" borderId="0" applyFon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8" fillId="0" borderId="1" xfId="0" applyFont="1" applyBorder="1"/>
    <xf numFmtId="0" fontId="8" fillId="0" borderId="0" xfId="0" applyFont="1"/>
    <xf numFmtId="43" fontId="10" fillId="2" borderId="1" xfId="2" applyFont="1" applyFill="1" applyBorder="1" applyProtection="1">
      <protection locked="0"/>
    </xf>
    <xf numFmtId="43" fontId="8" fillId="0" borderId="1" xfId="0" applyNumberFormat="1" applyFont="1" applyBorder="1"/>
    <xf numFmtId="0" fontId="5" fillId="0" borderId="1" xfId="0" applyFont="1" applyBorder="1" applyAlignment="1">
      <alignment horizontal="right" vertical="center"/>
    </xf>
    <xf numFmtId="0" fontId="10" fillId="2" borderId="1" xfId="0" applyFont="1" applyFill="1" applyBorder="1" applyAlignment="1" applyProtection="1">
      <alignment wrapText="1"/>
      <protection locked="0"/>
    </xf>
    <xf numFmtId="0" fontId="5" fillId="0" borderId="0" xfId="0" applyFont="1" applyProtection="1"/>
    <xf numFmtId="0" fontId="5" fillId="0" borderId="0" xfId="0" applyFont="1" applyAlignment="1" applyProtection="1">
      <alignment horizontal="center" wrapText="1"/>
    </xf>
    <xf numFmtId="0" fontId="13" fillId="4" borderId="1" xfId="1" applyFont="1" applyFill="1" applyBorder="1" applyAlignment="1">
      <alignment horizontal="left" vertical="center" wrapText="1"/>
    </xf>
    <xf numFmtId="0" fontId="17" fillId="4" borderId="1" xfId="1" applyFont="1" applyFill="1" applyBorder="1" applyAlignment="1">
      <alignment horizontal="left" vertical="center" wrapText="1"/>
    </xf>
    <xf numFmtId="0" fontId="14" fillId="4" borderId="1" xfId="1" applyFont="1" applyFill="1" applyBorder="1" applyAlignment="1">
      <alignment horizontal="left" vertical="center" wrapText="1"/>
    </xf>
    <xf numFmtId="43" fontId="10" fillId="2" borderId="2" xfId="2" applyFont="1" applyFill="1" applyBorder="1" applyProtection="1">
      <protection locked="0"/>
    </xf>
    <xf numFmtId="0" fontId="4" fillId="4" borderId="1" xfId="1" applyFont="1" applyFill="1" applyBorder="1" applyAlignment="1">
      <alignment vertical="center"/>
    </xf>
    <xf numFmtId="0" fontId="4" fillId="4" borderId="1" xfId="1" applyFont="1" applyFill="1" applyBorder="1" applyAlignment="1">
      <alignment vertical="top" wrapText="1"/>
    </xf>
    <xf numFmtId="0" fontId="5" fillId="3" borderId="3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2" fillId="4" borderId="9" xfId="0" applyFont="1" applyFill="1" applyBorder="1"/>
    <xf numFmtId="0" fontId="2" fillId="4" borderId="0" xfId="0" applyFont="1" applyFill="1" applyBorder="1"/>
    <xf numFmtId="0" fontId="2" fillId="4" borderId="10" xfId="0" applyFont="1" applyFill="1" applyBorder="1"/>
    <xf numFmtId="0" fontId="3" fillId="4" borderId="9" xfId="0" applyFont="1" applyFill="1" applyBorder="1"/>
    <xf numFmtId="0" fontId="10" fillId="0" borderId="1" xfId="0" applyFont="1" applyBorder="1" applyAlignment="1" applyProtection="1">
      <alignment horizontal="center" vertical="center"/>
      <protection locked="0"/>
    </xf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3" fillId="3" borderId="0" xfId="0" applyFont="1" applyFill="1"/>
    <xf numFmtId="0" fontId="5" fillId="3" borderId="0" xfId="0" applyFont="1" applyFill="1"/>
    <xf numFmtId="0" fontId="15" fillId="4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3" fillId="0" borderId="0" xfId="0" applyFont="1" applyProtection="1"/>
    <xf numFmtId="0" fontId="5" fillId="4" borderId="1" xfId="0" applyFont="1" applyFill="1" applyBorder="1" applyAlignment="1">
      <alignment horizontal="center" vertical="center"/>
    </xf>
    <xf numFmtId="43" fontId="5" fillId="0" borderId="0" xfId="0" applyNumberFormat="1" applyFont="1"/>
    <xf numFmtId="164" fontId="5" fillId="0" borderId="0" xfId="0" applyNumberFormat="1" applyFont="1"/>
    <xf numFmtId="164" fontId="5" fillId="0" borderId="0" xfId="0" applyNumberFormat="1" applyFont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6" fillId="3" borderId="1" xfId="1" applyFont="1" applyFill="1" applyBorder="1" applyAlignment="1">
      <alignment wrapText="1"/>
    </xf>
    <xf numFmtId="0" fontId="15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2" fillId="4" borderId="6" xfId="0" applyFont="1" applyFill="1" applyBorder="1" applyAlignment="1">
      <alignment horizontal="left"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13" fillId="3" borderId="3" xfId="1" applyFont="1" applyFill="1" applyBorder="1" applyAlignment="1">
      <alignment wrapText="1"/>
    </xf>
    <xf numFmtId="0" fontId="13" fillId="3" borderId="4" xfId="1" applyFont="1" applyFill="1" applyBorder="1" applyAlignment="1">
      <alignment wrapText="1"/>
    </xf>
    <xf numFmtId="0" fontId="13" fillId="3" borderId="5" xfId="1" applyFont="1" applyFill="1" applyBorder="1" applyAlignment="1">
      <alignment wrapText="1"/>
    </xf>
    <xf numFmtId="0" fontId="13" fillId="3" borderId="1" xfId="1" applyFont="1" applyFill="1" applyBorder="1" applyAlignment="1">
      <alignment wrapText="1"/>
    </xf>
    <xf numFmtId="0" fontId="14" fillId="3" borderId="1" xfId="1" applyFont="1" applyFill="1" applyBorder="1" applyAlignment="1">
      <alignment wrapText="1"/>
    </xf>
    <xf numFmtId="0" fontId="13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19050</xdr:rowOff>
        </xdr:from>
        <xdr:to>
          <xdr:col>1</xdr:col>
          <xdr:colOff>762000</xdr:colOff>
          <xdr:row>14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14</xdr:row>
          <xdr:rowOff>19050</xdr:rowOff>
        </xdr:from>
        <xdr:to>
          <xdr:col>1</xdr:col>
          <xdr:colOff>1524000</xdr:colOff>
          <xdr:row>14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1800225</xdr:colOff>
          <xdr:row>10</xdr:row>
          <xdr:rowOff>0</xdr:rowOff>
        </xdr:from>
        <xdr:to>
          <xdr:col>2</xdr:col>
          <xdr:colOff>2886075</xdr:colOff>
          <xdr:row>11</xdr:row>
          <xdr:rowOff>9525</xdr:rowOff>
        </xdr:to>
        <xdr:sp macro="" textlink="">
          <xdr:nvSpPr>
            <xdr:cNvPr id="1027" name="SelectI" descr="Select Level I and II Health Faciliti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3038475</xdr:colOff>
          <xdr:row>10</xdr:row>
          <xdr:rowOff>0</xdr:rowOff>
        </xdr:from>
        <xdr:to>
          <xdr:col>3</xdr:col>
          <xdr:colOff>790575</xdr:colOff>
          <xdr:row>11</xdr:row>
          <xdr:rowOff>9525</xdr:rowOff>
        </xdr:to>
        <xdr:sp macro="" textlink="">
          <xdr:nvSpPr>
            <xdr:cNvPr id="1028" name="SelectIIandIII" descr="Select Level I and II Health Faciliti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T34"/>
  <sheetViews>
    <sheetView showGridLines="0" tabSelected="1" topLeftCell="CH1" zoomScale="85" zoomScaleNormal="85" workbookViewId="0">
      <selection activeCell="CH14" sqref="CH14"/>
    </sheetView>
  </sheetViews>
  <sheetFormatPr defaultColWidth="8.7109375" defaultRowHeight="16.5" outlineLevelRow="1" x14ac:dyDescent="0.3"/>
  <cols>
    <col min="1" max="1" width="3.85546875" style="2" customWidth="1"/>
    <col min="2" max="2" width="26.85546875" style="2" customWidth="1"/>
    <col min="3" max="3" width="46.42578125" style="2" customWidth="1"/>
    <col min="4" max="4" width="12.85546875" style="2" customWidth="1"/>
    <col min="5" max="5" width="1.42578125" style="6" customWidth="1"/>
    <col min="6" max="59" width="8.7109375" style="6" hidden="1" customWidth="1"/>
    <col min="60" max="60" width="1.85546875" style="6" customWidth="1"/>
    <col min="61" max="61" width="8.7109375" style="6" customWidth="1"/>
    <col min="62" max="64" width="11" style="6" bestFit="1" customWidth="1"/>
    <col min="65" max="65" width="10" style="6" bestFit="1" customWidth="1"/>
    <col min="66" max="66" width="10.28515625" style="6" bestFit="1" customWidth="1"/>
    <col min="67" max="67" width="15.28515625" style="6" customWidth="1"/>
    <col min="68" max="68" width="8.7109375" style="6" customWidth="1"/>
    <col min="69" max="69" width="11" style="6" bestFit="1" customWidth="1"/>
    <col min="70" max="71" width="10" style="6" bestFit="1" customWidth="1"/>
    <col min="72" max="72" width="11" style="6" bestFit="1" customWidth="1"/>
    <col min="73" max="73" width="10.28515625" style="6" customWidth="1"/>
    <col min="74" max="74" width="11.28515625" style="6" customWidth="1"/>
    <col min="75" max="75" width="10.42578125" style="6" customWidth="1"/>
    <col min="76" max="76" width="8.7109375" style="6" customWidth="1"/>
    <col min="77" max="77" width="11.7109375" style="6" customWidth="1"/>
    <col min="78" max="79" width="12.42578125" style="6" bestFit="1" customWidth="1"/>
    <col min="80" max="80" width="11" style="6" bestFit="1" customWidth="1"/>
    <col min="81" max="81" width="8.7109375" style="6" customWidth="1"/>
    <col min="82" max="82" width="12.140625" style="6" customWidth="1"/>
    <col min="83" max="83" width="8.7109375" style="6" customWidth="1"/>
    <col min="84" max="84" width="12.42578125" style="6" bestFit="1" customWidth="1"/>
    <col min="85" max="85" width="18.5703125" style="6" customWidth="1"/>
    <col min="86" max="86" width="12.28515625" style="6" customWidth="1"/>
    <col min="87" max="87" width="11.28515625" style="6" customWidth="1"/>
    <col min="88" max="88" width="12.42578125" style="6" bestFit="1" customWidth="1"/>
    <col min="89" max="89" width="14.7109375" style="6" bestFit="1" customWidth="1"/>
    <col min="90" max="90" width="8.7109375" style="6" customWidth="1"/>
    <col min="91" max="91" width="11" style="6" bestFit="1" customWidth="1"/>
    <col min="92" max="94" width="12.42578125" style="6" bestFit="1" customWidth="1"/>
    <col min="95" max="96" width="8.7109375" style="6" customWidth="1"/>
    <col min="97" max="97" width="11.140625" style="6" customWidth="1"/>
    <col min="98" max="98" width="12.42578125" style="6" bestFit="1" customWidth="1"/>
    <col min="99" max="99" width="8.7109375" style="6" customWidth="1"/>
    <col min="100" max="100" width="11" style="6" customWidth="1"/>
    <col min="101" max="101" width="8.7109375" style="6" customWidth="1"/>
    <col min="102" max="102" width="11" style="6" bestFit="1" customWidth="1"/>
    <col min="103" max="106" width="8.7109375" style="6" customWidth="1"/>
    <col min="107" max="107" width="13.5703125" style="6" bestFit="1" customWidth="1"/>
    <col min="108" max="108" width="11" style="6" bestFit="1" customWidth="1"/>
    <col min="109" max="109" width="8.7109375" style="6" customWidth="1"/>
    <col min="110" max="110" width="11" style="6" bestFit="1" customWidth="1"/>
    <col min="111" max="111" width="8.7109375" style="6" customWidth="1"/>
    <col min="112" max="112" width="11" style="6" bestFit="1" customWidth="1"/>
    <col min="113" max="115" width="12.42578125" style="6" bestFit="1" customWidth="1"/>
    <col min="116" max="116" width="13.5703125" style="6" bestFit="1" customWidth="1"/>
    <col min="117" max="118" width="8.7109375" style="6" customWidth="1"/>
    <col min="119" max="119" width="12.42578125" style="6" bestFit="1" customWidth="1"/>
    <col min="120" max="120" width="8.7109375" style="6" customWidth="1"/>
    <col min="121" max="121" width="12.42578125" style="6" bestFit="1" customWidth="1"/>
    <col min="122" max="122" width="12.85546875" style="2" hidden="1" customWidth="1"/>
    <col min="123" max="123" width="12.85546875" style="2" bestFit="1" customWidth="1"/>
    <col min="124" max="124" width="9.85546875" style="2" bestFit="1" customWidth="1"/>
    <col min="125" max="16384" width="8.7109375" style="2"/>
  </cols>
  <sheetData>
    <row r="2" spans="2:124" x14ac:dyDescent="0.3">
      <c r="B2" s="32" t="s">
        <v>67</v>
      </c>
      <c r="C2" s="33"/>
      <c r="D2" s="3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</row>
    <row r="3" spans="2:124" x14ac:dyDescent="0.3">
      <c r="B3" s="1"/>
    </row>
    <row r="4" spans="2:124" hidden="1" outlineLevel="1" x14ac:dyDescent="0.3">
      <c r="B4" s="2" t="s">
        <v>80</v>
      </c>
      <c r="C4" s="3">
        <v>18</v>
      </c>
    </row>
    <row r="5" spans="2:124" s="6" customFormat="1" ht="13.5" customHeight="1" collapsed="1" x14ac:dyDescent="0.3">
      <c r="B5" s="45" t="s">
        <v>5</v>
      </c>
      <c r="C5" s="46"/>
      <c r="D5" s="47"/>
    </row>
    <row r="6" spans="2:124" s="6" customFormat="1" x14ac:dyDescent="0.3">
      <c r="B6" s="24" t="s">
        <v>3</v>
      </c>
      <c r="C6" s="25"/>
      <c r="D6" s="26"/>
    </row>
    <row r="7" spans="2:124" s="6" customFormat="1" x14ac:dyDescent="0.3">
      <c r="B7" s="24" t="s">
        <v>4</v>
      </c>
      <c r="C7" s="25"/>
      <c r="D7" s="26"/>
    </row>
    <row r="8" spans="2:124" s="6" customFormat="1" x14ac:dyDescent="0.3">
      <c r="B8" s="27" t="s">
        <v>70</v>
      </c>
      <c r="C8" s="28">
        <v>2017</v>
      </c>
      <c r="D8" s="26"/>
    </row>
    <row r="9" spans="2:124" s="6" customFormat="1" x14ac:dyDescent="0.3">
      <c r="B9" s="29" t="s">
        <v>68</v>
      </c>
      <c r="C9" s="30"/>
      <c r="D9" s="31"/>
    </row>
    <row r="10" spans="2:124" ht="12.75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</row>
    <row r="11" spans="2:124" s="13" customFormat="1" x14ac:dyDescent="0.2">
      <c r="B11" s="34" t="s">
        <v>79</v>
      </c>
      <c r="C11" s="34"/>
    </row>
    <row r="12" spans="2:124" s="13" customFormat="1" x14ac:dyDescent="0.3">
      <c r="B12" s="35"/>
      <c r="C12" s="35"/>
      <c r="D12" s="36"/>
    </row>
    <row r="13" spans="2:124" ht="14.45" customHeight="1" x14ac:dyDescent="0.3">
      <c r="B13" s="21"/>
      <c r="C13" s="22"/>
      <c r="D13" s="23"/>
      <c r="E13" s="14"/>
      <c r="F13" s="48" t="s">
        <v>6</v>
      </c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50"/>
      <c r="X13" s="51" t="s">
        <v>22</v>
      </c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3" t="s">
        <v>33</v>
      </c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14"/>
      <c r="BI13" s="41" t="s">
        <v>6</v>
      </c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3" t="s">
        <v>22</v>
      </c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1" t="s">
        <v>33</v>
      </c>
      <c r="CU13" s="41"/>
      <c r="CV13" s="41"/>
      <c r="CW13" s="41"/>
      <c r="CX13" s="41"/>
      <c r="CY13" s="41"/>
      <c r="CZ13" s="41"/>
      <c r="DA13" s="41"/>
      <c r="DB13" s="41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</row>
    <row r="14" spans="2:124" s="4" customFormat="1" ht="71.25" customHeight="1" x14ac:dyDescent="0.2">
      <c r="B14" s="37" t="s">
        <v>69</v>
      </c>
      <c r="C14" s="19" t="s">
        <v>1</v>
      </c>
      <c r="D14" s="20" t="s">
        <v>2</v>
      </c>
      <c r="E14" s="14"/>
      <c r="F14" s="15" t="s">
        <v>7</v>
      </c>
      <c r="G14" s="15" t="s">
        <v>71</v>
      </c>
      <c r="H14" s="15" t="s">
        <v>8</v>
      </c>
      <c r="I14" s="15" t="s">
        <v>9</v>
      </c>
      <c r="J14" s="15" t="s">
        <v>10</v>
      </c>
      <c r="K14" s="15" t="s">
        <v>11</v>
      </c>
      <c r="L14" s="15" t="s">
        <v>12</v>
      </c>
      <c r="M14" s="15" t="s">
        <v>72</v>
      </c>
      <c r="N14" s="15" t="s">
        <v>13</v>
      </c>
      <c r="O14" s="15" t="s">
        <v>14</v>
      </c>
      <c r="P14" s="15" t="s">
        <v>15</v>
      </c>
      <c r="Q14" s="15" t="s">
        <v>16</v>
      </c>
      <c r="R14" s="15" t="s">
        <v>17</v>
      </c>
      <c r="S14" s="15" t="s">
        <v>18</v>
      </c>
      <c r="T14" s="15" t="s">
        <v>19</v>
      </c>
      <c r="U14" s="15" t="s">
        <v>20</v>
      </c>
      <c r="V14" s="15" t="s">
        <v>21</v>
      </c>
      <c r="W14" s="15" t="s">
        <v>48</v>
      </c>
      <c r="X14" s="15" t="s">
        <v>23</v>
      </c>
      <c r="Y14" s="15" t="s">
        <v>26</v>
      </c>
      <c r="Z14" s="16" t="s">
        <v>49</v>
      </c>
      <c r="AA14" s="15" t="s">
        <v>25</v>
      </c>
      <c r="AB14" s="16" t="s">
        <v>24</v>
      </c>
      <c r="AC14" s="15" t="s">
        <v>50</v>
      </c>
      <c r="AD14" s="15" t="s">
        <v>51</v>
      </c>
      <c r="AE14" s="15" t="s">
        <v>52</v>
      </c>
      <c r="AF14" s="15" t="s">
        <v>0</v>
      </c>
      <c r="AG14" s="15" t="s">
        <v>27</v>
      </c>
      <c r="AH14" s="15" t="s">
        <v>53</v>
      </c>
      <c r="AI14" s="15" t="s">
        <v>28</v>
      </c>
      <c r="AJ14" s="15" t="s">
        <v>29</v>
      </c>
      <c r="AK14" s="15" t="s">
        <v>30</v>
      </c>
      <c r="AL14" s="15" t="s">
        <v>31</v>
      </c>
      <c r="AM14" s="16" t="s">
        <v>54</v>
      </c>
      <c r="AN14" s="16" t="s">
        <v>55</v>
      </c>
      <c r="AO14" s="15" t="s">
        <v>48</v>
      </c>
      <c r="AP14" s="15" t="s">
        <v>73</v>
      </c>
      <c r="AQ14" s="15" t="s">
        <v>56</v>
      </c>
      <c r="AR14" s="15" t="s">
        <v>57</v>
      </c>
      <c r="AS14" s="15" t="s">
        <v>58</v>
      </c>
      <c r="AT14" s="15" t="s">
        <v>59</v>
      </c>
      <c r="AU14" s="15" t="s">
        <v>60</v>
      </c>
      <c r="AV14" s="15" t="s">
        <v>61</v>
      </c>
      <c r="AW14" s="16" t="s">
        <v>74</v>
      </c>
      <c r="AX14" s="15" t="s">
        <v>75</v>
      </c>
      <c r="AY14" s="15" t="s">
        <v>35</v>
      </c>
      <c r="AZ14" s="15" t="s">
        <v>36</v>
      </c>
      <c r="BA14" s="15" t="s">
        <v>32</v>
      </c>
      <c r="BB14" s="15" t="s">
        <v>37</v>
      </c>
      <c r="BC14" s="15" t="s">
        <v>38</v>
      </c>
      <c r="BD14" s="15" t="s">
        <v>39</v>
      </c>
      <c r="BE14" s="15" t="s">
        <v>40</v>
      </c>
      <c r="BF14" s="15" t="s">
        <v>41</v>
      </c>
      <c r="BG14" s="15" t="s">
        <v>42</v>
      </c>
      <c r="BH14" s="14"/>
      <c r="BI14" s="15" t="s">
        <v>7</v>
      </c>
      <c r="BJ14" s="15" t="s">
        <v>76</v>
      </c>
      <c r="BK14" s="15" t="s">
        <v>8</v>
      </c>
      <c r="BL14" s="15" t="s">
        <v>9</v>
      </c>
      <c r="BM14" s="15" t="s">
        <v>10</v>
      </c>
      <c r="BN14" s="15" t="s">
        <v>11</v>
      </c>
      <c r="BO14" s="15" t="s">
        <v>12</v>
      </c>
      <c r="BP14" s="15" t="s">
        <v>77</v>
      </c>
      <c r="BQ14" s="15" t="s">
        <v>13</v>
      </c>
      <c r="BR14" s="15" t="s">
        <v>14</v>
      </c>
      <c r="BS14" s="15" t="s">
        <v>15</v>
      </c>
      <c r="BT14" s="15" t="s">
        <v>16</v>
      </c>
      <c r="BU14" s="15" t="s">
        <v>17</v>
      </c>
      <c r="BV14" s="15" t="s">
        <v>18</v>
      </c>
      <c r="BW14" s="15" t="s">
        <v>19</v>
      </c>
      <c r="BX14" s="15" t="s">
        <v>20</v>
      </c>
      <c r="BY14" s="15" t="s">
        <v>78</v>
      </c>
      <c r="BZ14" s="15" t="s">
        <v>88</v>
      </c>
      <c r="CA14" s="15" t="s">
        <v>23</v>
      </c>
      <c r="CB14" s="15" t="s">
        <v>26</v>
      </c>
      <c r="CC14" s="15" t="s">
        <v>49</v>
      </c>
      <c r="CD14" s="15" t="s">
        <v>25</v>
      </c>
      <c r="CE14" s="15" t="s">
        <v>24</v>
      </c>
      <c r="CF14" s="15" t="s">
        <v>50</v>
      </c>
      <c r="CG14" s="15" t="s">
        <v>51</v>
      </c>
      <c r="CH14" s="15" t="s">
        <v>62</v>
      </c>
      <c r="CI14" s="15" t="s">
        <v>52</v>
      </c>
      <c r="CJ14" s="15" t="s">
        <v>0</v>
      </c>
      <c r="CK14" s="15" t="s">
        <v>27</v>
      </c>
      <c r="CL14" s="15" t="s">
        <v>53</v>
      </c>
      <c r="CM14" s="15" t="s">
        <v>28</v>
      </c>
      <c r="CN14" s="15" t="s">
        <v>29</v>
      </c>
      <c r="CO14" s="15" t="s">
        <v>30</v>
      </c>
      <c r="CP14" s="15" t="s">
        <v>31</v>
      </c>
      <c r="CQ14" s="15" t="s">
        <v>54</v>
      </c>
      <c r="CR14" s="15" t="s">
        <v>55</v>
      </c>
      <c r="CS14" s="16" t="s">
        <v>48</v>
      </c>
      <c r="CT14" s="15" t="s">
        <v>34</v>
      </c>
      <c r="CU14" s="15" t="s">
        <v>56</v>
      </c>
      <c r="CV14" s="15" t="s">
        <v>57</v>
      </c>
      <c r="CW14" s="15" t="s">
        <v>58</v>
      </c>
      <c r="CX14" s="15" t="s">
        <v>59</v>
      </c>
      <c r="CY14" s="15" t="s">
        <v>60</v>
      </c>
      <c r="CZ14" s="15" t="s">
        <v>61</v>
      </c>
      <c r="DA14" s="17" t="s">
        <v>63</v>
      </c>
      <c r="DB14" s="15" t="s">
        <v>64</v>
      </c>
      <c r="DC14" s="15" t="s">
        <v>35</v>
      </c>
      <c r="DD14" s="15" t="s">
        <v>36</v>
      </c>
      <c r="DE14" s="15" t="s">
        <v>65</v>
      </c>
      <c r="DF14" s="15" t="s">
        <v>32</v>
      </c>
      <c r="DG14" s="15" t="s">
        <v>66</v>
      </c>
      <c r="DH14" s="15" t="s">
        <v>37</v>
      </c>
      <c r="DI14" s="15" t="s">
        <v>38</v>
      </c>
      <c r="DJ14" s="15" t="s">
        <v>39</v>
      </c>
      <c r="DK14" s="15" t="s">
        <v>40</v>
      </c>
      <c r="DL14" s="15" t="s">
        <v>41</v>
      </c>
      <c r="DM14" s="15" t="s">
        <v>42</v>
      </c>
      <c r="DN14" s="15" t="s">
        <v>43</v>
      </c>
      <c r="DO14" s="15" t="s">
        <v>44</v>
      </c>
      <c r="DP14" s="15" t="s">
        <v>45</v>
      </c>
      <c r="DQ14" s="15" t="s">
        <v>46</v>
      </c>
    </row>
    <row r="15" spans="2:124" s="5" customFormat="1" x14ac:dyDescent="0.3">
      <c r="B15" s="11">
        <v>1</v>
      </c>
      <c r="C15" s="12" t="s">
        <v>81</v>
      </c>
      <c r="D15" s="9">
        <f>17154.37+240501.97+890515.67+237949+516702.47+295711.36+21735+16834+7283+16057.5+104805.76+132691.37+5450</f>
        <v>2503391.4699999997</v>
      </c>
      <c r="E15" s="1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4"/>
      <c r="BI15" s="18">
        <v>6386.28</v>
      </c>
      <c r="BJ15" s="18">
        <f>449547.6+52200</f>
        <v>501747.6</v>
      </c>
      <c r="BK15" s="18">
        <f>652400.12+75400</f>
        <v>727800.12</v>
      </c>
      <c r="BL15" s="18">
        <v>46020</v>
      </c>
      <c r="BM15" s="18">
        <v>50125</v>
      </c>
      <c r="BN15" s="18">
        <f>45358</f>
        <v>45358</v>
      </c>
      <c r="BO15" s="18">
        <v>30358</v>
      </c>
      <c r="BP15" s="18">
        <v>2274.29</v>
      </c>
      <c r="BQ15" s="18">
        <f>120989.65+14500</f>
        <v>135489.65</v>
      </c>
      <c r="BR15" s="18">
        <v>10035.219999999999</v>
      </c>
      <c r="BS15" s="18">
        <v>58351.13</v>
      </c>
      <c r="BT15" s="18">
        <v>12033.33</v>
      </c>
      <c r="BU15" s="18">
        <f>46031.23+30000</f>
        <v>76031.23000000001</v>
      </c>
      <c r="BV15" s="18">
        <f>51819.17+8000</f>
        <v>59819.17</v>
      </c>
      <c r="BW15" s="18">
        <f>85379.15+8700</f>
        <v>94079.15</v>
      </c>
      <c r="BX15" s="18"/>
      <c r="BY15" s="18">
        <v>21278.25</v>
      </c>
      <c r="BZ15" s="18">
        <v>3404.18</v>
      </c>
      <c r="CA15" s="18"/>
      <c r="CB15" s="18">
        <v>6078.22</v>
      </c>
      <c r="CC15" s="18"/>
      <c r="CD15" s="18">
        <f>47419.29+25000</f>
        <v>72419.290000000008</v>
      </c>
      <c r="CE15" s="18"/>
      <c r="CF15" s="18">
        <f>59354.08+23000-97.16</f>
        <v>82256.92</v>
      </c>
      <c r="CG15" s="18">
        <v>52388.52</v>
      </c>
      <c r="CH15" s="18">
        <v>15963.01</v>
      </c>
      <c r="CI15" s="18">
        <v>1741.88</v>
      </c>
      <c r="CJ15" s="18"/>
      <c r="CK15" s="18">
        <f>3352.79+428.88+3352.79+4851.57+158.67</f>
        <v>12144.699999999999</v>
      </c>
      <c r="CL15" s="18"/>
      <c r="CM15" s="18">
        <v>4500.22</v>
      </c>
      <c r="CN15" s="18">
        <v>5604.31</v>
      </c>
      <c r="CO15" s="18"/>
      <c r="CP15" s="18"/>
      <c r="CQ15" s="18"/>
      <c r="CR15" s="18"/>
      <c r="CS15" s="18">
        <f>11206.38+21811.34</f>
        <v>33017.72</v>
      </c>
      <c r="CT15" s="18">
        <f>12632.37+13962.69</f>
        <v>26595.06</v>
      </c>
      <c r="CU15" s="18"/>
      <c r="CV15" s="18">
        <v>46031.23</v>
      </c>
      <c r="CW15" s="18">
        <v>6580.25</v>
      </c>
      <c r="CX15" s="18">
        <v>4630.12</v>
      </c>
      <c r="CY15" s="18"/>
      <c r="CZ15" s="18"/>
      <c r="DA15" s="18"/>
      <c r="DB15" s="18"/>
      <c r="DC15" s="18">
        <v>30693.8</v>
      </c>
      <c r="DD15" s="18">
        <v>2036.59</v>
      </c>
      <c r="DE15" s="18"/>
      <c r="DF15" s="18">
        <v>3500</v>
      </c>
      <c r="DG15" s="18"/>
      <c r="DH15" s="18">
        <v>10200</v>
      </c>
      <c r="DI15" s="18">
        <f>12962.64+1100.07</f>
        <v>14062.71</v>
      </c>
      <c r="DJ15" s="18">
        <v>12224.34</v>
      </c>
      <c r="DK15" s="18">
        <v>64898.69</v>
      </c>
      <c r="DL15" s="18">
        <f>5105.51+1293.52+23895.82+6564.22+929.35</f>
        <v>37788.42</v>
      </c>
      <c r="DM15" s="18"/>
      <c r="DN15" s="18"/>
      <c r="DO15" s="18">
        <v>9760.81</v>
      </c>
      <c r="DP15" s="18">
        <v>6050</v>
      </c>
      <c r="DQ15" s="18">
        <f>45266.8+16367.26</f>
        <v>61634.060000000005</v>
      </c>
      <c r="DR15" s="38">
        <f>SUM(BI15:DQ15)</f>
        <v>2503391.4699999997</v>
      </c>
      <c r="DS15" s="40"/>
      <c r="DT15" s="40"/>
    </row>
    <row r="16" spans="2:124" x14ac:dyDescent="0.3">
      <c r="B16" s="11">
        <v>2</v>
      </c>
      <c r="C16" s="12" t="s">
        <v>82</v>
      </c>
      <c r="D16" s="9">
        <f>7400964.78+4074493.65+12272317.49+7531037.37+5498939.78+2391677.38+15261998.63+15966727.53+12885218.06+23486.8+285150.95+18309003.47</f>
        <v>101901015.89</v>
      </c>
      <c r="E16" s="1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4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</row>
    <row r="17" spans="2:123" x14ac:dyDescent="0.3">
      <c r="B17" s="11">
        <v>3</v>
      </c>
      <c r="C17" s="12" t="s">
        <v>83</v>
      </c>
      <c r="D17" s="9">
        <f>3849499.68+5005877.56+7158745.9+5751825.8+7876448.33+4360284.93+9171706.96+7581559.99+5869461.74+5854058.81+56165+217261.52+6039734.37</f>
        <v>68792630.590000018</v>
      </c>
      <c r="E17" s="1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4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</row>
    <row r="18" spans="2:123" x14ac:dyDescent="0.3">
      <c r="B18" s="11">
        <v>4</v>
      </c>
      <c r="C18" s="12" t="s">
        <v>84</v>
      </c>
      <c r="D18" s="9">
        <f>301900+377204+384030.2+433655.2+316264.08+692880.2+487358.48+408000+407414.27+395217.5+217018.77+89303.28+33150</f>
        <v>4543395.9799999995</v>
      </c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</row>
    <row r="19" spans="2:123" x14ac:dyDescent="0.3">
      <c r="B19" s="11">
        <v>5</v>
      </c>
      <c r="C19" s="12" t="s">
        <v>85</v>
      </c>
      <c r="D19" s="9">
        <v>146341797.05000001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>
        <v>1503.45</v>
      </c>
      <c r="BS19" s="18">
        <v>49.91</v>
      </c>
      <c r="BT19" s="18">
        <v>238295.31</v>
      </c>
      <c r="BU19" s="18"/>
      <c r="BV19" s="18"/>
      <c r="BW19" s="18"/>
      <c r="BX19" s="18"/>
      <c r="BY19" s="18"/>
      <c r="BZ19" s="18"/>
      <c r="CA19" s="18"/>
      <c r="CB19" s="18">
        <v>104828.59</v>
      </c>
      <c r="CC19" s="18"/>
      <c r="CD19" s="18">
        <v>23048.42</v>
      </c>
      <c r="CE19" s="18"/>
      <c r="CF19" s="18">
        <v>1033907.19</v>
      </c>
      <c r="CG19" s="18">
        <v>463608.29</v>
      </c>
      <c r="CH19" s="18">
        <v>5197</v>
      </c>
      <c r="CI19" s="18">
        <v>89226.04</v>
      </c>
      <c r="CJ19" s="18">
        <v>6372690.79</v>
      </c>
      <c r="CK19" s="18">
        <f>63550357.25+4978410.16+942062.45+104.55</f>
        <v>69470934.409999996</v>
      </c>
      <c r="CL19" s="18"/>
      <c r="CM19" s="18">
        <v>988625.99</v>
      </c>
      <c r="CN19" s="18">
        <v>3649305.26</v>
      </c>
      <c r="CO19" s="18">
        <v>2849431.36</v>
      </c>
      <c r="CP19" s="18">
        <v>2872491.34</v>
      </c>
      <c r="CQ19" s="18"/>
      <c r="CR19" s="18"/>
      <c r="CS19" s="18"/>
      <c r="CT19" s="18">
        <f>1577829.17+129712.1</f>
        <v>1707541.27</v>
      </c>
      <c r="CU19" s="18"/>
      <c r="CV19" s="18"/>
      <c r="CW19" s="18"/>
      <c r="CX19" s="18">
        <f>168976.69+13418</f>
        <v>182394.69</v>
      </c>
      <c r="CY19" s="18"/>
      <c r="CZ19" s="18"/>
      <c r="DA19" s="18"/>
      <c r="DB19" s="18"/>
      <c r="DC19" s="18">
        <f>253097.55+25888942.39+48281.59</f>
        <v>26190321.530000001</v>
      </c>
      <c r="DD19" s="18">
        <v>458313.66</v>
      </c>
      <c r="DE19" s="18"/>
      <c r="DF19" s="18">
        <v>437351.54</v>
      </c>
      <c r="DG19" s="18"/>
      <c r="DH19" s="18">
        <v>172837.91</v>
      </c>
      <c r="DI19" s="18">
        <f>2509321.84+2784942.94+1254193.13</f>
        <v>6548457.9099999992</v>
      </c>
      <c r="DJ19" s="18">
        <f>2156002.85+4593311.18</f>
        <v>6749314.0299999993</v>
      </c>
      <c r="DK19" s="18">
        <f>1568253.76</f>
        <v>1568253.76</v>
      </c>
      <c r="DL19" s="18">
        <f>1420463.76+1014.98+51400.07+126.04+2313379.34+16621.37+2405061.16+81022.06+3822817.21</f>
        <v>10111905.99</v>
      </c>
      <c r="DM19" s="18"/>
      <c r="DN19" s="18"/>
      <c r="DO19" s="18">
        <v>2796297.74</v>
      </c>
      <c r="DP19" s="18"/>
      <c r="DQ19" s="18">
        <v>1255663.67</v>
      </c>
      <c r="DR19" s="38">
        <f>SUM(BI19:DQ19)</f>
        <v>146341797.04999998</v>
      </c>
      <c r="DS19" s="39"/>
    </row>
    <row r="20" spans="2:123" x14ac:dyDescent="0.3">
      <c r="B20" s="11">
        <v>6</v>
      </c>
      <c r="C20" s="12" t="s">
        <v>86</v>
      </c>
      <c r="D20" s="9">
        <f>214643.4+620638+732722.64+462368+722577+808753+947650+751176+655651+738090+1146794</f>
        <v>7801063.04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</row>
    <row r="21" spans="2:123" x14ac:dyDescent="0.3">
      <c r="B21" s="11">
        <v>7</v>
      </c>
      <c r="C21" s="12" t="s">
        <v>87</v>
      </c>
      <c r="D21" s="9">
        <f>369397.5+333797.14+252607.71+1053333.16+658813.72+1423383.64+325701.98+61992.89+199971.9+547236.4+2852008.2+40540</f>
        <v>8118784.2400000002</v>
      </c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I21" s="18"/>
      <c r="BJ21" s="18"/>
      <c r="BK21" s="18"/>
      <c r="BL21" s="18"/>
      <c r="BM21" s="18"/>
      <c r="BN21" s="18"/>
      <c r="BO21" s="18">
        <v>6263185.5199999996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>
        <v>1855598.72</v>
      </c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38"/>
    </row>
    <row r="22" spans="2:123" x14ac:dyDescent="0.3">
      <c r="B22" s="11"/>
      <c r="C22" s="12"/>
      <c r="D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</row>
    <row r="23" spans="2:123" x14ac:dyDescent="0.3">
      <c r="B23" s="11"/>
      <c r="C23" s="12"/>
      <c r="D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</row>
    <row r="24" spans="2:123" x14ac:dyDescent="0.3">
      <c r="B24" s="11"/>
      <c r="C24" s="12"/>
      <c r="D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</row>
    <row r="25" spans="2:123" x14ac:dyDescent="0.3">
      <c r="B25" s="11"/>
      <c r="C25" s="12"/>
      <c r="D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</row>
    <row r="26" spans="2:123" x14ac:dyDescent="0.3">
      <c r="B26" s="11"/>
      <c r="C26" s="12"/>
      <c r="D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</row>
    <row r="27" spans="2:123" x14ac:dyDescent="0.3">
      <c r="B27" s="11"/>
      <c r="C27" s="12"/>
      <c r="D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</row>
    <row r="28" spans="2:123" x14ac:dyDescent="0.3">
      <c r="B28" s="11"/>
      <c r="C28" s="12"/>
      <c r="D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</row>
    <row r="29" spans="2:123" x14ac:dyDescent="0.3">
      <c r="B29" s="11"/>
      <c r="C29" s="12"/>
      <c r="D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</row>
    <row r="30" spans="2:123" x14ac:dyDescent="0.3">
      <c r="B30" s="11"/>
      <c r="C30" s="12"/>
      <c r="D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</row>
    <row r="31" spans="2:123" x14ac:dyDescent="0.3">
      <c r="B31" s="11"/>
      <c r="C31" s="12"/>
      <c r="D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</row>
    <row r="33" spans="2:123" x14ac:dyDescent="0.3">
      <c r="B33" s="7"/>
      <c r="C33" s="7" t="s">
        <v>47</v>
      </c>
      <c r="D33" s="10">
        <f>SUM(D15:D32)</f>
        <v>340002078.26000005</v>
      </c>
      <c r="F33" s="10">
        <f t="shared" ref="F33:AK33" si="0">SUM(F15:F32)</f>
        <v>0</v>
      </c>
      <c r="G33" s="10">
        <f t="shared" si="0"/>
        <v>0</v>
      </c>
      <c r="H33" s="10">
        <f t="shared" si="0"/>
        <v>0</v>
      </c>
      <c r="I33" s="10">
        <f t="shared" si="0"/>
        <v>0</v>
      </c>
      <c r="J33" s="10">
        <f t="shared" si="0"/>
        <v>0</v>
      </c>
      <c r="K33" s="10">
        <f t="shared" si="0"/>
        <v>0</v>
      </c>
      <c r="L33" s="10">
        <f t="shared" si="0"/>
        <v>0</v>
      </c>
      <c r="M33" s="10">
        <f t="shared" si="0"/>
        <v>0</v>
      </c>
      <c r="N33" s="10">
        <f t="shared" si="0"/>
        <v>0</v>
      </c>
      <c r="O33" s="10">
        <f t="shared" si="0"/>
        <v>0</v>
      </c>
      <c r="P33" s="10">
        <f t="shared" si="0"/>
        <v>0</v>
      </c>
      <c r="Q33" s="10">
        <f t="shared" si="0"/>
        <v>0</v>
      </c>
      <c r="R33" s="10">
        <f t="shared" si="0"/>
        <v>0</v>
      </c>
      <c r="S33" s="10">
        <f t="shared" si="0"/>
        <v>0</v>
      </c>
      <c r="T33" s="10">
        <f t="shared" si="0"/>
        <v>0</v>
      </c>
      <c r="U33" s="10">
        <f t="shared" si="0"/>
        <v>0</v>
      </c>
      <c r="V33" s="10">
        <f t="shared" si="0"/>
        <v>0</v>
      </c>
      <c r="W33" s="10">
        <f t="shared" si="0"/>
        <v>0</v>
      </c>
      <c r="X33" s="10">
        <f t="shared" si="0"/>
        <v>0</v>
      </c>
      <c r="Y33" s="10">
        <f t="shared" si="0"/>
        <v>0</v>
      </c>
      <c r="Z33" s="10">
        <f t="shared" si="0"/>
        <v>0</v>
      </c>
      <c r="AA33" s="10">
        <f t="shared" si="0"/>
        <v>0</v>
      </c>
      <c r="AB33" s="10">
        <f t="shared" si="0"/>
        <v>0</v>
      </c>
      <c r="AC33" s="10">
        <f t="shared" si="0"/>
        <v>0</v>
      </c>
      <c r="AD33" s="10">
        <f t="shared" si="0"/>
        <v>0</v>
      </c>
      <c r="AE33" s="10">
        <f t="shared" si="0"/>
        <v>0</v>
      </c>
      <c r="AF33" s="10">
        <f t="shared" si="0"/>
        <v>0</v>
      </c>
      <c r="AG33" s="10">
        <f t="shared" si="0"/>
        <v>0</v>
      </c>
      <c r="AH33" s="10">
        <f t="shared" si="0"/>
        <v>0</v>
      </c>
      <c r="AI33" s="10">
        <f t="shared" si="0"/>
        <v>0</v>
      </c>
      <c r="AJ33" s="10">
        <f t="shared" si="0"/>
        <v>0</v>
      </c>
      <c r="AK33" s="10">
        <f t="shared" si="0"/>
        <v>0</v>
      </c>
      <c r="AL33" s="10">
        <f t="shared" ref="AL33:BG33" si="1">SUM(AL15:AL32)</f>
        <v>0</v>
      </c>
      <c r="AM33" s="10">
        <f t="shared" si="1"/>
        <v>0</v>
      </c>
      <c r="AN33" s="10">
        <f t="shared" si="1"/>
        <v>0</v>
      </c>
      <c r="AO33" s="10">
        <f t="shared" si="1"/>
        <v>0</v>
      </c>
      <c r="AP33" s="10">
        <f t="shared" si="1"/>
        <v>0</v>
      </c>
      <c r="AQ33" s="10">
        <f t="shared" si="1"/>
        <v>0</v>
      </c>
      <c r="AR33" s="10">
        <f t="shared" si="1"/>
        <v>0</v>
      </c>
      <c r="AS33" s="10">
        <f t="shared" si="1"/>
        <v>0</v>
      </c>
      <c r="AT33" s="10">
        <f t="shared" si="1"/>
        <v>0</v>
      </c>
      <c r="AU33" s="10">
        <f t="shared" si="1"/>
        <v>0</v>
      </c>
      <c r="AV33" s="10">
        <f t="shared" si="1"/>
        <v>0</v>
      </c>
      <c r="AW33" s="10">
        <f t="shared" si="1"/>
        <v>0</v>
      </c>
      <c r="AX33" s="10">
        <f t="shared" si="1"/>
        <v>0</v>
      </c>
      <c r="AY33" s="10">
        <f t="shared" si="1"/>
        <v>0</v>
      </c>
      <c r="AZ33" s="10">
        <f t="shared" si="1"/>
        <v>0</v>
      </c>
      <c r="BA33" s="10">
        <f t="shared" si="1"/>
        <v>0</v>
      </c>
      <c r="BB33" s="10">
        <f t="shared" si="1"/>
        <v>0</v>
      </c>
      <c r="BC33" s="10">
        <f t="shared" si="1"/>
        <v>0</v>
      </c>
      <c r="BD33" s="10">
        <f t="shared" si="1"/>
        <v>0</v>
      </c>
      <c r="BE33" s="10">
        <f t="shared" si="1"/>
        <v>0</v>
      </c>
      <c r="BF33" s="10">
        <f t="shared" si="1"/>
        <v>0</v>
      </c>
      <c r="BG33" s="10">
        <f t="shared" si="1"/>
        <v>0</v>
      </c>
      <c r="BI33" s="10">
        <f t="shared" ref="BI33:CN33" si="2">SUM(BI15:BI32)</f>
        <v>6386.28</v>
      </c>
      <c r="BJ33" s="10">
        <f t="shared" si="2"/>
        <v>501747.6</v>
      </c>
      <c r="BK33" s="10">
        <f t="shared" si="2"/>
        <v>727800.12</v>
      </c>
      <c r="BL33" s="10">
        <f t="shared" si="2"/>
        <v>46020</v>
      </c>
      <c r="BM33" s="10">
        <f t="shared" si="2"/>
        <v>50125</v>
      </c>
      <c r="BN33" s="10">
        <f t="shared" si="2"/>
        <v>45358</v>
      </c>
      <c r="BO33" s="10">
        <f t="shared" si="2"/>
        <v>6293543.5199999996</v>
      </c>
      <c r="BP33" s="10">
        <f t="shared" si="2"/>
        <v>2274.29</v>
      </c>
      <c r="BQ33" s="10">
        <f t="shared" si="2"/>
        <v>135489.65</v>
      </c>
      <c r="BR33" s="10">
        <f t="shared" si="2"/>
        <v>11538.67</v>
      </c>
      <c r="BS33" s="10">
        <f t="shared" si="2"/>
        <v>58401.04</v>
      </c>
      <c r="BT33" s="10">
        <f t="shared" si="2"/>
        <v>250328.63999999998</v>
      </c>
      <c r="BU33" s="10">
        <f t="shared" si="2"/>
        <v>76031.23000000001</v>
      </c>
      <c r="BV33" s="10">
        <f t="shared" si="2"/>
        <v>59819.17</v>
      </c>
      <c r="BW33" s="10">
        <f t="shared" si="2"/>
        <v>94079.15</v>
      </c>
      <c r="BX33" s="10">
        <f t="shared" si="2"/>
        <v>0</v>
      </c>
      <c r="BY33" s="10">
        <f t="shared" si="2"/>
        <v>21278.25</v>
      </c>
      <c r="BZ33" s="10">
        <f t="shared" si="2"/>
        <v>3404.18</v>
      </c>
      <c r="CA33" s="10">
        <f t="shared" si="2"/>
        <v>1855598.72</v>
      </c>
      <c r="CB33" s="10">
        <f t="shared" si="2"/>
        <v>110906.81</v>
      </c>
      <c r="CC33" s="10">
        <f t="shared" si="2"/>
        <v>0</v>
      </c>
      <c r="CD33" s="10">
        <f t="shared" si="2"/>
        <v>95467.71</v>
      </c>
      <c r="CE33" s="10">
        <f t="shared" si="2"/>
        <v>0</v>
      </c>
      <c r="CF33" s="10">
        <f t="shared" si="2"/>
        <v>1116164.1099999999</v>
      </c>
      <c r="CG33" s="10">
        <f t="shared" si="2"/>
        <v>515996.81</v>
      </c>
      <c r="CH33" s="10">
        <f t="shared" si="2"/>
        <v>21160.010000000002</v>
      </c>
      <c r="CI33" s="10">
        <f t="shared" si="2"/>
        <v>90967.92</v>
      </c>
      <c r="CJ33" s="10">
        <f t="shared" si="2"/>
        <v>6372690.79</v>
      </c>
      <c r="CK33" s="10">
        <f t="shared" si="2"/>
        <v>69483079.109999999</v>
      </c>
      <c r="CL33" s="10">
        <f t="shared" si="2"/>
        <v>0</v>
      </c>
      <c r="CM33" s="10">
        <f t="shared" si="2"/>
        <v>993126.21</v>
      </c>
      <c r="CN33" s="10">
        <f t="shared" si="2"/>
        <v>3654909.57</v>
      </c>
      <c r="CO33" s="10">
        <f t="shared" ref="CO33:DQ33" si="3">SUM(CO15:CO32)</f>
        <v>2849431.36</v>
      </c>
      <c r="CP33" s="10">
        <f t="shared" si="3"/>
        <v>2872491.34</v>
      </c>
      <c r="CQ33" s="10">
        <f t="shared" si="3"/>
        <v>0</v>
      </c>
      <c r="CR33" s="10">
        <f t="shared" si="3"/>
        <v>0</v>
      </c>
      <c r="CS33" s="10">
        <f t="shared" si="3"/>
        <v>33017.72</v>
      </c>
      <c r="CT33" s="10">
        <f t="shared" si="3"/>
        <v>1734136.33</v>
      </c>
      <c r="CU33" s="10">
        <f t="shared" si="3"/>
        <v>0</v>
      </c>
      <c r="CV33" s="10">
        <f t="shared" si="3"/>
        <v>46031.23</v>
      </c>
      <c r="CW33" s="10">
        <f t="shared" si="3"/>
        <v>6580.25</v>
      </c>
      <c r="CX33" s="10">
        <f t="shared" si="3"/>
        <v>187024.81</v>
      </c>
      <c r="CY33" s="10">
        <f t="shared" si="3"/>
        <v>0</v>
      </c>
      <c r="CZ33" s="10">
        <f t="shared" si="3"/>
        <v>0</v>
      </c>
      <c r="DA33" s="10">
        <f t="shared" si="3"/>
        <v>0</v>
      </c>
      <c r="DB33" s="10">
        <f t="shared" si="3"/>
        <v>0</v>
      </c>
      <c r="DC33" s="10">
        <f t="shared" si="3"/>
        <v>26221015.330000002</v>
      </c>
      <c r="DD33" s="10">
        <f t="shared" si="3"/>
        <v>460350.25</v>
      </c>
      <c r="DE33" s="10">
        <f t="shared" si="3"/>
        <v>0</v>
      </c>
      <c r="DF33" s="10">
        <f t="shared" si="3"/>
        <v>440851.54</v>
      </c>
      <c r="DG33" s="10">
        <f t="shared" si="3"/>
        <v>0</v>
      </c>
      <c r="DH33" s="10">
        <f t="shared" si="3"/>
        <v>183037.91</v>
      </c>
      <c r="DI33" s="10">
        <f t="shared" si="3"/>
        <v>6562520.6199999992</v>
      </c>
      <c r="DJ33" s="10">
        <f t="shared" si="3"/>
        <v>6761538.3699999992</v>
      </c>
      <c r="DK33" s="10">
        <f t="shared" si="3"/>
        <v>1633152.45</v>
      </c>
      <c r="DL33" s="10">
        <f t="shared" si="3"/>
        <v>10149694.41</v>
      </c>
      <c r="DM33" s="10">
        <f t="shared" si="3"/>
        <v>0</v>
      </c>
      <c r="DN33" s="10">
        <f t="shared" si="3"/>
        <v>0</v>
      </c>
      <c r="DO33" s="10">
        <f t="shared" si="3"/>
        <v>2806058.5500000003</v>
      </c>
      <c r="DP33" s="10">
        <f t="shared" si="3"/>
        <v>6050</v>
      </c>
      <c r="DQ33" s="10">
        <f t="shared" si="3"/>
        <v>1317297.73</v>
      </c>
      <c r="DS33" s="38"/>
    </row>
    <row r="34" spans="2:123" s="8" customFormat="1" x14ac:dyDescent="0.3">
      <c r="B34" s="2"/>
      <c r="C34" s="2"/>
      <c r="D34" s="2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</row>
  </sheetData>
  <sheetProtection formatColumns="0" formatRows="0" sort="0" autoFilter="0"/>
  <mergeCells count="7">
    <mergeCell ref="BI13:BZ13"/>
    <mergeCell ref="CA13:CS13"/>
    <mergeCell ref="CT13:DQ13"/>
    <mergeCell ref="B5:D5"/>
    <mergeCell ref="F13:W13"/>
    <mergeCell ref="X13:AO13"/>
    <mergeCell ref="AP13:BG13"/>
  </mergeCells>
  <dataValidations count="1">
    <dataValidation type="decimal" operator="greaterThanOrEqual" allowBlank="1" showInputMessage="1" showErrorMessage="1" sqref="F15:BG31 BI15:DQ31">
      <formula1>0</formula1>
    </dataValidation>
  </dataValidations>
  <pageMargins left="0.7" right="1.5" top="0.75" bottom="0.75" header="0.3" footer="0.3"/>
  <pageSetup paperSize="5" scale="8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Supplies" altText="Add Diagnosis">
                <anchor moveWithCells="1">
                  <from>
                    <xdr:col>1</xdr:col>
                    <xdr:colOff>38100</xdr:colOff>
                    <xdr:row>14</xdr:row>
                    <xdr:rowOff>19050</xdr:rowOff>
                  </from>
                  <to>
                    <xdr:col>1</xdr:col>
                    <xdr:colOff>762000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Supplies" altText="Delete Diagnosis">
                <anchor moveWithCells="1">
                  <from>
                    <xdr:col>1</xdr:col>
                    <xdr:colOff>809625</xdr:colOff>
                    <xdr:row>14</xdr:row>
                    <xdr:rowOff>19050</xdr:rowOff>
                  </from>
                  <to>
                    <xdr:col>1</xdr:col>
                    <xdr:colOff>1524000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electI">
              <controlPr defaultSize="0" print="0" autoFill="0" autoPict="0" macro="[0]!Select_Level_I" altText="Select Level I and II Health Facilities">
                <anchor moveWithCells="1">
                  <from>
                    <xdr:col>2</xdr:col>
                    <xdr:colOff>1800225</xdr:colOff>
                    <xdr:row>10</xdr:row>
                    <xdr:rowOff>0</xdr:rowOff>
                  </from>
                  <to>
                    <xdr:col>2</xdr:col>
                    <xdr:colOff>2886075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2</xdr:col>
                    <xdr:colOff>3038475</xdr:colOff>
                    <xdr:row>10</xdr:row>
                    <xdr:rowOff>0</xdr:rowOff>
                  </from>
                  <to>
                    <xdr:col>3</xdr:col>
                    <xdr:colOff>790575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7.1CSO supplies costs</vt:lpstr>
      <vt:lpstr>'7.1CSO supplies costs'!Print_Titles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EVELYN</cp:lastModifiedBy>
  <cp:lastPrinted>2018-06-14T07:54:13Z</cp:lastPrinted>
  <dcterms:created xsi:type="dcterms:W3CDTF">2018-04-04T07:34:36Z</dcterms:created>
  <dcterms:modified xsi:type="dcterms:W3CDTF">2018-06-14T08:42:04Z</dcterms:modified>
</cp:coreProperties>
</file>