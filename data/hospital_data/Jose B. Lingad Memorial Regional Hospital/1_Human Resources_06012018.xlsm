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ELYN\Desktop\Costing\"/>
    </mc:Choice>
  </mc:AlternateContent>
  <bookViews>
    <workbookView xWindow="0" yWindow="0" windowWidth="20205" windowHeight="6930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_xlnm._FilterDatabase" localSheetId="1" hidden="1">'6.2 Staff Allocation'!$B$12:$DT$1304</definedName>
    <definedName name="Drug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T879" i="2" l="1"/>
  <c r="DT891" i="2"/>
  <c r="DT895" i="2"/>
  <c r="DT999" i="2"/>
  <c r="C1303" i="2"/>
  <c r="DT1142" i="2" l="1"/>
  <c r="DT1143" i="2"/>
  <c r="DT1113" i="2"/>
  <c r="DT18" i="2"/>
  <c r="DT19" i="2"/>
  <c r="DT20" i="2"/>
  <c r="DT21" i="2"/>
  <c r="DT22" i="2"/>
  <c r="DT23" i="2"/>
  <c r="DT24" i="2"/>
  <c r="DT25" i="2"/>
  <c r="DT26" i="2"/>
  <c r="DT27" i="2"/>
  <c r="DT28" i="2"/>
  <c r="DT29" i="2"/>
  <c r="DT30" i="2"/>
  <c r="DT31" i="2"/>
  <c r="DT32" i="2"/>
  <c r="DT33" i="2"/>
  <c r="DT34" i="2"/>
  <c r="DT35" i="2"/>
  <c r="DT36" i="2"/>
  <c r="DT37" i="2"/>
  <c r="DT38" i="2"/>
  <c r="DT39" i="2"/>
  <c r="DT40" i="2"/>
  <c r="DT41" i="2"/>
  <c r="DT42" i="2"/>
  <c r="DT43" i="2"/>
  <c r="DT44" i="2"/>
  <c r="DT45" i="2"/>
  <c r="DT46" i="2"/>
  <c r="DT47" i="2"/>
  <c r="DT48" i="2"/>
  <c r="DT49" i="2"/>
  <c r="DT50" i="2"/>
  <c r="DT51" i="2"/>
  <c r="DT52" i="2"/>
  <c r="DT53" i="2"/>
  <c r="DT54" i="2"/>
  <c r="DT55" i="2"/>
  <c r="DT56" i="2"/>
  <c r="DT57" i="2"/>
  <c r="DT58" i="2"/>
  <c r="DT59" i="2"/>
  <c r="DT60" i="2"/>
  <c r="DT61" i="2"/>
  <c r="DT62" i="2"/>
  <c r="DT63" i="2"/>
  <c r="DT64" i="2"/>
  <c r="DT65" i="2"/>
  <c r="DT66" i="2"/>
  <c r="DT67" i="2"/>
  <c r="DT68" i="2"/>
  <c r="DT69" i="2"/>
  <c r="DT70" i="2"/>
  <c r="DT71" i="2"/>
  <c r="DT72" i="2"/>
  <c r="DT73" i="2"/>
  <c r="DT74" i="2"/>
  <c r="DT75" i="2"/>
  <c r="DT76" i="2"/>
  <c r="DT77" i="2"/>
  <c r="DT78" i="2"/>
  <c r="DT79" i="2"/>
  <c r="DT80" i="2"/>
  <c r="DT81" i="2"/>
  <c r="DT82" i="2"/>
  <c r="DT83" i="2"/>
  <c r="DT84" i="2"/>
  <c r="DT85" i="2"/>
  <c r="DT86" i="2"/>
  <c r="DT87" i="2"/>
  <c r="DT88" i="2"/>
  <c r="DT89" i="2"/>
  <c r="DT90" i="2"/>
  <c r="DT91" i="2"/>
  <c r="DT92" i="2"/>
  <c r="DT93" i="2"/>
  <c r="DT94" i="2"/>
  <c r="DT95" i="2"/>
  <c r="DT96" i="2"/>
  <c r="DT97" i="2"/>
  <c r="DT98" i="2"/>
  <c r="DT99" i="2"/>
  <c r="DT100" i="2"/>
  <c r="DT101" i="2"/>
  <c r="DT102" i="2"/>
  <c r="DT103" i="2"/>
  <c r="DT104" i="2"/>
  <c r="DT105" i="2"/>
  <c r="DT106" i="2"/>
  <c r="DT107" i="2"/>
  <c r="DT108" i="2"/>
  <c r="DT109" i="2"/>
  <c r="DT110" i="2"/>
  <c r="DT111" i="2"/>
  <c r="DT112" i="2"/>
  <c r="DT113" i="2"/>
  <c r="DT114" i="2"/>
  <c r="DT115" i="2"/>
  <c r="DT116" i="2"/>
  <c r="DT117" i="2"/>
  <c r="DT118" i="2"/>
  <c r="DT119" i="2"/>
  <c r="DT120" i="2"/>
  <c r="DT121" i="2"/>
  <c r="DT122" i="2"/>
  <c r="DT123" i="2"/>
  <c r="DT124" i="2"/>
  <c r="DT125" i="2"/>
  <c r="DT126" i="2"/>
  <c r="DT127" i="2"/>
  <c r="DT128" i="2"/>
  <c r="DT129" i="2"/>
  <c r="DT130" i="2"/>
  <c r="DT131" i="2"/>
  <c r="DT132" i="2"/>
  <c r="DT133" i="2"/>
  <c r="DT134" i="2"/>
  <c r="DT135" i="2"/>
  <c r="DT136" i="2"/>
  <c r="DT137" i="2"/>
  <c r="DT138" i="2"/>
  <c r="DT139" i="2"/>
  <c r="DT140" i="2"/>
  <c r="DT141" i="2"/>
  <c r="DT142" i="2"/>
  <c r="DT143" i="2"/>
  <c r="DT144" i="2"/>
  <c r="DT145" i="2"/>
  <c r="DT146" i="2"/>
  <c r="DT147" i="2"/>
  <c r="DT148" i="2"/>
  <c r="DT149" i="2"/>
  <c r="DT150" i="2"/>
  <c r="DT151" i="2"/>
  <c r="DT152" i="2"/>
  <c r="DT153" i="2"/>
  <c r="DT154" i="2"/>
  <c r="DT155" i="2"/>
  <c r="DT156" i="2"/>
  <c r="DT157" i="2"/>
  <c r="DT158" i="2"/>
  <c r="DT159" i="2"/>
  <c r="DT160" i="2"/>
  <c r="DT161" i="2"/>
  <c r="DT162" i="2"/>
  <c r="DT163" i="2"/>
  <c r="DT164" i="2"/>
  <c r="DT165" i="2"/>
  <c r="DT166" i="2"/>
  <c r="DT167" i="2"/>
  <c r="DT168" i="2"/>
  <c r="DT169" i="2"/>
  <c r="DT170" i="2"/>
  <c r="DT171" i="2"/>
  <c r="DT172" i="2"/>
  <c r="DT173" i="2"/>
  <c r="DT174" i="2"/>
  <c r="DT175" i="2"/>
  <c r="DT176" i="2"/>
  <c r="DT177" i="2"/>
  <c r="DT178" i="2"/>
  <c r="DT179" i="2"/>
  <c r="DT180" i="2"/>
  <c r="DT181" i="2"/>
  <c r="DT182" i="2"/>
  <c r="DT183" i="2"/>
  <c r="DT184" i="2"/>
  <c r="DT185" i="2"/>
  <c r="DT186" i="2"/>
  <c r="DT187" i="2"/>
  <c r="DT188" i="2"/>
  <c r="DT189" i="2"/>
  <c r="DT190" i="2"/>
  <c r="DT191" i="2"/>
  <c r="DT192" i="2"/>
  <c r="DT193" i="2"/>
  <c r="DT194" i="2"/>
  <c r="DT195" i="2"/>
  <c r="DT196" i="2"/>
  <c r="DT197" i="2"/>
  <c r="DT198" i="2"/>
  <c r="DT199" i="2"/>
  <c r="DT200" i="2"/>
  <c r="DT201" i="2"/>
  <c r="DT202" i="2"/>
  <c r="DT203" i="2"/>
  <c r="DT204" i="2"/>
  <c r="DT205" i="2"/>
  <c r="DT206" i="2"/>
  <c r="DT207" i="2"/>
  <c r="DT208" i="2"/>
  <c r="DT209" i="2"/>
  <c r="DT210" i="2"/>
  <c r="DT211" i="2"/>
  <c r="DT212" i="2"/>
  <c r="DT213" i="2"/>
  <c r="DT214" i="2"/>
  <c r="DT215" i="2"/>
  <c r="DT216" i="2"/>
  <c r="DT217" i="2"/>
  <c r="DT218" i="2"/>
  <c r="DT219" i="2"/>
  <c r="DT220" i="2"/>
  <c r="DT221" i="2"/>
  <c r="DT222" i="2"/>
  <c r="DT223" i="2"/>
  <c r="DT224" i="2"/>
  <c r="DT225" i="2"/>
  <c r="DT226" i="2"/>
  <c r="DT227" i="2"/>
  <c r="DT228" i="2"/>
  <c r="DT229" i="2"/>
  <c r="DT230" i="2"/>
  <c r="DT231" i="2"/>
  <c r="DT232" i="2"/>
  <c r="DT233" i="2"/>
  <c r="DT234" i="2"/>
  <c r="DT235" i="2"/>
  <c r="DT236" i="2"/>
  <c r="DT237" i="2"/>
  <c r="DT238" i="2"/>
  <c r="DT239" i="2"/>
  <c r="DT240" i="2"/>
  <c r="DT241" i="2"/>
  <c r="DT242" i="2"/>
  <c r="DT243" i="2"/>
  <c r="DT244" i="2"/>
  <c r="DT245" i="2"/>
  <c r="DT246" i="2"/>
  <c r="DT247" i="2"/>
  <c r="DT248" i="2"/>
  <c r="DT249" i="2"/>
  <c r="DT250" i="2"/>
  <c r="DT251" i="2"/>
  <c r="DT252" i="2"/>
  <c r="DT253" i="2"/>
  <c r="DT254" i="2"/>
  <c r="DT255" i="2"/>
  <c r="DT256" i="2"/>
  <c r="DT257" i="2"/>
  <c r="DT258" i="2"/>
  <c r="DT259" i="2"/>
  <c r="DT260" i="2"/>
  <c r="DT261" i="2"/>
  <c r="DT262" i="2"/>
  <c r="DT263" i="2"/>
  <c r="DT264" i="2"/>
  <c r="DT265" i="2"/>
  <c r="DT266" i="2"/>
  <c r="DT267" i="2"/>
  <c r="DT268" i="2"/>
  <c r="DT269" i="2"/>
  <c r="DT270" i="2"/>
  <c r="DT271" i="2"/>
  <c r="DT272" i="2"/>
  <c r="DT273" i="2"/>
  <c r="DT274" i="2"/>
  <c r="DT275" i="2"/>
  <c r="DT276" i="2"/>
  <c r="DT277" i="2"/>
  <c r="DT278" i="2"/>
  <c r="DT279" i="2"/>
  <c r="DT280" i="2"/>
  <c r="DT281" i="2"/>
  <c r="DT282" i="2"/>
  <c r="DT283" i="2"/>
  <c r="DT284" i="2"/>
  <c r="DT285" i="2"/>
  <c r="DT286" i="2"/>
  <c r="DT287" i="2"/>
  <c r="DT288" i="2"/>
  <c r="DT289" i="2"/>
  <c r="DT290" i="2"/>
  <c r="DT291" i="2"/>
  <c r="DT292" i="2"/>
  <c r="DT293" i="2"/>
  <c r="DT294" i="2"/>
  <c r="DT295" i="2"/>
  <c r="DT296" i="2"/>
  <c r="DT297" i="2"/>
  <c r="DT298" i="2"/>
  <c r="DT299" i="2"/>
  <c r="DT300" i="2"/>
  <c r="DT301" i="2"/>
  <c r="DT302" i="2"/>
  <c r="DT303" i="2"/>
  <c r="DT304" i="2"/>
  <c r="DT305" i="2"/>
  <c r="DT306" i="2"/>
  <c r="DT307" i="2"/>
  <c r="DT308" i="2"/>
  <c r="DT309" i="2"/>
  <c r="DT310" i="2"/>
  <c r="DT311" i="2"/>
  <c r="DT312" i="2"/>
  <c r="DT313" i="2"/>
  <c r="DT314" i="2"/>
  <c r="DT315" i="2"/>
  <c r="DT316" i="2"/>
  <c r="DT317" i="2"/>
  <c r="DT318" i="2"/>
  <c r="DT319" i="2"/>
  <c r="DT320" i="2"/>
  <c r="DT321" i="2"/>
  <c r="DT322" i="2"/>
  <c r="DT323" i="2"/>
  <c r="DT324" i="2"/>
  <c r="DT325" i="2"/>
  <c r="DT326" i="2"/>
  <c r="DT327" i="2"/>
  <c r="DT328" i="2"/>
  <c r="DT329" i="2"/>
  <c r="DT330" i="2"/>
  <c r="DT331" i="2"/>
  <c r="DT332" i="2"/>
  <c r="DT333" i="2"/>
  <c r="DT334" i="2"/>
  <c r="DT335" i="2"/>
  <c r="DT336" i="2"/>
  <c r="DT337" i="2"/>
  <c r="DT338" i="2"/>
  <c r="DT339" i="2"/>
  <c r="DT340" i="2"/>
  <c r="DT341" i="2"/>
  <c r="DT342" i="2"/>
  <c r="DT343" i="2"/>
  <c r="DT344" i="2"/>
  <c r="DT345" i="2"/>
  <c r="DT346" i="2"/>
  <c r="DT347" i="2"/>
  <c r="DT348" i="2"/>
  <c r="DT349" i="2"/>
  <c r="DT350" i="2"/>
  <c r="DT351" i="2"/>
  <c r="DT352" i="2"/>
  <c r="DT353" i="2"/>
  <c r="DT354" i="2"/>
  <c r="DT355" i="2"/>
  <c r="DT356" i="2"/>
  <c r="DT357" i="2"/>
  <c r="DT358" i="2"/>
  <c r="DT359" i="2"/>
  <c r="DT360" i="2"/>
  <c r="DT361" i="2"/>
  <c r="DT362" i="2"/>
  <c r="DT363" i="2"/>
  <c r="DT364" i="2"/>
  <c r="DT365" i="2"/>
  <c r="DT366" i="2"/>
  <c r="DT367" i="2"/>
  <c r="DT368" i="2"/>
  <c r="DT369" i="2"/>
  <c r="DT370" i="2"/>
  <c r="DT371" i="2"/>
  <c r="DT372" i="2"/>
  <c r="DT373" i="2"/>
  <c r="DT374" i="2"/>
  <c r="DT375" i="2"/>
  <c r="DT376" i="2"/>
  <c r="DT377" i="2"/>
  <c r="DT378" i="2"/>
  <c r="DT379" i="2"/>
  <c r="DT380" i="2"/>
  <c r="DT381" i="2"/>
  <c r="DT382" i="2"/>
  <c r="DT383" i="2"/>
  <c r="DT384" i="2"/>
  <c r="DT385" i="2"/>
  <c r="DT386" i="2"/>
  <c r="DT387" i="2"/>
  <c r="DT388" i="2"/>
  <c r="DT389" i="2"/>
  <c r="DT390" i="2"/>
  <c r="DT391" i="2"/>
  <c r="DT392" i="2"/>
  <c r="DT393" i="2"/>
  <c r="DT394" i="2"/>
  <c r="DT395" i="2"/>
  <c r="DT396" i="2"/>
  <c r="DT397" i="2"/>
  <c r="DT398" i="2"/>
  <c r="DT399" i="2"/>
  <c r="DT400" i="2"/>
  <c r="DT401" i="2"/>
  <c r="DT402" i="2"/>
  <c r="DT403" i="2"/>
  <c r="DT404" i="2"/>
  <c r="DT405" i="2"/>
  <c r="DT406" i="2"/>
  <c r="DT407" i="2"/>
  <c r="DT408" i="2"/>
  <c r="DT409" i="2"/>
  <c r="DT410" i="2"/>
  <c r="DT411" i="2"/>
  <c r="DT412" i="2"/>
  <c r="DT413" i="2"/>
  <c r="DT414" i="2"/>
  <c r="DT415" i="2"/>
  <c r="DT416" i="2"/>
  <c r="DT417" i="2"/>
  <c r="DT418" i="2"/>
  <c r="DT419" i="2"/>
  <c r="DT420" i="2"/>
  <c r="DT421" i="2"/>
  <c r="DT422" i="2"/>
  <c r="DT423" i="2"/>
  <c r="DT424" i="2"/>
  <c r="DT425" i="2"/>
  <c r="DT426" i="2"/>
  <c r="DT427" i="2"/>
  <c r="DT428" i="2"/>
  <c r="DT429" i="2"/>
  <c r="DT430" i="2"/>
  <c r="DT431" i="2"/>
  <c r="DT432" i="2"/>
  <c r="DT433" i="2"/>
  <c r="DT434" i="2"/>
  <c r="DT435" i="2"/>
  <c r="DT436" i="2"/>
  <c r="DT437" i="2"/>
  <c r="DT438" i="2"/>
  <c r="DT439" i="2"/>
  <c r="DT440" i="2"/>
  <c r="DT441" i="2"/>
  <c r="DT442" i="2"/>
  <c r="DT443" i="2"/>
  <c r="DT444" i="2"/>
  <c r="DT445" i="2"/>
  <c r="DT446" i="2"/>
  <c r="DT447" i="2"/>
  <c r="DT448" i="2"/>
  <c r="DT449" i="2"/>
  <c r="DT450" i="2"/>
  <c r="DT451" i="2"/>
  <c r="DT452" i="2"/>
  <c r="DT453" i="2"/>
  <c r="DT454" i="2"/>
  <c r="DT455" i="2"/>
  <c r="DT456" i="2"/>
  <c r="DT457" i="2"/>
  <c r="DT458" i="2"/>
  <c r="DT459" i="2"/>
  <c r="DT460" i="2"/>
  <c r="DT461" i="2"/>
  <c r="DT462" i="2"/>
  <c r="DT463" i="2"/>
  <c r="DT464" i="2"/>
  <c r="DT465" i="2"/>
  <c r="DT466" i="2"/>
  <c r="DT467" i="2"/>
  <c r="DT468" i="2"/>
  <c r="DT469" i="2"/>
  <c r="DT470" i="2"/>
  <c r="DT471" i="2"/>
  <c r="DT472" i="2"/>
  <c r="DT473" i="2"/>
  <c r="DT474" i="2"/>
  <c r="DT475" i="2"/>
  <c r="DT476" i="2"/>
  <c r="DT477" i="2"/>
  <c r="DT478" i="2"/>
  <c r="DT479" i="2"/>
  <c r="DT480" i="2"/>
  <c r="DT481" i="2"/>
  <c r="DT482" i="2"/>
  <c r="DT483" i="2"/>
  <c r="DT484" i="2"/>
  <c r="DT485" i="2"/>
  <c r="DT486" i="2"/>
  <c r="DT487" i="2"/>
  <c r="DT488" i="2"/>
  <c r="DT489" i="2"/>
  <c r="DT490" i="2"/>
  <c r="DT491" i="2"/>
  <c r="DT492" i="2"/>
  <c r="DT493" i="2"/>
  <c r="DT494" i="2"/>
  <c r="DT495" i="2"/>
  <c r="DT496" i="2"/>
  <c r="DT497" i="2"/>
  <c r="DT498" i="2"/>
  <c r="DT499" i="2"/>
  <c r="DT500" i="2"/>
  <c r="DT501" i="2"/>
  <c r="DT502" i="2"/>
  <c r="DT503" i="2"/>
  <c r="DT504" i="2"/>
  <c r="DT505" i="2"/>
  <c r="DT506" i="2"/>
  <c r="DT507" i="2"/>
  <c r="DT508" i="2"/>
  <c r="DT509" i="2"/>
  <c r="DT510" i="2"/>
  <c r="DT511" i="2"/>
  <c r="DT512" i="2"/>
  <c r="DT513" i="2"/>
  <c r="DT514" i="2"/>
  <c r="DT515" i="2"/>
  <c r="DT516" i="2"/>
  <c r="DT517" i="2"/>
  <c r="DT518" i="2"/>
  <c r="DT519" i="2"/>
  <c r="DT520" i="2"/>
  <c r="DT521" i="2"/>
  <c r="DT522" i="2"/>
  <c r="DT523" i="2"/>
  <c r="DT524" i="2"/>
  <c r="DT525" i="2"/>
  <c r="DT526" i="2"/>
  <c r="DT527" i="2"/>
  <c r="DT528" i="2"/>
  <c r="DT529" i="2"/>
  <c r="DT530" i="2"/>
  <c r="DT531" i="2"/>
  <c r="DT532" i="2"/>
  <c r="DT533" i="2"/>
  <c r="DT534" i="2"/>
  <c r="DT535" i="2"/>
  <c r="DT536" i="2"/>
  <c r="DT537" i="2"/>
  <c r="DT538" i="2"/>
  <c r="DT539" i="2"/>
  <c r="DT540" i="2"/>
  <c r="DT541" i="2"/>
  <c r="DT542" i="2"/>
  <c r="DT543" i="2"/>
  <c r="DT544" i="2"/>
  <c r="DT545" i="2"/>
  <c r="DT546" i="2"/>
  <c r="DT547" i="2"/>
  <c r="DT548" i="2"/>
  <c r="DT549" i="2"/>
  <c r="DT550" i="2"/>
  <c r="DT551" i="2"/>
  <c r="DT552" i="2"/>
  <c r="DT553" i="2"/>
  <c r="DT554" i="2"/>
  <c r="DT555" i="2"/>
  <c r="DT556" i="2"/>
  <c r="DT557" i="2"/>
  <c r="DT558" i="2"/>
  <c r="DT559" i="2"/>
  <c r="DT560" i="2"/>
  <c r="DT561" i="2"/>
  <c r="DT562" i="2"/>
  <c r="DT563" i="2"/>
  <c r="DT564" i="2"/>
  <c r="DT565" i="2"/>
  <c r="DT566" i="2"/>
  <c r="DT567" i="2"/>
  <c r="DT568" i="2"/>
  <c r="DT569" i="2"/>
  <c r="DT570" i="2"/>
  <c r="DT571" i="2"/>
  <c r="DT572" i="2"/>
  <c r="DT573" i="2"/>
  <c r="DT574" i="2"/>
  <c r="DT575" i="2"/>
  <c r="DT576" i="2"/>
  <c r="DT577" i="2"/>
  <c r="DT578" i="2"/>
  <c r="DT579" i="2"/>
  <c r="DT580" i="2"/>
  <c r="DT581" i="2"/>
  <c r="DT582" i="2"/>
  <c r="DT583" i="2"/>
  <c r="DT584" i="2"/>
  <c r="DT585" i="2"/>
  <c r="DT586" i="2"/>
  <c r="DT587" i="2"/>
  <c r="DT588" i="2"/>
  <c r="DT589" i="2"/>
  <c r="DT590" i="2"/>
  <c r="DT591" i="2"/>
  <c r="DT592" i="2"/>
  <c r="DT593" i="2"/>
  <c r="DT594" i="2"/>
  <c r="DT595" i="2"/>
  <c r="DT596" i="2"/>
  <c r="DT597" i="2"/>
  <c r="DT598" i="2"/>
  <c r="DT599" i="2"/>
  <c r="DT600" i="2"/>
  <c r="DT601" i="2"/>
  <c r="DT602" i="2"/>
  <c r="DT603" i="2"/>
  <c r="DT604" i="2"/>
  <c r="DT605" i="2"/>
  <c r="DT606" i="2"/>
  <c r="DT607" i="2"/>
  <c r="DT608" i="2"/>
  <c r="DT609" i="2"/>
  <c r="DT610" i="2"/>
  <c r="DT611" i="2"/>
  <c r="DT612" i="2"/>
  <c r="DT613" i="2"/>
  <c r="DT614" i="2"/>
  <c r="DT615" i="2"/>
  <c r="DT616" i="2"/>
  <c r="DT617" i="2"/>
  <c r="DT618" i="2"/>
  <c r="DT619" i="2"/>
  <c r="DT620" i="2"/>
  <c r="DT621" i="2"/>
  <c r="DT622" i="2"/>
  <c r="DT623" i="2"/>
  <c r="DT624" i="2"/>
  <c r="DT625" i="2"/>
  <c r="DT626" i="2"/>
  <c r="DT627" i="2"/>
  <c r="DT628" i="2"/>
  <c r="DT629" i="2"/>
  <c r="DT630" i="2"/>
  <c r="DT631" i="2"/>
  <c r="DT632" i="2"/>
  <c r="DT633" i="2"/>
  <c r="DT634" i="2"/>
  <c r="DT635" i="2"/>
  <c r="DT636" i="2"/>
  <c r="DT637" i="2"/>
  <c r="DT638" i="2"/>
  <c r="DT639" i="2"/>
  <c r="DT640" i="2"/>
  <c r="DT641" i="2"/>
  <c r="DT642" i="2"/>
  <c r="DT643" i="2"/>
  <c r="DT644" i="2"/>
  <c r="DT645" i="2"/>
  <c r="DT646" i="2"/>
  <c r="DT647" i="2"/>
  <c r="DT648" i="2"/>
  <c r="DT649" i="2"/>
  <c r="DT650" i="2"/>
  <c r="DT651" i="2"/>
  <c r="DT652" i="2"/>
  <c r="DT653" i="2"/>
  <c r="DT654" i="2"/>
  <c r="DT655" i="2"/>
  <c r="DT656" i="2"/>
  <c r="DT657" i="2"/>
  <c r="DT658" i="2"/>
  <c r="DT659" i="2"/>
  <c r="DT660" i="2"/>
  <c r="DT661" i="2"/>
  <c r="DT662" i="2"/>
  <c r="DT663" i="2"/>
  <c r="DT664" i="2"/>
  <c r="DT665" i="2"/>
  <c r="DT666" i="2"/>
  <c r="DT667" i="2"/>
  <c r="DT668" i="2"/>
  <c r="DT669" i="2"/>
  <c r="DT670" i="2"/>
  <c r="DT671" i="2"/>
  <c r="DT672" i="2"/>
  <c r="DT673" i="2"/>
  <c r="DT674" i="2"/>
  <c r="DT675" i="2"/>
  <c r="DT676" i="2"/>
  <c r="DT677" i="2"/>
  <c r="DT678" i="2"/>
  <c r="DT679" i="2"/>
  <c r="DT680" i="2"/>
  <c r="DT681" i="2"/>
  <c r="DT682" i="2"/>
  <c r="DT683" i="2"/>
  <c r="DT684" i="2"/>
  <c r="DT685" i="2"/>
  <c r="DT686" i="2"/>
  <c r="DT687" i="2"/>
  <c r="DT688" i="2"/>
  <c r="DT689" i="2"/>
  <c r="DT690" i="2"/>
  <c r="DT691" i="2"/>
  <c r="DT692" i="2"/>
  <c r="DT693" i="2"/>
  <c r="DT694" i="2"/>
  <c r="DT695" i="2"/>
  <c r="DT696" i="2"/>
  <c r="DT697" i="2"/>
  <c r="DT698" i="2"/>
  <c r="DT699" i="2"/>
  <c r="DT700" i="2"/>
  <c r="DT701" i="2"/>
  <c r="DT702" i="2"/>
  <c r="DT703" i="2"/>
  <c r="DT704" i="2"/>
  <c r="DT705" i="2"/>
  <c r="DT706" i="2"/>
  <c r="DT707" i="2"/>
  <c r="DT708" i="2"/>
  <c r="DT709" i="2"/>
  <c r="DT710" i="2"/>
  <c r="DT711" i="2"/>
  <c r="DT712" i="2"/>
  <c r="DT713" i="2"/>
  <c r="DT714" i="2"/>
  <c r="DT715" i="2"/>
  <c r="DT716" i="2"/>
  <c r="DT717" i="2"/>
  <c r="DT718" i="2"/>
  <c r="DT719" i="2"/>
  <c r="DT720" i="2"/>
  <c r="DT721" i="2"/>
  <c r="DT722" i="2"/>
  <c r="DT723" i="2"/>
  <c r="DT724" i="2"/>
  <c r="DT725" i="2"/>
  <c r="DT726" i="2"/>
  <c r="DT727" i="2"/>
  <c r="DT728" i="2"/>
  <c r="DT729" i="2"/>
  <c r="DT730" i="2"/>
  <c r="DT731" i="2"/>
  <c r="DT732" i="2"/>
  <c r="DT733" i="2"/>
  <c r="DT734" i="2"/>
  <c r="DT735" i="2"/>
  <c r="DT736" i="2"/>
  <c r="DT737" i="2"/>
  <c r="DT738" i="2"/>
  <c r="DT739" i="2"/>
  <c r="DT740" i="2"/>
  <c r="DT741" i="2"/>
  <c r="DT742" i="2"/>
  <c r="DT743" i="2"/>
  <c r="DT744" i="2"/>
  <c r="DT745" i="2"/>
  <c r="DT746" i="2"/>
  <c r="DT747" i="2"/>
  <c r="DT748" i="2"/>
  <c r="DT749" i="2"/>
  <c r="DT750" i="2"/>
  <c r="DT751" i="2"/>
  <c r="DT752" i="2"/>
  <c r="DT753" i="2"/>
  <c r="DT754" i="2"/>
  <c r="DT755" i="2"/>
  <c r="DT756" i="2"/>
  <c r="DT757" i="2"/>
  <c r="DT758" i="2"/>
  <c r="DT759" i="2"/>
  <c r="DT760" i="2"/>
  <c r="DT761" i="2"/>
  <c r="DT762" i="2"/>
  <c r="DT763" i="2"/>
  <c r="DT764" i="2"/>
  <c r="DT765" i="2"/>
  <c r="DT766" i="2"/>
  <c r="DT767" i="2"/>
  <c r="DT768" i="2"/>
  <c r="DT769" i="2"/>
  <c r="DT770" i="2"/>
  <c r="DT771" i="2"/>
  <c r="DT772" i="2"/>
  <c r="DT773" i="2"/>
  <c r="DT774" i="2"/>
  <c r="DT775" i="2"/>
  <c r="DT776" i="2"/>
  <c r="DT777" i="2"/>
  <c r="DT778" i="2"/>
  <c r="DT779" i="2"/>
  <c r="DT780" i="2"/>
  <c r="DT781" i="2"/>
  <c r="DT782" i="2"/>
  <c r="DT783" i="2"/>
  <c r="DT784" i="2"/>
  <c r="DT785" i="2"/>
  <c r="DT786" i="2"/>
  <c r="DT787" i="2"/>
  <c r="DT788" i="2"/>
  <c r="DT789" i="2"/>
  <c r="DT790" i="2"/>
  <c r="DT791" i="2"/>
  <c r="DT792" i="2"/>
  <c r="DT793" i="2"/>
  <c r="DT794" i="2"/>
  <c r="DT795" i="2"/>
  <c r="DT796" i="2"/>
  <c r="DT797" i="2"/>
  <c r="DT798" i="2"/>
  <c r="DT799" i="2"/>
  <c r="DT800" i="2"/>
  <c r="DT801" i="2"/>
  <c r="DT802" i="2"/>
  <c r="DT803" i="2"/>
  <c r="DT804" i="2"/>
  <c r="DT805" i="2"/>
  <c r="DT806" i="2"/>
  <c r="DT807" i="2"/>
  <c r="DT808" i="2"/>
  <c r="DT809" i="2"/>
  <c r="DT810" i="2"/>
  <c r="DT811" i="2"/>
  <c r="DT812" i="2"/>
  <c r="DT813" i="2"/>
  <c r="DT814" i="2"/>
  <c r="DT815" i="2"/>
  <c r="DT816" i="2"/>
  <c r="DT817" i="2"/>
  <c r="DT818" i="2"/>
  <c r="DT819" i="2"/>
  <c r="DT820" i="2"/>
  <c r="DT821" i="2"/>
  <c r="DT822" i="2"/>
  <c r="DT823" i="2"/>
  <c r="DT824" i="2"/>
  <c r="DT825" i="2"/>
  <c r="DT826" i="2"/>
  <c r="DT827" i="2"/>
  <c r="DT828" i="2"/>
  <c r="DT829" i="2"/>
  <c r="DT830" i="2"/>
  <c r="DT831" i="2"/>
  <c r="DT832" i="2"/>
  <c r="DT833" i="2"/>
  <c r="DT834" i="2"/>
  <c r="DT835" i="2"/>
  <c r="DT836" i="2"/>
  <c r="DT837" i="2"/>
  <c r="DT838" i="2"/>
  <c r="DT839" i="2"/>
  <c r="DT840" i="2"/>
  <c r="DT841" i="2"/>
  <c r="DT842" i="2"/>
  <c r="DT843" i="2"/>
  <c r="DT844" i="2"/>
  <c r="DT845" i="2"/>
  <c r="DT846" i="2"/>
  <c r="DT847" i="2"/>
  <c r="DT848" i="2"/>
  <c r="DT849" i="2"/>
  <c r="DT850" i="2"/>
  <c r="DT851" i="2"/>
  <c r="DT852" i="2"/>
  <c r="DT853" i="2"/>
  <c r="DT854" i="2"/>
  <c r="DT855" i="2"/>
  <c r="DT856" i="2"/>
  <c r="DT857" i="2"/>
  <c r="DT858" i="2"/>
  <c r="DT859" i="2"/>
  <c r="DT860" i="2"/>
  <c r="DT861" i="2"/>
  <c r="DT862" i="2"/>
  <c r="DT863" i="2"/>
  <c r="DT864" i="2"/>
  <c r="DT865" i="2"/>
  <c r="DT866" i="2"/>
  <c r="DT867" i="2"/>
  <c r="DT868" i="2"/>
  <c r="DT869" i="2"/>
  <c r="DT870" i="2"/>
  <c r="DT871" i="2"/>
  <c r="DT872" i="2"/>
  <c r="DT873" i="2"/>
  <c r="DT874" i="2"/>
  <c r="DT875" i="2"/>
  <c r="DT876" i="2"/>
  <c r="DT877" i="2"/>
  <c r="DT878" i="2"/>
  <c r="DT880" i="2"/>
  <c r="DT881" i="2"/>
  <c r="DT882" i="2"/>
  <c r="DT883" i="2"/>
  <c r="DT884" i="2"/>
  <c r="DT885" i="2"/>
  <c r="DT886" i="2"/>
  <c r="DT887" i="2"/>
  <c r="DT888" i="2"/>
  <c r="DT889" i="2"/>
  <c r="DT890" i="2"/>
  <c r="DT892" i="2"/>
  <c r="DT893" i="2"/>
  <c r="DT894" i="2"/>
  <c r="DT896" i="2"/>
  <c r="DT897" i="2"/>
  <c r="DT898" i="2"/>
  <c r="DT899" i="2"/>
  <c r="DT900" i="2"/>
  <c r="DT901" i="2"/>
  <c r="DT902" i="2"/>
  <c r="DT903" i="2"/>
  <c r="DT904" i="2"/>
  <c r="DT905" i="2"/>
  <c r="DT906" i="2"/>
  <c r="DT907" i="2"/>
  <c r="DT908" i="2"/>
  <c r="DT909" i="2"/>
  <c r="DT910" i="2"/>
  <c r="DT911" i="2"/>
  <c r="DT912" i="2"/>
  <c r="DT913" i="2"/>
  <c r="DT914" i="2"/>
  <c r="DT915" i="2"/>
  <c r="DT916" i="2"/>
  <c r="DT917" i="2"/>
  <c r="DT918" i="2"/>
  <c r="DT919" i="2"/>
  <c r="DT920" i="2"/>
  <c r="DT921" i="2"/>
  <c r="DT922" i="2"/>
  <c r="DT923" i="2"/>
  <c r="DT924" i="2"/>
  <c r="DT925" i="2"/>
  <c r="DT926" i="2"/>
  <c r="DT927" i="2"/>
  <c r="DT928" i="2"/>
  <c r="DT929" i="2"/>
  <c r="DT930" i="2"/>
  <c r="DT931" i="2"/>
  <c r="DT932" i="2"/>
  <c r="DT933" i="2"/>
  <c r="DT934" i="2"/>
  <c r="DT935" i="2"/>
  <c r="DT936" i="2"/>
  <c r="DT937" i="2"/>
  <c r="DT938" i="2"/>
  <c r="DT939" i="2"/>
  <c r="DT940" i="2"/>
  <c r="DT941" i="2"/>
  <c r="DT942" i="2"/>
  <c r="DT943" i="2"/>
  <c r="DT944" i="2"/>
  <c r="DT945" i="2"/>
  <c r="DT946" i="2"/>
  <c r="DT947" i="2"/>
  <c r="DT948" i="2"/>
  <c r="DT949" i="2"/>
  <c r="DT950" i="2"/>
  <c r="DT951" i="2"/>
  <c r="DT952" i="2"/>
  <c r="DT953" i="2"/>
  <c r="DT954" i="2"/>
  <c r="DT955" i="2"/>
  <c r="DT956" i="2"/>
  <c r="DT957" i="2"/>
  <c r="DT958" i="2"/>
  <c r="DT959" i="2"/>
  <c r="DT960" i="2"/>
  <c r="DT961" i="2"/>
  <c r="DT962" i="2"/>
  <c r="DT963" i="2"/>
  <c r="DT964" i="2"/>
  <c r="DT965" i="2"/>
  <c r="DT966" i="2"/>
  <c r="DT967" i="2"/>
  <c r="DT968" i="2"/>
  <c r="DT969" i="2"/>
  <c r="DT970" i="2"/>
  <c r="DT971" i="2"/>
  <c r="DT972" i="2"/>
  <c r="DT973" i="2"/>
  <c r="DT974" i="2"/>
  <c r="DT975" i="2"/>
  <c r="DT976" i="2"/>
  <c r="DT977" i="2"/>
  <c r="DT978" i="2"/>
  <c r="DT979" i="2"/>
  <c r="DT980" i="2"/>
  <c r="DT981" i="2"/>
  <c r="DT982" i="2"/>
  <c r="DT983" i="2"/>
  <c r="DT984" i="2"/>
  <c r="DT985" i="2"/>
  <c r="DT986" i="2"/>
  <c r="DT987" i="2"/>
  <c r="DT988" i="2"/>
  <c r="DT989" i="2"/>
  <c r="DT990" i="2"/>
  <c r="DT991" i="2"/>
  <c r="DT992" i="2"/>
  <c r="DT993" i="2"/>
  <c r="DT994" i="2"/>
  <c r="DT995" i="2"/>
  <c r="DT996" i="2"/>
  <c r="DT997" i="2"/>
  <c r="DT998" i="2"/>
  <c r="DT1000" i="2"/>
  <c r="DT1001" i="2"/>
  <c r="DT1002" i="2"/>
  <c r="DT1003" i="2"/>
  <c r="DT1004" i="2"/>
  <c r="DT1005" i="2"/>
  <c r="DT1006" i="2"/>
  <c r="DT1007" i="2"/>
  <c r="DT1008" i="2"/>
  <c r="DT1009" i="2"/>
  <c r="DT1010" i="2"/>
  <c r="DT1011" i="2"/>
  <c r="DT1012" i="2"/>
  <c r="DT1013" i="2"/>
  <c r="DT1014" i="2"/>
  <c r="DT1015" i="2"/>
  <c r="DT1016" i="2"/>
  <c r="DT1017" i="2"/>
  <c r="DT1018" i="2"/>
  <c r="DT1019" i="2"/>
  <c r="DT1020" i="2"/>
  <c r="DT1021" i="2"/>
  <c r="DT1022" i="2"/>
  <c r="DT1023" i="2"/>
  <c r="DT1024" i="2"/>
  <c r="DT1025" i="2"/>
  <c r="DT1026" i="2"/>
  <c r="DT1027" i="2"/>
  <c r="DT1028" i="2"/>
  <c r="DT1029" i="2"/>
  <c r="DT1030" i="2"/>
  <c r="DT1031" i="2"/>
  <c r="DT1032" i="2"/>
  <c r="DT1033" i="2"/>
  <c r="DT1034" i="2"/>
  <c r="DT1035" i="2"/>
  <c r="DT1036" i="2"/>
  <c r="DT1037" i="2"/>
  <c r="DT1038" i="2"/>
  <c r="DT1039" i="2"/>
  <c r="DT1040" i="2"/>
  <c r="DT1041" i="2"/>
  <c r="DT1042" i="2"/>
  <c r="DT1043" i="2"/>
  <c r="DT1044" i="2"/>
  <c r="DT1045" i="2"/>
  <c r="DT1046" i="2"/>
  <c r="DT1047" i="2"/>
  <c r="DT1048" i="2"/>
  <c r="DT1049" i="2"/>
  <c r="DT1050" i="2"/>
  <c r="DT1051" i="2"/>
  <c r="DT1052" i="2"/>
  <c r="DT1053" i="2"/>
  <c r="DT1054" i="2"/>
  <c r="DT1055" i="2"/>
  <c r="DT1056" i="2"/>
  <c r="DT1057" i="2"/>
  <c r="DT1058" i="2"/>
  <c r="DT1059" i="2"/>
  <c r="DT1060" i="2"/>
  <c r="DT1061" i="2"/>
  <c r="DT1062" i="2"/>
  <c r="DT1063" i="2"/>
  <c r="DT1064" i="2"/>
  <c r="DT1065" i="2"/>
  <c r="DT1066" i="2"/>
  <c r="DT1067" i="2"/>
  <c r="DT1068" i="2"/>
  <c r="DT1069" i="2"/>
  <c r="DT1070" i="2"/>
  <c r="DT1071" i="2"/>
  <c r="DT1072" i="2"/>
  <c r="DT1073" i="2"/>
  <c r="DT1074" i="2"/>
  <c r="DT1075" i="2"/>
  <c r="DT1076" i="2"/>
  <c r="DT1077" i="2"/>
  <c r="DT1078" i="2"/>
  <c r="DT1079" i="2"/>
  <c r="DT1080" i="2"/>
  <c r="DT1081" i="2"/>
  <c r="DT1082" i="2"/>
  <c r="DT1083" i="2"/>
  <c r="DT1084" i="2"/>
  <c r="DT1085" i="2"/>
  <c r="DT1086" i="2"/>
  <c r="DT1087" i="2"/>
  <c r="DT1088" i="2"/>
  <c r="DT1089" i="2"/>
  <c r="DT1090" i="2"/>
  <c r="DT1091" i="2"/>
  <c r="DT1092" i="2"/>
  <c r="DT1093" i="2"/>
  <c r="DT1094" i="2"/>
  <c r="DT1095" i="2"/>
  <c r="DT1096" i="2"/>
  <c r="DT1097" i="2"/>
  <c r="DT1098" i="2"/>
  <c r="DT1099" i="2"/>
  <c r="DT1100" i="2"/>
  <c r="DT1101" i="2"/>
  <c r="DT1102" i="2"/>
  <c r="DT1103" i="2"/>
  <c r="DT1104" i="2"/>
  <c r="DT1105" i="2"/>
  <c r="DT1106" i="2"/>
  <c r="DT1107" i="2"/>
  <c r="DT1108" i="2"/>
  <c r="DT1109" i="2"/>
  <c r="DT1110" i="2"/>
  <c r="DT1111" i="2"/>
  <c r="DT1112" i="2"/>
  <c r="DT1114" i="2"/>
  <c r="DT1303" i="2" l="1"/>
  <c r="E1303" i="2"/>
  <c r="D1303" i="2"/>
  <c r="B1303" i="2"/>
  <c r="DT1302" i="2" l="1"/>
  <c r="E1302" i="2"/>
  <c r="D1302" i="2"/>
  <c r="C1302" i="2"/>
  <c r="B1302" i="2"/>
  <c r="E22" i="2" l="1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4" i="2"/>
  <c r="E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C1304" i="2"/>
  <c r="D1304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4" i="2"/>
  <c r="B22" i="2"/>
  <c r="DT1301" i="2" l="1"/>
  <c r="DT1300" i="2"/>
  <c r="DT1299" i="2"/>
  <c r="DT1298" i="2"/>
  <c r="DT1297" i="2"/>
  <c r="DT1296" i="2"/>
  <c r="DT1295" i="2"/>
  <c r="DT1294" i="2"/>
  <c r="DT1293" i="2"/>
  <c r="DT1292" i="2"/>
  <c r="DT1291" i="2"/>
  <c r="DT1290" i="2"/>
  <c r="DT1289" i="2"/>
  <c r="DT1288" i="2"/>
  <c r="DT1287" i="2"/>
  <c r="DT1286" i="2"/>
  <c r="DT1285" i="2"/>
  <c r="DT1284" i="2"/>
  <c r="DT1283" i="2"/>
  <c r="DT1282" i="2"/>
  <c r="DT1281" i="2"/>
  <c r="DT1280" i="2"/>
  <c r="DT1279" i="2"/>
  <c r="DT1278" i="2"/>
  <c r="DT1277" i="2"/>
  <c r="DT1276" i="2"/>
  <c r="DT1275" i="2"/>
  <c r="DT1274" i="2"/>
  <c r="DT1273" i="2"/>
  <c r="DT1272" i="2"/>
  <c r="DT1271" i="2"/>
  <c r="DT1270" i="2"/>
  <c r="DT1269" i="2"/>
  <c r="DT1268" i="2"/>
  <c r="DT1267" i="2"/>
  <c r="DT1266" i="2"/>
  <c r="DT1265" i="2"/>
  <c r="DT1264" i="2"/>
  <c r="DT1263" i="2"/>
  <c r="DT1262" i="2"/>
  <c r="DT1261" i="2"/>
  <c r="DT1260" i="2"/>
  <c r="DT1259" i="2"/>
  <c r="DT1258" i="2"/>
  <c r="DT1257" i="2"/>
  <c r="DT1256" i="2"/>
  <c r="DT1255" i="2"/>
  <c r="DT1254" i="2"/>
  <c r="DT1253" i="2"/>
  <c r="DT1252" i="2"/>
  <c r="DT1251" i="2"/>
  <c r="DT1250" i="2"/>
  <c r="DT1249" i="2"/>
  <c r="DT1248" i="2"/>
  <c r="DT1247" i="2"/>
  <c r="DT1246" i="2"/>
  <c r="DT1245" i="2"/>
  <c r="DT1244" i="2"/>
  <c r="DT1243" i="2"/>
  <c r="DT1242" i="2"/>
  <c r="DT1241" i="2"/>
  <c r="DT1240" i="2"/>
  <c r="DT1239" i="2"/>
  <c r="DT1238" i="2"/>
  <c r="DT1237" i="2"/>
  <c r="DT1236" i="2"/>
  <c r="DT1235" i="2"/>
  <c r="DT1234" i="2"/>
  <c r="DT1233" i="2"/>
  <c r="DT1232" i="2"/>
  <c r="DT1231" i="2"/>
  <c r="DT1230" i="2"/>
  <c r="DT1229" i="2"/>
  <c r="DT1228" i="2"/>
  <c r="DT1227" i="2"/>
  <c r="DT1226" i="2"/>
  <c r="DT1225" i="2"/>
  <c r="DT1224" i="2"/>
  <c r="DT1223" i="2"/>
  <c r="DT1222" i="2"/>
  <c r="DT1221" i="2"/>
  <c r="DT1220" i="2"/>
  <c r="DT1219" i="2"/>
  <c r="DT1218" i="2"/>
  <c r="DT1217" i="2"/>
  <c r="DT1216" i="2"/>
  <c r="DT1215" i="2"/>
  <c r="DT1214" i="2"/>
  <c r="DT1213" i="2"/>
  <c r="DT1212" i="2"/>
  <c r="DT1211" i="2"/>
  <c r="DT1210" i="2"/>
  <c r="DT1209" i="2"/>
  <c r="DT1208" i="2"/>
  <c r="DT1207" i="2"/>
  <c r="DT1206" i="2"/>
  <c r="DT1205" i="2"/>
  <c r="DT1204" i="2"/>
  <c r="DT1203" i="2"/>
  <c r="DT1202" i="2"/>
  <c r="DT1201" i="2"/>
  <c r="DT1200" i="2"/>
  <c r="DT1199" i="2"/>
  <c r="DT1198" i="2"/>
  <c r="DT1197" i="2"/>
  <c r="DT1196" i="2"/>
  <c r="DT1195" i="2"/>
  <c r="DT1194" i="2"/>
  <c r="DT1193" i="2"/>
  <c r="DT1192" i="2"/>
  <c r="DT1191" i="2"/>
  <c r="DT1190" i="2"/>
  <c r="DT1189" i="2"/>
  <c r="DT1188" i="2"/>
  <c r="DT1187" i="2"/>
  <c r="DT1186" i="2"/>
  <c r="DT1185" i="2"/>
  <c r="DT1184" i="2"/>
  <c r="DT1183" i="2"/>
  <c r="DT1182" i="2"/>
  <c r="DT1181" i="2"/>
  <c r="DT1180" i="2"/>
  <c r="DT1179" i="2"/>
  <c r="DT1178" i="2"/>
  <c r="DT1177" i="2"/>
  <c r="DT1176" i="2"/>
  <c r="DT1175" i="2"/>
  <c r="DT1174" i="2"/>
  <c r="DT1173" i="2"/>
  <c r="DT1172" i="2"/>
  <c r="DT1171" i="2"/>
  <c r="DT1170" i="2"/>
  <c r="DT1169" i="2"/>
  <c r="DT1168" i="2"/>
  <c r="DT1167" i="2"/>
  <c r="DT1166" i="2"/>
  <c r="DT1165" i="2"/>
  <c r="DT1164" i="2"/>
  <c r="DT1163" i="2"/>
  <c r="DT1162" i="2"/>
  <c r="DT1161" i="2"/>
  <c r="DT1160" i="2"/>
  <c r="DT1159" i="2"/>
  <c r="DT1158" i="2"/>
  <c r="DT1157" i="2"/>
  <c r="DT1156" i="2"/>
  <c r="DT1155" i="2"/>
  <c r="DT1154" i="2"/>
  <c r="DT1153" i="2"/>
  <c r="DT1152" i="2"/>
  <c r="DT1151" i="2"/>
  <c r="DT1150" i="2"/>
  <c r="DT1149" i="2"/>
  <c r="DT1148" i="2"/>
  <c r="DT1147" i="2"/>
  <c r="DT1146" i="2"/>
  <c r="DT1145" i="2"/>
  <c r="DT1144" i="2"/>
  <c r="DT1141" i="2"/>
  <c r="DT1140" i="2"/>
  <c r="DT1139" i="2"/>
  <c r="DT1138" i="2"/>
  <c r="DT1137" i="2"/>
  <c r="DT1136" i="2"/>
  <c r="DT1135" i="2"/>
  <c r="DT1134" i="2"/>
  <c r="DT1133" i="2"/>
  <c r="DT1132" i="2"/>
  <c r="DT1131" i="2"/>
  <c r="DT1130" i="2"/>
  <c r="DT1129" i="2"/>
  <c r="DT1128" i="2"/>
  <c r="DT1127" i="2"/>
  <c r="DT1126" i="2"/>
  <c r="DT1125" i="2"/>
  <c r="DT1124" i="2"/>
  <c r="DT1123" i="2"/>
  <c r="DT1122" i="2"/>
  <c r="DT1121" i="2"/>
  <c r="DT1120" i="2"/>
  <c r="DT1119" i="2"/>
  <c r="DT1118" i="2"/>
  <c r="DT1117" i="2"/>
  <c r="DT1116" i="2"/>
  <c r="DT1115" i="2"/>
  <c r="DT1304" i="2" l="1"/>
  <c r="D21" i="2" l="1"/>
  <c r="B21" i="2"/>
  <c r="E20" i="2"/>
  <c r="D20" i="2"/>
  <c r="B20" i="2"/>
  <c r="E19" i="2"/>
  <c r="D19" i="2"/>
  <c r="B19" i="2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2" i="5"/>
  <c r="A3" i="5"/>
  <c r="A4" i="5"/>
  <c r="A5" i="5"/>
  <c r="A6" i="5"/>
  <c r="A7" i="5"/>
  <c r="A8" i="5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DT17" i="2" l="1"/>
  <c r="DT16" i="2"/>
  <c r="DT15" i="2"/>
  <c r="DT14" i="2"/>
  <c r="E18" i="2"/>
  <c r="D18" i="2"/>
  <c r="E17" i="2"/>
  <c r="D17" i="2"/>
  <c r="E16" i="2"/>
  <c r="D16" i="2"/>
  <c r="E15" i="2"/>
  <c r="D15" i="2"/>
  <c r="E14" i="2"/>
  <c r="D14" i="2"/>
  <c r="B18" i="2"/>
  <c r="B17" i="2"/>
  <c r="B16" i="2"/>
  <c r="B15" i="2"/>
  <c r="B14" i="2"/>
  <c r="B13" i="2"/>
  <c r="E13" i="2"/>
  <c r="D13" i="2"/>
  <c r="DT13" i="2"/>
</calcChain>
</file>

<file path=xl/sharedStrings.xml><?xml version="1.0" encoding="utf-8"?>
<sst xmlns="http://schemas.openxmlformats.org/spreadsheetml/2006/main" count="8131" uniqueCount="1560">
  <si>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</si>
  <si>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</si>
  <si>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</si>
  <si>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</si>
  <si>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</si>
  <si>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</si>
  <si>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</si>
  <si>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</si>
  <si>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</si>
  <si>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</si>
  <si>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</si>
  <si>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</si>
  <si>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</si>
  <si>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</si>
  <si>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</si>
  <si>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Medical Officer III</t>
  </si>
  <si>
    <t>FT</t>
  </si>
  <si>
    <t>Permanent</t>
  </si>
  <si>
    <t>Medical Specialist II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</si>
  <si>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</si>
  <si>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</si>
  <si>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</si>
  <si>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</si>
  <si>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</si>
  <si>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</si>
  <si>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</si>
  <si>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</si>
  <si>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</si>
  <si>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</si>
  <si>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</si>
  <si>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</si>
  <si>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</si>
  <si>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</si>
  <si>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</si>
  <si>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</si>
  <si>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</si>
  <si>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</si>
  <si>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</si>
  <si>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</si>
  <si>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</si>
  <si>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</si>
  <si>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</si>
  <si>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</si>
  <si>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</si>
  <si>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</si>
  <si>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</si>
  <si>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</si>
  <si>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</si>
  <si>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</si>
  <si>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</si>
  <si>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</si>
  <si>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</si>
  <si>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</si>
  <si>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</si>
  <si>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</si>
  <si>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</si>
  <si>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</si>
  <si>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</si>
  <si>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</si>
  <si>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</si>
  <si>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</si>
  <si>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</si>
  <si>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</si>
  <si>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</si>
  <si>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</si>
  <si>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</si>
  <si>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</si>
  <si>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</si>
  <si>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</si>
  <si>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</si>
  <si>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</si>
  <si>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</si>
  <si>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</si>
  <si>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</si>
  <si>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</si>
  <si>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</si>
  <si>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</si>
  <si>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</si>
  <si>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</si>
  <si>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</si>
  <si>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</si>
  <si>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</si>
  <si>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</si>
  <si>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</si>
  <si>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</si>
  <si>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</si>
  <si>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</si>
  <si>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</si>
  <si>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</si>
  <si>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</si>
  <si>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</si>
  <si>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</si>
  <si>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</si>
  <si>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</si>
  <si>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</si>
  <si>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</si>
  <si>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</si>
  <si>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</si>
  <si>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</si>
  <si>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</si>
  <si>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</si>
  <si>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</si>
  <si>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Level II and III</t>
  </si>
  <si>
    <t>Time period covered:</t>
  </si>
  <si>
    <t>Dr. Monserrat S. Chichioco</t>
  </si>
  <si>
    <t xml:space="preserve">Medical Center Chief II </t>
  </si>
  <si>
    <t>Administrative/Overhead services -&gt; Office of the Medical Center Chief</t>
  </si>
  <si>
    <t>Dr. Arnold Dino P. Granda</t>
  </si>
  <si>
    <t>Medical Specialist IV (P.T.) - Chairman</t>
  </si>
  <si>
    <t>Dr. Neresito T. Espiritu</t>
  </si>
  <si>
    <t>Medical Specialist IV (P.T.)</t>
  </si>
  <si>
    <t>Dr. Edgar T. Manalastas</t>
  </si>
  <si>
    <t>Medical Specialist III</t>
  </si>
  <si>
    <t>Dr. Anthony D. Tayao</t>
  </si>
  <si>
    <t>Medical Specialist III (P.T.)</t>
  </si>
  <si>
    <t>Dr. Andre Paulo T. Espiritu</t>
  </si>
  <si>
    <t>Dr. Romarico Rommel M. Azores, Jr.</t>
  </si>
  <si>
    <t xml:space="preserve">Dr. Francis Raymond P. Arkoncel </t>
  </si>
  <si>
    <t>Dr. Noel D. Evangelista</t>
  </si>
  <si>
    <t>Dr. Jaime P. Flores</t>
  </si>
  <si>
    <t>Dr. Ryan D. Quiambao</t>
  </si>
  <si>
    <t>Dr. Sir Emmanuel S. Astudillo</t>
  </si>
  <si>
    <t>Dr. Arturo S. Mendoza III</t>
  </si>
  <si>
    <t>Dr. Mejie B. Pandato</t>
  </si>
  <si>
    <t>Dr. Crisle O. Dychingco</t>
  </si>
  <si>
    <t>Dr. Patrick Louie C. Maglaya</t>
  </si>
  <si>
    <t>Medical Specialist II (P.T.)</t>
  </si>
  <si>
    <t>Dr. Vermie D. Garcia</t>
  </si>
  <si>
    <t>Dr. Raymond Rodel P. Marquez</t>
  </si>
  <si>
    <t>Dr. Oliver T. Mallari</t>
  </si>
  <si>
    <t>Dr. Nazer M. Salonga</t>
  </si>
  <si>
    <t>Dr. Ronald B. Reyes</t>
  </si>
  <si>
    <t>Medical Officer IV</t>
  </si>
  <si>
    <t>Dr. Primitivo D. Pangan III</t>
  </si>
  <si>
    <t>Dr. Geronimo R. Trojillo III</t>
  </si>
  <si>
    <t>Dr. Amando T. Meredor, Jr.</t>
  </si>
  <si>
    <t>Dr. Amanda Louise M. Mora</t>
  </si>
  <si>
    <t>Dr. Hena A. Papio</t>
  </si>
  <si>
    <t>Dr. Jodell T. Coates</t>
  </si>
  <si>
    <t>Dr. Rushell C. Barata</t>
  </si>
  <si>
    <t>Dr. Regina P. Ocampo</t>
  </si>
  <si>
    <t>Dr. Paulo M. Castillo</t>
  </si>
  <si>
    <t>Dr. Joanna Marie S. Valenzuela-Madrid</t>
  </si>
  <si>
    <t>Dr. Peter John S. Clemente</t>
  </si>
  <si>
    <t>Dr. Benedict Jose B. Torres</t>
  </si>
  <si>
    <t>Dr. Don Philip M. Guzman</t>
  </si>
  <si>
    <t>Dr. Paolo L. David</t>
  </si>
  <si>
    <t xml:space="preserve">Medical Officer III </t>
  </si>
  <si>
    <t>Dr. Julie Ann B. Zamora</t>
  </si>
  <si>
    <t>Dr. Guiller Jerico C. Patdu</t>
  </si>
  <si>
    <t>Dr. Francis Adrian A. Canlas</t>
  </si>
  <si>
    <t>Dr. Ryan Joe A. Dungca</t>
  </si>
  <si>
    <t>Dr. Kathrina T. Magtoto-Patdu</t>
  </si>
  <si>
    <t>Dr. Pamela Y. Diaz</t>
  </si>
  <si>
    <t>Dr. John Abner M. Limcangco</t>
  </si>
  <si>
    <t>Dr. Roden T. Mariano</t>
  </si>
  <si>
    <t>Dr. Irene L. Arellano</t>
  </si>
  <si>
    <t>Dr. Ivan Gerald L. Reyes</t>
  </si>
  <si>
    <t>Kaila Mikka B. Urgente</t>
  </si>
  <si>
    <t>Administrative Assistant I</t>
  </si>
  <si>
    <t xml:space="preserve">Dr. Paolo C. Manalastas </t>
  </si>
  <si>
    <t xml:space="preserve">Dr. Mary Anne S. Simbul </t>
  </si>
  <si>
    <t>Clinical/Medical services -&gt; Surgical Ward</t>
  </si>
  <si>
    <t>Temporary</t>
  </si>
  <si>
    <t>Administrative/Overhead services -&gt; Others</t>
  </si>
  <si>
    <t>Dr. Ivan-John P. Concepcion</t>
  </si>
  <si>
    <t>Medical Specialist III (OIC-Chairman)</t>
  </si>
  <si>
    <t>Dr. Peter Paul P. Papio</t>
  </si>
  <si>
    <t>Dr. Dyan F. Pangilinan-Docena</t>
  </si>
  <si>
    <t>Dr. Gilbert L. Ola</t>
  </si>
  <si>
    <t>Dr. Jose Alejandro O. Lopez</t>
  </si>
  <si>
    <t>Medical Specialist II  (P.T.)</t>
  </si>
  <si>
    <t xml:space="preserve">Dr. Genriech N. Reoyan </t>
  </si>
  <si>
    <t>Dr. Daniel V. Dungca</t>
  </si>
  <si>
    <t>Dr. Dante Carlo V. Valenzuela</t>
  </si>
  <si>
    <t>Dr. Jessica Anne A. Gandionco</t>
  </si>
  <si>
    <t>Dr. Edelyn S. Azurin</t>
  </si>
  <si>
    <t>Dr. Viern Ceazar A. Patiño</t>
  </si>
  <si>
    <t>Dr. Kevin Marc M. Estillore</t>
  </si>
  <si>
    <t>Dr. Marvin Karlo T. Lugue</t>
  </si>
  <si>
    <t>Dr. Carmelo C. Barcelona</t>
  </si>
  <si>
    <t>Dr. Gary Andrew M. Yu</t>
  </si>
  <si>
    <t>Dr. Pio Rafael R. Lim</t>
  </si>
  <si>
    <t xml:space="preserve">Dr. Kim Andrew S. De Leon </t>
  </si>
  <si>
    <t xml:space="preserve">Dr. Rae Joseph G. Mangalino </t>
  </si>
  <si>
    <t>Dr. Eugene M. Andrade</t>
  </si>
  <si>
    <t>Dr. Nikki Anne A. Pelayo</t>
  </si>
  <si>
    <t>Janet B. Tan</t>
  </si>
  <si>
    <t>Clinical/Medical services -&gt; Orthopedic Ward*</t>
  </si>
  <si>
    <t>Ancillary services/Support services -&gt; Others</t>
  </si>
  <si>
    <t>Dr. Godofredo Jose P. Hizon</t>
  </si>
  <si>
    <t>Dr. Benedict P. Lagman</t>
  </si>
  <si>
    <t>Dr. Paulyn M. Gaddi</t>
  </si>
  <si>
    <t>Dr. Roannie Candida I. Castañeda</t>
  </si>
  <si>
    <t>Dr. Marc Reinald G. Santiago</t>
  </si>
  <si>
    <t>Dr. Janice M. Mangahas</t>
  </si>
  <si>
    <t>Dr. Cristopher D. Urbis</t>
  </si>
  <si>
    <t>Dr. Benlor Y. Buendia</t>
  </si>
  <si>
    <t>Dr. Shella May P. Laxamana</t>
  </si>
  <si>
    <t>Dr. Galen Clark C. Perez</t>
  </si>
  <si>
    <t>Dr. Eleanor P. Bernas</t>
  </si>
  <si>
    <t>Dr. Jose Erwin L. Enriquez</t>
  </si>
  <si>
    <t>Dr. Reden G. Aldea</t>
  </si>
  <si>
    <t>Dr. Monica D. Tan</t>
  </si>
  <si>
    <t>Dr. Aldrin Butz E. Bamba</t>
  </si>
  <si>
    <t>Dr. Marjorie L. Santos</t>
  </si>
  <si>
    <t>Clinical/Medical services -&gt; ENT Ward*</t>
  </si>
  <si>
    <t xml:space="preserve">Dr. Evelyn B. Manlutac </t>
  </si>
  <si>
    <t>Medical Specialist III - Chairman</t>
  </si>
  <si>
    <t>Dr. Andrea M Gaddi</t>
  </si>
  <si>
    <t>Dr. Irmina S. Lacsina-Gomez</t>
  </si>
  <si>
    <t>Dr. Edward N. Padilla</t>
  </si>
  <si>
    <t>Dr. Irene C. Manalastas</t>
  </si>
  <si>
    <t>Medical Specialist III(P.T.)</t>
  </si>
  <si>
    <t>Dr. Cynthia G. Gueco</t>
  </si>
  <si>
    <t>Dr. Johanna N. Espinosa</t>
  </si>
  <si>
    <t>Dr. Raquel M. Salonga</t>
  </si>
  <si>
    <t>Dr. Jaymee O. Luzung</t>
  </si>
  <si>
    <t>Dr. Rose Anne P. Dela Cruz</t>
  </si>
  <si>
    <t xml:space="preserve">Dr. Angelo M. Tolentino </t>
  </si>
  <si>
    <t>Dr. Arlene Hyacinth S. Rodriguez</t>
  </si>
  <si>
    <t>Dr. Antonette Joyce E. Salazar</t>
  </si>
  <si>
    <t>Dr. Shirley C. Garcia</t>
  </si>
  <si>
    <t>Dr. Jessellee D. Naguit</t>
  </si>
  <si>
    <t>Dr. Jeanette S. Ramos</t>
  </si>
  <si>
    <t>Dr. Donna Mae D. Layug</t>
  </si>
  <si>
    <t xml:space="preserve">Dr. Gertie L. Jimenez </t>
  </si>
  <si>
    <t>Dr. Sharon C. Guintu</t>
  </si>
  <si>
    <t>Dr. Xandra T. Fabian</t>
  </si>
  <si>
    <t>Dr. Lorelie V. Guevarra</t>
  </si>
  <si>
    <t>Dr. Erma Jean E. Dumas</t>
  </si>
  <si>
    <t>Dr. Orvi Gem R. Macaspac</t>
  </si>
  <si>
    <t>Dr. Roma-Myka Q. Velasquez</t>
  </si>
  <si>
    <t>Dr. Melisa C. Lopez</t>
  </si>
  <si>
    <t>Dr. Erica Christine B. Cortez</t>
  </si>
  <si>
    <t>Dr. Anna Mae D. Duya</t>
  </si>
  <si>
    <t>Dr. Cheska R. Bautista</t>
  </si>
  <si>
    <t>Dr. Clarence Joy S. Lapid</t>
  </si>
  <si>
    <t>Dr. Karen Grace L. Plurad</t>
  </si>
  <si>
    <t xml:space="preserve">Dr. Michael P. Dayrit </t>
  </si>
  <si>
    <t xml:space="preserve">Dr. Zhyra Gail T. Catli </t>
  </si>
  <si>
    <t xml:space="preserve">Dr. Randy M. Dabu </t>
  </si>
  <si>
    <t>Dr. Sheena Marie G. Sicat</t>
  </si>
  <si>
    <t>Dr. Rochelle Kai T. Dungao</t>
  </si>
  <si>
    <t>Dr. John A. Eke, Jr.</t>
  </si>
  <si>
    <t>Dr. Christianne M. Salvador</t>
  </si>
  <si>
    <t>Pamela L. Nucum</t>
  </si>
  <si>
    <t>Clinical/Medical services -&gt; Ob/Gyne Ward</t>
  </si>
  <si>
    <t>Dr. Jomell C. Julian</t>
  </si>
  <si>
    <t>Dr. Edwin D. Pasumbal</t>
  </si>
  <si>
    <t>Dr. Maria Luisa Cecilia R. Arkoncel</t>
  </si>
  <si>
    <t>Dr. Lyzette V. Salas</t>
  </si>
  <si>
    <t>Dr. Kristina Therese G. Lagunilla</t>
  </si>
  <si>
    <t>Dr. Arnold Angelo M. Pineda</t>
  </si>
  <si>
    <t>Dr. Isser N. Sugay</t>
  </si>
  <si>
    <t>Dr. Ciela V. Balagtas</t>
  </si>
  <si>
    <t>Dr. Grace M. Nierras</t>
  </si>
  <si>
    <t>Dr. Ritchie B. Rebong</t>
  </si>
  <si>
    <t>Dr. Gemma D. Gutierrez</t>
  </si>
  <si>
    <t>Dr. Joseph George G. Tamayo</t>
  </si>
  <si>
    <t xml:space="preserve">Dr. Conrado M. Mercado </t>
  </si>
  <si>
    <t>Dr. Ferdinand C. Rubio, Jr.</t>
  </si>
  <si>
    <t>Dr. Paulo S. Tioleco</t>
  </si>
  <si>
    <t xml:space="preserve">Dr. Ramon P. Canda                          </t>
  </si>
  <si>
    <t>Dr. John R. Vallado</t>
  </si>
  <si>
    <t>Dr. Elizabeth S. Rubio</t>
  </si>
  <si>
    <t>Dr. Sheryll J. Magayanes</t>
  </si>
  <si>
    <t>Dr. Mary-Grace Angelica S. Gomez</t>
  </si>
  <si>
    <t>Dr. Ace L. Samson</t>
  </si>
  <si>
    <t>Dr. Karen V. Chincuanco</t>
  </si>
  <si>
    <t>Dr. Abel G. Laxamana</t>
  </si>
  <si>
    <t>Dr. Ariel Anthonell D. Maltu</t>
  </si>
  <si>
    <t>Dr. Edgar S. Nicolas, Jr.</t>
  </si>
  <si>
    <t>Dr. Emily J. Babasoro</t>
  </si>
  <si>
    <t>Dr. John Kenneth M. Lopez</t>
  </si>
  <si>
    <t>Dr. Alvin Harren B. Magtoto</t>
  </si>
  <si>
    <t>Dr. Ralph Jefferson T. Ramos</t>
  </si>
  <si>
    <t>Dr. Maria Eileen R. Dizon</t>
  </si>
  <si>
    <t>Dr. Ainah Pamela R. Cunanan</t>
  </si>
  <si>
    <t>Dr. Jason King D. Talao</t>
  </si>
  <si>
    <t>Dr. Reigna S. Romero</t>
  </si>
  <si>
    <t>Dr. Noel G. Gomez</t>
  </si>
  <si>
    <t>Dr. Charles Eryll S. Sy</t>
  </si>
  <si>
    <t>Dr. Marieliese A. Cruz</t>
  </si>
  <si>
    <t>Dr. Honeygirl P. Toledanes</t>
  </si>
  <si>
    <t>Dr. Ma. Carmela M. Maminta</t>
  </si>
  <si>
    <t>Dr. Erika Marie P. Medina</t>
  </si>
  <si>
    <t>Dr. Abigail P. Ramirez</t>
  </si>
  <si>
    <t>Dr. Salvador A. Rivera IV</t>
  </si>
  <si>
    <t>Dr. Florence B. Maliwat</t>
  </si>
  <si>
    <t>Mary Anne C. Yco</t>
  </si>
  <si>
    <t>Clinical/Medical services -&gt; Internal Medicine Ward</t>
  </si>
  <si>
    <t>PT</t>
  </si>
  <si>
    <t>Dr. Alberto T. David</t>
  </si>
  <si>
    <t>Dr. Rosalyn G. Peregrino</t>
  </si>
  <si>
    <t>Dr. Conde L. Garcia</t>
  </si>
  <si>
    <t>Dr. Juvic A. Jimenez</t>
  </si>
  <si>
    <t>Dr. Gerry P. Viloria</t>
  </si>
  <si>
    <t>Dr. Kryzia June B. Balneg</t>
  </si>
  <si>
    <t>Dr. Ñino Noel S. Paule</t>
  </si>
  <si>
    <t>Dr. Alejandro L. Garcia, Jr.</t>
  </si>
  <si>
    <t>Dr. Abner B. Alavazo</t>
  </si>
  <si>
    <t>Dr. Allan D. Alonzo</t>
  </si>
  <si>
    <t>Dr. Tracy Jane M. Torres</t>
  </si>
  <si>
    <t>Dr. Nathaniel H. Gaddi</t>
  </si>
  <si>
    <t>Dr. Mia D. Buendia</t>
  </si>
  <si>
    <t>Dr. Christian Neil C. Sy</t>
  </si>
  <si>
    <t>Dr. Maria Joyce Camille L. Aquino</t>
  </si>
  <si>
    <t>Dr. Galahad C.Valenzona</t>
  </si>
  <si>
    <t>Dr. Clarence V. Del Rosario</t>
  </si>
  <si>
    <t>Dr. Precious Ann Marie G. Dural-Bulaon</t>
  </si>
  <si>
    <t>Dr. Ma. Carmela Olga A. Camagay</t>
  </si>
  <si>
    <t>Dr. Jennifer B. Hipol</t>
  </si>
  <si>
    <t>Dr. Mary Ellen C. Catibog</t>
  </si>
  <si>
    <t>Dr. Ailleen P. Dagdagan</t>
  </si>
  <si>
    <t>Dr. Annalyn S. Go</t>
  </si>
  <si>
    <t>Dr. Randy G. Peña</t>
  </si>
  <si>
    <t>Dr. Dale V. Vicencio</t>
  </si>
  <si>
    <t>Dr. Erwin Abraham L. Bondoc</t>
  </si>
  <si>
    <t>Dr. Princess Elaine M. Manansala</t>
  </si>
  <si>
    <t>Dr. Kelvin Louies P. Tuazon</t>
  </si>
  <si>
    <t>Dr. Justin Lawrence D. Ongtioco</t>
  </si>
  <si>
    <t xml:space="preserve">Dr. Janine R. Calimbas </t>
  </si>
  <si>
    <t>Dr. Jeremy O. Halili</t>
  </si>
  <si>
    <t>Dr. Tracy C. Gomez</t>
  </si>
  <si>
    <t>Dr. Mary Joy M. Mamauag</t>
  </si>
  <si>
    <t>Dr. Fermin A. Lacson</t>
  </si>
  <si>
    <t>Dr. Joy Aiza  R. Sombillo</t>
  </si>
  <si>
    <t>Dr. Patricia F. Tiotuico</t>
  </si>
  <si>
    <t>Dr. Deborrah Sheila R. Jose</t>
  </si>
  <si>
    <t>Dr. Celsius Kelvin V. Garrote</t>
  </si>
  <si>
    <t>Dr. Lourdes G. Cordova</t>
  </si>
  <si>
    <t>Dr. Alfredo N. Naguit Jr.</t>
  </si>
  <si>
    <t>Dr. John Carlo A. Camagay</t>
  </si>
  <si>
    <t>Dr. Abigail M. Tolentino</t>
  </si>
  <si>
    <t xml:space="preserve">Dr. Leslie T. Garcia    </t>
  </si>
  <si>
    <t>Dr. Lorielyn P. Bagang</t>
  </si>
  <si>
    <t>Dr. Irene A. Flores</t>
  </si>
  <si>
    <t>Dr. Jose T. Saporne</t>
  </si>
  <si>
    <t>Dr. Christian Jerome C. Carreon</t>
  </si>
  <si>
    <t>Dr. Adrian V. Garcia</t>
  </si>
  <si>
    <t>Dr. Cleofe P. Mallari</t>
  </si>
  <si>
    <t>Dr. Francis S. Soriano</t>
  </si>
  <si>
    <t>Hannah Catleya M. De Guzman</t>
  </si>
  <si>
    <t>Administrative Assistant II</t>
  </si>
  <si>
    <t>Clinical/Medical services -&gt; Emergency Medicine Department</t>
  </si>
  <si>
    <t>Dr. Ulysses G. Galang</t>
  </si>
  <si>
    <t>Dr. Paulita Pamela P. Astudillo</t>
  </si>
  <si>
    <t>Dr. Rolan A. Mangahas</t>
  </si>
  <si>
    <t>Dr. Jeane Haidee M. Sadorra</t>
  </si>
  <si>
    <t>Dr. Katrina Charisse T. Magno</t>
  </si>
  <si>
    <t>Dr. Andrew L. Angeles</t>
  </si>
  <si>
    <t>Dr. Patricio S. Asio</t>
  </si>
  <si>
    <t>Dr. Jovell Ian M. Peregrino</t>
  </si>
  <si>
    <t>Dr. Rolando C. Soriano Jr.</t>
  </si>
  <si>
    <t>Dr. Melchor D. Babasoro</t>
  </si>
  <si>
    <t>Dr. Eric A. Pua</t>
  </si>
  <si>
    <t>Dr. Mark Anthony A. Gemarino</t>
  </si>
  <si>
    <t>Dr. Izza L. Italia</t>
  </si>
  <si>
    <t>Dr. Chicco Xerxes D. Pangan</t>
  </si>
  <si>
    <t>Dr. Michael S. Paroli</t>
  </si>
  <si>
    <t>Dr. Rey Christopher M. Mercado</t>
  </si>
  <si>
    <t>Dr. Carlo Magno P. Torres</t>
  </si>
  <si>
    <t>Consultant (Job Order)</t>
  </si>
  <si>
    <t>Clinical/Medical services -&gt; Outpatient Department</t>
  </si>
  <si>
    <t>Job Order</t>
  </si>
  <si>
    <t>Dr. Mario M. Romero</t>
  </si>
  <si>
    <t>Medical Specialist IV - Chairman</t>
  </si>
  <si>
    <t>Dr. Jane G. Stewart</t>
  </si>
  <si>
    <t>Dr. Walter G. Rivera</t>
  </si>
  <si>
    <t>Dr. Rowena T. Vergara</t>
  </si>
  <si>
    <t>Dr. Lalaine Audrey G. Matitu-Untalan</t>
  </si>
  <si>
    <t>Dr.Vianney Marie C. Mandapat</t>
  </si>
  <si>
    <t>Dr. Anna Lizza S. Mañalac</t>
  </si>
  <si>
    <t>Dr. Leizel D. Yap</t>
  </si>
  <si>
    <t>Dr. Rovie Lynn Joy D. Luz</t>
  </si>
  <si>
    <t>Dr. Carmina Gerard S. Patio</t>
  </si>
  <si>
    <t>Dr. Suzanne S. Ponio-Degollado</t>
  </si>
  <si>
    <t>Dr. Elizabeth Q. Garcia</t>
  </si>
  <si>
    <t>Dr. Elirose B. Laxamana</t>
  </si>
  <si>
    <t>Dr. Jonijohn R. Jimenez</t>
  </si>
  <si>
    <t xml:space="preserve">Dr. Angelita B. Ramos </t>
  </si>
  <si>
    <t>Dr. Abigail M. Eroles</t>
  </si>
  <si>
    <t>Dr. Rosequiel P. Villena</t>
  </si>
  <si>
    <t>Dr. Paul Edwin T. Baltazar</t>
  </si>
  <si>
    <t>Dr. Maria Luisa T. Ruedas</t>
  </si>
  <si>
    <t>Dr. Joan Christine S. Guina</t>
  </si>
  <si>
    <t>Dr. Faye Anne M. Cruz</t>
  </si>
  <si>
    <t>Dr. Charina C. Lusung</t>
  </si>
  <si>
    <t>Dr. Mary Ann M. Gozun</t>
  </si>
  <si>
    <t>Dr. Ritchelle I. Feliciano</t>
  </si>
  <si>
    <t>Dr. Lejan L. Lugtu</t>
  </si>
  <si>
    <t>Dr. Azalea Mae D. Pascual</t>
  </si>
  <si>
    <t>Dr. Johnathan M. Peralta</t>
  </si>
  <si>
    <t>Dr. Honey Ma. Vielle V. Guarin</t>
  </si>
  <si>
    <t>Dr. Mary Khristine F. Garcia</t>
  </si>
  <si>
    <t>Dr. Danica Kaye P. Timbol</t>
  </si>
  <si>
    <t>Dr. Riezel Jean G. Mangalino</t>
  </si>
  <si>
    <t>Dr. Jambeelyn C. Dycaico</t>
  </si>
  <si>
    <t>Dr. Katrina Micah G. Edoño</t>
  </si>
  <si>
    <t>Dr. Clarrisa Marie D. Coronel</t>
  </si>
  <si>
    <t>Dr. Princess Alexandra B. Duque-David</t>
  </si>
  <si>
    <t>Dr. Cindy Kristel N. Miclat</t>
  </si>
  <si>
    <t>Dr. Maria Angela Faith D. Chua-Roque</t>
  </si>
  <si>
    <t>Dr. Dorothy Joy M. Balanquit</t>
  </si>
  <si>
    <t>Dr. Rose Ann B. Guevarra</t>
  </si>
  <si>
    <t>Dr. Headly S. Velasquez</t>
  </si>
  <si>
    <t>Dr. Karen Joyce D. Gomez</t>
  </si>
  <si>
    <t>Dr. Cielo A. Arañez</t>
  </si>
  <si>
    <t>Myra Camille D. Magtoto</t>
  </si>
  <si>
    <t>Clinical/Medical services -&gt; Pediatric Ward</t>
  </si>
  <si>
    <t>Dr. Ruby Susan M. Lising</t>
  </si>
  <si>
    <t>Dr. Agnes B. Bausa-Claudio</t>
  </si>
  <si>
    <t>Dr. Jeffrey Anthony R. Galura</t>
  </si>
  <si>
    <t>Dr. Maria Elizabeth M. Limjoco</t>
  </si>
  <si>
    <t>Dr. Ana Kristine V. Bermudez</t>
  </si>
  <si>
    <t>Dr. Manuel Jose B. Credo</t>
  </si>
  <si>
    <t>Dr. Joel A. De Jesus</t>
  </si>
  <si>
    <t>Dr. Jose Antonio U. Martin</t>
  </si>
  <si>
    <t>Dr. Lerrezyl M. Sabong</t>
  </si>
  <si>
    <t>Dr. Belinda Fe M. Cabal</t>
  </si>
  <si>
    <t>Dr. Ivan Kristoffer C. Torres</t>
  </si>
  <si>
    <t>Dr. Christopher F. Demition</t>
  </si>
  <si>
    <t>Dr. Jhanealle Princess F. Reoma</t>
  </si>
  <si>
    <t>Dr. Shiela D. Muñoz</t>
  </si>
  <si>
    <t>Maricar Villocog</t>
  </si>
  <si>
    <t>Rhea L. Miranda</t>
  </si>
  <si>
    <t>Administrative Officer I</t>
  </si>
  <si>
    <t>Keeshana Milabeth B. Pangan</t>
  </si>
  <si>
    <t>Elenita C. Bondoc</t>
  </si>
  <si>
    <t>Administrative Aide III</t>
  </si>
  <si>
    <t>Atty. Joseph De Dios Tayao</t>
  </si>
  <si>
    <t>Attorney IV (P.T.)</t>
  </si>
  <si>
    <t>Atty. Roniel D. Muñoz</t>
  </si>
  <si>
    <t>Dr. Alfonso C. Danac</t>
  </si>
  <si>
    <t>Chief of Medical and Professional Staff II</t>
  </si>
  <si>
    <t>Gladys S. Laxamana</t>
  </si>
  <si>
    <t>Benjamin P. Balboa</t>
  </si>
  <si>
    <t>Respiratory Therapist I</t>
  </si>
  <si>
    <t>Gian Paulo A. Rivera</t>
  </si>
  <si>
    <t>Mary Jane M. Ramos</t>
  </si>
  <si>
    <t>Andrea G. Galang</t>
  </si>
  <si>
    <t>Larianne D. Gozun</t>
  </si>
  <si>
    <t>Lavinia Glae A. Tejada</t>
  </si>
  <si>
    <t>Polly Rose B. Nacpil</t>
  </si>
  <si>
    <t>Riche Anne L. Rodriguez</t>
  </si>
  <si>
    <t>Administrative/Overhead services -&gt; Office of the Chief of Medical Professional Staff / Chief of Clinics</t>
  </si>
  <si>
    <t>Clinical/Medical services -&gt; Dental</t>
  </si>
  <si>
    <t>Regie B. Sagmit</t>
  </si>
  <si>
    <t>Administrative Officer III</t>
  </si>
  <si>
    <t>Fede A. Jaspe</t>
  </si>
  <si>
    <t>Training Officer IV</t>
  </si>
  <si>
    <t xml:space="preserve">Training Assistant </t>
  </si>
  <si>
    <t>Rona S. Cortez</t>
  </si>
  <si>
    <t>Training Assistant</t>
  </si>
  <si>
    <t>Ma. Nimfa O. Apostol</t>
  </si>
  <si>
    <t>Jellie S. Garcia</t>
  </si>
  <si>
    <t>Computer Maintenance Technologist II</t>
  </si>
  <si>
    <t>Kevin M. Catap</t>
  </si>
  <si>
    <t>Computer Maintenance Technologist III</t>
  </si>
  <si>
    <t>Jay C. De Guzman</t>
  </si>
  <si>
    <t>Michael John S. Rocabo</t>
  </si>
  <si>
    <t>Eriz M. Gole Cruz</t>
  </si>
  <si>
    <t>Nolan S. Sicat</t>
  </si>
  <si>
    <t>Ronelle F. Galang</t>
  </si>
  <si>
    <t>Administrative/Overhead services -&gt; IT Department</t>
  </si>
  <si>
    <t>Dr. Emiliana G. Tongio</t>
  </si>
  <si>
    <t>Dentist V</t>
  </si>
  <si>
    <t>Dr. Joshua B. Aquino</t>
  </si>
  <si>
    <t>Dentist III</t>
  </si>
  <si>
    <t>Dr. Roseller S. Sison</t>
  </si>
  <si>
    <t>Dr. Nolan James R. Mariano</t>
  </si>
  <si>
    <t>Dentist II</t>
  </si>
  <si>
    <t>Dr. Leslie D. Pineda</t>
  </si>
  <si>
    <t>Edgardo T. Cortez</t>
  </si>
  <si>
    <t>Dental Aide</t>
  </si>
  <si>
    <t>Cashelyn M. Naesa</t>
  </si>
  <si>
    <t>Dr. Carlo Gene M. Poa</t>
  </si>
  <si>
    <t>Dr. Marie Donna De Vera Ballesteros</t>
  </si>
  <si>
    <t>Dr. Ronald S. Reyes</t>
  </si>
  <si>
    <t>Roel E. Prado</t>
  </si>
  <si>
    <t>Physical Therapist III</t>
  </si>
  <si>
    <t>Michelle M. Bondoc</t>
  </si>
  <si>
    <t>Physical Therapist II</t>
  </si>
  <si>
    <t>Evelyn G. Bernal</t>
  </si>
  <si>
    <t>Mark Jolly T. Mallari</t>
  </si>
  <si>
    <t>Physical Therapist I</t>
  </si>
  <si>
    <t>Avena Inocencia T. Bolivar</t>
  </si>
  <si>
    <t xml:space="preserve">Maria Kathrinna C. Montealto </t>
  </si>
  <si>
    <t>Antonio T. Syyap Jr</t>
  </si>
  <si>
    <t>Jennifer P. Odanga</t>
  </si>
  <si>
    <t>Jan Joseph C. Paraiso</t>
  </si>
  <si>
    <t>Desiree M. Sampang</t>
  </si>
  <si>
    <t>John Domnic T. Montoya</t>
  </si>
  <si>
    <t>Physical Therapy Technician I</t>
  </si>
  <si>
    <t>Sheena S. Sayang-Od</t>
  </si>
  <si>
    <t>Alberto Leandro V. Puno</t>
  </si>
  <si>
    <t>Ashley Sheramay C. Esguerra</t>
  </si>
  <si>
    <t>Erika Katrina D. Santos</t>
  </si>
  <si>
    <t>Daryll D. Rabanal</t>
  </si>
  <si>
    <t>Ancillary services/Support services -&gt; Respiratory Unit</t>
  </si>
  <si>
    <t>Ancillary services/Support services -&gt; Physiotherapy / Rehabilitation</t>
  </si>
  <si>
    <t>Dr. Irene C. Bagsic</t>
  </si>
  <si>
    <t>Anna Marie O. Apostol</t>
  </si>
  <si>
    <t>Administrative Officer V</t>
  </si>
  <si>
    <t>Katrina S. Santos</t>
  </si>
  <si>
    <t>Maria Ellen Camille M. Teodoro</t>
  </si>
  <si>
    <t>Dental  Aide</t>
  </si>
  <si>
    <t>Emily D. Paras</t>
  </si>
  <si>
    <t>Ma. Niñalyn F. Cubacub</t>
  </si>
  <si>
    <t>Camille Joyce R. Jacinto</t>
  </si>
  <si>
    <t>Jazelle S. Danganan</t>
  </si>
  <si>
    <t>Eunice C. Dizon</t>
  </si>
  <si>
    <t>Mabelle L. Cortez</t>
  </si>
  <si>
    <t>Administrative Asisstant I</t>
  </si>
  <si>
    <t>Jenifer B. Cordero</t>
  </si>
  <si>
    <t>Kristine Joy Z. Infante</t>
  </si>
  <si>
    <t>Maria Elena A. De Ocera</t>
  </si>
  <si>
    <t>Patrick Jason F. Custodio</t>
  </si>
  <si>
    <t>Ruby Ann E. Calma</t>
  </si>
  <si>
    <t>Administrative/Overhead services -&gt; Health Info Mgt (Admitting)</t>
  </si>
  <si>
    <t>Michelle P. Ocampo</t>
  </si>
  <si>
    <t>Supervising Administrative Officer</t>
  </si>
  <si>
    <t>Jolly John L. Leonardo</t>
  </si>
  <si>
    <t>Statistician III</t>
  </si>
  <si>
    <t>Danny Rose B. Zapata</t>
  </si>
  <si>
    <t>Trinah Rose B. Ferrer</t>
  </si>
  <si>
    <t>Irene D. Arcilla</t>
  </si>
  <si>
    <t>Ronelli S. Regala</t>
  </si>
  <si>
    <t>Administrative Asisstant II</t>
  </si>
  <si>
    <t>Mariane B. Pineda</t>
  </si>
  <si>
    <t>Jera Mae R. Amboni</t>
  </si>
  <si>
    <t>Edward Patrick S. Lapuz</t>
  </si>
  <si>
    <t>Khiem Mhizhy M. Morales</t>
  </si>
  <si>
    <t>Katleen G. Ramones</t>
  </si>
  <si>
    <t>Dr. Misael C. Cruz</t>
  </si>
  <si>
    <t>Dr. Maria Lourdes C. Cortez</t>
  </si>
  <si>
    <t>Dr. Emerita C. Danac</t>
  </si>
  <si>
    <t>Rechelda D. Dione</t>
  </si>
  <si>
    <t>HEPO III</t>
  </si>
  <si>
    <t>Ron Julius D. Espada</t>
  </si>
  <si>
    <t>Psychologist II</t>
  </si>
  <si>
    <t>Catherine Mae M. Chiong</t>
  </si>
  <si>
    <t>Ma. Jennifer T. Belleza</t>
  </si>
  <si>
    <t>Mylene L. Martin</t>
  </si>
  <si>
    <t>Adrian E. Canlas</t>
  </si>
  <si>
    <t>Catherine A. Sarmiento</t>
  </si>
  <si>
    <t>Rodolfo R. Gantang</t>
  </si>
  <si>
    <t>Administrative Aide I</t>
  </si>
  <si>
    <t>Karlo D. Yusi</t>
  </si>
  <si>
    <t>Arvin M. Teopaco</t>
  </si>
  <si>
    <t>Rose Marlyn D. Gonzales</t>
  </si>
  <si>
    <t>Administrative Officer II</t>
  </si>
  <si>
    <t>Angelo A. Pesayco Jr.</t>
  </si>
  <si>
    <t>Clark Steven S. Dela Paz</t>
  </si>
  <si>
    <t>Jovita S. Baybayan</t>
  </si>
  <si>
    <t>Social Welfare Officer IV</t>
  </si>
  <si>
    <t>Emma Linda E. Daniel</t>
  </si>
  <si>
    <t>Social Welfare Officer II</t>
  </si>
  <si>
    <t>Rhozel D. Lagman</t>
  </si>
  <si>
    <t>Deborrah C. Dimitui</t>
  </si>
  <si>
    <t>Jexter Nimvard M. Quiambao</t>
  </si>
  <si>
    <t>Social Welfare Officer I</t>
  </si>
  <si>
    <t>Reydel L. Aquino</t>
  </si>
  <si>
    <t>Bryan P. Cruz</t>
  </si>
  <si>
    <t>Haydee G. Balilo</t>
  </si>
  <si>
    <t>Anita C. Mariano</t>
  </si>
  <si>
    <t>Carlo Renzo P. Torres</t>
  </si>
  <si>
    <t>Pauline Lumina Gaea M. Viola</t>
  </si>
  <si>
    <t>Rene Rose P. Callo</t>
  </si>
  <si>
    <t>Melissa C. Wanta</t>
  </si>
  <si>
    <t>Social Welfare Assistant</t>
  </si>
  <si>
    <t>Merrel P. Lansangan</t>
  </si>
  <si>
    <t>Igor Cliff B. Evangelista</t>
  </si>
  <si>
    <t>Rhedem Ryan E. Morzo</t>
  </si>
  <si>
    <t>Abigail L. David</t>
  </si>
  <si>
    <t>Katherine A. Rapayrapay</t>
  </si>
  <si>
    <t>Raquel B. Evaristo</t>
  </si>
  <si>
    <t>Administrative/Overhead services -&gt; Medical Social Work</t>
  </si>
  <si>
    <t>Dr. Gil Bryan B. Galvan</t>
  </si>
  <si>
    <t>Dr. Emil Bryan M. Garcia</t>
  </si>
  <si>
    <t>Dr. Alma N. Aquilizan</t>
  </si>
  <si>
    <t>Dr. Azenith May H. Rafanan</t>
  </si>
  <si>
    <t>Dr. Florido A. Atibagos</t>
  </si>
  <si>
    <t>Dr. Joaquin Antonio S. Patag</t>
  </si>
  <si>
    <t>Dr. Kathryna Lesley T. Ayro</t>
  </si>
  <si>
    <t>Dr. Reynaliza P. Alipio</t>
  </si>
  <si>
    <t>Dr. Janice F. Abadilla</t>
  </si>
  <si>
    <t>Dr. Robert R. Reyes</t>
  </si>
  <si>
    <t>Lorna F. Gonzales</t>
  </si>
  <si>
    <t>Medical Technologist V</t>
  </si>
  <si>
    <t>Ofelia V. Ocampo</t>
  </si>
  <si>
    <t>Medical Technologist IV</t>
  </si>
  <si>
    <t>Lourdes A. Canda</t>
  </si>
  <si>
    <t>Emilie R. Cayanan</t>
  </si>
  <si>
    <t>Chemist III</t>
  </si>
  <si>
    <t>Andres T. Miranda</t>
  </si>
  <si>
    <t>Medical Technologist III</t>
  </si>
  <si>
    <t>Aida A. Lugtu</t>
  </si>
  <si>
    <t>Michelle C. Sitchon</t>
  </si>
  <si>
    <t>Arnold L. Valencerina</t>
  </si>
  <si>
    <t>Janet C. Manalo</t>
  </si>
  <si>
    <t>Jaymie I. Miranda</t>
  </si>
  <si>
    <t>Rafael D.G. Toledo</t>
  </si>
  <si>
    <t>Entomologist II (CTI)</t>
  </si>
  <si>
    <t>Wilma C. Romano</t>
  </si>
  <si>
    <t>Medical Technologist II</t>
  </si>
  <si>
    <t>Julie Anne B. Cabantog</t>
  </si>
  <si>
    <t>Abigail P. Vergara</t>
  </si>
  <si>
    <t>Mary Joy T. Allas</t>
  </si>
  <si>
    <t>Phoebe L. Cruz</t>
  </si>
  <si>
    <t>Ana Krizalisa M. Santos</t>
  </si>
  <si>
    <t>Jamie Rose P. Bondoc</t>
  </si>
  <si>
    <t>Anna Rose B. Mariano</t>
  </si>
  <si>
    <t>Eureyvian P. Oñas</t>
  </si>
  <si>
    <t>Edna Marie S. Tadeo</t>
  </si>
  <si>
    <t>Xavier John E. Prudenciado</t>
  </si>
  <si>
    <t>Murielle P. Garcia</t>
  </si>
  <si>
    <t>Olivia B. Salvador</t>
  </si>
  <si>
    <t>Kclyn R. Figueroa</t>
  </si>
  <si>
    <t>Charlene Mae Y. Laxamana</t>
  </si>
  <si>
    <t>Myka Karizza G. Castillo</t>
  </si>
  <si>
    <t>Conrado Gregorio F. Samson</t>
  </si>
  <si>
    <t>Jacquelyn B. Sacro</t>
  </si>
  <si>
    <t>Michael Earvin John O. Juco</t>
  </si>
  <si>
    <t>Erwin L. Cabrera</t>
  </si>
  <si>
    <t>Rachelle Monique Q. Alalan</t>
  </si>
  <si>
    <t>Nurse II</t>
  </si>
  <si>
    <t>Jayson C. Lumba</t>
  </si>
  <si>
    <t>Dennis M. Rivera</t>
  </si>
  <si>
    <t>Marvin P. Galang</t>
  </si>
  <si>
    <t>Aira Paolene A. Lallana</t>
  </si>
  <si>
    <t>Marie Xerxis C. Yalun</t>
  </si>
  <si>
    <t>Lei Ann S. Bacani</t>
  </si>
  <si>
    <t>Medical Technologist I</t>
  </si>
  <si>
    <t>Aleili Nadezhda G. Garcia</t>
  </si>
  <si>
    <t>Anna Criselda M. Pineda</t>
  </si>
  <si>
    <t>Jancy R. Jocson</t>
  </si>
  <si>
    <t>Larmina P. Samonte</t>
  </si>
  <si>
    <t>Ma. Paula Suzanne L. David</t>
  </si>
  <si>
    <t>Concepcion G. Alfonso</t>
  </si>
  <si>
    <t>Ayriane Theriz M. David</t>
  </si>
  <si>
    <t>Vic S. Avelino</t>
  </si>
  <si>
    <t>Pauline Joy B. Muñoz</t>
  </si>
  <si>
    <t>Kamile Mae R. Manalo</t>
  </si>
  <si>
    <t>Medical Laboratory Technician III</t>
  </si>
  <si>
    <t>Ella Mae A. Dela Cruz</t>
  </si>
  <si>
    <t xml:space="preserve">Kimberly C. Mallari </t>
  </si>
  <si>
    <t>Edlyn Rose G. Maglanque</t>
  </si>
  <si>
    <t>Margie L. Malonzo</t>
  </si>
  <si>
    <t>Joshua Rei V. Nacpil</t>
  </si>
  <si>
    <t>Janice S. Condes</t>
  </si>
  <si>
    <t>Earvin Justin K. Carlos</t>
  </si>
  <si>
    <t>Abigail Joy O. Pasion</t>
  </si>
  <si>
    <t>Mico Angelo G. Nepomuceno</t>
  </si>
  <si>
    <t>Roxette K. Bondoc</t>
  </si>
  <si>
    <t>Enrico C. Sebastian</t>
  </si>
  <si>
    <t>Laboratory Technician I</t>
  </si>
  <si>
    <t>Diosdado B. Paule</t>
  </si>
  <si>
    <t>Laboratory Aide II</t>
  </si>
  <si>
    <t>Romeo N. Garcia</t>
  </si>
  <si>
    <t>Nida P. Miguel</t>
  </si>
  <si>
    <t>Ma. Cecilia L. Samson</t>
  </si>
  <si>
    <t>Manuela G. Gonzaga</t>
  </si>
  <si>
    <t>Marissa M. Ocampo</t>
  </si>
  <si>
    <t>Rica Mae L. Martin</t>
  </si>
  <si>
    <t>Dr. Jasmine A. Adrias</t>
  </si>
  <si>
    <t>Aurita P. Cudia</t>
  </si>
  <si>
    <t>Ancillary services/Support services -&gt; Laboratory</t>
  </si>
  <si>
    <t>Sheena Rhea P. Puno</t>
  </si>
  <si>
    <t>Dr. Rina Von C. Sapungan</t>
  </si>
  <si>
    <t>Dr. Cristino Besanio O. Cruz</t>
  </si>
  <si>
    <t>Dr. Emily U. Flores</t>
  </si>
  <si>
    <t>Dr. Beethoven Z. De Guzman</t>
  </si>
  <si>
    <t>Dr. Diorella Marie V. Tariman</t>
  </si>
  <si>
    <t>Dr. Joseph Dominic N. Lagman</t>
  </si>
  <si>
    <t>Dr. Regina Cristina Q. Mangada</t>
  </si>
  <si>
    <t>Dr. Arlene M. Tantamco</t>
  </si>
  <si>
    <t>Dr. Alvin P. Santiago</t>
  </si>
  <si>
    <t>Dr. Huey D. Cadavona</t>
  </si>
  <si>
    <t>Dr. Jefferson Vincent K. Young</t>
  </si>
  <si>
    <t>Dr. Carlo Rosen V. Rayos</t>
  </si>
  <si>
    <t>Dr. Dax Raymond N. Florida</t>
  </si>
  <si>
    <t>Elaine S. Cortez</t>
  </si>
  <si>
    <t>Health Physicist III</t>
  </si>
  <si>
    <t>Rosana G. Songsong</t>
  </si>
  <si>
    <t>Radiologic Technologist IV</t>
  </si>
  <si>
    <t>Remyliza Q. David</t>
  </si>
  <si>
    <t>Celso A. Ruedas Jr.</t>
  </si>
  <si>
    <t>Radiologic Technologist III</t>
  </si>
  <si>
    <t>Jovito T. Salonga</t>
  </si>
  <si>
    <t>Jane Ann M. Salvador</t>
  </si>
  <si>
    <t>Joseph Emil D. Paras</t>
  </si>
  <si>
    <t>Radiologic Technologist II</t>
  </si>
  <si>
    <t>Jerome A. Lacbayan</t>
  </si>
  <si>
    <t>Rizalyn N. Garcia</t>
  </si>
  <si>
    <t>Judel P. Bondoc</t>
  </si>
  <si>
    <t>Masrawi A. Nasser</t>
  </si>
  <si>
    <t>Paul Erick F. Del Rosario</t>
  </si>
  <si>
    <t>Carlo S. Cruz</t>
  </si>
  <si>
    <t>Radiologic Technologist I</t>
  </si>
  <si>
    <t>Christine P. Buenavidez</t>
  </si>
  <si>
    <t>John Gabriel D. David</t>
  </si>
  <si>
    <t>Paul Vincent P. Tan</t>
  </si>
  <si>
    <t>Daniel Sam G. Romero</t>
  </si>
  <si>
    <t>Nikko M. Lubrico</t>
  </si>
  <si>
    <t>Dr. Geoffrey B. Bito-on</t>
  </si>
  <si>
    <t>Dr. Francisco B. Gaddi</t>
  </si>
  <si>
    <t>Dr. Omar Charizz B. Dumama</t>
  </si>
  <si>
    <t>Katherine C. Santos</t>
  </si>
  <si>
    <t>Ancillary services/Support services -&gt; Radiology / Diagnostic Imaging (CT Scan, MRI, ECG, Mammography, Endoscopy)</t>
  </si>
  <si>
    <t>Angelita S. Pascual</t>
  </si>
  <si>
    <t>Nutritionist Dietitian V</t>
  </si>
  <si>
    <t>Gloria G. Castillo</t>
  </si>
  <si>
    <t>Nutritionist Dietitian IV</t>
  </si>
  <si>
    <t>Celeste B. Palad</t>
  </si>
  <si>
    <t>Nutritionist Dietitian II</t>
  </si>
  <si>
    <t>Carolyn Jovi S. Baybayan</t>
  </si>
  <si>
    <t>Irene D. Santiago</t>
  </si>
  <si>
    <t>Maria Kareena M. Dumpit</t>
  </si>
  <si>
    <t>Maureen B. Malabong</t>
  </si>
  <si>
    <t>Madelene Jezer T. Co</t>
  </si>
  <si>
    <t>Crisanto Q. Basilio</t>
  </si>
  <si>
    <t>Administrative Aide VI</t>
  </si>
  <si>
    <t>Rene Lucas D. Resurreccion</t>
  </si>
  <si>
    <t>Cook II</t>
  </si>
  <si>
    <t>Teresita B. Sibug</t>
  </si>
  <si>
    <t>Yolanda S. Ramos</t>
  </si>
  <si>
    <t>Agnes C. Beltran</t>
  </si>
  <si>
    <t>Rodel D. Guevarra</t>
  </si>
  <si>
    <t>Melda S. Tuazon</t>
  </si>
  <si>
    <t xml:space="preserve">Arnel G. Cavinta </t>
  </si>
  <si>
    <t>Al M. Maniago</t>
  </si>
  <si>
    <t>Jonard N. Bulaun</t>
  </si>
  <si>
    <t>Lloyd R. Paras</t>
  </si>
  <si>
    <t>Ephraim Jemuel S. Dimaun</t>
  </si>
  <si>
    <t>Bernard S. Arquiza</t>
  </si>
  <si>
    <t>Melvin D. Alonzo</t>
  </si>
  <si>
    <t>Cristi G. Canlas</t>
  </si>
  <si>
    <t>Lani N. Timbang</t>
  </si>
  <si>
    <t>Kevin G. Dizon</t>
  </si>
  <si>
    <t>Nolie G. Yusores</t>
  </si>
  <si>
    <t>Lart S. Vital</t>
  </si>
  <si>
    <t>Angelica V. Venzon</t>
  </si>
  <si>
    <t>Edilberto S. Mercado</t>
  </si>
  <si>
    <t>Giosef Palsimon</t>
  </si>
  <si>
    <t>Jahaziel L. Canivel</t>
  </si>
  <si>
    <t>Laurence M. Manlapaz</t>
  </si>
  <si>
    <t>Ancillary services/Support services -&gt; Nutrition and Dietetics</t>
  </si>
  <si>
    <t>Ma. Luisa M. Gopez</t>
  </si>
  <si>
    <t>Pharmacist V</t>
  </si>
  <si>
    <t>Carolina G. Cavinta</t>
  </si>
  <si>
    <t>Pharmacist IV</t>
  </si>
  <si>
    <t>Dianne Marie A. Ramos</t>
  </si>
  <si>
    <t>Rosario P. Arceo</t>
  </si>
  <si>
    <t>Pharmacist II</t>
  </si>
  <si>
    <t>Mary Camille A. Parayno</t>
  </si>
  <si>
    <t>Pamela D. Florina</t>
  </si>
  <si>
    <t>Melinda M. Valencia</t>
  </si>
  <si>
    <t>Lira Mae A. Manalastas</t>
  </si>
  <si>
    <t>Princess Maika P. Miguel</t>
  </si>
  <si>
    <t>Ericson M. Clarin</t>
  </si>
  <si>
    <t>Allen Glen B. Valencia</t>
  </si>
  <si>
    <t>Marcel C. Reyes</t>
  </si>
  <si>
    <t>Stephanie Francess G. Manansala</t>
  </si>
  <si>
    <t>Lorenz Dale V. Paras</t>
  </si>
  <si>
    <t>Arvin S. Dimabuyu</t>
  </si>
  <si>
    <t>Keith Sushmita B. Canlas</t>
  </si>
  <si>
    <t>Rose Marie Y. Quinto</t>
  </si>
  <si>
    <t>Cyrus Galvin A. Tabian</t>
  </si>
  <si>
    <t>Rachelle M. Mañalac</t>
  </si>
  <si>
    <t>Alpha Niña P. Aguilar</t>
  </si>
  <si>
    <t>Monica Corinne C. Cunanan</t>
  </si>
  <si>
    <t>Rose Angelica E. Lopez</t>
  </si>
  <si>
    <t>Rangellie S. Nulud</t>
  </si>
  <si>
    <t>Lexsel Mae B. Crisostomo</t>
  </si>
  <si>
    <t>Duncan Laurence D. Sabile</t>
  </si>
  <si>
    <t xml:space="preserve">Administrative Assistant II </t>
  </si>
  <si>
    <t>Shamira M. Tadeo</t>
  </si>
  <si>
    <t>Camille A. Ignacio</t>
  </si>
  <si>
    <t xml:space="preserve">Hans Rainier L. Tolentino </t>
  </si>
  <si>
    <t>Johanna V. Yanquiling</t>
  </si>
  <si>
    <t>Bryan R. Sunga</t>
  </si>
  <si>
    <t>Ellaine Joy M. Pusod</t>
  </si>
  <si>
    <t>Joyce G. Galang</t>
  </si>
  <si>
    <t>Maricar D. David</t>
  </si>
  <si>
    <t>Peter B. Dela Peña</t>
  </si>
  <si>
    <t xml:space="preserve">Alshan Ruccini D. Sicat </t>
  </si>
  <si>
    <t>Niña Bernika B. Silva</t>
  </si>
  <si>
    <t>Gio Dominic A. Guilas</t>
  </si>
  <si>
    <t>Ann Lizette S. Guintu</t>
  </si>
  <si>
    <t>Ancillary services/Support services -&gt; Pharmacy</t>
  </si>
  <si>
    <t>Evelyn T. Gamboa</t>
  </si>
  <si>
    <t>Christine Joy C. Malonzo</t>
  </si>
  <si>
    <t>Agnes L. Lulu</t>
  </si>
  <si>
    <t>Joey M. Gulapa</t>
  </si>
  <si>
    <t>Administrative/Overhead services -&gt; Office of the Administrative Officer</t>
  </si>
  <si>
    <t>Pamela V. Caparas</t>
  </si>
  <si>
    <t>Administrative Officer IV</t>
  </si>
  <si>
    <t>Adrian P. Carreon</t>
  </si>
  <si>
    <t>Elyssa Mae P. Manese</t>
  </si>
  <si>
    <t>Hazel Wendy S. Basilio</t>
  </si>
  <si>
    <t>Sheryniña I. Lopez</t>
  </si>
  <si>
    <t>Eliza R. Pamintuan</t>
  </si>
  <si>
    <t>Administrative Assistant III</t>
  </si>
  <si>
    <t>Jhoana B. Pangilinan</t>
  </si>
  <si>
    <t>Lyka P. Malang</t>
  </si>
  <si>
    <t xml:space="preserve">Mykee T. Tungul </t>
  </si>
  <si>
    <t>Maria Doreen V. Paras</t>
  </si>
  <si>
    <t>Jaycel Anne J. Rodriguez</t>
  </si>
  <si>
    <t>Joshua Marie U. Salvador</t>
  </si>
  <si>
    <t>Administrative/Overhead services -&gt; Human Resource Management</t>
  </si>
  <si>
    <t>Tomasina V. Sicat (ret. 12.30.17)</t>
  </si>
  <si>
    <t xml:space="preserve">Supervising Administrative Officer </t>
  </si>
  <si>
    <t>Anna Liza S. Albarracin</t>
  </si>
  <si>
    <t>Anna Lyne A. Macabuag</t>
  </si>
  <si>
    <t>Benilou Y. Robles</t>
  </si>
  <si>
    <t xml:space="preserve">Administrative Officer II </t>
  </si>
  <si>
    <t>Zandra S. Capulong</t>
  </si>
  <si>
    <t>Nina V. Garcia</t>
  </si>
  <si>
    <t>Warehouseman III</t>
  </si>
  <si>
    <t>Elma B. Ramos</t>
  </si>
  <si>
    <t>Charmaine V. Sazon</t>
  </si>
  <si>
    <t>Ian Lexter G. Patiu</t>
  </si>
  <si>
    <t>Kevin S. Garcia</t>
  </si>
  <si>
    <t>Eleazar R. Pamintuan</t>
  </si>
  <si>
    <t>John Luwie C. Baluyut</t>
  </si>
  <si>
    <t>Alfie O. Garcia</t>
  </si>
  <si>
    <t>Harold Hendrixx N. Milanes</t>
  </si>
  <si>
    <t>Micah M. Torno</t>
  </si>
  <si>
    <t>Manuel R. Bonilla III</t>
  </si>
  <si>
    <t>Administrative/Overhead services -&gt; Materials Management</t>
  </si>
  <si>
    <t>Administrative/Overhead services -&gt; Procurement</t>
  </si>
  <si>
    <t>Richard W. Dione</t>
  </si>
  <si>
    <t>Hospital Housekeeper</t>
  </si>
  <si>
    <t>Laurence G. Gabatino</t>
  </si>
  <si>
    <t>Nelson M. Lising</t>
  </si>
  <si>
    <t>Jeffrey A. Lanozo</t>
  </si>
  <si>
    <t>Rowell A. Lapira</t>
  </si>
  <si>
    <t>Andy C. Balabat</t>
  </si>
  <si>
    <t>Domingo C. Miranda</t>
  </si>
  <si>
    <t>Laundry Worker  II</t>
  </si>
  <si>
    <t>Chris Jason E. Manliclic</t>
  </si>
  <si>
    <t>Laundry Worker II</t>
  </si>
  <si>
    <t>Bunny W. Sarmiento</t>
  </si>
  <si>
    <t>Marina Angela G. Asuncion</t>
  </si>
  <si>
    <t>Elaine G. Daliva</t>
  </si>
  <si>
    <t>Laundry Worker I</t>
  </si>
  <si>
    <t>Alvin G. Carlos</t>
  </si>
  <si>
    <t>Seamstress</t>
  </si>
  <si>
    <t>Maria Efipania C. Capili</t>
  </si>
  <si>
    <t>Melvyn G. Liangco</t>
  </si>
  <si>
    <t>Catherine E. Manliclic</t>
  </si>
  <si>
    <t xml:space="preserve">Administrative/Overhead services -&gt; Housekeeping </t>
  </si>
  <si>
    <t>Chief Administrative Officer</t>
  </si>
  <si>
    <t>Engr. Erwin S. Saguimo</t>
  </si>
  <si>
    <t>Engineer IV</t>
  </si>
  <si>
    <t>Engr. Danny T. Mandap</t>
  </si>
  <si>
    <t>Engineer III</t>
  </si>
  <si>
    <t>Norman A. Silva</t>
  </si>
  <si>
    <t>Medical Equipment Technician IV</t>
  </si>
  <si>
    <t>Danilo C. Hulaton</t>
  </si>
  <si>
    <t>Medical Equipment Technician III</t>
  </si>
  <si>
    <t xml:space="preserve">Kristofferson A. Calma </t>
  </si>
  <si>
    <t>Vicente Y. Mañez</t>
  </si>
  <si>
    <t>Salvador P. Manarang</t>
  </si>
  <si>
    <t>Medical Equipment Technician II</t>
  </si>
  <si>
    <t>Roimel P. Calilung</t>
  </si>
  <si>
    <t>Mark Lester F. Dizon</t>
  </si>
  <si>
    <t>Robin C. Carreon</t>
  </si>
  <si>
    <t>Alvin Jay M. Rodriguez</t>
  </si>
  <si>
    <t>Medical Equipment Technician I</t>
  </si>
  <si>
    <t>Erwin S. Delizo</t>
  </si>
  <si>
    <t>Ronald P. Mangampo</t>
  </si>
  <si>
    <t>Bonifacio P. Uaje</t>
  </si>
  <si>
    <t>Policarpio B. Lapira Jr.</t>
  </si>
  <si>
    <t>Ferdinand A. Barrera</t>
  </si>
  <si>
    <t>Alfonso B. Balingit</t>
  </si>
  <si>
    <t>Jerome Y. Limin</t>
  </si>
  <si>
    <t>John Phillip R. Castillo</t>
  </si>
  <si>
    <t>Victor M. Vino Jr.</t>
  </si>
  <si>
    <t>Administrative Aide V</t>
  </si>
  <si>
    <t>Dixon J. Fangonil</t>
  </si>
  <si>
    <t>Randy G. Pangilinan</t>
  </si>
  <si>
    <t>Antonio G. Alido Jr.</t>
  </si>
  <si>
    <t>Olman Ernani M. Bangit</t>
  </si>
  <si>
    <t>Avian Lou G. David</t>
  </si>
  <si>
    <t>Reggie G. Manabat</t>
  </si>
  <si>
    <t>Richard C. Salazar</t>
  </si>
  <si>
    <t>Jhongee C. Guevarra</t>
  </si>
  <si>
    <t>Raymond C. Dimanarig</t>
  </si>
  <si>
    <t>Archie C. Jusayan</t>
  </si>
  <si>
    <t>Ar. Marc Anthony D. Pineda</t>
  </si>
  <si>
    <t>Administrative/Overhead services -&gt; Engineering and Facilities Management</t>
  </si>
  <si>
    <t>Virgilio C. Duman-ag</t>
  </si>
  <si>
    <t>Jonar S. Manalo</t>
  </si>
  <si>
    <t>Alberto A. Barnedo</t>
  </si>
  <si>
    <t>Ronald G. Ortega</t>
  </si>
  <si>
    <t>Dan C. Dimaquibo</t>
  </si>
  <si>
    <t>Rolly M. Mangune</t>
  </si>
  <si>
    <t>Bobby Y. Santos</t>
  </si>
  <si>
    <t>Anguiller Z. Dela Cruz</t>
  </si>
  <si>
    <t>Jocelyn A. Flores</t>
  </si>
  <si>
    <t>Accountant IV</t>
  </si>
  <si>
    <t>Janet T. Ocampo</t>
  </si>
  <si>
    <t>Accountant III</t>
  </si>
  <si>
    <t>Melissa S. Soliman</t>
  </si>
  <si>
    <t>Katrine Celine C. Gutierrez</t>
  </si>
  <si>
    <t>Apple D. Manalastas</t>
  </si>
  <si>
    <t>Antonio P. Santos</t>
  </si>
  <si>
    <t>Haydee C. Tolentino</t>
  </si>
  <si>
    <t>Katrina Mae B. Manalastas</t>
  </si>
  <si>
    <t>Rovelyn Mae E. Tesoro</t>
  </si>
  <si>
    <t>Jenina Marie B. Mendoza</t>
  </si>
  <si>
    <t>Katherine Claire V. Yambao</t>
  </si>
  <si>
    <t>Hanna Klarette F. Tolentino</t>
  </si>
  <si>
    <t>Kyra Mae C. Flores</t>
  </si>
  <si>
    <t>Mary Jane R. Lingad</t>
  </si>
  <si>
    <t>Quinie D. Montoya</t>
  </si>
  <si>
    <t>Ma. Crisan E. Calma</t>
  </si>
  <si>
    <t>Administrative/Overhead services -&gt; Budget and Accounting</t>
  </si>
  <si>
    <t>Anabelle P. Sagun</t>
  </si>
  <si>
    <t>Merrylyn B. Rivera</t>
  </si>
  <si>
    <t>Richelle B. Guevarra</t>
  </si>
  <si>
    <t>Hyacinth D. Pangilinan</t>
  </si>
  <si>
    <t xml:space="preserve">Maria Jesusa U. Perez              </t>
  </si>
  <si>
    <t>Roel G. Villanueva</t>
  </si>
  <si>
    <t>Girly T. Evangelista</t>
  </si>
  <si>
    <t>Lou Desiree C. David</t>
  </si>
  <si>
    <t>Edeline D. Manabat</t>
  </si>
  <si>
    <t>Karen Ann G. Suba</t>
  </si>
  <si>
    <t>Gizelle L. Guevarra</t>
  </si>
  <si>
    <t>Arjay S. Pineda</t>
  </si>
  <si>
    <t>Michael M. Mandocdoc</t>
  </si>
  <si>
    <t>Ma. Cristina R. Musngi</t>
  </si>
  <si>
    <t>Kennett D. Matic</t>
  </si>
  <si>
    <t>Joanna N. Pablio</t>
  </si>
  <si>
    <t>Tanya M. Tuazon</t>
  </si>
  <si>
    <t>Joy D. Clemente</t>
  </si>
  <si>
    <t>Rose Marie C. Cabalza</t>
  </si>
  <si>
    <t>Elenita S. Lalu</t>
  </si>
  <si>
    <t>Corina D. Ticsay</t>
  </si>
  <si>
    <t>Arabelle D. Ocampo</t>
  </si>
  <si>
    <t>Fernan B. Becera Jr.</t>
  </si>
  <si>
    <t>Marlene M. Santos</t>
  </si>
  <si>
    <t>Administrative/Overhead services -&gt; Cash Operations</t>
  </si>
  <si>
    <t>Michelle C. Ocampo</t>
  </si>
  <si>
    <t>Amelia F. Bondoc</t>
  </si>
  <si>
    <t>Analyn N. Domingo</t>
  </si>
  <si>
    <t>Ria Patricia C. Reyes</t>
  </si>
  <si>
    <t>Mac Mazarelle I. Corpuz</t>
  </si>
  <si>
    <t>Marissa C. Figueroa</t>
  </si>
  <si>
    <t>Marina A. Castro</t>
  </si>
  <si>
    <t>Ansley S. Malonzo</t>
  </si>
  <si>
    <t>Anita B. Sarmiento</t>
  </si>
  <si>
    <t>Sheena Marie S. Laresma</t>
  </si>
  <si>
    <t>Trixia L. Esguerra</t>
  </si>
  <si>
    <t>Reinier O. Samia</t>
  </si>
  <si>
    <t>Joey Licaros</t>
  </si>
  <si>
    <t>Jois Ann Y. Gopez</t>
  </si>
  <si>
    <t>Gene Paolo L. Gomez</t>
  </si>
  <si>
    <t>Danica Clarisse M. Cacho</t>
  </si>
  <si>
    <t>Ian Jan F. Pineda</t>
  </si>
  <si>
    <t>Jayel P. Alfonso</t>
  </si>
  <si>
    <t>Christine S. Gaza</t>
  </si>
  <si>
    <t>Marjorie N. Bancolita</t>
  </si>
  <si>
    <t>Von Karl S. Nucum</t>
  </si>
  <si>
    <t>Ivan R. Bernardo</t>
  </si>
  <si>
    <t xml:space="preserve">Manilyn S. Sunio </t>
  </si>
  <si>
    <t>Raven V. Supan</t>
  </si>
  <si>
    <t>Noel G. Yusores</t>
  </si>
  <si>
    <t>Joy B. Asuncion</t>
  </si>
  <si>
    <t>Mayda C. Dizon</t>
  </si>
  <si>
    <t>Racquel M. Mangalus</t>
  </si>
  <si>
    <t>Evelyn D. Estandarte</t>
  </si>
  <si>
    <t>Administrative/Overhead services -&gt; Billing and Claims</t>
  </si>
  <si>
    <t>Mrs. Luz M. Chiong</t>
  </si>
  <si>
    <t>Nurse VII</t>
  </si>
  <si>
    <t>Mrs. Teresa Juanita F. Gorospe</t>
  </si>
  <si>
    <t>Nurse VI</t>
  </si>
  <si>
    <t>Mr. Edwin C. Maniago</t>
  </si>
  <si>
    <t>Ms. Juliana M. Timpug</t>
  </si>
  <si>
    <t>Nurse V</t>
  </si>
  <si>
    <t>Ms. Epifania B. Tobias</t>
  </si>
  <si>
    <t>Ms Ma. Josefina L. Basilio</t>
  </si>
  <si>
    <t>Nurse IV</t>
  </si>
  <si>
    <t>Ms. Marites T. Mercado</t>
  </si>
  <si>
    <t>Ms. Celia S. Mercado</t>
  </si>
  <si>
    <t>Nurse III</t>
  </si>
  <si>
    <t>Ms. Engracia S. Santiago</t>
  </si>
  <si>
    <t>Ms. Nerisa R. Sanchez</t>
  </si>
  <si>
    <t>Ms. Alberta V. Manuel</t>
  </si>
  <si>
    <t>Ms. Charito M. Punzalan</t>
  </si>
  <si>
    <t>Ms. Arlene L. Paragas</t>
  </si>
  <si>
    <t>Ms. Buendia M. Bognot</t>
  </si>
  <si>
    <t>Ms. Noemi P. Reyes</t>
  </si>
  <si>
    <t>Ms. Leticia B. Magracia</t>
  </si>
  <si>
    <t>Ms. Lolita S. Tolentino</t>
  </si>
  <si>
    <t>Ms. Lorna S. Dela Cruz</t>
  </si>
  <si>
    <t>Ms. Amelia P. Custodio</t>
  </si>
  <si>
    <t>Ms. Froliana G. Yumang</t>
  </si>
  <si>
    <t>Ms. Laila L.Quiding</t>
  </si>
  <si>
    <t>Mr. Ramonchito M. Atoy</t>
  </si>
  <si>
    <t>Ms. Jacqueline D. Garcia</t>
  </si>
  <si>
    <t>Ms. Marie Jean C. Villena</t>
  </si>
  <si>
    <t>Ms. Ma. Victoria A. Rivera</t>
  </si>
  <si>
    <t>Ms. Alma O. Canlas</t>
  </si>
  <si>
    <t>Ms. Marita S. Magtoto</t>
  </si>
  <si>
    <t>Ms. Marissa C. Fronda</t>
  </si>
  <si>
    <t>Ms. Rosavel Y. Rubio</t>
  </si>
  <si>
    <t>Ms. Maria Riza M. Tecson</t>
  </si>
  <si>
    <t>Mr. Edward M. Tabora</t>
  </si>
  <si>
    <t>Mr. Bienvenido M. Casupanan Jr.</t>
  </si>
  <si>
    <t>Ms. Remedios M. Del Rosario</t>
  </si>
  <si>
    <t>Ms. Melody A. De Ocera</t>
  </si>
  <si>
    <t>Ms. Maria Digna R. Nicdao</t>
  </si>
  <si>
    <t>Ms. Sheryl M. Sampang</t>
  </si>
  <si>
    <t>Ms. Sally C. Advincula</t>
  </si>
  <si>
    <t>Ms. Gladys Ann V. Peña</t>
  </si>
  <si>
    <t>Ms. Ma. Corazon T. Adriano</t>
  </si>
  <si>
    <t>Ms. Julie Anne N. Yambao</t>
  </si>
  <si>
    <t>Ms. Henzelle T. Dizon</t>
  </si>
  <si>
    <t>Ms. Marie Annadelle C. Acorda</t>
  </si>
  <si>
    <t>Mr. Sony Boy T. Mandap</t>
  </si>
  <si>
    <t>Mr. Francis Edward B. Candoy</t>
  </si>
  <si>
    <t>Ms. Kristallaine M. Canlas</t>
  </si>
  <si>
    <t>Ms. Sandra Lou M. Razon</t>
  </si>
  <si>
    <t>Ms. Joana C. Haider</t>
  </si>
  <si>
    <t>Mr. Levi G. Medina</t>
  </si>
  <si>
    <t>Mr. Anthony C. Tolentino</t>
  </si>
  <si>
    <t>Mr. Mark Louie S. Puyat</t>
  </si>
  <si>
    <t>Ms. Janina K. Flores</t>
  </si>
  <si>
    <t>Ms. Gemalee R. Paule</t>
  </si>
  <si>
    <t>Ms. Fritzie G. Ordoñez</t>
  </si>
  <si>
    <t>Ms. Evelyn M. Angeles</t>
  </si>
  <si>
    <t>Ms. Marietta L. Quizon</t>
  </si>
  <si>
    <t>Mr. Roger D. Amio</t>
  </si>
  <si>
    <t>Mr. Robert B. Sagad Jr.</t>
  </si>
  <si>
    <t>Ms. Gail Marie G. Galang</t>
  </si>
  <si>
    <t>Mr. Edrey S. Vergara</t>
  </si>
  <si>
    <t>Ms. Elizabeth S. Lazatin</t>
  </si>
  <si>
    <t>Ms. Abbey Jane D. Baluyut</t>
  </si>
  <si>
    <t>Ms. Mila G. Arboleda</t>
  </si>
  <si>
    <t>Ms. Julieta D. Erese</t>
  </si>
  <si>
    <t>Mr. Rogelio T. Bantug</t>
  </si>
  <si>
    <t>Ms. Ellaine M. Palma</t>
  </si>
  <si>
    <t>Mr. Raymundo F. Cenizal Jr.</t>
  </si>
  <si>
    <t>Ms. Annaliza P. Lacanilao</t>
  </si>
  <si>
    <t>Ms. Jeralden M. Estanislao</t>
  </si>
  <si>
    <t>Ms. Jhenny F. Labrador</t>
  </si>
  <si>
    <t>Mr. Reynaldo V. Simbahan Jr.</t>
  </si>
  <si>
    <t>Mr. Michael A. Ignacio</t>
  </si>
  <si>
    <t>Mr. Romeo V. Arca Jr.</t>
  </si>
  <si>
    <t>Mr. John Joseph N. Sombillo</t>
  </si>
  <si>
    <t>Ms. Julie Anne Y. Guevarra</t>
  </si>
  <si>
    <t>Ms. Jema C. Gulmatico</t>
  </si>
  <si>
    <t>Mrs. Maria Elena M. Lopez</t>
  </si>
  <si>
    <t>Ms. Roselle M. Amurao-Manese</t>
  </si>
  <si>
    <t>Ms. Virginia W. Mercado</t>
  </si>
  <si>
    <t>Mrs. Denise Anne Christine P. Alvarez</t>
  </si>
  <si>
    <t>Mrs. Reilie Marie J. Sacro</t>
  </si>
  <si>
    <t>Ms. Ana May C. Garcia</t>
  </si>
  <si>
    <t>Mr. Robert John M. Garcia</t>
  </si>
  <si>
    <t>Ms. Trixy Ann C. Quiambao</t>
  </si>
  <si>
    <t>Ms. Aisha Merrizza L. Ocampo</t>
  </si>
  <si>
    <t>Mr. James Emer C. Ramos</t>
  </si>
  <si>
    <t>Ms. Jean Rose C. Naguit</t>
  </si>
  <si>
    <t>Ms. Jennifer M. Bituin</t>
  </si>
  <si>
    <t>Ms. Jesselle R. Iquin</t>
  </si>
  <si>
    <t>Mr. Joseph Daryll P. Taruc</t>
  </si>
  <si>
    <t>Mr. Juan Carlo L. Aguilas</t>
  </si>
  <si>
    <t>Ms. Lilith G. Reyes</t>
  </si>
  <si>
    <t>Ms. Marianne D. Miranda</t>
  </si>
  <si>
    <t>Ms. Michelle D. De Leon</t>
  </si>
  <si>
    <t>Mr. Reden F. Galang</t>
  </si>
  <si>
    <t>Ms. Ruth J. Buan - Baltazar</t>
  </si>
  <si>
    <t>Ms. Angelica Mae L. Garcia</t>
  </si>
  <si>
    <t>Ms. Ma. Venite Salve V. Olaguera</t>
  </si>
  <si>
    <t>Ms. Edylaine Q. Dionisio</t>
  </si>
  <si>
    <t>Ms. Jessel Carmen F. Dizon</t>
  </si>
  <si>
    <t>Mrs. Maria Kristel G. Gallero</t>
  </si>
  <si>
    <t>Mr. Christian Ray R. Sacro</t>
  </si>
  <si>
    <t>Mr. Emmanuel R. Delaon</t>
  </si>
  <si>
    <t>Ms. Jenalyn S. Cortez</t>
  </si>
  <si>
    <t>Mr. Jerome A. Gonzales</t>
  </si>
  <si>
    <t>Ms. Ivy Marie K. Ventura</t>
  </si>
  <si>
    <t>Mr. Joshua Robert D. Lopez</t>
  </si>
  <si>
    <t>Mr. Kenneth C. Paras</t>
  </si>
  <si>
    <t>Ms. Chiara Joelle R. Nicdao</t>
  </si>
  <si>
    <t>Ms. Christine Joy B. Valencia</t>
  </si>
  <si>
    <t>Mr. Eldon M. Sarmiento</t>
  </si>
  <si>
    <t>Ms. Krizka S. David</t>
  </si>
  <si>
    <t>Ms. Larae Ann T. Valencia</t>
  </si>
  <si>
    <t>Ms. Lynette L. Ellorin</t>
  </si>
  <si>
    <t>Ms. Ma. Ruby Liza C. De Mesa</t>
  </si>
  <si>
    <t>Ms. Nica Marie O. Lumba</t>
  </si>
  <si>
    <t>Mr. Rudgin Kevin D. Lucero</t>
  </si>
  <si>
    <t>Ms. Alyzza Coleen H. Antonio</t>
  </si>
  <si>
    <t>Mr. Mark Lester M. Duman-ag</t>
  </si>
  <si>
    <t>Mr. Roangelo Z. Umali</t>
  </si>
  <si>
    <t>Ms. Alexandra Marie D. Infante</t>
  </si>
  <si>
    <t>Mr. Harold Y. Garcia</t>
  </si>
  <si>
    <t>Ms. Kamela V. Manuel</t>
  </si>
  <si>
    <t>Ms. Novie Edrina C. Pangilinan</t>
  </si>
  <si>
    <t>Ms. Gessica Eunice D. Cayanan</t>
  </si>
  <si>
    <t>Ms. Kendell Lou S. Galan</t>
  </si>
  <si>
    <t>Ms. Misky Joy B. Celestial</t>
  </si>
  <si>
    <t>Mr. Adrianne S. David</t>
  </si>
  <si>
    <t>Ms. Cherry Lourdes P. Yutuc</t>
  </si>
  <si>
    <t>Ms. Ana Lourdes M. Bonita</t>
  </si>
  <si>
    <t>Mr. Rollen G. Cunanan</t>
  </si>
  <si>
    <t>Ms. Regina M. Castillo</t>
  </si>
  <si>
    <t>Ms. Dior C. Esguerra</t>
  </si>
  <si>
    <t>Mr. Brian M. Balingit</t>
  </si>
  <si>
    <t>Ms. Mabelle Grace D. Liwanag</t>
  </si>
  <si>
    <t>Ms. Mary Grace C. Villena</t>
  </si>
  <si>
    <t>Ms. Diane Kristine L. Salcedo</t>
  </si>
  <si>
    <t>Ms. Mayline C. Sitchon</t>
  </si>
  <si>
    <t>Mr. Rosco Alvin L. Viray</t>
  </si>
  <si>
    <t>Ms. Jessica D. Del Mando</t>
  </si>
  <si>
    <t>Mr. Alexis G. Musngi</t>
  </si>
  <si>
    <t>Ms. Ruby Ann G. Garcia</t>
  </si>
  <si>
    <t>Ms. Lorizen Therese C. Reyes</t>
  </si>
  <si>
    <t>Mr. Nixson A. Lopez</t>
  </si>
  <si>
    <t>Ms. Ma. Kayzel B. Mallari</t>
  </si>
  <si>
    <t>Mr. Edmar S. Lingat</t>
  </si>
  <si>
    <t>Mr. Jomari Jezar S. Fresnoza</t>
  </si>
  <si>
    <t>Mr. Mark Carlo T. Alfonso</t>
  </si>
  <si>
    <t>Mr. Mikelle Kelvin B. Paras</t>
  </si>
  <si>
    <t>Mr. Sherwin E. Lacson</t>
  </si>
  <si>
    <t>Ms. Dorcas Gazelle S. Castillo</t>
  </si>
  <si>
    <t>Ms. Eden Grace A. Cariño</t>
  </si>
  <si>
    <t>Ms. Ileen D. David</t>
  </si>
  <si>
    <t>Ms. Jackielou C. De Leon</t>
  </si>
  <si>
    <t>Mrs. Jocelyn L. Sampang</t>
  </si>
  <si>
    <t>Ms. Lady Anne Y. Pineda</t>
  </si>
  <si>
    <t>Ms. Manilen S. Carating</t>
  </si>
  <si>
    <t>Ms. Princess Diana M. Lagazon</t>
  </si>
  <si>
    <t>Ms. Ruby B. Gatus</t>
  </si>
  <si>
    <t>Mr. Mark Anthony D. Ingal</t>
  </si>
  <si>
    <t>Ms. Andrea Bianca M. Santos</t>
  </si>
  <si>
    <t>Ms. Crystel G. Dizon</t>
  </si>
  <si>
    <t>Ms. Benazir B. Magracia</t>
  </si>
  <si>
    <t>Mrs. Charmainne Treesha A. Tiglao</t>
  </si>
  <si>
    <t>Mr. John Rey T. Caro</t>
  </si>
  <si>
    <t>Mr. Marlon Z. Chu I</t>
  </si>
  <si>
    <t>Mr. Albert Niño D. Ocampo</t>
  </si>
  <si>
    <t>Mr. Allan Ladrera Sicat</t>
  </si>
  <si>
    <t>Ms. Charmaine D. Gonzales</t>
  </si>
  <si>
    <t>Ms. Danica Mae R. Rubia</t>
  </si>
  <si>
    <t>Ms. Faith Angeline R. Tolentino</t>
  </si>
  <si>
    <t>Ms. Justine D. Dungo</t>
  </si>
  <si>
    <t>Ms. Sherylene Q. Balatbat</t>
  </si>
  <si>
    <t>Ms. Chelsea T. David</t>
  </si>
  <si>
    <t>Mr. Jamil Jovert E. Ticsay</t>
  </si>
  <si>
    <t>Mr. Ralph Laurence S. David</t>
  </si>
  <si>
    <t>Mr. Wilmer U. Tolentino</t>
  </si>
  <si>
    <t>Mrs. Joy Kristine D. Bulaon</t>
  </si>
  <si>
    <t>Mr. Jay M. Landingin</t>
  </si>
  <si>
    <t>Mr. Cezar J. Pangalangan</t>
  </si>
  <si>
    <t>Mr. Noel B. Leoncio</t>
  </si>
  <si>
    <t>Mr. Jose Nemesio Zoilo V. Dizon</t>
  </si>
  <si>
    <t>Mr. Don Lester G. Miranda</t>
  </si>
  <si>
    <t>Nurse I</t>
  </si>
  <si>
    <t xml:space="preserve">Ms. Rosalie Alyssa E. Abalos </t>
  </si>
  <si>
    <t>Ms. Efiline May Q. Umali</t>
  </si>
  <si>
    <t>Mrs. Shalom Loren P. Perez</t>
  </si>
  <si>
    <t>Mrs. Mesrean S. Manalo</t>
  </si>
  <si>
    <t>Ms. Lea G. Cavinta</t>
  </si>
  <si>
    <t>Ms. Ma. Carmelle Grace L. Castro</t>
  </si>
  <si>
    <t>Mr. Arnel D. Cristobal</t>
  </si>
  <si>
    <t>Mrs. Mae Kaithleen F. Luyun</t>
  </si>
  <si>
    <t>Mr. Sam Angelo V. Esteban</t>
  </si>
  <si>
    <t>Mr. Alexander R. Regala, Jr.</t>
  </si>
  <si>
    <t>Mr. Allan Erico T. Viray</t>
  </si>
  <si>
    <t>Mr. Alvin Gino N. Madrid</t>
  </si>
  <si>
    <t>Ms. Charmie Grace I. Timoteo</t>
  </si>
  <si>
    <t>Mr. Christian Kyle S. Almario</t>
  </si>
  <si>
    <t>Mr. Clint L. Cortez</t>
  </si>
  <si>
    <t>Mr. Crizaldy John D. Galvan</t>
  </si>
  <si>
    <t>Mr. Dwight A. Rivera</t>
  </si>
  <si>
    <t>Mr. Eljay C. Manalastas</t>
  </si>
  <si>
    <t>Ms. Fe M. Punsalang</t>
  </si>
  <si>
    <t>Mr. Garry O. Portacio</t>
  </si>
  <si>
    <t>Ms. Ivy P. Delda</t>
  </si>
  <si>
    <t>Ms. Jane M. Tolentino</t>
  </si>
  <si>
    <t>Mr. Jasper P. Dela Cruz</t>
  </si>
  <si>
    <t>Ms. Jeizreel P. Custodio</t>
  </si>
  <si>
    <t>Mr. Jonathan S. Marzan</t>
  </si>
  <si>
    <t>Ms. Joyce F. Velasco</t>
  </si>
  <si>
    <t>Mr. Julius Kenneth E. Mercado</t>
  </si>
  <si>
    <t>Mr. Kenneth John G. Ordonez</t>
  </si>
  <si>
    <t>Ms. Maria Cristina I. Lenon</t>
  </si>
  <si>
    <t>Ms. Maureen Remedios L. Cortez</t>
  </si>
  <si>
    <t>Ms. Mennelie R. Bien</t>
  </si>
  <si>
    <t>Mr. Rav Lawrence M. Luciano</t>
  </si>
  <si>
    <t>Ms. Rose Ann Q. Dizon</t>
  </si>
  <si>
    <t>Mr. Ross Albert T. Payumo</t>
  </si>
  <si>
    <t>Ms. Trixia Marie D. Portacio</t>
  </si>
  <si>
    <t>Mr. Hermas S. Suñga</t>
  </si>
  <si>
    <t>Mr. Arnold Bryan C. Acorda</t>
  </si>
  <si>
    <t>Mr. John Joseph H. Sun</t>
  </si>
  <si>
    <t>Mr. Nikko G. Libut</t>
  </si>
  <si>
    <t>Mrs. Ma. Kristina Erika F. Gamboa</t>
  </si>
  <si>
    <t xml:space="preserve">Mr. Leslie S. David </t>
  </si>
  <si>
    <t>Ms. Marjery Claire Y. Polintan</t>
  </si>
  <si>
    <t>Ms. Carnel Anne M. Mariano</t>
  </si>
  <si>
    <t>Ms. Sheena G. Diaz</t>
  </si>
  <si>
    <t>Ms. Jestin P. Quiambao</t>
  </si>
  <si>
    <t xml:space="preserve">Ms. Cherrylyn B. Adolfo </t>
  </si>
  <si>
    <t>Ms. Ara Ashley B. Bungue</t>
  </si>
  <si>
    <t>Ms. Patricia Nadine M. Gardiner</t>
  </si>
  <si>
    <t>Ms. Aileen G. Regala</t>
  </si>
  <si>
    <t>Ms. Angela Ferna R. Tolentino</t>
  </si>
  <si>
    <t>Mr. Ivan Paul G. Polintan</t>
  </si>
  <si>
    <t>Mr. Kaymart Miguel Raphael F. Alipio</t>
  </si>
  <si>
    <t>Mr. Jonel P. Castro</t>
  </si>
  <si>
    <t>Ms. Jisselle M. Canlas</t>
  </si>
  <si>
    <t>Ms. Abigail D. Espiritu</t>
  </si>
  <si>
    <t>Ms. Patricia Marie D. Castillon</t>
  </si>
  <si>
    <t>Mr. Edmark S. Santiago</t>
  </si>
  <si>
    <t>Ms. Leslie Shane P. Bacani</t>
  </si>
  <si>
    <t>Mr. John Mark Drayfus M. Sunga</t>
  </si>
  <si>
    <t xml:space="preserve">Ms. Lea D. Dungo </t>
  </si>
  <si>
    <t>Mr. Christopher R. Bautista</t>
  </si>
  <si>
    <t>Mr. Antolin G. Chin</t>
  </si>
  <si>
    <t>Ms. Joy Marie C. Sale</t>
  </si>
  <si>
    <t>Mr. Jercone L. Isip</t>
  </si>
  <si>
    <t>Ms. Jennelie D. Miguel</t>
  </si>
  <si>
    <t>Mr. Francis R. Gutierrez</t>
  </si>
  <si>
    <t>Mr. Robert D. Almario</t>
  </si>
  <si>
    <t>Ms. Leah B. Cordova</t>
  </si>
  <si>
    <t>Ms. Anne Karen L. Bondoc</t>
  </si>
  <si>
    <t>Mr. Julius D. Infante</t>
  </si>
  <si>
    <t>Mr. Ralph Benjamin M. Basilio</t>
  </si>
  <si>
    <t>Ms. Maristella D. Bulaong</t>
  </si>
  <si>
    <t>Mr. Moises G. Payumo</t>
  </si>
  <si>
    <t>Ms. Ivy B. Alinea</t>
  </si>
  <si>
    <t>Ms. Ana Mae M. Sy</t>
  </si>
  <si>
    <t>Mr. Salvador M. Serrano III</t>
  </si>
  <si>
    <t>Ms. Hergie C. Magalong</t>
  </si>
  <si>
    <t>Ms. Czarina Mae D. Miranda</t>
  </si>
  <si>
    <t>Ms. Cherry Lyn L. Nacpil</t>
  </si>
  <si>
    <t>Ms. Annie Grace B. Rosario</t>
  </si>
  <si>
    <t>Ms. Carla Patricia E. Aquino</t>
  </si>
  <si>
    <t>Ms. Joanne F. Enriquez</t>
  </si>
  <si>
    <t>Ms. Karen P. Mamangun</t>
  </si>
  <si>
    <t>Ms. Erika Joanne Y. Manaloto</t>
  </si>
  <si>
    <t>Mr. Francis Nico P. Pineda</t>
  </si>
  <si>
    <t>Ms. Paula Angelica C. Manalang</t>
  </si>
  <si>
    <t>Ms. Stephanie Ann P. Montemayor</t>
  </si>
  <si>
    <t>Mr. George Anthony P. Usi</t>
  </si>
  <si>
    <t>Ms. April Grace R. Rodriguez</t>
  </si>
  <si>
    <t>Ms. Edleen B. Dionisio</t>
  </si>
  <si>
    <t>Mr. Paul Daren C. Songco</t>
  </si>
  <si>
    <t>Mr. Mark Arcy Q. Balatbat</t>
  </si>
  <si>
    <t>Ms. Franchesca Olivia L. Napalit</t>
  </si>
  <si>
    <t xml:space="preserve">Ms. Blesela Narelle A.  Enal </t>
  </si>
  <si>
    <t>Ms. Camille D. Salvador</t>
  </si>
  <si>
    <t>Ms. Pops D. Sanchez</t>
  </si>
  <si>
    <t>Ms. Mina Kamille S. Tolentino</t>
  </si>
  <si>
    <t>Ms. Jessica Anne M. Narzabal</t>
  </si>
  <si>
    <t>Ms. Daisy S. Danting</t>
  </si>
  <si>
    <t>Mr. Bryan Leonard I. David</t>
  </si>
  <si>
    <t>Mr. Diosdado P. Dizon, Jr.</t>
  </si>
  <si>
    <t>Mr. Rafael Nico D. Manansala</t>
  </si>
  <si>
    <t>Mr. Paul Aldrich D. Amante</t>
  </si>
  <si>
    <t>Ms. Janina Marie C. Ordoñez</t>
  </si>
  <si>
    <t>Mr. Paul Andrei M. Ocampo</t>
  </si>
  <si>
    <t>Ms. Clarisse G. Valencia</t>
  </si>
  <si>
    <t>Mr. Erwin John Nazerre D. Maniago</t>
  </si>
  <si>
    <t>Ms. Ilarnee Kristine B. David</t>
  </si>
  <si>
    <t>Ms. Kristhel Ann D. Quioc</t>
  </si>
  <si>
    <t>Mr. Michael Hubert C. Gamboa</t>
  </si>
  <si>
    <t>Ms. Rose May T. Garcia</t>
  </si>
  <si>
    <t>Ms. Jane Rose L. Cunanan</t>
  </si>
  <si>
    <t>Ms. Maria Genevieve U. Yamat</t>
  </si>
  <si>
    <t>Ms. Maria Ninibeth A. Mateo</t>
  </si>
  <si>
    <t>Ms. Clariza M. Castro</t>
  </si>
  <si>
    <t>Ms. Charisse Hazel G. De Leon</t>
  </si>
  <si>
    <t>Mr. Don Patrick U. Valencerina</t>
  </si>
  <si>
    <t>Mr. Dwight Arvin M. Canlas</t>
  </si>
  <si>
    <t>Ms. Mary Grace L. Panlaqui</t>
  </si>
  <si>
    <t>Ms. Charmagne G. Montoya</t>
  </si>
  <si>
    <t>Ms. Clyde L. Bondoc</t>
  </si>
  <si>
    <t>Mr. John Oliver T. Vital</t>
  </si>
  <si>
    <t>Ms. Maria Renalee M. De Leon</t>
  </si>
  <si>
    <t>Mr. Don L. Quizon</t>
  </si>
  <si>
    <t>Mr. Enrique C. Garcia</t>
  </si>
  <si>
    <t>Mr. John Lester S. Mercado</t>
  </si>
  <si>
    <t>Mr. John Paulo R. Manlutac</t>
  </si>
  <si>
    <t>Ms. Mary Michelle N. Alarcon</t>
  </si>
  <si>
    <t>Ms. Syrahjoy L. Infante</t>
  </si>
  <si>
    <t>Mr. Dennis D. Dayrit</t>
  </si>
  <si>
    <t>Ms. Hercee Kate C. Salamante</t>
  </si>
  <si>
    <t>Mr. Mark John S. Fajardo</t>
  </si>
  <si>
    <t>Ms. Micaela Shane N. Ocampo</t>
  </si>
  <si>
    <t>Ms. Alyana Marie G. Tapang</t>
  </si>
  <si>
    <t>Mr. Jay Mar C. Pineda</t>
  </si>
  <si>
    <t>Ms. Joannalyn W. Laxamana</t>
  </si>
  <si>
    <t>Mr. Randy Anthony P. De Vera</t>
  </si>
  <si>
    <t>Ms. Alyssa N. Bengco</t>
  </si>
  <si>
    <t>Ms. Eunice C. Simpauco</t>
  </si>
  <si>
    <t>Ms. Karissa Marie P. David</t>
  </si>
  <si>
    <t>Ms. Shayne Nicolae L. Magpayo</t>
  </si>
  <si>
    <t>Ms. Vanessa P. Bognot</t>
  </si>
  <si>
    <t>Mr. Raymond P. Lintag</t>
  </si>
  <si>
    <t>Ms. Christine Joyce M. Figueroa</t>
  </si>
  <si>
    <t>Ms. Myra D. Manalastas</t>
  </si>
  <si>
    <t>Mr. Paul Louie G. Dela Cruz</t>
  </si>
  <si>
    <t>Mr. Kristian Paolo R. Sanchez</t>
  </si>
  <si>
    <t>Ms. Glaiza G. Flores</t>
  </si>
  <si>
    <t>Mr. Jonathan M. Liscano</t>
  </si>
  <si>
    <t>Ms. Kristine A. Fajardo</t>
  </si>
  <si>
    <t>Mr. Christian Basilio A. Obis</t>
  </si>
  <si>
    <t>Mr. Efraim C. David</t>
  </si>
  <si>
    <t>Ms. Jamie Lee C. Quinsay</t>
  </si>
  <si>
    <t>Ms. Catherine B. Villanueva</t>
  </si>
  <si>
    <t>Mr. King Francis C. Cabrera</t>
  </si>
  <si>
    <t>Ms. Janella Jean G. Pinpin</t>
  </si>
  <si>
    <t>Ms. Maria Veronica S. Capati</t>
  </si>
  <si>
    <t>Ms. Eloisa G. Raymundo</t>
  </si>
  <si>
    <t>Midwife II</t>
  </si>
  <si>
    <t>Ms. Rosanna D. Cortez</t>
  </si>
  <si>
    <t>Ms. Magdalena S. Lacap</t>
  </si>
  <si>
    <t>Ms. Emily M. Pangan</t>
  </si>
  <si>
    <t>Ms. Rina G. Kerr</t>
  </si>
  <si>
    <t>Ms. Joanne T. Fajardo</t>
  </si>
  <si>
    <t>Ms. Saturnina M. Gob</t>
  </si>
  <si>
    <t>Ms. Kristine Joy P. Lingat</t>
  </si>
  <si>
    <t>Ms. Lita S. Pagcu</t>
  </si>
  <si>
    <t>Ms. Lermie Ann Y. Castro</t>
  </si>
  <si>
    <t>Ms.  Mary Grace C. Adriosula</t>
  </si>
  <si>
    <t>Ms. Milagros C. Tayag</t>
  </si>
  <si>
    <t>Ms. Katherine Anne V. Punsalan</t>
  </si>
  <si>
    <t>Ms. Arceli L. Besa (ret. 12.31.17)</t>
  </si>
  <si>
    <t>Ms. Segundina G. Roxas (ret. 12.31.17)</t>
  </si>
  <si>
    <t>Ms. Rosita D. Mallari (ret. 12.31.17)</t>
  </si>
  <si>
    <t>Mrs. Amelia D. Mananquil</t>
  </si>
  <si>
    <t>Ms. Ester M. Garcia</t>
  </si>
  <si>
    <t>Ms. Maricon V. David</t>
  </si>
  <si>
    <t>Ms. Crissell S. Garcia</t>
  </si>
  <si>
    <t>Ms.  Pricelyn O. Masangkay</t>
  </si>
  <si>
    <t>Ms. Novelyn M. Manlapig</t>
  </si>
  <si>
    <t>Ms. Joyce D. David</t>
  </si>
  <si>
    <t>Ms. Lany Laine T. Sadie</t>
  </si>
  <si>
    <t xml:space="preserve">Ms. Christine T. Cayanan </t>
  </si>
  <si>
    <t>Ms. Nora S. Roque</t>
  </si>
  <si>
    <t>Mrs. Angelyn C. Ramos</t>
  </si>
  <si>
    <t>Ms. Maneth P. Capaycapay</t>
  </si>
  <si>
    <t>Ms. Jan May S. Torio</t>
  </si>
  <si>
    <t>Ms. Ana Liza C. Castillo</t>
  </si>
  <si>
    <t>Ms. Jowan A. Avarquez</t>
  </si>
  <si>
    <t>Ms. Glenda C. Calinog</t>
  </si>
  <si>
    <t>Ms. Princess Aico R. Calara</t>
  </si>
  <si>
    <t>Ms. Mary Grace J. Manalang</t>
  </si>
  <si>
    <t>Midwife I</t>
  </si>
  <si>
    <t xml:space="preserve">Ms. Aivie Leonisa A. Magallon </t>
  </si>
  <si>
    <t xml:space="preserve">Ms. Angelene M. Ocampo </t>
  </si>
  <si>
    <t xml:space="preserve">Ms. Merry Jane R. Sombillo </t>
  </si>
  <si>
    <t>Ms. Cristal L. Vino</t>
  </si>
  <si>
    <t>Ms. Marquee P. Tungul</t>
  </si>
  <si>
    <t>Ms. Josephine G. Villanueva</t>
  </si>
  <si>
    <t>Ms. Mary Grace G. Cortez</t>
  </si>
  <si>
    <t>Ms. Andrea B. Escobido</t>
  </si>
  <si>
    <t>Ms. Jelyn Myca R. Velilla</t>
  </si>
  <si>
    <t>Ms. Junna A. Mangiliman</t>
  </si>
  <si>
    <t>Ms. Catherine Joy M. Malig</t>
  </si>
  <si>
    <t>Ms. Louisse Nicolae L. Manliclic</t>
  </si>
  <si>
    <t>Ms. Marjorie De Leon Del Rosario</t>
  </si>
  <si>
    <t>Ms. Mary Ann P. Pineda</t>
  </si>
  <si>
    <t>Ms. Reinell G. De Leon</t>
  </si>
  <si>
    <t>Ms. Marie Aubrey J. Manalo</t>
  </si>
  <si>
    <t>Mr. Rodrigo M. Arcilla</t>
  </si>
  <si>
    <t>Nursing Attendant II</t>
  </si>
  <si>
    <t>Mr. Nestor Y. Ramos</t>
  </si>
  <si>
    <t>Mr. Jessie B. Pamintuan</t>
  </si>
  <si>
    <t>Mr. Ramon B. Balingit</t>
  </si>
  <si>
    <t>Ms. Wilma G. Libut</t>
  </si>
  <si>
    <t>Mr. Jessie S. Paras</t>
  </si>
  <si>
    <t>Mr. Juanito N. Sanga</t>
  </si>
  <si>
    <t>Mr. Rolando G. Macaraig</t>
  </si>
  <si>
    <t>Mr. Teodorico C. Coderis</t>
  </si>
  <si>
    <t>Mr. Roberto M. Rosillo</t>
  </si>
  <si>
    <t>Mr. Jerry G. Sebastian</t>
  </si>
  <si>
    <t>Mr. Victor C. Aquinto</t>
  </si>
  <si>
    <t>Mr. Angelito M. Layo</t>
  </si>
  <si>
    <t>Mr. Ronald N. Macalino</t>
  </si>
  <si>
    <t>Mr. Christian T. Sambile</t>
  </si>
  <si>
    <t>Mr. Francis H. Mina</t>
  </si>
  <si>
    <t>Mr. Kelvin M. Meneses</t>
  </si>
  <si>
    <t>Mr. Rejen G. Utto</t>
  </si>
  <si>
    <t>Mr. Wally Q. Reyes</t>
  </si>
  <si>
    <t>Mrs. Elvira S. Manlapig</t>
  </si>
  <si>
    <t>Mr. Kevin M. Tiglao</t>
  </si>
  <si>
    <t>Mr. Leo L. Navarro</t>
  </si>
  <si>
    <t>Mr. Mark Lester A. Castillo</t>
  </si>
  <si>
    <t>Mr. Raymart P. Cubacub</t>
  </si>
  <si>
    <t>Mr. Rodolfo A. De Guzman</t>
  </si>
  <si>
    <t>Mr. Rommel B. Blancaflor</t>
  </si>
  <si>
    <t>Mr. Ronald D. Sagum</t>
  </si>
  <si>
    <t>Mr. Joemar D. Mercado</t>
  </si>
  <si>
    <t>Mr. John Paul T. Lagman</t>
  </si>
  <si>
    <t>Mr. Russel B. Limon</t>
  </si>
  <si>
    <t>Mr. Romer V. Guarin</t>
  </si>
  <si>
    <t>Mr. Dennis Martin M. Evaristo</t>
  </si>
  <si>
    <t>Mr. Eljen Joy G. Rubio</t>
  </si>
  <si>
    <t>Mr. Lendl V. Salon</t>
  </si>
  <si>
    <t>Mr. Mael B. Limon</t>
  </si>
  <si>
    <t>Mr. Dave Michael R. Mendoza</t>
  </si>
  <si>
    <t>Mr. Jerry B. Arenas</t>
  </si>
  <si>
    <t>Ms. Maria Jessica H. Reyes</t>
  </si>
  <si>
    <t>Mr. Mario Q. Monera</t>
  </si>
  <si>
    <t>Mr. Rafael S. Rocabo</t>
  </si>
  <si>
    <t>Mr. Reinen S. Ramos</t>
  </si>
  <si>
    <t>Mr. Robert Y. Reyes</t>
  </si>
  <si>
    <t>Mrs. Ma. Theresa P. Cruz</t>
  </si>
  <si>
    <t>Mr. Aldrin Dave C. Bondoc</t>
  </si>
  <si>
    <t>Mr. Paul Jonathan C. Romano</t>
  </si>
  <si>
    <t>Mr. Roberto S. Miranda</t>
  </si>
  <si>
    <t>Mr. Pedro V. Salvador, Jr.</t>
  </si>
  <si>
    <t>Mr. Amando H. Menorca III</t>
  </si>
  <si>
    <t>Mr. Raffy M. Ocampo</t>
  </si>
  <si>
    <t>Mr. Glejie C. Tiongson</t>
  </si>
  <si>
    <t>Mr. Andree Pharaoh V. Fuster</t>
  </si>
  <si>
    <t>Ms. Kristine Ann D. Cortez</t>
  </si>
  <si>
    <t>Ms. Ana Glenda B. Dabu</t>
  </si>
  <si>
    <t>Mr. Jay-Ar Vincent V. Lopez</t>
  </si>
  <si>
    <t>Mr. John Kevin P. Chua</t>
  </si>
  <si>
    <t>Mr. Ryan S. Santos</t>
  </si>
  <si>
    <t>Mrs. Cristal Jane I. Sazon</t>
  </si>
  <si>
    <t>Mr. Rex Bryan R. Ventura</t>
  </si>
  <si>
    <t>Mr. Jayson Z. Dinglasan</t>
  </si>
  <si>
    <t xml:space="preserve">Ms. Maria Lucia T. Sombillo </t>
  </si>
  <si>
    <t>Mr. Otelio V. Bolina</t>
  </si>
  <si>
    <t>Mr. John Glen B. Henzon</t>
  </si>
  <si>
    <t>Mr. Roberto S. De Fiesta</t>
  </si>
  <si>
    <t>Ms. Eden P. Samia</t>
  </si>
  <si>
    <t>Ms. Morena D. Marcos</t>
  </si>
  <si>
    <t>Ms. Analiza B. Manabat</t>
  </si>
  <si>
    <t>Ms. Krystal N. Galura</t>
  </si>
  <si>
    <t>Ms. Nephretheri L. Talens</t>
  </si>
  <si>
    <t>Ms. Marishiela G. Labandillo</t>
  </si>
  <si>
    <t>Mr. Jose Carlo V. Manaloto</t>
  </si>
  <si>
    <t>Mr. Antoine Jan P. Kabigting</t>
  </si>
  <si>
    <t>Mr. Kelvin D. Miranda</t>
  </si>
  <si>
    <t>Mr. Donnel Francis B. Tobias</t>
  </si>
  <si>
    <t>Ms. Liela B. Pangan</t>
  </si>
  <si>
    <t>Mr. Reinier L. Pinpin</t>
  </si>
  <si>
    <t>Mr. Edwin T. Carlos</t>
  </si>
  <si>
    <t>Mr. Rutherford M. David</t>
  </si>
  <si>
    <t>Ms. Regine T. Arceo</t>
  </si>
  <si>
    <t>Mr. Arnold D. Esguerra</t>
  </si>
  <si>
    <t>Mr. Jordan Rhenzel M. Undan</t>
  </si>
  <si>
    <t>Mr. Ryan M. Tarlit</t>
  </si>
  <si>
    <t>Mrs. Elaine Joy C. Yumul</t>
  </si>
  <si>
    <t xml:space="preserve">Mr. Angelo D. Mallari </t>
  </si>
  <si>
    <t>Mr. Gilbert M. Meneses</t>
  </si>
  <si>
    <t xml:space="preserve">Mr. Jomary C. Miranda </t>
  </si>
  <si>
    <t xml:space="preserve">Mr. Jervis S. Sebastian </t>
  </si>
  <si>
    <t xml:space="preserve">Ms. Tracy P. Miguel </t>
  </si>
  <si>
    <t xml:space="preserve">Mrs. Blessy Jan D. Malang </t>
  </si>
  <si>
    <t>Ms. Georgia Kim P. Torres</t>
  </si>
  <si>
    <t>Mr. Lionelle F. Ibe</t>
  </si>
  <si>
    <t>Ms. Franilyn Y. De Guzman</t>
  </si>
  <si>
    <t>Ms. Michelle T. Lapuz</t>
  </si>
  <si>
    <t>Ms. April S. Basilio</t>
  </si>
  <si>
    <t>Ms. Joveth C. Asuncion</t>
  </si>
  <si>
    <t>Mr. Reymark L. Pineda</t>
  </si>
  <si>
    <t>Ms. Jocelyn V. Calosa</t>
  </si>
  <si>
    <t>Mr. Jordan M. Gulapa</t>
  </si>
  <si>
    <t>Mr. Salvador B. Manarang, Jr.</t>
  </si>
  <si>
    <t>Mr. Lawrence G. Licuan</t>
  </si>
  <si>
    <t>Mr. Mark Daryl S. Cunanan</t>
  </si>
  <si>
    <t>Mr. Jonathan Y. Cruz</t>
  </si>
  <si>
    <t>Mr. Alberto M. Lising</t>
  </si>
  <si>
    <t>Mr. Arturo M. Pineda</t>
  </si>
  <si>
    <t>Mr. Emmanuel G. Sanchez</t>
  </si>
  <si>
    <t>Mr. Jerome G. Lazatin</t>
  </si>
  <si>
    <t>Ms. Judy Anne L. Besa</t>
  </si>
  <si>
    <t>Mr. Michael S. Coderis</t>
  </si>
  <si>
    <t>Mr. Ernesto M. Taruc Jr.</t>
  </si>
  <si>
    <t>Mr. Gil L. Galang</t>
  </si>
  <si>
    <t>Mr. Joseph Jay M. Gonzales</t>
  </si>
  <si>
    <t>Mr. Ricardo C. Ravanera</t>
  </si>
  <si>
    <t>Mr. Ricky U. Rublico</t>
  </si>
  <si>
    <t>Mr. Leslie Delos Reyes Lumanlan</t>
  </si>
  <si>
    <t>Mr. Randy B. Zapata</t>
  </si>
  <si>
    <t>Mr. Emilio T. Salvador Jr.</t>
  </si>
  <si>
    <t>Ms. Sheila C. Hernandez</t>
  </si>
  <si>
    <t>Mr. Allan M. Rocabo</t>
  </si>
  <si>
    <t>Nursing Attendant I</t>
  </si>
  <si>
    <t>Mr. Edward P. Lalu</t>
  </si>
  <si>
    <t>Ms. Aiza G. Pamintuan</t>
  </si>
  <si>
    <t>Mr. Aljon A. Pamintuan</t>
  </si>
  <si>
    <t>Ms. Joanna Lynn S. Mercado</t>
  </si>
  <si>
    <t>Ms. Micah Angelie H. Arciga</t>
  </si>
  <si>
    <t>Ms. Justine Joy G. Sanga</t>
  </si>
  <si>
    <t>Ms. Reggie V. David</t>
  </si>
  <si>
    <t>Ms. Ma. Corazon U. Cabrera</t>
  </si>
  <si>
    <t>Mr. Kersey V. Mañez</t>
  </si>
  <si>
    <t>Mr. Robert S. Saguimo</t>
  </si>
  <si>
    <t>Mr. Allan Lising Sicat</t>
  </si>
  <si>
    <t>Mr. Paul Allen S. Lalu</t>
  </si>
  <si>
    <t>Mr. Ryan Dexter B. Maningas</t>
  </si>
  <si>
    <t>Ms. Wendy Lina Q. Guina</t>
  </si>
  <si>
    <t>Mr. Jayson Bryan T. Guanlao</t>
  </si>
  <si>
    <t>Mr. Jose M. Tiamzon Jr.</t>
  </si>
  <si>
    <t>Mr. Jemilo A. Alegado</t>
  </si>
  <si>
    <t xml:space="preserve">Mr. Ferdinand C. Adel </t>
  </si>
  <si>
    <t>Mr. Mark Denver V. Manuel</t>
  </si>
  <si>
    <t>Mr. Gerhard B. Palomo</t>
  </si>
  <si>
    <t>Mr. Garry G. Padolina</t>
  </si>
  <si>
    <t>Ms. Sheila Marie P. Montemayor</t>
  </si>
  <si>
    <t>Mr. Arman DG. Delos Santos</t>
  </si>
  <si>
    <t>Ms. Mary Ann A. Rosario</t>
  </si>
  <si>
    <t xml:space="preserve">Mr. Edmond A. Pacris </t>
  </si>
  <si>
    <t xml:space="preserve">Laboratory Aide II </t>
  </si>
  <si>
    <t xml:space="preserve">Mr. Rodrigo C. Gatmaitan </t>
  </si>
  <si>
    <t xml:space="preserve">Mr. Virgilio B. Lubrico </t>
  </si>
  <si>
    <t xml:space="preserve">Nursing Attendant I </t>
  </si>
  <si>
    <t>Job order</t>
  </si>
  <si>
    <t>Clinical/Medical services -&gt; HIV Aids</t>
  </si>
  <si>
    <t xml:space="preserve">Dr. Essie Joyce Q. Tungul </t>
  </si>
  <si>
    <t xml:space="preserve">Dr. Ma. Melody Y. Diaz </t>
  </si>
  <si>
    <t xml:space="preserve">Dr. Josalyn P. Dizon </t>
  </si>
  <si>
    <t>Dr. Kristoffer Neil S. Jamilarin</t>
  </si>
  <si>
    <t>Administrative/Overhead services -&gt; Office of the Chief Nurse</t>
  </si>
  <si>
    <t>Ancillary services/Support services -&gt; Operating Room / Aneasthesiology / PACU / Recovery Room</t>
  </si>
  <si>
    <t>Ancillary services/Support services -&gt; Neonatal ICU*</t>
  </si>
  <si>
    <t>Ancillary services/Support services -&gt; Medical ICU</t>
  </si>
  <si>
    <t>Administrative/Overhead services -&gt; Central Supply Office</t>
  </si>
  <si>
    <t>Clinical/Medical services -&gt; Dialysis Unit</t>
  </si>
  <si>
    <t>Ancillary services/Support services -&gt; Pediatric ICU*</t>
  </si>
  <si>
    <t>Clinical/Medical services -&gt; Psychiatric Ward*</t>
  </si>
  <si>
    <t>Ancillary services/Support services -&gt; Surgical ICU*</t>
  </si>
  <si>
    <t>Clinical/Medical services -&gt; Animal Bite Center</t>
  </si>
  <si>
    <t>Ancillary services/Support services -&gt; Heart Station</t>
  </si>
  <si>
    <t>Clinical/Medical services -&gt; Radiation Oncology Unit*</t>
  </si>
  <si>
    <t>Clinical/Medical services -&gt; TB Dots</t>
  </si>
  <si>
    <t>Clinical/Medical services -&gt; Family Planning Unit</t>
  </si>
  <si>
    <t xml:space="preserve">Mr. Dominador C. Dela Cruz </t>
  </si>
  <si>
    <t xml:space="preserve">Administrative Aide I </t>
  </si>
  <si>
    <t xml:space="preserve">Ruben Q. Sagmit </t>
  </si>
  <si>
    <t xml:space="preserve">Bryan O. Lumba </t>
  </si>
  <si>
    <t>Gil L. Songco</t>
  </si>
  <si>
    <t xml:space="preserve">Mr. Eries L. Lumba </t>
  </si>
  <si>
    <t>Mrs. Francis Ann I. Sandry</t>
  </si>
  <si>
    <t>Ms. Katrina S. Angeles</t>
  </si>
  <si>
    <t xml:space="preserve">Ms. Arceli L. Besa </t>
  </si>
  <si>
    <t xml:space="preserve">Tomasina V. Sicat </t>
  </si>
  <si>
    <t xml:space="preserve">Ms. Maria Theresa G. Magtoto </t>
  </si>
  <si>
    <t xml:space="preserve">Ms. Michelle Jhem L. Hernandez </t>
  </si>
  <si>
    <t>Ms. Segundina G. Roxas</t>
  </si>
  <si>
    <t xml:space="preserve">Ms. Rosita D. Mallari </t>
  </si>
  <si>
    <t xml:space="preserve">Mrs. Francis Ann I. Sandry </t>
  </si>
  <si>
    <t xml:space="preserve">Ms. Katrina S. Angeles </t>
  </si>
  <si>
    <t>Ms. Michelle Jhem L. Hernandez</t>
  </si>
  <si>
    <t>Mr. Eries L. Lumba</t>
  </si>
  <si>
    <t>Dr. Jomell Julian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</si>
</sst>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34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name val="Times New Roman"/>
      <family val="1"/>
    </font>
    <font>
      <sz val="11"/>
      <name val="Times New Roman"/>
      <family val="1"/>
      <charset val="134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0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</cellStyleXfs>
  <cellXfs count="12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3" fillId="0" borderId="0" xfId="6" applyFont="1" applyAlignment="1" applyProtection="1">
      <alignment horizontal="center" wrapText="1"/>
    </xf>
    <xf numFmtId="9" fontId="18" fillId="0" borderId="0" xfId="6" applyFont="1"/>
    <xf numFmtId="9" fontId="24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6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7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5" fillId="0" borderId="0" xfId="7" applyFont="1"/>
    <xf numFmtId="0" fontId="3" fillId="4" borderId="10" xfId="0" applyFont="1" applyFill="1" applyBorder="1"/>
    <xf numFmtId="0" fontId="28" fillId="5" borderId="1" xfId="0" applyFont="1" applyFill="1" applyBorder="1" applyAlignment="1">
      <alignment horizontal="center"/>
    </xf>
    <xf numFmtId="0" fontId="29" fillId="0" borderId="0" xfId="1" applyFont="1" applyFill="1" applyBorder="1" applyAlignment="1">
      <alignment horizontal="left"/>
    </xf>
    <xf numFmtId="0" fontId="9" fillId="6" borderId="1" xfId="5" applyFont="1" applyFill="1" applyBorder="1" applyAlignment="1">
      <alignment horizontal="left" vertical="center" wrapText="1"/>
    </xf>
    <xf numFmtId="0" fontId="8" fillId="6" borderId="1" xfId="5" applyFont="1" applyFill="1" applyBorder="1" applyAlignment="1">
      <alignment horizontal="left" vertical="center" wrapText="1"/>
    </xf>
    <xf numFmtId="0" fontId="8" fillId="0" borderId="1" xfId="5" applyFont="1" applyFill="1" applyBorder="1" applyAlignment="1">
      <alignment horizontal="left" vertical="center" wrapText="1"/>
    </xf>
    <xf numFmtId="0" fontId="10" fillId="0" borderId="1" xfId="5" applyFont="1" applyFill="1" applyBorder="1" applyAlignment="1">
      <alignment horizontal="left" vertical="center" wrapText="1"/>
    </xf>
    <xf numFmtId="9" fontId="18" fillId="6" borderId="5" xfId="6" applyFont="1" applyFill="1" applyBorder="1" applyProtection="1">
      <protection locked="0"/>
    </xf>
    <xf numFmtId="0" fontId="9" fillId="0" borderId="1" xfId="5" applyFont="1" applyFill="1" applyBorder="1" applyAlignment="1">
      <alignment horizontal="left" vertical="center" wrapText="1"/>
    </xf>
    <xf numFmtId="9" fontId="18" fillId="0" borderId="5" xfId="6" applyFont="1" applyFill="1" applyBorder="1" applyProtection="1">
      <protection locked="0"/>
    </xf>
    <xf numFmtId="0" fontId="2" fillId="0" borderId="0" xfId="0" applyFont="1" applyFill="1"/>
    <xf numFmtId="0" fontId="30" fillId="0" borderId="1" xfId="0" applyFont="1" applyFill="1" applyBorder="1" applyAlignment="1" applyProtection="1">
      <protection locked="0"/>
    </xf>
    <xf numFmtId="0" fontId="30" fillId="0" borderId="1" xfId="0" applyFont="1" applyBorder="1" applyAlignment="1"/>
    <xf numFmtId="0" fontId="30" fillId="0" borderId="1" xfId="0" applyFont="1" applyBorder="1" applyAlignment="1">
      <alignment horizontal="left"/>
    </xf>
    <xf numFmtId="0" fontId="30" fillId="0" borderId="1" xfId="0" applyFont="1" applyFill="1" applyBorder="1" applyAlignment="1"/>
    <xf numFmtId="0" fontId="30" fillId="0" borderId="1" xfId="0" applyFont="1" applyFill="1" applyBorder="1" applyAlignment="1" applyProtection="1">
      <alignment horizontal="left"/>
      <protection locked="0"/>
    </xf>
    <xf numFmtId="0" fontId="30" fillId="0" borderId="1" xfId="0" applyFont="1" applyBorder="1" applyAlignment="1" applyProtection="1">
      <protection locked="0"/>
    </xf>
    <xf numFmtId="0" fontId="30" fillId="0" borderId="1" xfId="0" applyFont="1" applyBorder="1" applyAlignment="1" applyProtection="1">
      <alignment horizontal="left"/>
      <protection locked="0"/>
    </xf>
    <xf numFmtId="0" fontId="30" fillId="0" borderId="1" xfId="0" applyFont="1" applyFill="1" applyBorder="1" applyAlignment="1">
      <alignment horizontal="left"/>
    </xf>
    <xf numFmtId="0" fontId="3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0" fontId="30" fillId="0" borderId="1" xfId="8" applyFont="1" applyBorder="1" applyAlignment="1"/>
    <xf numFmtId="0" fontId="30" fillId="0" borderId="1" xfId="9" applyFont="1" applyFill="1" applyBorder="1" applyAlignment="1">
      <alignment horizontal="left"/>
    </xf>
    <xf numFmtId="0" fontId="9" fillId="0" borderId="1" xfId="0" applyFont="1" applyBorder="1" applyProtection="1">
      <protection locked="0"/>
    </xf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</cellXfs>
  <cellStyles count="10">
    <cellStyle name="Comma 2" xfId="4"/>
    <cellStyle name="Normal" xfId="0" builtinId="0"/>
    <cellStyle name="Normal 2" xfId="1"/>
    <cellStyle name="Normal 2 2" xfId="5"/>
    <cellStyle name="Normal 2 3" xfId="7"/>
    <cellStyle name="Normal 2 3 2" xfId="9"/>
    <cellStyle name="Normal 2 4" xfId="8"/>
    <cellStyle name="Percent" xfId="6" builtinId="5"/>
    <cellStyle name="Percent 2" xfId="2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descr="Select Level I and I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2190750</xdr:colOff>
          <xdr:row>11</xdr:row>
          <xdr:rowOff>9525</xdr:rowOff>
        </xdr:to>
        <xdr:sp macro="" textlink="">
          <xdr:nvSpPr>
            <xdr:cNvPr id="1026" name="SelectIIandIII" descr="Select Level I and 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781050</xdr:colOff>
          <xdr:row>13</xdr:row>
          <xdr:rowOff>161925</xdr:rowOff>
        </xdr:to>
        <xdr:sp macro="" textlink="">
          <xdr:nvSpPr>
            <xdr:cNvPr id="1028" name="Button 4" descr="Add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13</xdr:row>
          <xdr:rowOff>9525</xdr:rowOff>
        </xdr:from>
        <xdr:to>
          <xdr:col>1</xdr:col>
          <xdr:colOff>1552575</xdr:colOff>
          <xdr:row>13</xdr:row>
          <xdr:rowOff>161925</xdr:rowOff>
        </xdr:to>
        <xdr:sp macro="" textlink="">
          <xdr:nvSpPr>
            <xdr:cNvPr id="1029" name="Button 5" descr="Delete Drug / Medication / Suppl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Y1305"/>
  <sheetViews>
    <sheetView showGridLines="0" tabSelected="1" zoomScale="85" zoomScaleNormal="85" workbookViewId="0">
      <selection activeCell="D13" sqref="D13"/>
    </sheetView>
  </sheetViews>
  <sheetFormatPr defaultColWidth="8.7109375" defaultRowHeight="16.5" outlineLevelRow="1"/>
  <cols>
    <col min="1" max="1" width="3.85546875" style="13" customWidth="1"/>
    <col min="2" max="2" width="25" style="1" customWidth="1"/>
    <col min="3" max="3" width="30" style="1" customWidth="1"/>
    <col min="4" max="4" width="33" style="1" customWidth="1"/>
    <col min="5" max="5" width="12.42578125" style="1" customWidth="1"/>
    <col min="6" max="6" width="51.140625" style="1" bestFit="1" customWidth="1"/>
    <col min="7" max="7" width="24.5703125" style="1" customWidth="1"/>
    <col min="8" max="8" width="6.7109375" style="1" customWidth="1"/>
    <col min="9" max="16384" width="8.7109375" style="1"/>
  </cols>
  <sheetData>
    <row r="2" spans="1:25" s="20" customFormat="1" ht="13.5" customHeight="1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idden="1" outlineLevel="1">
      <c r="B4" s="1" t="s">
        <v>93</v>
      </c>
      <c r="C4" s="1">
        <v>1292</v>
      </c>
      <c r="D4" s="1" t="s">
        <v>102</v>
      </c>
    </row>
    <row r="5" spans="1:25" collapsed="1">
      <c r="B5" s="29" t="s">
        <v>8</v>
      </c>
      <c r="C5" s="30"/>
      <c r="D5" s="30"/>
      <c r="E5" s="30"/>
      <c r="F5" s="30"/>
      <c r="G5" s="31"/>
    </row>
    <row r="6" spans="1:25">
      <c r="B6" s="32" t="s">
        <v>9</v>
      </c>
      <c r="C6" s="33"/>
      <c r="D6" s="33"/>
      <c r="E6" s="33"/>
      <c r="F6" s="33"/>
      <c r="G6" s="34"/>
    </row>
    <row r="7" spans="1:25">
      <c r="B7" s="32" t="s">
        <v>10</v>
      </c>
      <c r="C7" s="86">
        <v>2017</v>
      </c>
      <c r="D7" s="33"/>
      <c r="E7" s="33"/>
      <c r="F7" s="33"/>
      <c r="G7" s="34"/>
    </row>
    <row r="8" spans="1:25" s="13" customFormat="1">
      <c r="B8" s="85" t="s">
        <v>103</v>
      </c>
      <c r="C8" s="33"/>
      <c r="D8" s="33"/>
      <c r="E8" s="33"/>
      <c r="F8" s="33"/>
      <c r="G8" s="34"/>
    </row>
    <row r="9" spans="1:25">
      <c r="B9" s="35" t="s">
        <v>11</v>
      </c>
      <c r="C9" s="36"/>
      <c r="D9" s="36"/>
      <c r="E9" s="36"/>
      <c r="F9" s="36"/>
      <c r="G9" s="37"/>
    </row>
    <row r="10" spans="1:25" s="22" customFormat="1" ht="12.75"/>
    <row r="11" spans="1:25" s="21" customFormat="1">
      <c r="B11" s="26" t="s">
        <v>94</v>
      </c>
      <c r="C11" s="26"/>
    </row>
    <row r="12" spans="1:25" s="21" customFormat="1">
      <c r="B12" s="27"/>
      <c r="C12" s="27"/>
      <c r="D12" s="28"/>
    </row>
    <row r="13" spans="1:25" ht="48.95" customHeight="1">
      <c r="B13" s="2" t="s">
        <v>12</v>
      </c>
      <c r="C13" s="3" t="s">
        <v>0</v>
      </c>
      <c r="D13" s="3" t="s">
        <v>7</v>
      </c>
      <c r="E13" s="3" t="s">
        <v>21</v>
      </c>
      <c r="F13" s="3" t="s">
        <v>1</v>
      </c>
      <c r="G13" s="3" t="s">
        <v>20</v>
      </c>
      <c r="H13" s="3" t="s">
        <v>19</v>
      </c>
    </row>
    <row r="14" spans="1:25">
      <c r="B14" s="4">
        <v>1</v>
      </c>
      <c r="C14" s="100" t="s">
        <v>104</v>
      </c>
      <c r="D14" s="96" t="s">
        <v>105</v>
      </c>
      <c r="E14" s="38">
        <v>27</v>
      </c>
      <c r="F14" s="38" t="s">
        <v>106</v>
      </c>
      <c r="G14" s="38" t="s">
        <v>17</v>
      </c>
      <c r="H14" s="38" t="s">
        <v>16</v>
      </c>
    </row>
    <row r="15" spans="1:25">
      <c r="B15" s="4">
        <v>2</v>
      </c>
      <c r="C15" s="100" t="s">
        <v>107</v>
      </c>
      <c r="D15" s="96" t="s">
        <v>108</v>
      </c>
      <c r="E15" s="38">
        <v>25</v>
      </c>
      <c r="F15" s="38" t="s">
        <v>162</v>
      </c>
      <c r="G15" s="38" t="s">
        <v>17</v>
      </c>
      <c r="H15" s="38" t="s">
        <v>292</v>
      </c>
    </row>
    <row r="16" spans="1:25">
      <c r="B16" s="4">
        <v>3</v>
      </c>
      <c r="C16" s="100" t="s">
        <v>109</v>
      </c>
      <c r="D16" s="96" t="s">
        <v>110</v>
      </c>
      <c r="E16" s="38">
        <v>25</v>
      </c>
      <c r="F16" s="38" t="s">
        <v>162</v>
      </c>
      <c r="G16" s="38" t="s">
        <v>17</v>
      </c>
      <c r="H16" s="38" t="s">
        <v>292</v>
      </c>
    </row>
    <row r="17" spans="2:8">
      <c r="B17" s="4">
        <v>4</v>
      </c>
      <c r="C17" s="100" t="s">
        <v>111</v>
      </c>
      <c r="D17" s="96" t="s">
        <v>112</v>
      </c>
      <c r="E17" s="38">
        <v>24</v>
      </c>
      <c r="F17" s="38" t="s">
        <v>162</v>
      </c>
      <c r="G17" s="38" t="s">
        <v>17</v>
      </c>
      <c r="H17" s="38" t="s">
        <v>16</v>
      </c>
    </row>
    <row r="18" spans="2:8">
      <c r="B18" s="4">
        <v>5</v>
      </c>
      <c r="C18" s="96" t="s">
        <v>113</v>
      </c>
      <c r="D18" s="96" t="s">
        <v>114</v>
      </c>
      <c r="E18" s="38">
        <v>24</v>
      </c>
      <c r="F18" s="38" t="s">
        <v>162</v>
      </c>
      <c r="G18" s="38" t="s">
        <v>17</v>
      </c>
      <c r="H18" s="38" t="s">
        <v>292</v>
      </c>
    </row>
    <row r="19" spans="2:8">
      <c r="B19" s="4">
        <v>6</v>
      </c>
      <c r="C19" s="96" t="s">
        <v>115</v>
      </c>
      <c r="D19" s="96" t="s">
        <v>114</v>
      </c>
      <c r="E19" s="38">
        <v>24</v>
      </c>
      <c r="F19" s="38" t="s">
        <v>162</v>
      </c>
      <c r="G19" s="38" t="s">
        <v>17</v>
      </c>
      <c r="H19" s="38" t="s">
        <v>292</v>
      </c>
    </row>
    <row r="20" spans="2:8" s="13" customFormat="1">
      <c r="B20" s="4">
        <v>7</v>
      </c>
      <c r="C20" s="96" t="s">
        <v>116</v>
      </c>
      <c r="D20" s="96" t="s">
        <v>114</v>
      </c>
      <c r="E20" s="38">
        <v>24</v>
      </c>
      <c r="F20" s="38" t="s">
        <v>162</v>
      </c>
      <c r="G20" s="38" t="s">
        <v>17</v>
      </c>
      <c r="H20" s="38" t="s">
        <v>292</v>
      </c>
    </row>
    <row r="21" spans="2:8" s="13" customFormat="1">
      <c r="B21" s="4">
        <v>8</v>
      </c>
      <c r="C21" s="96" t="s">
        <v>117</v>
      </c>
      <c r="D21" s="96" t="s">
        <v>114</v>
      </c>
      <c r="E21" s="38">
        <v>24</v>
      </c>
      <c r="F21" s="38" t="s">
        <v>162</v>
      </c>
      <c r="G21" s="38" t="s">
        <v>17</v>
      </c>
      <c r="H21" s="38" t="s">
        <v>292</v>
      </c>
    </row>
    <row r="22" spans="2:8" s="13" customFormat="1">
      <c r="B22" s="4">
        <v>9</v>
      </c>
      <c r="C22" s="96" t="s">
        <v>118</v>
      </c>
      <c r="D22" s="96" t="s">
        <v>114</v>
      </c>
      <c r="E22" s="38">
        <v>24</v>
      </c>
      <c r="F22" s="38" t="s">
        <v>162</v>
      </c>
      <c r="G22" s="38" t="s">
        <v>17</v>
      </c>
      <c r="H22" s="38" t="s">
        <v>292</v>
      </c>
    </row>
    <row r="23" spans="2:8" s="13" customFormat="1">
      <c r="B23" s="4">
        <v>10</v>
      </c>
      <c r="C23" s="100" t="s">
        <v>119</v>
      </c>
      <c r="D23" s="96" t="s">
        <v>114</v>
      </c>
      <c r="E23" s="38">
        <v>24</v>
      </c>
      <c r="F23" s="38" t="s">
        <v>162</v>
      </c>
      <c r="G23" s="38" t="s">
        <v>17</v>
      </c>
      <c r="H23" s="38" t="s">
        <v>292</v>
      </c>
    </row>
    <row r="24" spans="2:8" s="13" customFormat="1">
      <c r="B24" s="4">
        <v>11</v>
      </c>
      <c r="C24" s="100" t="s">
        <v>120</v>
      </c>
      <c r="D24" s="96" t="s">
        <v>114</v>
      </c>
      <c r="E24" s="38">
        <v>24</v>
      </c>
      <c r="F24" s="38" t="s">
        <v>162</v>
      </c>
      <c r="G24" s="38" t="s">
        <v>17</v>
      </c>
      <c r="H24" s="38" t="s">
        <v>292</v>
      </c>
    </row>
    <row r="25" spans="2:8" s="13" customFormat="1">
      <c r="B25" s="4">
        <v>12</v>
      </c>
      <c r="C25" s="96" t="s">
        <v>121</v>
      </c>
      <c r="D25" s="96" t="s">
        <v>114</v>
      </c>
      <c r="E25" s="38">
        <v>24</v>
      </c>
      <c r="F25" s="38" t="s">
        <v>162</v>
      </c>
      <c r="G25" s="38" t="s">
        <v>17</v>
      </c>
      <c r="H25" s="38" t="s">
        <v>292</v>
      </c>
    </row>
    <row r="26" spans="2:8" s="13" customFormat="1">
      <c r="B26" s="4">
        <v>13</v>
      </c>
      <c r="C26" s="100" t="s">
        <v>122</v>
      </c>
      <c r="D26" s="96" t="s">
        <v>114</v>
      </c>
      <c r="E26" s="38">
        <v>24</v>
      </c>
      <c r="F26" s="38" t="s">
        <v>162</v>
      </c>
      <c r="G26" s="38" t="s">
        <v>17</v>
      </c>
      <c r="H26" s="38" t="s">
        <v>292</v>
      </c>
    </row>
    <row r="27" spans="2:8" s="13" customFormat="1">
      <c r="B27" s="4">
        <v>14</v>
      </c>
      <c r="C27" s="100" t="s">
        <v>123</v>
      </c>
      <c r="D27" s="96" t="s">
        <v>114</v>
      </c>
      <c r="E27" s="38">
        <v>24</v>
      </c>
      <c r="F27" s="38" t="s">
        <v>162</v>
      </c>
      <c r="G27" s="38" t="s">
        <v>17</v>
      </c>
      <c r="H27" s="38" t="s">
        <v>292</v>
      </c>
    </row>
    <row r="28" spans="2:8" s="13" customFormat="1">
      <c r="B28" s="4">
        <v>15</v>
      </c>
      <c r="C28" s="96" t="s">
        <v>124</v>
      </c>
      <c r="D28" s="96" t="s">
        <v>114</v>
      </c>
      <c r="E28" s="38">
        <v>24</v>
      </c>
      <c r="F28" s="38" t="s">
        <v>162</v>
      </c>
      <c r="G28" s="38" t="s">
        <v>17</v>
      </c>
      <c r="H28" s="38" t="s">
        <v>292</v>
      </c>
    </row>
    <row r="29" spans="2:8" s="13" customFormat="1">
      <c r="B29" s="4">
        <v>16</v>
      </c>
      <c r="C29" s="96" t="s">
        <v>125</v>
      </c>
      <c r="D29" s="96" t="s">
        <v>126</v>
      </c>
      <c r="E29" s="38">
        <v>23</v>
      </c>
      <c r="F29" s="38" t="s">
        <v>162</v>
      </c>
      <c r="G29" s="38" t="s">
        <v>17</v>
      </c>
      <c r="H29" s="38" t="s">
        <v>292</v>
      </c>
    </row>
    <row r="30" spans="2:8" s="13" customFormat="1">
      <c r="B30" s="4">
        <v>17</v>
      </c>
      <c r="C30" s="96" t="s">
        <v>127</v>
      </c>
      <c r="D30" s="96" t="s">
        <v>126</v>
      </c>
      <c r="E30" s="38">
        <v>23</v>
      </c>
      <c r="F30" s="38" t="s">
        <v>162</v>
      </c>
      <c r="G30" s="38" t="s">
        <v>17</v>
      </c>
      <c r="H30" s="38" t="s">
        <v>292</v>
      </c>
    </row>
    <row r="31" spans="2:8" s="13" customFormat="1">
      <c r="B31" s="4">
        <v>18</v>
      </c>
      <c r="C31" s="96" t="s">
        <v>128</v>
      </c>
      <c r="D31" s="96" t="s">
        <v>126</v>
      </c>
      <c r="E31" s="38">
        <v>23</v>
      </c>
      <c r="F31" s="38" t="s">
        <v>162</v>
      </c>
      <c r="G31" s="38" t="s">
        <v>17</v>
      </c>
      <c r="H31" s="38" t="s">
        <v>292</v>
      </c>
    </row>
    <row r="32" spans="2:8" s="13" customFormat="1">
      <c r="B32" s="4">
        <v>19</v>
      </c>
      <c r="C32" s="96" t="s">
        <v>129</v>
      </c>
      <c r="D32" s="96" t="s">
        <v>126</v>
      </c>
      <c r="E32" s="38">
        <v>23</v>
      </c>
      <c r="F32" s="38" t="s">
        <v>162</v>
      </c>
      <c r="G32" s="38" t="s">
        <v>17</v>
      </c>
      <c r="H32" s="38" t="s">
        <v>292</v>
      </c>
    </row>
    <row r="33" spans="2:8" s="13" customFormat="1">
      <c r="B33" s="4">
        <v>20</v>
      </c>
      <c r="C33" s="96" t="s">
        <v>130</v>
      </c>
      <c r="D33" s="96" t="s">
        <v>126</v>
      </c>
      <c r="E33" s="38">
        <v>23</v>
      </c>
      <c r="F33" s="38" t="s">
        <v>162</v>
      </c>
      <c r="G33" s="38" t="s">
        <v>17</v>
      </c>
      <c r="H33" s="38" t="s">
        <v>292</v>
      </c>
    </row>
    <row r="34" spans="2:8" s="13" customFormat="1">
      <c r="B34" s="4">
        <v>21</v>
      </c>
      <c r="C34" s="96" t="s">
        <v>131</v>
      </c>
      <c r="D34" s="96" t="s">
        <v>132</v>
      </c>
      <c r="E34" s="38">
        <v>23</v>
      </c>
      <c r="F34" s="38" t="s">
        <v>162</v>
      </c>
      <c r="G34" s="38" t="s">
        <v>17</v>
      </c>
      <c r="H34" s="38" t="s">
        <v>16</v>
      </c>
    </row>
    <row r="35" spans="2:8" s="13" customFormat="1">
      <c r="B35" s="4">
        <v>22</v>
      </c>
      <c r="C35" s="96" t="s">
        <v>133</v>
      </c>
      <c r="D35" s="96" t="s">
        <v>132</v>
      </c>
      <c r="E35" s="38">
        <v>23</v>
      </c>
      <c r="F35" s="38" t="s">
        <v>162</v>
      </c>
      <c r="G35" s="38" t="s">
        <v>17</v>
      </c>
      <c r="H35" s="38" t="s">
        <v>16</v>
      </c>
    </row>
    <row r="36" spans="2:8" s="13" customFormat="1">
      <c r="B36" s="4">
        <v>23</v>
      </c>
      <c r="C36" s="100" t="s">
        <v>134</v>
      </c>
      <c r="D36" s="96" t="s">
        <v>132</v>
      </c>
      <c r="E36" s="38">
        <v>23</v>
      </c>
      <c r="F36" s="38" t="s">
        <v>162</v>
      </c>
      <c r="G36" s="38" t="s">
        <v>17</v>
      </c>
      <c r="H36" s="38" t="s">
        <v>16</v>
      </c>
    </row>
    <row r="37" spans="2:8" s="13" customFormat="1">
      <c r="B37" s="4">
        <v>24</v>
      </c>
      <c r="C37" s="100" t="s">
        <v>135</v>
      </c>
      <c r="D37" s="96" t="s">
        <v>132</v>
      </c>
      <c r="E37" s="38">
        <v>23</v>
      </c>
      <c r="F37" s="38" t="s">
        <v>162</v>
      </c>
      <c r="G37" s="38" t="s">
        <v>17</v>
      </c>
      <c r="H37" s="38" t="s">
        <v>16</v>
      </c>
    </row>
    <row r="38" spans="2:8" s="13" customFormat="1">
      <c r="B38" s="4">
        <v>25</v>
      </c>
      <c r="C38" s="101" t="s">
        <v>136</v>
      </c>
      <c r="D38" s="101" t="s">
        <v>132</v>
      </c>
      <c r="E38" s="38">
        <v>23</v>
      </c>
      <c r="F38" s="38" t="s">
        <v>162</v>
      </c>
      <c r="G38" s="38" t="s">
        <v>17</v>
      </c>
      <c r="H38" s="38" t="s">
        <v>16</v>
      </c>
    </row>
    <row r="39" spans="2:8" s="13" customFormat="1">
      <c r="B39" s="4">
        <v>26</v>
      </c>
      <c r="C39" s="101" t="s">
        <v>137</v>
      </c>
      <c r="D39" s="101" t="s">
        <v>132</v>
      </c>
      <c r="E39" s="38">
        <v>23</v>
      </c>
      <c r="F39" s="38" t="s">
        <v>162</v>
      </c>
      <c r="G39" s="38" t="s">
        <v>17</v>
      </c>
      <c r="H39" s="38" t="s">
        <v>16</v>
      </c>
    </row>
    <row r="40" spans="2:8" s="13" customFormat="1">
      <c r="B40" s="4">
        <v>27</v>
      </c>
      <c r="C40" s="101" t="s">
        <v>138</v>
      </c>
      <c r="D40" s="101" t="s">
        <v>132</v>
      </c>
      <c r="E40" s="38">
        <v>23</v>
      </c>
      <c r="F40" s="38" t="s">
        <v>162</v>
      </c>
      <c r="G40" s="38" t="s">
        <v>163</v>
      </c>
      <c r="H40" s="38" t="s">
        <v>16</v>
      </c>
    </row>
    <row r="41" spans="2:8" s="13" customFormat="1">
      <c r="B41" s="4">
        <v>28</v>
      </c>
      <c r="C41" s="96" t="s">
        <v>139</v>
      </c>
      <c r="D41" s="96" t="s">
        <v>132</v>
      </c>
      <c r="E41" s="38">
        <v>23</v>
      </c>
      <c r="F41" s="38" t="s">
        <v>162</v>
      </c>
      <c r="G41" s="38" t="s">
        <v>163</v>
      </c>
      <c r="H41" s="38" t="s">
        <v>16</v>
      </c>
    </row>
    <row r="42" spans="2:8" s="13" customFormat="1">
      <c r="B42" s="4">
        <v>29</v>
      </c>
      <c r="C42" s="100" t="s">
        <v>140</v>
      </c>
      <c r="D42" s="96" t="s">
        <v>132</v>
      </c>
      <c r="E42" s="38">
        <v>23</v>
      </c>
      <c r="F42" s="38" t="s">
        <v>162</v>
      </c>
      <c r="G42" s="38" t="s">
        <v>17</v>
      </c>
      <c r="H42" s="38" t="s">
        <v>16</v>
      </c>
    </row>
    <row r="43" spans="2:8" s="13" customFormat="1">
      <c r="B43" s="4">
        <v>30</v>
      </c>
      <c r="C43" s="100" t="s">
        <v>141</v>
      </c>
      <c r="D43" s="96" t="s">
        <v>132</v>
      </c>
      <c r="E43" s="38">
        <v>23</v>
      </c>
      <c r="F43" s="38" t="s">
        <v>162</v>
      </c>
      <c r="G43" s="38" t="s">
        <v>17</v>
      </c>
      <c r="H43" s="38" t="s">
        <v>16</v>
      </c>
    </row>
    <row r="44" spans="2:8" s="13" customFormat="1">
      <c r="B44" s="4">
        <v>31</v>
      </c>
      <c r="C44" s="96" t="s">
        <v>142</v>
      </c>
      <c r="D44" s="96" t="s">
        <v>15</v>
      </c>
      <c r="E44" s="38">
        <v>21</v>
      </c>
      <c r="F44" s="38" t="s">
        <v>162</v>
      </c>
      <c r="G44" s="38" t="s">
        <v>163</v>
      </c>
      <c r="H44" s="38" t="s">
        <v>16</v>
      </c>
    </row>
    <row r="45" spans="2:8" s="13" customFormat="1">
      <c r="B45" s="4">
        <v>32</v>
      </c>
      <c r="C45" s="100" t="s">
        <v>143</v>
      </c>
      <c r="D45" s="96" t="s">
        <v>15</v>
      </c>
      <c r="E45" s="38">
        <v>21</v>
      </c>
      <c r="F45" s="38" t="s">
        <v>162</v>
      </c>
      <c r="G45" s="38" t="s">
        <v>163</v>
      </c>
      <c r="H45" s="38" t="s">
        <v>16</v>
      </c>
    </row>
    <row r="46" spans="2:8" s="13" customFormat="1">
      <c r="B46" s="4">
        <v>33</v>
      </c>
      <c r="C46" s="96" t="s">
        <v>144</v>
      </c>
      <c r="D46" s="96" t="s">
        <v>15</v>
      </c>
      <c r="E46" s="38">
        <v>21</v>
      </c>
      <c r="F46" s="38" t="s">
        <v>162</v>
      </c>
      <c r="G46" s="38" t="s">
        <v>163</v>
      </c>
      <c r="H46" s="38" t="s">
        <v>16</v>
      </c>
    </row>
    <row r="47" spans="2:8" s="13" customFormat="1">
      <c r="B47" s="4">
        <v>34</v>
      </c>
      <c r="C47" s="96" t="s">
        <v>160</v>
      </c>
      <c r="D47" s="96" t="s">
        <v>15</v>
      </c>
      <c r="E47" s="38">
        <v>21</v>
      </c>
      <c r="F47" s="38" t="s">
        <v>162</v>
      </c>
      <c r="G47" s="38" t="s">
        <v>163</v>
      </c>
      <c r="H47" s="38" t="s">
        <v>16</v>
      </c>
    </row>
    <row r="48" spans="2:8" s="13" customFormat="1">
      <c r="B48" s="4">
        <v>35</v>
      </c>
      <c r="C48" s="96" t="s">
        <v>161</v>
      </c>
      <c r="D48" s="96" t="s">
        <v>15</v>
      </c>
      <c r="E48" s="38">
        <v>21</v>
      </c>
      <c r="F48" s="38" t="s">
        <v>162</v>
      </c>
      <c r="G48" s="38" t="s">
        <v>163</v>
      </c>
      <c r="H48" s="38" t="s">
        <v>16</v>
      </c>
    </row>
    <row r="49" spans="2:8" s="13" customFormat="1">
      <c r="B49" s="4">
        <v>36</v>
      </c>
      <c r="C49" s="96" t="s">
        <v>145</v>
      </c>
      <c r="D49" s="96" t="s">
        <v>15</v>
      </c>
      <c r="E49" s="38">
        <v>21</v>
      </c>
      <c r="F49" s="38" t="s">
        <v>162</v>
      </c>
      <c r="G49" s="38" t="s">
        <v>163</v>
      </c>
      <c r="H49" s="38" t="s">
        <v>16</v>
      </c>
    </row>
    <row r="50" spans="2:8" s="13" customFormat="1">
      <c r="B50" s="4">
        <v>37</v>
      </c>
      <c r="C50" s="96" t="s">
        <v>146</v>
      </c>
      <c r="D50" s="96" t="s">
        <v>147</v>
      </c>
      <c r="E50" s="38">
        <v>21</v>
      </c>
      <c r="F50" s="38" t="s">
        <v>162</v>
      </c>
      <c r="G50" s="38" t="s">
        <v>163</v>
      </c>
      <c r="H50" s="38" t="s">
        <v>16</v>
      </c>
    </row>
    <row r="51" spans="2:8" s="13" customFormat="1">
      <c r="B51" s="4">
        <v>38</v>
      </c>
      <c r="C51" s="96" t="s">
        <v>148</v>
      </c>
      <c r="D51" s="96" t="s">
        <v>15</v>
      </c>
      <c r="E51" s="38">
        <v>21</v>
      </c>
      <c r="F51" s="38" t="s">
        <v>162</v>
      </c>
      <c r="G51" s="38" t="s">
        <v>163</v>
      </c>
      <c r="H51" s="38" t="s">
        <v>16</v>
      </c>
    </row>
    <row r="52" spans="2:8" s="13" customFormat="1">
      <c r="B52" s="4">
        <v>39</v>
      </c>
      <c r="C52" s="96" t="s">
        <v>149</v>
      </c>
      <c r="D52" s="96" t="s">
        <v>15</v>
      </c>
      <c r="E52" s="38">
        <v>21</v>
      </c>
      <c r="F52" s="38" t="s">
        <v>162</v>
      </c>
      <c r="G52" s="38" t="s">
        <v>163</v>
      </c>
      <c r="H52" s="38" t="s">
        <v>16</v>
      </c>
    </row>
    <row r="53" spans="2:8" s="13" customFormat="1">
      <c r="B53" s="4">
        <v>40</v>
      </c>
      <c r="C53" s="96" t="s">
        <v>150</v>
      </c>
      <c r="D53" s="96" t="s">
        <v>15</v>
      </c>
      <c r="E53" s="38">
        <v>21</v>
      </c>
      <c r="F53" s="38" t="s">
        <v>162</v>
      </c>
      <c r="G53" s="38" t="s">
        <v>163</v>
      </c>
      <c r="H53" s="38" t="s">
        <v>16</v>
      </c>
    </row>
    <row r="54" spans="2:8" s="13" customFormat="1">
      <c r="B54" s="4">
        <v>41</v>
      </c>
      <c r="C54" s="96" t="s">
        <v>151</v>
      </c>
      <c r="D54" s="96" t="s">
        <v>15</v>
      </c>
      <c r="E54" s="38">
        <v>21</v>
      </c>
      <c r="F54" s="38" t="s">
        <v>162</v>
      </c>
      <c r="G54" s="38" t="s">
        <v>163</v>
      </c>
      <c r="H54" s="38" t="s">
        <v>16</v>
      </c>
    </row>
    <row r="55" spans="2:8" s="13" customFormat="1">
      <c r="B55" s="4">
        <v>42</v>
      </c>
      <c r="C55" s="96" t="s">
        <v>152</v>
      </c>
      <c r="D55" s="96" t="s">
        <v>15</v>
      </c>
      <c r="E55" s="38">
        <v>21</v>
      </c>
      <c r="F55" s="38" t="s">
        <v>162</v>
      </c>
      <c r="G55" s="38" t="s">
        <v>163</v>
      </c>
      <c r="H55" s="38" t="s">
        <v>16</v>
      </c>
    </row>
    <row r="56" spans="2:8" s="13" customFormat="1">
      <c r="B56" s="4">
        <v>43</v>
      </c>
      <c r="C56" s="96" t="s">
        <v>153</v>
      </c>
      <c r="D56" s="96" t="s">
        <v>15</v>
      </c>
      <c r="E56" s="38">
        <v>21</v>
      </c>
      <c r="F56" s="38" t="s">
        <v>162</v>
      </c>
      <c r="G56" s="38" t="s">
        <v>163</v>
      </c>
      <c r="H56" s="38" t="s">
        <v>16</v>
      </c>
    </row>
    <row r="57" spans="2:8" s="13" customFormat="1">
      <c r="B57" s="4">
        <v>44</v>
      </c>
      <c r="C57" s="96" t="s">
        <v>154</v>
      </c>
      <c r="D57" s="96" t="s">
        <v>15</v>
      </c>
      <c r="E57" s="38">
        <v>21</v>
      </c>
      <c r="F57" s="38" t="s">
        <v>162</v>
      </c>
      <c r="G57" s="38" t="s">
        <v>163</v>
      </c>
      <c r="H57" s="38" t="s">
        <v>16</v>
      </c>
    </row>
    <row r="58" spans="2:8" s="13" customFormat="1">
      <c r="B58" s="4">
        <v>45</v>
      </c>
      <c r="C58" s="96" t="s">
        <v>155</v>
      </c>
      <c r="D58" s="96" t="s">
        <v>15</v>
      </c>
      <c r="E58" s="38">
        <v>21</v>
      </c>
      <c r="F58" s="38" t="s">
        <v>162</v>
      </c>
      <c r="G58" s="38" t="s">
        <v>163</v>
      </c>
      <c r="H58" s="38" t="s">
        <v>16</v>
      </c>
    </row>
    <row r="59" spans="2:8" s="13" customFormat="1">
      <c r="B59" s="4">
        <v>46</v>
      </c>
      <c r="C59" s="96" t="s">
        <v>156</v>
      </c>
      <c r="D59" s="96" t="s">
        <v>15</v>
      </c>
      <c r="E59" s="38">
        <v>21</v>
      </c>
      <c r="F59" s="38" t="s">
        <v>162</v>
      </c>
      <c r="G59" s="38" t="s">
        <v>163</v>
      </c>
      <c r="H59" s="38" t="s">
        <v>16</v>
      </c>
    </row>
    <row r="60" spans="2:8" s="13" customFormat="1">
      <c r="B60" s="4">
        <v>47</v>
      </c>
      <c r="C60" s="96" t="s">
        <v>157</v>
      </c>
      <c r="D60" s="96" t="s">
        <v>15</v>
      </c>
      <c r="E60" s="38">
        <v>21</v>
      </c>
      <c r="F60" s="38" t="s">
        <v>162</v>
      </c>
      <c r="G60" s="38" t="s">
        <v>163</v>
      </c>
      <c r="H60" s="38" t="s">
        <v>16</v>
      </c>
    </row>
    <row r="61" spans="2:8" s="13" customFormat="1">
      <c r="B61" s="4">
        <v>48</v>
      </c>
      <c r="C61" s="102" t="s">
        <v>158</v>
      </c>
      <c r="D61" s="101" t="s">
        <v>159</v>
      </c>
      <c r="E61" s="38">
        <v>7</v>
      </c>
      <c r="F61" s="38" t="s">
        <v>164</v>
      </c>
      <c r="G61" s="38" t="s">
        <v>17</v>
      </c>
      <c r="H61" s="38" t="s">
        <v>16</v>
      </c>
    </row>
    <row r="62" spans="2:8" s="13" customFormat="1">
      <c r="B62" s="4">
        <v>49</v>
      </c>
      <c r="C62" s="100" t="s">
        <v>165</v>
      </c>
      <c r="D62" s="96" t="s">
        <v>166</v>
      </c>
      <c r="E62" s="38">
        <v>24</v>
      </c>
      <c r="F62" s="38" t="s">
        <v>188</v>
      </c>
      <c r="G62" s="38" t="s">
        <v>17</v>
      </c>
      <c r="H62" s="38" t="s">
        <v>16</v>
      </c>
    </row>
    <row r="63" spans="2:8" s="13" customFormat="1">
      <c r="B63" s="4">
        <v>50</v>
      </c>
      <c r="C63" s="100" t="s">
        <v>167</v>
      </c>
      <c r="D63" s="96" t="s">
        <v>110</v>
      </c>
      <c r="E63" s="38">
        <v>25</v>
      </c>
      <c r="F63" s="38" t="s">
        <v>188</v>
      </c>
      <c r="G63" s="38" t="s">
        <v>17</v>
      </c>
      <c r="H63" s="38" t="s">
        <v>292</v>
      </c>
    </row>
    <row r="64" spans="2:8" s="13" customFormat="1">
      <c r="B64" s="4">
        <v>51</v>
      </c>
      <c r="C64" s="100" t="s">
        <v>168</v>
      </c>
      <c r="D64" s="96" t="s">
        <v>114</v>
      </c>
      <c r="E64" s="38">
        <v>24</v>
      </c>
      <c r="F64" s="38" t="s">
        <v>188</v>
      </c>
      <c r="G64" s="38" t="s">
        <v>17</v>
      </c>
      <c r="H64" s="38" t="s">
        <v>292</v>
      </c>
    </row>
    <row r="65" spans="2:8" s="13" customFormat="1">
      <c r="B65" s="4">
        <v>52</v>
      </c>
      <c r="C65" s="96" t="s">
        <v>169</v>
      </c>
      <c r="D65" s="96" t="s">
        <v>126</v>
      </c>
      <c r="E65" s="38">
        <v>23</v>
      </c>
      <c r="F65" s="38" t="s">
        <v>188</v>
      </c>
      <c r="G65" s="38" t="s">
        <v>17</v>
      </c>
      <c r="H65" s="38" t="s">
        <v>292</v>
      </c>
    </row>
    <row r="66" spans="2:8" s="13" customFormat="1">
      <c r="B66" s="4">
        <v>53</v>
      </c>
      <c r="C66" s="101" t="s">
        <v>170</v>
      </c>
      <c r="D66" s="101" t="s">
        <v>171</v>
      </c>
      <c r="E66" s="38">
        <v>23</v>
      </c>
      <c r="F66" s="38" t="s">
        <v>188</v>
      </c>
      <c r="G66" s="38" t="s">
        <v>17</v>
      </c>
      <c r="H66" s="38" t="s">
        <v>292</v>
      </c>
    </row>
    <row r="67" spans="2:8" s="13" customFormat="1">
      <c r="B67" s="4">
        <v>54</v>
      </c>
      <c r="C67" s="101" t="s">
        <v>172</v>
      </c>
      <c r="D67" s="96" t="s">
        <v>126</v>
      </c>
      <c r="E67" s="38">
        <v>23</v>
      </c>
      <c r="F67" s="38" t="s">
        <v>188</v>
      </c>
      <c r="G67" s="38" t="s">
        <v>17</v>
      </c>
      <c r="H67" s="38" t="s">
        <v>292</v>
      </c>
    </row>
    <row r="68" spans="2:8" s="13" customFormat="1">
      <c r="B68" s="4">
        <v>55</v>
      </c>
      <c r="C68" s="96" t="s">
        <v>173</v>
      </c>
      <c r="D68" s="96" t="s">
        <v>126</v>
      </c>
      <c r="E68" s="38">
        <v>23</v>
      </c>
      <c r="F68" s="38" t="s">
        <v>188</v>
      </c>
      <c r="G68" s="38" t="s">
        <v>17</v>
      </c>
      <c r="H68" s="38" t="s">
        <v>292</v>
      </c>
    </row>
    <row r="69" spans="2:8" s="13" customFormat="1">
      <c r="B69" s="4">
        <v>56</v>
      </c>
      <c r="C69" s="100" t="s">
        <v>174</v>
      </c>
      <c r="D69" s="96" t="s">
        <v>126</v>
      </c>
      <c r="E69" s="38">
        <v>23</v>
      </c>
      <c r="F69" s="38" t="s">
        <v>188</v>
      </c>
      <c r="G69" s="38" t="s">
        <v>17</v>
      </c>
      <c r="H69" s="38" t="s">
        <v>292</v>
      </c>
    </row>
    <row r="70" spans="2:8" s="13" customFormat="1">
      <c r="B70" s="4">
        <v>57</v>
      </c>
      <c r="C70" s="100" t="s">
        <v>175</v>
      </c>
      <c r="D70" s="96" t="s">
        <v>126</v>
      </c>
      <c r="E70" s="38">
        <v>23</v>
      </c>
      <c r="F70" s="38" t="s">
        <v>188</v>
      </c>
      <c r="G70" s="38" t="s">
        <v>17</v>
      </c>
      <c r="H70" s="38" t="s">
        <v>292</v>
      </c>
    </row>
    <row r="71" spans="2:8" s="13" customFormat="1">
      <c r="B71" s="4">
        <v>58</v>
      </c>
      <c r="C71" s="96" t="s">
        <v>176</v>
      </c>
      <c r="D71" s="96" t="s">
        <v>132</v>
      </c>
      <c r="E71" s="38">
        <v>23</v>
      </c>
      <c r="F71" s="38" t="s">
        <v>188</v>
      </c>
      <c r="G71" s="38" t="s">
        <v>17</v>
      </c>
      <c r="H71" s="38" t="s">
        <v>16</v>
      </c>
    </row>
    <row r="72" spans="2:8" s="13" customFormat="1">
      <c r="B72" s="4">
        <v>59</v>
      </c>
      <c r="C72" s="96" t="s">
        <v>177</v>
      </c>
      <c r="D72" s="96" t="s">
        <v>132</v>
      </c>
      <c r="E72" s="38">
        <v>23</v>
      </c>
      <c r="F72" s="38" t="s">
        <v>188</v>
      </c>
      <c r="G72" s="38" t="s">
        <v>17</v>
      </c>
      <c r="H72" s="38" t="s">
        <v>16</v>
      </c>
    </row>
    <row r="73" spans="2:8" s="13" customFormat="1">
      <c r="B73" s="4">
        <v>60</v>
      </c>
      <c r="C73" s="96" t="s">
        <v>178</v>
      </c>
      <c r="D73" s="96" t="s">
        <v>132</v>
      </c>
      <c r="E73" s="38">
        <v>23</v>
      </c>
      <c r="F73" s="38" t="s">
        <v>188</v>
      </c>
      <c r="G73" s="38" t="s">
        <v>17</v>
      </c>
      <c r="H73" s="38" t="s">
        <v>16</v>
      </c>
    </row>
    <row r="74" spans="2:8" s="13" customFormat="1">
      <c r="B74" s="4">
        <v>61</v>
      </c>
      <c r="C74" s="96" t="s">
        <v>179</v>
      </c>
      <c r="D74" s="96" t="s">
        <v>132</v>
      </c>
      <c r="E74" s="38">
        <v>23</v>
      </c>
      <c r="F74" s="38" t="s">
        <v>188</v>
      </c>
      <c r="G74" s="38" t="s">
        <v>17</v>
      </c>
      <c r="H74" s="38" t="s">
        <v>16</v>
      </c>
    </row>
    <row r="75" spans="2:8" s="13" customFormat="1">
      <c r="B75" s="4">
        <v>62</v>
      </c>
      <c r="C75" s="96" t="s">
        <v>180</v>
      </c>
      <c r="D75" s="96" t="s">
        <v>132</v>
      </c>
      <c r="E75" s="38">
        <v>23</v>
      </c>
      <c r="F75" s="38" t="s">
        <v>188</v>
      </c>
      <c r="G75" s="38" t="s">
        <v>17</v>
      </c>
      <c r="H75" s="38" t="s">
        <v>16</v>
      </c>
    </row>
    <row r="76" spans="2:8" s="13" customFormat="1">
      <c r="B76" s="4">
        <v>63</v>
      </c>
      <c r="C76" s="96" t="s">
        <v>181</v>
      </c>
      <c r="D76" s="96" t="s">
        <v>132</v>
      </c>
      <c r="E76" s="38">
        <v>23</v>
      </c>
      <c r="F76" s="38" t="s">
        <v>188</v>
      </c>
      <c r="G76" s="38" t="s">
        <v>17</v>
      </c>
      <c r="H76" s="38" t="s">
        <v>16</v>
      </c>
    </row>
    <row r="77" spans="2:8" s="13" customFormat="1">
      <c r="B77" s="4">
        <v>64</v>
      </c>
      <c r="C77" s="96" t="s">
        <v>182</v>
      </c>
      <c r="D77" s="96" t="s">
        <v>132</v>
      </c>
      <c r="E77" s="38">
        <v>23</v>
      </c>
      <c r="F77" s="38" t="s">
        <v>188</v>
      </c>
      <c r="G77" s="38" t="s">
        <v>17</v>
      </c>
      <c r="H77" s="38" t="s">
        <v>16</v>
      </c>
    </row>
    <row r="78" spans="2:8" s="13" customFormat="1">
      <c r="B78" s="4">
        <v>65</v>
      </c>
      <c r="C78" s="96" t="s">
        <v>183</v>
      </c>
      <c r="D78" s="96" t="s">
        <v>15</v>
      </c>
      <c r="E78" s="38">
        <v>21</v>
      </c>
      <c r="F78" s="38" t="s">
        <v>188</v>
      </c>
      <c r="G78" s="38" t="s">
        <v>163</v>
      </c>
      <c r="H78" s="38" t="s">
        <v>16</v>
      </c>
    </row>
    <row r="79" spans="2:8" s="13" customFormat="1">
      <c r="B79" s="4">
        <v>66</v>
      </c>
      <c r="C79" s="96" t="s">
        <v>184</v>
      </c>
      <c r="D79" s="96" t="s">
        <v>15</v>
      </c>
      <c r="E79" s="38">
        <v>21</v>
      </c>
      <c r="F79" s="38" t="s">
        <v>188</v>
      </c>
      <c r="G79" s="38" t="s">
        <v>163</v>
      </c>
      <c r="H79" s="38" t="s">
        <v>16</v>
      </c>
    </row>
    <row r="80" spans="2:8" s="13" customFormat="1">
      <c r="B80" s="4">
        <v>67</v>
      </c>
      <c r="C80" s="96" t="s">
        <v>185</v>
      </c>
      <c r="D80" s="96" t="s">
        <v>15</v>
      </c>
      <c r="E80" s="38">
        <v>21</v>
      </c>
      <c r="F80" s="38" t="s">
        <v>188</v>
      </c>
      <c r="G80" s="38" t="s">
        <v>163</v>
      </c>
      <c r="H80" s="38" t="s">
        <v>16</v>
      </c>
    </row>
    <row r="81" spans="2:8" s="13" customFormat="1">
      <c r="B81" s="4">
        <v>68</v>
      </c>
      <c r="C81" s="96" t="s">
        <v>1526</v>
      </c>
      <c r="D81" s="96" t="s">
        <v>15</v>
      </c>
      <c r="E81" s="38">
        <v>21</v>
      </c>
      <c r="F81" s="38" t="s">
        <v>188</v>
      </c>
      <c r="G81" s="38" t="s">
        <v>163</v>
      </c>
      <c r="H81" s="38" t="s">
        <v>16</v>
      </c>
    </row>
    <row r="82" spans="2:8" s="13" customFormat="1">
      <c r="B82" s="4">
        <v>69</v>
      </c>
      <c r="C82" s="96" t="s">
        <v>186</v>
      </c>
      <c r="D82" s="96" t="s">
        <v>15</v>
      </c>
      <c r="E82" s="38">
        <v>21</v>
      </c>
      <c r="F82" s="38" t="s">
        <v>188</v>
      </c>
      <c r="G82" s="38" t="s">
        <v>163</v>
      </c>
      <c r="H82" s="38" t="s">
        <v>16</v>
      </c>
    </row>
    <row r="83" spans="2:8" s="13" customFormat="1">
      <c r="B83" s="4">
        <v>70</v>
      </c>
      <c r="C83" s="96" t="s">
        <v>187</v>
      </c>
      <c r="D83" s="96" t="s">
        <v>159</v>
      </c>
      <c r="E83" s="38">
        <v>7</v>
      </c>
      <c r="F83" s="38" t="s">
        <v>189</v>
      </c>
      <c r="G83" s="38" t="s">
        <v>17</v>
      </c>
      <c r="H83" s="38" t="s">
        <v>16</v>
      </c>
    </row>
    <row r="84" spans="2:8" s="13" customFormat="1">
      <c r="B84" s="4">
        <v>71</v>
      </c>
      <c r="C84" s="100" t="s">
        <v>190</v>
      </c>
      <c r="D84" s="96" t="s">
        <v>108</v>
      </c>
      <c r="E84" s="38">
        <v>25</v>
      </c>
      <c r="F84" s="38" t="s">
        <v>206</v>
      </c>
      <c r="G84" s="38" t="s">
        <v>17</v>
      </c>
      <c r="H84" s="38" t="s">
        <v>292</v>
      </c>
    </row>
    <row r="85" spans="2:8" s="13" customFormat="1">
      <c r="B85" s="4">
        <v>72</v>
      </c>
      <c r="C85" s="96" t="s">
        <v>191</v>
      </c>
      <c r="D85" s="96" t="s">
        <v>114</v>
      </c>
      <c r="E85" s="38">
        <v>24</v>
      </c>
      <c r="F85" s="38" t="s">
        <v>206</v>
      </c>
      <c r="G85" s="38" t="s">
        <v>17</v>
      </c>
      <c r="H85" s="38" t="s">
        <v>292</v>
      </c>
    </row>
    <row r="86" spans="2:8" s="13" customFormat="1">
      <c r="B86" s="4">
        <v>73</v>
      </c>
      <c r="C86" s="100" t="s">
        <v>192</v>
      </c>
      <c r="D86" s="96" t="s">
        <v>114</v>
      </c>
      <c r="E86" s="38">
        <v>24</v>
      </c>
      <c r="F86" s="38" t="s">
        <v>206</v>
      </c>
      <c r="G86" s="38" t="s">
        <v>17</v>
      </c>
      <c r="H86" s="38" t="s">
        <v>292</v>
      </c>
    </row>
    <row r="87" spans="2:8" s="13" customFormat="1">
      <c r="B87" s="4">
        <v>74</v>
      </c>
      <c r="C87" s="100" t="s">
        <v>193</v>
      </c>
      <c r="D87" s="96" t="s">
        <v>114</v>
      </c>
      <c r="E87" s="38">
        <v>24</v>
      </c>
      <c r="F87" s="38" t="s">
        <v>206</v>
      </c>
      <c r="G87" s="38" t="s">
        <v>17</v>
      </c>
      <c r="H87" s="38" t="s">
        <v>292</v>
      </c>
    </row>
    <row r="88" spans="2:8" s="13" customFormat="1">
      <c r="B88" s="4">
        <v>75</v>
      </c>
      <c r="C88" s="96" t="s">
        <v>194</v>
      </c>
      <c r="D88" s="96" t="s">
        <v>114</v>
      </c>
      <c r="E88" s="38">
        <v>24</v>
      </c>
      <c r="F88" s="38" t="s">
        <v>206</v>
      </c>
      <c r="G88" s="38" t="s">
        <v>17</v>
      </c>
      <c r="H88" s="38" t="s">
        <v>292</v>
      </c>
    </row>
    <row r="89" spans="2:8" s="13" customFormat="1">
      <c r="B89" s="4">
        <v>76</v>
      </c>
      <c r="C89" s="100" t="s">
        <v>195</v>
      </c>
      <c r="D89" s="96" t="s">
        <v>126</v>
      </c>
      <c r="E89" s="38">
        <v>23</v>
      </c>
      <c r="F89" s="38" t="s">
        <v>206</v>
      </c>
      <c r="G89" s="38" t="s">
        <v>17</v>
      </c>
      <c r="H89" s="38" t="s">
        <v>292</v>
      </c>
    </row>
    <row r="90" spans="2:8" s="13" customFormat="1">
      <c r="B90" s="4">
        <v>77</v>
      </c>
      <c r="C90" s="101" t="s">
        <v>196</v>
      </c>
      <c r="D90" s="96" t="s">
        <v>126</v>
      </c>
      <c r="E90" s="38">
        <v>23</v>
      </c>
      <c r="F90" s="38" t="s">
        <v>206</v>
      </c>
      <c r="G90" s="38" t="s">
        <v>17</v>
      </c>
      <c r="H90" s="38" t="s">
        <v>292</v>
      </c>
    </row>
    <row r="91" spans="2:8" s="13" customFormat="1">
      <c r="B91" s="4">
        <v>78</v>
      </c>
      <c r="C91" s="96" t="s">
        <v>197</v>
      </c>
      <c r="D91" s="96" t="s">
        <v>132</v>
      </c>
      <c r="E91" s="38">
        <v>23</v>
      </c>
      <c r="F91" s="38" t="s">
        <v>206</v>
      </c>
      <c r="G91" s="38" t="s">
        <v>17</v>
      </c>
      <c r="H91" s="38" t="s">
        <v>16</v>
      </c>
    </row>
    <row r="92" spans="2:8" s="13" customFormat="1">
      <c r="B92" s="4">
        <v>79</v>
      </c>
      <c r="C92" s="96" t="s">
        <v>198</v>
      </c>
      <c r="D92" s="96" t="s">
        <v>132</v>
      </c>
      <c r="E92" s="38">
        <v>23</v>
      </c>
      <c r="F92" s="38" t="s">
        <v>206</v>
      </c>
      <c r="G92" s="38" t="s">
        <v>17</v>
      </c>
      <c r="H92" s="38" t="s">
        <v>16</v>
      </c>
    </row>
    <row r="93" spans="2:8" s="13" customFormat="1">
      <c r="B93" s="4">
        <v>80</v>
      </c>
      <c r="C93" s="96" t="s">
        <v>199</v>
      </c>
      <c r="D93" s="96" t="s">
        <v>132</v>
      </c>
      <c r="E93" s="38">
        <v>23</v>
      </c>
      <c r="F93" s="38" t="s">
        <v>206</v>
      </c>
      <c r="G93" s="38" t="s">
        <v>17</v>
      </c>
      <c r="H93" s="38" t="s">
        <v>16</v>
      </c>
    </row>
    <row r="94" spans="2:8" s="13" customFormat="1">
      <c r="B94" s="4">
        <v>81</v>
      </c>
      <c r="C94" s="96" t="s">
        <v>200</v>
      </c>
      <c r="D94" s="96" t="s">
        <v>132</v>
      </c>
      <c r="E94" s="38">
        <v>23</v>
      </c>
      <c r="F94" s="38" t="s">
        <v>206</v>
      </c>
      <c r="G94" s="38" t="s">
        <v>17</v>
      </c>
      <c r="H94" s="38" t="s">
        <v>16</v>
      </c>
    </row>
    <row r="95" spans="2:8" s="13" customFormat="1">
      <c r="B95" s="4">
        <v>82</v>
      </c>
      <c r="C95" s="96" t="s">
        <v>201</v>
      </c>
      <c r="D95" s="96" t="s">
        <v>132</v>
      </c>
      <c r="E95" s="38">
        <v>23</v>
      </c>
      <c r="F95" s="38" t="s">
        <v>206</v>
      </c>
      <c r="G95" s="38" t="s">
        <v>17</v>
      </c>
      <c r="H95" s="38" t="s">
        <v>16</v>
      </c>
    </row>
    <row r="96" spans="2:8" s="13" customFormat="1">
      <c r="B96" s="4">
        <v>83</v>
      </c>
      <c r="C96" s="96" t="s">
        <v>202</v>
      </c>
      <c r="D96" s="96" t="s">
        <v>132</v>
      </c>
      <c r="E96" s="38">
        <v>23</v>
      </c>
      <c r="F96" s="38" t="s">
        <v>206</v>
      </c>
      <c r="G96" s="38" t="s">
        <v>17</v>
      </c>
      <c r="H96" s="38" t="s">
        <v>16</v>
      </c>
    </row>
    <row r="97" spans="2:8" s="13" customFormat="1">
      <c r="B97" s="4">
        <v>84</v>
      </c>
      <c r="C97" s="101" t="s">
        <v>203</v>
      </c>
      <c r="D97" s="101" t="s">
        <v>15</v>
      </c>
      <c r="E97" s="38">
        <v>21</v>
      </c>
      <c r="F97" s="38" t="s">
        <v>206</v>
      </c>
      <c r="G97" s="38" t="s">
        <v>163</v>
      </c>
      <c r="H97" s="38" t="s">
        <v>16</v>
      </c>
    </row>
    <row r="98" spans="2:8" s="13" customFormat="1">
      <c r="B98" s="4">
        <v>85</v>
      </c>
      <c r="C98" s="101" t="s">
        <v>204</v>
      </c>
      <c r="D98" s="101" t="s">
        <v>15</v>
      </c>
      <c r="E98" s="38">
        <v>21</v>
      </c>
      <c r="F98" s="38" t="s">
        <v>206</v>
      </c>
      <c r="G98" s="38" t="s">
        <v>163</v>
      </c>
      <c r="H98" s="38" t="s">
        <v>16</v>
      </c>
    </row>
    <row r="99" spans="2:8" s="13" customFormat="1">
      <c r="B99" s="4">
        <v>86</v>
      </c>
      <c r="C99" s="101" t="s">
        <v>205</v>
      </c>
      <c r="D99" s="101" t="s">
        <v>15</v>
      </c>
      <c r="E99" s="38">
        <v>21</v>
      </c>
      <c r="F99" s="38" t="s">
        <v>206</v>
      </c>
      <c r="G99" s="38" t="s">
        <v>163</v>
      </c>
      <c r="H99" s="38" t="s">
        <v>16</v>
      </c>
    </row>
    <row r="100" spans="2:8" s="13" customFormat="1">
      <c r="B100" s="4">
        <v>87</v>
      </c>
      <c r="C100" s="100" t="s">
        <v>207</v>
      </c>
      <c r="D100" s="96" t="s">
        <v>208</v>
      </c>
      <c r="E100" s="38">
        <v>24</v>
      </c>
      <c r="F100" s="38" t="s">
        <v>247</v>
      </c>
      <c r="G100" s="38" t="s">
        <v>17</v>
      </c>
      <c r="H100" s="38" t="s">
        <v>16</v>
      </c>
    </row>
    <row r="101" spans="2:8" s="13" customFormat="1">
      <c r="B101" s="4">
        <v>88</v>
      </c>
      <c r="C101" s="96" t="s">
        <v>209</v>
      </c>
      <c r="D101" s="96" t="s">
        <v>110</v>
      </c>
      <c r="E101" s="38">
        <v>25</v>
      </c>
      <c r="F101" s="38" t="s">
        <v>247</v>
      </c>
      <c r="G101" s="38" t="s">
        <v>17</v>
      </c>
      <c r="H101" s="38" t="s">
        <v>292</v>
      </c>
    </row>
    <row r="102" spans="2:8" s="13" customFormat="1">
      <c r="B102" s="4">
        <v>89</v>
      </c>
      <c r="C102" s="100" t="s">
        <v>210</v>
      </c>
      <c r="D102" s="96" t="s">
        <v>110</v>
      </c>
      <c r="E102" s="38">
        <v>25</v>
      </c>
      <c r="F102" s="38" t="s">
        <v>247</v>
      </c>
      <c r="G102" s="38" t="s">
        <v>17</v>
      </c>
      <c r="H102" s="38" t="s">
        <v>292</v>
      </c>
    </row>
    <row r="103" spans="2:8" s="13" customFormat="1">
      <c r="B103" s="4">
        <v>90</v>
      </c>
      <c r="C103" s="100" t="s">
        <v>211</v>
      </c>
      <c r="D103" s="96" t="s">
        <v>114</v>
      </c>
      <c r="E103" s="38">
        <v>24</v>
      </c>
      <c r="F103" s="38" t="s">
        <v>247</v>
      </c>
      <c r="G103" s="38" t="s">
        <v>17</v>
      </c>
      <c r="H103" s="38" t="s">
        <v>292</v>
      </c>
    </row>
    <row r="104" spans="2:8" s="13" customFormat="1">
      <c r="B104" s="4">
        <v>91</v>
      </c>
      <c r="C104" s="100" t="s">
        <v>212</v>
      </c>
      <c r="D104" s="96" t="s">
        <v>213</v>
      </c>
      <c r="E104" s="38">
        <v>24</v>
      </c>
      <c r="F104" s="38" t="s">
        <v>247</v>
      </c>
      <c r="G104" s="38" t="s">
        <v>17</v>
      </c>
      <c r="H104" s="38" t="s">
        <v>292</v>
      </c>
    </row>
    <row r="105" spans="2:8" s="13" customFormat="1">
      <c r="B105" s="4">
        <v>92</v>
      </c>
      <c r="C105" s="100" t="s">
        <v>214</v>
      </c>
      <c r="D105" s="96" t="s">
        <v>114</v>
      </c>
      <c r="E105" s="38">
        <v>24</v>
      </c>
      <c r="F105" s="38" t="s">
        <v>247</v>
      </c>
      <c r="G105" s="38" t="s">
        <v>17</v>
      </c>
      <c r="H105" s="38" t="s">
        <v>292</v>
      </c>
    </row>
    <row r="106" spans="2:8" s="13" customFormat="1">
      <c r="B106" s="4">
        <v>93</v>
      </c>
      <c r="C106" s="101" t="s">
        <v>215</v>
      </c>
      <c r="D106" s="101" t="s">
        <v>114</v>
      </c>
      <c r="E106" s="38">
        <v>24</v>
      </c>
      <c r="F106" s="38" t="s">
        <v>247</v>
      </c>
      <c r="G106" s="38" t="s">
        <v>17</v>
      </c>
      <c r="H106" s="38" t="s">
        <v>292</v>
      </c>
    </row>
    <row r="107" spans="2:8" s="13" customFormat="1">
      <c r="B107" s="4">
        <v>94</v>
      </c>
      <c r="C107" s="100" t="s">
        <v>216</v>
      </c>
      <c r="D107" s="96" t="s">
        <v>18</v>
      </c>
      <c r="E107" s="38">
        <v>23</v>
      </c>
      <c r="F107" s="38" t="s">
        <v>247</v>
      </c>
      <c r="G107" s="38" t="s">
        <v>17</v>
      </c>
      <c r="H107" s="38" t="s">
        <v>16</v>
      </c>
    </row>
    <row r="108" spans="2:8" s="13" customFormat="1">
      <c r="B108" s="4">
        <v>95</v>
      </c>
      <c r="C108" s="96" t="s">
        <v>217</v>
      </c>
      <c r="D108" s="96" t="s">
        <v>126</v>
      </c>
      <c r="E108" s="38">
        <v>23</v>
      </c>
      <c r="F108" s="38" t="s">
        <v>247</v>
      </c>
      <c r="G108" s="38" t="s">
        <v>17</v>
      </c>
      <c r="H108" s="38" t="s">
        <v>292</v>
      </c>
    </row>
    <row r="109" spans="2:8" s="13" customFormat="1">
      <c r="B109" s="4">
        <v>96</v>
      </c>
      <c r="C109" s="96" t="s">
        <v>218</v>
      </c>
      <c r="D109" s="96" t="s">
        <v>126</v>
      </c>
      <c r="E109" s="38">
        <v>23</v>
      </c>
      <c r="F109" s="38" t="s">
        <v>247</v>
      </c>
      <c r="G109" s="38" t="s">
        <v>17</v>
      </c>
      <c r="H109" s="38" t="s">
        <v>292</v>
      </c>
    </row>
    <row r="110" spans="2:8" s="13" customFormat="1">
      <c r="B110" s="4">
        <v>97</v>
      </c>
      <c r="C110" s="96" t="s">
        <v>219</v>
      </c>
      <c r="D110" s="96" t="s">
        <v>126</v>
      </c>
      <c r="E110" s="38">
        <v>23</v>
      </c>
      <c r="F110" s="38" t="s">
        <v>247</v>
      </c>
      <c r="G110" s="38" t="s">
        <v>17</v>
      </c>
      <c r="H110" s="38" t="s">
        <v>292</v>
      </c>
    </row>
    <row r="111" spans="2:8" s="13" customFormat="1">
      <c r="B111" s="4">
        <v>98</v>
      </c>
      <c r="C111" s="96" t="s">
        <v>220</v>
      </c>
      <c r="D111" s="96" t="s">
        <v>126</v>
      </c>
      <c r="E111" s="38">
        <v>23</v>
      </c>
      <c r="F111" s="38" t="s">
        <v>247</v>
      </c>
      <c r="G111" s="38" t="s">
        <v>17</v>
      </c>
      <c r="H111" s="38" t="s">
        <v>292</v>
      </c>
    </row>
    <row r="112" spans="2:8" s="13" customFormat="1">
      <c r="B112" s="4">
        <v>99</v>
      </c>
      <c r="C112" s="96" t="s">
        <v>221</v>
      </c>
      <c r="D112" s="96" t="s">
        <v>126</v>
      </c>
      <c r="E112" s="38">
        <v>23</v>
      </c>
      <c r="F112" s="38" t="s">
        <v>247</v>
      </c>
      <c r="G112" s="38" t="s">
        <v>17</v>
      </c>
      <c r="H112" s="38" t="s">
        <v>292</v>
      </c>
    </row>
    <row r="113" spans="2:8" s="13" customFormat="1">
      <c r="B113" s="4">
        <v>100</v>
      </c>
      <c r="C113" s="100" t="s">
        <v>222</v>
      </c>
      <c r="D113" s="96" t="s">
        <v>132</v>
      </c>
      <c r="E113" s="38">
        <v>23</v>
      </c>
      <c r="F113" s="38" t="s">
        <v>247</v>
      </c>
      <c r="G113" s="38" t="s">
        <v>17</v>
      </c>
      <c r="H113" s="38" t="s">
        <v>16</v>
      </c>
    </row>
    <row r="114" spans="2:8" s="13" customFormat="1">
      <c r="B114" s="4">
        <v>101</v>
      </c>
      <c r="C114" s="100" t="s">
        <v>223</v>
      </c>
      <c r="D114" s="96" t="s">
        <v>132</v>
      </c>
      <c r="E114" s="38">
        <v>23</v>
      </c>
      <c r="F114" s="38" t="s">
        <v>247</v>
      </c>
      <c r="G114" s="38" t="s">
        <v>17</v>
      </c>
      <c r="H114" s="38" t="s">
        <v>16</v>
      </c>
    </row>
    <row r="115" spans="2:8" s="13" customFormat="1">
      <c r="B115" s="4">
        <v>102</v>
      </c>
      <c r="C115" s="100" t="s">
        <v>224</v>
      </c>
      <c r="D115" s="96" t="s">
        <v>132</v>
      </c>
      <c r="E115" s="38">
        <v>23</v>
      </c>
      <c r="F115" s="38" t="s">
        <v>247</v>
      </c>
      <c r="G115" s="38" t="s">
        <v>17</v>
      </c>
      <c r="H115" s="38" t="s">
        <v>16</v>
      </c>
    </row>
    <row r="116" spans="2:8" s="13" customFormat="1">
      <c r="B116" s="4">
        <v>103</v>
      </c>
      <c r="C116" s="100" t="s">
        <v>225</v>
      </c>
      <c r="D116" s="96" t="s">
        <v>132</v>
      </c>
      <c r="E116" s="38">
        <v>23</v>
      </c>
      <c r="F116" s="38" t="s">
        <v>247</v>
      </c>
      <c r="G116" s="38" t="s">
        <v>17</v>
      </c>
      <c r="H116" s="38" t="s">
        <v>16</v>
      </c>
    </row>
    <row r="117" spans="2:8" s="13" customFormat="1">
      <c r="B117" s="4">
        <v>104</v>
      </c>
      <c r="C117" s="100" t="s">
        <v>226</v>
      </c>
      <c r="D117" s="96" t="s">
        <v>132</v>
      </c>
      <c r="E117" s="38">
        <v>23</v>
      </c>
      <c r="F117" s="38" t="s">
        <v>247</v>
      </c>
      <c r="G117" s="38" t="s">
        <v>17</v>
      </c>
      <c r="H117" s="38" t="s">
        <v>16</v>
      </c>
    </row>
    <row r="118" spans="2:8" s="13" customFormat="1">
      <c r="B118" s="4">
        <v>105</v>
      </c>
      <c r="C118" s="100" t="s">
        <v>227</v>
      </c>
      <c r="D118" s="96" t="s">
        <v>132</v>
      </c>
      <c r="E118" s="38">
        <v>23</v>
      </c>
      <c r="F118" s="38" t="s">
        <v>247</v>
      </c>
      <c r="G118" s="38" t="s">
        <v>17</v>
      </c>
      <c r="H118" s="38" t="s">
        <v>16</v>
      </c>
    </row>
    <row r="119" spans="2:8" s="13" customFormat="1">
      <c r="B119" s="4">
        <v>106</v>
      </c>
      <c r="C119" s="100" t="s">
        <v>228</v>
      </c>
      <c r="D119" s="96" t="s">
        <v>132</v>
      </c>
      <c r="E119" s="38">
        <v>23</v>
      </c>
      <c r="F119" s="38" t="s">
        <v>247</v>
      </c>
      <c r="G119" s="38" t="s">
        <v>17</v>
      </c>
      <c r="H119" s="38" t="s">
        <v>16</v>
      </c>
    </row>
    <row r="120" spans="2:8" s="13" customFormat="1">
      <c r="B120" s="4">
        <v>107</v>
      </c>
      <c r="C120" s="100" t="s">
        <v>229</v>
      </c>
      <c r="D120" s="96" t="s">
        <v>132</v>
      </c>
      <c r="E120" s="38">
        <v>23</v>
      </c>
      <c r="F120" s="38" t="s">
        <v>247</v>
      </c>
      <c r="G120" s="38" t="s">
        <v>17</v>
      </c>
      <c r="H120" s="38" t="s">
        <v>16</v>
      </c>
    </row>
    <row r="121" spans="2:8" s="13" customFormat="1">
      <c r="B121" s="4">
        <v>108</v>
      </c>
      <c r="C121" s="101" t="s">
        <v>230</v>
      </c>
      <c r="D121" s="101" t="s">
        <v>132</v>
      </c>
      <c r="E121" s="38">
        <v>23</v>
      </c>
      <c r="F121" s="38" t="s">
        <v>247</v>
      </c>
      <c r="G121" s="38" t="s">
        <v>17</v>
      </c>
      <c r="H121" s="38" t="s">
        <v>16</v>
      </c>
    </row>
    <row r="122" spans="2:8" s="13" customFormat="1">
      <c r="B122" s="4">
        <v>109</v>
      </c>
      <c r="C122" s="101" t="s">
        <v>231</v>
      </c>
      <c r="D122" s="101" t="s">
        <v>132</v>
      </c>
      <c r="E122" s="38">
        <v>23</v>
      </c>
      <c r="F122" s="38" t="s">
        <v>247</v>
      </c>
      <c r="G122" s="38" t="s">
        <v>17</v>
      </c>
      <c r="H122" s="38" t="s">
        <v>16</v>
      </c>
    </row>
    <row r="123" spans="2:8" s="13" customFormat="1">
      <c r="B123" s="4">
        <v>110</v>
      </c>
      <c r="C123" s="101" t="s">
        <v>232</v>
      </c>
      <c r="D123" s="101" t="s">
        <v>132</v>
      </c>
      <c r="E123" s="38">
        <v>23</v>
      </c>
      <c r="F123" s="38" t="s">
        <v>247</v>
      </c>
      <c r="G123" s="38" t="s">
        <v>17</v>
      </c>
      <c r="H123" s="38" t="s">
        <v>16</v>
      </c>
    </row>
    <row r="124" spans="2:8" s="13" customFormat="1">
      <c r="B124" s="4">
        <v>111</v>
      </c>
      <c r="C124" s="101" t="s">
        <v>233</v>
      </c>
      <c r="D124" s="101" t="s">
        <v>132</v>
      </c>
      <c r="E124" s="38">
        <v>23</v>
      </c>
      <c r="F124" s="38" t="s">
        <v>247</v>
      </c>
      <c r="G124" s="38" t="s">
        <v>17</v>
      </c>
      <c r="H124" s="38" t="s">
        <v>16</v>
      </c>
    </row>
    <row r="125" spans="2:8" s="13" customFormat="1">
      <c r="B125" s="4">
        <v>112</v>
      </c>
      <c r="C125" s="100" t="s">
        <v>234</v>
      </c>
      <c r="D125" s="96" t="s">
        <v>15</v>
      </c>
      <c r="E125" s="38">
        <v>21</v>
      </c>
      <c r="F125" s="38" t="s">
        <v>247</v>
      </c>
      <c r="G125" s="38" t="s">
        <v>163</v>
      </c>
      <c r="H125" s="38" t="s">
        <v>16</v>
      </c>
    </row>
    <row r="126" spans="2:8" s="13" customFormat="1">
      <c r="B126" s="4">
        <v>113</v>
      </c>
      <c r="C126" s="100" t="s">
        <v>235</v>
      </c>
      <c r="D126" s="96" t="s">
        <v>15</v>
      </c>
      <c r="E126" s="38">
        <v>21</v>
      </c>
      <c r="F126" s="38" t="s">
        <v>247</v>
      </c>
      <c r="G126" s="38" t="s">
        <v>163</v>
      </c>
      <c r="H126" s="38" t="s">
        <v>16</v>
      </c>
    </row>
    <row r="127" spans="2:8" s="13" customFormat="1">
      <c r="B127" s="4">
        <v>114</v>
      </c>
      <c r="C127" s="96" t="s">
        <v>236</v>
      </c>
      <c r="D127" s="96" t="s">
        <v>15</v>
      </c>
      <c r="E127" s="38">
        <v>21</v>
      </c>
      <c r="F127" s="38" t="s">
        <v>247</v>
      </c>
      <c r="G127" s="38" t="s">
        <v>163</v>
      </c>
      <c r="H127" s="38" t="s">
        <v>16</v>
      </c>
    </row>
    <row r="128" spans="2:8" s="13" customFormat="1">
      <c r="B128" s="4">
        <v>115</v>
      </c>
      <c r="C128" s="96" t="s">
        <v>237</v>
      </c>
      <c r="D128" s="96" t="s">
        <v>15</v>
      </c>
      <c r="E128" s="38">
        <v>21</v>
      </c>
      <c r="F128" s="38" t="s">
        <v>247</v>
      </c>
      <c r="G128" s="38" t="s">
        <v>163</v>
      </c>
      <c r="H128" s="38" t="s">
        <v>16</v>
      </c>
    </row>
    <row r="129" spans="2:8" s="13" customFormat="1">
      <c r="B129" s="4">
        <v>116</v>
      </c>
      <c r="C129" s="96" t="s">
        <v>238</v>
      </c>
      <c r="D129" s="96" t="s">
        <v>15</v>
      </c>
      <c r="E129" s="38">
        <v>21</v>
      </c>
      <c r="F129" s="38" t="s">
        <v>247</v>
      </c>
      <c r="G129" s="38" t="s">
        <v>163</v>
      </c>
      <c r="H129" s="38" t="s">
        <v>16</v>
      </c>
    </row>
    <row r="130" spans="2:8" s="13" customFormat="1">
      <c r="B130" s="4">
        <v>117</v>
      </c>
      <c r="C130" s="96" t="s">
        <v>239</v>
      </c>
      <c r="D130" s="96" t="s">
        <v>15</v>
      </c>
      <c r="E130" s="38">
        <v>21</v>
      </c>
      <c r="F130" s="38" t="s">
        <v>247</v>
      </c>
      <c r="G130" s="38" t="s">
        <v>163</v>
      </c>
      <c r="H130" s="38" t="s">
        <v>16</v>
      </c>
    </row>
    <row r="131" spans="2:8" s="13" customFormat="1">
      <c r="B131" s="4">
        <v>118</v>
      </c>
      <c r="C131" s="96" t="s">
        <v>240</v>
      </c>
      <c r="D131" s="96" t="s">
        <v>15</v>
      </c>
      <c r="E131" s="38">
        <v>21</v>
      </c>
      <c r="F131" s="38" t="s">
        <v>247</v>
      </c>
      <c r="G131" s="38" t="s">
        <v>163</v>
      </c>
      <c r="H131" s="38" t="s">
        <v>16</v>
      </c>
    </row>
    <row r="132" spans="2:8" s="13" customFormat="1">
      <c r="B132" s="4">
        <v>119</v>
      </c>
      <c r="C132" s="96" t="s">
        <v>241</v>
      </c>
      <c r="D132" s="96" t="s">
        <v>15</v>
      </c>
      <c r="E132" s="38">
        <v>21</v>
      </c>
      <c r="F132" s="38" t="s">
        <v>247</v>
      </c>
      <c r="G132" s="38" t="s">
        <v>163</v>
      </c>
      <c r="H132" s="38" t="s">
        <v>16</v>
      </c>
    </row>
    <row r="133" spans="2:8" s="13" customFormat="1">
      <c r="B133" s="4">
        <v>120</v>
      </c>
      <c r="C133" s="96" t="s">
        <v>1525</v>
      </c>
      <c r="D133" s="96" t="s">
        <v>15</v>
      </c>
      <c r="E133" s="38">
        <v>21</v>
      </c>
      <c r="F133" s="38" t="s">
        <v>247</v>
      </c>
      <c r="G133" s="38" t="s">
        <v>163</v>
      </c>
      <c r="H133" s="38" t="s">
        <v>16</v>
      </c>
    </row>
    <row r="134" spans="2:8" s="13" customFormat="1">
      <c r="B134" s="4">
        <v>121</v>
      </c>
      <c r="C134" s="96" t="s">
        <v>242</v>
      </c>
      <c r="D134" s="96" t="s">
        <v>15</v>
      </c>
      <c r="E134" s="38">
        <v>21</v>
      </c>
      <c r="F134" s="38" t="s">
        <v>247</v>
      </c>
      <c r="G134" s="38" t="s">
        <v>163</v>
      </c>
      <c r="H134" s="38" t="s">
        <v>16</v>
      </c>
    </row>
    <row r="135" spans="2:8" s="13" customFormat="1">
      <c r="B135" s="4">
        <v>122</v>
      </c>
      <c r="C135" s="96" t="s">
        <v>243</v>
      </c>
      <c r="D135" s="96" t="s">
        <v>15</v>
      </c>
      <c r="E135" s="38">
        <v>21</v>
      </c>
      <c r="F135" s="38" t="s">
        <v>247</v>
      </c>
      <c r="G135" s="38" t="s">
        <v>163</v>
      </c>
      <c r="H135" s="38" t="s">
        <v>16</v>
      </c>
    </row>
    <row r="136" spans="2:8" s="13" customFormat="1">
      <c r="B136" s="4">
        <v>123</v>
      </c>
      <c r="C136" s="96" t="s">
        <v>1524</v>
      </c>
      <c r="D136" s="96" t="s">
        <v>15</v>
      </c>
      <c r="E136" s="38">
        <v>21</v>
      </c>
      <c r="F136" s="38" t="s">
        <v>247</v>
      </c>
      <c r="G136" s="38" t="s">
        <v>163</v>
      </c>
      <c r="H136" s="38" t="s">
        <v>16</v>
      </c>
    </row>
    <row r="137" spans="2:8" s="13" customFormat="1">
      <c r="B137" s="4">
        <v>124</v>
      </c>
      <c r="C137" s="100" t="s">
        <v>1523</v>
      </c>
      <c r="D137" s="96" t="s">
        <v>15</v>
      </c>
      <c r="E137" s="38">
        <v>21</v>
      </c>
      <c r="F137" s="38" t="s">
        <v>247</v>
      </c>
      <c r="G137" s="38" t="s">
        <v>163</v>
      </c>
      <c r="H137" s="38" t="s">
        <v>16</v>
      </c>
    </row>
    <row r="138" spans="2:8" s="13" customFormat="1">
      <c r="B138" s="4">
        <v>125</v>
      </c>
      <c r="C138" s="100" t="s">
        <v>244</v>
      </c>
      <c r="D138" s="96" t="s">
        <v>15</v>
      </c>
      <c r="E138" s="38">
        <v>21</v>
      </c>
      <c r="F138" s="38" t="s">
        <v>247</v>
      </c>
      <c r="G138" s="38" t="s">
        <v>163</v>
      </c>
      <c r="H138" s="38" t="s">
        <v>16</v>
      </c>
    </row>
    <row r="139" spans="2:8" s="13" customFormat="1">
      <c r="B139" s="4">
        <v>126</v>
      </c>
      <c r="C139" s="100" t="s">
        <v>245</v>
      </c>
      <c r="D139" s="96" t="s">
        <v>15</v>
      </c>
      <c r="E139" s="38">
        <v>21</v>
      </c>
      <c r="F139" s="38" t="s">
        <v>247</v>
      </c>
      <c r="G139" s="38" t="s">
        <v>163</v>
      </c>
      <c r="H139" s="38" t="s">
        <v>16</v>
      </c>
    </row>
    <row r="140" spans="2:8" s="13" customFormat="1">
      <c r="B140" s="4">
        <v>127</v>
      </c>
      <c r="C140" s="96" t="s">
        <v>246</v>
      </c>
      <c r="D140" s="96" t="s">
        <v>159</v>
      </c>
      <c r="E140" s="38">
        <v>7</v>
      </c>
      <c r="F140" s="38" t="s">
        <v>164</v>
      </c>
      <c r="G140" s="38" t="s">
        <v>17</v>
      </c>
      <c r="H140" s="38" t="s">
        <v>16</v>
      </c>
    </row>
    <row r="141" spans="2:8" s="13" customFormat="1">
      <c r="B141" s="4">
        <v>128</v>
      </c>
      <c r="C141" s="100" t="s">
        <v>248</v>
      </c>
      <c r="D141" s="96" t="s">
        <v>108</v>
      </c>
      <c r="E141" s="38">
        <v>25</v>
      </c>
      <c r="F141" s="38" t="s">
        <v>291</v>
      </c>
      <c r="G141" s="38" t="s">
        <v>17</v>
      </c>
      <c r="H141" s="38" t="s">
        <v>292</v>
      </c>
    </row>
    <row r="142" spans="2:8" s="13" customFormat="1">
      <c r="B142" s="4">
        <v>129</v>
      </c>
      <c r="C142" s="100" t="s">
        <v>249</v>
      </c>
      <c r="D142" s="96" t="s">
        <v>114</v>
      </c>
      <c r="E142" s="38">
        <v>24</v>
      </c>
      <c r="F142" s="38" t="s">
        <v>291</v>
      </c>
      <c r="G142" s="38" t="s">
        <v>17</v>
      </c>
      <c r="H142" s="38" t="s">
        <v>292</v>
      </c>
    </row>
    <row r="143" spans="2:8" s="13" customFormat="1">
      <c r="B143" s="4">
        <v>130</v>
      </c>
      <c r="C143" s="96" t="s">
        <v>250</v>
      </c>
      <c r="D143" s="96" t="s">
        <v>114</v>
      </c>
      <c r="E143" s="38">
        <v>24</v>
      </c>
      <c r="F143" s="38" t="s">
        <v>291</v>
      </c>
      <c r="G143" s="38" t="s">
        <v>17</v>
      </c>
      <c r="H143" s="38" t="s">
        <v>292</v>
      </c>
    </row>
    <row r="144" spans="2:8" s="13" customFormat="1">
      <c r="B144" s="4">
        <v>131</v>
      </c>
      <c r="C144" s="96" t="s">
        <v>251</v>
      </c>
      <c r="D144" s="96" t="s">
        <v>114</v>
      </c>
      <c r="E144" s="38">
        <v>24</v>
      </c>
      <c r="F144" s="38" t="s">
        <v>291</v>
      </c>
      <c r="G144" s="38" t="s">
        <v>17</v>
      </c>
      <c r="H144" s="38" t="s">
        <v>292</v>
      </c>
    </row>
    <row r="145" spans="2:8" s="13" customFormat="1">
      <c r="B145" s="4">
        <v>132</v>
      </c>
      <c r="C145" s="96" t="s">
        <v>252</v>
      </c>
      <c r="D145" s="96" t="s">
        <v>114</v>
      </c>
      <c r="E145" s="38">
        <v>24</v>
      </c>
      <c r="F145" s="38" t="s">
        <v>291</v>
      </c>
      <c r="G145" s="38" t="s">
        <v>17</v>
      </c>
      <c r="H145" s="38" t="s">
        <v>292</v>
      </c>
    </row>
    <row r="146" spans="2:8" s="13" customFormat="1">
      <c r="B146" s="4">
        <v>133</v>
      </c>
      <c r="C146" s="96" t="s">
        <v>253</v>
      </c>
      <c r="D146" s="96" t="s">
        <v>114</v>
      </c>
      <c r="E146" s="38">
        <v>24</v>
      </c>
      <c r="F146" s="38" t="s">
        <v>291</v>
      </c>
      <c r="G146" s="38" t="s">
        <v>17</v>
      </c>
      <c r="H146" s="38" t="s">
        <v>292</v>
      </c>
    </row>
    <row r="147" spans="2:8" s="13" customFormat="1">
      <c r="B147" s="4">
        <v>134</v>
      </c>
      <c r="C147" s="96" t="s">
        <v>254</v>
      </c>
      <c r="D147" s="96" t="s">
        <v>114</v>
      </c>
      <c r="E147" s="38">
        <v>24</v>
      </c>
      <c r="F147" s="38" t="s">
        <v>291</v>
      </c>
      <c r="G147" s="38" t="s">
        <v>17</v>
      </c>
      <c r="H147" s="38" t="s">
        <v>292</v>
      </c>
    </row>
    <row r="148" spans="2:8" s="13" customFormat="1">
      <c r="B148" s="4">
        <v>135</v>
      </c>
      <c r="C148" s="96" t="s">
        <v>255</v>
      </c>
      <c r="D148" s="96" t="s">
        <v>114</v>
      </c>
      <c r="E148" s="38">
        <v>24</v>
      </c>
      <c r="F148" s="38" t="s">
        <v>291</v>
      </c>
      <c r="G148" s="38" t="s">
        <v>17</v>
      </c>
      <c r="H148" s="38" t="s">
        <v>292</v>
      </c>
    </row>
    <row r="149" spans="2:8" s="13" customFormat="1">
      <c r="B149" s="4">
        <v>136</v>
      </c>
      <c r="C149" s="96" t="s">
        <v>256</v>
      </c>
      <c r="D149" s="96" t="s">
        <v>114</v>
      </c>
      <c r="E149" s="38">
        <v>24</v>
      </c>
      <c r="F149" s="38" t="s">
        <v>291</v>
      </c>
      <c r="G149" s="38" t="s">
        <v>17</v>
      </c>
      <c r="H149" s="38" t="s">
        <v>292</v>
      </c>
    </row>
    <row r="150" spans="2:8" s="13" customFormat="1">
      <c r="B150" s="4">
        <v>137</v>
      </c>
      <c r="C150" s="96" t="s">
        <v>257</v>
      </c>
      <c r="D150" s="96" t="s">
        <v>114</v>
      </c>
      <c r="E150" s="38">
        <v>24</v>
      </c>
      <c r="F150" s="38" t="s">
        <v>291</v>
      </c>
      <c r="G150" s="38" t="s">
        <v>17</v>
      </c>
      <c r="H150" s="38" t="s">
        <v>292</v>
      </c>
    </row>
    <row r="151" spans="2:8" s="13" customFormat="1">
      <c r="B151" s="4">
        <v>138</v>
      </c>
      <c r="C151" s="100" t="s">
        <v>258</v>
      </c>
      <c r="D151" s="96" t="s">
        <v>114</v>
      </c>
      <c r="E151" s="38">
        <v>24</v>
      </c>
      <c r="F151" s="38" t="s">
        <v>291</v>
      </c>
      <c r="G151" s="38" t="s">
        <v>17</v>
      </c>
      <c r="H151" s="38" t="s">
        <v>292</v>
      </c>
    </row>
    <row r="152" spans="2:8" s="13" customFormat="1">
      <c r="B152" s="4">
        <v>139</v>
      </c>
      <c r="C152" s="100" t="s">
        <v>259</v>
      </c>
      <c r="D152" s="96" t="s">
        <v>114</v>
      </c>
      <c r="E152" s="38">
        <v>24</v>
      </c>
      <c r="F152" s="38" t="s">
        <v>291</v>
      </c>
      <c r="G152" s="38" t="s">
        <v>17</v>
      </c>
      <c r="H152" s="38" t="s">
        <v>292</v>
      </c>
    </row>
    <row r="153" spans="2:8" s="13" customFormat="1">
      <c r="B153" s="4">
        <v>140</v>
      </c>
      <c r="C153" s="100" t="s">
        <v>260</v>
      </c>
      <c r="D153" s="96" t="s">
        <v>114</v>
      </c>
      <c r="E153" s="38">
        <v>24</v>
      </c>
      <c r="F153" s="38" t="s">
        <v>291</v>
      </c>
      <c r="G153" s="38" t="s">
        <v>17</v>
      </c>
      <c r="H153" s="38" t="s">
        <v>292</v>
      </c>
    </row>
    <row r="154" spans="2:8" s="13" customFormat="1">
      <c r="B154" s="4">
        <v>141</v>
      </c>
      <c r="C154" s="100" t="s">
        <v>261</v>
      </c>
      <c r="D154" s="96" t="s">
        <v>114</v>
      </c>
      <c r="E154" s="38">
        <v>24</v>
      </c>
      <c r="F154" s="38" t="s">
        <v>291</v>
      </c>
      <c r="G154" s="38" t="s">
        <v>17</v>
      </c>
      <c r="H154" s="38" t="s">
        <v>292</v>
      </c>
    </row>
    <row r="155" spans="2:8" s="13" customFormat="1">
      <c r="B155" s="4">
        <v>142</v>
      </c>
      <c r="C155" s="100" t="s">
        <v>262</v>
      </c>
      <c r="D155" s="96" t="s">
        <v>114</v>
      </c>
      <c r="E155" s="38">
        <v>24</v>
      </c>
      <c r="F155" s="38" t="s">
        <v>291</v>
      </c>
      <c r="G155" s="38" t="s">
        <v>17</v>
      </c>
      <c r="H155" s="38" t="s">
        <v>292</v>
      </c>
    </row>
    <row r="156" spans="2:8" s="13" customFormat="1">
      <c r="B156" s="4">
        <v>143</v>
      </c>
      <c r="C156" s="100" t="s">
        <v>263</v>
      </c>
      <c r="D156" s="96" t="s">
        <v>126</v>
      </c>
      <c r="E156" s="38">
        <v>23</v>
      </c>
      <c r="F156" s="38" t="s">
        <v>291</v>
      </c>
      <c r="G156" s="38" t="s">
        <v>17</v>
      </c>
      <c r="H156" s="38" t="s">
        <v>292</v>
      </c>
    </row>
    <row r="157" spans="2:8" s="13" customFormat="1">
      <c r="B157" s="4">
        <v>144</v>
      </c>
      <c r="C157" s="100" t="s">
        <v>264</v>
      </c>
      <c r="D157" s="96" t="s">
        <v>126</v>
      </c>
      <c r="E157" s="38">
        <v>23</v>
      </c>
      <c r="F157" s="38" t="s">
        <v>291</v>
      </c>
      <c r="G157" s="38" t="s">
        <v>17</v>
      </c>
      <c r="H157" s="38" t="s">
        <v>292</v>
      </c>
    </row>
    <row r="158" spans="2:8" s="13" customFormat="1">
      <c r="B158" s="4">
        <v>145</v>
      </c>
      <c r="C158" s="100" t="s">
        <v>265</v>
      </c>
      <c r="D158" s="96" t="s">
        <v>126</v>
      </c>
      <c r="E158" s="38">
        <v>23</v>
      </c>
      <c r="F158" s="38" t="s">
        <v>291</v>
      </c>
      <c r="G158" s="38" t="s">
        <v>17</v>
      </c>
      <c r="H158" s="38" t="s">
        <v>292</v>
      </c>
    </row>
    <row r="159" spans="2:8" s="13" customFormat="1">
      <c r="B159" s="4">
        <v>146</v>
      </c>
      <c r="C159" s="100" t="s">
        <v>266</v>
      </c>
      <c r="D159" s="96" t="s">
        <v>126</v>
      </c>
      <c r="E159" s="38">
        <v>23</v>
      </c>
      <c r="F159" s="38" t="s">
        <v>291</v>
      </c>
      <c r="G159" s="38" t="s">
        <v>17</v>
      </c>
      <c r="H159" s="38" t="s">
        <v>292</v>
      </c>
    </row>
    <row r="160" spans="2:8" s="13" customFormat="1">
      <c r="B160" s="4">
        <v>147</v>
      </c>
      <c r="C160" s="100" t="s">
        <v>267</v>
      </c>
      <c r="D160" s="96" t="s">
        <v>126</v>
      </c>
      <c r="E160" s="38">
        <v>23</v>
      </c>
      <c r="F160" s="38" t="s">
        <v>291</v>
      </c>
      <c r="G160" s="38" t="s">
        <v>17</v>
      </c>
      <c r="H160" s="38" t="s">
        <v>292</v>
      </c>
    </row>
    <row r="161" spans="2:8" s="13" customFormat="1">
      <c r="B161" s="4">
        <v>148</v>
      </c>
      <c r="C161" s="100" t="s">
        <v>268</v>
      </c>
      <c r="D161" s="96" t="s">
        <v>132</v>
      </c>
      <c r="E161" s="38">
        <v>23</v>
      </c>
      <c r="F161" s="38" t="s">
        <v>291</v>
      </c>
      <c r="G161" s="38" t="s">
        <v>17</v>
      </c>
      <c r="H161" s="38" t="s">
        <v>16</v>
      </c>
    </row>
    <row r="162" spans="2:8" s="13" customFormat="1">
      <c r="B162" s="4">
        <v>149</v>
      </c>
      <c r="C162" s="100" t="s">
        <v>269</v>
      </c>
      <c r="D162" s="96" t="s">
        <v>132</v>
      </c>
      <c r="E162" s="38">
        <v>23</v>
      </c>
      <c r="F162" s="38" t="s">
        <v>291</v>
      </c>
      <c r="G162" s="38" t="s">
        <v>17</v>
      </c>
      <c r="H162" s="38" t="s">
        <v>16</v>
      </c>
    </row>
    <row r="163" spans="2:8" s="13" customFormat="1">
      <c r="B163" s="4">
        <v>150</v>
      </c>
      <c r="C163" s="100" t="s">
        <v>270</v>
      </c>
      <c r="D163" s="96" t="s">
        <v>132</v>
      </c>
      <c r="E163" s="38">
        <v>23</v>
      </c>
      <c r="F163" s="38" t="s">
        <v>291</v>
      </c>
      <c r="G163" s="38" t="s">
        <v>17</v>
      </c>
      <c r="H163" s="38" t="s">
        <v>16</v>
      </c>
    </row>
    <row r="164" spans="2:8" s="13" customFormat="1">
      <c r="B164" s="4">
        <v>151</v>
      </c>
      <c r="C164" s="100" t="s">
        <v>271</v>
      </c>
      <c r="D164" s="96" t="s">
        <v>132</v>
      </c>
      <c r="E164" s="38">
        <v>23</v>
      </c>
      <c r="F164" s="38" t="s">
        <v>291</v>
      </c>
      <c r="G164" s="38" t="s">
        <v>17</v>
      </c>
      <c r="H164" s="38" t="s">
        <v>16</v>
      </c>
    </row>
    <row r="165" spans="2:8" s="13" customFormat="1">
      <c r="B165" s="4">
        <v>152</v>
      </c>
      <c r="C165" s="100" t="s">
        <v>272</v>
      </c>
      <c r="D165" s="96" t="s">
        <v>132</v>
      </c>
      <c r="E165" s="38">
        <v>23</v>
      </c>
      <c r="F165" s="38" t="s">
        <v>291</v>
      </c>
      <c r="G165" s="38" t="s">
        <v>17</v>
      </c>
      <c r="H165" s="38" t="s">
        <v>16</v>
      </c>
    </row>
    <row r="166" spans="2:8" s="13" customFormat="1">
      <c r="B166" s="4">
        <v>153</v>
      </c>
      <c r="C166" s="100" t="s">
        <v>273</v>
      </c>
      <c r="D166" s="96" t="s">
        <v>132</v>
      </c>
      <c r="E166" s="38">
        <v>23</v>
      </c>
      <c r="F166" s="38" t="s">
        <v>291</v>
      </c>
      <c r="G166" s="38" t="s">
        <v>17</v>
      </c>
      <c r="H166" s="38" t="s">
        <v>16</v>
      </c>
    </row>
    <row r="167" spans="2:8" s="13" customFormat="1">
      <c r="B167" s="4">
        <v>154</v>
      </c>
      <c r="C167" s="100" t="s">
        <v>274</v>
      </c>
      <c r="D167" s="96" t="s">
        <v>132</v>
      </c>
      <c r="E167" s="38">
        <v>23</v>
      </c>
      <c r="F167" s="38" t="s">
        <v>291</v>
      </c>
      <c r="G167" s="38" t="s">
        <v>17</v>
      </c>
      <c r="H167" s="38" t="s">
        <v>16</v>
      </c>
    </row>
    <row r="168" spans="2:8" s="13" customFormat="1">
      <c r="B168" s="4">
        <v>155</v>
      </c>
      <c r="C168" s="96" t="s">
        <v>275</v>
      </c>
      <c r="D168" s="96" t="s">
        <v>132</v>
      </c>
      <c r="E168" s="38">
        <v>23</v>
      </c>
      <c r="F168" s="38" t="s">
        <v>291</v>
      </c>
      <c r="G168" s="38" t="s">
        <v>17</v>
      </c>
      <c r="H168" s="38" t="s">
        <v>16</v>
      </c>
    </row>
    <row r="169" spans="2:8" s="13" customFormat="1">
      <c r="B169" s="4">
        <v>156</v>
      </c>
      <c r="C169" s="96" t="s">
        <v>276</v>
      </c>
      <c r="D169" s="96" t="s">
        <v>15</v>
      </c>
      <c r="E169" s="38">
        <v>21</v>
      </c>
      <c r="F169" s="38" t="s">
        <v>291</v>
      </c>
      <c r="G169" s="38" t="s">
        <v>163</v>
      </c>
      <c r="H169" s="38" t="s">
        <v>16</v>
      </c>
    </row>
    <row r="170" spans="2:8" s="13" customFormat="1">
      <c r="B170" s="4">
        <v>157</v>
      </c>
      <c r="C170" s="96" t="s">
        <v>277</v>
      </c>
      <c r="D170" s="96" t="s">
        <v>15</v>
      </c>
      <c r="E170" s="38">
        <v>21</v>
      </c>
      <c r="F170" s="38" t="s">
        <v>291</v>
      </c>
      <c r="G170" s="38" t="s">
        <v>163</v>
      </c>
      <c r="H170" s="38" t="s">
        <v>16</v>
      </c>
    </row>
    <row r="171" spans="2:8" s="13" customFormat="1">
      <c r="B171" s="4">
        <v>158</v>
      </c>
      <c r="C171" s="96" t="s">
        <v>278</v>
      </c>
      <c r="D171" s="96" t="s">
        <v>15</v>
      </c>
      <c r="E171" s="38">
        <v>21</v>
      </c>
      <c r="F171" s="38" t="s">
        <v>291</v>
      </c>
      <c r="G171" s="38" t="s">
        <v>163</v>
      </c>
      <c r="H171" s="38" t="s">
        <v>16</v>
      </c>
    </row>
    <row r="172" spans="2:8" s="13" customFormat="1">
      <c r="B172" s="4">
        <v>159</v>
      </c>
      <c r="C172" s="96" t="s">
        <v>279</v>
      </c>
      <c r="D172" s="96" t="s">
        <v>15</v>
      </c>
      <c r="E172" s="38">
        <v>21</v>
      </c>
      <c r="F172" s="38" t="s">
        <v>291</v>
      </c>
      <c r="G172" s="38" t="s">
        <v>163</v>
      </c>
      <c r="H172" s="38" t="s">
        <v>16</v>
      </c>
    </row>
    <row r="173" spans="2:8" s="13" customFormat="1">
      <c r="B173" s="4">
        <v>160</v>
      </c>
      <c r="C173" s="96" t="s">
        <v>280</v>
      </c>
      <c r="D173" s="96" t="s">
        <v>15</v>
      </c>
      <c r="E173" s="38">
        <v>21</v>
      </c>
      <c r="F173" s="38" t="s">
        <v>291</v>
      </c>
      <c r="G173" s="38" t="s">
        <v>163</v>
      </c>
      <c r="H173" s="38" t="s">
        <v>16</v>
      </c>
    </row>
    <row r="174" spans="2:8" s="13" customFormat="1">
      <c r="B174" s="4">
        <v>161</v>
      </c>
      <c r="C174" s="96" t="s">
        <v>281</v>
      </c>
      <c r="D174" s="96" t="s">
        <v>15</v>
      </c>
      <c r="E174" s="38">
        <v>21</v>
      </c>
      <c r="F174" s="38" t="s">
        <v>291</v>
      </c>
      <c r="G174" s="38" t="s">
        <v>163</v>
      </c>
      <c r="H174" s="38" t="s">
        <v>16</v>
      </c>
    </row>
    <row r="175" spans="2:8" s="13" customFormat="1">
      <c r="B175" s="4">
        <v>162</v>
      </c>
      <c r="C175" s="96" t="s">
        <v>282</v>
      </c>
      <c r="D175" s="96" t="s">
        <v>15</v>
      </c>
      <c r="E175" s="38">
        <v>21</v>
      </c>
      <c r="F175" s="38" t="s">
        <v>291</v>
      </c>
      <c r="G175" s="38" t="s">
        <v>163</v>
      </c>
      <c r="H175" s="38" t="s">
        <v>16</v>
      </c>
    </row>
    <row r="176" spans="2:8" s="13" customFormat="1">
      <c r="B176" s="4">
        <v>163</v>
      </c>
      <c r="C176" s="101" t="s">
        <v>283</v>
      </c>
      <c r="D176" s="101" t="s">
        <v>15</v>
      </c>
      <c r="E176" s="38">
        <v>21</v>
      </c>
      <c r="F176" s="38" t="s">
        <v>291</v>
      </c>
      <c r="G176" s="38" t="s">
        <v>163</v>
      </c>
      <c r="H176" s="38" t="s">
        <v>16</v>
      </c>
    </row>
    <row r="177" spans="2:8" s="13" customFormat="1">
      <c r="B177" s="4">
        <v>164</v>
      </c>
      <c r="C177" s="96" t="s">
        <v>284</v>
      </c>
      <c r="D177" s="96" t="s">
        <v>15</v>
      </c>
      <c r="E177" s="38">
        <v>21</v>
      </c>
      <c r="F177" s="38" t="s">
        <v>291</v>
      </c>
      <c r="G177" s="38" t="s">
        <v>163</v>
      </c>
      <c r="H177" s="38" t="s">
        <v>16</v>
      </c>
    </row>
    <row r="178" spans="2:8" s="13" customFormat="1">
      <c r="B178" s="4">
        <v>165</v>
      </c>
      <c r="C178" s="96" t="s">
        <v>285</v>
      </c>
      <c r="D178" s="96" t="s">
        <v>15</v>
      </c>
      <c r="E178" s="38">
        <v>21</v>
      </c>
      <c r="F178" s="38" t="s">
        <v>291</v>
      </c>
      <c r="G178" s="38" t="s">
        <v>163</v>
      </c>
      <c r="H178" s="38" t="s">
        <v>16</v>
      </c>
    </row>
    <row r="179" spans="2:8" s="13" customFormat="1">
      <c r="B179" s="4">
        <v>166</v>
      </c>
      <c r="C179" s="96" t="s">
        <v>286</v>
      </c>
      <c r="D179" s="96" t="s">
        <v>15</v>
      </c>
      <c r="E179" s="38">
        <v>21</v>
      </c>
      <c r="F179" s="38" t="s">
        <v>291</v>
      </c>
      <c r="G179" s="38" t="s">
        <v>163</v>
      </c>
      <c r="H179" s="38" t="s">
        <v>16</v>
      </c>
    </row>
    <row r="180" spans="2:8" s="13" customFormat="1">
      <c r="B180" s="4">
        <v>167</v>
      </c>
      <c r="C180" s="96" t="s">
        <v>287</v>
      </c>
      <c r="D180" s="96" t="s">
        <v>15</v>
      </c>
      <c r="E180" s="38">
        <v>21</v>
      </c>
      <c r="F180" s="38" t="s">
        <v>291</v>
      </c>
      <c r="G180" s="38" t="s">
        <v>163</v>
      </c>
      <c r="H180" s="38" t="s">
        <v>16</v>
      </c>
    </row>
    <row r="181" spans="2:8" s="13" customFormat="1">
      <c r="B181" s="4">
        <v>168</v>
      </c>
      <c r="C181" s="96" t="s">
        <v>288</v>
      </c>
      <c r="D181" s="96" t="s">
        <v>15</v>
      </c>
      <c r="E181" s="38">
        <v>21</v>
      </c>
      <c r="F181" s="38" t="s">
        <v>291</v>
      </c>
      <c r="G181" s="38" t="s">
        <v>163</v>
      </c>
      <c r="H181" s="38" t="s">
        <v>16</v>
      </c>
    </row>
    <row r="182" spans="2:8" s="13" customFormat="1">
      <c r="B182" s="4">
        <v>169</v>
      </c>
      <c r="C182" s="96" t="s">
        <v>289</v>
      </c>
      <c r="D182" s="96" t="s">
        <v>15</v>
      </c>
      <c r="E182" s="38">
        <v>21</v>
      </c>
      <c r="F182" s="38" t="s">
        <v>291</v>
      </c>
      <c r="G182" s="38" t="s">
        <v>163</v>
      </c>
      <c r="H182" s="38" t="s">
        <v>16</v>
      </c>
    </row>
    <row r="183" spans="2:8" s="13" customFormat="1">
      <c r="B183" s="4">
        <v>170</v>
      </c>
      <c r="C183" s="96" t="s">
        <v>290</v>
      </c>
      <c r="D183" s="96" t="s">
        <v>159</v>
      </c>
      <c r="E183" s="38">
        <v>7</v>
      </c>
      <c r="F183" s="38" t="s">
        <v>164</v>
      </c>
      <c r="G183" s="38" t="s">
        <v>17</v>
      </c>
      <c r="H183" s="38" t="s">
        <v>16</v>
      </c>
    </row>
    <row r="184" spans="2:8" s="13" customFormat="1">
      <c r="B184" s="4">
        <v>171</v>
      </c>
      <c r="C184" s="103" t="s">
        <v>293</v>
      </c>
      <c r="D184" s="99" t="s">
        <v>208</v>
      </c>
      <c r="E184" s="38">
        <v>24</v>
      </c>
      <c r="F184" s="38" t="s">
        <v>189</v>
      </c>
      <c r="G184" s="38" t="s">
        <v>17</v>
      </c>
      <c r="H184" s="38" t="s">
        <v>16</v>
      </c>
    </row>
    <row r="185" spans="2:8" s="13" customFormat="1">
      <c r="B185" s="4">
        <v>172</v>
      </c>
      <c r="C185" s="103" t="s">
        <v>294</v>
      </c>
      <c r="D185" s="99" t="s">
        <v>114</v>
      </c>
      <c r="E185" s="38">
        <v>24</v>
      </c>
      <c r="F185" s="38" t="s">
        <v>189</v>
      </c>
      <c r="G185" s="38" t="s">
        <v>17</v>
      </c>
      <c r="H185" s="38" t="s">
        <v>292</v>
      </c>
    </row>
    <row r="186" spans="2:8" s="13" customFormat="1">
      <c r="B186" s="4">
        <v>173</v>
      </c>
      <c r="C186" s="103" t="s">
        <v>295</v>
      </c>
      <c r="D186" s="99" t="s">
        <v>114</v>
      </c>
      <c r="E186" s="38">
        <v>24</v>
      </c>
      <c r="F186" s="38" t="s">
        <v>189</v>
      </c>
      <c r="G186" s="38" t="s">
        <v>17</v>
      </c>
      <c r="H186" s="38" t="s">
        <v>292</v>
      </c>
    </row>
    <row r="187" spans="2:8" s="13" customFormat="1">
      <c r="B187" s="4">
        <v>174</v>
      </c>
      <c r="C187" s="103" t="s">
        <v>296</v>
      </c>
      <c r="D187" s="99" t="s">
        <v>114</v>
      </c>
      <c r="E187" s="38">
        <v>24</v>
      </c>
      <c r="F187" s="38" t="s">
        <v>189</v>
      </c>
      <c r="G187" s="38" t="s">
        <v>17</v>
      </c>
      <c r="H187" s="38" t="s">
        <v>292</v>
      </c>
    </row>
    <row r="188" spans="2:8" s="13" customFormat="1">
      <c r="B188" s="4">
        <v>175</v>
      </c>
      <c r="C188" s="103" t="s">
        <v>297</v>
      </c>
      <c r="D188" s="99" t="s">
        <v>114</v>
      </c>
      <c r="E188" s="38">
        <v>24</v>
      </c>
      <c r="F188" s="38" t="s">
        <v>189</v>
      </c>
      <c r="G188" s="38" t="s">
        <v>17</v>
      </c>
      <c r="H188" s="38" t="s">
        <v>292</v>
      </c>
    </row>
    <row r="189" spans="2:8" s="13" customFormat="1">
      <c r="B189" s="4">
        <v>176</v>
      </c>
      <c r="C189" s="103" t="s">
        <v>298</v>
      </c>
      <c r="D189" s="99" t="s">
        <v>114</v>
      </c>
      <c r="E189" s="38">
        <v>24</v>
      </c>
      <c r="F189" s="38" t="s">
        <v>189</v>
      </c>
      <c r="G189" s="38" t="s">
        <v>17</v>
      </c>
      <c r="H189" s="38" t="s">
        <v>292</v>
      </c>
    </row>
    <row r="190" spans="2:8" s="13" customFormat="1">
      <c r="B190" s="4">
        <v>177</v>
      </c>
      <c r="C190" s="103" t="s">
        <v>299</v>
      </c>
      <c r="D190" s="99" t="s">
        <v>114</v>
      </c>
      <c r="E190" s="38">
        <v>24</v>
      </c>
      <c r="F190" s="38" t="s">
        <v>189</v>
      </c>
      <c r="G190" s="38" t="s">
        <v>17</v>
      </c>
      <c r="H190" s="38" t="s">
        <v>292</v>
      </c>
    </row>
    <row r="191" spans="2:8" s="13" customFormat="1">
      <c r="B191" s="4">
        <v>178</v>
      </c>
      <c r="C191" s="99" t="s">
        <v>300</v>
      </c>
      <c r="D191" s="99" t="s">
        <v>126</v>
      </c>
      <c r="E191" s="38">
        <v>23</v>
      </c>
      <c r="F191" s="38" t="s">
        <v>189</v>
      </c>
      <c r="G191" s="38" t="s">
        <v>17</v>
      </c>
      <c r="H191" s="38" t="s">
        <v>292</v>
      </c>
    </row>
    <row r="192" spans="2:8" s="13" customFormat="1">
      <c r="B192" s="4">
        <v>179</v>
      </c>
      <c r="C192" s="99" t="s">
        <v>301</v>
      </c>
      <c r="D192" s="99" t="s">
        <v>126</v>
      </c>
      <c r="E192" s="38">
        <v>23</v>
      </c>
      <c r="F192" s="38" t="s">
        <v>189</v>
      </c>
      <c r="G192" s="38" t="s">
        <v>17</v>
      </c>
      <c r="H192" s="38" t="s">
        <v>292</v>
      </c>
    </row>
    <row r="193" spans="2:8" s="13" customFormat="1">
      <c r="B193" s="4">
        <v>180</v>
      </c>
      <c r="C193" s="103" t="s">
        <v>302</v>
      </c>
      <c r="D193" s="99" t="s">
        <v>132</v>
      </c>
      <c r="E193" s="38">
        <v>23</v>
      </c>
      <c r="F193" s="38" t="s">
        <v>189</v>
      </c>
      <c r="G193" s="38" t="s">
        <v>17</v>
      </c>
      <c r="H193" s="38" t="s">
        <v>16</v>
      </c>
    </row>
    <row r="194" spans="2:8" s="13" customFormat="1">
      <c r="B194" s="4">
        <v>181</v>
      </c>
      <c r="C194" s="103" t="s">
        <v>303</v>
      </c>
      <c r="D194" s="99" t="s">
        <v>132</v>
      </c>
      <c r="E194" s="38">
        <v>23</v>
      </c>
      <c r="F194" s="38" t="s">
        <v>189</v>
      </c>
      <c r="G194" s="38" t="s">
        <v>17</v>
      </c>
      <c r="H194" s="38" t="s">
        <v>16</v>
      </c>
    </row>
    <row r="195" spans="2:8" s="13" customFormat="1">
      <c r="B195" s="4">
        <v>182</v>
      </c>
      <c r="C195" s="103" t="s">
        <v>304</v>
      </c>
      <c r="D195" s="99" t="s">
        <v>132</v>
      </c>
      <c r="E195" s="38">
        <v>23</v>
      </c>
      <c r="F195" s="38" t="s">
        <v>189</v>
      </c>
      <c r="G195" s="38" t="s">
        <v>17</v>
      </c>
      <c r="H195" s="38" t="s">
        <v>16</v>
      </c>
    </row>
    <row r="196" spans="2:8" s="13" customFormat="1">
      <c r="B196" s="4">
        <v>183</v>
      </c>
      <c r="C196" s="103" t="s">
        <v>305</v>
      </c>
      <c r="D196" s="99" t="s">
        <v>132</v>
      </c>
      <c r="E196" s="38">
        <v>23</v>
      </c>
      <c r="F196" s="38" t="s">
        <v>189</v>
      </c>
      <c r="G196" s="38" t="s">
        <v>17</v>
      </c>
      <c r="H196" s="38" t="s">
        <v>16</v>
      </c>
    </row>
    <row r="197" spans="2:8" s="13" customFormat="1">
      <c r="B197" s="4">
        <v>184</v>
      </c>
      <c r="C197" s="103" t="s">
        <v>306</v>
      </c>
      <c r="D197" s="99" t="s">
        <v>132</v>
      </c>
      <c r="E197" s="38">
        <v>23</v>
      </c>
      <c r="F197" s="38" t="s">
        <v>189</v>
      </c>
      <c r="G197" s="38" t="s">
        <v>17</v>
      </c>
      <c r="H197" s="38" t="s">
        <v>16</v>
      </c>
    </row>
    <row r="198" spans="2:8" s="13" customFormat="1">
      <c r="B198" s="4">
        <v>185</v>
      </c>
      <c r="C198" s="103" t="s">
        <v>307</v>
      </c>
      <c r="D198" s="99" t="s">
        <v>132</v>
      </c>
      <c r="E198" s="38">
        <v>23</v>
      </c>
      <c r="F198" s="38" t="s">
        <v>189</v>
      </c>
      <c r="G198" s="38" t="s">
        <v>17</v>
      </c>
      <c r="H198" s="38" t="s">
        <v>16</v>
      </c>
    </row>
    <row r="199" spans="2:8" s="13" customFormat="1">
      <c r="B199" s="4">
        <v>186</v>
      </c>
      <c r="C199" s="103" t="s">
        <v>308</v>
      </c>
      <c r="D199" s="99" t="s">
        <v>132</v>
      </c>
      <c r="E199" s="38">
        <v>23</v>
      </c>
      <c r="F199" s="38" t="s">
        <v>189</v>
      </c>
      <c r="G199" s="38" t="s">
        <v>17</v>
      </c>
      <c r="H199" s="38" t="s">
        <v>16</v>
      </c>
    </row>
    <row r="200" spans="2:8" s="13" customFormat="1">
      <c r="B200" s="4">
        <v>187</v>
      </c>
      <c r="C200" s="103" t="s">
        <v>309</v>
      </c>
      <c r="D200" s="99" t="s">
        <v>132</v>
      </c>
      <c r="E200" s="38">
        <v>23</v>
      </c>
      <c r="F200" s="38" t="s">
        <v>189</v>
      </c>
      <c r="G200" s="38" t="s">
        <v>17</v>
      </c>
      <c r="H200" s="38" t="s">
        <v>16</v>
      </c>
    </row>
    <row r="201" spans="2:8" s="13" customFormat="1">
      <c r="B201" s="4">
        <v>188</v>
      </c>
      <c r="C201" s="103" t="s">
        <v>310</v>
      </c>
      <c r="D201" s="99" t="s">
        <v>132</v>
      </c>
      <c r="E201" s="38">
        <v>23</v>
      </c>
      <c r="F201" s="38" t="s">
        <v>189</v>
      </c>
      <c r="G201" s="38" t="s">
        <v>17</v>
      </c>
      <c r="H201" s="38" t="s">
        <v>16</v>
      </c>
    </row>
    <row r="202" spans="2:8" s="13" customFormat="1">
      <c r="B202" s="4">
        <v>189</v>
      </c>
      <c r="C202" s="103" t="s">
        <v>311</v>
      </c>
      <c r="D202" s="99" t="s">
        <v>132</v>
      </c>
      <c r="E202" s="38">
        <v>23</v>
      </c>
      <c r="F202" s="38" t="s">
        <v>189</v>
      </c>
      <c r="G202" s="38" t="s">
        <v>17</v>
      </c>
      <c r="H202" s="38" t="s">
        <v>16</v>
      </c>
    </row>
    <row r="203" spans="2:8" s="13" customFormat="1">
      <c r="B203" s="4">
        <v>190</v>
      </c>
      <c r="C203" s="103" t="s">
        <v>312</v>
      </c>
      <c r="D203" s="99" t="s">
        <v>132</v>
      </c>
      <c r="E203" s="38">
        <v>23</v>
      </c>
      <c r="F203" s="38" t="s">
        <v>189</v>
      </c>
      <c r="G203" s="38" t="s">
        <v>17</v>
      </c>
      <c r="H203" s="38" t="s">
        <v>16</v>
      </c>
    </row>
    <row r="204" spans="2:8" s="13" customFormat="1">
      <c r="B204" s="4">
        <v>191</v>
      </c>
      <c r="C204" s="103" t="s">
        <v>313</v>
      </c>
      <c r="D204" s="99" t="s">
        <v>132</v>
      </c>
      <c r="E204" s="38">
        <v>23</v>
      </c>
      <c r="F204" s="38" t="s">
        <v>189</v>
      </c>
      <c r="G204" s="38" t="s">
        <v>17</v>
      </c>
      <c r="H204" s="38" t="s">
        <v>16</v>
      </c>
    </row>
    <row r="205" spans="2:8" s="13" customFormat="1">
      <c r="B205" s="4">
        <v>192</v>
      </c>
      <c r="C205" s="103" t="s">
        <v>314</v>
      </c>
      <c r="D205" s="99" t="s">
        <v>15</v>
      </c>
      <c r="E205" s="38">
        <v>21</v>
      </c>
      <c r="F205" s="38" t="s">
        <v>189</v>
      </c>
      <c r="G205" s="38" t="s">
        <v>163</v>
      </c>
      <c r="H205" s="38" t="s">
        <v>16</v>
      </c>
    </row>
    <row r="206" spans="2:8" s="13" customFormat="1">
      <c r="B206" s="4">
        <v>193</v>
      </c>
      <c r="C206" s="103" t="s">
        <v>315</v>
      </c>
      <c r="D206" s="99" t="s">
        <v>15</v>
      </c>
      <c r="E206" s="38">
        <v>21</v>
      </c>
      <c r="F206" s="38" t="s">
        <v>189</v>
      </c>
      <c r="G206" s="38" t="s">
        <v>163</v>
      </c>
      <c r="H206" s="38" t="s">
        <v>16</v>
      </c>
    </row>
    <row r="207" spans="2:8" s="13" customFormat="1">
      <c r="B207" s="4">
        <v>194</v>
      </c>
      <c r="C207" s="103" t="s">
        <v>316</v>
      </c>
      <c r="D207" s="99" t="s">
        <v>15</v>
      </c>
      <c r="E207" s="38">
        <v>21</v>
      </c>
      <c r="F207" s="38" t="s">
        <v>189</v>
      </c>
      <c r="G207" s="38" t="s">
        <v>163</v>
      </c>
      <c r="H207" s="38" t="s">
        <v>16</v>
      </c>
    </row>
    <row r="208" spans="2:8" s="13" customFormat="1">
      <c r="B208" s="4">
        <v>195</v>
      </c>
      <c r="C208" s="103" t="s">
        <v>317</v>
      </c>
      <c r="D208" s="99" t="s">
        <v>15</v>
      </c>
      <c r="E208" s="38">
        <v>21</v>
      </c>
      <c r="F208" s="38" t="s">
        <v>189</v>
      </c>
      <c r="G208" s="38" t="s">
        <v>163</v>
      </c>
      <c r="H208" s="38" t="s">
        <v>16</v>
      </c>
    </row>
    <row r="209" spans="2:8" s="13" customFormat="1">
      <c r="B209" s="4">
        <v>196</v>
      </c>
      <c r="C209" s="99" t="s">
        <v>318</v>
      </c>
      <c r="D209" s="99" t="s">
        <v>15</v>
      </c>
      <c r="E209" s="38">
        <v>21</v>
      </c>
      <c r="F209" s="38" t="s">
        <v>189</v>
      </c>
      <c r="G209" s="38" t="s">
        <v>163</v>
      </c>
      <c r="H209" s="38" t="s">
        <v>16</v>
      </c>
    </row>
    <row r="210" spans="2:8" s="13" customFormat="1">
      <c r="B210" s="4">
        <v>197</v>
      </c>
      <c r="C210" s="99" t="s">
        <v>319</v>
      </c>
      <c r="D210" s="99" t="s">
        <v>15</v>
      </c>
      <c r="E210" s="38">
        <v>21</v>
      </c>
      <c r="F210" s="38" t="s">
        <v>189</v>
      </c>
      <c r="G210" s="38" t="s">
        <v>163</v>
      </c>
      <c r="H210" s="38" t="s">
        <v>16</v>
      </c>
    </row>
    <row r="211" spans="2:8" s="13" customFormat="1">
      <c r="B211" s="4">
        <v>198</v>
      </c>
      <c r="C211" s="99" t="s">
        <v>320</v>
      </c>
      <c r="D211" s="99" t="s">
        <v>15</v>
      </c>
      <c r="E211" s="38">
        <v>21</v>
      </c>
      <c r="F211" s="38" t="s">
        <v>189</v>
      </c>
      <c r="G211" s="38" t="s">
        <v>163</v>
      </c>
      <c r="H211" s="38" t="s">
        <v>16</v>
      </c>
    </row>
    <row r="212" spans="2:8" s="13" customFormat="1">
      <c r="B212" s="4">
        <v>199</v>
      </c>
      <c r="C212" s="99" t="s">
        <v>321</v>
      </c>
      <c r="D212" s="99" t="s">
        <v>15</v>
      </c>
      <c r="E212" s="38">
        <v>21</v>
      </c>
      <c r="F212" s="38" t="s">
        <v>189</v>
      </c>
      <c r="G212" s="38" t="s">
        <v>163</v>
      </c>
      <c r="H212" s="38" t="s">
        <v>16</v>
      </c>
    </row>
    <row r="213" spans="2:8" s="13" customFormat="1">
      <c r="B213" s="4">
        <v>200</v>
      </c>
      <c r="C213" s="99" t="s">
        <v>322</v>
      </c>
      <c r="D213" s="99" t="s">
        <v>15</v>
      </c>
      <c r="E213" s="38">
        <v>21</v>
      </c>
      <c r="F213" s="38" t="s">
        <v>189</v>
      </c>
      <c r="G213" s="38" t="s">
        <v>163</v>
      </c>
      <c r="H213" s="38" t="s">
        <v>16</v>
      </c>
    </row>
    <row r="214" spans="2:8" s="13" customFormat="1">
      <c r="B214" s="4">
        <v>201</v>
      </c>
      <c r="C214" s="99" t="s">
        <v>323</v>
      </c>
      <c r="D214" s="99" t="s">
        <v>15</v>
      </c>
      <c r="E214" s="38">
        <v>21</v>
      </c>
      <c r="F214" s="38" t="s">
        <v>189</v>
      </c>
      <c r="G214" s="38" t="s">
        <v>163</v>
      </c>
      <c r="H214" s="38" t="s">
        <v>16</v>
      </c>
    </row>
    <row r="215" spans="2:8" s="13" customFormat="1">
      <c r="B215" s="4">
        <v>202</v>
      </c>
      <c r="C215" s="99" t="s">
        <v>324</v>
      </c>
      <c r="D215" s="99" t="s">
        <v>15</v>
      </c>
      <c r="E215" s="38">
        <v>21</v>
      </c>
      <c r="F215" s="38" t="s">
        <v>189</v>
      </c>
      <c r="G215" s="38" t="s">
        <v>163</v>
      </c>
      <c r="H215" s="38" t="s">
        <v>16</v>
      </c>
    </row>
    <row r="216" spans="2:8" s="13" customFormat="1">
      <c r="B216" s="4">
        <v>203</v>
      </c>
      <c r="C216" s="99" t="s">
        <v>325</v>
      </c>
      <c r="D216" s="99" t="s">
        <v>15</v>
      </c>
      <c r="E216" s="38">
        <v>21</v>
      </c>
      <c r="F216" s="38" t="s">
        <v>189</v>
      </c>
      <c r="G216" s="38" t="s">
        <v>163</v>
      </c>
      <c r="H216" s="38" t="s">
        <v>16</v>
      </c>
    </row>
    <row r="217" spans="2:8" s="13" customFormat="1">
      <c r="B217" s="4">
        <v>204</v>
      </c>
      <c r="C217" s="99" t="s">
        <v>326</v>
      </c>
      <c r="D217" s="99" t="s">
        <v>15</v>
      </c>
      <c r="E217" s="38">
        <v>21</v>
      </c>
      <c r="F217" s="38" t="s">
        <v>189</v>
      </c>
      <c r="G217" s="38" t="s">
        <v>163</v>
      </c>
      <c r="H217" s="38" t="s">
        <v>16</v>
      </c>
    </row>
    <row r="218" spans="2:8" s="13" customFormat="1">
      <c r="B218" s="4">
        <v>205</v>
      </c>
      <c r="C218" s="103" t="s">
        <v>327</v>
      </c>
      <c r="D218" s="99" t="s">
        <v>208</v>
      </c>
      <c r="E218" s="38">
        <v>24</v>
      </c>
      <c r="F218" s="38" t="s">
        <v>345</v>
      </c>
      <c r="G218" s="38" t="s">
        <v>17</v>
      </c>
      <c r="H218" s="38" t="s">
        <v>16</v>
      </c>
    </row>
    <row r="219" spans="2:8" s="13" customFormat="1">
      <c r="B219" s="4">
        <v>206</v>
      </c>
      <c r="C219" s="99" t="s">
        <v>328</v>
      </c>
      <c r="D219" s="99" t="s">
        <v>114</v>
      </c>
      <c r="E219" s="38">
        <v>24</v>
      </c>
      <c r="F219" s="38" t="s">
        <v>345</v>
      </c>
      <c r="G219" s="38" t="s">
        <v>17</v>
      </c>
      <c r="H219" s="38" t="s">
        <v>292</v>
      </c>
    </row>
    <row r="220" spans="2:8" s="13" customFormat="1">
      <c r="B220" s="4">
        <v>207</v>
      </c>
      <c r="C220" s="99" t="s">
        <v>329</v>
      </c>
      <c r="D220" s="99" t="s">
        <v>126</v>
      </c>
      <c r="E220" s="38">
        <v>23</v>
      </c>
      <c r="F220" s="38" t="s">
        <v>345</v>
      </c>
      <c r="G220" s="38" t="s">
        <v>17</v>
      </c>
      <c r="H220" s="38" t="s">
        <v>292</v>
      </c>
    </row>
    <row r="221" spans="2:8" s="13" customFormat="1">
      <c r="B221" s="4">
        <v>208</v>
      </c>
      <c r="C221" s="103" t="s">
        <v>330</v>
      </c>
      <c r="D221" s="99" t="s">
        <v>126</v>
      </c>
      <c r="E221" s="38">
        <v>23</v>
      </c>
      <c r="F221" s="38" t="s">
        <v>345</v>
      </c>
      <c r="G221" s="38" t="s">
        <v>17</v>
      </c>
      <c r="H221" s="38" t="s">
        <v>292</v>
      </c>
    </row>
    <row r="222" spans="2:8" s="13" customFormat="1">
      <c r="B222" s="4">
        <v>209</v>
      </c>
      <c r="C222" s="103" t="s">
        <v>331</v>
      </c>
      <c r="D222" s="99" t="s">
        <v>132</v>
      </c>
      <c r="E222" s="38">
        <v>23</v>
      </c>
      <c r="F222" s="38" t="s">
        <v>345</v>
      </c>
      <c r="G222" s="38" t="s">
        <v>17</v>
      </c>
      <c r="H222" s="38" t="s">
        <v>16</v>
      </c>
    </row>
    <row r="223" spans="2:8" s="13" customFormat="1">
      <c r="B223" s="4">
        <v>210</v>
      </c>
      <c r="C223" s="103" t="s">
        <v>332</v>
      </c>
      <c r="D223" s="99" t="s">
        <v>132</v>
      </c>
      <c r="E223" s="38">
        <v>23</v>
      </c>
      <c r="F223" s="38" t="s">
        <v>345</v>
      </c>
      <c r="G223" s="38" t="s">
        <v>17</v>
      </c>
      <c r="H223" s="38" t="s">
        <v>16</v>
      </c>
    </row>
    <row r="224" spans="2:8" s="13" customFormat="1">
      <c r="B224" s="4">
        <v>211</v>
      </c>
      <c r="C224" s="103" t="s">
        <v>333</v>
      </c>
      <c r="D224" s="99" t="s">
        <v>132</v>
      </c>
      <c r="E224" s="38">
        <v>23</v>
      </c>
      <c r="F224" s="38" t="s">
        <v>345</v>
      </c>
      <c r="G224" s="38" t="s">
        <v>17</v>
      </c>
      <c r="H224" s="38" t="s">
        <v>16</v>
      </c>
    </row>
    <row r="225" spans="2:8" s="13" customFormat="1">
      <c r="B225" s="4">
        <v>212</v>
      </c>
      <c r="C225" s="99" t="s">
        <v>334</v>
      </c>
      <c r="D225" s="99" t="s">
        <v>132</v>
      </c>
      <c r="E225" s="38">
        <v>23</v>
      </c>
      <c r="F225" s="38" t="s">
        <v>345</v>
      </c>
      <c r="G225" s="38" t="s">
        <v>17</v>
      </c>
      <c r="H225" s="38" t="s">
        <v>16</v>
      </c>
    </row>
    <row r="226" spans="2:8" s="13" customFormat="1">
      <c r="B226" s="4">
        <v>213</v>
      </c>
      <c r="C226" s="103" t="s">
        <v>335</v>
      </c>
      <c r="D226" s="99" t="s">
        <v>132</v>
      </c>
      <c r="E226" s="38">
        <v>23</v>
      </c>
      <c r="F226" s="38" t="s">
        <v>345</v>
      </c>
      <c r="G226" s="38" t="s">
        <v>17</v>
      </c>
      <c r="H226" s="38" t="s">
        <v>16</v>
      </c>
    </row>
    <row r="227" spans="2:8" s="13" customFormat="1">
      <c r="B227" s="4">
        <v>214</v>
      </c>
      <c r="C227" s="103" t="s">
        <v>336</v>
      </c>
      <c r="D227" s="99" t="s">
        <v>132</v>
      </c>
      <c r="E227" s="38">
        <v>23</v>
      </c>
      <c r="F227" s="38" t="s">
        <v>345</v>
      </c>
      <c r="G227" s="38" t="s">
        <v>17</v>
      </c>
      <c r="H227" s="38" t="s">
        <v>16</v>
      </c>
    </row>
    <row r="228" spans="2:8" s="13" customFormat="1">
      <c r="B228" s="4">
        <v>215</v>
      </c>
      <c r="C228" s="103" t="s">
        <v>337</v>
      </c>
      <c r="D228" s="99" t="s">
        <v>132</v>
      </c>
      <c r="E228" s="38">
        <v>23</v>
      </c>
      <c r="F228" s="38" t="s">
        <v>345</v>
      </c>
      <c r="G228" s="38" t="s">
        <v>17</v>
      </c>
      <c r="H228" s="38" t="s">
        <v>16</v>
      </c>
    </row>
    <row r="229" spans="2:8" s="13" customFormat="1">
      <c r="B229" s="4">
        <v>216</v>
      </c>
      <c r="C229" s="103" t="s">
        <v>338</v>
      </c>
      <c r="D229" s="99" t="s">
        <v>132</v>
      </c>
      <c r="E229" s="38">
        <v>23</v>
      </c>
      <c r="F229" s="38" t="s">
        <v>345</v>
      </c>
      <c r="G229" s="38" t="s">
        <v>17</v>
      </c>
      <c r="H229" s="38" t="s">
        <v>16</v>
      </c>
    </row>
    <row r="230" spans="2:8" s="13" customFormat="1">
      <c r="B230" s="4">
        <v>217</v>
      </c>
      <c r="C230" s="99" t="s">
        <v>339</v>
      </c>
      <c r="D230" s="99" t="s">
        <v>15</v>
      </c>
      <c r="E230" s="38">
        <v>21</v>
      </c>
      <c r="F230" s="38" t="s">
        <v>345</v>
      </c>
      <c r="G230" s="38" t="s">
        <v>163</v>
      </c>
      <c r="H230" s="38" t="s">
        <v>16</v>
      </c>
    </row>
    <row r="231" spans="2:8" s="13" customFormat="1">
      <c r="B231" s="4">
        <v>218</v>
      </c>
      <c r="C231" s="97" t="s">
        <v>340</v>
      </c>
      <c r="D231" s="97" t="s">
        <v>15</v>
      </c>
      <c r="E231" s="38">
        <v>21</v>
      </c>
      <c r="F231" s="38" t="s">
        <v>345</v>
      </c>
      <c r="G231" s="38" t="s">
        <v>163</v>
      </c>
      <c r="H231" s="38" t="s">
        <v>16</v>
      </c>
    </row>
    <row r="232" spans="2:8" s="13" customFormat="1">
      <c r="B232" s="4">
        <v>219</v>
      </c>
      <c r="C232" s="97" t="s">
        <v>341</v>
      </c>
      <c r="D232" s="97" t="s">
        <v>15</v>
      </c>
      <c r="E232" s="38">
        <v>21</v>
      </c>
      <c r="F232" s="38" t="s">
        <v>345</v>
      </c>
      <c r="G232" s="38" t="s">
        <v>163</v>
      </c>
      <c r="H232" s="38" t="s">
        <v>16</v>
      </c>
    </row>
    <row r="233" spans="2:8" s="13" customFormat="1">
      <c r="B233" s="4">
        <v>220</v>
      </c>
      <c r="C233" s="97" t="s">
        <v>342</v>
      </c>
      <c r="D233" s="97" t="s">
        <v>15</v>
      </c>
      <c r="E233" s="38">
        <v>21</v>
      </c>
      <c r="F233" s="38" t="s">
        <v>345</v>
      </c>
      <c r="G233" s="38" t="s">
        <v>163</v>
      </c>
      <c r="H233" s="38" t="s">
        <v>16</v>
      </c>
    </row>
    <row r="234" spans="2:8" s="13" customFormat="1">
      <c r="B234" s="4">
        <v>221</v>
      </c>
      <c r="C234" s="98" t="s">
        <v>343</v>
      </c>
      <c r="D234" s="97" t="s">
        <v>344</v>
      </c>
      <c r="E234" s="38">
        <v>7</v>
      </c>
      <c r="F234" s="38" t="s">
        <v>345</v>
      </c>
      <c r="G234" s="38" t="s">
        <v>17</v>
      </c>
      <c r="H234" s="38" t="s">
        <v>16</v>
      </c>
    </row>
    <row r="235" spans="2:8" s="13" customFormat="1">
      <c r="B235" s="4">
        <v>222</v>
      </c>
      <c r="C235" s="103" t="s">
        <v>346</v>
      </c>
      <c r="D235" s="99" t="s">
        <v>108</v>
      </c>
      <c r="E235" s="38">
        <v>25</v>
      </c>
      <c r="F235" s="38" t="s">
        <v>364</v>
      </c>
      <c r="G235" s="38" t="s">
        <v>17</v>
      </c>
      <c r="H235" s="38" t="s">
        <v>292</v>
      </c>
    </row>
    <row r="236" spans="2:8" s="13" customFormat="1">
      <c r="B236" s="4">
        <v>223</v>
      </c>
      <c r="C236" s="99" t="s">
        <v>347</v>
      </c>
      <c r="D236" s="99" t="s">
        <v>110</v>
      </c>
      <c r="E236" s="38">
        <v>25</v>
      </c>
      <c r="F236" s="38" t="s">
        <v>364</v>
      </c>
      <c r="G236" s="38" t="s">
        <v>17</v>
      </c>
      <c r="H236" s="38" t="s">
        <v>292</v>
      </c>
    </row>
    <row r="237" spans="2:8" s="13" customFormat="1">
      <c r="B237" s="4">
        <v>224</v>
      </c>
      <c r="C237" s="103" t="s">
        <v>348</v>
      </c>
      <c r="D237" s="99" t="s">
        <v>114</v>
      </c>
      <c r="E237" s="38">
        <v>24</v>
      </c>
      <c r="F237" s="38" t="s">
        <v>364</v>
      </c>
      <c r="G237" s="38" t="s">
        <v>17</v>
      </c>
      <c r="H237" s="38" t="s">
        <v>292</v>
      </c>
    </row>
    <row r="238" spans="2:8" s="13" customFormat="1">
      <c r="B238" s="4">
        <v>225</v>
      </c>
      <c r="C238" s="99" t="s">
        <v>349</v>
      </c>
      <c r="D238" s="99" t="s">
        <v>114</v>
      </c>
      <c r="E238" s="38">
        <v>24</v>
      </c>
      <c r="F238" s="38" t="s">
        <v>364</v>
      </c>
      <c r="G238" s="38" t="s">
        <v>17</v>
      </c>
      <c r="H238" s="38" t="s">
        <v>292</v>
      </c>
    </row>
    <row r="239" spans="2:8" s="13" customFormat="1">
      <c r="B239" s="4">
        <v>226</v>
      </c>
      <c r="C239" s="99" t="s">
        <v>350</v>
      </c>
      <c r="D239" s="99" t="s">
        <v>114</v>
      </c>
      <c r="E239" s="38">
        <v>24</v>
      </c>
      <c r="F239" s="38" t="s">
        <v>364</v>
      </c>
      <c r="G239" s="38" t="s">
        <v>17</v>
      </c>
      <c r="H239" s="38" t="s">
        <v>292</v>
      </c>
    </row>
    <row r="240" spans="2:8" s="13" customFormat="1">
      <c r="B240" s="4">
        <v>227</v>
      </c>
      <c r="C240" s="97" t="s">
        <v>351</v>
      </c>
      <c r="D240" s="97" t="s">
        <v>114</v>
      </c>
      <c r="E240" s="38">
        <v>24</v>
      </c>
      <c r="F240" s="38" t="s">
        <v>364</v>
      </c>
      <c r="G240" s="38" t="s">
        <v>17</v>
      </c>
      <c r="H240" s="38" t="s">
        <v>292</v>
      </c>
    </row>
    <row r="241" spans="2:8" s="13" customFormat="1">
      <c r="B241" s="4">
        <v>228</v>
      </c>
      <c r="C241" s="99" t="s">
        <v>352</v>
      </c>
      <c r="D241" s="97" t="s">
        <v>114</v>
      </c>
      <c r="E241" s="38">
        <v>24</v>
      </c>
      <c r="F241" s="38" t="s">
        <v>364</v>
      </c>
      <c r="G241" s="38" t="s">
        <v>17</v>
      </c>
      <c r="H241" s="38" t="s">
        <v>292</v>
      </c>
    </row>
    <row r="242" spans="2:8" s="13" customFormat="1">
      <c r="B242" s="4">
        <v>229</v>
      </c>
      <c r="C242" s="99" t="s">
        <v>353</v>
      </c>
      <c r="D242" s="99" t="s">
        <v>126</v>
      </c>
      <c r="E242" s="38">
        <v>23</v>
      </c>
      <c r="F242" s="38" t="s">
        <v>364</v>
      </c>
      <c r="G242" s="38" t="s">
        <v>17</v>
      </c>
      <c r="H242" s="38" t="s">
        <v>292</v>
      </c>
    </row>
    <row r="243" spans="2:8" s="13" customFormat="1">
      <c r="B243" s="4">
        <v>230</v>
      </c>
      <c r="C243" s="103" t="s">
        <v>354</v>
      </c>
      <c r="D243" s="99" t="s">
        <v>132</v>
      </c>
      <c r="E243" s="38">
        <v>23</v>
      </c>
      <c r="F243" s="38" t="s">
        <v>364</v>
      </c>
      <c r="G243" s="38" t="s">
        <v>17</v>
      </c>
      <c r="H243" s="38" t="s">
        <v>16</v>
      </c>
    </row>
    <row r="244" spans="2:8" s="13" customFormat="1">
      <c r="B244" s="4">
        <v>231</v>
      </c>
      <c r="C244" s="99" t="s">
        <v>355</v>
      </c>
      <c r="D244" s="99" t="s">
        <v>132</v>
      </c>
      <c r="E244" s="38">
        <v>23</v>
      </c>
      <c r="F244" s="38" t="s">
        <v>364</v>
      </c>
      <c r="G244" s="38" t="s">
        <v>17</v>
      </c>
      <c r="H244" s="38" t="s">
        <v>16</v>
      </c>
    </row>
    <row r="245" spans="2:8" s="13" customFormat="1">
      <c r="B245" s="4">
        <v>232</v>
      </c>
      <c r="C245" s="103" t="s">
        <v>356</v>
      </c>
      <c r="D245" s="99" t="s">
        <v>132</v>
      </c>
      <c r="E245" s="38">
        <v>23</v>
      </c>
      <c r="F245" s="38" t="s">
        <v>364</v>
      </c>
      <c r="G245" s="38" t="s">
        <v>163</v>
      </c>
      <c r="H245" s="38" t="s">
        <v>16</v>
      </c>
    </row>
    <row r="246" spans="2:8" s="13" customFormat="1">
      <c r="B246" s="4">
        <v>233</v>
      </c>
      <c r="C246" s="103" t="s">
        <v>357</v>
      </c>
      <c r="D246" s="99" t="s">
        <v>132</v>
      </c>
      <c r="E246" s="38">
        <v>23</v>
      </c>
      <c r="F246" s="38" t="s">
        <v>364</v>
      </c>
      <c r="G246" s="38" t="s">
        <v>163</v>
      </c>
      <c r="H246" s="38" t="s">
        <v>16</v>
      </c>
    </row>
    <row r="247" spans="2:8" s="13" customFormat="1">
      <c r="B247" s="4">
        <v>234</v>
      </c>
      <c r="C247" s="103" t="s">
        <v>358</v>
      </c>
      <c r="D247" s="99" t="s">
        <v>15</v>
      </c>
      <c r="E247" s="38">
        <v>21</v>
      </c>
      <c r="F247" s="38" t="s">
        <v>364</v>
      </c>
      <c r="G247" s="38" t="s">
        <v>163</v>
      </c>
      <c r="H247" s="38" t="s">
        <v>16</v>
      </c>
    </row>
    <row r="248" spans="2:8" s="13" customFormat="1">
      <c r="B248" s="4">
        <v>235</v>
      </c>
      <c r="C248" s="103" t="s">
        <v>359</v>
      </c>
      <c r="D248" s="99" t="s">
        <v>15</v>
      </c>
      <c r="E248" s="38">
        <v>21</v>
      </c>
      <c r="F248" s="38" t="s">
        <v>364</v>
      </c>
      <c r="G248" s="38" t="s">
        <v>163</v>
      </c>
      <c r="H248" s="38" t="s">
        <v>16</v>
      </c>
    </row>
    <row r="249" spans="2:8" s="13" customFormat="1">
      <c r="B249" s="4">
        <v>236</v>
      </c>
      <c r="C249" s="99" t="s">
        <v>360</v>
      </c>
      <c r="D249" s="99" t="s">
        <v>15</v>
      </c>
      <c r="E249" s="38">
        <v>21</v>
      </c>
      <c r="F249" s="38" t="s">
        <v>364</v>
      </c>
      <c r="G249" s="38" t="s">
        <v>163</v>
      </c>
      <c r="H249" s="38" t="s">
        <v>16</v>
      </c>
    </row>
    <row r="250" spans="2:8" s="13" customFormat="1">
      <c r="B250" s="4">
        <v>237</v>
      </c>
      <c r="C250" s="99" t="s">
        <v>361</v>
      </c>
      <c r="D250" s="99" t="s">
        <v>15</v>
      </c>
      <c r="E250" s="38">
        <v>21</v>
      </c>
      <c r="F250" s="38" t="s">
        <v>364</v>
      </c>
      <c r="G250" s="38" t="s">
        <v>163</v>
      </c>
      <c r="H250" s="38" t="s">
        <v>16</v>
      </c>
    </row>
    <row r="251" spans="2:8" s="13" customFormat="1">
      <c r="B251" s="4">
        <v>238</v>
      </c>
      <c r="C251" s="103" t="s">
        <v>362</v>
      </c>
      <c r="D251" s="99" t="s">
        <v>363</v>
      </c>
      <c r="E251" s="38">
        <v>24</v>
      </c>
      <c r="F251" s="38" t="s">
        <v>364</v>
      </c>
      <c r="G251" s="38" t="s">
        <v>365</v>
      </c>
      <c r="H251" s="38" t="s">
        <v>292</v>
      </c>
    </row>
    <row r="252" spans="2:8" s="13" customFormat="1">
      <c r="B252" s="4">
        <v>239</v>
      </c>
      <c r="C252" s="103" t="s">
        <v>366</v>
      </c>
      <c r="D252" s="99" t="s">
        <v>367</v>
      </c>
      <c r="E252" s="38">
        <v>25</v>
      </c>
      <c r="F252" s="38" t="s">
        <v>164</v>
      </c>
      <c r="G252" s="38" t="s">
        <v>17</v>
      </c>
      <c r="H252" s="38" t="s">
        <v>16</v>
      </c>
    </row>
    <row r="253" spans="2:8" s="13" customFormat="1">
      <c r="B253" s="4">
        <v>240</v>
      </c>
      <c r="C253" s="103" t="s">
        <v>368</v>
      </c>
      <c r="D253" s="99" t="s">
        <v>112</v>
      </c>
      <c r="E253" s="38">
        <v>24</v>
      </c>
      <c r="F253" s="38" t="s">
        <v>410</v>
      </c>
      <c r="G253" s="38" t="s">
        <v>17</v>
      </c>
      <c r="H253" s="38" t="s">
        <v>16</v>
      </c>
    </row>
    <row r="254" spans="2:8" s="13" customFormat="1">
      <c r="B254" s="4">
        <v>241</v>
      </c>
      <c r="C254" s="99" t="s">
        <v>369</v>
      </c>
      <c r="D254" s="99" t="s">
        <v>110</v>
      </c>
      <c r="E254" s="38">
        <v>25</v>
      </c>
      <c r="F254" s="38" t="s">
        <v>410</v>
      </c>
      <c r="G254" s="38" t="s">
        <v>17</v>
      </c>
      <c r="H254" s="38" t="s">
        <v>292</v>
      </c>
    </row>
    <row r="255" spans="2:8" s="13" customFormat="1">
      <c r="B255" s="4">
        <v>242</v>
      </c>
      <c r="C255" s="103" t="s">
        <v>370</v>
      </c>
      <c r="D255" s="99" t="s">
        <v>114</v>
      </c>
      <c r="E255" s="38">
        <v>24</v>
      </c>
      <c r="F255" s="38" t="s">
        <v>410</v>
      </c>
      <c r="G255" s="38" t="s">
        <v>17</v>
      </c>
      <c r="H255" s="38" t="s">
        <v>292</v>
      </c>
    </row>
    <row r="256" spans="2:8" s="13" customFormat="1">
      <c r="B256" s="4">
        <v>243</v>
      </c>
      <c r="C256" s="99" t="s">
        <v>371</v>
      </c>
      <c r="D256" s="99" t="s">
        <v>114</v>
      </c>
      <c r="E256" s="38">
        <v>24</v>
      </c>
      <c r="F256" s="38" t="s">
        <v>410</v>
      </c>
      <c r="G256" s="38" t="s">
        <v>17</v>
      </c>
      <c r="H256" s="38" t="s">
        <v>292</v>
      </c>
    </row>
    <row r="257" spans="2:8" s="13" customFormat="1">
      <c r="B257" s="4">
        <v>244</v>
      </c>
      <c r="C257" s="103" t="s">
        <v>372</v>
      </c>
      <c r="D257" s="99" t="s">
        <v>114</v>
      </c>
      <c r="E257" s="38">
        <v>24</v>
      </c>
      <c r="F257" s="38" t="s">
        <v>410</v>
      </c>
      <c r="G257" s="38" t="s">
        <v>17</v>
      </c>
      <c r="H257" s="38" t="s">
        <v>292</v>
      </c>
    </row>
    <row r="258" spans="2:8" s="13" customFormat="1">
      <c r="B258" s="4">
        <v>245</v>
      </c>
      <c r="C258" s="103" t="s">
        <v>373</v>
      </c>
      <c r="D258" s="99" t="s">
        <v>114</v>
      </c>
      <c r="E258" s="38">
        <v>24</v>
      </c>
      <c r="F258" s="38" t="s">
        <v>410</v>
      </c>
      <c r="G258" s="38" t="s">
        <v>17</v>
      </c>
      <c r="H258" s="38" t="s">
        <v>292</v>
      </c>
    </row>
    <row r="259" spans="2:8" s="13" customFormat="1">
      <c r="B259" s="4">
        <v>246</v>
      </c>
      <c r="C259" s="103" t="s">
        <v>374</v>
      </c>
      <c r="D259" s="99" t="s">
        <v>114</v>
      </c>
      <c r="E259" s="38">
        <v>24</v>
      </c>
      <c r="F259" s="38" t="s">
        <v>410</v>
      </c>
      <c r="G259" s="38" t="s">
        <v>17</v>
      </c>
      <c r="H259" s="38" t="s">
        <v>292</v>
      </c>
    </row>
    <row r="260" spans="2:8" s="13" customFormat="1">
      <c r="B260" s="4">
        <v>247</v>
      </c>
      <c r="C260" s="103" t="s">
        <v>375</v>
      </c>
      <c r="D260" s="99" t="s">
        <v>114</v>
      </c>
      <c r="E260" s="38">
        <v>24</v>
      </c>
      <c r="F260" s="38" t="s">
        <v>410</v>
      </c>
      <c r="G260" s="38" t="s">
        <v>17</v>
      </c>
      <c r="H260" s="38" t="s">
        <v>292</v>
      </c>
    </row>
    <row r="261" spans="2:8" s="13" customFormat="1">
      <c r="B261" s="4">
        <v>248</v>
      </c>
      <c r="C261" s="99" t="s">
        <v>376</v>
      </c>
      <c r="D261" s="99" t="s">
        <v>114</v>
      </c>
      <c r="E261" s="38">
        <v>24</v>
      </c>
      <c r="F261" s="38" t="s">
        <v>410</v>
      </c>
      <c r="G261" s="38" t="s">
        <v>17</v>
      </c>
      <c r="H261" s="38" t="s">
        <v>292</v>
      </c>
    </row>
    <row r="262" spans="2:8" s="13" customFormat="1">
      <c r="B262" s="4">
        <v>249</v>
      </c>
      <c r="C262" s="99" t="s">
        <v>377</v>
      </c>
      <c r="D262" s="99" t="s">
        <v>114</v>
      </c>
      <c r="E262" s="38">
        <v>24</v>
      </c>
      <c r="F262" s="38" t="s">
        <v>410</v>
      </c>
      <c r="G262" s="38" t="s">
        <v>17</v>
      </c>
      <c r="H262" s="38" t="s">
        <v>292</v>
      </c>
    </row>
    <row r="263" spans="2:8" s="13" customFormat="1">
      <c r="B263" s="4">
        <v>250</v>
      </c>
      <c r="C263" s="99" t="s">
        <v>378</v>
      </c>
      <c r="D263" s="99" t="s">
        <v>126</v>
      </c>
      <c r="E263" s="38">
        <v>23</v>
      </c>
      <c r="F263" s="38" t="s">
        <v>410</v>
      </c>
      <c r="G263" s="38" t="s">
        <v>17</v>
      </c>
      <c r="H263" s="38" t="s">
        <v>292</v>
      </c>
    </row>
    <row r="264" spans="2:8" s="13" customFormat="1">
      <c r="B264" s="4">
        <v>251</v>
      </c>
      <c r="C264" s="99" t="s">
        <v>379</v>
      </c>
      <c r="D264" s="99" t="s">
        <v>126</v>
      </c>
      <c r="E264" s="38">
        <v>23</v>
      </c>
      <c r="F264" s="38" t="s">
        <v>410</v>
      </c>
      <c r="G264" s="38" t="s">
        <v>17</v>
      </c>
      <c r="H264" s="38" t="s">
        <v>292</v>
      </c>
    </row>
    <row r="265" spans="2:8" s="13" customFormat="1">
      <c r="B265" s="4">
        <v>252</v>
      </c>
      <c r="C265" s="99" t="s">
        <v>380</v>
      </c>
      <c r="D265" s="99" t="s">
        <v>126</v>
      </c>
      <c r="E265" s="38">
        <v>23</v>
      </c>
      <c r="F265" s="38" t="s">
        <v>410</v>
      </c>
      <c r="G265" s="38" t="s">
        <v>17</v>
      </c>
      <c r="H265" s="38" t="s">
        <v>292</v>
      </c>
    </row>
    <row r="266" spans="2:8" s="13" customFormat="1">
      <c r="B266" s="4">
        <v>253</v>
      </c>
      <c r="C266" s="99" t="s">
        <v>381</v>
      </c>
      <c r="D266" s="99" t="s">
        <v>126</v>
      </c>
      <c r="E266" s="38">
        <v>23</v>
      </c>
      <c r="F266" s="38" t="s">
        <v>410</v>
      </c>
      <c r="G266" s="38" t="s">
        <v>17</v>
      </c>
      <c r="H266" s="38" t="s">
        <v>292</v>
      </c>
    </row>
    <row r="267" spans="2:8" s="13" customFormat="1">
      <c r="B267" s="4">
        <v>254</v>
      </c>
      <c r="C267" s="103" t="s">
        <v>382</v>
      </c>
      <c r="D267" s="99" t="s">
        <v>132</v>
      </c>
      <c r="E267" s="38">
        <v>23</v>
      </c>
      <c r="F267" s="38" t="s">
        <v>410</v>
      </c>
      <c r="G267" s="38" t="s">
        <v>17</v>
      </c>
      <c r="H267" s="38" t="s">
        <v>16</v>
      </c>
    </row>
    <row r="268" spans="2:8" s="13" customFormat="1">
      <c r="B268" s="4">
        <v>255</v>
      </c>
      <c r="C268" s="99" t="s">
        <v>383</v>
      </c>
      <c r="D268" s="99" t="s">
        <v>132</v>
      </c>
      <c r="E268" s="38">
        <v>23</v>
      </c>
      <c r="F268" s="38" t="s">
        <v>410</v>
      </c>
      <c r="G268" s="38" t="s">
        <v>17</v>
      </c>
      <c r="H268" s="38" t="s">
        <v>16</v>
      </c>
    </row>
    <row r="269" spans="2:8" s="13" customFormat="1">
      <c r="B269" s="4">
        <v>256</v>
      </c>
      <c r="C269" s="103" t="s">
        <v>384</v>
      </c>
      <c r="D269" s="99" t="s">
        <v>132</v>
      </c>
      <c r="E269" s="38">
        <v>23</v>
      </c>
      <c r="F269" s="38" t="s">
        <v>410</v>
      </c>
      <c r="G269" s="38" t="s">
        <v>17</v>
      </c>
      <c r="H269" s="38" t="s">
        <v>16</v>
      </c>
    </row>
    <row r="270" spans="2:8" s="13" customFormat="1">
      <c r="B270" s="4">
        <v>257</v>
      </c>
      <c r="C270" s="103" t="s">
        <v>385</v>
      </c>
      <c r="D270" s="99" t="s">
        <v>132</v>
      </c>
      <c r="E270" s="38">
        <v>23</v>
      </c>
      <c r="F270" s="38" t="s">
        <v>410</v>
      </c>
      <c r="G270" s="38" t="s">
        <v>17</v>
      </c>
      <c r="H270" s="38" t="s">
        <v>16</v>
      </c>
    </row>
    <row r="271" spans="2:8" s="13" customFormat="1">
      <c r="B271" s="4">
        <v>258</v>
      </c>
      <c r="C271" s="99" t="s">
        <v>386</v>
      </c>
      <c r="D271" s="99" t="s">
        <v>132</v>
      </c>
      <c r="E271" s="38">
        <v>23</v>
      </c>
      <c r="F271" s="38" t="s">
        <v>410</v>
      </c>
      <c r="G271" s="38" t="s">
        <v>17</v>
      </c>
      <c r="H271" s="38" t="s">
        <v>16</v>
      </c>
    </row>
    <row r="272" spans="2:8" s="13" customFormat="1">
      <c r="B272" s="4">
        <v>259</v>
      </c>
      <c r="C272" s="103" t="s">
        <v>387</v>
      </c>
      <c r="D272" s="99" t="s">
        <v>132</v>
      </c>
      <c r="E272" s="38">
        <v>23</v>
      </c>
      <c r="F272" s="38" t="s">
        <v>410</v>
      </c>
      <c r="G272" s="38" t="s">
        <v>17</v>
      </c>
      <c r="H272" s="38" t="s">
        <v>16</v>
      </c>
    </row>
    <row r="273" spans="2:8" s="13" customFormat="1">
      <c r="B273" s="4">
        <v>260</v>
      </c>
      <c r="C273" s="103" t="s">
        <v>388</v>
      </c>
      <c r="D273" s="99" t="s">
        <v>132</v>
      </c>
      <c r="E273" s="38">
        <v>23</v>
      </c>
      <c r="F273" s="38" t="s">
        <v>410</v>
      </c>
      <c r="G273" s="38" t="s">
        <v>17</v>
      </c>
      <c r="H273" s="38" t="s">
        <v>16</v>
      </c>
    </row>
    <row r="274" spans="2:8" s="13" customFormat="1">
      <c r="B274" s="4">
        <v>261</v>
      </c>
      <c r="C274" s="103" t="s">
        <v>389</v>
      </c>
      <c r="D274" s="99" t="s">
        <v>132</v>
      </c>
      <c r="E274" s="38">
        <v>23</v>
      </c>
      <c r="F274" s="38" t="s">
        <v>410</v>
      </c>
      <c r="G274" s="38" t="s">
        <v>17</v>
      </c>
      <c r="H274" s="38" t="s">
        <v>16</v>
      </c>
    </row>
    <row r="275" spans="2:8" s="13" customFormat="1">
      <c r="B275" s="4">
        <v>262</v>
      </c>
      <c r="C275" s="103" t="s">
        <v>390</v>
      </c>
      <c r="D275" s="99" t="s">
        <v>15</v>
      </c>
      <c r="E275" s="38">
        <v>21</v>
      </c>
      <c r="F275" s="38" t="s">
        <v>410</v>
      </c>
      <c r="G275" s="38" t="s">
        <v>163</v>
      </c>
      <c r="H275" s="38" t="s">
        <v>16</v>
      </c>
    </row>
    <row r="276" spans="2:8" s="13" customFormat="1">
      <c r="B276" s="4">
        <v>263</v>
      </c>
      <c r="C276" s="103" t="s">
        <v>391</v>
      </c>
      <c r="D276" s="99" t="s">
        <v>15</v>
      </c>
      <c r="E276" s="38">
        <v>21</v>
      </c>
      <c r="F276" s="38" t="s">
        <v>410</v>
      </c>
      <c r="G276" s="38" t="s">
        <v>163</v>
      </c>
      <c r="H276" s="38" t="s">
        <v>16</v>
      </c>
    </row>
    <row r="277" spans="2:8" s="13" customFormat="1">
      <c r="B277" s="4">
        <v>264</v>
      </c>
      <c r="C277" s="103" t="s">
        <v>392</v>
      </c>
      <c r="D277" s="99" t="s">
        <v>15</v>
      </c>
      <c r="E277" s="38">
        <v>21</v>
      </c>
      <c r="F277" s="38" t="s">
        <v>410</v>
      </c>
      <c r="G277" s="38" t="s">
        <v>163</v>
      </c>
      <c r="H277" s="38" t="s">
        <v>16</v>
      </c>
    </row>
    <row r="278" spans="2:8" s="13" customFormat="1">
      <c r="B278" s="4">
        <v>265</v>
      </c>
      <c r="C278" s="103" t="s">
        <v>393</v>
      </c>
      <c r="D278" s="99" t="s">
        <v>15</v>
      </c>
      <c r="E278" s="38">
        <v>21</v>
      </c>
      <c r="F278" s="38" t="s">
        <v>410</v>
      </c>
      <c r="G278" s="38" t="s">
        <v>163</v>
      </c>
      <c r="H278" s="38" t="s">
        <v>16</v>
      </c>
    </row>
    <row r="279" spans="2:8" s="13" customFormat="1">
      <c r="B279" s="4">
        <v>266</v>
      </c>
      <c r="C279" s="99" t="s">
        <v>394</v>
      </c>
      <c r="D279" s="99" t="s">
        <v>15</v>
      </c>
      <c r="E279" s="38">
        <v>21</v>
      </c>
      <c r="F279" s="38" t="s">
        <v>410</v>
      </c>
      <c r="G279" s="38" t="s">
        <v>163</v>
      </c>
      <c r="H279" s="38" t="s">
        <v>16</v>
      </c>
    </row>
    <row r="280" spans="2:8" s="13" customFormat="1">
      <c r="B280" s="4">
        <v>267</v>
      </c>
      <c r="C280" s="99" t="s">
        <v>395</v>
      </c>
      <c r="D280" s="99" t="s">
        <v>15</v>
      </c>
      <c r="E280" s="38">
        <v>21</v>
      </c>
      <c r="F280" s="38" t="s">
        <v>410</v>
      </c>
      <c r="G280" s="38" t="s">
        <v>163</v>
      </c>
      <c r="H280" s="38" t="s">
        <v>16</v>
      </c>
    </row>
    <row r="281" spans="2:8" s="13" customFormat="1">
      <c r="B281" s="4">
        <v>268</v>
      </c>
      <c r="C281" s="99" t="s">
        <v>396</v>
      </c>
      <c r="D281" s="99" t="s">
        <v>15</v>
      </c>
      <c r="E281" s="38">
        <v>21</v>
      </c>
      <c r="F281" s="38" t="s">
        <v>410</v>
      </c>
      <c r="G281" s="38" t="s">
        <v>163</v>
      </c>
      <c r="H281" s="38" t="s">
        <v>16</v>
      </c>
    </row>
    <row r="282" spans="2:8" s="13" customFormat="1">
      <c r="B282" s="4">
        <v>269</v>
      </c>
      <c r="C282" s="99" t="s">
        <v>397</v>
      </c>
      <c r="D282" s="99" t="s">
        <v>15</v>
      </c>
      <c r="E282" s="38">
        <v>21</v>
      </c>
      <c r="F282" s="38" t="s">
        <v>410</v>
      </c>
      <c r="G282" s="38" t="s">
        <v>163</v>
      </c>
      <c r="H282" s="38" t="s">
        <v>16</v>
      </c>
    </row>
    <row r="283" spans="2:8" s="13" customFormat="1">
      <c r="B283" s="4">
        <v>270</v>
      </c>
      <c r="C283" s="99" t="s">
        <v>398</v>
      </c>
      <c r="D283" s="99" t="s">
        <v>15</v>
      </c>
      <c r="E283" s="38">
        <v>21</v>
      </c>
      <c r="F283" s="38" t="s">
        <v>410</v>
      </c>
      <c r="G283" s="38" t="s">
        <v>163</v>
      </c>
      <c r="H283" s="38" t="s">
        <v>16</v>
      </c>
    </row>
    <row r="284" spans="2:8" s="13" customFormat="1">
      <c r="B284" s="4">
        <v>271</v>
      </c>
      <c r="C284" s="99" t="s">
        <v>399</v>
      </c>
      <c r="D284" s="99" t="s">
        <v>15</v>
      </c>
      <c r="E284" s="38">
        <v>21</v>
      </c>
      <c r="F284" s="38" t="s">
        <v>410</v>
      </c>
      <c r="G284" s="38" t="s">
        <v>163</v>
      </c>
      <c r="H284" s="38" t="s">
        <v>16</v>
      </c>
    </row>
    <row r="285" spans="2:8" s="13" customFormat="1">
      <c r="B285" s="4">
        <v>272</v>
      </c>
      <c r="C285" s="99" t="s">
        <v>400</v>
      </c>
      <c r="D285" s="99" t="s">
        <v>15</v>
      </c>
      <c r="E285" s="38">
        <v>21</v>
      </c>
      <c r="F285" s="38" t="s">
        <v>410</v>
      </c>
      <c r="G285" s="38" t="s">
        <v>163</v>
      </c>
      <c r="H285" s="38" t="s">
        <v>16</v>
      </c>
    </row>
    <row r="286" spans="2:8" s="13" customFormat="1">
      <c r="B286" s="4">
        <v>273</v>
      </c>
      <c r="C286" s="99" t="s">
        <v>401</v>
      </c>
      <c r="D286" s="99" t="s">
        <v>15</v>
      </c>
      <c r="E286" s="38">
        <v>21</v>
      </c>
      <c r="F286" s="38" t="s">
        <v>410</v>
      </c>
      <c r="G286" s="38" t="s">
        <v>163</v>
      </c>
      <c r="H286" s="38" t="s">
        <v>16</v>
      </c>
    </row>
    <row r="287" spans="2:8" s="13" customFormat="1">
      <c r="B287" s="4">
        <v>274</v>
      </c>
      <c r="C287" s="99" t="s">
        <v>402</v>
      </c>
      <c r="D287" s="99" t="s">
        <v>15</v>
      </c>
      <c r="E287" s="38">
        <v>21</v>
      </c>
      <c r="F287" s="38" t="s">
        <v>410</v>
      </c>
      <c r="G287" s="38" t="s">
        <v>163</v>
      </c>
      <c r="H287" s="38" t="s">
        <v>16</v>
      </c>
    </row>
    <row r="288" spans="2:8" s="13" customFormat="1">
      <c r="B288" s="4">
        <v>275</v>
      </c>
      <c r="C288" s="99" t="s">
        <v>403</v>
      </c>
      <c r="D288" s="97" t="s">
        <v>15</v>
      </c>
      <c r="E288" s="38">
        <v>21</v>
      </c>
      <c r="F288" s="38" t="s">
        <v>410</v>
      </c>
      <c r="G288" s="38" t="s">
        <v>163</v>
      </c>
      <c r="H288" s="38" t="s">
        <v>16</v>
      </c>
    </row>
    <row r="289" spans="2:8" s="13" customFormat="1">
      <c r="B289" s="4">
        <v>276</v>
      </c>
      <c r="C289" s="99" t="s">
        <v>404</v>
      </c>
      <c r="D289" s="97" t="s">
        <v>15</v>
      </c>
      <c r="E289" s="38">
        <v>21</v>
      </c>
      <c r="F289" s="38" t="s">
        <v>410</v>
      </c>
      <c r="G289" s="38" t="s">
        <v>163</v>
      </c>
      <c r="H289" s="38" t="s">
        <v>16</v>
      </c>
    </row>
    <row r="290" spans="2:8" s="13" customFormat="1">
      <c r="B290" s="4">
        <v>277</v>
      </c>
      <c r="C290" s="99" t="s">
        <v>405</v>
      </c>
      <c r="D290" s="97" t="s">
        <v>15</v>
      </c>
      <c r="E290" s="38">
        <v>21</v>
      </c>
      <c r="F290" s="38" t="s">
        <v>410</v>
      </c>
      <c r="G290" s="38" t="s">
        <v>163</v>
      </c>
      <c r="H290" s="38" t="s">
        <v>16</v>
      </c>
    </row>
    <row r="291" spans="2:8" s="13" customFormat="1">
      <c r="B291" s="4">
        <v>278</v>
      </c>
      <c r="C291" s="99" t="s">
        <v>406</v>
      </c>
      <c r="D291" s="97" t="s">
        <v>15</v>
      </c>
      <c r="E291" s="38">
        <v>21</v>
      </c>
      <c r="F291" s="38" t="s">
        <v>410</v>
      </c>
      <c r="G291" s="38" t="s">
        <v>163</v>
      </c>
      <c r="H291" s="38" t="s">
        <v>16</v>
      </c>
    </row>
    <row r="292" spans="2:8" s="13" customFormat="1">
      <c r="B292" s="4">
        <v>279</v>
      </c>
      <c r="C292" s="99" t="s">
        <v>407</v>
      </c>
      <c r="D292" s="97" t="s">
        <v>15</v>
      </c>
      <c r="E292" s="38">
        <v>21</v>
      </c>
      <c r="F292" s="38" t="s">
        <v>410</v>
      </c>
      <c r="G292" s="38" t="s">
        <v>163</v>
      </c>
      <c r="H292" s="38" t="s">
        <v>16</v>
      </c>
    </row>
    <row r="293" spans="2:8" s="13" customFormat="1">
      <c r="B293" s="4">
        <v>280</v>
      </c>
      <c r="C293" s="99" t="s">
        <v>408</v>
      </c>
      <c r="D293" s="97" t="s">
        <v>15</v>
      </c>
      <c r="E293" s="38">
        <v>21</v>
      </c>
      <c r="F293" s="38" t="s">
        <v>410</v>
      </c>
      <c r="G293" s="38" t="s">
        <v>163</v>
      </c>
      <c r="H293" s="38" t="s">
        <v>16</v>
      </c>
    </row>
    <row r="294" spans="2:8" s="13" customFormat="1">
      <c r="B294" s="4">
        <v>281</v>
      </c>
      <c r="C294" s="103" t="s">
        <v>409</v>
      </c>
      <c r="D294" s="97" t="s">
        <v>159</v>
      </c>
      <c r="E294" s="38">
        <v>7</v>
      </c>
      <c r="F294" s="38" t="s">
        <v>164</v>
      </c>
      <c r="G294" s="38" t="s">
        <v>17</v>
      </c>
      <c r="H294" s="38" t="s">
        <v>16</v>
      </c>
    </row>
    <row r="295" spans="2:8" s="13" customFormat="1">
      <c r="B295" s="4">
        <v>282</v>
      </c>
      <c r="C295" s="103" t="s">
        <v>411</v>
      </c>
      <c r="D295" s="99" t="s">
        <v>108</v>
      </c>
      <c r="E295" s="38">
        <v>25</v>
      </c>
      <c r="F295" s="38" t="s">
        <v>164</v>
      </c>
      <c r="G295" s="38" t="s">
        <v>17</v>
      </c>
      <c r="H295" s="38" t="s">
        <v>292</v>
      </c>
    </row>
    <row r="296" spans="2:8" s="13" customFormat="1">
      <c r="B296" s="4">
        <v>283</v>
      </c>
      <c r="C296" s="103" t="s">
        <v>412</v>
      </c>
      <c r="D296" s="99" t="s">
        <v>114</v>
      </c>
      <c r="E296" s="38">
        <v>24</v>
      </c>
      <c r="F296" s="38" t="s">
        <v>164</v>
      </c>
      <c r="G296" s="38" t="s">
        <v>17</v>
      </c>
      <c r="H296" s="38" t="s">
        <v>292</v>
      </c>
    </row>
    <row r="297" spans="2:8" s="13" customFormat="1">
      <c r="B297" s="4">
        <v>284</v>
      </c>
      <c r="C297" s="103" t="s">
        <v>413</v>
      </c>
      <c r="D297" s="99" t="s">
        <v>114</v>
      </c>
      <c r="E297" s="38">
        <v>24</v>
      </c>
      <c r="F297" s="38" t="s">
        <v>164</v>
      </c>
      <c r="G297" s="38" t="s">
        <v>17</v>
      </c>
      <c r="H297" s="38" t="s">
        <v>292</v>
      </c>
    </row>
    <row r="298" spans="2:8" s="13" customFormat="1">
      <c r="B298" s="4">
        <v>285</v>
      </c>
      <c r="C298" s="97" t="s">
        <v>414</v>
      </c>
      <c r="D298" s="97" t="s">
        <v>114</v>
      </c>
      <c r="E298" s="38">
        <v>24</v>
      </c>
      <c r="F298" s="38" t="s">
        <v>164</v>
      </c>
      <c r="G298" s="38" t="s">
        <v>17</v>
      </c>
      <c r="H298" s="38" t="s">
        <v>292</v>
      </c>
    </row>
    <row r="299" spans="2:8" s="13" customFormat="1">
      <c r="B299" s="4">
        <v>286</v>
      </c>
      <c r="C299" s="103" t="s">
        <v>415</v>
      </c>
      <c r="D299" s="99" t="s">
        <v>132</v>
      </c>
      <c r="E299" s="38">
        <v>23</v>
      </c>
      <c r="F299" s="38" t="s">
        <v>164</v>
      </c>
      <c r="G299" s="38" t="s">
        <v>17</v>
      </c>
      <c r="H299" s="38" t="s">
        <v>16</v>
      </c>
    </row>
    <row r="300" spans="2:8" s="13" customFormat="1">
      <c r="B300" s="4">
        <v>287</v>
      </c>
      <c r="C300" s="99" t="s">
        <v>416</v>
      </c>
      <c r="D300" s="99" t="s">
        <v>132</v>
      </c>
      <c r="E300" s="38">
        <v>23</v>
      </c>
      <c r="F300" s="38" t="s">
        <v>164</v>
      </c>
      <c r="G300" s="38" t="s">
        <v>17</v>
      </c>
      <c r="H300" s="38" t="s">
        <v>16</v>
      </c>
    </row>
    <row r="301" spans="2:8" s="13" customFormat="1">
      <c r="B301" s="4">
        <v>288</v>
      </c>
      <c r="C301" s="103" t="s">
        <v>417</v>
      </c>
      <c r="D301" s="99" t="s">
        <v>15</v>
      </c>
      <c r="E301" s="38">
        <v>21</v>
      </c>
      <c r="F301" s="38" t="s">
        <v>164</v>
      </c>
      <c r="G301" s="38" t="s">
        <v>163</v>
      </c>
      <c r="H301" s="38" t="s">
        <v>16</v>
      </c>
    </row>
    <row r="302" spans="2:8" s="13" customFormat="1">
      <c r="B302" s="4">
        <v>289</v>
      </c>
      <c r="C302" s="103" t="s">
        <v>418</v>
      </c>
      <c r="D302" s="99" t="s">
        <v>15</v>
      </c>
      <c r="E302" s="38">
        <v>21</v>
      </c>
      <c r="F302" s="38" t="s">
        <v>164</v>
      </c>
      <c r="G302" s="38" t="s">
        <v>163</v>
      </c>
      <c r="H302" s="38" t="s">
        <v>16</v>
      </c>
    </row>
    <row r="303" spans="2:8" s="13" customFormat="1">
      <c r="B303" s="4">
        <v>290</v>
      </c>
      <c r="C303" s="103" t="s">
        <v>419</v>
      </c>
      <c r="D303" s="99" t="s">
        <v>15</v>
      </c>
      <c r="E303" s="38">
        <v>21</v>
      </c>
      <c r="F303" s="38" t="s">
        <v>164</v>
      </c>
      <c r="G303" s="38" t="s">
        <v>163</v>
      </c>
      <c r="H303" s="38" t="s">
        <v>16</v>
      </c>
    </row>
    <row r="304" spans="2:8" s="13" customFormat="1">
      <c r="B304" s="4">
        <v>291</v>
      </c>
      <c r="C304" s="103" t="s">
        <v>420</v>
      </c>
      <c r="D304" s="99" t="s">
        <v>15</v>
      </c>
      <c r="E304" s="38">
        <v>21</v>
      </c>
      <c r="F304" s="38" t="s">
        <v>164</v>
      </c>
      <c r="G304" s="38" t="s">
        <v>163</v>
      </c>
      <c r="H304" s="38" t="s">
        <v>16</v>
      </c>
    </row>
    <row r="305" spans="2:8" s="13" customFormat="1">
      <c r="B305" s="4">
        <v>292</v>
      </c>
      <c r="C305" s="103" t="s">
        <v>421</v>
      </c>
      <c r="D305" s="99" t="s">
        <v>15</v>
      </c>
      <c r="E305" s="38">
        <v>21</v>
      </c>
      <c r="F305" s="38" t="s">
        <v>164</v>
      </c>
      <c r="G305" s="38" t="s">
        <v>163</v>
      </c>
      <c r="H305" s="38" t="s">
        <v>16</v>
      </c>
    </row>
    <row r="306" spans="2:8" s="13" customFormat="1">
      <c r="B306" s="4">
        <v>293</v>
      </c>
      <c r="C306" s="103" t="s">
        <v>422</v>
      </c>
      <c r="D306" s="99" t="s">
        <v>15</v>
      </c>
      <c r="E306" s="38">
        <v>21</v>
      </c>
      <c r="F306" s="38" t="s">
        <v>164</v>
      </c>
      <c r="G306" s="38" t="s">
        <v>163</v>
      </c>
      <c r="H306" s="38" t="s">
        <v>16</v>
      </c>
    </row>
    <row r="307" spans="2:8" s="13" customFormat="1">
      <c r="B307" s="4">
        <v>294</v>
      </c>
      <c r="C307" s="103" t="s">
        <v>423</v>
      </c>
      <c r="D307" s="99" t="s">
        <v>15</v>
      </c>
      <c r="E307" s="38">
        <v>21</v>
      </c>
      <c r="F307" s="38" t="s">
        <v>164</v>
      </c>
      <c r="G307" s="38" t="s">
        <v>163</v>
      </c>
      <c r="H307" s="38" t="s">
        <v>16</v>
      </c>
    </row>
    <row r="308" spans="2:8" s="13" customFormat="1">
      <c r="B308" s="4">
        <v>295</v>
      </c>
      <c r="C308" s="103" t="s">
        <v>424</v>
      </c>
      <c r="D308" s="99" t="s">
        <v>15</v>
      </c>
      <c r="E308" s="38">
        <v>21</v>
      </c>
      <c r="F308" s="38" t="s">
        <v>164</v>
      </c>
      <c r="G308" s="38" t="s">
        <v>163</v>
      </c>
      <c r="H308" s="38" t="s">
        <v>16</v>
      </c>
    </row>
    <row r="309" spans="2:8" s="13" customFormat="1">
      <c r="B309" s="4">
        <v>296</v>
      </c>
      <c r="C309" s="99" t="s">
        <v>425</v>
      </c>
      <c r="D309" s="99" t="s">
        <v>159</v>
      </c>
      <c r="E309" s="38">
        <v>7</v>
      </c>
      <c r="F309" s="38" t="s">
        <v>164</v>
      </c>
      <c r="G309" s="38" t="s">
        <v>17</v>
      </c>
      <c r="H309" s="38" t="s">
        <v>16</v>
      </c>
    </row>
    <row r="310" spans="2:8" s="13" customFormat="1">
      <c r="B310" s="4">
        <v>297</v>
      </c>
      <c r="C310" s="103" t="s">
        <v>426</v>
      </c>
      <c r="D310" s="99" t="s">
        <v>427</v>
      </c>
      <c r="E310" s="38">
        <v>10</v>
      </c>
      <c r="F310" s="38" t="s">
        <v>106</v>
      </c>
      <c r="G310" s="38" t="s">
        <v>17</v>
      </c>
      <c r="H310" s="38" t="s">
        <v>16</v>
      </c>
    </row>
    <row r="311" spans="2:8" s="13" customFormat="1">
      <c r="B311" s="4">
        <v>298</v>
      </c>
      <c r="C311" s="103" t="s">
        <v>428</v>
      </c>
      <c r="D311" s="99" t="s">
        <v>159</v>
      </c>
      <c r="E311" s="38">
        <v>7</v>
      </c>
      <c r="F311" s="38" t="s">
        <v>106</v>
      </c>
      <c r="G311" s="38" t="s">
        <v>17</v>
      </c>
      <c r="H311" s="38" t="s">
        <v>16</v>
      </c>
    </row>
    <row r="312" spans="2:8" s="13" customFormat="1">
      <c r="B312" s="4">
        <v>299</v>
      </c>
      <c r="C312" s="103" t="s">
        <v>429</v>
      </c>
      <c r="D312" s="99" t="s">
        <v>430</v>
      </c>
      <c r="E312" s="38">
        <v>3</v>
      </c>
      <c r="F312" s="38" t="s">
        <v>106</v>
      </c>
      <c r="G312" s="38" t="s">
        <v>17</v>
      </c>
      <c r="H312" s="38" t="s">
        <v>16</v>
      </c>
    </row>
    <row r="313" spans="2:8" s="13" customFormat="1">
      <c r="B313" s="4">
        <v>300</v>
      </c>
      <c r="C313" s="104" t="s">
        <v>431</v>
      </c>
      <c r="D313" s="99" t="s">
        <v>432</v>
      </c>
      <c r="E313" s="38">
        <v>23</v>
      </c>
      <c r="F313" s="38" t="s">
        <v>164</v>
      </c>
      <c r="G313" s="38" t="s">
        <v>17</v>
      </c>
      <c r="H313" s="38" t="s">
        <v>292</v>
      </c>
    </row>
    <row r="314" spans="2:8" s="13" customFormat="1">
      <c r="B314" s="4">
        <v>301</v>
      </c>
      <c r="C314" s="99" t="s">
        <v>433</v>
      </c>
      <c r="D314" s="99" t="s">
        <v>432</v>
      </c>
      <c r="E314" s="38">
        <v>23</v>
      </c>
      <c r="F314" s="38" t="s">
        <v>164</v>
      </c>
      <c r="G314" s="38" t="s">
        <v>17</v>
      </c>
      <c r="H314" s="38" t="s">
        <v>292</v>
      </c>
    </row>
    <row r="315" spans="2:8" s="13" customFormat="1">
      <c r="B315" s="4">
        <v>302</v>
      </c>
      <c r="C315" s="103" t="s">
        <v>434</v>
      </c>
      <c r="D315" s="99" t="s">
        <v>435</v>
      </c>
      <c r="E315" s="38">
        <v>26</v>
      </c>
      <c r="F315" s="38" t="s">
        <v>446</v>
      </c>
      <c r="G315" s="38" t="s">
        <v>17</v>
      </c>
      <c r="H315" s="38" t="s">
        <v>16</v>
      </c>
    </row>
    <row r="316" spans="2:8" s="13" customFormat="1">
      <c r="B316" s="4">
        <v>303</v>
      </c>
      <c r="C316" s="103" t="s">
        <v>436</v>
      </c>
      <c r="D316" s="99" t="s">
        <v>159</v>
      </c>
      <c r="E316" s="38">
        <v>7</v>
      </c>
      <c r="F316" s="38" t="s">
        <v>446</v>
      </c>
      <c r="G316" s="38" t="s">
        <v>17</v>
      </c>
      <c r="H316" s="38" t="s">
        <v>16</v>
      </c>
    </row>
    <row r="317" spans="2:8" s="13" customFormat="1">
      <c r="B317" s="4">
        <v>304</v>
      </c>
      <c r="C317" s="103" t="s">
        <v>437</v>
      </c>
      <c r="D317" s="99" t="s">
        <v>438</v>
      </c>
      <c r="E317" s="38">
        <v>10</v>
      </c>
      <c r="F317" s="38" t="s">
        <v>500</v>
      </c>
      <c r="G317" s="38" t="s">
        <v>17</v>
      </c>
      <c r="H317" s="38" t="s">
        <v>16</v>
      </c>
    </row>
    <row r="318" spans="2:8" s="13" customFormat="1">
      <c r="B318" s="4">
        <v>305</v>
      </c>
      <c r="C318" s="103" t="s">
        <v>439</v>
      </c>
      <c r="D318" s="99" t="s">
        <v>438</v>
      </c>
      <c r="E318" s="38">
        <v>10</v>
      </c>
      <c r="F318" s="38" t="s">
        <v>500</v>
      </c>
      <c r="G318" s="38" t="s">
        <v>17</v>
      </c>
      <c r="H318" s="38" t="s">
        <v>16</v>
      </c>
    </row>
    <row r="319" spans="2:8" s="13" customFormat="1">
      <c r="B319" s="4">
        <v>306</v>
      </c>
      <c r="C319" s="99" t="s">
        <v>440</v>
      </c>
      <c r="D319" s="99" t="s">
        <v>438</v>
      </c>
      <c r="E319" s="38">
        <v>10</v>
      </c>
      <c r="F319" s="38" t="s">
        <v>500</v>
      </c>
      <c r="G319" s="38" t="s">
        <v>17</v>
      </c>
      <c r="H319" s="38" t="s">
        <v>16</v>
      </c>
    </row>
    <row r="320" spans="2:8" s="13" customFormat="1">
      <c r="B320" s="4">
        <v>307</v>
      </c>
      <c r="C320" s="103" t="s">
        <v>441</v>
      </c>
      <c r="D320" s="99" t="s">
        <v>438</v>
      </c>
      <c r="E320" s="38">
        <v>10</v>
      </c>
      <c r="F320" s="38" t="s">
        <v>500</v>
      </c>
      <c r="G320" s="38" t="s">
        <v>17</v>
      </c>
      <c r="H320" s="38" t="s">
        <v>16</v>
      </c>
    </row>
    <row r="321" spans="2:8" s="13" customFormat="1">
      <c r="B321" s="4">
        <v>308</v>
      </c>
      <c r="C321" s="103" t="s">
        <v>442</v>
      </c>
      <c r="D321" s="99" t="s">
        <v>438</v>
      </c>
      <c r="E321" s="38">
        <v>10</v>
      </c>
      <c r="F321" s="38" t="s">
        <v>500</v>
      </c>
      <c r="G321" s="38" t="s">
        <v>17</v>
      </c>
      <c r="H321" s="38" t="s">
        <v>16</v>
      </c>
    </row>
    <row r="322" spans="2:8" s="13" customFormat="1">
      <c r="B322" s="4">
        <v>309</v>
      </c>
      <c r="C322" s="103" t="s">
        <v>443</v>
      </c>
      <c r="D322" s="99" t="s">
        <v>438</v>
      </c>
      <c r="E322" s="38">
        <v>10</v>
      </c>
      <c r="F322" s="38" t="s">
        <v>500</v>
      </c>
      <c r="G322" s="38" t="s">
        <v>17</v>
      </c>
      <c r="H322" s="38" t="s">
        <v>16</v>
      </c>
    </row>
    <row r="323" spans="2:8" s="13" customFormat="1">
      <c r="B323" s="4">
        <v>310</v>
      </c>
      <c r="C323" s="103" t="s">
        <v>444</v>
      </c>
      <c r="D323" s="99" t="s">
        <v>438</v>
      </c>
      <c r="E323" s="38">
        <v>10</v>
      </c>
      <c r="F323" s="38" t="s">
        <v>500</v>
      </c>
      <c r="G323" s="38" t="s">
        <v>17</v>
      </c>
      <c r="H323" s="38" t="s">
        <v>16</v>
      </c>
    </row>
    <row r="324" spans="2:8" s="13" customFormat="1">
      <c r="B324" s="4">
        <v>311</v>
      </c>
      <c r="C324" s="103" t="s">
        <v>445</v>
      </c>
      <c r="D324" s="99" t="s">
        <v>438</v>
      </c>
      <c r="E324" s="38">
        <v>10</v>
      </c>
      <c r="F324" s="38" t="s">
        <v>500</v>
      </c>
      <c r="G324" s="38" t="s">
        <v>17</v>
      </c>
      <c r="H324" s="38" t="s">
        <v>16</v>
      </c>
    </row>
    <row r="325" spans="2:8" s="13" customFormat="1">
      <c r="B325" s="4">
        <v>312</v>
      </c>
      <c r="C325" s="103" t="s">
        <v>448</v>
      </c>
      <c r="D325" s="99" t="s">
        <v>449</v>
      </c>
      <c r="E325" s="38">
        <v>14</v>
      </c>
      <c r="F325" s="38" t="s">
        <v>164</v>
      </c>
      <c r="G325" s="38" t="s">
        <v>17</v>
      </c>
      <c r="H325" s="38" t="s">
        <v>16</v>
      </c>
    </row>
    <row r="326" spans="2:8" s="13" customFormat="1">
      <c r="B326" s="4">
        <v>313</v>
      </c>
      <c r="C326" s="99" t="s">
        <v>450</v>
      </c>
      <c r="D326" s="99" t="s">
        <v>451</v>
      </c>
      <c r="E326" s="38">
        <v>22</v>
      </c>
      <c r="F326" s="38" t="s">
        <v>164</v>
      </c>
      <c r="G326" s="38" t="s">
        <v>17</v>
      </c>
      <c r="H326" s="38" t="s">
        <v>16</v>
      </c>
    </row>
    <row r="327" spans="2:8" s="13" customFormat="1">
      <c r="B327" s="4">
        <v>314</v>
      </c>
      <c r="C327" s="103" t="s">
        <v>455</v>
      </c>
      <c r="D327" s="99" t="s">
        <v>452</v>
      </c>
      <c r="E327" s="38">
        <v>8</v>
      </c>
      <c r="F327" s="38" t="s">
        <v>164</v>
      </c>
      <c r="G327" s="38" t="s">
        <v>17</v>
      </c>
      <c r="H327" s="38" t="s">
        <v>16</v>
      </c>
    </row>
    <row r="328" spans="2:8" s="13" customFormat="1">
      <c r="B328" s="4">
        <v>315</v>
      </c>
      <c r="C328" s="99" t="s">
        <v>453</v>
      </c>
      <c r="D328" s="99" t="s">
        <v>454</v>
      </c>
      <c r="E328" s="38">
        <v>8</v>
      </c>
      <c r="F328" s="38" t="s">
        <v>164</v>
      </c>
      <c r="G328" s="38" t="s">
        <v>17</v>
      </c>
      <c r="H328" s="38" t="s">
        <v>16</v>
      </c>
    </row>
    <row r="329" spans="2:8" s="13" customFormat="1">
      <c r="B329" s="4">
        <v>316</v>
      </c>
      <c r="C329" s="99" t="s">
        <v>456</v>
      </c>
      <c r="D329" s="99" t="s">
        <v>457</v>
      </c>
      <c r="E329" s="38">
        <v>15</v>
      </c>
      <c r="F329" s="38" t="s">
        <v>465</v>
      </c>
      <c r="G329" s="38" t="s">
        <v>17</v>
      </c>
      <c r="H329" s="38" t="s">
        <v>16</v>
      </c>
    </row>
    <row r="330" spans="2:8" s="13" customFormat="1">
      <c r="B330" s="4">
        <v>317</v>
      </c>
      <c r="C330" s="103" t="s">
        <v>458</v>
      </c>
      <c r="D330" s="99" t="s">
        <v>459</v>
      </c>
      <c r="E330" s="38">
        <v>17</v>
      </c>
      <c r="F330" s="38" t="s">
        <v>465</v>
      </c>
      <c r="G330" s="38" t="s">
        <v>17</v>
      </c>
      <c r="H330" s="38" t="s">
        <v>16</v>
      </c>
    </row>
    <row r="331" spans="2:8" s="13" customFormat="1">
      <c r="B331" s="4">
        <v>318</v>
      </c>
      <c r="C331" s="103" t="s">
        <v>460</v>
      </c>
      <c r="D331" s="99" t="s">
        <v>457</v>
      </c>
      <c r="E331" s="38">
        <v>15</v>
      </c>
      <c r="F331" s="38" t="s">
        <v>465</v>
      </c>
      <c r="G331" s="38" t="s">
        <v>17</v>
      </c>
      <c r="H331" s="38" t="s">
        <v>16</v>
      </c>
    </row>
    <row r="332" spans="2:8" s="13" customFormat="1">
      <c r="B332" s="4">
        <v>319</v>
      </c>
      <c r="C332" s="103" t="s">
        <v>461</v>
      </c>
      <c r="D332" s="99" t="s">
        <v>457</v>
      </c>
      <c r="E332" s="38">
        <v>15</v>
      </c>
      <c r="F332" s="38" t="s">
        <v>465</v>
      </c>
      <c r="G332" s="38" t="s">
        <v>17</v>
      </c>
      <c r="H332" s="38" t="s">
        <v>16</v>
      </c>
    </row>
    <row r="333" spans="2:8" s="13" customFormat="1">
      <c r="B333" s="4">
        <v>320</v>
      </c>
      <c r="C333" s="103" t="s">
        <v>462</v>
      </c>
      <c r="D333" s="99" t="s">
        <v>365</v>
      </c>
      <c r="E333" s="38">
        <v>7</v>
      </c>
      <c r="F333" s="38" t="s">
        <v>465</v>
      </c>
      <c r="G333" s="38" t="s">
        <v>365</v>
      </c>
      <c r="H333" s="38" t="s">
        <v>16</v>
      </c>
    </row>
    <row r="334" spans="2:8" s="13" customFormat="1">
      <c r="B334" s="4">
        <v>321</v>
      </c>
      <c r="C334" s="103" t="s">
        <v>463</v>
      </c>
      <c r="D334" s="99" t="s">
        <v>365</v>
      </c>
      <c r="E334" s="38">
        <v>7</v>
      </c>
      <c r="F334" s="38" t="s">
        <v>465</v>
      </c>
      <c r="G334" s="38" t="s">
        <v>365</v>
      </c>
      <c r="H334" s="38" t="s">
        <v>16</v>
      </c>
    </row>
    <row r="335" spans="2:8" s="13" customFormat="1">
      <c r="B335" s="4">
        <v>322</v>
      </c>
      <c r="C335" s="103" t="s">
        <v>464</v>
      </c>
      <c r="D335" s="99" t="s">
        <v>365</v>
      </c>
      <c r="E335" s="38">
        <v>7</v>
      </c>
      <c r="F335" s="38" t="s">
        <v>465</v>
      </c>
      <c r="G335" s="38" t="s">
        <v>365</v>
      </c>
      <c r="H335" s="38" t="s">
        <v>16</v>
      </c>
    </row>
    <row r="336" spans="2:8" s="13" customFormat="1">
      <c r="B336" s="4">
        <v>323</v>
      </c>
      <c r="C336" s="103" t="s">
        <v>466</v>
      </c>
      <c r="D336" s="99" t="s">
        <v>467</v>
      </c>
      <c r="E336" s="38">
        <v>24</v>
      </c>
      <c r="F336" s="38" t="s">
        <v>447</v>
      </c>
      <c r="G336" s="38" t="s">
        <v>17</v>
      </c>
      <c r="H336" s="38" t="s">
        <v>16</v>
      </c>
    </row>
    <row r="337" spans="2:8" s="13" customFormat="1">
      <c r="B337" s="4">
        <v>324</v>
      </c>
      <c r="C337" s="103" t="s">
        <v>468</v>
      </c>
      <c r="D337" s="99" t="s">
        <v>469</v>
      </c>
      <c r="E337" s="38">
        <v>20</v>
      </c>
      <c r="F337" s="38" t="s">
        <v>447</v>
      </c>
      <c r="G337" s="38" t="s">
        <v>17</v>
      </c>
      <c r="H337" s="38" t="s">
        <v>16</v>
      </c>
    </row>
    <row r="338" spans="2:8" s="13" customFormat="1">
      <c r="B338" s="4">
        <v>325</v>
      </c>
      <c r="C338" s="103" t="s">
        <v>470</v>
      </c>
      <c r="D338" s="99" t="s">
        <v>469</v>
      </c>
      <c r="E338" s="38">
        <v>20</v>
      </c>
      <c r="F338" s="38" t="s">
        <v>447</v>
      </c>
      <c r="G338" s="38" t="s">
        <v>17</v>
      </c>
      <c r="H338" s="38" t="s">
        <v>16</v>
      </c>
    </row>
    <row r="339" spans="2:8" s="13" customFormat="1">
      <c r="B339" s="4">
        <v>326</v>
      </c>
      <c r="C339" s="103" t="s">
        <v>471</v>
      </c>
      <c r="D339" s="99" t="s">
        <v>472</v>
      </c>
      <c r="E339" s="38">
        <v>17</v>
      </c>
      <c r="F339" s="38" t="s">
        <v>447</v>
      </c>
      <c r="G339" s="38" t="s">
        <v>17</v>
      </c>
      <c r="H339" s="38" t="s">
        <v>16</v>
      </c>
    </row>
    <row r="340" spans="2:8" s="13" customFormat="1">
      <c r="B340" s="4">
        <v>327</v>
      </c>
      <c r="C340" s="103" t="s">
        <v>473</v>
      </c>
      <c r="D340" s="99" t="s">
        <v>472</v>
      </c>
      <c r="E340" s="38">
        <v>17</v>
      </c>
      <c r="F340" s="38" t="s">
        <v>447</v>
      </c>
      <c r="G340" s="38" t="s">
        <v>17</v>
      </c>
      <c r="H340" s="38" t="s">
        <v>16</v>
      </c>
    </row>
    <row r="341" spans="2:8" s="13" customFormat="1">
      <c r="B341" s="4">
        <v>328</v>
      </c>
      <c r="C341" s="103" t="s">
        <v>474</v>
      </c>
      <c r="D341" s="99" t="s">
        <v>475</v>
      </c>
      <c r="E341" s="38">
        <v>4</v>
      </c>
      <c r="F341" s="38" t="s">
        <v>447</v>
      </c>
      <c r="G341" s="38" t="s">
        <v>17</v>
      </c>
      <c r="H341" s="38" t="s">
        <v>16</v>
      </c>
    </row>
    <row r="342" spans="2:8" s="13" customFormat="1">
      <c r="B342" s="4">
        <v>329</v>
      </c>
      <c r="C342" s="103" t="s">
        <v>476</v>
      </c>
      <c r="D342" s="99" t="s">
        <v>475</v>
      </c>
      <c r="E342" s="38">
        <v>4</v>
      </c>
      <c r="F342" s="38" t="s">
        <v>447</v>
      </c>
      <c r="G342" s="38" t="s">
        <v>17</v>
      </c>
      <c r="H342" s="38" t="s">
        <v>16</v>
      </c>
    </row>
    <row r="343" spans="2:8" s="13" customFormat="1">
      <c r="B343" s="4">
        <v>330</v>
      </c>
      <c r="C343" s="103" t="s">
        <v>477</v>
      </c>
      <c r="D343" s="99" t="s">
        <v>114</v>
      </c>
      <c r="E343" s="38">
        <v>24</v>
      </c>
      <c r="F343" s="38" t="s">
        <v>501</v>
      </c>
      <c r="G343" s="38" t="s">
        <v>17</v>
      </c>
      <c r="H343" s="38" t="s">
        <v>292</v>
      </c>
    </row>
    <row r="344" spans="2:8" s="13" customFormat="1">
      <c r="B344" s="4">
        <v>331</v>
      </c>
      <c r="C344" s="103" t="s">
        <v>478</v>
      </c>
      <c r="D344" s="99" t="s">
        <v>126</v>
      </c>
      <c r="E344" s="38">
        <v>23</v>
      </c>
      <c r="F344" s="38" t="s">
        <v>501</v>
      </c>
      <c r="G344" s="38" t="s">
        <v>17</v>
      </c>
      <c r="H344" s="38" t="s">
        <v>292</v>
      </c>
    </row>
    <row r="345" spans="2:8" s="13" customFormat="1">
      <c r="B345" s="4">
        <v>332</v>
      </c>
      <c r="C345" s="103" t="s">
        <v>479</v>
      </c>
      <c r="D345" s="99" t="s">
        <v>126</v>
      </c>
      <c r="E345" s="38">
        <v>23</v>
      </c>
      <c r="F345" s="38" t="s">
        <v>501</v>
      </c>
      <c r="G345" s="38" t="s">
        <v>17</v>
      </c>
      <c r="H345" s="38" t="s">
        <v>292</v>
      </c>
    </row>
    <row r="346" spans="2:8" s="13" customFormat="1">
      <c r="B346" s="4">
        <v>333</v>
      </c>
      <c r="C346" s="97" t="s">
        <v>480</v>
      </c>
      <c r="D346" s="97" t="s">
        <v>481</v>
      </c>
      <c r="E346" s="38">
        <v>18</v>
      </c>
      <c r="F346" s="38" t="s">
        <v>501</v>
      </c>
      <c r="G346" s="38" t="s">
        <v>17</v>
      </c>
      <c r="H346" s="38" t="s">
        <v>16</v>
      </c>
    </row>
    <row r="347" spans="2:8" s="13" customFormat="1">
      <c r="B347" s="4">
        <v>334</v>
      </c>
      <c r="C347" s="103" t="s">
        <v>482</v>
      </c>
      <c r="D347" s="99" t="s">
        <v>483</v>
      </c>
      <c r="E347" s="38">
        <v>15</v>
      </c>
      <c r="F347" s="38" t="s">
        <v>501</v>
      </c>
      <c r="G347" s="38" t="s">
        <v>17</v>
      </c>
      <c r="H347" s="38" t="s">
        <v>16</v>
      </c>
    </row>
    <row r="348" spans="2:8" s="13" customFormat="1">
      <c r="B348" s="4">
        <v>335</v>
      </c>
      <c r="C348" s="103" t="s">
        <v>484</v>
      </c>
      <c r="D348" s="99" t="s">
        <v>483</v>
      </c>
      <c r="E348" s="38">
        <v>15</v>
      </c>
      <c r="F348" s="38" t="s">
        <v>501</v>
      </c>
      <c r="G348" s="38" t="s">
        <v>17</v>
      </c>
      <c r="H348" s="38" t="s">
        <v>16</v>
      </c>
    </row>
    <row r="349" spans="2:8" s="13" customFormat="1">
      <c r="B349" s="4">
        <v>336</v>
      </c>
      <c r="C349" s="97" t="s">
        <v>485</v>
      </c>
      <c r="D349" s="99" t="s">
        <v>486</v>
      </c>
      <c r="E349" s="38">
        <v>11</v>
      </c>
      <c r="F349" s="38" t="s">
        <v>501</v>
      </c>
      <c r="G349" s="38" t="s">
        <v>17</v>
      </c>
      <c r="H349" s="38" t="s">
        <v>16</v>
      </c>
    </row>
    <row r="350" spans="2:8" s="13" customFormat="1">
      <c r="B350" s="4">
        <v>337</v>
      </c>
      <c r="C350" s="97" t="s">
        <v>487</v>
      </c>
      <c r="D350" s="99" t="s">
        <v>486</v>
      </c>
      <c r="E350" s="38">
        <v>11</v>
      </c>
      <c r="F350" s="38" t="s">
        <v>501</v>
      </c>
      <c r="G350" s="38" t="s">
        <v>17</v>
      </c>
      <c r="H350" s="38" t="s">
        <v>16</v>
      </c>
    </row>
    <row r="351" spans="2:8" s="13" customFormat="1">
      <c r="B351" s="4">
        <v>338</v>
      </c>
      <c r="C351" s="97" t="s">
        <v>488</v>
      </c>
      <c r="D351" s="99" t="s">
        <v>486</v>
      </c>
      <c r="E351" s="38">
        <v>11</v>
      </c>
      <c r="F351" s="38" t="s">
        <v>501</v>
      </c>
      <c r="G351" s="38" t="s">
        <v>17</v>
      </c>
      <c r="H351" s="38" t="s">
        <v>16</v>
      </c>
    </row>
    <row r="352" spans="2:8" s="13" customFormat="1">
      <c r="B352" s="4">
        <v>339</v>
      </c>
      <c r="C352" s="97" t="s">
        <v>489</v>
      </c>
      <c r="D352" s="99" t="s">
        <v>486</v>
      </c>
      <c r="E352" s="38">
        <v>11</v>
      </c>
      <c r="F352" s="38" t="s">
        <v>501</v>
      </c>
      <c r="G352" s="38" t="s">
        <v>17</v>
      </c>
      <c r="H352" s="38" t="s">
        <v>16</v>
      </c>
    </row>
    <row r="353" spans="2:8" s="13" customFormat="1">
      <c r="B353" s="4">
        <v>340</v>
      </c>
      <c r="C353" s="99" t="s">
        <v>490</v>
      </c>
      <c r="D353" s="99" t="s">
        <v>486</v>
      </c>
      <c r="E353" s="38">
        <v>11</v>
      </c>
      <c r="F353" s="38" t="s">
        <v>501</v>
      </c>
      <c r="G353" s="38" t="s">
        <v>17</v>
      </c>
      <c r="H353" s="38" t="s">
        <v>16</v>
      </c>
    </row>
    <row r="354" spans="2:8" s="13" customFormat="1">
      <c r="B354" s="4">
        <v>341</v>
      </c>
      <c r="C354" s="103" t="s">
        <v>491</v>
      </c>
      <c r="D354" s="99" t="s">
        <v>486</v>
      </c>
      <c r="E354" s="38">
        <v>11</v>
      </c>
      <c r="F354" s="38" t="s">
        <v>501</v>
      </c>
      <c r="G354" s="38" t="s">
        <v>17</v>
      </c>
      <c r="H354" s="38" t="s">
        <v>16</v>
      </c>
    </row>
    <row r="355" spans="2:8" s="13" customFormat="1">
      <c r="B355" s="4">
        <v>342</v>
      </c>
      <c r="C355" s="103" t="s">
        <v>492</v>
      </c>
      <c r="D355" s="99" t="s">
        <v>486</v>
      </c>
      <c r="E355" s="38">
        <v>11</v>
      </c>
      <c r="F355" s="38" t="s">
        <v>501</v>
      </c>
      <c r="G355" s="38" t="s">
        <v>17</v>
      </c>
      <c r="H355" s="38" t="s">
        <v>16</v>
      </c>
    </row>
    <row r="356" spans="2:8" s="13" customFormat="1">
      <c r="B356" s="4">
        <v>343</v>
      </c>
      <c r="C356" s="103" t="s">
        <v>493</v>
      </c>
      <c r="D356" s="99" t="s">
        <v>494</v>
      </c>
      <c r="E356" s="38">
        <v>6</v>
      </c>
      <c r="F356" s="38" t="s">
        <v>501</v>
      </c>
      <c r="G356" s="38" t="s">
        <v>17</v>
      </c>
      <c r="H356" s="38" t="s">
        <v>16</v>
      </c>
    </row>
    <row r="357" spans="2:8" s="13" customFormat="1">
      <c r="B357" s="4">
        <v>344</v>
      </c>
      <c r="C357" s="103" t="s">
        <v>495</v>
      </c>
      <c r="D357" s="99" t="s">
        <v>494</v>
      </c>
      <c r="E357" s="38">
        <v>6</v>
      </c>
      <c r="F357" s="38" t="s">
        <v>501</v>
      </c>
      <c r="G357" s="38" t="s">
        <v>17</v>
      </c>
      <c r="H357" s="38" t="s">
        <v>16</v>
      </c>
    </row>
    <row r="358" spans="2:8" s="13" customFormat="1">
      <c r="B358" s="4">
        <v>345</v>
      </c>
      <c r="C358" s="103" t="s">
        <v>496</v>
      </c>
      <c r="D358" s="99" t="s">
        <v>494</v>
      </c>
      <c r="E358" s="38">
        <v>6</v>
      </c>
      <c r="F358" s="38" t="s">
        <v>501</v>
      </c>
      <c r="G358" s="38" t="s">
        <v>17</v>
      </c>
      <c r="H358" s="38" t="s">
        <v>16</v>
      </c>
    </row>
    <row r="359" spans="2:8" s="13" customFormat="1">
      <c r="B359" s="4">
        <v>346</v>
      </c>
      <c r="C359" s="103" t="s">
        <v>497</v>
      </c>
      <c r="D359" s="99" t="s">
        <v>494</v>
      </c>
      <c r="E359" s="38">
        <v>6</v>
      </c>
      <c r="F359" s="38" t="s">
        <v>501</v>
      </c>
      <c r="G359" s="38" t="s">
        <v>17</v>
      </c>
      <c r="H359" s="38" t="s">
        <v>16</v>
      </c>
    </row>
    <row r="360" spans="2:8" s="13" customFormat="1">
      <c r="B360" s="4">
        <v>347</v>
      </c>
      <c r="C360" s="103" t="s">
        <v>498</v>
      </c>
      <c r="D360" s="99" t="s">
        <v>494</v>
      </c>
      <c r="E360" s="38">
        <v>6</v>
      </c>
      <c r="F360" s="38" t="s">
        <v>501</v>
      </c>
      <c r="G360" s="38" t="s">
        <v>17</v>
      </c>
      <c r="H360" s="38" t="s">
        <v>16</v>
      </c>
    </row>
    <row r="361" spans="2:8" s="13" customFormat="1">
      <c r="B361" s="4">
        <v>348</v>
      </c>
      <c r="C361" s="103" t="s">
        <v>499</v>
      </c>
      <c r="D361" s="99" t="s">
        <v>494</v>
      </c>
      <c r="E361" s="38">
        <v>6</v>
      </c>
      <c r="F361" s="38" t="s">
        <v>501</v>
      </c>
      <c r="G361" s="38" t="s">
        <v>17</v>
      </c>
      <c r="H361" s="38" t="s">
        <v>16</v>
      </c>
    </row>
    <row r="362" spans="2:8" s="13" customFormat="1">
      <c r="B362" s="4">
        <v>349</v>
      </c>
      <c r="C362" s="97" t="s">
        <v>502</v>
      </c>
      <c r="D362" s="97" t="s">
        <v>132</v>
      </c>
      <c r="E362" s="38">
        <v>23</v>
      </c>
      <c r="F362" s="38" t="s">
        <v>164</v>
      </c>
      <c r="G362" s="38" t="s">
        <v>17</v>
      </c>
      <c r="H362" s="38" t="s">
        <v>16</v>
      </c>
    </row>
    <row r="363" spans="2:8" s="13" customFormat="1">
      <c r="B363" s="4">
        <v>350</v>
      </c>
      <c r="C363" s="99" t="s">
        <v>503</v>
      </c>
      <c r="D363" s="99" t="s">
        <v>504</v>
      </c>
      <c r="E363" s="38">
        <v>18</v>
      </c>
      <c r="F363" s="38" t="s">
        <v>164</v>
      </c>
      <c r="G363" s="38" t="s">
        <v>17</v>
      </c>
      <c r="H363" s="38" t="s">
        <v>16</v>
      </c>
    </row>
    <row r="364" spans="2:8" s="13" customFormat="1">
      <c r="B364" s="4">
        <v>351</v>
      </c>
      <c r="C364" s="105" t="s">
        <v>505</v>
      </c>
      <c r="D364" s="105" t="s">
        <v>344</v>
      </c>
      <c r="E364" s="38">
        <v>8</v>
      </c>
      <c r="F364" s="38" t="s">
        <v>164</v>
      </c>
      <c r="G364" s="38" t="s">
        <v>17</v>
      </c>
      <c r="H364" s="38" t="s">
        <v>16</v>
      </c>
    </row>
    <row r="365" spans="2:8" s="13" customFormat="1">
      <c r="B365" s="4">
        <v>352</v>
      </c>
      <c r="C365" s="103" t="s">
        <v>506</v>
      </c>
      <c r="D365" s="99" t="s">
        <v>507</v>
      </c>
      <c r="E365" s="38">
        <v>4</v>
      </c>
      <c r="F365" s="38" t="s">
        <v>164</v>
      </c>
      <c r="G365" s="38" t="s">
        <v>17</v>
      </c>
      <c r="H365" s="38" t="s">
        <v>16</v>
      </c>
    </row>
    <row r="366" spans="2:8" s="13" customFormat="1">
      <c r="B366" s="4">
        <v>353</v>
      </c>
      <c r="C366" s="103" t="s">
        <v>508</v>
      </c>
      <c r="D366" s="99" t="s">
        <v>449</v>
      </c>
      <c r="E366" s="38">
        <v>14</v>
      </c>
      <c r="F366" s="38" t="s">
        <v>520</v>
      </c>
      <c r="G366" s="38" t="s">
        <v>17</v>
      </c>
      <c r="H366" s="38" t="s">
        <v>16</v>
      </c>
    </row>
    <row r="367" spans="2:8" s="13" customFormat="1">
      <c r="B367" s="4">
        <v>354</v>
      </c>
      <c r="C367" s="103" t="s">
        <v>509</v>
      </c>
      <c r="D367" s="99" t="s">
        <v>427</v>
      </c>
      <c r="E367" s="38">
        <v>10</v>
      </c>
      <c r="F367" s="38" t="s">
        <v>520</v>
      </c>
      <c r="G367" s="38" t="s">
        <v>17</v>
      </c>
      <c r="H367" s="38" t="s">
        <v>16</v>
      </c>
    </row>
    <row r="368" spans="2:8" s="13" customFormat="1">
      <c r="B368" s="4">
        <v>355</v>
      </c>
      <c r="C368" s="103" t="s">
        <v>510</v>
      </c>
      <c r="D368" s="99" t="s">
        <v>427</v>
      </c>
      <c r="E368" s="38">
        <v>10</v>
      </c>
      <c r="F368" s="38" t="s">
        <v>520</v>
      </c>
      <c r="G368" s="38" t="s">
        <v>17</v>
      </c>
      <c r="H368" s="38" t="s">
        <v>16</v>
      </c>
    </row>
    <row r="369" spans="2:8" s="13" customFormat="1">
      <c r="B369" s="4">
        <v>356</v>
      </c>
      <c r="C369" s="103" t="s">
        <v>511</v>
      </c>
      <c r="D369" s="99" t="s">
        <v>427</v>
      </c>
      <c r="E369" s="38">
        <v>10</v>
      </c>
      <c r="F369" s="38" t="s">
        <v>520</v>
      </c>
      <c r="G369" s="38" t="s">
        <v>17</v>
      </c>
      <c r="H369" s="38" t="s">
        <v>16</v>
      </c>
    </row>
    <row r="370" spans="2:8" s="13" customFormat="1">
      <c r="B370" s="4">
        <v>357</v>
      </c>
      <c r="C370" s="103" t="s">
        <v>512</v>
      </c>
      <c r="D370" s="99" t="s">
        <v>427</v>
      </c>
      <c r="E370" s="38">
        <v>10</v>
      </c>
      <c r="F370" s="38" t="s">
        <v>520</v>
      </c>
      <c r="G370" s="38" t="s">
        <v>17</v>
      </c>
      <c r="H370" s="38" t="s">
        <v>16</v>
      </c>
    </row>
    <row r="371" spans="2:8" s="13" customFormat="1">
      <c r="B371" s="4">
        <v>358</v>
      </c>
      <c r="C371" s="103" t="s">
        <v>513</v>
      </c>
      <c r="D371" s="99" t="s">
        <v>514</v>
      </c>
      <c r="E371" s="38">
        <v>7</v>
      </c>
      <c r="F371" s="38" t="s">
        <v>520</v>
      </c>
      <c r="G371" s="38" t="s">
        <v>17</v>
      </c>
      <c r="H371" s="38" t="s">
        <v>16</v>
      </c>
    </row>
    <row r="372" spans="2:8" s="13" customFormat="1">
      <c r="B372" s="4">
        <v>359</v>
      </c>
      <c r="C372" s="103" t="s">
        <v>515</v>
      </c>
      <c r="D372" s="99" t="s">
        <v>159</v>
      </c>
      <c r="E372" s="38">
        <v>7</v>
      </c>
      <c r="F372" s="38" t="s">
        <v>520</v>
      </c>
      <c r="G372" s="38" t="s">
        <v>17</v>
      </c>
      <c r="H372" s="38" t="s">
        <v>16</v>
      </c>
    </row>
    <row r="373" spans="2:8" s="13" customFormat="1">
      <c r="B373" s="4">
        <v>360</v>
      </c>
      <c r="C373" s="103" t="s">
        <v>516</v>
      </c>
      <c r="D373" s="99" t="s">
        <v>159</v>
      </c>
      <c r="E373" s="38">
        <v>7</v>
      </c>
      <c r="F373" s="38" t="s">
        <v>520</v>
      </c>
      <c r="G373" s="38" t="s">
        <v>17</v>
      </c>
      <c r="H373" s="38" t="s">
        <v>16</v>
      </c>
    </row>
    <row r="374" spans="2:8" s="13" customFormat="1">
      <c r="B374" s="4">
        <v>361</v>
      </c>
      <c r="C374" s="103" t="s">
        <v>517</v>
      </c>
      <c r="D374" s="99" t="s">
        <v>159</v>
      </c>
      <c r="E374" s="38">
        <v>7</v>
      </c>
      <c r="F374" s="38" t="s">
        <v>520</v>
      </c>
      <c r="G374" s="38" t="s">
        <v>17</v>
      </c>
      <c r="H374" s="38" t="s">
        <v>16</v>
      </c>
    </row>
    <row r="375" spans="2:8" s="13" customFormat="1">
      <c r="B375" s="4">
        <v>362</v>
      </c>
      <c r="C375" s="103" t="s">
        <v>518</v>
      </c>
      <c r="D375" s="99" t="s">
        <v>159</v>
      </c>
      <c r="E375" s="38">
        <v>7</v>
      </c>
      <c r="F375" s="38" t="s">
        <v>520</v>
      </c>
      <c r="G375" s="38" t="s">
        <v>17</v>
      </c>
      <c r="H375" s="38" t="s">
        <v>16</v>
      </c>
    </row>
    <row r="376" spans="2:8" s="13" customFormat="1">
      <c r="B376" s="4">
        <v>363</v>
      </c>
      <c r="C376" s="103" t="s">
        <v>519</v>
      </c>
      <c r="D376" s="99" t="s">
        <v>159</v>
      </c>
      <c r="E376" s="38">
        <v>7</v>
      </c>
      <c r="F376" s="38" t="s">
        <v>520</v>
      </c>
      <c r="G376" s="38" t="s">
        <v>17</v>
      </c>
      <c r="H376" s="38" t="s">
        <v>16</v>
      </c>
    </row>
    <row r="377" spans="2:8" s="13" customFormat="1">
      <c r="B377" s="4">
        <v>364</v>
      </c>
      <c r="C377" s="103" t="s">
        <v>521</v>
      </c>
      <c r="D377" s="99" t="s">
        <v>522</v>
      </c>
      <c r="E377" s="38">
        <v>22</v>
      </c>
      <c r="F377" s="38" t="s">
        <v>520</v>
      </c>
      <c r="G377" s="38" t="s">
        <v>17</v>
      </c>
      <c r="H377" s="38" t="s">
        <v>16</v>
      </c>
    </row>
    <row r="378" spans="2:8" s="13" customFormat="1">
      <c r="B378" s="4">
        <v>365</v>
      </c>
      <c r="C378" s="99" t="s">
        <v>523</v>
      </c>
      <c r="D378" s="99" t="s">
        <v>524</v>
      </c>
      <c r="E378" s="38">
        <v>18</v>
      </c>
      <c r="F378" s="38" t="s">
        <v>520</v>
      </c>
      <c r="G378" s="38" t="s">
        <v>17</v>
      </c>
      <c r="H378" s="38" t="s">
        <v>16</v>
      </c>
    </row>
    <row r="379" spans="2:8" s="13" customFormat="1">
      <c r="B379" s="4">
        <v>366</v>
      </c>
      <c r="C379" s="103" t="s">
        <v>525</v>
      </c>
      <c r="D379" s="99" t="s">
        <v>449</v>
      </c>
      <c r="E379" s="38">
        <v>14</v>
      </c>
      <c r="F379" s="38" t="s">
        <v>520</v>
      </c>
      <c r="G379" s="38" t="s">
        <v>17</v>
      </c>
      <c r="H379" s="38" t="s">
        <v>16</v>
      </c>
    </row>
    <row r="380" spans="2:8" s="13" customFormat="1">
      <c r="B380" s="4">
        <v>367</v>
      </c>
      <c r="C380" s="103" t="s">
        <v>526</v>
      </c>
      <c r="D380" s="99" t="s">
        <v>449</v>
      </c>
      <c r="E380" s="38">
        <v>14</v>
      </c>
      <c r="F380" s="38" t="s">
        <v>520</v>
      </c>
      <c r="G380" s="38" t="s">
        <v>17</v>
      </c>
      <c r="H380" s="38" t="s">
        <v>16</v>
      </c>
    </row>
    <row r="381" spans="2:8" s="13" customFormat="1">
      <c r="B381" s="4">
        <v>368</v>
      </c>
      <c r="C381" s="103" t="s">
        <v>527</v>
      </c>
      <c r="D381" s="99" t="s">
        <v>427</v>
      </c>
      <c r="E381" s="38">
        <v>10</v>
      </c>
      <c r="F381" s="38" t="s">
        <v>520</v>
      </c>
      <c r="G381" s="38" t="s">
        <v>17</v>
      </c>
      <c r="H381" s="38" t="s">
        <v>16</v>
      </c>
    </row>
    <row r="382" spans="2:8" s="13" customFormat="1">
      <c r="B382" s="4">
        <v>369</v>
      </c>
      <c r="C382" s="103" t="s">
        <v>528</v>
      </c>
      <c r="D382" s="99" t="s">
        <v>529</v>
      </c>
      <c r="E382" s="38">
        <v>8</v>
      </c>
      <c r="F382" s="38" t="s">
        <v>520</v>
      </c>
      <c r="G382" s="38" t="s">
        <v>17</v>
      </c>
      <c r="H382" s="38" t="s">
        <v>16</v>
      </c>
    </row>
    <row r="383" spans="2:8" s="13" customFormat="1">
      <c r="B383" s="4">
        <v>370</v>
      </c>
      <c r="C383" s="103" t="s">
        <v>530</v>
      </c>
      <c r="D383" s="99" t="s">
        <v>159</v>
      </c>
      <c r="E383" s="38">
        <v>7</v>
      </c>
      <c r="F383" s="38" t="s">
        <v>520</v>
      </c>
      <c r="G383" s="38" t="s">
        <v>17</v>
      </c>
      <c r="H383" s="38" t="s">
        <v>16</v>
      </c>
    </row>
    <row r="384" spans="2:8" s="13" customFormat="1">
      <c r="B384" s="4">
        <v>371</v>
      </c>
      <c r="C384" s="98" t="s">
        <v>531</v>
      </c>
      <c r="D384" s="97" t="s">
        <v>159</v>
      </c>
      <c r="E384" s="38">
        <v>7</v>
      </c>
      <c r="F384" s="38" t="s">
        <v>520</v>
      </c>
      <c r="G384" s="38" t="s">
        <v>17</v>
      </c>
      <c r="H384" s="38" t="s">
        <v>16</v>
      </c>
    </row>
    <row r="385" spans="2:8" s="13" customFormat="1">
      <c r="B385" s="4">
        <v>372</v>
      </c>
      <c r="C385" s="103" t="s">
        <v>532</v>
      </c>
      <c r="D385" s="99" t="s">
        <v>159</v>
      </c>
      <c r="E385" s="38">
        <v>7</v>
      </c>
      <c r="F385" s="38" t="s">
        <v>520</v>
      </c>
      <c r="G385" s="38" t="s">
        <v>17</v>
      </c>
      <c r="H385" s="38" t="s">
        <v>16</v>
      </c>
    </row>
    <row r="386" spans="2:8" s="13" customFormat="1">
      <c r="B386" s="4">
        <v>373</v>
      </c>
      <c r="C386" s="103" t="s">
        <v>533</v>
      </c>
      <c r="D386" s="99" t="s">
        <v>159</v>
      </c>
      <c r="E386" s="38">
        <v>7</v>
      </c>
      <c r="F386" s="38" t="s">
        <v>520</v>
      </c>
      <c r="G386" s="38" t="s">
        <v>17</v>
      </c>
      <c r="H386" s="38" t="s">
        <v>16</v>
      </c>
    </row>
    <row r="387" spans="2:8" s="13" customFormat="1">
      <c r="B387" s="4">
        <v>374</v>
      </c>
      <c r="C387" s="105" t="s">
        <v>534</v>
      </c>
      <c r="D387" s="105" t="s">
        <v>159</v>
      </c>
      <c r="E387" s="38">
        <v>7</v>
      </c>
      <c r="F387" s="38" t="s">
        <v>520</v>
      </c>
      <c r="G387" s="38" t="s">
        <v>17</v>
      </c>
      <c r="H387" s="38" t="s">
        <v>16</v>
      </c>
    </row>
    <row r="388" spans="2:8" s="13" customFormat="1">
      <c r="B388" s="4">
        <v>375</v>
      </c>
      <c r="C388" s="99" t="s">
        <v>535</v>
      </c>
      <c r="D388" s="99" t="s">
        <v>108</v>
      </c>
      <c r="E388" s="38">
        <v>25</v>
      </c>
      <c r="F388" s="38" t="s">
        <v>364</v>
      </c>
      <c r="G388" s="38" t="s">
        <v>17</v>
      </c>
      <c r="H388" s="38" t="s">
        <v>292</v>
      </c>
    </row>
    <row r="389" spans="2:8" s="13" customFormat="1">
      <c r="B389" s="4">
        <v>376</v>
      </c>
      <c r="C389" s="103" t="s">
        <v>536</v>
      </c>
      <c r="D389" s="99" t="s">
        <v>114</v>
      </c>
      <c r="E389" s="38">
        <v>24</v>
      </c>
      <c r="F389" s="38" t="s">
        <v>364</v>
      </c>
      <c r="G389" s="38" t="s">
        <v>17</v>
      </c>
      <c r="H389" s="38" t="s">
        <v>292</v>
      </c>
    </row>
    <row r="390" spans="2:8" s="13" customFormat="1">
      <c r="B390" s="4">
        <v>377</v>
      </c>
      <c r="C390" s="103" t="s">
        <v>537</v>
      </c>
      <c r="D390" s="99" t="s">
        <v>114</v>
      </c>
      <c r="E390" s="38">
        <v>24</v>
      </c>
      <c r="F390" s="38" t="s">
        <v>364</v>
      </c>
      <c r="G390" s="38" t="s">
        <v>17</v>
      </c>
      <c r="H390" s="38" t="s">
        <v>292</v>
      </c>
    </row>
    <row r="391" spans="2:8" s="13" customFormat="1">
      <c r="B391" s="4">
        <v>378</v>
      </c>
      <c r="C391" s="97" t="s">
        <v>538</v>
      </c>
      <c r="D391" s="97" t="s">
        <v>539</v>
      </c>
      <c r="E391" s="38">
        <v>18</v>
      </c>
      <c r="F391" s="38" t="s">
        <v>364</v>
      </c>
      <c r="G391" s="38" t="s">
        <v>17</v>
      </c>
      <c r="H391" s="38" t="s">
        <v>16</v>
      </c>
    </row>
    <row r="392" spans="2:8" s="13" customFormat="1">
      <c r="B392" s="4">
        <v>379</v>
      </c>
      <c r="C392" s="99" t="s">
        <v>540</v>
      </c>
      <c r="D392" s="99" t="s">
        <v>541</v>
      </c>
      <c r="E392" s="38">
        <v>15</v>
      </c>
      <c r="F392" s="38" t="s">
        <v>364</v>
      </c>
      <c r="G392" s="38" t="s">
        <v>17</v>
      </c>
      <c r="H392" s="38" t="s">
        <v>16</v>
      </c>
    </row>
    <row r="393" spans="2:8" s="13" customFormat="1">
      <c r="B393" s="4">
        <v>380</v>
      </c>
      <c r="C393" s="99" t="s">
        <v>550</v>
      </c>
      <c r="D393" s="99" t="s">
        <v>541</v>
      </c>
      <c r="E393" s="38">
        <v>15</v>
      </c>
      <c r="F393" s="38" t="s">
        <v>364</v>
      </c>
      <c r="G393" s="38" t="s">
        <v>17</v>
      </c>
      <c r="H393" s="38" t="s">
        <v>16</v>
      </c>
    </row>
    <row r="394" spans="2:8" s="13" customFormat="1">
      <c r="B394" s="4">
        <v>381</v>
      </c>
      <c r="C394" s="99" t="s">
        <v>542</v>
      </c>
      <c r="D394" s="99" t="s">
        <v>449</v>
      </c>
      <c r="E394" s="38">
        <v>14</v>
      </c>
      <c r="F394" s="38" t="s">
        <v>364</v>
      </c>
      <c r="G394" s="38" t="s">
        <v>17</v>
      </c>
      <c r="H394" s="38" t="s">
        <v>16</v>
      </c>
    </row>
    <row r="395" spans="2:8" s="13" customFormat="1">
      <c r="B395" s="4">
        <v>382</v>
      </c>
      <c r="C395" s="103" t="s">
        <v>543</v>
      </c>
      <c r="D395" s="99" t="s">
        <v>427</v>
      </c>
      <c r="E395" s="38">
        <v>10</v>
      </c>
      <c r="F395" s="38" t="s">
        <v>364</v>
      </c>
      <c r="G395" s="38" t="s">
        <v>17</v>
      </c>
      <c r="H395" s="38" t="s">
        <v>16</v>
      </c>
    </row>
    <row r="396" spans="2:8" s="13" customFormat="1">
      <c r="B396" s="4">
        <v>383</v>
      </c>
      <c r="C396" s="103" t="s">
        <v>544</v>
      </c>
      <c r="D396" s="99" t="s">
        <v>514</v>
      </c>
      <c r="E396" s="38">
        <v>7</v>
      </c>
      <c r="F396" s="38" t="s">
        <v>364</v>
      </c>
      <c r="G396" s="38" t="s">
        <v>17</v>
      </c>
      <c r="H396" s="38" t="s">
        <v>16</v>
      </c>
    </row>
    <row r="397" spans="2:8" s="13" customFormat="1">
      <c r="B397" s="4">
        <v>384</v>
      </c>
      <c r="C397" s="103" t="s">
        <v>545</v>
      </c>
      <c r="D397" s="99" t="s">
        <v>159</v>
      </c>
      <c r="E397" s="38">
        <v>7</v>
      </c>
      <c r="F397" s="38" t="s">
        <v>364</v>
      </c>
      <c r="G397" s="38" t="s">
        <v>17</v>
      </c>
      <c r="H397" s="38" t="s">
        <v>16</v>
      </c>
    </row>
    <row r="398" spans="2:8" s="13" customFormat="1">
      <c r="B398" s="4">
        <v>385</v>
      </c>
      <c r="C398" s="103" t="s">
        <v>546</v>
      </c>
      <c r="D398" s="97" t="s">
        <v>159</v>
      </c>
      <c r="E398" s="38">
        <v>7</v>
      </c>
      <c r="F398" s="38" t="s">
        <v>364</v>
      </c>
      <c r="G398" s="38" t="s">
        <v>17</v>
      </c>
      <c r="H398" s="38" t="s">
        <v>16</v>
      </c>
    </row>
    <row r="399" spans="2:8" s="13" customFormat="1">
      <c r="B399" s="4">
        <v>386</v>
      </c>
      <c r="C399" s="103" t="s">
        <v>547</v>
      </c>
      <c r="D399" s="99" t="s">
        <v>548</v>
      </c>
      <c r="E399" s="38">
        <v>1</v>
      </c>
      <c r="F399" s="38" t="s">
        <v>364</v>
      </c>
      <c r="G399" s="38" t="s">
        <v>17</v>
      </c>
      <c r="H399" s="38" t="s">
        <v>16</v>
      </c>
    </row>
    <row r="400" spans="2:8" s="13" customFormat="1">
      <c r="B400" s="4">
        <v>387</v>
      </c>
      <c r="C400" s="103" t="s">
        <v>549</v>
      </c>
      <c r="D400" s="106" t="s">
        <v>365</v>
      </c>
      <c r="E400" s="38">
        <v>7</v>
      </c>
      <c r="F400" s="38" t="s">
        <v>364</v>
      </c>
      <c r="G400" s="38" t="s">
        <v>365</v>
      </c>
      <c r="H400" s="38" t="s">
        <v>16</v>
      </c>
    </row>
    <row r="401" spans="2:8" s="13" customFormat="1">
      <c r="B401" s="4">
        <v>388</v>
      </c>
      <c r="C401" s="103" t="s">
        <v>551</v>
      </c>
      <c r="D401" s="99" t="s">
        <v>552</v>
      </c>
      <c r="E401" s="38">
        <v>11</v>
      </c>
      <c r="F401" s="38" t="s">
        <v>164</v>
      </c>
      <c r="G401" s="38" t="s">
        <v>17</v>
      </c>
      <c r="H401" s="38" t="s">
        <v>16</v>
      </c>
    </row>
    <row r="402" spans="2:8" s="13" customFormat="1">
      <c r="B402" s="4">
        <v>389</v>
      </c>
      <c r="C402" s="103" t="s">
        <v>553</v>
      </c>
      <c r="D402" s="99" t="s">
        <v>427</v>
      </c>
      <c r="E402" s="38">
        <v>10</v>
      </c>
      <c r="F402" s="38" t="s">
        <v>164</v>
      </c>
      <c r="G402" s="38" t="s">
        <v>17</v>
      </c>
      <c r="H402" s="38" t="s">
        <v>16</v>
      </c>
    </row>
    <row r="403" spans="2:8" s="13" customFormat="1">
      <c r="B403" s="4">
        <v>390</v>
      </c>
      <c r="C403" s="99" t="s">
        <v>554</v>
      </c>
      <c r="D403" s="99" t="s">
        <v>514</v>
      </c>
      <c r="E403" s="38">
        <v>7</v>
      </c>
      <c r="F403" s="38" t="s">
        <v>164</v>
      </c>
      <c r="G403" s="38" t="s">
        <v>17</v>
      </c>
      <c r="H403" s="38" t="s">
        <v>16</v>
      </c>
    </row>
    <row r="404" spans="2:8" s="13" customFormat="1">
      <c r="B404" s="4">
        <v>391</v>
      </c>
      <c r="C404" s="103" t="s">
        <v>555</v>
      </c>
      <c r="D404" s="99" t="s">
        <v>556</v>
      </c>
      <c r="E404" s="38">
        <v>22</v>
      </c>
      <c r="F404" s="38" t="s">
        <v>578</v>
      </c>
      <c r="G404" s="38" t="s">
        <v>17</v>
      </c>
      <c r="H404" s="38" t="s">
        <v>16</v>
      </c>
    </row>
    <row r="405" spans="2:8" s="13" customFormat="1">
      <c r="B405" s="4">
        <v>392</v>
      </c>
      <c r="C405" s="103" t="s">
        <v>557</v>
      </c>
      <c r="D405" s="99" t="s">
        <v>558</v>
      </c>
      <c r="E405" s="38">
        <v>15</v>
      </c>
      <c r="F405" s="38" t="s">
        <v>578</v>
      </c>
      <c r="G405" s="38" t="s">
        <v>17</v>
      </c>
      <c r="H405" s="38" t="s">
        <v>16</v>
      </c>
    </row>
    <row r="406" spans="2:8" s="13" customFormat="1">
      <c r="B406" s="4">
        <v>393</v>
      </c>
      <c r="C406" s="103" t="s">
        <v>559</v>
      </c>
      <c r="D406" s="99" t="s">
        <v>558</v>
      </c>
      <c r="E406" s="38">
        <v>15</v>
      </c>
      <c r="F406" s="38" t="s">
        <v>578</v>
      </c>
      <c r="G406" s="38" t="s">
        <v>17</v>
      </c>
      <c r="H406" s="38" t="s">
        <v>16</v>
      </c>
    </row>
    <row r="407" spans="2:8" s="13" customFormat="1">
      <c r="B407" s="4">
        <v>394</v>
      </c>
      <c r="C407" s="103" t="s">
        <v>560</v>
      </c>
      <c r="D407" s="99" t="s">
        <v>558</v>
      </c>
      <c r="E407" s="38">
        <v>15</v>
      </c>
      <c r="F407" s="38" t="s">
        <v>578</v>
      </c>
      <c r="G407" s="38" t="s">
        <v>17</v>
      </c>
      <c r="H407" s="38" t="s">
        <v>16</v>
      </c>
    </row>
    <row r="408" spans="2:8" s="13" customFormat="1">
      <c r="B408" s="4">
        <v>395</v>
      </c>
      <c r="C408" s="103" t="s">
        <v>561</v>
      </c>
      <c r="D408" s="99" t="s">
        <v>562</v>
      </c>
      <c r="E408" s="38">
        <v>11</v>
      </c>
      <c r="F408" s="38" t="s">
        <v>578</v>
      </c>
      <c r="G408" s="38" t="s">
        <v>17</v>
      </c>
      <c r="H408" s="38" t="s">
        <v>16</v>
      </c>
    </row>
    <row r="409" spans="2:8" s="13" customFormat="1">
      <c r="B409" s="4">
        <v>396</v>
      </c>
      <c r="C409" s="103" t="s">
        <v>563</v>
      </c>
      <c r="D409" s="99" t="s">
        <v>562</v>
      </c>
      <c r="E409" s="38">
        <v>11</v>
      </c>
      <c r="F409" s="38" t="s">
        <v>578</v>
      </c>
      <c r="G409" s="38" t="s">
        <v>17</v>
      </c>
      <c r="H409" s="38" t="s">
        <v>16</v>
      </c>
    </row>
    <row r="410" spans="2:8" s="13" customFormat="1">
      <c r="B410" s="4">
        <v>397</v>
      </c>
      <c r="C410" s="103" t="s">
        <v>564</v>
      </c>
      <c r="D410" s="99" t="s">
        <v>562</v>
      </c>
      <c r="E410" s="38">
        <v>11</v>
      </c>
      <c r="F410" s="38" t="s">
        <v>578</v>
      </c>
      <c r="G410" s="38" t="s">
        <v>17</v>
      </c>
      <c r="H410" s="38" t="s">
        <v>16</v>
      </c>
    </row>
    <row r="411" spans="2:8" s="13" customFormat="1">
      <c r="B411" s="4">
        <v>398</v>
      </c>
      <c r="C411" s="103" t="s">
        <v>565</v>
      </c>
      <c r="D411" s="99" t="s">
        <v>562</v>
      </c>
      <c r="E411" s="38">
        <v>11</v>
      </c>
      <c r="F411" s="38" t="s">
        <v>578</v>
      </c>
      <c r="G411" s="38" t="s">
        <v>17</v>
      </c>
      <c r="H411" s="38" t="s">
        <v>16</v>
      </c>
    </row>
    <row r="412" spans="2:8" s="13" customFormat="1">
      <c r="B412" s="4">
        <v>399</v>
      </c>
      <c r="C412" s="103" t="s">
        <v>566</v>
      </c>
      <c r="D412" s="99" t="s">
        <v>562</v>
      </c>
      <c r="E412" s="38">
        <v>11</v>
      </c>
      <c r="F412" s="38" t="s">
        <v>578</v>
      </c>
      <c r="G412" s="38" t="s">
        <v>17</v>
      </c>
      <c r="H412" s="38" t="s">
        <v>16</v>
      </c>
    </row>
    <row r="413" spans="2:8" s="13" customFormat="1">
      <c r="B413" s="4">
        <v>400</v>
      </c>
      <c r="C413" s="98" t="s">
        <v>567</v>
      </c>
      <c r="D413" s="97" t="s">
        <v>562</v>
      </c>
      <c r="E413" s="38">
        <v>11</v>
      </c>
      <c r="F413" s="38" t="s">
        <v>578</v>
      </c>
      <c r="G413" s="38" t="s">
        <v>17</v>
      </c>
      <c r="H413" s="38" t="s">
        <v>16</v>
      </c>
    </row>
    <row r="414" spans="2:8" s="13" customFormat="1">
      <c r="B414" s="4">
        <v>401</v>
      </c>
      <c r="C414" s="105" t="s">
        <v>568</v>
      </c>
      <c r="D414" s="105" t="s">
        <v>562</v>
      </c>
      <c r="E414" s="38">
        <v>11</v>
      </c>
      <c r="F414" s="38" t="s">
        <v>578</v>
      </c>
      <c r="G414" s="38" t="s">
        <v>17</v>
      </c>
      <c r="H414" s="38" t="s">
        <v>16</v>
      </c>
    </row>
    <row r="415" spans="2:8" s="13" customFormat="1">
      <c r="B415" s="4">
        <v>402</v>
      </c>
      <c r="C415" s="105" t="s">
        <v>569</v>
      </c>
      <c r="D415" s="105" t="s">
        <v>562</v>
      </c>
      <c r="E415" s="38">
        <v>11</v>
      </c>
      <c r="F415" s="38" t="s">
        <v>578</v>
      </c>
      <c r="G415" s="38" t="s">
        <v>17</v>
      </c>
      <c r="H415" s="38" t="s">
        <v>16</v>
      </c>
    </row>
    <row r="416" spans="2:8" s="13" customFormat="1">
      <c r="B416" s="4">
        <v>403</v>
      </c>
      <c r="C416" s="99" t="s">
        <v>570</v>
      </c>
      <c r="D416" s="99" t="s">
        <v>571</v>
      </c>
      <c r="E416" s="38">
        <v>8</v>
      </c>
      <c r="F416" s="38" t="s">
        <v>578</v>
      </c>
      <c r="G416" s="38" t="s">
        <v>17</v>
      </c>
      <c r="H416" s="38" t="s">
        <v>16</v>
      </c>
    </row>
    <row r="417" spans="2:8" s="13" customFormat="1">
      <c r="B417" s="4">
        <v>404</v>
      </c>
      <c r="C417" s="99" t="s">
        <v>572</v>
      </c>
      <c r="D417" s="99" t="s">
        <v>571</v>
      </c>
      <c r="E417" s="38">
        <v>8</v>
      </c>
      <c r="F417" s="38" t="s">
        <v>578</v>
      </c>
      <c r="G417" s="38" t="s">
        <v>17</v>
      </c>
      <c r="H417" s="38" t="s">
        <v>16</v>
      </c>
    </row>
    <row r="418" spans="2:8" s="13" customFormat="1">
      <c r="B418" s="4">
        <v>405</v>
      </c>
      <c r="C418" s="99" t="s">
        <v>573</v>
      </c>
      <c r="D418" s="99" t="s">
        <v>571</v>
      </c>
      <c r="E418" s="38">
        <v>8</v>
      </c>
      <c r="F418" s="38" t="s">
        <v>578</v>
      </c>
      <c r="G418" s="38" t="s">
        <v>17</v>
      </c>
      <c r="H418" s="38" t="s">
        <v>16</v>
      </c>
    </row>
    <row r="419" spans="2:8" s="13" customFormat="1">
      <c r="B419" s="4">
        <v>406</v>
      </c>
      <c r="C419" s="97" t="s">
        <v>574</v>
      </c>
      <c r="D419" s="98" t="s">
        <v>571</v>
      </c>
      <c r="E419" s="38">
        <v>8</v>
      </c>
      <c r="F419" s="38" t="s">
        <v>578</v>
      </c>
      <c r="G419" s="38" t="s">
        <v>17</v>
      </c>
      <c r="H419" s="38" t="s">
        <v>16</v>
      </c>
    </row>
    <row r="420" spans="2:8" s="13" customFormat="1">
      <c r="B420" s="4">
        <v>407</v>
      </c>
      <c r="C420" s="99" t="s">
        <v>575</v>
      </c>
      <c r="D420" s="99" t="s">
        <v>571</v>
      </c>
      <c r="E420" s="38">
        <v>8</v>
      </c>
      <c r="F420" s="38" t="s">
        <v>578</v>
      </c>
      <c r="G420" s="38" t="s">
        <v>17</v>
      </c>
      <c r="H420" s="38" t="s">
        <v>16</v>
      </c>
    </row>
    <row r="421" spans="2:8" s="13" customFormat="1">
      <c r="B421" s="4">
        <v>408</v>
      </c>
      <c r="C421" s="99" t="s">
        <v>576</v>
      </c>
      <c r="D421" s="99" t="s">
        <v>571</v>
      </c>
      <c r="E421" s="38">
        <v>8</v>
      </c>
      <c r="F421" s="38" t="s">
        <v>578</v>
      </c>
      <c r="G421" s="38" t="s">
        <v>17</v>
      </c>
      <c r="H421" s="38" t="s">
        <v>16</v>
      </c>
    </row>
    <row r="422" spans="2:8" s="13" customFormat="1">
      <c r="B422" s="4">
        <v>409</v>
      </c>
      <c r="C422" s="99" t="s">
        <v>577</v>
      </c>
      <c r="D422" s="99" t="s">
        <v>571</v>
      </c>
      <c r="E422" s="38">
        <v>8</v>
      </c>
      <c r="F422" s="38" t="s">
        <v>578</v>
      </c>
      <c r="G422" s="38" t="s">
        <v>17</v>
      </c>
      <c r="H422" s="38" t="s">
        <v>16</v>
      </c>
    </row>
    <row r="423" spans="2:8" s="13" customFormat="1">
      <c r="B423" s="4">
        <v>410</v>
      </c>
      <c r="C423" s="103" t="s">
        <v>579</v>
      </c>
      <c r="D423" s="99" t="s">
        <v>367</v>
      </c>
      <c r="E423" s="38">
        <v>25</v>
      </c>
      <c r="F423" s="38" t="s">
        <v>668</v>
      </c>
      <c r="G423" s="38" t="s">
        <v>17</v>
      </c>
      <c r="H423" s="38" t="s">
        <v>16</v>
      </c>
    </row>
    <row r="424" spans="2:8" s="13" customFormat="1">
      <c r="B424" s="4">
        <v>411</v>
      </c>
      <c r="C424" s="103" t="s">
        <v>580</v>
      </c>
      <c r="D424" s="99" t="s">
        <v>114</v>
      </c>
      <c r="E424" s="38">
        <v>24</v>
      </c>
      <c r="F424" s="38" t="s">
        <v>668</v>
      </c>
      <c r="G424" s="38" t="s">
        <v>17</v>
      </c>
      <c r="H424" s="38" t="s">
        <v>292</v>
      </c>
    </row>
    <row r="425" spans="2:8" s="13" customFormat="1">
      <c r="B425" s="4">
        <v>412</v>
      </c>
      <c r="C425" s="103" t="s">
        <v>581</v>
      </c>
      <c r="D425" s="99" t="s">
        <v>114</v>
      </c>
      <c r="E425" s="38">
        <v>24</v>
      </c>
      <c r="F425" s="38" t="s">
        <v>668</v>
      </c>
      <c r="G425" s="38" t="s">
        <v>17</v>
      </c>
      <c r="H425" s="38" t="s">
        <v>292</v>
      </c>
    </row>
    <row r="426" spans="2:8" s="13" customFormat="1">
      <c r="B426" s="4">
        <v>413</v>
      </c>
      <c r="C426" s="103" t="s">
        <v>582</v>
      </c>
      <c r="D426" s="99" t="s">
        <v>114</v>
      </c>
      <c r="E426" s="38">
        <v>24</v>
      </c>
      <c r="F426" s="38" t="s">
        <v>668</v>
      </c>
      <c r="G426" s="38" t="s">
        <v>17</v>
      </c>
      <c r="H426" s="38" t="s">
        <v>292</v>
      </c>
    </row>
    <row r="427" spans="2:8" s="13" customFormat="1">
      <c r="B427" s="4">
        <v>414</v>
      </c>
      <c r="C427" s="103" t="s">
        <v>583</v>
      </c>
      <c r="D427" s="99" t="s">
        <v>126</v>
      </c>
      <c r="E427" s="38">
        <v>23</v>
      </c>
      <c r="F427" s="38" t="s">
        <v>668</v>
      </c>
      <c r="G427" s="38" t="s">
        <v>17</v>
      </c>
      <c r="H427" s="38" t="s">
        <v>292</v>
      </c>
    </row>
    <row r="428" spans="2:8" s="13" customFormat="1">
      <c r="B428" s="4">
        <v>415</v>
      </c>
      <c r="C428" s="103" t="s">
        <v>584</v>
      </c>
      <c r="D428" s="99" t="s">
        <v>126</v>
      </c>
      <c r="E428" s="38">
        <v>23</v>
      </c>
      <c r="F428" s="38" t="s">
        <v>668</v>
      </c>
      <c r="G428" s="38" t="s">
        <v>17</v>
      </c>
      <c r="H428" s="38" t="s">
        <v>292</v>
      </c>
    </row>
    <row r="429" spans="2:8" s="13" customFormat="1">
      <c r="B429" s="4">
        <v>416</v>
      </c>
      <c r="C429" s="103" t="s">
        <v>585</v>
      </c>
      <c r="D429" s="99" t="s">
        <v>126</v>
      </c>
      <c r="E429" s="38">
        <v>23</v>
      </c>
      <c r="F429" s="38" t="s">
        <v>668</v>
      </c>
      <c r="G429" s="38" t="s">
        <v>17</v>
      </c>
      <c r="H429" s="38" t="s">
        <v>292</v>
      </c>
    </row>
    <row r="430" spans="2:8" s="13" customFormat="1">
      <c r="B430" s="4">
        <v>417</v>
      </c>
      <c r="C430" s="99" t="s">
        <v>586</v>
      </c>
      <c r="D430" s="99" t="s">
        <v>132</v>
      </c>
      <c r="E430" s="38">
        <v>23</v>
      </c>
      <c r="F430" s="38" t="s">
        <v>668</v>
      </c>
      <c r="G430" s="38" t="s">
        <v>163</v>
      </c>
      <c r="H430" s="38" t="s">
        <v>16</v>
      </c>
    </row>
    <row r="431" spans="2:8" s="13" customFormat="1">
      <c r="B431" s="4">
        <v>418</v>
      </c>
      <c r="C431" s="99" t="s">
        <v>587</v>
      </c>
      <c r="D431" s="99" t="s">
        <v>132</v>
      </c>
      <c r="E431" s="38">
        <v>23</v>
      </c>
      <c r="F431" s="38" t="s">
        <v>668</v>
      </c>
      <c r="G431" s="38" t="s">
        <v>163</v>
      </c>
      <c r="H431" s="38" t="s">
        <v>16</v>
      </c>
    </row>
    <row r="432" spans="2:8" s="13" customFormat="1">
      <c r="B432" s="4">
        <v>419</v>
      </c>
      <c r="C432" s="99" t="s">
        <v>588</v>
      </c>
      <c r="D432" s="99" t="s">
        <v>132</v>
      </c>
      <c r="E432" s="38">
        <v>23</v>
      </c>
      <c r="F432" s="38" t="s">
        <v>668</v>
      </c>
      <c r="G432" s="38" t="s">
        <v>163</v>
      </c>
      <c r="H432" s="38" t="s">
        <v>16</v>
      </c>
    </row>
    <row r="433" spans="2:8" s="13" customFormat="1">
      <c r="B433" s="4">
        <v>420</v>
      </c>
      <c r="C433" s="103" t="s">
        <v>589</v>
      </c>
      <c r="D433" s="99" t="s">
        <v>590</v>
      </c>
      <c r="E433" s="38">
        <v>22</v>
      </c>
      <c r="F433" s="38" t="s">
        <v>668</v>
      </c>
      <c r="G433" s="38" t="s">
        <v>17</v>
      </c>
      <c r="H433" s="38" t="s">
        <v>16</v>
      </c>
    </row>
    <row r="434" spans="2:8" s="13" customFormat="1">
      <c r="B434" s="4">
        <v>421</v>
      </c>
      <c r="C434" s="103" t="s">
        <v>591</v>
      </c>
      <c r="D434" s="99" t="s">
        <v>592</v>
      </c>
      <c r="E434" s="38">
        <v>20</v>
      </c>
      <c r="F434" s="38" t="s">
        <v>668</v>
      </c>
      <c r="G434" s="38" t="s">
        <v>17</v>
      </c>
      <c r="H434" s="38" t="s">
        <v>16</v>
      </c>
    </row>
    <row r="435" spans="2:8" s="13" customFormat="1">
      <c r="B435" s="4">
        <v>422</v>
      </c>
      <c r="C435" s="103" t="s">
        <v>593</v>
      </c>
      <c r="D435" s="99" t="s">
        <v>592</v>
      </c>
      <c r="E435" s="38">
        <v>20</v>
      </c>
      <c r="F435" s="38" t="s">
        <v>668</v>
      </c>
      <c r="G435" s="38" t="s">
        <v>17</v>
      </c>
      <c r="H435" s="38" t="s">
        <v>16</v>
      </c>
    </row>
    <row r="436" spans="2:8" s="13" customFormat="1">
      <c r="B436" s="4">
        <v>423</v>
      </c>
      <c r="C436" s="103" t="s">
        <v>594</v>
      </c>
      <c r="D436" s="99" t="s">
        <v>595</v>
      </c>
      <c r="E436" s="38">
        <v>18</v>
      </c>
      <c r="F436" s="38" t="s">
        <v>668</v>
      </c>
      <c r="G436" s="38" t="s">
        <v>17</v>
      </c>
      <c r="H436" s="38" t="s">
        <v>16</v>
      </c>
    </row>
    <row r="437" spans="2:8" s="13" customFormat="1">
      <c r="B437" s="4">
        <v>424</v>
      </c>
      <c r="C437" s="103" t="s">
        <v>596</v>
      </c>
      <c r="D437" s="99" t="s">
        <v>597</v>
      </c>
      <c r="E437" s="38">
        <v>18</v>
      </c>
      <c r="F437" s="38" t="s">
        <v>668</v>
      </c>
      <c r="G437" s="38" t="s">
        <v>17</v>
      </c>
      <c r="H437" s="38" t="s">
        <v>16</v>
      </c>
    </row>
    <row r="438" spans="2:8" s="13" customFormat="1">
      <c r="B438" s="4">
        <v>425</v>
      </c>
      <c r="C438" s="103" t="s">
        <v>598</v>
      </c>
      <c r="D438" s="99" t="s">
        <v>597</v>
      </c>
      <c r="E438" s="38">
        <v>18</v>
      </c>
      <c r="F438" s="38" t="s">
        <v>668</v>
      </c>
      <c r="G438" s="38" t="s">
        <v>17</v>
      </c>
      <c r="H438" s="38" t="s">
        <v>16</v>
      </c>
    </row>
    <row r="439" spans="2:8" s="13" customFormat="1">
      <c r="B439" s="4">
        <v>426</v>
      </c>
      <c r="C439" s="103" t="s">
        <v>599</v>
      </c>
      <c r="D439" s="99" t="s">
        <v>597</v>
      </c>
      <c r="E439" s="38">
        <v>18</v>
      </c>
      <c r="F439" s="38" t="s">
        <v>668</v>
      </c>
      <c r="G439" s="38" t="s">
        <v>17</v>
      </c>
      <c r="H439" s="38" t="s">
        <v>16</v>
      </c>
    </row>
    <row r="440" spans="2:8" s="13" customFormat="1">
      <c r="B440" s="4">
        <v>427</v>
      </c>
      <c r="C440" s="103" t="s">
        <v>600</v>
      </c>
      <c r="D440" s="99" t="s">
        <v>597</v>
      </c>
      <c r="E440" s="38">
        <v>18</v>
      </c>
      <c r="F440" s="38" t="s">
        <v>668</v>
      </c>
      <c r="G440" s="38" t="s">
        <v>17</v>
      </c>
      <c r="H440" s="38" t="s">
        <v>16</v>
      </c>
    </row>
    <row r="441" spans="2:8" s="13" customFormat="1">
      <c r="B441" s="4">
        <v>428</v>
      </c>
      <c r="C441" s="99" t="s">
        <v>601</v>
      </c>
      <c r="D441" s="99" t="s">
        <v>597</v>
      </c>
      <c r="E441" s="38">
        <v>18</v>
      </c>
      <c r="F441" s="38" t="s">
        <v>668</v>
      </c>
      <c r="G441" s="38" t="s">
        <v>17</v>
      </c>
      <c r="H441" s="38" t="s">
        <v>16</v>
      </c>
    </row>
    <row r="442" spans="2:8" s="13" customFormat="1">
      <c r="B442" s="4">
        <v>429</v>
      </c>
      <c r="C442" s="99" t="s">
        <v>602</v>
      </c>
      <c r="D442" s="99" t="s">
        <v>597</v>
      </c>
      <c r="E442" s="38">
        <v>18</v>
      </c>
      <c r="F442" s="38" t="s">
        <v>668</v>
      </c>
      <c r="G442" s="38" t="s">
        <v>17</v>
      </c>
      <c r="H442" s="38" t="s">
        <v>16</v>
      </c>
    </row>
    <row r="443" spans="2:8" s="13" customFormat="1">
      <c r="B443" s="4">
        <v>430</v>
      </c>
      <c r="C443" s="103" t="s">
        <v>603</v>
      </c>
      <c r="D443" s="99" t="s">
        <v>604</v>
      </c>
      <c r="E443" s="38">
        <v>15</v>
      </c>
      <c r="F443" s="38" t="s">
        <v>668</v>
      </c>
      <c r="G443" s="38" t="s">
        <v>17</v>
      </c>
      <c r="H443" s="38" t="s">
        <v>16</v>
      </c>
    </row>
    <row r="444" spans="2:8" s="13" customFormat="1">
      <c r="B444" s="4">
        <v>431</v>
      </c>
      <c r="C444" s="99" t="s">
        <v>605</v>
      </c>
      <c r="D444" s="99" t="s">
        <v>606</v>
      </c>
      <c r="E444" s="38">
        <v>15</v>
      </c>
      <c r="F444" s="38" t="s">
        <v>668</v>
      </c>
      <c r="G444" s="38" t="s">
        <v>17</v>
      </c>
      <c r="H444" s="38" t="s">
        <v>16</v>
      </c>
    </row>
    <row r="445" spans="2:8" s="13" customFormat="1">
      <c r="B445" s="4">
        <v>432</v>
      </c>
      <c r="C445" s="99" t="s">
        <v>607</v>
      </c>
      <c r="D445" s="99" t="s">
        <v>606</v>
      </c>
      <c r="E445" s="38">
        <v>15</v>
      </c>
      <c r="F445" s="38" t="s">
        <v>668</v>
      </c>
      <c r="G445" s="38" t="s">
        <v>17</v>
      </c>
      <c r="H445" s="38" t="s">
        <v>16</v>
      </c>
    </row>
    <row r="446" spans="2:8" s="13" customFormat="1">
      <c r="B446" s="4">
        <v>433</v>
      </c>
      <c r="C446" s="99" t="s">
        <v>608</v>
      </c>
      <c r="D446" s="99" t="s">
        <v>606</v>
      </c>
      <c r="E446" s="38">
        <v>15</v>
      </c>
      <c r="F446" s="38" t="s">
        <v>668</v>
      </c>
      <c r="G446" s="38" t="s">
        <v>17</v>
      </c>
      <c r="H446" s="38" t="s">
        <v>16</v>
      </c>
    </row>
    <row r="447" spans="2:8" s="13" customFormat="1">
      <c r="B447" s="4">
        <v>434</v>
      </c>
      <c r="C447" s="99" t="s">
        <v>609</v>
      </c>
      <c r="D447" s="99" t="s">
        <v>606</v>
      </c>
      <c r="E447" s="38">
        <v>15</v>
      </c>
      <c r="F447" s="38" t="s">
        <v>668</v>
      </c>
      <c r="G447" s="38" t="s">
        <v>17</v>
      </c>
      <c r="H447" s="38" t="s">
        <v>16</v>
      </c>
    </row>
    <row r="448" spans="2:8" s="13" customFormat="1">
      <c r="B448" s="4">
        <v>435</v>
      </c>
      <c r="C448" s="99" t="s">
        <v>610</v>
      </c>
      <c r="D448" s="99" t="s">
        <v>606</v>
      </c>
      <c r="E448" s="38">
        <v>15</v>
      </c>
      <c r="F448" s="38" t="s">
        <v>668</v>
      </c>
      <c r="G448" s="38" t="s">
        <v>17</v>
      </c>
      <c r="H448" s="38" t="s">
        <v>16</v>
      </c>
    </row>
    <row r="449" spans="2:8" s="13" customFormat="1">
      <c r="B449" s="4">
        <v>436</v>
      </c>
      <c r="C449" s="99" t="s">
        <v>611</v>
      </c>
      <c r="D449" s="99" t="s">
        <v>606</v>
      </c>
      <c r="E449" s="38">
        <v>15</v>
      </c>
      <c r="F449" s="38" t="s">
        <v>668</v>
      </c>
      <c r="G449" s="38" t="s">
        <v>17</v>
      </c>
      <c r="H449" s="38" t="s">
        <v>16</v>
      </c>
    </row>
    <row r="450" spans="2:8" s="13" customFormat="1">
      <c r="B450" s="4">
        <v>437</v>
      </c>
      <c r="C450" s="99" t="s">
        <v>612</v>
      </c>
      <c r="D450" s="99" t="s">
        <v>606</v>
      </c>
      <c r="E450" s="38">
        <v>15</v>
      </c>
      <c r="F450" s="38" t="s">
        <v>668</v>
      </c>
      <c r="G450" s="38" t="s">
        <v>17</v>
      </c>
      <c r="H450" s="38" t="s">
        <v>16</v>
      </c>
    </row>
    <row r="451" spans="2:8" s="13" customFormat="1">
      <c r="B451" s="4">
        <v>438</v>
      </c>
      <c r="C451" s="99" t="s">
        <v>613</v>
      </c>
      <c r="D451" s="99" t="s">
        <v>606</v>
      </c>
      <c r="E451" s="38">
        <v>15</v>
      </c>
      <c r="F451" s="38" t="s">
        <v>668</v>
      </c>
      <c r="G451" s="38" t="s">
        <v>17</v>
      </c>
      <c r="H451" s="38" t="s">
        <v>16</v>
      </c>
    </row>
    <row r="452" spans="2:8" s="13" customFormat="1">
      <c r="B452" s="4">
        <v>439</v>
      </c>
      <c r="C452" s="99" t="s">
        <v>614</v>
      </c>
      <c r="D452" s="99" t="s">
        <v>606</v>
      </c>
      <c r="E452" s="38">
        <v>15</v>
      </c>
      <c r="F452" s="38" t="s">
        <v>668</v>
      </c>
      <c r="G452" s="38" t="s">
        <v>17</v>
      </c>
      <c r="H452" s="38" t="s">
        <v>16</v>
      </c>
    </row>
    <row r="453" spans="2:8" s="13" customFormat="1">
      <c r="B453" s="4">
        <v>440</v>
      </c>
      <c r="C453" s="99" t="s">
        <v>615</v>
      </c>
      <c r="D453" s="99" t="s">
        <v>606</v>
      </c>
      <c r="E453" s="38">
        <v>15</v>
      </c>
      <c r="F453" s="38" t="s">
        <v>668</v>
      </c>
      <c r="G453" s="38" t="s">
        <v>17</v>
      </c>
      <c r="H453" s="38" t="s">
        <v>16</v>
      </c>
    </row>
    <row r="454" spans="2:8" s="13" customFormat="1">
      <c r="B454" s="4">
        <v>441</v>
      </c>
      <c r="C454" s="99" t="s">
        <v>616</v>
      </c>
      <c r="D454" s="99" t="s">
        <v>606</v>
      </c>
      <c r="E454" s="38">
        <v>15</v>
      </c>
      <c r="F454" s="38" t="s">
        <v>668</v>
      </c>
      <c r="G454" s="38" t="s">
        <v>17</v>
      </c>
      <c r="H454" s="38" t="s">
        <v>16</v>
      </c>
    </row>
    <row r="455" spans="2:8" s="13" customFormat="1">
      <c r="B455" s="4">
        <v>442</v>
      </c>
      <c r="C455" s="99" t="s">
        <v>617</v>
      </c>
      <c r="D455" s="99" t="s">
        <v>606</v>
      </c>
      <c r="E455" s="38">
        <v>15</v>
      </c>
      <c r="F455" s="38" t="s">
        <v>668</v>
      </c>
      <c r="G455" s="38" t="s">
        <v>17</v>
      </c>
      <c r="H455" s="38" t="s">
        <v>16</v>
      </c>
    </row>
    <row r="456" spans="2:8" s="13" customFormat="1">
      <c r="B456" s="4">
        <v>443</v>
      </c>
      <c r="C456" s="99" t="s">
        <v>618</v>
      </c>
      <c r="D456" s="99" t="s">
        <v>606</v>
      </c>
      <c r="E456" s="38">
        <v>15</v>
      </c>
      <c r="F456" s="38" t="s">
        <v>668</v>
      </c>
      <c r="G456" s="38" t="s">
        <v>17</v>
      </c>
      <c r="H456" s="38" t="s">
        <v>16</v>
      </c>
    </row>
    <row r="457" spans="2:8" s="13" customFormat="1">
      <c r="B457" s="4">
        <v>444</v>
      </c>
      <c r="C457" s="99" t="s">
        <v>619</v>
      </c>
      <c r="D457" s="99" t="s">
        <v>606</v>
      </c>
      <c r="E457" s="38">
        <v>15</v>
      </c>
      <c r="F457" s="38" t="s">
        <v>668</v>
      </c>
      <c r="G457" s="38" t="s">
        <v>17</v>
      </c>
      <c r="H457" s="38" t="s">
        <v>16</v>
      </c>
    </row>
    <row r="458" spans="2:8" s="13" customFormat="1">
      <c r="B458" s="4">
        <v>445</v>
      </c>
      <c r="C458" s="99" t="s">
        <v>620</v>
      </c>
      <c r="D458" s="99" t="s">
        <v>606</v>
      </c>
      <c r="E458" s="38">
        <v>15</v>
      </c>
      <c r="F458" s="38" t="s">
        <v>668</v>
      </c>
      <c r="G458" s="38" t="s">
        <v>17</v>
      </c>
      <c r="H458" s="38" t="s">
        <v>16</v>
      </c>
    </row>
    <row r="459" spans="2:8" s="13" customFormat="1">
      <c r="B459" s="4">
        <v>446</v>
      </c>
      <c r="C459" s="99" t="s">
        <v>621</v>
      </c>
      <c r="D459" s="99" t="s">
        <v>606</v>
      </c>
      <c r="E459" s="38">
        <v>15</v>
      </c>
      <c r="F459" s="38" t="s">
        <v>668</v>
      </c>
      <c r="G459" s="38" t="s">
        <v>17</v>
      </c>
      <c r="H459" s="38" t="s">
        <v>16</v>
      </c>
    </row>
    <row r="460" spans="2:8" s="13" customFormat="1">
      <c r="B460" s="4">
        <v>447</v>
      </c>
      <c r="C460" s="99" t="s">
        <v>622</v>
      </c>
      <c r="D460" s="99" t="s">
        <v>606</v>
      </c>
      <c r="E460" s="38">
        <v>15</v>
      </c>
      <c r="F460" s="38" t="s">
        <v>668</v>
      </c>
      <c r="G460" s="38" t="s">
        <v>17</v>
      </c>
      <c r="H460" s="38" t="s">
        <v>16</v>
      </c>
    </row>
    <row r="461" spans="2:8" s="13" customFormat="1">
      <c r="B461" s="4">
        <v>448</v>
      </c>
      <c r="C461" s="99" t="s">
        <v>623</v>
      </c>
      <c r="D461" s="99" t="s">
        <v>606</v>
      </c>
      <c r="E461" s="38">
        <v>15</v>
      </c>
      <c r="F461" s="38" t="s">
        <v>668</v>
      </c>
      <c r="G461" s="38" t="s">
        <v>17</v>
      </c>
      <c r="H461" s="38" t="s">
        <v>16</v>
      </c>
    </row>
    <row r="462" spans="2:8" s="13" customFormat="1">
      <c r="B462" s="4">
        <v>449</v>
      </c>
      <c r="C462" s="99" t="s">
        <v>624</v>
      </c>
      <c r="D462" s="99" t="s">
        <v>606</v>
      </c>
      <c r="E462" s="38">
        <v>15</v>
      </c>
      <c r="F462" s="38" t="s">
        <v>668</v>
      </c>
      <c r="G462" s="38" t="s">
        <v>17</v>
      </c>
      <c r="H462" s="38" t="s">
        <v>16</v>
      </c>
    </row>
    <row r="463" spans="2:8" s="13" customFormat="1">
      <c r="B463" s="4">
        <v>450</v>
      </c>
      <c r="C463" s="99" t="s">
        <v>625</v>
      </c>
      <c r="D463" s="99" t="s">
        <v>606</v>
      </c>
      <c r="E463" s="38">
        <v>15</v>
      </c>
      <c r="F463" s="38" t="s">
        <v>668</v>
      </c>
      <c r="G463" s="38" t="s">
        <v>17</v>
      </c>
      <c r="H463" s="38" t="s">
        <v>16</v>
      </c>
    </row>
    <row r="464" spans="2:8" s="13" customFormat="1">
      <c r="B464" s="4">
        <v>451</v>
      </c>
      <c r="C464" s="97" t="s">
        <v>626</v>
      </c>
      <c r="D464" s="97" t="s">
        <v>627</v>
      </c>
      <c r="E464" s="38">
        <v>15</v>
      </c>
      <c r="F464" s="38" t="s">
        <v>668</v>
      </c>
      <c r="G464" s="38" t="s">
        <v>17</v>
      </c>
      <c r="H464" s="38" t="s">
        <v>16</v>
      </c>
    </row>
    <row r="465" spans="2:8" s="13" customFormat="1">
      <c r="B465" s="4">
        <v>452</v>
      </c>
      <c r="C465" s="97" t="s">
        <v>628</v>
      </c>
      <c r="D465" s="97" t="s">
        <v>627</v>
      </c>
      <c r="E465" s="38">
        <v>15</v>
      </c>
      <c r="F465" s="38" t="s">
        <v>668</v>
      </c>
      <c r="G465" s="38" t="s">
        <v>17</v>
      </c>
      <c r="H465" s="38" t="s">
        <v>16</v>
      </c>
    </row>
    <row r="466" spans="2:8" s="13" customFormat="1">
      <c r="B466" s="4">
        <v>453</v>
      </c>
      <c r="C466" s="97" t="s">
        <v>629</v>
      </c>
      <c r="D466" s="97" t="s">
        <v>627</v>
      </c>
      <c r="E466" s="38">
        <v>15</v>
      </c>
      <c r="F466" s="38" t="s">
        <v>668</v>
      </c>
      <c r="G466" s="38" t="s">
        <v>17</v>
      </c>
      <c r="H466" s="38" t="s">
        <v>16</v>
      </c>
    </row>
    <row r="467" spans="2:8" s="13" customFormat="1">
      <c r="B467" s="4">
        <v>454</v>
      </c>
      <c r="C467" s="97" t="s">
        <v>630</v>
      </c>
      <c r="D467" s="97" t="s">
        <v>627</v>
      </c>
      <c r="E467" s="38">
        <v>15</v>
      </c>
      <c r="F467" s="38" t="s">
        <v>668</v>
      </c>
      <c r="G467" s="38" t="s">
        <v>17</v>
      </c>
      <c r="H467" s="38" t="s">
        <v>16</v>
      </c>
    </row>
    <row r="468" spans="2:8" s="13" customFormat="1">
      <c r="B468" s="4">
        <v>455</v>
      </c>
      <c r="C468" s="97" t="s">
        <v>631</v>
      </c>
      <c r="D468" s="97" t="s">
        <v>627</v>
      </c>
      <c r="E468" s="38">
        <v>15</v>
      </c>
      <c r="F468" s="38" t="s">
        <v>668</v>
      </c>
      <c r="G468" s="38" t="s">
        <v>17</v>
      </c>
      <c r="H468" s="38" t="s">
        <v>16</v>
      </c>
    </row>
    <row r="469" spans="2:8" s="13" customFormat="1">
      <c r="B469" s="4">
        <v>456</v>
      </c>
      <c r="C469" s="97" t="s">
        <v>632</v>
      </c>
      <c r="D469" s="97" t="s">
        <v>627</v>
      </c>
      <c r="E469" s="38">
        <v>15</v>
      </c>
      <c r="F469" s="38" t="s">
        <v>668</v>
      </c>
      <c r="G469" s="38" t="s">
        <v>17</v>
      </c>
      <c r="H469" s="38" t="s">
        <v>16</v>
      </c>
    </row>
    <row r="470" spans="2:8" s="13" customFormat="1">
      <c r="B470" s="4">
        <v>457</v>
      </c>
      <c r="C470" s="99" t="s">
        <v>633</v>
      </c>
      <c r="D470" s="99" t="s">
        <v>634</v>
      </c>
      <c r="E470" s="38">
        <v>11</v>
      </c>
      <c r="F470" s="38" t="s">
        <v>668</v>
      </c>
      <c r="G470" s="38" t="s">
        <v>17</v>
      </c>
      <c r="H470" s="38" t="s">
        <v>16</v>
      </c>
    </row>
    <row r="471" spans="2:8" s="13" customFormat="1">
      <c r="B471" s="4">
        <v>458</v>
      </c>
      <c r="C471" s="99" t="s">
        <v>669</v>
      </c>
      <c r="D471" s="99" t="s">
        <v>634</v>
      </c>
      <c r="E471" s="38">
        <v>11</v>
      </c>
      <c r="F471" s="38" t="s">
        <v>668</v>
      </c>
      <c r="G471" s="38" t="s">
        <v>17</v>
      </c>
      <c r="H471" s="38" t="s">
        <v>16</v>
      </c>
    </row>
    <row r="472" spans="2:8" s="13" customFormat="1">
      <c r="B472" s="4">
        <v>459</v>
      </c>
      <c r="C472" s="99" t="s">
        <v>635</v>
      </c>
      <c r="D472" s="99" t="s">
        <v>634</v>
      </c>
      <c r="E472" s="38">
        <v>11</v>
      </c>
      <c r="F472" s="38" t="s">
        <v>668</v>
      </c>
      <c r="G472" s="38" t="s">
        <v>17</v>
      </c>
      <c r="H472" s="38" t="s">
        <v>16</v>
      </c>
    </row>
    <row r="473" spans="2:8" s="13" customFormat="1">
      <c r="B473" s="4">
        <v>460</v>
      </c>
      <c r="C473" s="99" t="s">
        <v>636</v>
      </c>
      <c r="D473" s="99" t="s">
        <v>634</v>
      </c>
      <c r="E473" s="38">
        <v>11</v>
      </c>
      <c r="F473" s="38" t="s">
        <v>668</v>
      </c>
      <c r="G473" s="38" t="s">
        <v>17</v>
      </c>
      <c r="H473" s="38" t="s">
        <v>16</v>
      </c>
    </row>
    <row r="474" spans="2:8" s="13" customFormat="1">
      <c r="B474" s="4">
        <v>461</v>
      </c>
      <c r="C474" s="99" t="s">
        <v>637</v>
      </c>
      <c r="D474" s="99" t="s">
        <v>634</v>
      </c>
      <c r="E474" s="38">
        <v>11</v>
      </c>
      <c r="F474" s="38" t="s">
        <v>668</v>
      </c>
      <c r="G474" s="38" t="s">
        <v>17</v>
      </c>
      <c r="H474" s="38" t="s">
        <v>16</v>
      </c>
    </row>
    <row r="475" spans="2:8" s="13" customFormat="1">
      <c r="B475" s="4">
        <v>462</v>
      </c>
      <c r="C475" s="97" t="s">
        <v>638</v>
      </c>
      <c r="D475" s="97" t="s">
        <v>634</v>
      </c>
      <c r="E475" s="38">
        <v>11</v>
      </c>
      <c r="F475" s="38" t="s">
        <v>668</v>
      </c>
      <c r="G475" s="38" t="s">
        <v>17</v>
      </c>
      <c r="H475" s="38" t="s">
        <v>16</v>
      </c>
    </row>
    <row r="476" spans="2:8" s="13" customFormat="1">
      <c r="B476" s="4">
        <v>463</v>
      </c>
      <c r="C476" s="97" t="s">
        <v>639</v>
      </c>
      <c r="D476" s="97" t="s">
        <v>634</v>
      </c>
      <c r="E476" s="38">
        <v>11</v>
      </c>
      <c r="F476" s="38" t="s">
        <v>668</v>
      </c>
      <c r="G476" s="38" t="s">
        <v>17</v>
      </c>
      <c r="H476" s="38" t="s">
        <v>16</v>
      </c>
    </row>
    <row r="477" spans="2:8" s="13" customFormat="1">
      <c r="B477" s="4">
        <v>464</v>
      </c>
      <c r="C477" s="97" t="s">
        <v>640</v>
      </c>
      <c r="D477" s="97" t="s">
        <v>634</v>
      </c>
      <c r="E477" s="38">
        <v>11</v>
      </c>
      <c r="F477" s="38" t="s">
        <v>668</v>
      </c>
      <c r="G477" s="38" t="s">
        <v>17</v>
      </c>
      <c r="H477" s="38" t="s">
        <v>16</v>
      </c>
    </row>
    <row r="478" spans="2:8" s="13" customFormat="1">
      <c r="B478" s="4">
        <v>465</v>
      </c>
      <c r="C478" s="103" t="s">
        <v>641</v>
      </c>
      <c r="D478" s="99" t="s">
        <v>634</v>
      </c>
      <c r="E478" s="38">
        <v>11</v>
      </c>
      <c r="F478" s="38" t="s">
        <v>668</v>
      </c>
      <c r="G478" s="38" t="s">
        <v>17</v>
      </c>
      <c r="H478" s="38" t="s">
        <v>16</v>
      </c>
    </row>
    <row r="479" spans="2:8" s="13" customFormat="1">
      <c r="B479" s="4">
        <v>466</v>
      </c>
      <c r="C479" s="105" t="s">
        <v>642</v>
      </c>
      <c r="D479" s="105" t="s">
        <v>634</v>
      </c>
      <c r="E479" s="38">
        <v>11</v>
      </c>
      <c r="F479" s="38" t="s">
        <v>668</v>
      </c>
      <c r="G479" s="38" t="s">
        <v>17</v>
      </c>
      <c r="H479" s="38" t="s">
        <v>16</v>
      </c>
    </row>
    <row r="480" spans="2:8" s="13" customFormat="1">
      <c r="B480" s="4">
        <v>467</v>
      </c>
      <c r="C480" s="105" t="s">
        <v>643</v>
      </c>
      <c r="D480" s="105" t="s">
        <v>634</v>
      </c>
      <c r="E480" s="38">
        <v>11</v>
      </c>
      <c r="F480" s="38" t="s">
        <v>668</v>
      </c>
      <c r="G480" s="38" t="s">
        <v>17</v>
      </c>
      <c r="H480" s="38" t="s">
        <v>16</v>
      </c>
    </row>
    <row r="481" spans="2:8" s="13" customFormat="1">
      <c r="B481" s="4">
        <v>468</v>
      </c>
      <c r="C481" s="99" t="s">
        <v>644</v>
      </c>
      <c r="D481" s="99" t="s">
        <v>645</v>
      </c>
      <c r="E481" s="38">
        <v>10</v>
      </c>
      <c r="F481" s="38" t="s">
        <v>668</v>
      </c>
      <c r="G481" s="38" t="s">
        <v>17</v>
      </c>
      <c r="H481" s="38" t="s">
        <v>16</v>
      </c>
    </row>
    <row r="482" spans="2:8" s="13" customFormat="1">
      <c r="B482" s="4">
        <v>469</v>
      </c>
      <c r="C482" s="99" t="s">
        <v>646</v>
      </c>
      <c r="D482" s="99" t="s">
        <v>645</v>
      </c>
      <c r="E482" s="38">
        <v>10</v>
      </c>
      <c r="F482" s="38" t="s">
        <v>668</v>
      </c>
      <c r="G482" s="38" t="s">
        <v>17</v>
      </c>
      <c r="H482" s="38" t="s">
        <v>16</v>
      </c>
    </row>
    <row r="483" spans="2:8" s="13" customFormat="1">
      <c r="B483" s="4">
        <v>470</v>
      </c>
      <c r="C483" s="103" t="s">
        <v>647</v>
      </c>
      <c r="D483" s="99" t="s">
        <v>645</v>
      </c>
      <c r="E483" s="38">
        <v>10</v>
      </c>
      <c r="F483" s="38" t="s">
        <v>668</v>
      </c>
      <c r="G483" s="38" t="s">
        <v>17</v>
      </c>
      <c r="H483" s="38" t="s">
        <v>16</v>
      </c>
    </row>
    <row r="484" spans="2:8" s="13" customFormat="1">
      <c r="B484" s="4">
        <v>471</v>
      </c>
      <c r="C484" s="99" t="s">
        <v>648</v>
      </c>
      <c r="D484" s="99" t="s">
        <v>645</v>
      </c>
      <c r="E484" s="38">
        <v>10</v>
      </c>
      <c r="F484" s="38" t="s">
        <v>668</v>
      </c>
      <c r="G484" s="38" t="s">
        <v>17</v>
      </c>
      <c r="H484" s="38" t="s">
        <v>16</v>
      </c>
    </row>
    <row r="485" spans="2:8" s="13" customFormat="1">
      <c r="B485" s="4">
        <v>472</v>
      </c>
      <c r="C485" s="99" t="s">
        <v>649</v>
      </c>
      <c r="D485" s="99" t="s">
        <v>645</v>
      </c>
      <c r="E485" s="38">
        <v>10</v>
      </c>
      <c r="F485" s="38" t="s">
        <v>668</v>
      </c>
      <c r="G485" s="38" t="s">
        <v>17</v>
      </c>
      <c r="H485" s="38" t="s">
        <v>16</v>
      </c>
    </row>
    <row r="486" spans="2:8" s="13" customFormat="1">
      <c r="B486" s="4">
        <v>473</v>
      </c>
      <c r="C486" s="99" t="s">
        <v>650</v>
      </c>
      <c r="D486" s="99" t="s">
        <v>645</v>
      </c>
      <c r="E486" s="38">
        <v>10</v>
      </c>
      <c r="F486" s="38" t="s">
        <v>668</v>
      </c>
      <c r="G486" s="38" t="s">
        <v>17</v>
      </c>
      <c r="H486" s="38" t="s">
        <v>16</v>
      </c>
    </row>
    <row r="487" spans="2:8" s="13" customFormat="1">
      <c r="B487" s="4">
        <v>474</v>
      </c>
      <c r="C487" s="103" t="s">
        <v>651</v>
      </c>
      <c r="D487" s="99" t="s">
        <v>645</v>
      </c>
      <c r="E487" s="38">
        <v>10</v>
      </c>
      <c r="F487" s="38" t="s">
        <v>668</v>
      </c>
      <c r="G487" s="38" t="s">
        <v>17</v>
      </c>
      <c r="H487" s="38" t="s">
        <v>16</v>
      </c>
    </row>
    <row r="488" spans="2:8" s="13" customFormat="1">
      <c r="B488" s="4">
        <v>475</v>
      </c>
      <c r="C488" s="103" t="s">
        <v>652</v>
      </c>
      <c r="D488" s="99" t="s">
        <v>645</v>
      </c>
      <c r="E488" s="38">
        <v>10</v>
      </c>
      <c r="F488" s="38" t="s">
        <v>668</v>
      </c>
      <c r="G488" s="38" t="s">
        <v>17</v>
      </c>
      <c r="H488" s="38" t="s">
        <v>16</v>
      </c>
    </row>
    <row r="489" spans="2:8" s="13" customFormat="1">
      <c r="B489" s="4">
        <v>476</v>
      </c>
      <c r="C489" s="103" t="s">
        <v>653</v>
      </c>
      <c r="D489" s="99" t="s">
        <v>645</v>
      </c>
      <c r="E489" s="38">
        <v>10</v>
      </c>
      <c r="F489" s="38" t="s">
        <v>668</v>
      </c>
      <c r="G489" s="38" t="s">
        <v>17</v>
      </c>
      <c r="H489" s="38" t="s">
        <v>16</v>
      </c>
    </row>
    <row r="490" spans="2:8" s="13" customFormat="1">
      <c r="B490" s="4">
        <v>477</v>
      </c>
      <c r="C490" s="99" t="s">
        <v>654</v>
      </c>
      <c r="D490" s="99" t="s">
        <v>645</v>
      </c>
      <c r="E490" s="38">
        <v>10</v>
      </c>
      <c r="F490" s="38" t="s">
        <v>668</v>
      </c>
      <c r="G490" s="38" t="s">
        <v>17</v>
      </c>
      <c r="H490" s="38" t="s">
        <v>16</v>
      </c>
    </row>
    <row r="491" spans="2:8" s="13" customFormat="1">
      <c r="B491" s="4">
        <v>478</v>
      </c>
      <c r="C491" s="99" t="s">
        <v>655</v>
      </c>
      <c r="D491" s="99" t="s">
        <v>645</v>
      </c>
      <c r="E491" s="38">
        <v>10</v>
      </c>
      <c r="F491" s="38" t="s">
        <v>668</v>
      </c>
      <c r="G491" s="38" t="s">
        <v>17</v>
      </c>
      <c r="H491" s="38" t="s">
        <v>16</v>
      </c>
    </row>
    <row r="492" spans="2:8" s="13" customFormat="1">
      <c r="B492" s="4">
        <v>479</v>
      </c>
      <c r="C492" s="99" t="s">
        <v>656</v>
      </c>
      <c r="D492" s="99" t="s">
        <v>657</v>
      </c>
      <c r="E492" s="38">
        <v>6</v>
      </c>
      <c r="F492" s="38" t="s">
        <v>668</v>
      </c>
      <c r="G492" s="38" t="s">
        <v>17</v>
      </c>
      <c r="H492" s="38" t="s">
        <v>16</v>
      </c>
    </row>
    <row r="493" spans="2:8" s="13" customFormat="1">
      <c r="B493" s="4">
        <v>480</v>
      </c>
      <c r="C493" s="103" t="s">
        <v>658</v>
      </c>
      <c r="D493" s="99" t="s">
        <v>659</v>
      </c>
      <c r="E493" s="38">
        <v>4</v>
      </c>
      <c r="F493" s="38" t="s">
        <v>668</v>
      </c>
      <c r="G493" s="38" t="s">
        <v>17</v>
      </c>
      <c r="H493" s="38" t="s">
        <v>16</v>
      </c>
    </row>
    <row r="494" spans="2:8" s="13" customFormat="1">
      <c r="B494" s="4">
        <v>481</v>
      </c>
      <c r="C494" s="103" t="s">
        <v>660</v>
      </c>
      <c r="D494" s="99" t="s">
        <v>659</v>
      </c>
      <c r="E494" s="38">
        <v>4</v>
      </c>
      <c r="F494" s="38" t="s">
        <v>668</v>
      </c>
      <c r="G494" s="38" t="s">
        <v>17</v>
      </c>
      <c r="H494" s="38" t="s">
        <v>16</v>
      </c>
    </row>
    <row r="495" spans="2:8" s="13" customFormat="1">
      <c r="B495" s="4">
        <v>482</v>
      </c>
      <c r="C495" s="103" t="s">
        <v>661</v>
      </c>
      <c r="D495" s="99" t="s">
        <v>659</v>
      </c>
      <c r="E495" s="38">
        <v>4</v>
      </c>
      <c r="F495" s="38" t="s">
        <v>668</v>
      </c>
      <c r="G495" s="38" t="s">
        <v>17</v>
      </c>
      <c r="H495" s="38" t="s">
        <v>16</v>
      </c>
    </row>
    <row r="496" spans="2:8" s="13" customFormat="1">
      <c r="B496" s="4">
        <v>483</v>
      </c>
      <c r="C496" s="103" t="s">
        <v>1545</v>
      </c>
      <c r="D496" s="99" t="s">
        <v>659</v>
      </c>
      <c r="E496" s="38">
        <v>4</v>
      </c>
      <c r="F496" s="38" t="s">
        <v>668</v>
      </c>
      <c r="G496" s="38" t="s">
        <v>17</v>
      </c>
      <c r="H496" s="38" t="s">
        <v>16</v>
      </c>
    </row>
    <row r="497" spans="2:8" s="13" customFormat="1">
      <c r="B497" s="4">
        <v>484</v>
      </c>
      <c r="C497" s="103" t="s">
        <v>662</v>
      </c>
      <c r="D497" s="99" t="s">
        <v>659</v>
      </c>
      <c r="E497" s="38">
        <v>4</v>
      </c>
      <c r="F497" s="38" t="s">
        <v>668</v>
      </c>
      <c r="G497" s="38" t="s">
        <v>17</v>
      </c>
      <c r="H497" s="38" t="s">
        <v>16</v>
      </c>
    </row>
    <row r="498" spans="2:8" s="13" customFormat="1">
      <c r="B498" s="4">
        <v>485</v>
      </c>
      <c r="C498" s="103" t="s">
        <v>663</v>
      </c>
      <c r="D498" s="99" t="s">
        <v>659</v>
      </c>
      <c r="E498" s="38">
        <v>4</v>
      </c>
      <c r="F498" s="38" t="s">
        <v>668</v>
      </c>
      <c r="G498" s="38" t="s">
        <v>17</v>
      </c>
      <c r="H498" s="38" t="s">
        <v>16</v>
      </c>
    </row>
    <row r="499" spans="2:8" s="13" customFormat="1">
      <c r="B499" s="4">
        <v>486</v>
      </c>
      <c r="C499" s="103" t="s">
        <v>664</v>
      </c>
      <c r="D499" s="99" t="s">
        <v>659</v>
      </c>
      <c r="E499" s="38">
        <v>4</v>
      </c>
      <c r="F499" s="38" t="s">
        <v>668</v>
      </c>
      <c r="G499" s="38" t="s">
        <v>17</v>
      </c>
      <c r="H499" s="38" t="s">
        <v>16</v>
      </c>
    </row>
    <row r="500" spans="2:8" s="13" customFormat="1">
      <c r="B500" s="4">
        <v>487</v>
      </c>
      <c r="C500" s="99" t="s">
        <v>665</v>
      </c>
      <c r="D500" s="99" t="s">
        <v>159</v>
      </c>
      <c r="E500" s="38">
        <v>7</v>
      </c>
      <c r="F500" s="38" t="s">
        <v>668</v>
      </c>
      <c r="G500" s="38" t="s">
        <v>17</v>
      </c>
      <c r="H500" s="38" t="s">
        <v>16</v>
      </c>
    </row>
    <row r="501" spans="2:8" s="13" customFormat="1">
      <c r="B501" s="4">
        <v>488</v>
      </c>
      <c r="C501" s="99" t="s">
        <v>666</v>
      </c>
      <c r="D501" s="99" t="s">
        <v>365</v>
      </c>
      <c r="E501" s="38">
        <v>23</v>
      </c>
      <c r="F501" s="38" t="s">
        <v>668</v>
      </c>
      <c r="G501" s="38" t="s">
        <v>365</v>
      </c>
      <c r="H501" s="38" t="s">
        <v>16</v>
      </c>
    </row>
    <row r="502" spans="2:8" s="13" customFormat="1">
      <c r="B502" s="4">
        <v>489</v>
      </c>
      <c r="C502" s="99" t="s">
        <v>667</v>
      </c>
      <c r="D502" s="99" t="s">
        <v>365</v>
      </c>
      <c r="E502" s="38">
        <v>11</v>
      </c>
      <c r="F502" s="38" t="s">
        <v>668</v>
      </c>
      <c r="G502" s="38" t="s">
        <v>365</v>
      </c>
      <c r="H502" s="38" t="s">
        <v>16</v>
      </c>
    </row>
    <row r="503" spans="2:8" s="13" customFormat="1">
      <c r="B503" s="4">
        <v>490</v>
      </c>
      <c r="C503" s="103" t="s">
        <v>670</v>
      </c>
      <c r="D503" s="99" t="s">
        <v>108</v>
      </c>
      <c r="E503" s="38">
        <v>25</v>
      </c>
      <c r="F503" s="38" t="s">
        <v>710</v>
      </c>
      <c r="G503" s="38" t="s">
        <v>17</v>
      </c>
      <c r="H503" s="38" t="s">
        <v>292</v>
      </c>
    </row>
    <row r="504" spans="2:8" s="13" customFormat="1">
      <c r="B504" s="4">
        <v>491</v>
      </c>
      <c r="C504" s="99" t="s">
        <v>671</v>
      </c>
      <c r="D504" s="99" t="s">
        <v>114</v>
      </c>
      <c r="E504" s="38">
        <v>24</v>
      </c>
      <c r="F504" s="38" t="s">
        <v>710</v>
      </c>
      <c r="G504" s="38" t="s">
        <v>17</v>
      </c>
      <c r="H504" s="38" t="s">
        <v>292</v>
      </c>
    </row>
    <row r="505" spans="2:8" s="13" customFormat="1">
      <c r="B505" s="4">
        <v>492</v>
      </c>
      <c r="C505" s="103" t="s">
        <v>672</v>
      </c>
      <c r="D505" s="99" t="s">
        <v>114</v>
      </c>
      <c r="E505" s="38">
        <v>24</v>
      </c>
      <c r="F505" s="38" t="s">
        <v>710</v>
      </c>
      <c r="G505" s="38" t="s">
        <v>17</v>
      </c>
      <c r="H505" s="38" t="s">
        <v>292</v>
      </c>
    </row>
    <row r="506" spans="2:8" s="13" customFormat="1">
      <c r="B506" s="4">
        <v>493</v>
      </c>
      <c r="C506" s="103" t="s">
        <v>673</v>
      </c>
      <c r="D506" s="99" t="s">
        <v>18</v>
      </c>
      <c r="E506" s="38">
        <v>23</v>
      </c>
      <c r="F506" s="38" t="s">
        <v>710</v>
      </c>
      <c r="G506" s="38" t="s">
        <v>17</v>
      </c>
      <c r="H506" s="38" t="s">
        <v>16</v>
      </c>
    </row>
    <row r="507" spans="2:8" s="13" customFormat="1">
      <c r="B507" s="4">
        <v>494</v>
      </c>
      <c r="C507" s="99" t="s">
        <v>674</v>
      </c>
      <c r="D507" s="99" t="s">
        <v>126</v>
      </c>
      <c r="E507" s="38">
        <v>23</v>
      </c>
      <c r="F507" s="38" t="s">
        <v>710</v>
      </c>
      <c r="G507" s="38" t="s">
        <v>17</v>
      </c>
      <c r="H507" s="38" t="s">
        <v>292</v>
      </c>
    </row>
    <row r="508" spans="2:8" s="13" customFormat="1">
      <c r="B508" s="4">
        <v>495</v>
      </c>
      <c r="C508" s="99" t="s">
        <v>675</v>
      </c>
      <c r="D508" s="99" t="s">
        <v>126</v>
      </c>
      <c r="E508" s="38">
        <v>23</v>
      </c>
      <c r="F508" s="38" t="s">
        <v>710</v>
      </c>
      <c r="G508" s="38" t="s">
        <v>17</v>
      </c>
      <c r="H508" s="38" t="s">
        <v>292</v>
      </c>
    </row>
    <row r="509" spans="2:8" s="13" customFormat="1">
      <c r="B509" s="4">
        <v>496</v>
      </c>
      <c r="C509" s="99" t="s">
        <v>676</v>
      </c>
      <c r="D509" s="99" t="s">
        <v>126</v>
      </c>
      <c r="E509" s="38">
        <v>23</v>
      </c>
      <c r="F509" s="38" t="s">
        <v>710</v>
      </c>
      <c r="G509" s="38" t="s">
        <v>17</v>
      </c>
      <c r="H509" s="38" t="s">
        <v>292</v>
      </c>
    </row>
    <row r="510" spans="2:8" s="13" customFormat="1">
      <c r="B510" s="4">
        <v>497</v>
      </c>
      <c r="C510" s="99" t="s">
        <v>677</v>
      </c>
      <c r="D510" s="99" t="s">
        <v>132</v>
      </c>
      <c r="E510" s="38">
        <v>23</v>
      </c>
      <c r="F510" s="38" t="s">
        <v>710</v>
      </c>
      <c r="G510" s="38" t="s">
        <v>163</v>
      </c>
      <c r="H510" s="38" t="s">
        <v>16</v>
      </c>
    </row>
    <row r="511" spans="2:8" s="13" customFormat="1">
      <c r="B511" s="4">
        <v>498</v>
      </c>
      <c r="C511" s="99" t="s">
        <v>678</v>
      </c>
      <c r="D511" s="99" t="s">
        <v>132</v>
      </c>
      <c r="E511" s="38">
        <v>23</v>
      </c>
      <c r="F511" s="38" t="s">
        <v>710</v>
      </c>
      <c r="G511" s="38" t="s">
        <v>17</v>
      </c>
      <c r="H511" s="38" t="s">
        <v>16</v>
      </c>
    </row>
    <row r="512" spans="2:8" s="13" customFormat="1">
      <c r="B512" s="4">
        <v>499</v>
      </c>
      <c r="C512" s="106" t="s">
        <v>679</v>
      </c>
      <c r="D512" s="106" t="s">
        <v>132</v>
      </c>
      <c r="E512" s="38">
        <v>23</v>
      </c>
      <c r="F512" s="38" t="s">
        <v>710</v>
      </c>
      <c r="G512" s="38" t="s">
        <v>17</v>
      </c>
      <c r="H512" s="38" t="s">
        <v>16</v>
      </c>
    </row>
    <row r="513" spans="2:8" s="13" customFormat="1">
      <c r="B513" s="4">
        <v>500</v>
      </c>
      <c r="C513" s="106" t="s">
        <v>680</v>
      </c>
      <c r="D513" s="106" t="s">
        <v>132</v>
      </c>
      <c r="E513" s="38">
        <v>23</v>
      </c>
      <c r="F513" s="38" t="s">
        <v>710</v>
      </c>
      <c r="G513" s="38" t="s">
        <v>17</v>
      </c>
      <c r="H513" s="38" t="s">
        <v>16</v>
      </c>
    </row>
    <row r="514" spans="2:8" s="13" customFormat="1">
      <c r="B514" s="4">
        <v>501</v>
      </c>
      <c r="C514" s="107" t="s">
        <v>681</v>
      </c>
      <c r="D514" s="99" t="s">
        <v>132</v>
      </c>
      <c r="E514" s="38">
        <v>23</v>
      </c>
      <c r="F514" s="38" t="s">
        <v>710</v>
      </c>
      <c r="G514" s="38" t="s">
        <v>17</v>
      </c>
      <c r="H514" s="38" t="s">
        <v>16</v>
      </c>
    </row>
    <row r="515" spans="2:8" s="13" customFormat="1">
      <c r="B515" s="4">
        <v>502</v>
      </c>
      <c r="C515" s="107" t="s">
        <v>682</v>
      </c>
      <c r="D515" s="99" t="s">
        <v>132</v>
      </c>
      <c r="E515" s="38">
        <v>23</v>
      </c>
      <c r="F515" s="38" t="s">
        <v>710</v>
      </c>
      <c r="G515" s="38" t="s">
        <v>17</v>
      </c>
      <c r="H515" s="38" t="s">
        <v>16</v>
      </c>
    </row>
    <row r="516" spans="2:8" s="13" customFormat="1">
      <c r="B516" s="4">
        <v>503</v>
      </c>
      <c r="C516" s="103" t="s">
        <v>683</v>
      </c>
      <c r="D516" s="99" t="s">
        <v>684</v>
      </c>
      <c r="E516" s="38">
        <v>22</v>
      </c>
      <c r="F516" s="38" t="s">
        <v>710</v>
      </c>
      <c r="G516" s="38" t="s">
        <v>17</v>
      </c>
      <c r="H516" s="38" t="s">
        <v>16</v>
      </c>
    </row>
    <row r="517" spans="2:8" s="13" customFormat="1">
      <c r="B517" s="4">
        <v>504</v>
      </c>
      <c r="C517" s="103" t="s">
        <v>685</v>
      </c>
      <c r="D517" s="99" t="s">
        <v>686</v>
      </c>
      <c r="E517" s="38">
        <v>18</v>
      </c>
      <c r="F517" s="38" t="s">
        <v>710</v>
      </c>
      <c r="G517" s="38" t="s">
        <v>17</v>
      </c>
      <c r="H517" s="38" t="s">
        <v>16</v>
      </c>
    </row>
    <row r="518" spans="2:8" s="13" customFormat="1">
      <c r="B518" s="4">
        <v>505</v>
      </c>
      <c r="C518" s="103" t="s">
        <v>687</v>
      </c>
      <c r="D518" s="99" t="s">
        <v>686</v>
      </c>
      <c r="E518" s="38">
        <v>18</v>
      </c>
      <c r="F518" s="38" t="s">
        <v>710</v>
      </c>
      <c r="G518" s="38" t="s">
        <v>17</v>
      </c>
      <c r="H518" s="38" t="s">
        <v>16</v>
      </c>
    </row>
    <row r="519" spans="2:8" s="13" customFormat="1">
      <c r="B519" s="4">
        <v>506</v>
      </c>
      <c r="C519" s="103" t="s">
        <v>688</v>
      </c>
      <c r="D519" s="99" t="s">
        <v>689</v>
      </c>
      <c r="E519" s="38">
        <v>15</v>
      </c>
      <c r="F519" s="38" t="s">
        <v>710</v>
      </c>
      <c r="G519" s="38" t="s">
        <v>17</v>
      </c>
      <c r="H519" s="38" t="s">
        <v>16</v>
      </c>
    </row>
    <row r="520" spans="2:8" s="13" customFormat="1">
      <c r="B520" s="4">
        <v>507</v>
      </c>
      <c r="C520" s="103" t="s">
        <v>690</v>
      </c>
      <c r="D520" s="99" t="s">
        <v>689</v>
      </c>
      <c r="E520" s="38">
        <v>15</v>
      </c>
      <c r="F520" s="38" t="s">
        <v>710</v>
      </c>
      <c r="G520" s="38" t="s">
        <v>17</v>
      </c>
      <c r="H520" s="38" t="s">
        <v>16</v>
      </c>
    </row>
    <row r="521" spans="2:8" s="13" customFormat="1">
      <c r="B521" s="4">
        <v>508</v>
      </c>
      <c r="C521" s="103" t="s">
        <v>691</v>
      </c>
      <c r="D521" s="99" t="s">
        <v>689</v>
      </c>
      <c r="E521" s="38">
        <v>15</v>
      </c>
      <c r="F521" s="38" t="s">
        <v>710</v>
      </c>
      <c r="G521" s="38" t="s">
        <v>17</v>
      </c>
      <c r="H521" s="38" t="s">
        <v>16</v>
      </c>
    </row>
    <row r="522" spans="2:8" s="13" customFormat="1">
      <c r="B522" s="4">
        <v>509</v>
      </c>
      <c r="C522" s="103" t="s">
        <v>692</v>
      </c>
      <c r="D522" s="99" t="s">
        <v>693</v>
      </c>
      <c r="E522" s="38">
        <v>13</v>
      </c>
      <c r="F522" s="38" t="s">
        <v>710</v>
      </c>
      <c r="G522" s="38" t="s">
        <v>17</v>
      </c>
      <c r="H522" s="38" t="s">
        <v>16</v>
      </c>
    </row>
    <row r="523" spans="2:8" s="13" customFormat="1">
      <c r="B523" s="4">
        <v>510</v>
      </c>
      <c r="C523" s="99" t="s">
        <v>694</v>
      </c>
      <c r="D523" s="99" t="s">
        <v>693</v>
      </c>
      <c r="E523" s="38">
        <v>13</v>
      </c>
      <c r="F523" s="38" t="s">
        <v>710</v>
      </c>
      <c r="G523" s="38" t="s">
        <v>17</v>
      </c>
      <c r="H523" s="38" t="s">
        <v>16</v>
      </c>
    </row>
    <row r="524" spans="2:8" s="13" customFormat="1">
      <c r="B524" s="4">
        <v>511</v>
      </c>
      <c r="C524" s="103" t="s">
        <v>695</v>
      </c>
      <c r="D524" s="99" t="s">
        <v>693</v>
      </c>
      <c r="E524" s="38">
        <v>13</v>
      </c>
      <c r="F524" s="38" t="s">
        <v>710</v>
      </c>
      <c r="G524" s="38" t="s">
        <v>17</v>
      </c>
      <c r="H524" s="38" t="s">
        <v>16</v>
      </c>
    </row>
    <row r="525" spans="2:8" s="13" customFormat="1">
      <c r="B525" s="4">
        <v>512</v>
      </c>
      <c r="C525" s="103" t="s">
        <v>696</v>
      </c>
      <c r="D525" s="99" t="s">
        <v>693</v>
      </c>
      <c r="E525" s="38">
        <v>13</v>
      </c>
      <c r="F525" s="38" t="s">
        <v>710</v>
      </c>
      <c r="G525" s="38" t="s">
        <v>17</v>
      </c>
      <c r="H525" s="38" t="s">
        <v>16</v>
      </c>
    </row>
    <row r="526" spans="2:8" s="13" customFormat="1">
      <c r="B526" s="4">
        <v>513</v>
      </c>
      <c r="C526" s="103" t="s">
        <v>697</v>
      </c>
      <c r="D526" s="99" t="s">
        <v>693</v>
      </c>
      <c r="E526" s="38">
        <v>13</v>
      </c>
      <c r="F526" s="38" t="s">
        <v>710</v>
      </c>
      <c r="G526" s="38" t="s">
        <v>17</v>
      </c>
      <c r="H526" s="38" t="s">
        <v>16</v>
      </c>
    </row>
    <row r="527" spans="2:8" s="13" customFormat="1">
      <c r="B527" s="4">
        <v>514</v>
      </c>
      <c r="C527" s="105" t="s">
        <v>698</v>
      </c>
      <c r="D527" s="105" t="s">
        <v>693</v>
      </c>
      <c r="E527" s="38">
        <v>13</v>
      </c>
      <c r="F527" s="38" t="s">
        <v>710</v>
      </c>
      <c r="G527" s="38" t="s">
        <v>17</v>
      </c>
      <c r="H527" s="38" t="s">
        <v>16</v>
      </c>
    </row>
    <row r="528" spans="2:8" s="13" customFormat="1">
      <c r="B528" s="4">
        <v>515</v>
      </c>
      <c r="C528" s="99" t="s">
        <v>699</v>
      </c>
      <c r="D528" s="99" t="s">
        <v>700</v>
      </c>
      <c r="E528" s="38">
        <v>11</v>
      </c>
      <c r="F528" s="38" t="s">
        <v>710</v>
      </c>
      <c r="G528" s="38" t="s">
        <v>17</v>
      </c>
      <c r="H528" s="38" t="s">
        <v>16</v>
      </c>
    </row>
    <row r="529" spans="2:8" s="13" customFormat="1">
      <c r="B529" s="4">
        <v>516</v>
      </c>
      <c r="C529" s="99" t="s">
        <v>701</v>
      </c>
      <c r="D529" s="99" t="s">
        <v>700</v>
      </c>
      <c r="E529" s="38">
        <v>11</v>
      </c>
      <c r="F529" s="38" t="s">
        <v>710</v>
      </c>
      <c r="G529" s="38" t="s">
        <v>17</v>
      </c>
      <c r="H529" s="38" t="s">
        <v>16</v>
      </c>
    </row>
    <row r="530" spans="2:8" s="13" customFormat="1">
      <c r="B530" s="4">
        <v>517</v>
      </c>
      <c r="C530" s="103" t="s">
        <v>702</v>
      </c>
      <c r="D530" s="99" t="s">
        <v>700</v>
      </c>
      <c r="E530" s="38">
        <v>11</v>
      </c>
      <c r="F530" s="38" t="s">
        <v>710</v>
      </c>
      <c r="G530" s="38" t="s">
        <v>17</v>
      </c>
      <c r="H530" s="38" t="s">
        <v>16</v>
      </c>
    </row>
    <row r="531" spans="2:8" s="13" customFormat="1">
      <c r="B531" s="4">
        <v>518</v>
      </c>
      <c r="C531" s="103" t="s">
        <v>703</v>
      </c>
      <c r="D531" s="99" t="s">
        <v>700</v>
      </c>
      <c r="E531" s="38">
        <v>11</v>
      </c>
      <c r="F531" s="38" t="s">
        <v>710</v>
      </c>
      <c r="G531" s="38" t="s">
        <v>17</v>
      </c>
      <c r="H531" s="38" t="s">
        <v>16</v>
      </c>
    </row>
    <row r="532" spans="2:8" s="13" customFormat="1">
      <c r="B532" s="4">
        <v>519</v>
      </c>
      <c r="C532" s="103" t="s">
        <v>704</v>
      </c>
      <c r="D532" s="99" t="s">
        <v>700</v>
      </c>
      <c r="E532" s="38">
        <v>11</v>
      </c>
      <c r="F532" s="38" t="s">
        <v>710</v>
      </c>
      <c r="G532" s="38" t="s">
        <v>17</v>
      </c>
      <c r="H532" s="38" t="s">
        <v>16</v>
      </c>
    </row>
    <row r="533" spans="2:8" s="13" customFormat="1">
      <c r="B533" s="4">
        <v>520</v>
      </c>
      <c r="C533" s="103" t="s">
        <v>705</v>
      </c>
      <c r="D533" s="99" t="s">
        <v>700</v>
      </c>
      <c r="E533" s="38">
        <v>11</v>
      </c>
      <c r="F533" s="38" t="s">
        <v>710</v>
      </c>
      <c r="G533" s="38" t="s">
        <v>17</v>
      </c>
      <c r="H533" s="38" t="s">
        <v>16</v>
      </c>
    </row>
    <row r="534" spans="2:8" s="13" customFormat="1">
      <c r="B534" s="4">
        <v>521</v>
      </c>
      <c r="C534" s="103" t="s">
        <v>706</v>
      </c>
      <c r="D534" s="99" t="s">
        <v>363</v>
      </c>
      <c r="E534" s="38">
        <v>23</v>
      </c>
      <c r="F534" s="38" t="s">
        <v>710</v>
      </c>
      <c r="G534" s="38" t="s">
        <v>365</v>
      </c>
      <c r="H534" s="38" t="s">
        <v>292</v>
      </c>
    </row>
    <row r="535" spans="2:8" s="13" customFormat="1">
      <c r="B535" s="4">
        <v>522</v>
      </c>
      <c r="C535" s="103" t="s">
        <v>707</v>
      </c>
      <c r="D535" s="99" t="s">
        <v>363</v>
      </c>
      <c r="E535" s="38">
        <v>23</v>
      </c>
      <c r="F535" s="38" t="s">
        <v>710</v>
      </c>
      <c r="G535" s="38" t="s">
        <v>365</v>
      </c>
      <c r="H535" s="38" t="s">
        <v>292</v>
      </c>
    </row>
    <row r="536" spans="2:8" s="13" customFormat="1">
      <c r="B536" s="4">
        <v>523</v>
      </c>
      <c r="C536" s="103" t="s">
        <v>708</v>
      </c>
      <c r="D536" s="99" t="s">
        <v>363</v>
      </c>
      <c r="E536" s="38">
        <v>23</v>
      </c>
      <c r="F536" s="38" t="s">
        <v>710</v>
      </c>
      <c r="G536" s="38" t="s">
        <v>365</v>
      </c>
      <c r="H536" s="38" t="s">
        <v>292</v>
      </c>
    </row>
    <row r="537" spans="2:8" s="13" customFormat="1">
      <c r="B537" s="4">
        <v>524</v>
      </c>
      <c r="C537" s="99" t="s">
        <v>709</v>
      </c>
      <c r="D537" s="99" t="s">
        <v>365</v>
      </c>
      <c r="E537" s="38">
        <v>3</v>
      </c>
      <c r="F537" s="38" t="s">
        <v>710</v>
      </c>
      <c r="G537" s="38" t="s">
        <v>365</v>
      </c>
      <c r="H537" s="38" t="s">
        <v>16</v>
      </c>
    </row>
    <row r="538" spans="2:8" s="13" customFormat="1">
      <c r="B538" s="4">
        <v>525</v>
      </c>
      <c r="C538" s="103" t="s">
        <v>711</v>
      </c>
      <c r="D538" s="99" t="s">
        <v>712</v>
      </c>
      <c r="E538" s="38">
        <v>22</v>
      </c>
      <c r="F538" s="38" t="s">
        <v>748</v>
      </c>
      <c r="G538" s="38" t="s">
        <v>17</v>
      </c>
      <c r="H538" s="38" t="s">
        <v>16</v>
      </c>
    </row>
    <row r="539" spans="2:8" s="13" customFormat="1">
      <c r="B539" s="4">
        <v>526</v>
      </c>
      <c r="C539" s="103" t="s">
        <v>713</v>
      </c>
      <c r="D539" s="99" t="s">
        <v>714</v>
      </c>
      <c r="E539" s="38">
        <v>20</v>
      </c>
      <c r="F539" s="38" t="s">
        <v>748</v>
      </c>
      <c r="G539" s="38" t="s">
        <v>17</v>
      </c>
      <c r="H539" s="38" t="s">
        <v>16</v>
      </c>
    </row>
    <row r="540" spans="2:8" s="13" customFormat="1">
      <c r="B540" s="4">
        <v>527</v>
      </c>
      <c r="C540" s="103" t="s">
        <v>715</v>
      </c>
      <c r="D540" s="99" t="s">
        <v>716</v>
      </c>
      <c r="E540" s="38">
        <v>15</v>
      </c>
      <c r="F540" s="38" t="s">
        <v>748</v>
      </c>
      <c r="G540" s="38" t="s">
        <v>17</v>
      </c>
      <c r="H540" s="38" t="s">
        <v>16</v>
      </c>
    </row>
    <row r="541" spans="2:8" s="13" customFormat="1">
      <c r="B541" s="4">
        <v>528</v>
      </c>
      <c r="C541" s="103" t="s">
        <v>717</v>
      </c>
      <c r="D541" s="99" t="s">
        <v>716</v>
      </c>
      <c r="E541" s="38">
        <v>15</v>
      </c>
      <c r="F541" s="38" t="s">
        <v>748</v>
      </c>
      <c r="G541" s="38" t="s">
        <v>17</v>
      </c>
      <c r="H541" s="38" t="s">
        <v>16</v>
      </c>
    </row>
    <row r="542" spans="2:8" s="13" customFormat="1">
      <c r="B542" s="4">
        <v>529</v>
      </c>
      <c r="C542" s="103" t="s">
        <v>718</v>
      </c>
      <c r="D542" s="99" t="s">
        <v>716</v>
      </c>
      <c r="E542" s="38">
        <v>15</v>
      </c>
      <c r="F542" s="38" t="s">
        <v>748</v>
      </c>
      <c r="G542" s="38" t="s">
        <v>17</v>
      </c>
      <c r="H542" s="38" t="s">
        <v>16</v>
      </c>
    </row>
    <row r="543" spans="2:8" s="13" customFormat="1">
      <c r="B543" s="4">
        <v>530</v>
      </c>
      <c r="C543" s="98" t="s">
        <v>719</v>
      </c>
      <c r="D543" s="99" t="s">
        <v>716</v>
      </c>
      <c r="E543" s="38">
        <v>15</v>
      </c>
      <c r="F543" s="38" t="s">
        <v>748</v>
      </c>
      <c r="G543" s="38" t="s">
        <v>17</v>
      </c>
      <c r="H543" s="38" t="s">
        <v>16</v>
      </c>
    </row>
    <row r="544" spans="2:8" s="13" customFormat="1">
      <c r="B544" s="4">
        <v>531</v>
      </c>
      <c r="C544" s="105" t="s">
        <v>720</v>
      </c>
      <c r="D544" s="105" t="s">
        <v>716</v>
      </c>
      <c r="E544" s="38">
        <v>15</v>
      </c>
      <c r="F544" s="38" t="s">
        <v>748</v>
      </c>
      <c r="G544" s="38" t="s">
        <v>17</v>
      </c>
      <c r="H544" s="38" t="s">
        <v>16</v>
      </c>
    </row>
    <row r="545" spans="2:8" s="13" customFormat="1">
      <c r="B545" s="4">
        <v>532</v>
      </c>
      <c r="C545" s="105" t="s">
        <v>721</v>
      </c>
      <c r="D545" s="105" t="s">
        <v>716</v>
      </c>
      <c r="E545" s="38">
        <v>15</v>
      </c>
      <c r="F545" s="38" t="s">
        <v>748</v>
      </c>
      <c r="G545" s="38" t="s">
        <v>17</v>
      </c>
      <c r="H545" s="38" t="s">
        <v>16</v>
      </c>
    </row>
    <row r="546" spans="2:8" s="13" customFormat="1">
      <c r="B546" s="4">
        <v>533</v>
      </c>
      <c r="C546" s="103" t="s">
        <v>722</v>
      </c>
      <c r="D546" s="99" t="s">
        <v>723</v>
      </c>
      <c r="E546" s="38">
        <v>6</v>
      </c>
      <c r="F546" s="38" t="s">
        <v>748</v>
      </c>
      <c r="G546" s="38" t="s">
        <v>17</v>
      </c>
      <c r="H546" s="38" t="s">
        <v>16</v>
      </c>
    </row>
    <row r="547" spans="2:8" s="13" customFormat="1">
      <c r="B547" s="4">
        <v>534</v>
      </c>
      <c r="C547" s="103" t="s">
        <v>724</v>
      </c>
      <c r="D547" s="99" t="s">
        <v>725</v>
      </c>
      <c r="E547" s="38">
        <v>5</v>
      </c>
      <c r="F547" s="38" t="s">
        <v>748</v>
      </c>
      <c r="G547" s="38" t="s">
        <v>17</v>
      </c>
      <c r="H547" s="38" t="s">
        <v>16</v>
      </c>
    </row>
    <row r="548" spans="2:8" s="13" customFormat="1">
      <c r="B548" s="4">
        <v>535</v>
      </c>
      <c r="C548" s="103" t="s">
        <v>726</v>
      </c>
      <c r="D548" s="99" t="s">
        <v>725</v>
      </c>
      <c r="E548" s="38">
        <v>5</v>
      </c>
      <c r="F548" s="38" t="s">
        <v>748</v>
      </c>
      <c r="G548" s="38" t="s">
        <v>17</v>
      </c>
      <c r="H548" s="38" t="s">
        <v>16</v>
      </c>
    </row>
    <row r="549" spans="2:8" s="13" customFormat="1">
      <c r="B549" s="4">
        <v>536</v>
      </c>
      <c r="C549" s="103" t="s">
        <v>727</v>
      </c>
      <c r="D549" s="99" t="s">
        <v>725</v>
      </c>
      <c r="E549" s="38">
        <v>5</v>
      </c>
      <c r="F549" s="38" t="s">
        <v>748</v>
      </c>
      <c r="G549" s="38" t="s">
        <v>17</v>
      </c>
      <c r="H549" s="38" t="s">
        <v>16</v>
      </c>
    </row>
    <row r="550" spans="2:8" s="13" customFormat="1">
      <c r="B550" s="4">
        <v>537</v>
      </c>
      <c r="C550" s="103" t="s">
        <v>728</v>
      </c>
      <c r="D550" s="99" t="s">
        <v>725</v>
      </c>
      <c r="E550" s="38">
        <v>5</v>
      </c>
      <c r="F550" s="38" t="s">
        <v>748</v>
      </c>
      <c r="G550" s="38" t="s">
        <v>17</v>
      </c>
      <c r="H550" s="38" t="s">
        <v>16</v>
      </c>
    </row>
    <row r="551" spans="2:8" s="13" customFormat="1">
      <c r="B551" s="4">
        <v>538</v>
      </c>
      <c r="C551" s="103" t="s">
        <v>729</v>
      </c>
      <c r="D551" s="99" t="s">
        <v>725</v>
      </c>
      <c r="E551" s="38">
        <v>5</v>
      </c>
      <c r="F551" s="38" t="s">
        <v>748</v>
      </c>
      <c r="G551" s="38" t="s">
        <v>17</v>
      </c>
      <c r="H551" s="38" t="s">
        <v>16</v>
      </c>
    </row>
    <row r="552" spans="2:8" s="13" customFormat="1">
      <c r="B552" s="4">
        <v>539</v>
      </c>
      <c r="C552" s="103" t="s">
        <v>730</v>
      </c>
      <c r="D552" s="99" t="s">
        <v>725</v>
      </c>
      <c r="E552" s="38">
        <v>5</v>
      </c>
      <c r="F552" s="38" t="s">
        <v>748</v>
      </c>
      <c r="G552" s="38" t="s">
        <v>17</v>
      </c>
      <c r="H552" s="38" t="s">
        <v>16</v>
      </c>
    </row>
    <row r="553" spans="2:8" s="13" customFormat="1">
      <c r="B553" s="4">
        <v>540</v>
      </c>
      <c r="C553" s="103" t="s">
        <v>731</v>
      </c>
      <c r="D553" s="99" t="s">
        <v>725</v>
      </c>
      <c r="E553" s="38">
        <v>5</v>
      </c>
      <c r="F553" s="38" t="s">
        <v>748</v>
      </c>
      <c r="G553" s="38" t="s">
        <v>17</v>
      </c>
      <c r="H553" s="38" t="s">
        <v>16</v>
      </c>
    </row>
    <row r="554" spans="2:8" s="13" customFormat="1">
      <c r="B554" s="4">
        <v>541</v>
      </c>
      <c r="C554" s="103" t="s">
        <v>732</v>
      </c>
      <c r="D554" s="99" t="s">
        <v>725</v>
      </c>
      <c r="E554" s="38">
        <v>5</v>
      </c>
      <c r="F554" s="38" t="s">
        <v>748</v>
      </c>
      <c r="G554" s="38" t="s">
        <v>17</v>
      </c>
      <c r="H554" s="38" t="s">
        <v>16</v>
      </c>
    </row>
    <row r="555" spans="2:8" s="13" customFormat="1">
      <c r="B555" s="4">
        <v>542</v>
      </c>
      <c r="C555" s="103" t="s">
        <v>733</v>
      </c>
      <c r="D555" s="99" t="s">
        <v>725</v>
      </c>
      <c r="E555" s="38">
        <v>5</v>
      </c>
      <c r="F555" s="38" t="s">
        <v>748</v>
      </c>
      <c r="G555" s="38" t="s">
        <v>17</v>
      </c>
      <c r="H555" s="38" t="s">
        <v>16</v>
      </c>
    </row>
    <row r="556" spans="2:8" s="13" customFormat="1">
      <c r="B556" s="4">
        <v>543</v>
      </c>
      <c r="C556" s="103" t="s">
        <v>734</v>
      </c>
      <c r="D556" s="99" t="s">
        <v>725</v>
      </c>
      <c r="E556" s="38">
        <v>5</v>
      </c>
      <c r="F556" s="38" t="s">
        <v>748</v>
      </c>
      <c r="G556" s="38" t="s">
        <v>17</v>
      </c>
      <c r="H556" s="38" t="s">
        <v>16</v>
      </c>
    </row>
    <row r="557" spans="2:8" s="13" customFormat="1">
      <c r="B557" s="4">
        <v>544</v>
      </c>
      <c r="C557" s="103" t="s">
        <v>735</v>
      </c>
      <c r="D557" s="99" t="s">
        <v>430</v>
      </c>
      <c r="E557" s="38">
        <v>3</v>
      </c>
      <c r="F557" s="38" t="s">
        <v>748</v>
      </c>
      <c r="G557" s="38" t="s">
        <v>17</v>
      </c>
      <c r="H557" s="38" t="s">
        <v>16</v>
      </c>
    </row>
    <row r="558" spans="2:8" s="13" customFormat="1">
      <c r="B558" s="4">
        <v>545</v>
      </c>
      <c r="C558" s="103" t="s">
        <v>736</v>
      </c>
      <c r="D558" s="99" t="s">
        <v>430</v>
      </c>
      <c r="E558" s="38">
        <v>3</v>
      </c>
      <c r="F558" s="38" t="s">
        <v>748</v>
      </c>
      <c r="G558" s="38" t="s">
        <v>17</v>
      </c>
      <c r="H558" s="38" t="s">
        <v>16</v>
      </c>
    </row>
    <row r="559" spans="2:8" s="13" customFormat="1">
      <c r="B559" s="4">
        <v>546</v>
      </c>
      <c r="C559" s="103" t="s">
        <v>737</v>
      </c>
      <c r="D559" s="99" t="s">
        <v>430</v>
      </c>
      <c r="E559" s="38">
        <v>3</v>
      </c>
      <c r="F559" s="38" t="s">
        <v>748</v>
      </c>
      <c r="G559" s="38" t="s">
        <v>17</v>
      </c>
      <c r="H559" s="38" t="s">
        <v>16</v>
      </c>
    </row>
    <row r="560" spans="2:8" s="13" customFormat="1">
      <c r="B560" s="4">
        <v>547</v>
      </c>
      <c r="C560" s="103" t="s">
        <v>738</v>
      </c>
      <c r="D560" s="99" t="s">
        <v>430</v>
      </c>
      <c r="E560" s="38">
        <v>3</v>
      </c>
      <c r="F560" s="38" t="s">
        <v>748</v>
      </c>
      <c r="G560" s="38" t="s">
        <v>17</v>
      </c>
      <c r="H560" s="38" t="s">
        <v>16</v>
      </c>
    </row>
    <row r="561" spans="2:8" s="13" customFormat="1">
      <c r="B561" s="4">
        <v>548</v>
      </c>
      <c r="C561" s="103" t="s">
        <v>739</v>
      </c>
      <c r="D561" s="99" t="s">
        <v>430</v>
      </c>
      <c r="E561" s="38">
        <v>3</v>
      </c>
      <c r="F561" s="38" t="s">
        <v>748</v>
      </c>
      <c r="G561" s="38" t="s">
        <v>17</v>
      </c>
      <c r="H561" s="38" t="s">
        <v>16</v>
      </c>
    </row>
    <row r="562" spans="2:8" s="13" customFormat="1">
      <c r="B562" s="4">
        <v>549</v>
      </c>
      <c r="C562" s="103" t="s">
        <v>740</v>
      </c>
      <c r="D562" s="99" t="s">
        <v>430</v>
      </c>
      <c r="E562" s="38">
        <v>3</v>
      </c>
      <c r="F562" s="38" t="s">
        <v>748</v>
      </c>
      <c r="G562" s="38" t="s">
        <v>17</v>
      </c>
      <c r="H562" s="38" t="s">
        <v>16</v>
      </c>
    </row>
    <row r="563" spans="2:8" s="13" customFormat="1">
      <c r="B563" s="4">
        <v>550</v>
      </c>
      <c r="C563" s="103" t="s">
        <v>741</v>
      </c>
      <c r="D563" s="99" t="s">
        <v>430</v>
      </c>
      <c r="E563" s="38">
        <v>3</v>
      </c>
      <c r="F563" s="38" t="s">
        <v>748</v>
      </c>
      <c r="G563" s="38" t="s">
        <v>17</v>
      </c>
      <c r="H563" s="38" t="s">
        <v>16</v>
      </c>
    </row>
    <row r="564" spans="2:8" s="13" customFormat="1">
      <c r="B564" s="4">
        <v>551</v>
      </c>
      <c r="C564" s="103" t="s">
        <v>742</v>
      </c>
      <c r="D564" s="99" t="s">
        <v>430</v>
      </c>
      <c r="E564" s="38">
        <v>3</v>
      </c>
      <c r="F564" s="38" t="s">
        <v>748</v>
      </c>
      <c r="G564" s="38" t="s">
        <v>17</v>
      </c>
      <c r="H564" s="38" t="s">
        <v>16</v>
      </c>
    </row>
    <row r="565" spans="2:8" s="13" customFormat="1">
      <c r="B565" s="4">
        <v>552</v>
      </c>
      <c r="C565" s="103" t="s">
        <v>743</v>
      </c>
      <c r="D565" s="99" t="s">
        <v>365</v>
      </c>
      <c r="E565" s="38">
        <v>3</v>
      </c>
      <c r="F565" s="38" t="s">
        <v>748</v>
      </c>
      <c r="G565" s="38" t="s">
        <v>365</v>
      </c>
      <c r="H565" s="38" t="s">
        <v>16</v>
      </c>
    </row>
    <row r="566" spans="2:8" s="13" customFormat="1">
      <c r="B566" s="4">
        <v>553</v>
      </c>
      <c r="C566" s="99" t="s">
        <v>744</v>
      </c>
      <c r="D566" s="99" t="s">
        <v>365</v>
      </c>
      <c r="E566" s="38">
        <v>3</v>
      </c>
      <c r="F566" s="38" t="s">
        <v>748</v>
      </c>
      <c r="G566" s="38" t="s">
        <v>365</v>
      </c>
      <c r="H566" s="38" t="s">
        <v>16</v>
      </c>
    </row>
    <row r="567" spans="2:8" s="13" customFormat="1">
      <c r="B567" s="4">
        <v>554</v>
      </c>
      <c r="C567" s="99" t="s">
        <v>745</v>
      </c>
      <c r="D567" s="99" t="s">
        <v>365</v>
      </c>
      <c r="E567" s="38">
        <v>3</v>
      </c>
      <c r="F567" s="38" t="s">
        <v>748</v>
      </c>
      <c r="G567" s="38" t="s">
        <v>365</v>
      </c>
      <c r="H567" s="38" t="s">
        <v>16</v>
      </c>
    </row>
    <row r="568" spans="2:8" s="13" customFormat="1">
      <c r="B568" s="4">
        <v>555</v>
      </c>
      <c r="C568" s="99" t="s">
        <v>746</v>
      </c>
      <c r="D568" s="99" t="s">
        <v>365</v>
      </c>
      <c r="E568" s="38">
        <v>3</v>
      </c>
      <c r="F568" s="38" t="s">
        <v>748</v>
      </c>
      <c r="G568" s="38" t="s">
        <v>365</v>
      </c>
      <c r="H568" s="38" t="s">
        <v>16</v>
      </c>
    </row>
    <row r="569" spans="2:8" s="13" customFormat="1">
      <c r="B569" s="4">
        <v>556</v>
      </c>
      <c r="C569" s="99" t="s">
        <v>747</v>
      </c>
      <c r="D569" s="99" t="s">
        <v>365</v>
      </c>
      <c r="E569" s="38">
        <v>3</v>
      </c>
      <c r="F569" s="38" t="s">
        <v>748</v>
      </c>
      <c r="G569" s="38" t="s">
        <v>365</v>
      </c>
      <c r="H569" s="38" t="s">
        <v>16</v>
      </c>
    </row>
    <row r="570" spans="2:8" s="13" customFormat="1">
      <c r="B570" s="4">
        <v>557</v>
      </c>
      <c r="C570" s="103" t="s">
        <v>749</v>
      </c>
      <c r="D570" s="99" t="s">
        <v>750</v>
      </c>
      <c r="E570" s="38">
        <v>22</v>
      </c>
      <c r="F570" s="38" t="s">
        <v>791</v>
      </c>
      <c r="G570" s="38" t="s">
        <v>17</v>
      </c>
      <c r="H570" s="38" t="s">
        <v>16</v>
      </c>
    </row>
    <row r="571" spans="2:8" s="13" customFormat="1">
      <c r="B571" s="4">
        <v>558</v>
      </c>
      <c r="C571" s="103" t="s">
        <v>751</v>
      </c>
      <c r="D571" s="99" t="s">
        <v>752</v>
      </c>
      <c r="E571" s="38">
        <v>20</v>
      </c>
      <c r="F571" s="38" t="s">
        <v>791</v>
      </c>
      <c r="G571" s="38" t="s">
        <v>17</v>
      </c>
      <c r="H571" s="38" t="s">
        <v>16</v>
      </c>
    </row>
    <row r="572" spans="2:8" s="13" customFormat="1">
      <c r="B572" s="4">
        <v>559</v>
      </c>
      <c r="C572" s="103" t="s">
        <v>753</v>
      </c>
      <c r="D572" s="99" t="s">
        <v>752</v>
      </c>
      <c r="E572" s="38">
        <v>20</v>
      </c>
      <c r="F572" s="38" t="s">
        <v>791</v>
      </c>
      <c r="G572" s="38" t="s">
        <v>17</v>
      </c>
      <c r="H572" s="38" t="s">
        <v>16</v>
      </c>
    </row>
    <row r="573" spans="2:8" s="13" customFormat="1">
      <c r="B573" s="4">
        <v>560</v>
      </c>
      <c r="C573" s="103" t="s">
        <v>754</v>
      </c>
      <c r="D573" s="99" t="s">
        <v>755</v>
      </c>
      <c r="E573" s="38">
        <v>15</v>
      </c>
      <c r="F573" s="38" t="s">
        <v>791</v>
      </c>
      <c r="G573" s="38" t="s">
        <v>17</v>
      </c>
      <c r="H573" s="38" t="s">
        <v>16</v>
      </c>
    </row>
    <row r="574" spans="2:8" s="13" customFormat="1">
      <c r="B574" s="4">
        <v>561</v>
      </c>
      <c r="C574" s="103" t="s">
        <v>756</v>
      </c>
      <c r="D574" s="99" t="s">
        <v>755</v>
      </c>
      <c r="E574" s="38">
        <v>15</v>
      </c>
      <c r="F574" s="38" t="s">
        <v>791</v>
      </c>
      <c r="G574" s="38" t="s">
        <v>17</v>
      </c>
      <c r="H574" s="38" t="s">
        <v>16</v>
      </c>
    </row>
    <row r="575" spans="2:8" s="13" customFormat="1">
      <c r="B575" s="4">
        <v>562</v>
      </c>
      <c r="C575" s="103" t="s">
        <v>757</v>
      </c>
      <c r="D575" s="99" t="s">
        <v>755</v>
      </c>
      <c r="E575" s="38">
        <v>15</v>
      </c>
      <c r="F575" s="38" t="s">
        <v>791</v>
      </c>
      <c r="G575" s="38" t="s">
        <v>17</v>
      </c>
      <c r="H575" s="38" t="s">
        <v>16</v>
      </c>
    </row>
    <row r="576" spans="2:8" s="13" customFormat="1">
      <c r="B576" s="4">
        <v>563</v>
      </c>
      <c r="C576" s="103" t="s">
        <v>758</v>
      </c>
      <c r="D576" s="99" t="s">
        <v>755</v>
      </c>
      <c r="E576" s="38">
        <v>15</v>
      </c>
      <c r="F576" s="38" t="s">
        <v>791</v>
      </c>
      <c r="G576" s="38" t="s">
        <v>17</v>
      </c>
      <c r="H576" s="38" t="s">
        <v>16</v>
      </c>
    </row>
    <row r="577" spans="2:8" s="13" customFormat="1">
      <c r="B577" s="4">
        <v>564</v>
      </c>
      <c r="C577" s="103" t="s">
        <v>759</v>
      </c>
      <c r="D577" s="99" t="s">
        <v>755</v>
      </c>
      <c r="E577" s="38">
        <v>15</v>
      </c>
      <c r="F577" s="38" t="s">
        <v>791</v>
      </c>
      <c r="G577" s="38" t="s">
        <v>17</v>
      </c>
      <c r="H577" s="38" t="s">
        <v>16</v>
      </c>
    </row>
    <row r="578" spans="2:8" s="13" customFormat="1">
      <c r="B578" s="4">
        <v>565</v>
      </c>
      <c r="C578" s="103" t="s">
        <v>760</v>
      </c>
      <c r="D578" s="99" t="s">
        <v>755</v>
      </c>
      <c r="E578" s="38">
        <v>15</v>
      </c>
      <c r="F578" s="38" t="s">
        <v>791</v>
      </c>
      <c r="G578" s="38" t="s">
        <v>17</v>
      </c>
      <c r="H578" s="38" t="s">
        <v>16</v>
      </c>
    </row>
    <row r="579" spans="2:8" s="13" customFormat="1">
      <c r="B579" s="4">
        <v>566</v>
      </c>
      <c r="C579" s="103" t="s">
        <v>761</v>
      </c>
      <c r="D579" s="99" t="s">
        <v>755</v>
      </c>
      <c r="E579" s="38">
        <v>15</v>
      </c>
      <c r="F579" s="38" t="s">
        <v>791</v>
      </c>
      <c r="G579" s="38" t="s">
        <v>17</v>
      </c>
      <c r="H579" s="38" t="s">
        <v>16</v>
      </c>
    </row>
    <row r="580" spans="2:8" s="13" customFormat="1">
      <c r="B580" s="4">
        <v>567</v>
      </c>
      <c r="C580" s="99" t="s">
        <v>762</v>
      </c>
      <c r="D580" s="99" t="s">
        <v>755</v>
      </c>
      <c r="E580" s="38">
        <v>15</v>
      </c>
      <c r="F580" s="38" t="s">
        <v>791</v>
      </c>
      <c r="G580" s="38" t="s">
        <v>17</v>
      </c>
      <c r="H580" s="38" t="s">
        <v>16</v>
      </c>
    </row>
    <row r="581" spans="2:8" s="13" customFormat="1">
      <c r="B581" s="4">
        <v>568</v>
      </c>
      <c r="C581" s="103" t="s">
        <v>763</v>
      </c>
      <c r="D581" s="99" t="s">
        <v>755</v>
      </c>
      <c r="E581" s="38">
        <v>15</v>
      </c>
      <c r="F581" s="38" t="s">
        <v>791</v>
      </c>
      <c r="G581" s="38" t="s">
        <v>17</v>
      </c>
      <c r="H581" s="38" t="s">
        <v>16</v>
      </c>
    </row>
    <row r="582" spans="2:8" s="13" customFormat="1">
      <c r="B582" s="4">
        <v>569</v>
      </c>
      <c r="C582" s="99" t="s">
        <v>764</v>
      </c>
      <c r="D582" s="99" t="s">
        <v>755</v>
      </c>
      <c r="E582" s="38">
        <v>15</v>
      </c>
      <c r="F582" s="38" t="s">
        <v>791</v>
      </c>
      <c r="G582" s="38" t="s">
        <v>17</v>
      </c>
      <c r="H582" s="38" t="s">
        <v>16</v>
      </c>
    </row>
    <row r="583" spans="2:8" s="13" customFormat="1">
      <c r="B583" s="4">
        <v>570</v>
      </c>
      <c r="C583" s="103" t="s">
        <v>765</v>
      </c>
      <c r="D583" s="99" t="s">
        <v>755</v>
      </c>
      <c r="E583" s="38">
        <v>15</v>
      </c>
      <c r="F583" s="38" t="s">
        <v>791</v>
      </c>
      <c r="G583" s="38" t="s">
        <v>17</v>
      </c>
      <c r="H583" s="38" t="s">
        <v>16</v>
      </c>
    </row>
    <row r="584" spans="2:8" s="13" customFormat="1">
      <c r="B584" s="4">
        <v>571</v>
      </c>
      <c r="C584" s="103" t="s">
        <v>766</v>
      </c>
      <c r="D584" s="99" t="s">
        <v>755</v>
      </c>
      <c r="E584" s="38">
        <v>15</v>
      </c>
      <c r="F584" s="38" t="s">
        <v>791</v>
      </c>
      <c r="G584" s="38" t="s">
        <v>17</v>
      </c>
      <c r="H584" s="38" t="s">
        <v>16</v>
      </c>
    </row>
    <row r="585" spans="2:8" s="13" customFormat="1">
      <c r="B585" s="4">
        <v>572</v>
      </c>
      <c r="C585" s="103" t="s">
        <v>767</v>
      </c>
      <c r="D585" s="99" t="s">
        <v>755</v>
      </c>
      <c r="E585" s="38">
        <v>15</v>
      </c>
      <c r="F585" s="38" t="s">
        <v>791</v>
      </c>
      <c r="G585" s="38" t="s">
        <v>17</v>
      </c>
      <c r="H585" s="38" t="s">
        <v>16</v>
      </c>
    </row>
    <row r="586" spans="2:8" s="13" customFormat="1">
      <c r="B586" s="4">
        <v>573</v>
      </c>
      <c r="C586" s="103" t="s">
        <v>768</v>
      </c>
      <c r="D586" s="99" t="s">
        <v>755</v>
      </c>
      <c r="E586" s="38">
        <v>15</v>
      </c>
      <c r="F586" s="38" t="s">
        <v>791</v>
      </c>
      <c r="G586" s="38" t="s">
        <v>17</v>
      </c>
      <c r="H586" s="38" t="s">
        <v>16</v>
      </c>
    </row>
    <row r="587" spans="2:8" s="13" customFormat="1">
      <c r="B587" s="4">
        <v>574</v>
      </c>
      <c r="C587" s="103" t="s">
        <v>769</v>
      </c>
      <c r="D587" s="99" t="s">
        <v>755</v>
      </c>
      <c r="E587" s="38">
        <v>15</v>
      </c>
      <c r="F587" s="38" t="s">
        <v>791</v>
      </c>
      <c r="G587" s="38" t="s">
        <v>17</v>
      </c>
      <c r="H587" s="38" t="s">
        <v>16</v>
      </c>
    </row>
    <row r="588" spans="2:8" s="13" customFormat="1">
      <c r="B588" s="4">
        <v>575</v>
      </c>
      <c r="C588" s="103" t="s">
        <v>770</v>
      </c>
      <c r="D588" s="99" t="s">
        <v>755</v>
      </c>
      <c r="E588" s="38">
        <v>15</v>
      </c>
      <c r="F588" s="38" t="s">
        <v>791</v>
      </c>
      <c r="G588" s="38" t="s">
        <v>17</v>
      </c>
      <c r="H588" s="38" t="s">
        <v>16</v>
      </c>
    </row>
    <row r="589" spans="2:8" s="13" customFormat="1">
      <c r="B589" s="4">
        <v>576</v>
      </c>
      <c r="C589" s="103" t="s">
        <v>771</v>
      </c>
      <c r="D589" s="99" t="s">
        <v>755</v>
      </c>
      <c r="E589" s="38">
        <v>15</v>
      </c>
      <c r="F589" s="38" t="s">
        <v>791</v>
      </c>
      <c r="G589" s="38" t="s">
        <v>17</v>
      </c>
      <c r="H589" s="38" t="s">
        <v>16</v>
      </c>
    </row>
    <row r="590" spans="2:8" s="13" customFormat="1">
      <c r="B590" s="4">
        <v>577</v>
      </c>
      <c r="C590" s="103" t="s">
        <v>772</v>
      </c>
      <c r="D590" s="99" t="s">
        <v>344</v>
      </c>
      <c r="E590" s="38">
        <v>8</v>
      </c>
      <c r="F590" s="38" t="s">
        <v>791</v>
      </c>
      <c r="G590" s="38" t="s">
        <v>17</v>
      </c>
      <c r="H590" s="38" t="s">
        <v>16</v>
      </c>
    </row>
    <row r="591" spans="2:8" s="13" customFormat="1">
      <c r="B591" s="4">
        <v>578</v>
      </c>
      <c r="C591" s="103" t="s">
        <v>773</v>
      </c>
      <c r="D591" s="99" t="s">
        <v>344</v>
      </c>
      <c r="E591" s="38">
        <v>8</v>
      </c>
      <c r="F591" s="38" t="s">
        <v>791</v>
      </c>
      <c r="G591" s="38" t="s">
        <v>17</v>
      </c>
      <c r="H591" s="38" t="s">
        <v>16</v>
      </c>
    </row>
    <row r="592" spans="2:8" s="13" customFormat="1">
      <c r="B592" s="4">
        <v>579</v>
      </c>
      <c r="C592" s="103" t="s">
        <v>774</v>
      </c>
      <c r="D592" s="99" t="s">
        <v>344</v>
      </c>
      <c r="E592" s="38">
        <v>8</v>
      </c>
      <c r="F592" s="38" t="s">
        <v>791</v>
      </c>
      <c r="G592" s="38" t="s">
        <v>17</v>
      </c>
      <c r="H592" s="38" t="s">
        <v>16</v>
      </c>
    </row>
    <row r="593" spans="2:8" s="13" customFormat="1">
      <c r="B593" s="4">
        <v>580</v>
      </c>
      <c r="C593" s="97" t="s">
        <v>775</v>
      </c>
      <c r="D593" s="99" t="s">
        <v>344</v>
      </c>
      <c r="E593" s="38">
        <v>8</v>
      </c>
      <c r="F593" s="38" t="s">
        <v>791</v>
      </c>
      <c r="G593" s="38" t="s">
        <v>17</v>
      </c>
      <c r="H593" s="38" t="s">
        <v>16</v>
      </c>
    </row>
    <row r="594" spans="2:8" s="13" customFormat="1">
      <c r="B594" s="4">
        <v>581</v>
      </c>
      <c r="C594" s="97" t="s">
        <v>776</v>
      </c>
      <c r="D594" s="97" t="s">
        <v>777</v>
      </c>
      <c r="E594" s="38">
        <v>8</v>
      </c>
      <c r="F594" s="38" t="s">
        <v>791</v>
      </c>
      <c r="G594" s="38" t="s">
        <v>17</v>
      </c>
      <c r="H594" s="38" t="s">
        <v>16</v>
      </c>
    </row>
    <row r="595" spans="2:8" s="13" customFormat="1">
      <c r="B595" s="4">
        <v>582</v>
      </c>
      <c r="C595" s="97" t="s">
        <v>778</v>
      </c>
      <c r="D595" s="97" t="s">
        <v>777</v>
      </c>
      <c r="E595" s="38">
        <v>8</v>
      </c>
      <c r="F595" s="38" t="s">
        <v>791</v>
      </c>
      <c r="G595" s="38" t="s">
        <v>17</v>
      </c>
      <c r="H595" s="38" t="s">
        <v>16</v>
      </c>
    </row>
    <row r="596" spans="2:8" s="13" customFormat="1">
      <c r="B596" s="4">
        <v>583</v>
      </c>
      <c r="C596" s="103" t="s">
        <v>779</v>
      </c>
      <c r="D596" s="97" t="s">
        <v>344</v>
      </c>
      <c r="E596" s="38">
        <v>8</v>
      </c>
      <c r="F596" s="38" t="s">
        <v>791</v>
      </c>
      <c r="G596" s="38" t="s">
        <v>17</v>
      </c>
      <c r="H596" s="38" t="s">
        <v>16</v>
      </c>
    </row>
    <row r="597" spans="2:8" s="13" customFormat="1">
      <c r="B597" s="4">
        <v>584</v>
      </c>
      <c r="C597" s="97" t="s">
        <v>780</v>
      </c>
      <c r="D597" s="97" t="s">
        <v>777</v>
      </c>
      <c r="E597" s="38">
        <v>8</v>
      </c>
      <c r="F597" s="38" t="s">
        <v>791</v>
      </c>
      <c r="G597" s="38" t="s">
        <v>17</v>
      </c>
      <c r="H597" s="38" t="s">
        <v>16</v>
      </c>
    </row>
    <row r="598" spans="2:8" s="13" customFormat="1">
      <c r="B598" s="4">
        <v>585</v>
      </c>
      <c r="C598" s="103" t="s">
        <v>781</v>
      </c>
      <c r="D598" s="97" t="s">
        <v>777</v>
      </c>
      <c r="E598" s="38">
        <v>8</v>
      </c>
      <c r="F598" s="38" t="s">
        <v>791</v>
      </c>
      <c r="G598" s="38" t="s">
        <v>17</v>
      </c>
      <c r="H598" s="38" t="s">
        <v>16</v>
      </c>
    </row>
    <row r="599" spans="2:8" s="13" customFormat="1">
      <c r="B599" s="4">
        <v>586</v>
      </c>
      <c r="C599" s="103" t="s">
        <v>782</v>
      </c>
      <c r="D599" s="99" t="s">
        <v>344</v>
      </c>
      <c r="E599" s="38">
        <v>8</v>
      </c>
      <c r="F599" s="38" t="s">
        <v>791</v>
      </c>
      <c r="G599" s="38" t="s">
        <v>17</v>
      </c>
      <c r="H599" s="38" t="s">
        <v>16</v>
      </c>
    </row>
    <row r="600" spans="2:8" s="13" customFormat="1">
      <c r="B600" s="4">
        <v>587</v>
      </c>
      <c r="C600" s="103" t="s">
        <v>783</v>
      </c>
      <c r="D600" s="99" t="s">
        <v>344</v>
      </c>
      <c r="E600" s="38">
        <v>8</v>
      </c>
      <c r="F600" s="38" t="s">
        <v>791</v>
      </c>
      <c r="G600" s="38" t="s">
        <v>17</v>
      </c>
      <c r="H600" s="38" t="s">
        <v>16</v>
      </c>
    </row>
    <row r="601" spans="2:8" s="13" customFormat="1">
      <c r="B601" s="4">
        <v>588</v>
      </c>
      <c r="C601" s="103" t="s">
        <v>784</v>
      </c>
      <c r="D601" s="99" t="s">
        <v>344</v>
      </c>
      <c r="E601" s="38">
        <v>8</v>
      </c>
      <c r="F601" s="38" t="s">
        <v>791</v>
      </c>
      <c r="G601" s="38" t="s">
        <v>17</v>
      </c>
      <c r="H601" s="38" t="s">
        <v>16</v>
      </c>
    </row>
    <row r="602" spans="2:8" s="13" customFormat="1">
      <c r="B602" s="4">
        <v>589</v>
      </c>
      <c r="C602" s="103" t="s">
        <v>785</v>
      </c>
      <c r="D602" s="99" t="s">
        <v>344</v>
      </c>
      <c r="E602" s="38">
        <v>8</v>
      </c>
      <c r="F602" s="38" t="s">
        <v>791</v>
      </c>
      <c r="G602" s="38" t="s">
        <v>17</v>
      </c>
      <c r="H602" s="38" t="s">
        <v>16</v>
      </c>
    </row>
    <row r="603" spans="2:8" s="13" customFormat="1">
      <c r="B603" s="4">
        <v>590</v>
      </c>
      <c r="C603" s="103" t="s">
        <v>786</v>
      </c>
      <c r="D603" s="99" t="s">
        <v>344</v>
      </c>
      <c r="E603" s="38">
        <v>8</v>
      </c>
      <c r="F603" s="38" t="s">
        <v>791</v>
      </c>
      <c r="G603" s="38" t="s">
        <v>17</v>
      </c>
      <c r="H603" s="38" t="s">
        <v>16</v>
      </c>
    </row>
    <row r="604" spans="2:8" s="13" customFormat="1">
      <c r="B604" s="4">
        <v>591</v>
      </c>
      <c r="C604" s="97" t="s">
        <v>787</v>
      </c>
      <c r="D604" s="97" t="s">
        <v>159</v>
      </c>
      <c r="E604" s="38">
        <v>7</v>
      </c>
      <c r="F604" s="38" t="s">
        <v>791</v>
      </c>
      <c r="G604" s="38" t="s">
        <v>17</v>
      </c>
      <c r="H604" s="38" t="s">
        <v>16</v>
      </c>
    </row>
    <row r="605" spans="2:8" s="13" customFormat="1">
      <c r="B605" s="4">
        <v>592</v>
      </c>
      <c r="C605" s="103" t="s">
        <v>788</v>
      </c>
      <c r="D605" s="97" t="s">
        <v>159</v>
      </c>
      <c r="E605" s="38">
        <v>7</v>
      </c>
      <c r="F605" s="38" t="s">
        <v>791</v>
      </c>
      <c r="G605" s="38" t="s">
        <v>17</v>
      </c>
      <c r="H605" s="38" t="s">
        <v>16</v>
      </c>
    </row>
    <row r="606" spans="2:8" s="13" customFormat="1">
      <c r="B606" s="4">
        <v>593</v>
      </c>
      <c r="C606" s="103" t="s">
        <v>789</v>
      </c>
      <c r="D606" s="97" t="s">
        <v>159</v>
      </c>
      <c r="E606" s="38">
        <v>7</v>
      </c>
      <c r="F606" s="38" t="s">
        <v>791</v>
      </c>
      <c r="G606" s="38" t="s">
        <v>17</v>
      </c>
      <c r="H606" s="38" t="s">
        <v>16</v>
      </c>
    </row>
    <row r="607" spans="2:8" s="13" customFormat="1">
      <c r="B607" s="4">
        <v>594</v>
      </c>
      <c r="C607" s="103" t="s">
        <v>790</v>
      </c>
      <c r="D607" s="97" t="s">
        <v>159</v>
      </c>
      <c r="E607" s="38">
        <v>7</v>
      </c>
      <c r="F607" s="38" t="s">
        <v>791</v>
      </c>
      <c r="G607" s="38" t="s">
        <v>17</v>
      </c>
      <c r="H607" s="38" t="s">
        <v>16</v>
      </c>
    </row>
    <row r="608" spans="2:8" s="13" customFormat="1">
      <c r="B608" s="4">
        <v>595</v>
      </c>
      <c r="C608" s="103" t="s">
        <v>792</v>
      </c>
      <c r="D608" s="99" t="s">
        <v>854</v>
      </c>
      <c r="E608" s="38">
        <v>24</v>
      </c>
      <c r="F608" s="38" t="s">
        <v>796</v>
      </c>
      <c r="G608" s="38" t="s">
        <v>17</v>
      </c>
      <c r="H608" s="38" t="s">
        <v>16</v>
      </c>
    </row>
    <row r="609" spans="2:8" s="13" customFormat="1">
      <c r="B609" s="4">
        <v>596</v>
      </c>
      <c r="C609" s="103" t="s">
        <v>793</v>
      </c>
      <c r="D609" s="99" t="s">
        <v>552</v>
      </c>
      <c r="E609" s="38">
        <v>11</v>
      </c>
      <c r="F609" s="38" t="s">
        <v>796</v>
      </c>
      <c r="G609" s="38" t="s">
        <v>17</v>
      </c>
      <c r="H609" s="38" t="s">
        <v>16</v>
      </c>
    </row>
    <row r="610" spans="2:8" s="13" customFormat="1">
      <c r="B610" s="4">
        <v>597</v>
      </c>
      <c r="C610" s="103" t="s">
        <v>794</v>
      </c>
      <c r="D610" s="99" t="s">
        <v>344</v>
      </c>
      <c r="E610" s="38">
        <v>8</v>
      </c>
      <c r="F610" s="38" t="s">
        <v>796</v>
      </c>
      <c r="G610" s="38" t="s">
        <v>17</v>
      </c>
      <c r="H610" s="38" t="s">
        <v>16</v>
      </c>
    </row>
    <row r="611" spans="2:8" s="13" customFormat="1">
      <c r="B611" s="4">
        <v>598</v>
      </c>
      <c r="C611" s="103" t="s">
        <v>795</v>
      </c>
      <c r="D611" s="99" t="s">
        <v>723</v>
      </c>
      <c r="E611" s="38">
        <v>6</v>
      </c>
      <c r="F611" s="38" t="s">
        <v>796</v>
      </c>
      <c r="G611" s="38" t="s">
        <v>17</v>
      </c>
      <c r="H611" s="38" t="s">
        <v>16</v>
      </c>
    </row>
    <row r="612" spans="2:8" s="13" customFormat="1">
      <c r="B612" s="4">
        <v>599</v>
      </c>
      <c r="C612" s="103" t="s">
        <v>797</v>
      </c>
      <c r="D612" s="99" t="s">
        <v>798</v>
      </c>
      <c r="E612" s="38">
        <v>15</v>
      </c>
      <c r="F612" s="38" t="s">
        <v>811</v>
      </c>
      <c r="G612" s="38" t="s">
        <v>17</v>
      </c>
      <c r="H612" s="38" t="s">
        <v>16</v>
      </c>
    </row>
    <row r="613" spans="2:8" s="13" customFormat="1">
      <c r="B613" s="4">
        <v>600</v>
      </c>
      <c r="C613" s="99" t="s">
        <v>799</v>
      </c>
      <c r="D613" s="99" t="s">
        <v>449</v>
      </c>
      <c r="E613" s="38">
        <v>14</v>
      </c>
      <c r="F613" s="38" t="s">
        <v>811</v>
      </c>
      <c r="G613" s="38" t="s">
        <v>17</v>
      </c>
      <c r="H613" s="38" t="s">
        <v>16</v>
      </c>
    </row>
    <row r="614" spans="2:8" s="13" customFormat="1">
      <c r="B614" s="4">
        <v>601</v>
      </c>
      <c r="C614" s="103" t="s">
        <v>800</v>
      </c>
      <c r="D614" s="99" t="s">
        <v>449</v>
      </c>
      <c r="E614" s="38">
        <v>14</v>
      </c>
      <c r="F614" s="38" t="s">
        <v>811</v>
      </c>
      <c r="G614" s="38" t="s">
        <v>17</v>
      </c>
      <c r="H614" s="38" t="s">
        <v>16</v>
      </c>
    </row>
    <row r="615" spans="2:8" s="13" customFormat="1">
      <c r="B615" s="4">
        <v>602</v>
      </c>
      <c r="C615" s="103" t="s">
        <v>801</v>
      </c>
      <c r="D615" s="99" t="s">
        <v>552</v>
      </c>
      <c r="E615" s="38">
        <v>11</v>
      </c>
      <c r="F615" s="38" t="s">
        <v>811</v>
      </c>
      <c r="G615" s="38" t="s">
        <v>17</v>
      </c>
      <c r="H615" s="38" t="s">
        <v>16</v>
      </c>
    </row>
    <row r="616" spans="2:8" s="13" customFormat="1">
      <c r="B616" s="4">
        <v>603</v>
      </c>
      <c r="C616" s="103" t="s">
        <v>802</v>
      </c>
      <c r="D616" s="99" t="s">
        <v>552</v>
      </c>
      <c r="E616" s="38">
        <v>11</v>
      </c>
      <c r="F616" s="38" t="s">
        <v>811</v>
      </c>
      <c r="G616" s="38" t="s">
        <v>17</v>
      </c>
      <c r="H616" s="38" t="s">
        <v>16</v>
      </c>
    </row>
    <row r="617" spans="2:8" s="13" customFormat="1">
      <c r="B617" s="4">
        <v>604</v>
      </c>
      <c r="C617" s="103" t="s">
        <v>803</v>
      </c>
      <c r="D617" s="99" t="s">
        <v>804</v>
      </c>
      <c r="E617" s="38">
        <v>9</v>
      </c>
      <c r="F617" s="38" t="s">
        <v>811</v>
      </c>
      <c r="G617" s="38" t="s">
        <v>17</v>
      </c>
      <c r="H617" s="38" t="s">
        <v>16</v>
      </c>
    </row>
    <row r="618" spans="2:8" s="13" customFormat="1">
      <c r="B618" s="4">
        <v>605</v>
      </c>
      <c r="C618" s="103" t="s">
        <v>805</v>
      </c>
      <c r="D618" s="99" t="s">
        <v>344</v>
      </c>
      <c r="E618" s="38">
        <v>8</v>
      </c>
      <c r="F618" s="38" t="s">
        <v>811</v>
      </c>
      <c r="G618" s="38" t="s">
        <v>17</v>
      </c>
      <c r="H618" s="38" t="s">
        <v>16</v>
      </c>
    </row>
    <row r="619" spans="2:8" s="13" customFormat="1">
      <c r="B619" s="4">
        <v>606</v>
      </c>
      <c r="C619" s="103" t="s">
        <v>806</v>
      </c>
      <c r="D619" s="99" t="s">
        <v>344</v>
      </c>
      <c r="E619" s="38">
        <v>8</v>
      </c>
      <c r="F619" s="38" t="s">
        <v>811</v>
      </c>
      <c r="G619" s="38" t="s">
        <v>17</v>
      </c>
      <c r="H619" s="38" t="s">
        <v>16</v>
      </c>
    </row>
    <row r="620" spans="2:8" s="13" customFormat="1">
      <c r="B620" s="4">
        <v>607</v>
      </c>
      <c r="C620" s="97" t="s">
        <v>807</v>
      </c>
      <c r="D620" s="97" t="s">
        <v>777</v>
      </c>
      <c r="E620" s="38">
        <v>8</v>
      </c>
      <c r="F620" s="38" t="s">
        <v>811</v>
      </c>
      <c r="G620" s="38" t="s">
        <v>17</v>
      </c>
      <c r="H620" s="38" t="s">
        <v>16</v>
      </c>
    </row>
    <row r="621" spans="2:8" s="13" customFormat="1">
      <c r="B621" s="4">
        <v>608</v>
      </c>
      <c r="C621" s="103" t="s">
        <v>808</v>
      </c>
      <c r="D621" s="97" t="s">
        <v>777</v>
      </c>
      <c r="E621" s="38">
        <v>8</v>
      </c>
      <c r="F621" s="38" t="s">
        <v>811</v>
      </c>
      <c r="G621" s="38" t="s">
        <v>17</v>
      </c>
      <c r="H621" s="38" t="s">
        <v>16</v>
      </c>
    </row>
    <row r="622" spans="2:8" s="13" customFormat="1">
      <c r="B622" s="4">
        <v>609</v>
      </c>
      <c r="C622" s="97" t="s">
        <v>809</v>
      </c>
      <c r="D622" s="97" t="s">
        <v>777</v>
      </c>
      <c r="E622" s="38">
        <v>8</v>
      </c>
      <c r="F622" s="38" t="s">
        <v>811</v>
      </c>
      <c r="G622" s="38" t="s">
        <v>17</v>
      </c>
      <c r="H622" s="38" t="s">
        <v>16</v>
      </c>
    </row>
    <row r="623" spans="2:8" s="13" customFormat="1">
      <c r="B623" s="4">
        <v>610</v>
      </c>
      <c r="C623" s="106" t="s">
        <v>810</v>
      </c>
      <c r="D623" s="97" t="s">
        <v>777</v>
      </c>
      <c r="E623" s="38">
        <v>8</v>
      </c>
      <c r="F623" s="38" t="s">
        <v>811</v>
      </c>
      <c r="G623" s="38" t="s">
        <v>17</v>
      </c>
      <c r="H623" s="38" t="s">
        <v>16</v>
      </c>
    </row>
    <row r="624" spans="2:8" s="13" customFormat="1">
      <c r="B624" s="4">
        <v>611</v>
      </c>
      <c r="C624" s="103" t="s">
        <v>1550</v>
      </c>
      <c r="D624" s="99" t="s">
        <v>813</v>
      </c>
      <c r="E624" s="38">
        <v>22</v>
      </c>
      <c r="F624" s="38" t="s">
        <v>831</v>
      </c>
      <c r="G624" s="38" t="s">
        <v>17</v>
      </c>
      <c r="H624" s="38" t="s">
        <v>16</v>
      </c>
    </row>
    <row r="625" spans="2:8" s="13" customFormat="1">
      <c r="B625" s="4">
        <v>612</v>
      </c>
      <c r="C625" s="103" t="s">
        <v>814</v>
      </c>
      <c r="D625" s="99" t="s">
        <v>449</v>
      </c>
      <c r="E625" s="38">
        <v>14</v>
      </c>
      <c r="F625" s="38" t="s">
        <v>832</v>
      </c>
      <c r="G625" s="38" t="s">
        <v>17</v>
      </c>
      <c r="H625" s="38" t="s">
        <v>16</v>
      </c>
    </row>
    <row r="626" spans="2:8" s="13" customFormat="1">
      <c r="B626" s="4">
        <v>613</v>
      </c>
      <c r="C626" s="103" t="s">
        <v>815</v>
      </c>
      <c r="D626" s="99" t="s">
        <v>449</v>
      </c>
      <c r="E626" s="38">
        <v>14</v>
      </c>
      <c r="F626" s="38" t="s">
        <v>831</v>
      </c>
      <c r="G626" s="38" t="s">
        <v>17</v>
      </c>
      <c r="H626" s="38" t="s">
        <v>16</v>
      </c>
    </row>
    <row r="627" spans="2:8" s="13" customFormat="1">
      <c r="B627" s="4">
        <v>614</v>
      </c>
      <c r="C627" s="103" t="s">
        <v>816</v>
      </c>
      <c r="D627" s="99" t="s">
        <v>817</v>
      </c>
      <c r="E627" s="38">
        <v>11</v>
      </c>
      <c r="F627" s="38" t="s">
        <v>832</v>
      </c>
      <c r="G627" s="38" t="s">
        <v>17</v>
      </c>
      <c r="H627" s="38" t="s">
        <v>16</v>
      </c>
    </row>
    <row r="628" spans="2:8" s="13" customFormat="1">
      <c r="B628" s="4">
        <v>615</v>
      </c>
      <c r="C628" s="103" t="s">
        <v>818</v>
      </c>
      <c r="D628" s="99" t="s">
        <v>552</v>
      </c>
      <c r="E628" s="38">
        <v>11</v>
      </c>
      <c r="F628" s="38" t="s">
        <v>831</v>
      </c>
      <c r="G628" s="38" t="s">
        <v>17</v>
      </c>
      <c r="H628" s="38" t="s">
        <v>16</v>
      </c>
    </row>
    <row r="629" spans="2:8" s="13" customFormat="1">
      <c r="B629" s="4">
        <v>616</v>
      </c>
      <c r="C629" s="103" t="s">
        <v>819</v>
      </c>
      <c r="D629" s="99" t="s">
        <v>820</v>
      </c>
      <c r="E629" s="38">
        <v>11</v>
      </c>
      <c r="F629" s="38" t="s">
        <v>831</v>
      </c>
      <c r="G629" s="38" t="s">
        <v>17</v>
      </c>
      <c r="H629" s="38" t="s">
        <v>16</v>
      </c>
    </row>
    <row r="630" spans="2:8" s="13" customFormat="1">
      <c r="B630" s="4">
        <v>617</v>
      </c>
      <c r="C630" s="103" t="s">
        <v>821</v>
      </c>
      <c r="D630" s="99" t="s">
        <v>820</v>
      </c>
      <c r="E630" s="38">
        <v>11</v>
      </c>
      <c r="F630" s="38" t="s">
        <v>831</v>
      </c>
      <c r="G630" s="38" t="s">
        <v>17</v>
      </c>
      <c r="H630" s="38" t="s">
        <v>16</v>
      </c>
    </row>
    <row r="631" spans="2:8" s="13" customFormat="1">
      <c r="B631" s="4">
        <v>618</v>
      </c>
      <c r="C631" s="103" t="s">
        <v>822</v>
      </c>
      <c r="D631" s="99" t="s">
        <v>804</v>
      </c>
      <c r="E631" s="38">
        <v>9</v>
      </c>
      <c r="F631" s="38" t="s">
        <v>831</v>
      </c>
      <c r="G631" s="38" t="s">
        <v>17</v>
      </c>
      <c r="H631" s="38" t="s">
        <v>16</v>
      </c>
    </row>
    <row r="632" spans="2:8" s="13" customFormat="1">
      <c r="B632" s="4">
        <v>619</v>
      </c>
      <c r="C632" s="103" t="s">
        <v>823</v>
      </c>
      <c r="D632" s="99" t="s">
        <v>804</v>
      </c>
      <c r="E632" s="38">
        <v>9</v>
      </c>
      <c r="F632" s="38" t="s">
        <v>831</v>
      </c>
      <c r="G632" s="38" t="s">
        <v>17</v>
      </c>
      <c r="H632" s="38" t="s">
        <v>16</v>
      </c>
    </row>
    <row r="633" spans="2:8" s="13" customFormat="1">
      <c r="B633" s="4">
        <v>620</v>
      </c>
      <c r="C633" s="103" t="s">
        <v>824</v>
      </c>
      <c r="D633" s="99" t="s">
        <v>159</v>
      </c>
      <c r="E633" s="38">
        <v>7</v>
      </c>
      <c r="F633" s="38" t="s">
        <v>832</v>
      </c>
      <c r="G633" s="38" t="s">
        <v>17</v>
      </c>
      <c r="H633" s="38" t="s">
        <v>16</v>
      </c>
    </row>
    <row r="634" spans="2:8" s="13" customFormat="1">
      <c r="B634" s="4">
        <v>621</v>
      </c>
      <c r="C634" s="103" t="s">
        <v>825</v>
      </c>
      <c r="D634" s="99" t="s">
        <v>159</v>
      </c>
      <c r="E634" s="38">
        <v>7</v>
      </c>
      <c r="F634" s="38" t="s">
        <v>831</v>
      </c>
      <c r="G634" s="38" t="s">
        <v>17</v>
      </c>
      <c r="H634" s="38" t="s">
        <v>16</v>
      </c>
    </row>
    <row r="635" spans="2:8" s="13" customFormat="1">
      <c r="B635" s="4">
        <v>622</v>
      </c>
      <c r="C635" s="99" t="s">
        <v>826</v>
      </c>
      <c r="D635" s="99" t="s">
        <v>159</v>
      </c>
      <c r="E635" s="38">
        <v>7</v>
      </c>
      <c r="F635" s="38" t="s">
        <v>832</v>
      </c>
      <c r="G635" s="38" t="s">
        <v>17</v>
      </c>
      <c r="H635" s="38" t="s">
        <v>16</v>
      </c>
    </row>
    <row r="636" spans="2:8" s="13" customFormat="1">
      <c r="B636" s="4">
        <v>623</v>
      </c>
      <c r="C636" s="99" t="s">
        <v>827</v>
      </c>
      <c r="D636" s="99" t="s">
        <v>159</v>
      </c>
      <c r="E636" s="38">
        <v>7</v>
      </c>
      <c r="F636" s="38" t="s">
        <v>831</v>
      </c>
      <c r="G636" s="38" t="s">
        <v>17</v>
      </c>
      <c r="H636" s="38" t="s">
        <v>16</v>
      </c>
    </row>
    <row r="637" spans="2:8" s="13" customFormat="1">
      <c r="B637" s="4">
        <v>624</v>
      </c>
      <c r="C637" s="99" t="s">
        <v>828</v>
      </c>
      <c r="D637" s="99" t="s">
        <v>159</v>
      </c>
      <c r="E637" s="38">
        <v>7</v>
      </c>
      <c r="F637" s="38" t="s">
        <v>831</v>
      </c>
      <c r="G637" s="38" t="s">
        <v>17</v>
      </c>
      <c r="H637" s="38" t="s">
        <v>16</v>
      </c>
    </row>
    <row r="638" spans="2:8" s="13" customFormat="1">
      <c r="B638" s="4">
        <v>625</v>
      </c>
      <c r="C638" s="99" t="s">
        <v>829</v>
      </c>
      <c r="D638" s="99" t="s">
        <v>159</v>
      </c>
      <c r="E638" s="38">
        <v>7</v>
      </c>
      <c r="F638" s="38" t="s">
        <v>831</v>
      </c>
      <c r="G638" s="38" t="s">
        <v>17</v>
      </c>
      <c r="H638" s="38" t="s">
        <v>16</v>
      </c>
    </row>
    <row r="639" spans="2:8" s="13" customFormat="1">
      <c r="B639" s="4">
        <v>626</v>
      </c>
      <c r="C639" s="99" t="s">
        <v>830</v>
      </c>
      <c r="D639" s="106" t="s">
        <v>365</v>
      </c>
      <c r="E639" s="38">
        <v>3</v>
      </c>
      <c r="F639" s="38" t="s">
        <v>831</v>
      </c>
      <c r="G639" s="38" t="s">
        <v>365</v>
      </c>
      <c r="H639" s="38" t="s">
        <v>16</v>
      </c>
    </row>
    <row r="640" spans="2:8" s="13" customFormat="1">
      <c r="B640" s="4">
        <v>627</v>
      </c>
      <c r="C640" s="103" t="s">
        <v>833</v>
      </c>
      <c r="D640" s="99" t="s">
        <v>834</v>
      </c>
      <c r="E640" s="38">
        <v>8</v>
      </c>
      <c r="F640" s="38" t="s">
        <v>853</v>
      </c>
      <c r="G640" s="38" t="s">
        <v>17</v>
      </c>
      <c r="H640" s="38" t="s">
        <v>16</v>
      </c>
    </row>
    <row r="641" spans="2:8" s="13" customFormat="1">
      <c r="B641" s="4">
        <v>628</v>
      </c>
      <c r="C641" s="103" t="s">
        <v>835</v>
      </c>
      <c r="D641" s="99" t="s">
        <v>834</v>
      </c>
      <c r="E641" s="38">
        <v>8</v>
      </c>
      <c r="F641" s="38" t="s">
        <v>853</v>
      </c>
      <c r="G641" s="38" t="s">
        <v>17</v>
      </c>
      <c r="H641" s="38" t="s">
        <v>16</v>
      </c>
    </row>
    <row r="642" spans="2:8" s="13" customFormat="1">
      <c r="B642" s="4">
        <v>629</v>
      </c>
      <c r="C642" s="103" t="s">
        <v>836</v>
      </c>
      <c r="D642" s="99" t="s">
        <v>723</v>
      </c>
      <c r="E642" s="38">
        <v>6</v>
      </c>
      <c r="F642" s="38" t="s">
        <v>853</v>
      </c>
      <c r="G642" s="38" t="s">
        <v>17</v>
      </c>
      <c r="H642" s="38" t="s">
        <v>16</v>
      </c>
    </row>
    <row r="643" spans="2:8" s="13" customFormat="1">
      <c r="B643" s="4">
        <v>630</v>
      </c>
      <c r="C643" s="103" t="s">
        <v>1543</v>
      </c>
      <c r="D643" s="99" t="s">
        <v>430</v>
      </c>
      <c r="E643" s="38">
        <v>3</v>
      </c>
      <c r="F643" s="38" t="s">
        <v>853</v>
      </c>
      <c r="G643" s="38" t="s">
        <v>17</v>
      </c>
      <c r="H643" s="38" t="s">
        <v>16</v>
      </c>
    </row>
    <row r="644" spans="2:8" s="13" customFormat="1">
      <c r="B644" s="4">
        <v>631</v>
      </c>
      <c r="C644" s="103" t="s">
        <v>837</v>
      </c>
      <c r="D644" s="99" t="s">
        <v>430</v>
      </c>
      <c r="E644" s="38">
        <v>3</v>
      </c>
      <c r="F644" s="38" t="s">
        <v>853</v>
      </c>
      <c r="G644" s="38" t="s">
        <v>17</v>
      </c>
      <c r="H644" s="38" t="s">
        <v>16</v>
      </c>
    </row>
    <row r="645" spans="2:8" s="13" customFormat="1">
      <c r="B645" s="4">
        <v>632</v>
      </c>
      <c r="C645" s="103" t="s">
        <v>838</v>
      </c>
      <c r="D645" s="99" t="s">
        <v>430</v>
      </c>
      <c r="E645" s="38">
        <v>3</v>
      </c>
      <c r="F645" s="38" t="s">
        <v>853</v>
      </c>
      <c r="G645" s="38" t="s">
        <v>17</v>
      </c>
      <c r="H645" s="38" t="s">
        <v>16</v>
      </c>
    </row>
    <row r="646" spans="2:8" s="13" customFormat="1">
      <c r="B646" s="4">
        <v>633</v>
      </c>
      <c r="C646" s="103" t="s">
        <v>839</v>
      </c>
      <c r="D646" s="99" t="s">
        <v>430</v>
      </c>
      <c r="E646" s="38">
        <v>3</v>
      </c>
      <c r="F646" s="38" t="s">
        <v>853</v>
      </c>
      <c r="G646" s="38" t="s">
        <v>17</v>
      </c>
      <c r="H646" s="38" t="s">
        <v>16</v>
      </c>
    </row>
    <row r="647" spans="2:8" s="13" customFormat="1">
      <c r="B647" s="4">
        <v>634</v>
      </c>
      <c r="C647" s="103" t="s">
        <v>840</v>
      </c>
      <c r="D647" s="99" t="s">
        <v>841</v>
      </c>
      <c r="E647" s="38">
        <v>3</v>
      </c>
      <c r="F647" s="38" t="s">
        <v>853</v>
      </c>
      <c r="G647" s="38" t="s">
        <v>17</v>
      </c>
      <c r="H647" s="38" t="s">
        <v>16</v>
      </c>
    </row>
    <row r="648" spans="2:8" s="13" customFormat="1">
      <c r="B648" s="4">
        <v>635</v>
      </c>
      <c r="C648" s="103" t="s">
        <v>842</v>
      </c>
      <c r="D648" s="99" t="s">
        <v>843</v>
      </c>
      <c r="E648" s="38">
        <v>3</v>
      </c>
      <c r="F648" s="38" t="s">
        <v>853</v>
      </c>
      <c r="G648" s="38" t="s">
        <v>17</v>
      </c>
      <c r="H648" s="38" t="s">
        <v>16</v>
      </c>
    </row>
    <row r="649" spans="2:8" s="13" customFormat="1">
      <c r="B649" s="4">
        <v>636</v>
      </c>
      <c r="C649" s="103" t="s">
        <v>844</v>
      </c>
      <c r="D649" s="99" t="s">
        <v>843</v>
      </c>
      <c r="E649" s="38">
        <v>3</v>
      </c>
      <c r="F649" s="38" t="s">
        <v>853</v>
      </c>
      <c r="G649" s="38" t="s">
        <v>17</v>
      </c>
      <c r="H649" s="38" t="s">
        <v>16</v>
      </c>
    </row>
    <row r="650" spans="2:8" s="13" customFormat="1">
      <c r="B650" s="4">
        <v>637</v>
      </c>
      <c r="C650" s="103" t="s">
        <v>845</v>
      </c>
      <c r="D650" s="99" t="s">
        <v>843</v>
      </c>
      <c r="E650" s="38">
        <v>3</v>
      </c>
      <c r="F650" s="38" t="s">
        <v>853</v>
      </c>
      <c r="G650" s="38" t="s">
        <v>17</v>
      </c>
      <c r="H650" s="38" t="s">
        <v>16</v>
      </c>
    </row>
    <row r="651" spans="2:8" s="13" customFormat="1">
      <c r="B651" s="4">
        <v>638</v>
      </c>
      <c r="C651" s="103" t="s">
        <v>846</v>
      </c>
      <c r="D651" s="99" t="s">
        <v>847</v>
      </c>
      <c r="E651" s="38">
        <v>1</v>
      </c>
      <c r="F651" s="38" t="s">
        <v>853</v>
      </c>
      <c r="G651" s="38" t="s">
        <v>17</v>
      </c>
      <c r="H651" s="38" t="s">
        <v>16</v>
      </c>
    </row>
    <row r="652" spans="2:8" s="13" customFormat="1">
      <c r="B652" s="4">
        <v>639</v>
      </c>
      <c r="C652" s="103" t="s">
        <v>848</v>
      </c>
      <c r="D652" s="99" t="s">
        <v>849</v>
      </c>
      <c r="E652" s="38">
        <v>2</v>
      </c>
      <c r="F652" s="38" t="s">
        <v>853</v>
      </c>
      <c r="G652" s="38" t="s">
        <v>17</v>
      </c>
      <c r="H652" s="38" t="s">
        <v>16</v>
      </c>
    </row>
    <row r="653" spans="2:8" s="13" customFormat="1">
      <c r="B653" s="4">
        <v>640</v>
      </c>
      <c r="C653" s="103" t="s">
        <v>850</v>
      </c>
      <c r="D653" s="99" t="s">
        <v>548</v>
      </c>
      <c r="E653" s="38">
        <v>1</v>
      </c>
      <c r="F653" s="38" t="s">
        <v>853</v>
      </c>
      <c r="G653" s="38" t="s">
        <v>17</v>
      </c>
      <c r="H653" s="38" t="s">
        <v>16</v>
      </c>
    </row>
    <row r="654" spans="2:8" s="13" customFormat="1">
      <c r="B654" s="4">
        <v>641</v>
      </c>
      <c r="C654" s="103" t="s">
        <v>851</v>
      </c>
      <c r="D654" s="99" t="s">
        <v>365</v>
      </c>
      <c r="E654" s="38">
        <v>3</v>
      </c>
      <c r="F654" s="38" t="s">
        <v>853</v>
      </c>
      <c r="G654" s="38" t="s">
        <v>365</v>
      </c>
      <c r="H654" s="38" t="s">
        <v>16</v>
      </c>
    </row>
    <row r="655" spans="2:8" s="13" customFormat="1">
      <c r="B655" s="4">
        <v>642</v>
      </c>
      <c r="C655" s="103" t="s">
        <v>852</v>
      </c>
      <c r="D655" s="99" t="s">
        <v>365</v>
      </c>
      <c r="E655" s="38">
        <v>2</v>
      </c>
      <c r="F655" s="38" t="s">
        <v>853</v>
      </c>
      <c r="G655" s="38" t="s">
        <v>365</v>
      </c>
      <c r="H655" s="38" t="s">
        <v>16</v>
      </c>
    </row>
    <row r="656" spans="2:8" s="13" customFormat="1">
      <c r="B656" s="4">
        <v>643</v>
      </c>
      <c r="C656" s="103" t="s">
        <v>855</v>
      </c>
      <c r="D656" s="99" t="s">
        <v>856</v>
      </c>
      <c r="E656" s="38">
        <v>22</v>
      </c>
      <c r="F656" s="38" t="s">
        <v>893</v>
      </c>
      <c r="G656" s="38" t="s">
        <v>17</v>
      </c>
      <c r="H656" s="38" t="s">
        <v>16</v>
      </c>
    </row>
    <row r="657" spans="2:8" s="13" customFormat="1">
      <c r="B657" s="4">
        <v>644</v>
      </c>
      <c r="C657" s="103" t="s">
        <v>857</v>
      </c>
      <c r="D657" s="99" t="s">
        <v>858</v>
      </c>
      <c r="E657" s="38">
        <v>19</v>
      </c>
      <c r="F657" s="38" t="s">
        <v>893</v>
      </c>
      <c r="G657" s="38" t="s">
        <v>17</v>
      </c>
      <c r="H657" s="38" t="s">
        <v>16</v>
      </c>
    </row>
    <row r="658" spans="2:8" s="13" customFormat="1">
      <c r="B658" s="4">
        <v>645</v>
      </c>
      <c r="C658" s="103" t="s">
        <v>859</v>
      </c>
      <c r="D658" s="99" t="s">
        <v>860</v>
      </c>
      <c r="E658" s="38">
        <v>14</v>
      </c>
      <c r="F658" s="38" t="s">
        <v>893</v>
      </c>
      <c r="G658" s="38" t="s">
        <v>17</v>
      </c>
      <c r="H658" s="38" t="s">
        <v>16</v>
      </c>
    </row>
    <row r="659" spans="2:8" s="13" customFormat="1">
      <c r="B659" s="4">
        <v>646</v>
      </c>
      <c r="C659" s="103" t="s">
        <v>861</v>
      </c>
      <c r="D659" s="99" t="s">
        <v>862</v>
      </c>
      <c r="E659" s="38">
        <v>11</v>
      </c>
      <c r="F659" s="38" t="s">
        <v>893</v>
      </c>
      <c r="G659" s="38" t="s">
        <v>17</v>
      </c>
      <c r="H659" s="38" t="s">
        <v>16</v>
      </c>
    </row>
    <row r="660" spans="2:8" s="13" customFormat="1">
      <c r="B660" s="4">
        <v>647</v>
      </c>
      <c r="C660" s="103" t="s">
        <v>863</v>
      </c>
      <c r="D660" s="99" t="s">
        <v>862</v>
      </c>
      <c r="E660" s="38">
        <v>11</v>
      </c>
      <c r="F660" s="38" t="s">
        <v>893</v>
      </c>
      <c r="G660" s="38" t="s">
        <v>17</v>
      </c>
      <c r="H660" s="38" t="s">
        <v>16</v>
      </c>
    </row>
    <row r="661" spans="2:8" s="13" customFormat="1">
      <c r="B661" s="4">
        <v>648</v>
      </c>
      <c r="C661" s="103" t="s">
        <v>864</v>
      </c>
      <c r="D661" s="99" t="s">
        <v>804</v>
      </c>
      <c r="E661" s="38">
        <v>9</v>
      </c>
      <c r="F661" s="38" t="s">
        <v>893</v>
      </c>
      <c r="G661" s="38" t="s">
        <v>17</v>
      </c>
      <c r="H661" s="38" t="s">
        <v>16</v>
      </c>
    </row>
    <row r="662" spans="2:8" s="13" customFormat="1">
      <c r="B662" s="4">
        <v>649</v>
      </c>
      <c r="C662" s="103" t="s">
        <v>865</v>
      </c>
      <c r="D662" s="99" t="s">
        <v>866</v>
      </c>
      <c r="E662" s="38">
        <v>8</v>
      </c>
      <c r="F662" s="38" t="s">
        <v>893</v>
      </c>
      <c r="G662" s="38" t="s">
        <v>17</v>
      </c>
      <c r="H662" s="38" t="s">
        <v>16</v>
      </c>
    </row>
    <row r="663" spans="2:8" s="13" customFormat="1">
      <c r="B663" s="4">
        <v>650</v>
      </c>
      <c r="C663" s="103" t="s">
        <v>867</v>
      </c>
      <c r="D663" s="99" t="s">
        <v>866</v>
      </c>
      <c r="E663" s="38">
        <v>8</v>
      </c>
      <c r="F663" s="38" t="s">
        <v>893</v>
      </c>
      <c r="G663" s="38" t="s">
        <v>17</v>
      </c>
      <c r="H663" s="38" t="s">
        <v>16</v>
      </c>
    </row>
    <row r="664" spans="2:8" s="13" customFormat="1">
      <c r="B664" s="4">
        <v>651</v>
      </c>
      <c r="C664" s="99" t="s">
        <v>868</v>
      </c>
      <c r="D664" s="99" t="s">
        <v>866</v>
      </c>
      <c r="E664" s="38">
        <v>8</v>
      </c>
      <c r="F664" s="38" t="s">
        <v>893</v>
      </c>
      <c r="G664" s="38" t="s">
        <v>17</v>
      </c>
      <c r="H664" s="38" t="s">
        <v>16</v>
      </c>
    </row>
    <row r="665" spans="2:8" s="13" customFormat="1">
      <c r="B665" s="4">
        <v>652</v>
      </c>
      <c r="C665" s="103" t="s">
        <v>869</v>
      </c>
      <c r="D665" s="99" t="s">
        <v>866</v>
      </c>
      <c r="E665" s="38">
        <v>8</v>
      </c>
      <c r="F665" s="38" t="s">
        <v>893</v>
      </c>
      <c r="G665" s="38" t="s">
        <v>17</v>
      </c>
      <c r="H665" s="38" t="s">
        <v>16</v>
      </c>
    </row>
    <row r="666" spans="2:8" s="13" customFormat="1">
      <c r="B666" s="4">
        <v>653</v>
      </c>
      <c r="C666" s="103" t="s">
        <v>870</v>
      </c>
      <c r="D666" s="99" t="s">
        <v>871</v>
      </c>
      <c r="E666" s="38">
        <v>6</v>
      </c>
      <c r="F666" s="38" t="s">
        <v>893</v>
      </c>
      <c r="G666" s="38" t="s">
        <v>17</v>
      </c>
      <c r="H666" s="38" t="s">
        <v>16</v>
      </c>
    </row>
    <row r="667" spans="2:8" s="13" customFormat="1">
      <c r="B667" s="4">
        <v>654</v>
      </c>
      <c r="C667" s="99" t="s">
        <v>872</v>
      </c>
      <c r="D667" s="99" t="s">
        <v>871</v>
      </c>
      <c r="E667" s="38">
        <v>6</v>
      </c>
      <c r="F667" s="38" t="s">
        <v>893</v>
      </c>
      <c r="G667" s="38" t="s">
        <v>17</v>
      </c>
      <c r="H667" s="38" t="s">
        <v>16</v>
      </c>
    </row>
    <row r="668" spans="2:8" s="13" customFormat="1">
      <c r="B668" s="4">
        <v>655</v>
      </c>
      <c r="C668" s="99" t="s">
        <v>873</v>
      </c>
      <c r="D668" s="99" t="s">
        <v>871</v>
      </c>
      <c r="E668" s="38">
        <v>6</v>
      </c>
      <c r="F668" s="38" t="s">
        <v>893</v>
      </c>
      <c r="G668" s="38" t="s">
        <v>17</v>
      </c>
      <c r="H668" s="38" t="s">
        <v>16</v>
      </c>
    </row>
    <row r="669" spans="2:8" s="13" customFormat="1">
      <c r="B669" s="4">
        <v>656</v>
      </c>
      <c r="C669" s="103" t="s">
        <v>874</v>
      </c>
      <c r="D669" s="99" t="s">
        <v>723</v>
      </c>
      <c r="E669" s="38">
        <v>6</v>
      </c>
      <c r="F669" s="38" t="s">
        <v>893</v>
      </c>
      <c r="G669" s="38" t="s">
        <v>17</v>
      </c>
      <c r="H669" s="38" t="s">
        <v>16</v>
      </c>
    </row>
    <row r="670" spans="2:8" s="13" customFormat="1">
      <c r="B670" s="4">
        <v>657</v>
      </c>
      <c r="C670" s="103" t="s">
        <v>875</v>
      </c>
      <c r="D670" s="99" t="s">
        <v>723</v>
      </c>
      <c r="E670" s="38">
        <v>6</v>
      </c>
      <c r="F670" s="38" t="s">
        <v>893</v>
      </c>
      <c r="G670" s="38" t="s">
        <v>17</v>
      </c>
      <c r="H670" s="38" t="s">
        <v>16</v>
      </c>
    </row>
    <row r="671" spans="2:8" s="13" customFormat="1">
      <c r="B671" s="4">
        <v>658</v>
      </c>
      <c r="C671" s="103" t="s">
        <v>876</v>
      </c>
      <c r="D671" s="99" t="s">
        <v>723</v>
      </c>
      <c r="E671" s="38">
        <v>6</v>
      </c>
      <c r="F671" s="38" t="s">
        <v>893</v>
      </c>
      <c r="G671" s="38" t="s">
        <v>17</v>
      </c>
      <c r="H671" s="38" t="s">
        <v>16</v>
      </c>
    </row>
    <row r="672" spans="2:8" s="13" customFormat="1">
      <c r="B672" s="4">
        <v>659</v>
      </c>
      <c r="C672" s="103" t="s">
        <v>877</v>
      </c>
      <c r="D672" s="99" t="s">
        <v>723</v>
      </c>
      <c r="E672" s="38">
        <v>6</v>
      </c>
      <c r="F672" s="38" t="s">
        <v>893</v>
      </c>
      <c r="G672" s="38" t="s">
        <v>17</v>
      </c>
      <c r="H672" s="38" t="s">
        <v>16</v>
      </c>
    </row>
    <row r="673" spans="2:8" s="13" customFormat="1">
      <c r="B673" s="4">
        <v>660</v>
      </c>
      <c r="C673" s="99" t="s">
        <v>878</v>
      </c>
      <c r="D673" s="99" t="s">
        <v>723</v>
      </c>
      <c r="E673" s="38">
        <v>6</v>
      </c>
      <c r="F673" s="38" t="s">
        <v>893</v>
      </c>
      <c r="G673" s="38" t="s">
        <v>17</v>
      </c>
      <c r="H673" s="38" t="s">
        <v>16</v>
      </c>
    </row>
    <row r="674" spans="2:8" s="13" customFormat="1">
      <c r="B674" s="4">
        <v>661</v>
      </c>
      <c r="C674" s="99" t="s">
        <v>879</v>
      </c>
      <c r="D674" s="99" t="s">
        <v>723</v>
      </c>
      <c r="E674" s="38">
        <v>6</v>
      </c>
      <c r="F674" s="38" t="s">
        <v>893</v>
      </c>
      <c r="G674" s="38" t="s">
        <v>17</v>
      </c>
      <c r="H674" s="38" t="s">
        <v>16</v>
      </c>
    </row>
    <row r="675" spans="2:8" s="13" customFormat="1">
      <c r="B675" s="4">
        <v>662</v>
      </c>
      <c r="C675" s="103" t="s">
        <v>880</v>
      </c>
      <c r="D675" s="99" t="s">
        <v>881</v>
      </c>
      <c r="E675" s="38">
        <v>5</v>
      </c>
      <c r="F675" s="38" t="s">
        <v>893</v>
      </c>
      <c r="G675" s="38" t="s">
        <v>17</v>
      </c>
      <c r="H675" s="38" t="s">
        <v>16</v>
      </c>
    </row>
    <row r="676" spans="2:8" s="13" customFormat="1">
      <c r="B676" s="4">
        <v>663</v>
      </c>
      <c r="C676" s="103" t="s">
        <v>882</v>
      </c>
      <c r="D676" s="99" t="s">
        <v>881</v>
      </c>
      <c r="E676" s="38">
        <v>5</v>
      </c>
      <c r="F676" s="38" t="s">
        <v>893</v>
      </c>
      <c r="G676" s="38" t="s">
        <v>17</v>
      </c>
      <c r="H676" s="38" t="s">
        <v>16</v>
      </c>
    </row>
    <row r="677" spans="2:8" s="13" customFormat="1">
      <c r="B677" s="4">
        <v>664</v>
      </c>
      <c r="C677" s="99" t="s">
        <v>883</v>
      </c>
      <c r="D677" s="99" t="s">
        <v>881</v>
      </c>
      <c r="E677" s="38">
        <v>5</v>
      </c>
      <c r="F677" s="38" t="s">
        <v>893</v>
      </c>
      <c r="G677" s="38" t="s">
        <v>17</v>
      </c>
      <c r="H677" s="38" t="s">
        <v>16</v>
      </c>
    </row>
    <row r="678" spans="2:8" s="13" customFormat="1">
      <c r="B678" s="4">
        <v>665</v>
      </c>
      <c r="C678" s="103" t="s">
        <v>884</v>
      </c>
      <c r="D678" s="99" t="s">
        <v>430</v>
      </c>
      <c r="E678" s="38">
        <v>3</v>
      </c>
      <c r="F678" s="38" t="s">
        <v>893</v>
      </c>
      <c r="G678" s="38" t="s">
        <v>17</v>
      </c>
      <c r="H678" s="38" t="s">
        <v>16</v>
      </c>
    </row>
    <row r="679" spans="2:8" s="13" customFormat="1">
      <c r="B679" s="4">
        <v>666</v>
      </c>
      <c r="C679" s="99" t="s">
        <v>885</v>
      </c>
      <c r="D679" s="99" t="s">
        <v>365</v>
      </c>
      <c r="E679" s="38">
        <v>3</v>
      </c>
      <c r="F679" s="38" t="s">
        <v>893</v>
      </c>
      <c r="G679" s="38" t="s">
        <v>365</v>
      </c>
      <c r="H679" s="38" t="s">
        <v>16</v>
      </c>
    </row>
    <row r="680" spans="2:8" s="13" customFormat="1">
      <c r="B680" s="4">
        <v>667</v>
      </c>
      <c r="C680" s="103" t="s">
        <v>886</v>
      </c>
      <c r="D680" s="99" t="s">
        <v>365</v>
      </c>
      <c r="E680" s="38">
        <v>10</v>
      </c>
      <c r="F680" s="38" t="s">
        <v>893</v>
      </c>
      <c r="G680" s="38" t="s">
        <v>365</v>
      </c>
      <c r="H680" s="38" t="s">
        <v>16</v>
      </c>
    </row>
    <row r="681" spans="2:8" s="13" customFormat="1">
      <c r="B681" s="4">
        <v>668</v>
      </c>
      <c r="C681" s="103" t="s">
        <v>887</v>
      </c>
      <c r="D681" s="99" t="s">
        <v>365</v>
      </c>
      <c r="E681" s="38">
        <v>3</v>
      </c>
      <c r="F681" s="38" t="s">
        <v>893</v>
      </c>
      <c r="G681" s="38" t="s">
        <v>365</v>
      </c>
      <c r="H681" s="38" t="s">
        <v>16</v>
      </c>
    </row>
    <row r="682" spans="2:8" s="13" customFormat="1">
      <c r="B682" s="4">
        <v>669</v>
      </c>
      <c r="C682" s="103" t="s">
        <v>888</v>
      </c>
      <c r="D682" s="99" t="s">
        <v>365</v>
      </c>
      <c r="E682" s="38">
        <v>3</v>
      </c>
      <c r="F682" s="38" t="s">
        <v>893</v>
      </c>
      <c r="G682" s="38" t="s">
        <v>365</v>
      </c>
      <c r="H682" s="38" t="s">
        <v>16</v>
      </c>
    </row>
    <row r="683" spans="2:8" s="13" customFormat="1">
      <c r="B683" s="4">
        <v>670</v>
      </c>
      <c r="C683" s="103" t="s">
        <v>889</v>
      </c>
      <c r="D683" s="99" t="s">
        <v>365</v>
      </c>
      <c r="E683" s="38">
        <v>3</v>
      </c>
      <c r="F683" s="38" t="s">
        <v>893</v>
      </c>
      <c r="G683" s="38" t="s">
        <v>365</v>
      </c>
      <c r="H683" s="38" t="s">
        <v>16</v>
      </c>
    </row>
    <row r="684" spans="2:8" s="13" customFormat="1">
      <c r="B684" s="4">
        <v>671</v>
      </c>
      <c r="C684" s="103" t="s">
        <v>890</v>
      </c>
      <c r="D684" s="99" t="s">
        <v>365</v>
      </c>
      <c r="E684" s="38">
        <v>3</v>
      </c>
      <c r="F684" s="38" t="s">
        <v>893</v>
      </c>
      <c r="G684" s="38" t="s">
        <v>365</v>
      </c>
      <c r="H684" s="38" t="s">
        <v>16</v>
      </c>
    </row>
    <row r="685" spans="2:8" s="13" customFormat="1">
      <c r="B685" s="4">
        <v>672</v>
      </c>
      <c r="C685" s="99" t="s">
        <v>891</v>
      </c>
      <c r="D685" s="99" t="s">
        <v>365</v>
      </c>
      <c r="E685" s="38">
        <v>3</v>
      </c>
      <c r="F685" s="38" t="s">
        <v>893</v>
      </c>
      <c r="G685" s="38" t="s">
        <v>365</v>
      </c>
      <c r="H685" s="38" t="s">
        <v>16</v>
      </c>
    </row>
    <row r="686" spans="2:8" s="13" customFormat="1">
      <c r="B686" s="4">
        <v>673</v>
      </c>
      <c r="C686" s="99" t="s">
        <v>892</v>
      </c>
      <c r="D686" s="99" t="s">
        <v>365</v>
      </c>
      <c r="E686" s="38">
        <v>13</v>
      </c>
      <c r="F686" s="38" t="s">
        <v>893</v>
      </c>
      <c r="G686" s="38" t="s">
        <v>365</v>
      </c>
      <c r="H686" s="38" t="s">
        <v>16</v>
      </c>
    </row>
    <row r="687" spans="2:8" s="13" customFormat="1">
      <c r="B687" s="4">
        <v>674</v>
      </c>
      <c r="C687" s="103" t="s">
        <v>894</v>
      </c>
      <c r="D687" s="99" t="s">
        <v>723</v>
      </c>
      <c r="E687" s="38">
        <v>6</v>
      </c>
      <c r="F687" s="38" t="s">
        <v>893</v>
      </c>
      <c r="G687" s="38" t="s">
        <v>17</v>
      </c>
      <c r="H687" s="38" t="s">
        <v>16</v>
      </c>
    </row>
    <row r="688" spans="2:8" s="13" customFormat="1">
      <c r="B688" s="4">
        <v>675</v>
      </c>
      <c r="C688" s="103" t="s">
        <v>895</v>
      </c>
      <c r="D688" s="99" t="s">
        <v>723</v>
      </c>
      <c r="E688" s="38">
        <v>6</v>
      </c>
      <c r="F688" s="38" t="s">
        <v>893</v>
      </c>
      <c r="G688" s="38" t="s">
        <v>17</v>
      </c>
      <c r="H688" s="38" t="s">
        <v>16</v>
      </c>
    </row>
    <row r="689" spans="2:8" s="13" customFormat="1">
      <c r="B689" s="4">
        <v>676</v>
      </c>
      <c r="C689" s="103" t="s">
        <v>896</v>
      </c>
      <c r="D689" s="99" t="s">
        <v>723</v>
      </c>
      <c r="E689" s="38">
        <v>6</v>
      </c>
      <c r="F689" s="38" t="s">
        <v>893</v>
      </c>
      <c r="G689" s="38" t="s">
        <v>17</v>
      </c>
      <c r="H689" s="38" t="s">
        <v>16</v>
      </c>
    </row>
    <row r="690" spans="2:8" s="13" customFormat="1">
      <c r="B690" s="4">
        <v>677</v>
      </c>
      <c r="C690" s="103" t="s">
        <v>897</v>
      </c>
      <c r="D690" s="99" t="s">
        <v>723</v>
      </c>
      <c r="E690" s="38">
        <v>6</v>
      </c>
      <c r="F690" s="38" t="s">
        <v>893</v>
      </c>
      <c r="G690" s="38" t="s">
        <v>17</v>
      </c>
      <c r="H690" s="38" t="s">
        <v>16</v>
      </c>
    </row>
    <row r="691" spans="2:8" s="13" customFormat="1">
      <c r="B691" s="4">
        <v>678</v>
      </c>
      <c r="C691" s="103" t="s">
        <v>898</v>
      </c>
      <c r="D691" s="99" t="s">
        <v>723</v>
      </c>
      <c r="E691" s="38">
        <v>6</v>
      </c>
      <c r="F691" s="38" t="s">
        <v>893</v>
      </c>
      <c r="G691" s="38" t="s">
        <v>17</v>
      </c>
      <c r="H691" s="38" t="s">
        <v>16</v>
      </c>
    </row>
    <row r="692" spans="2:8" s="13" customFormat="1">
      <c r="B692" s="4">
        <v>679</v>
      </c>
      <c r="C692" s="103" t="s">
        <v>899</v>
      </c>
      <c r="D692" s="99" t="s">
        <v>881</v>
      </c>
      <c r="E692" s="38">
        <v>5</v>
      </c>
      <c r="F692" s="38" t="s">
        <v>893</v>
      </c>
      <c r="G692" s="38" t="s">
        <v>17</v>
      </c>
      <c r="H692" s="38" t="s">
        <v>16</v>
      </c>
    </row>
    <row r="693" spans="2:8" s="13" customFormat="1">
      <c r="B693" s="4">
        <v>680</v>
      </c>
      <c r="C693" s="99" t="s">
        <v>900</v>
      </c>
      <c r="D693" s="99" t="s">
        <v>365</v>
      </c>
      <c r="E693" s="38">
        <v>5</v>
      </c>
      <c r="F693" s="38" t="s">
        <v>893</v>
      </c>
      <c r="G693" s="38" t="s">
        <v>365</v>
      </c>
      <c r="H693" s="38" t="s">
        <v>16</v>
      </c>
    </row>
    <row r="694" spans="2:8" s="13" customFormat="1">
      <c r="B694" s="4">
        <v>681</v>
      </c>
      <c r="C694" s="99" t="s">
        <v>901</v>
      </c>
      <c r="D694" s="99" t="s">
        <v>365</v>
      </c>
      <c r="E694" s="38">
        <v>5</v>
      </c>
      <c r="F694" s="38" t="s">
        <v>893</v>
      </c>
      <c r="G694" s="38" t="s">
        <v>365</v>
      </c>
      <c r="H694" s="38" t="s">
        <v>16</v>
      </c>
    </row>
    <row r="695" spans="2:8" s="13" customFormat="1">
      <c r="B695" s="4">
        <v>682</v>
      </c>
      <c r="C695" s="103" t="s">
        <v>902</v>
      </c>
      <c r="D695" s="99" t="s">
        <v>903</v>
      </c>
      <c r="E695" s="38">
        <v>22</v>
      </c>
      <c r="F695" s="38" t="s">
        <v>920</v>
      </c>
      <c r="G695" s="38" t="s">
        <v>17</v>
      </c>
      <c r="H695" s="38" t="s">
        <v>16</v>
      </c>
    </row>
    <row r="696" spans="2:8" s="13" customFormat="1">
      <c r="B696" s="4">
        <v>683</v>
      </c>
      <c r="C696" s="103" t="s">
        <v>904</v>
      </c>
      <c r="D696" s="99" t="s">
        <v>905</v>
      </c>
      <c r="E696" s="38">
        <v>19</v>
      </c>
      <c r="F696" s="38" t="s">
        <v>920</v>
      </c>
      <c r="G696" s="38" t="s">
        <v>17</v>
      </c>
      <c r="H696" s="38" t="s">
        <v>16</v>
      </c>
    </row>
    <row r="697" spans="2:8" s="13" customFormat="1">
      <c r="B697" s="4">
        <v>684</v>
      </c>
      <c r="C697" s="103" t="s">
        <v>906</v>
      </c>
      <c r="D697" s="99" t="s">
        <v>798</v>
      </c>
      <c r="E697" s="38">
        <v>15</v>
      </c>
      <c r="F697" s="38" t="s">
        <v>920</v>
      </c>
      <c r="G697" s="38" t="s">
        <v>17</v>
      </c>
      <c r="H697" s="38" t="s">
        <v>16</v>
      </c>
    </row>
    <row r="698" spans="2:8" s="13" customFormat="1">
      <c r="B698" s="4">
        <v>685</v>
      </c>
      <c r="C698" s="103" t="s">
        <v>907</v>
      </c>
      <c r="D698" s="99" t="s">
        <v>552</v>
      </c>
      <c r="E698" s="38">
        <v>11</v>
      </c>
      <c r="F698" s="38" t="s">
        <v>920</v>
      </c>
      <c r="G698" s="38" t="s">
        <v>17</v>
      </c>
      <c r="H698" s="38" t="s">
        <v>16</v>
      </c>
    </row>
    <row r="699" spans="2:8" s="13" customFormat="1">
      <c r="B699" s="4">
        <v>686</v>
      </c>
      <c r="C699" s="103" t="s">
        <v>908</v>
      </c>
      <c r="D699" s="99" t="s">
        <v>427</v>
      </c>
      <c r="E699" s="38">
        <v>10</v>
      </c>
      <c r="F699" s="38" t="s">
        <v>920</v>
      </c>
      <c r="G699" s="38" t="s">
        <v>17</v>
      </c>
      <c r="H699" s="38" t="s">
        <v>16</v>
      </c>
    </row>
    <row r="700" spans="2:8" s="13" customFormat="1">
      <c r="B700" s="4">
        <v>687</v>
      </c>
      <c r="C700" s="99" t="s">
        <v>909</v>
      </c>
      <c r="D700" s="99" t="s">
        <v>427</v>
      </c>
      <c r="E700" s="38">
        <v>10</v>
      </c>
      <c r="F700" s="38" t="s">
        <v>920</v>
      </c>
      <c r="G700" s="38" t="s">
        <v>17</v>
      </c>
      <c r="H700" s="38" t="s">
        <v>16</v>
      </c>
    </row>
    <row r="701" spans="2:8" s="13" customFormat="1">
      <c r="B701" s="4">
        <v>688</v>
      </c>
      <c r="C701" s="103" t="s">
        <v>910</v>
      </c>
      <c r="D701" s="99" t="s">
        <v>804</v>
      </c>
      <c r="E701" s="38">
        <v>9</v>
      </c>
      <c r="F701" s="38" t="s">
        <v>920</v>
      </c>
      <c r="G701" s="38" t="s">
        <v>17</v>
      </c>
      <c r="H701" s="38" t="s">
        <v>16</v>
      </c>
    </row>
    <row r="702" spans="2:8" s="13" customFormat="1">
      <c r="B702" s="4">
        <v>689</v>
      </c>
      <c r="C702" s="103" t="s">
        <v>911</v>
      </c>
      <c r="D702" s="99" t="s">
        <v>804</v>
      </c>
      <c r="E702" s="38">
        <v>9</v>
      </c>
      <c r="F702" s="38" t="s">
        <v>920</v>
      </c>
      <c r="G702" s="38" t="s">
        <v>17</v>
      </c>
      <c r="H702" s="38" t="s">
        <v>16</v>
      </c>
    </row>
    <row r="703" spans="2:8" s="13" customFormat="1">
      <c r="B703" s="4">
        <v>690</v>
      </c>
      <c r="C703" s="103" t="s">
        <v>912</v>
      </c>
      <c r="D703" s="99" t="s">
        <v>344</v>
      </c>
      <c r="E703" s="38">
        <v>8</v>
      </c>
      <c r="F703" s="38" t="s">
        <v>920</v>
      </c>
      <c r="G703" s="38" t="s">
        <v>17</v>
      </c>
      <c r="H703" s="38" t="s">
        <v>16</v>
      </c>
    </row>
    <row r="704" spans="2:8" s="13" customFormat="1">
      <c r="B704" s="4">
        <v>691</v>
      </c>
      <c r="C704" s="103" t="s">
        <v>913</v>
      </c>
      <c r="D704" s="99" t="s">
        <v>344</v>
      </c>
      <c r="E704" s="38">
        <v>8</v>
      </c>
      <c r="F704" s="38" t="s">
        <v>920</v>
      </c>
      <c r="G704" s="38" t="s">
        <v>17</v>
      </c>
      <c r="H704" s="38" t="s">
        <v>16</v>
      </c>
    </row>
    <row r="705" spans="2:8" s="13" customFormat="1">
      <c r="B705" s="4">
        <v>692</v>
      </c>
      <c r="C705" s="99" t="s">
        <v>914</v>
      </c>
      <c r="D705" s="99" t="s">
        <v>344</v>
      </c>
      <c r="E705" s="38">
        <v>8</v>
      </c>
      <c r="F705" s="38" t="s">
        <v>920</v>
      </c>
      <c r="G705" s="38" t="s">
        <v>17</v>
      </c>
      <c r="H705" s="38" t="s">
        <v>16</v>
      </c>
    </row>
    <row r="706" spans="2:8" s="13" customFormat="1">
      <c r="B706" s="4">
        <v>693</v>
      </c>
      <c r="C706" s="103" t="s">
        <v>915</v>
      </c>
      <c r="D706" s="99" t="s">
        <v>344</v>
      </c>
      <c r="E706" s="38">
        <v>8</v>
      </c>
      <c r="F706" s="38" t="s">
        <v>920</v>
      </c>
      <c r="G706" s="38" t="s">
        <v>17</v>
      </c>
      <c r="H706" s="38" t="s">
        <v>16</v>
      </c>
    </row>
    <row r="707" spans="2:8" s="13" customFormat="1">
      <c r="B707" s="4">
        <v>694</v>
      </c>
      <c r="C707" s="103" t="s">
        <v>916</v>
      </c>
      <c r="D707" s="99" t="s">
        <v>344</v>
      </c>
      <c r="E707" s="38">
        <v>8</v>
      </c>
      <c r="F707" s="38" t="s">
        <v>920</v>
      </c>
      <c r="G707" s="38" t="s">
        <v>17</v>
      </c>
      <c r="H707" s="38" t="s">
        <v>16</v>
      </c>
    </row>
    <row r="708" spans="2:8" s="13" customFormat="1">
      <c r="B708" s="4">
        <v>695</v>
      </c>
      <c r="C708" s="103" t="s">
        <v>917</v>
      </c>
      <c r="D708" s="99" t="s">
        <v>344</v>
      </c>
      <c r="E708" s="38">
        <v>8</v>
      </c>
      <c r="F708" s="38" t="s">
        <v>920</v>
      </c>
      <c r="G708" s="38" t="s">
        <v>17</v>
      </c>
      <c r="H708" s="38" t="s">
        <v>16</v>
      </c>
    </row>
    <row r="709" spans="2:8" s="13" customFormat="1">
      <c r="B709" s="4">
        <v>696</v>
      </c>
      <c r="C709" s="103" t="s">
        <v>918</v>
      </c>
      <c r="D709" s="99" t="s">
        <v>344</v>
      </c>
      <c r="E709" s="38">
        <v>8</v>
      </c>
      <c r="F709" s="38" t="s">
        <v>920</v>
      </c>
      <c r="G709" s="38" t="s">
        <v>17</v>
      </c>
      <c r="H709" s="38" t="s">
        <v>16</v>
      </c>
    </row>
    <row r="710" spans="2:8" s="13" customFormat="1">
      <c r="B710" s="4">
        <v>697</v>
      </c>
      <c r="C710" s="103" t="s">
        <v>919</v>
      </c>
      <c r="D710" s="99" t="s">
        <v>548</v>
      </c>
      <c r="E710" s="38">
        <v>1</v>
      </c>
      <c r="F710" s="38" t="s">
        <v>920</v>
      </c>
      <c r="G710" s="38" t="s">
        <v>17</v>
      </c>
      <c r="H710" s="38" t="s">
        <v>16</v>
      </c>
    </row>
    <row r="711" spans="2:8" s="13" customFormat="1">
      <c r="B711" s="4">
        <v>698</v>
      </c>
      <c r="C711" s="103" t="s">
        <v>921</v>
      </c>
      <c r="D711" s="99" t="s">
        <v>813</v>
      </c>
      <c r="E711" s="38">
        <v>22</v>
      </c>
      <c r="F711" s="38" t="s">
        <v>920</v>
      </c>
      <c r="G711" s="38" t="s">
        <v>17</v>
      </c>
      <c r="H711" s="38" t="s">
        <v>16</v>
      </c>
    </row>
    <row r="712" spans="2:8" s="13" customFormat="1">
      <c r="B712" s="4">
        <v>699</v>
      </c>
      <c r="C712" s="103" t="s">
        <v>922</v>
      </c>
      <c r="D712" s="99" t="s">
        <v>798</v>
      </c>
      <c r="E712" s="38">
        <v>15</v>
      </c>
      <c r="F712" s="38" t="s">
        <v>920</v>
      </c>
      <c r="G712" s="38" t="s">
        <v>17</v>
      </c>
      <c r="H712" s="38" t="s">
        <v>16</v>
      </c>
    </row>
    <row r="713" spans="2:8" s="13" customFormat="1">
      <c r="B713" s="4">
        <v>700</v>
      </c>
      <c r="C713" s="103" t="s">
        <v>923</v>
      </c>
      <c r="D713" s="99" t="s">
        <v>344</v>
      </c>
      <c r="E713" s="38">
        <v>8</v>
      </c>
      <c r="F713" s="38" t="s">
        <v>920</v>
      </c>
      <c r="G713" s="38" t="s">
        <v>17</v>
      </c>
      <c r="H713" s="38" t="s">
        <v>16</v>
      </c>
    </row>
    <row r="714" spans="2:8" s="13" customFormat="1">
      <c r="B714" s="4">
        <v>701</v>
      </c>
      <c r="C714" s="103" t="s">
        <v>924</v>
      </c>
      <c r="D714" s="99" t="s">
        <v>159</v>
      </c>
      <c r="E714" s="38">
        <v>7</v>
      </c>
      <c r="F714" s="38" t="s">
        <v>920</v>
      </c>
      <c r="G714" s="38" t="s">
        <v>17</v>
      </c>
      <c r="H714" s="38" t="s">
        <v>16</v>
      </c>
    </row>
    <row r="715" spans="2:8" s="13" customFormat="1">
      <c r="B715" s="4">
        <v>702</v>
      </c>
      <c r="C715" s="103" t="s">
        <v>925</v>
      </c>
      <c r="D715" s="99" t="s">
        <v>813</v>
      </c>
      <c r="E715" s="38">
        <v>22</v>
      </c>
      <c r="F715" s="38" t="s">
        <v>945</v>
      </c>
      <c r="G715" s="38" t="s">
        <v>17</v>
      </c>
      <c r="H715" s="38" t="s">
        <v>16</v>
      </c>
    </row>
    <row r="716" spans="2:8" s="13" customFormat="1">
      <c r="B716" s="4">
        <v>703</v>
      </c>
      <c r="C716" s="103" t="s">
        <v>926</v>
      </c>
      <c r="D716" s="99" t="s">
        <v>449</v>
      </c>
      <c r="E716" s="38">
        <v>14</v>
      </c>
      <c r="F716" s="38" t="s">
        <v>945</v>
      </c>
      <c r="G716" s="38" t="s">
        <v>17</v>
      </c>
      <c r="H716" s="38" t="s">
        <v>16</v>
      </c>
    </row>
    <row r="717" spans="2:8" s="13" customFormat="1">
      <c r="B717" s="4">
        <v>704</v>
      </c>
      <c r="C717" s="103" t="s">
        <v>927</v>
      </c>
      <c r="D717" s="99" t="s">
        <v>449</v>
      </c>
      <c r="E717" s="38">
        <v>14</v>
      </c>
      <c r="F717" s="38" t="s">
        <v>945</v>
      </c>
      <c r="G717" s="38" t="s">
        <v>17</v>
      </c>
      <c r="H717" s="38" t="s">
        <v>16</v>
      </c>
    </row>
    <row r="718" spans="2:8" s="13" customFormat="1">
      <c r="B718" s="4">
        <v>705</v>
      </c>
      <c r="C718" s="103" t="s">
        <v>928</v>
      </c>
      <c r="D718" s="99" t="s">
        <v>427</v>
      </c>
      <c r="E718" s="38">
        <v>10</v>
      </c>
      <c r="F718" s="38" t="s">
        <v>945</v>
      </c>
      <c r="G718" s="38" t="s">
        <v>17</v>
      </c>
      <c r="H718" s="38" t="s">
        <v>16</v>
      </c>
    </row>
    <row r="719" spans="2:8" s="13" customFormat="1">
      <c r="B719" s="4">
        <v>706</v>
      </c>
      <c r="C719" s="99" t="s">
        <v>929</v>
      </c>
      <c r="D719" s="99" t="s">
        <v>427</v>
      </c>
      <c r="E719" s="38">
        <v>10</v>
      </c>
      <c r="F719" s="38" t="s">
        <v>945</v>
      </c>
      <c r="G719" s="38" t="s">
        <v>17</v>
      </c>
      <c r="H719" s="38" t="s">
        <v>16</v>
      </c>
    </row>
    <row r="720" spans="2:8" s="13" customFormat="1">
      <c r="B720" s="4">
        <v>707</v>
      </c>
      <c r="C720" s="99" t="s">
        <v>930</v>
      </c>
      <c r="D720" s="99" t="s">
        <v>427</v>
      </c>
      <c r="E720" s="38">
        <v>10</v>
      </c>
      <c r="F720" s="38" t="s">
        <v>945</v>
      </c>
      <c r="G720" s="38" t="s">
        <v>17</v>
      </c>
      <c r="H720" s="38" t="s">
        <v>16</v>
      </c>
    </row>
    <row r="721" spans="2:8" s="13" customFormat="1">
      <c r="B721" s="4">
        <v>708</v>
      </c>
      <c r="C721" s="99" t="s">
        <v>931</v>
      </c>
      <c r="D721" s="99" t="s">
        <v>427</v>
      </c>
      <c r="E721" s="38">
        <v>10</v>
      </c>
      <c r="F721" s="38" t="s">
        <v>945</v>
      </c>
      <c r="G721" s="38" t="s">
        <v>17</v>
      </c>
      <c r="H721" s="38" t="s">
        <v>16</v>
      </c>
    </row>
    <row r="722" spans="2:8" s="13" customFormat="1">
      <c r="B722" s="4">
        <v>709</v>
      </c>
      <c r="C722" s="99" t="s">
        <v>932</v>
      </c>
      <c r="D722" s="99" t="s">
        <v>427</v>
      </c>
      <c r="E722" s="38">
        <v>10</v>
      </c>
      <c r="F722" s="38" t="s">
        <v>945</v>
      </c>
      <c r="G722" s="38" t="s">
        <v>17</v>
      </c>
      <c r="H722" s="38" t="s">
        <v>16</v>
      </c>
    </row>
    <row r="723" spans="2:8" s="13" customFormat="1">
      <c r="B723" s="4">
        <v>710</v>
      </c>
      <c r="C723" s="103" t="s">
        <v>933</v>
      </c>
      <c r="D723" s="99" t="s">
        <v>427</v>
      </c>
      <c r="E723" s="38">
        <v>10</v>
      </c>
      <c r="F723" s="38" t="s">
        <v>945</v>
      </c>
      <c r="G723" s="38" t="s">
        <v>17</v>
      </c>
      <c r="H723" s="38" t="s">
        <v>16</v>
      </c>
    </row>
    <row r="724" spans="2:8" s="13" customFormat="1">
      <c r="B724" s="4">
        <v>711</v>
      </c>
      <c r="C724" s="103" t="s">
        <v>934</v>
      </c>
      <c r="D724" s="99" t="s">
        <v>427</v>
      </c>
      <c r="E724" s="38">
        <v>10</v>
      </c>
      <c r="F724" s="38" t="s">
        <v>945</v>
      </c>
      <c r="G724" s="38" t="s">
        <v>17</v>
      </c>
      <c r="H724" s="38" t="s">
        <v>16</v>
      </c>
    </row>
    <row r="725" spans="2:8" s="13" customFormat="1">
      <c r="B725" s="4">
        <v>712</v>
      </c>
      <c r="C725" s="103" t="s">
        <v>935</v>
      </c>
      <c r="D725" s="99" t="s">
        <v>427</v>
      </c>
      <c r="E725" s="38">
        <v>10</v>
      </c>
      <c r="F725" s="38" t="s">
        <v>945</v>
      </c>
      <c r="G725" s="38" t="s">
        <v>17</v>
      </c>
      <c r="H725" s="38" t="s">
        <v>16</v>
      </c>
    </row>
    <row r="726" spans="2:8" s="13" customFormat="1">
      <c r="B726" s="4">
        <v>713</v>
      </c>
      <c r="C726" s="103" t="s">
        <v>936</v>
      </c>
      <c r="D726" s="99" t="s">
        <v>427</v>
      </c>
      <c r="E726" s="38">
        <v>10</v>
      </c>
      <c r="F726" s="38" t="s">
        <v>945</v>
      </c>
      <c r="G726" s="38" t="s">
        <v>17</v>
      </c>
      <c r="H726" s="38" t="s">
        <v>16</v>
      </c>
    </row>
    <row r="727" spans="2:8" s="13" customFormat="1">
      <c r="B727" s="4">
        <v>714</v>
      </c>
      <c r="C727" s="103" t="s">
        <v>937</v>
      </c>
      <c r="D727" s="99" t="s">
        <v>427</v>
      </c>
      <c r="E727" s="38">
        <v>10</v>
      </c>
      <c r="F727" s="38" t="s">
        <v>945</v>
      </c>
      <c r="G727" s="38" t="s">
        <v>17</v>
      </c>
      <c r="H727" s="38" t="s">
        <v>16</v>
      </c>
    </row>
    <row r="728" spans="2:8" s="13" customFormat="1">
      <c r="B728" s="4">
        <v>715</v>
      </c>
      <c r="C728" s="103" t="s">
        <v>938</v>
      </c>
      <c r="D728" s="99" t="s">
        <v>427</v>
      </c>
      <c r="E728" s="38">
        <v>10</v>
      </c>
      <c r="F728" s="38" t="s">
        <v>945</v>
      </c>
      <c r="G728" s="38" t="s">
        <v>17</v>
      </c>
      <c r="H728" s="38" t="s">
        <v>16</v>
      </c>
    </row>
    <row r="729" spans="2:8" s="13" customFormat="1">
      <c r="B729" s="4">
        <v>716</v>
      </c>
      <c r="C729" s="103" t="s">
        <v>939</v>
      </c>
      <c r="D729" s="99" t="s">
        <v>427</v>
      </c>
      <c r="E729" s="38">
        <v>10</v>
      </c>
      <c r="F729" s="38" t="s">
        <v>945</v>
      </c>
      <c r="G729" s="38" t="s">
        <v>17</v>
      </c>
      <c r="H729" s="38" t="s">
        <v>16</v>
      </c>
    </row>
    <row r="730" spans="2:8" s="13" customFormat="1">
      <c r="B730" s="4">
        <v>717</v>
      </c>
      <c r="C730" s="103" t="s">
        <v>940</v>
      </c>
      <c r="D730" s="99" t="s">
        <v>344</v>
      </c>
      <c r="E730" s="38">
        <v>8</v>
      </c>
      <c r="F730" s="38" t="s">
        <v>945</v>
      </c>
      <c r="G730" s="38" t="s">
        <v>17</v>
      </c>
      <c r="H730" s="38" t="s">
        <v>16</v>
      </c>
    </row>
    <row r="731" spans="2:8" s="13" customFormat="1">
      <c r="B731" s="4">
        <v>718</v>
      </c>
      <c r="C731" s="103" t="s">
        <v>941</v>
      </c>
      <c r="D731" s="99" t="s">
        <v>344</v>
      </c>
      <c r="E731" s="38">
        <v>8</v>
      </c>
      <c r="F731" s="38" t="s">
        <v>945</v>
      </c>
      <c r="G731" s="38" t="s">
        <v>17</v>
      </c>
      <c r="H731" s="38" t="s">
        <v>16</v>
      </c>
    </row>
    <row r="732" spans="2:8" s="13" customFormat="1">
      <c r="B732" s="4">
        <v>719</v>
      </c>
      <c r="C732" s="103" t="s">
        <v>942</v>
      </c>
      <c r="D732" s="99" t="s">
        <v>344</v>
      </c>
      <c r="E732" s="38">
        <v>8</v>
      </c>
      <c r="F732" s="38" t="s">
        <v>945</v>
      </c>
      <c r="G732" s="38" t="s">
        <v>17</v>
      </c>
      <c r="H732" s="38" t="s">
        <v>16</v>
      </c>
    </row>
    <row r="733" spans="2:8" s="13" customFormat="1">
      <c r="B733" s="4">
        <v>720</v>
      </c>
      <c r="C733" s="103" t="s">
        <v>943</v>
      </c>
      <c r="D733" s="99" t="s">
        <v>159</v>
      </c>
      <c r="E733" s="38">
        <v>7</v>
      </c>
      <c r="F733" s="38" t="s">
        <v>945</v>
      </c>
      <c r="G733" s="38" t="s">
        <v>17</v>
      </c>
      <c r="H733" s="38" t="s">
        <v>16</v>
      </c>
    </row>
    <row r="734" spans="2:8" s="13" customFormat="1">
      <c r="B734" s="4">
        <v>721</v>
      </c>
      <c r="C734" s="103" t="s">
        <v>944</v>
      </c>
      <c r="D734" s="99" t="s">
        <v>548</v>
      </c>
      <c r="E734" s="38">
        <v>1</v>
      </c>
      <c r="F734" s="38" t="s">
        <v>945</v>
      </c>
      <c r="G734" s="38" t="s">
        <v>17</v>
      </c>
      <c r="H734" s="38" t="s">
        <v>16</v>
      </c>
    </row>
    <row r="735" spans="2:8" s="13" customFormat="1">
      <c r="B735" s="4">
        <v>722</v>
      </c>
      <c r="C735" s="103" t="s">
        <v>946</v>
      </c>
      <c r="D735" s="99" t="s">
        <v>798</v>
      </c>
      <c r="E735" s="38">
        <v>15</v>
      </c>
      <c r="F735" s="38" t="s">
        <v>975</v>
      </c>
      <c r="G735" s="38" t="s">
        <v>17</v>
      </c>
      <c r="H735" s="38" t="s">
        <v>16</v>
      </c>
    </row>
    <row r="736" spans="2:8" s="13" customFormat="1">
      <c r="B736" s="4">
        <v>723</v>
      </c>
      <c r="C736" s="99" t="s">
        <v>947</v>
      </c>
      <c r="D736" s="99" t="s">
        <v>552</v>
      </c>
      <c r="E736" s="38">
        <v>11</v>
      </c>
      <c r="F736" s="38" t="s">
        <v>975</v>
      </c>
      <c r="G736" s="38" t="s">
        <v>17</v>
      </c>
      <c r="H736" s="38" t="s">
        <v>16</v>
      </c>
    </row>
    <row r="737" spans="2:8" s="13" customFormat="1">
      <c r="B737" s="4">
        <v>724</v>
      </c>
      <c r="C737" s="103" t="s">
        <v>948</v>
      </c>
      <c r="D737" s="99" t="s">
        <v>552</v>
      </c>
      <c r="E737" s="38">
        <v>11</v>
      </c>
      <c r="F737" s="38" t="s">
        <v>975</v>
      </c>
      <c r="G737" s="38" t="s">
        <v>17</v>
      </c>
      <c r="H737" s="38" t="s">
        <v>16</v>
      </c>
    </row>
    <row r="738" spans="2:8" s="13" customFormat="1">
      <c r="B738" s="4">
        <v>725</v>
      </c>
      <c r="C738" s="103" t="s">
        <v>949</v>
      </c>
      <c r="D738" s="99" t="s">
        <v>552</v>
      </c>
      <c r="E738" s="38">
        <v>11</v>
      </c>
      <c r="F738" s="38" t="s">
        <v>975</v>
      </c>
      <c r="G738" s="38" t="s">
        <v>17</v>
      </c>
      <c r="H738" s="38" t="s">
        <v>16</v>
      </c>
    </row>
    <row r="739" spans="2:8" s="13" customFormat="1">
      <c r="B739" s="4">
        <v>726</v>
      </c>
      <c r="C739" s="103" t="s">
        <v>950</v>
      </c>
      <c r="D739" s="99" t="s">
        <v>552</v>
      </c>
      <c r="E739" s="38">
        <v>11</v>
      </c>
      <c r="F739" s="38" t="s">
        <v>975</v>
      </c>
      <c r="G739" s="38" t="s">
        <v>17</v>
      </c>
      <c r="H739" s="38" t="s">
        <v>16</v>
      </c>
    </row>
    <row r="740" spans="2:8" s="13" customFormat="1">
      <c r="B740" s="4">
        <v>727</v>
      </c>
      <c r="C740" s="103" t="s">
        <v>951</v>
      </c>
      <c r="D740" s="99" t="s">
        <v>804</v>
      </c>
      <c r="E740" s="38">
        <v>9</v>
      </c>
      <c r="F740" s="38" t="s">
        <v>975</v>
      </c>
      <c r="G740" s="38" t="s">
        <v>17</v>
      </c>
      <c r="H740" s="38" t="s">
        <v>16</v>
      </c>
    </row>
    <row r="741" spans="2:8" s="13" customFormat="1">
      <c r="B741" s="4">
        <v>728</v>
      </c>
      <c r="C741" s="103" t="s">
        <v>952</v>
      </c>
      <c r="D741" s="99" t="s">
        <v>804</v>
      </c>
      <c r="E741" s="38">
        <v>9</v>
      </c>
      <c r="F741" s="38" t="s">
        <v>975</v>
      </c>
      <c r="G741" s="38" t="s">
        <v>17</v>
      </c>
      <c r="H741" s="38" t="s">
        <v>16</v>
      </c>
    </row>
    <row r="742" spans="2:8" s="13" customFormat="1">
      <c r="B742" s="4">
        <v>729</v>
      </c>
      <c r="C742" s="99" t="s">
        <v>953</v>
      </c>
      <c r="D742" s="99" t="s">
        <v>804</v>
      </c>
      <c r="E742" s="38">
        <v>9</v>
      </c>
      <c r="F742" s="38" t="s">
        <v>975</v>
      </c>
      <c r="G742" s="38" t="s">
        <v>17</v>
      </c>
      <c r="H742" s="38" t="s">
        <v>16</v>
      </c>
    </row>
    <row r="743" spans="2:8" s="13" customFormat="1">
      <c r="B743" s="4">
        <v>730</v>
      </c>
      <c r="C743" s="103" t="s">
        <v>954</v>
      </c>
      <c r="D743" s="99" t="s">
        <v>804</v>
      </c>
      <c r="E743" s="38">
        <v>9</v>
      </c>
      <c r="F743" s="38" t="s">
        <v>975</v>
      </c>
      <c r="G743" s="38" t="s">
        <v>17</v>
      </c>
      <c r="H743" s="38" t="s">
        <v>16</v>
      </c>
    </row>
    <row r="744" spans="2:8" s="13" customFormat="1">
      <c r="B744" s="4">
        <v>731</v>
      </c>
      <c r="C744" s="99" t="s">
        <v>955</v>
      </c>
      <c r="D744" s="99" t="s">
        <v>804</v>
      </c>
      <c r="E744" s="38">
        <v>9</v>
      </c>
      <c r="F744" s="38" t="s">
        <v>975</v>
      </c>
      <c r="G744" s="38" t="s">
        <v>17</v>
      </c>
      <c r="H744" s="38" t="s">
        <v>16</v>
      </c>
    </row>
    <row r="745" spans="2:8" s="13" customFormat="1">
      <c r="B745" s="4">
        <v>732</v>
      </c>
      <c r="C745" s="103" t="s">
        <v>956</v>
      </c>
      <c r="D745" s="99" t="s">
        <v>804</v>
      </c>
      <c r="E745" s="38">
        <v>9</v>
      </c>
      <c r="F745" s="38" t="s">
        <v>975</v>
      </c>
      <c r="G745" s="38" t="s">
        <v>17</v>
      </c>
      <c r="H745" s="38" t="s">
        <v>16</v>
      </c>
    </row>
    <row r="746" spans="2:8" s="13" customFormat="1">
      <c r="B746" s="4">
        <v>733</v>
      </c>
      <c r="C746" s="103" t="s">
        <v>957</v>
      </c>
      <c r="D746" s="99" t="s">
        <v>804</v>
      </c>
      <c r="E746" s="38">
        <v>9</v>
      </c>
      <c r="F746" s="38" t="s">
        <v>975</v>
      </c>
      <c r="G746" s="38" t="s">
        <v>17</v>
      </c>
      <c r="H746" s="38" t="s">
        <v>16</v>
      </c>
    </row>
    <row r="747" spans="2:8" s="13" customFormat="1">
      <c r="B747" s="4">
        <v>734</v>
      </c>
      <c r="C747" s="103" t="s">
        <v>958</v>
      </c>
      <c r="D747" s="99" t="s">
        <v>804</v>
      </c>
      <c r="E747" s="38">
        <v>9</v>
      </c>
      <c r="F747" s="38" t="s">
        <v>975</v>
      </c>
      <c r="G747" s="38" t="s">
        <v>17</v>
      </c>
      <c r="H747" s="38" t="s">
        <v>16</v>
      </c>
    </row>
    <row r="748" spans="2:8" s="13" customFormat="1">
      <c r="B748" s="4">
        <v>735</v>
      </c>
      <c r="C748" s="103" t="s">
        <v>959</v>
      </c>
      <c r="D748" s="99" t="s">
        <v>804</v>
      </c>
      <c r="E748" s="38">
        <v>9</v>
      </c>
      <c r="F748" s="38" t="s">
        <v>975</v>
      </c>
      <c r="G748" s="38" t="s">
        <v>17</v>
      </c>
      <c r="H748" s="38" t="s">
        <v>16</v>
      </c>
    </row>
    <row r="749" spans="2:8" s="13" customFormat="1">
      <c r="B749" s="4">
        <v>736</v>
      </c>
      <c r="C749" s="103" t="s">
        <v>960</v>
      </c>
      <c r="D749" s="99" t="s">
        <v>804</v>
      </c>
      <c r="E749" s="38">
        <v>9</v>
      </c>
      <c r="F749" s="38" t="s">
        <v>975</v>
      </c>
      <c r="G749" s="38" t="s">
        <v>17</v>
      </c>
      <c r="H749" s="38" t="s">
        <v>16</v>
      </c>
    </row>
    <row r="750" spans="2:8" s="13" customFormat="1">
      <c r="B750" s="4">
        <v>737</v>
      </c>
      <c r="C750" s="99" t="s">
        <v>961</v>
      </c>
      <c r="D750" s="99" t="s">
        <v>804</v>
      </c>
      <c r="E750" s="38">
        <v>9</v>
      </c>
      <c r="F750" s="38" t="s">
        <v>975</v>
      </c>
      <c r="G750" s="38" t="s">
        <v>17</v>
      </c>
      <c r="H750" s="38" t="s">
        <v>16</v>
      </c>
    </row>
    <row r="751" spans="2:8" s="13" customFormat="1">
      <c r="B751" s="4">
        <v>738</v>
      </c>
      <c r="C751" s="99" t="s">
        <v>962</v>
      </c>
      <c r="D751" s="99" t="s">
        <v>804</v>
      </c>
      <c r="E751" s="38">
        <v>9</v>
      </c>
      <c r="F751" s="38" t="s">
        <v>975</v>
      </c>
      <c r="G751" s="38" t="s">
        <v>17</v>
      </c>
      <c r="H751" s="38" t="s">
        <v>16</v>
      </c>
    </row>
    <row r="752" spans="2:8" s="13" customFormat="1">
      <c r="B752" s="4">
        <v>739</v>
      </c>
      <c r="C752" s="99" t="s">
        <v>963</v>
      </c>
      <c r="D752" s="99" t="s">
        <v>804</v>
      </c>
      <c r="E752" s="38">
        <v>9</v>
      </c>
      <c r="F752" s="38" t="s">
        <v>975</v>
      </c>
      <c r="G752" s="38" t="s">
        <v>17</v>
      </c>
      <c r="H752" s="38" t="s">
        <v>16</v>
      </c>
    </row>
    <row r="753" spans="2:8" s="13" customFormat="1">
      <c r="B753" s="4">
        <v>740</v>
      </c>
      <c r="C753" s="99" t="s">
        <v>1544</v>
      </c>
      <c r="D753" s="99" t="s">
        <v>804</v>
      </c>
      <c r="E753" s="38">
        <v>9</v>
      </c>
      <c r="F753" s="38" t="s">
        <v>975</v>
      </c>
      <c r="G753" s="38" t="s">
        <v>17</v>
      </c>
      <c r="H753" s="38" t="s">
        <v>16</v>
      </c>
    </row>
    <row r="754" spans="2:8" s="13" customFormat="1">
      <c r="B754" s="4">
        <v>741</v>
      </c>
      <c r="C754" s="99" t="s">
        <v>964</v>
      </c>
      <c r="D754" s="99" t="s">
        <v>804</v>
      </c>
      <c r="E754" s="38">
        <v>9</v>
      </c>
      <c r="F754" s="38" t="s">
        <v>975</v>
      </c>
      <c r="G754" s="38" t="s">
        <v>17</v>
      </c>
      <c r="H754" s="38" t="s">
        <v>16</v>
      </c>
    </row>
    <row r="755" spans="2:8" s="13" customFormat="1">
      <c r="B755" s="4">
        <v>742</v>
      </c>
      <c r="C755" s="99" t="s">
        <v>965</v>
      </c>
      <c r="D755" s="99" t="s">
        <v>804</v>
      </c>
      <c r="E755" s="38">
        <v>9</v>
      </c>
      <c r="F755" s="38" t="s">
        <v>975</v>
      </c>
      <c r="G755" s="38" t="s">
        <v>17</v>
      </c>
      <c r="H755" s="38" t="s">
        <v>16</v>
      </c>
    </row>
    <row r="756" spans="2:8" s="13" customFormat="1">
      <c r="B756" s="4">
        <v>743</v>
      </c>
      <c r="C756" s="99" t="s">
        <v>966</v>
      </c>
      <c r="D756" s="99" t="s">
        <v>804</v>
      </c>
      <c r="E756" s="38">
        <v>9</v>
      </c>
      <c r="F756" s="38" t="s">
        <v>975</v>
      </c>
      <c r="G756" s="38" t="s">
        <v>17</v>
      </c>
      <c r="H756" s="38" t="s">
        <v>16</v>
      </c>
    </row>
    <row r="757" spans="2:8" s="13" customFormat="1">
      <c r="B757" s="4">
        <v>744</v>
      </c>
      <c r="C757" s="105" t="s">
        <v>967</v>
      </c>
      <c r="D757" s="105" t="s">
        <v>344</v>
      </c>
      <c r="E757" s="38">
        <v>8</v>
      </c>
      <c r="F757" s="38" t="s">
        <v>975</v>
      </c>
      <c r="G757" s="38" t="s">
        <v>17</v>
      </c>
      <c r="H757" s="38" t="s">
        <v>16</v>
      </c>
    </row>
    <row r="758" spans="2:8" s="13" customFormat="1">
      <c r="B758" s="4">
        <v>745</v>
      </c>
      <c r="C758" s="105" t="s">
        <v>968</v>
      </c>
      <c r="D758" s="105" t="s">
        <v>344</v>
      </c>
      <c r="E758" s="38">
        <v>8</v>
      </c>
      <c r="F758" s="38" t="s">
        <v>975</v>
      </c>
      <c r="G758" s="38" t="s">
        <v>17</v>
      </c>
      <c r="H758" s="38" t="s">
        <v>16</v>
      </c>
    </row>
    <row r="759" spans="2:8" s="13" customFormat="1">
      <c r="B759" s="4">
        <v>746</v>
      </c>
      <c r="C759" s="99" t="s">
        <v>969</v>
      </c>
      <c r="D759" s="99" t="s">
        <v>159</v>
      </c>
      <c r="E759" s="38">
        <v>7</v>
      </c>
      <c r="F759" s="38" t="s">
        <v>975</v>
      </c>
      <c r="G759" s="38" t="s">
        <v>17</v>
      </c>
      <c r="H759" s="38" t="s">
        <v>16</v>
      </c>
    </row>
    <row r="760" spans="2:8" s="13" customFormat="1">
      <c r="B760" s="4">
        <v>747</v>
      </c>
      <c r="C760" s="103" t="s">
        <v>970</v>
      </c>
      <c r="D760" s="99" t="s">
        <v>430</v>
      </c>
      <c r="E760" s="38">
        <v>3</v>
      </c>
      <c r="F760" s="38" t="s">
        <v>975</v>
      </c>
      <c r="G760" s="38" t="s">
        <v>17</v>
      </c>
      <c r="H760" s="38" t="s">
        <v>16</v>
      </c>
    </row>
    <row r="761" spans="2:8" s="13" customFormat="1">
      <c r="B761" s="4">
        <v>748</v>
      </c>
      <c r="C761" s="103" t="s">
        <v>971</v>
      </c>
      <c r="D761" s="99" t="s">
        <v>548</v>
      </c>
      <c r="E761" s="38">
        <v>1</v>
      </c>
      <c r="F761" s="38" t="s">
        <v>975</v>
      </c>
      <c r="G761" s="38" t="s">
        <v>17</v>
      </c>
      <c r="H761" s="38" t="s">
        <v>16</v>
      </c>
    </row>
    <row r="762" spans="2:8" s="13" customFormat="1">
      <c r="B762" s="4">
        <v>749</v>
      </c>
      <c r="C762" s="103" t="s">
        <v>972</v>
      </c>
      <c r="D762" s="99" t="s">
        <v>548</v>
      </c>
      <c r="E762" s="38">
        <v>1</v>
      </c>
      <c r="F762" s="38" t="s">
        <v>975</v>
      </c>
      <c r="G762" s="38" t="s">
        <v>17</v>
      </c>
      <c r="H762" s="38" t="s">
        <v>16</v>
      </c>
    </row>
    <row r="763" spans="2:8" s="13" customFormat="1">
      <c r="B763" s="4">
        <v>750</v>
      </c>
      <c r="C763" s="103" t="s">
        <v>973</v>
      </c>
      <c r="D763" s="99" t="s">
        <v>548</v>
      </c>
      <c r="E763" s="38">
        <v>1</v>
      </c>
      <c r="F763" s="38" t="s">
        <v>975</v>
      </c>
      <c r="G763" s="38" t="s">
        <v>17</v>
      </c>
      <c r="H763" s="38" t="s">
        <v>16</v>
      </c>
    </row>
    <row r="764" spans="2:8" s="13" customFormat="1">
      <c r="B764" s="4">
        <v>751</v>
      </c>
      <c r="C764" s="103" t="s">
        <v>974</v>
      </c>
      <c r="D764" s="99" t="s">
        <v>365</v>
      </c>
      <c r="E764" s="38">
        <v>8</v>
      </c>
      <c r="F764" s="38" t="s">
        <v>975</v>
      </c>
      <c r="G764" s="38" t="s">
        <v>365</v>
      </c>
      <c r="H764" s="38" t="s">
        <v>16</v>
      </c>
    </row>
    <row r="765" spans="2:8" s="13" customFormat="1">
      <c r="B765" s="4">
        <v>752</v>
      </c>
      <c r="C765" s="104" t="s">
        <v>976</v>
      </c>
      <c r="D765" s="99" t="s">
        <v>977</v>
      </c>
      <c r="E765" s="38">
        <v>24</v>
      </c>
      <c r="F765" s="38" t="s">
        <v>1527</v>
      </c>
      <c r="G765" s="38" t="s">
        <v>17</v>
      </c>
      <c r="H765" s="38" t="s">
        <v>16</v>
      </c>
    </row>
    <row r="766" spans="2:8" s="13" customFormat="1">
      <c r="B766" s="4">
        <v>753</v>
      </c>
      <c r="C766" s="97" t="s">
        <v>978</v>
      </c>
      <c r="D766" s="97" t="s">
        <v>979</v>
      </c>
      <c r="E766" s="38">
        <v>22</v>
      </c>
      <c r="F766" s="38" t="s">
        <v>1527</v>
      </c>
      <c r="G766" s="38" t="s">
        <v>17</v>
      </c>
      <c r="H766" s="38" t="s">
        <v>16</v>
      </c>
    </row>
    <row r="767" spans="2:8" s="13" customFormat="1">
      <c r="B767" s="4">
        <v>754</v>
      </c>
      <c r="C767" s="97" t="s">
        <v>980</v>
      </c>
      <c r="D767" s="97" t="s">
        <v>979</v>
      </c>
      <c r="E767" s="38">
        <v>22</v>
      </c>
      <c r="F767" s="38" t="s">
        <v>1527</v>
      </c>
      <c r="G767" s="38" t="s">
        <v>17</v>
      </c>
      <c r="H767" s="38" t="s">
        <v>16</v>
      </c>
    </row>
    <row r="768" spans="2:8" s="13" customFormat="1">
      <c r="B768" s="4">
        <v>755</v>
      </c>
      <c r="C768" s="97" t="s">
        <v>981</v>
      </c>
      <c r="D768" s="97" t="s">
        <v>982</v>
      </c>
      <c r="E768" s="38">
        <v>20</v>
      </c>
      <c r="F768" s="38" t="s">
        <v>189</v>
      </c>
      <c r="G768" s="38" t="s">
        <v>17</v>
      </c>
      <c r="H768" s="38" t="s">
        <v>16</v>
      </c>
    </row>
    <row r="769" spans="2:8" s="13" customFormat="1">
      <c r="B769" s="4">
        <v>756</v>
      </c>
      <c r="C769" s="97" t="s">
        <v>983</v>
      </c>
      <c r="D769" s="97" t="s">
        <v>982</v>
      </c>
      <c r="E769" s="38">
        <v>20</v>
      </c>
      <c r="F769" s="38" t="s">
        <v>1527</v>
      </c>
      <c r="G769" s="38" t="s">
        <v>17</v>
      </c>
      <c r="H769" s="38" t="s">
        <v>16</v>
      </c>
    </row>
    <row r="770" spans="2:8" s="13" customFormat="1">
      <c r="B770" s="4">
        <v>757</v>
      </c>
      <c r="C770" s="97" t="s">
        <v>984</v>
      </c>
      <c r="D770" s="97" t="s">
        <v>985</v>
      </c>
      <c r="E770" s="38">
        <v>19</v>
      </c>
      <c r="F770" s="38" t="s">
        <v>1528</v>
      </c>
      <c r="G770" s="38" t="s">
        <v>17</v>
      </c>
      <c r="H770" s="38" t="s">
        <v>16</v>
      </c>
    </row>
    <row r="771" spans="2:8" s="13" customFormat="1">
      <c r="B771" s="4">
        <v>758</v>
      </c>
      <c r="C771" s="97" t="s">
        <v>986</v>
      </c>
      <c r="D771" s="97" t="s">
        <v>985</v>
      </c>
      <c r="E771" s="38">
        <v>19</v>
      </c>
      <c r="F771" s="38" t="s">
        <v>1528</v>
      </c>
      <c r="G771" s="38" t="s">
        <v>17</v>
      </c>
      <c r="H771" s="38" t="s">
        <v>16</v>
      </c>
    </row>
    <row r="772" spans="2:8" s="13" customFormat="1">
      <c r="B772" s="4">
        <v>759</v>
      </c>
      <c r="C772" s="97" t="s">
        <v>987</v>
      </c>
      <c r="D772" s="97" t="s">
        <v>988</v>
      </c>
      <c r="E772" s="38">
        <v>17</v>
      </c>
      <c r="F772" s="38" t="s">
        <v>162</v>
      </c>
      <c r="G772" s="38" t="s">
        <v>17</v>
      </c>
      <c r="H772" s="38" t="s">
        <v>16</v>
      </c>
    </row>
    <row r="773" spans="2:8" s="13" customFormat="1">
      <c r="B773" s="4">
        <v>760</v>
      </c>
      <c r="C773" s="97" t="s">
        <v>989</v>
      </c>
      <c r="D773" s="97" t="s">
        <v>988</v>
      </c>
      <c r="E773" s="38">
        <v>17</v>
      </c>
      <c r="F773" s="38" t="s">
        <v>291</v>
      </c>
      <c r="G773" s="38" t="s">
        <v>17</v>
      </c>
      <c r="H773" s="38" t="s">
        <v>16</v>
      </c>
    </row>
    <row r="774" spans="2:8" s="13" customFormat="1">
      <c r="B774" s="4">
        <v>761</v>
      </c>
      <c r="C774" s="97" t="s">
        <v>990</v>
      </c>
      <c r="D774" s="97" t="s">
        <v>988</v>
      </c>
      <c r="E774" s="38">
        <v>17</v>
      </c>
      <c r="F774" s="38" t="s">
        <v>247</v>
      </c>
      <c r="G774" s="38" t="s">
        <v>17</v>
      </c>
      <c r="H774" s="38" t="s">
        <v>16</v>
      </c>
    </row>
    <row r="775" spans="2:8" s="13" customFormat="1">
      <c r="B775" s="4">
        <v>762</v>
      </c>
      <c r="C775" s="97" t="s">
        <v>991</v>
      </c>
      <c r="D775" s="97" t="s">
        <v>988</v>
      </c>
      <c r="E775" s="38">
        <v>17</v>
      </c>
      <c r="F775" s="38" t="s">
        <v>162</v>
      </c>
      <c r="G775" s="38" t="s">
        <v>17</v>
      </c>
      <c r="H775" s="38" t="s">
        <v>16</v>
      </c>
    </row>
    <row r="776" spans="2:8" s="13" customFormat="1">
      <c r="B776" s="4">
        <v>763</v>
      </c>
      <c r="C776" s="97" t="s">
        <v>992</v>
      </c>
      <c r="D776" s="97" t="s">
        <v>988</v>
      </c>
      <c r="E776" s="38">
        <v>17</v>
      </c>
      <c r="F776" s="38" t="s">
        <v>1529</v>
      </c>
      <c r="G776" s="38" t="s">
        <v>17</v>
      </c>
      <c r="H776" s="38" t="s">
        <v>16</v>
      </c>
    </row>
    <row r="777" spans="2:8" s="13" customFormat="1">
      <c r="B777" s="4">
        <v>764</v>
      </c>
      <c r="C777" s="97" t="s">
        <v>993</v>
      </c>
      <c r="D777" s="97" t="s">
        <v>988</v>
      </c>
      <c r="E777" s="38">
        <v>17</v>
      </c>
      <c r="F777" s="38" t="s">
        <v>410</v>
      </c>
      <c r="G777" s="38" t="s">
        <v>17</v>
      </c>
      <c r="H777" s="38" t="s">
        <v>16</v>
      </c>
    </row>
    <row r="778" spans="2:8" s="13" customFormat="1">
      <c r="B778" s="4">
        <v>765</v>
      </c>
      <c r="C778" s="97" t="s">
        <v>994</v>
      </c>
      <c r="D778" s="97" t="s">
        <v>988</v>
      </c>
      <c r="E778" s="38">
        <v>17</v>
      </c>
      <c r="F778" s="38" t="s">
        <v>188</v>
      </c>
      <c r="G778" s="38" t="s">
        <v>17</v>
      </c>
      <c r="H778" s="38" t="s">
        <v>16</v>
      </c>
    </row>
    <row r="779" spans="2:8" s="13" customFormat="1">
      <c r="B779" s="4">
        <v>766</v>
      </c>
      <c r="C779" s="97" t="s">
        <v>995</v>
      </c>
      <c r="D779" s="97" t="s">
        <v>988</v>
      </c>
      <c r="E779" s="38">
        <v>17</v>
      </c>
      <c r="F779" s="38" t="s">
        <v>1528</v>
      </c>
      <c r="G779" s="38" t="s">
        <v>17</v>
      </c>
      <c r="H779" s="38" t="s">
        <v>16</v>
      </c>
    </row>
    <row r="780" spans="2:8" s="13" customFormat="1">
      <c r="B780" s="4">
        <v>767</v>
      </c>
      <c r="C780" s="97" t="s">
        <v>996</v>
      </c>
      <c r="D780" s="97" t="s">
        <v>988</v>
      </c>
      <c r="E780" s="38">
        <v>17</v>
      </c>
      <c r="F780" s="38" t="s">
        <v>291</v>
      </c>
      <c r="G780" s="38" t="s">
        <v>17</v>
      </c>
      <c r="H780" s="38" t="s">
        <v>16</v>
      </c>
    </row>
    <row r="781" spans="2:8" s="13" customFormat="1">
      <c r="B781" s="4">
        <v>768</v>
      </c>
      <c r="C781" s="97" t="s">
        <v>997</v>
      </c>
      <c r="D781" s="97" t="s">
        <v>988</v>
      </c>
      <c r="E781" s="38">
        <v>17</v>
      </c>
      <c r="F781" s="38" t="s">
        <v>247</v>
      </c>
      <c r="G781" s="38" t="s">
        <v>17</v>
      </c>
      <c r="H781" s="38" t="s">
        <v>16</v>
      </c>
    </row>
    <row r="782" spans="2:8" s="13" customFormat="1">
      <c r="B782" s="4">
        <v>769</v>
      </c>
      <c r="C782" s="97" t="s">
        <v>998</v>
      </c>
      <c r="D782" s="97" t="s">
        <v>988</v>
      </c>
      <c r="E782" s="38">
        <v>17</v>
      </c>
      <c r="F782" s="38" t="s">
        <v>247</v>
      </c>
      <c r="G782" s="38" t="s">
        <v>17</v>
      </c>
      <c r="H782" s="38" t="s">
        <v>16</v>
      </c>
    </row>
    <row r="783" spans="2:8" s="13" customFormat="1">
      <c r="B783" s="4">
        <v>770</v>
      </c>
      <c r="C783" s="97" t="s">
        <v>999</v>
      </c>
      <c r="D783" s="97" t="s">
        <v>988</v>
      </c>
      <c r="E783" s="38">
        <v>17</v>
      </c>
      <c r="F783" s="38" t="s">
        <v>188</v>
      </c>
      <c r="G783" s="38" t="s">
        <v>17</v>
      </c>
      <c r="H783" s="38" t="s">
        <v>16</v>
      </c>
    </row>
    <row r="784" spans="2:8" s="13" customFormat="1">
      <c r="B784" s="4">
        <v>771</v>
      </c>
      <c r="C784" s="97" t="s">
        <v>1000</v>
      </c>
      <c r="D784" s="97" t="s">
        <v>988</v>
      </c>
      <c r="E784" s="38">
        <v>17</v>
      </c>
      <c r="F784" s="38" t="s">
        <v>162</v>
      </c>
      <c r="G784" s="38" t="s">
        <v>17</v>
      </c>
      <c r="H784" s="38" t="s">
        <v>16</v>
      </c>
    </row>
    <row r="785" spans="2:8" s="13" customFormat="1">
      <c r="B785" s="4">
        <v>772</v>
      </c>
      <c r="C785" s="97" t="s">
        <v>1001</v>
      </c>
      <c r="D785" s="97" t="s">
        <v>988</v>
      </c>
      <c r="E785" s="38">
        <v>17</v>
      </c>
      <c r="F785" s="38" t="s">
        <v>247</v>
      </c>
      <c r="G785" s="38" t="s">
        <v>17</v>
      </c>
      <c r="H785" s="38" t="s">
        <v>16</v>
      </c>
    </row>
    <row r="786" spans="2:8" s="13" customFormat="1">
      <c r="B786" s="4">
        <v>773</v>
      </c>
      <c r="C786" s="97" t="s">
        <v>1002</v>
      </c>
      <c r="D786" s="97" t="s">
        <v>988</v>
      </c>
      <c r="E786" s="38">
        <v>17</v>
      </c>
      <c r="F786" s="38" t="s">
        <v>189</v>
      </c>
      <c r="G786" s="38" t="s">
        <v>17</v>
      </c>
      <c r="H786" s="38" t="s">
        <v>16</v>
      </c>
    </row>
    <row r="787" spans="2:8" s="13" customFormat="1">
      <c r="B787" s="4">
        <v>774</v>
      </c>
      <c r="C787" s="97" t="s">
        <v>1003</v>
      </c>
      <c r="D787" s="97" t="s">
        <v>988</v>
      </c>
      <c r="E787" s="38">
        <v>17</v>
      </c>
      <c r="F787" s="38" t="s">
        <v>1530</v>
      </c>
      <c r="G787" s="38" t="s">
        <v>17</v>
      </c>
      <c r="H787" s="38" t="s">
        <v>16</v>
      </c>
    </row>
    <row r="788" spans="2:8" s="13" customFormat="1">
      <c r="B788" s="4">
        <v>775</v>
      </c>
      <c r="C788" s="97" t="s">
        <v>1004</v>
      </c>
      <c r="D788" s="97" t="s">
        <v>988</v>
      </c>
      <c r="E788" s="38">
        <v>17</v>
      </c>
      <c r="F788" s="38" t="s">
        <v>1531</v>
      </c>
      <c r="G788" s="38" t="s">
        <v>17</v>
      </c>
      <c r="H788" s="38" t="s">
        <v>16</v>
      </c>
    </row>
    <row r="789" spans="2:8" s="13" customFormat="1">
      <c r="B789" s="4">
        <v>776</v>
      </c>
      <c r="C789" s="97" t="s">
        <v>1005</v>
      </c>
      <c r="D789" s="97" t="s">
        <v>988</v>
      </c>
      <c r="E789" s="38">
        <v>17</v>
      </c>
      <c r="F789" s="38" t="s">
        <v>345</v>
      </c>
      <c r="G789" s="38" t="s">
        <v>17</v>
      </c>
      <c r="H789" s="38" t="s">
        <v>16</v>
      </c>
    </row>
    <row r="790" spans="2:8" s="13" customFormat="1">
      <c r="B790" s="4">
        <v>777</v>
      </c>
      <c r="C790" s="97" t="s">
        <v>1006</v>
      </c>
      <c r="D790" s="97" t="s">
        <v>988</v>
      </c>
      <c r="E790" s="38">
        <v>17</v>
      </c>
      <c r="F790" s="38" t="s">
        <v>189</v>
      </c>
      <c r="G790" s="38" t="s">
        <v>17</v>
      </c>
      <c r="H790" s="38" t="s">
        <v>16</v>
      </c>
    </row>
    <row r="791" spans="2:8" s="13" customFormat="1">
      <c r="B791" s="4">
        <v>778</v>
      </c>
      <c r="C791" s="97" t="s">
        <v>1007</v>
      </c>
      <c r="D791" s="97" t="s">
        <v>988</v>
      </c>
      <c r="E791" s="38">
        <v>17</v>
      </c>
      <c r="F791" s="38" t="s">
        <v>1532</v>
      </c>
      <c r="G791" s="38" t="s">
        <v>17</v>
      </c>
      <c r="H791" s="38" t="s">
        <v>16</v>
      </c>
    </row>
    <row r="792" spans="2:8" s="13" customFormat="1">
      <c r="B792" s="4">
        <v>779</v>
      </c>
      <c r="C792" s="97" t="s">
        <v>1008</v>
      </c>
      <c r="D792" s="97" t="s">
        <v>988</v>
      </c>
      <c r="E792" s="38">
        <v>17</v>
      </c>
      <c r="F792" s="38" t="s">
        <v>1528</v>
      </c>
      <c r="G792" s="38" t="s">
        <v>17</v>
      </c>
      <c r="H792" s="38" t="s">
        <v>16</v>
      </c>
    </row>
    <row r="793" spans="2:8" s="13" customFormat="1">
      <c r="B793" s="4">
        <v>780</v>
      </c>
      <c r="C793" s="97" t="s">
        <v>1009</v>
      </c>
      <c r="D793" s="97" t="s">
        <v>988</v>
      </c>
      <c r="E793" s="38">
        <v>17</v>
      </c>
      <c r="F793" s="38" t="s">
        <v>291</v>
      </c>
      <c r="G793" s="38" t="s">
        <v>17</v>
      </c>
      <c r="H793" s="38" t="s">
        <v>16</v>
      </c>
    </row>
    <row r="794" spans="2:8" s="13" customFormat="1">
      <c r="B794" s="4">
        <v>781</v>
      </c>
      <c r="C794" s="97" t="s">
        <v>1010</v>
      </c>
      <c r="D794" s="97" t="s">
        <v>988</v>
      </c>
      <c r="E794" s="38">
        <v>17</v>
      </c>
      <c r="F794" s="38" t="s">
        <v>364</v>
      </c>
      <c r="G794" s="38" t="s">
        <v>17</v>
      </c>
      <c r="H794" s="38" t="s">
        <v>16</v>
      </c>
    </row>
    <row r="795" spans="2:8" s="13" customFormat="1">
      <c r="B795" s="4">
        <v>782</v>
      </c>
      <c r="C795" s="97" t="s">
        <v>1011</v>
      </c>
      <c r="D795" s="97" t="s">
        <v>988</v>
      </c>
      <c r="E795" s="38">
        <v>17</v>
      </c>
      <c r="F795" s="38" t="s">
        <v>345</v>
      </c>
      <c r="G795" s="38" t="s">
        <v>17</v>
      </c>
      <c r="H795" s="38" t="s">
        <v>16</v>
      </c>
    </row>
    <row r="796" spans="2:8" s="13" customFormat="1">
      <c r="B796" s="4">
        <v>783</v>
      </c>
      <c r="C796" s="97" t="s">
        <v>1012</v>
      </c>
      <c r="D796" s="97" t="s">
        <v>988</v>
      </c>
      <c r="E796" s="38">
        <v>17</v>
      </c>
      <c r="F796" s="38" t="s">
        <v>291</v>
      </c>
      <c r="G796" s="38" t="s">
        <v>17</v>
      </c>
      <c r="H796" s="38" t="s">
        <v>16</v>
      </c>
    </row>
    <row r="797" spans="2:8" s="13" customFormat="1">
      <c r="B797" s="4">
        <v>784</v>
      </c>
      <c r="C797" s="97" t="s">
        <v>1013</v>
      </c>
      <c r="D797" s="97" t="s">
        <v>988</v>
      </c>
      <c r="E797" s="38">
        <v>17</v>
      </c>
      <c r="F797" s="38" t="s">
        <v>410</v>
      </c>
      <c r="G797" s="38" t="s">
        <v>17</v>
      </c>
      <c r="H797" s="38" t="s">
        <v>16</v>
      </c>
    </row>
    <row r="798" spans="2:8" s="13" customFormat="1">
      <c r="B798" s="4">
        <v>785</v>
      </c>
      <c r="C798" s="97" t="s">
        <v>1014</v>
      </c>
      <c r="D798" s="97" t="s">
        <v>988</v>
      </c>
      <c r="E798" s="38">
        <v>17</v>
      </c>
      <c r="F798" s="38" t="s">
        <v>410</v>
      </c>
      <c r="G798" s="38" t="s">
        <v>17</v>
      </c>
      <c r="H798" s="38" t="s">
        <v>16</v>
      </c>
    </row>
    <row r="799" spans="2:8" s="13" customFormat="1">
      <c r="B799" s="4">
        <v>786</v>
      </c>
      <c r="C799" s="97" t="s">
        <v>1015</v>
      </c>
      <c r="D799" s="97" t="s">
        <v>988</v>
      </c>
      <c r="E799" s="38">
        <v>17</v>
      </c>
      <c r="F799" s="38" t="s">
        <v>410</v>
      </c>
      <c r="G799" s="38" t="s">
        <v>17</v>
      </c>
      <c r="H799" s="38" t="s">
        <v>16</v>
      </c>
    </row>
    <row r="800" spans="2:8" s="13" customFormat="1">
      <c r="B800" s="4">
        <v>787</v>
      </c>
      <c r="C800" s="97" t="s">
        <v>1016</v>
      </c>
      <c r="D800" s="97" t="s">
        <v>988</v>
      </c>
      <c r="E800" s="38">
        <v>17</v>
      </c>
      <c r="F800" s="38" t="s">
        <v>1533</v>
      </c>
      <c r="G800" s="38" t="s">
        <v>17</v>
      </c>
      <c r="H800" s="38" t="s">
        <v>16</v>
      </c>
    </row>
    <row r="801" spans="2:8" s="13" customFormat="1">
      <c r="B801" s="4">
        <v>788</v>
      </c>
      <c r="C801" s="97" t="s">
        <v>1017</v>
      </c>
      <c r="D801" s="97" t="s">
        <v>988</v>
      </c>
      <c r="E801" s="38">
        <v>17</v>
      </c>
      <c r="F801" s="38" t="s">
        <v>1528</v>
      </c>
      <c r="G801" s="38" t="s">
        <v>17</v>
      </c>
      <c r="H801" s="38" t="s">
        <v>16</v>
      </c>
    </row>
    <row r="802" spans="2:8" s="13" customFormat="1">
      <c r="B802" s="4">
        <v>789</v>
      </c>
      <c r="C802" s="97" t="s">
        <v>1018</v>
      </c>
      <c r="D802" s="97" t="s">
        <v>988</v>
      </c>
      <c r="E802" s="38">
        <v>17</v>
      </c>
      <c r="F802" s="38" t="s">
        <v>1533</v>
      </c>
      <c r="G802" s="38" t="s">
        <v>17</v>
      </c>
      <c r="H802" s="38" t="s">
        <v>16</v>
      </c>
    </row>
    <row r="803" spans="2:8" s="13" customFormat="1">
      <c r="B803" s="4">
        <v>790</v>
      </c>
      <c r="C803" s="97" t="s">
        <v>1019</v>
      </c>
      <c r="D803" s="97" t="s">
        <v>988</v>
      </c>
      <c r="E803" s="38">
        <v>17</v>
      </c>
      <c r="F803" s="38" t="s">
        <v>188</v>
      </c>
      <c r="G803" s="38" t="s">
        <v>17</v>
      </c>
      <c r="H803" s="38" t="s">
        <v>16</v>
      </c>
    </row>
    <row r="804" spans="2:8" s="13" customFormat="1">
      <c r="B804" s="4">
        <v>791</v>
      </c>
      <c r="C804" s="97" t="s">
        <v>1551</v>
      </c>
      <c r="D804" s="97" t="s">
        <v>988</v>
      </c>
      <c r="E804" s="38">
        <v>17</v>
      </c>
      <c r="F804" s="38" t="s">
        <v>188</v>
      </c>
      <c r="G804" s="38" t="s">
        <v>17</v>
      </c>
      <c r="H804" s="38" t="s">
        <v>16</v>
      </c>
    </row>
    <row r="805" spans="2:8" s="13" customFormat="1">
      <c r="B805" s="4">
        <v>792</v>
      </c>
      <c r="C805" s="97" t="s">
        <v>1020</v>
      </c>
      <c r="D805" s="97" t="s">
        <v>988</v>
      </c>
      <c r="E805" s="38">
        <v>17</v>
      </c>
      <c r="F805" s="38" t="s">
        <v>1528</v>
      </c>
      <c r="G805" s="38" t="s">
        <v>17</v>
      </c>
      <c r="H805" s="38" t="s">
        <v>16</v>
      </c>
    </row>
    <row r="806" spans="2:8" s="13" customFormat="1">
      <c r="B806" s="4">
        <v>793</v>
      </c>
      <c r="C806" s="97" t="s">
        <v>1021</v>
      </c>
      <c r="D806" s="97" t="s">
        <v>988</v>
      </c>
      <c r="E806" s="38">
        <v>17</v>
      </c>
      <c r="F806" s="38" t="s">
        <v>247</v>
      </c>
      <c r="G806" s="38" t="s">
        <v>17</v>
      </c>
      <c r="H806" s="38" t="s">
        <v>16</v>
      </c>
    </row>
    <row r="807" spans="2:8" s="13" customFormat="1">
      <c r="B807" s="4">
        <v>794</v>
      </c>
      <c r="C807" s="97" t="s">
        <v>1022</v>
      </c>
      <c r="D807" s="97" t="s">
        <v>988</v>
      </c>
      <c r="E807" s="38">
        <v>17</v>
      </c>
      <c r="F807" s="38" t="s">
        <v>188</v>
      </c>
      <c r="G807" s="38" t="s">
        <v>17</v>
      </c>
      <c r="H807" s="38" t="s">
        <v>16</v>
      </c>
    </row>
    <row r="808" spans="2:8" s="13" customFormat="1">
      <c r="B808" s="4">
        <v>795</v>
      </c>
      <c r="C808" s="97" t="s">
        <v>1023</v>
      </c>
      <c r="D808" s="97" t="s">
        <v>988</v>
      </c>
      <c r="E808" s="38">
        <v>17</v>
      </c>
      <c r="F808" s="38" t="s">
        <v>345</v>
      </c>
      <c r="G808" s="38" t="s">
        <v>17</v>
      </c>
      <c r="H808" s="38" t="s">
        <v>16</v>
      </c>
    </row>
    <row r="809" spans="2:8" s="13" customFormat="1">
      <c r="B809" s="4">
        <v>796</v>
      </c>
      <c r="C809" s="97" t="s">
        <v>1024</v>
      </c>
      <c r="D809" s="97" t="s">
        <v>988</v>
      </c>
      <c r="E809" s="38">
        <v>17</v>
      </c>
      <c r="F809" s="38" t="s">
        <v>291</v>
      </c>
      <c r="G809" s="38" t="s">
        <v>17</v>
      </c>
      <c r="H809" s="38" t="s">
        <v>16</v>
      </c>
    </row>
    <row r="810" spans="2:8" s="13" customFormat="1">
      <c r="B810" s="4">
        <v>797</v>
      </c>
      <c r="C810" s="97" t="s">
        <v>1025</v>
      </c>
      <c r="D810" s="97" t="s">
        <v>988</v>
      </c>
      <c r="E810" s="38">
        <v>17</v>
      </c>
      <c r="F810" s="38" t="s">
        <v>345</v>
      </c>
      <c r="G810" s="38" t="s">
        <v>17</v>
      </c>
      <c r="H810" s="38" t="s">
        <v>16</v>
      </c>
    </row>
    <row r="811" spans="2:8" s="13" customFormat="1">
      <c r="B811" s="4">
        <v>798</v>
      </c>
      <c r="C811" s="97" t="s">
        <v>1026</v>
      </c>
      <c r="D811" s="97" t="s">
        <v>988</v>
      </c>
      <c r="E811" s="38">
        <v>17</v>
      </c>
      <c r="F811" s="38" t="s">
        <v>189</v>
      </c>
      <c r="G811" s="38" t="s">
        <v>17</v>
      </c>
      <c r="H811" s="38" t="s">
        <v>16</v>
      </c>
    </row>
    <row r="812" spans="2:8" s="13" customFormat="1">
      <c r="B812" s="4">
        <v>799</v>
      </c>
      <c r="C812" s="97" t="s">
        <v>1027</v>
      </c>
      <c r="D812" s="97" t="s">
        <v>988</v>
      </c>
      <c r="E812" s="38">
        <v>17</v>
      </c>
      <c r="F812" s="38" t="s">
        <v>1533</v>
      </c>
      <c r="G812" s="38" t="s">
        <v>17</v>
      </c>
      <c r="H812" s="38" t="s">
        <v>16</v>
      </c>
    </row>
    <row r="813" spans="2:8" s="13" customFormat="1">
      <c r="B813" s="4">
        <v>800</v>
      </c>
      <c r="C813" s="99" t="s">
        <v>1028</v>
      </c>
      <c r="D813" s="99" t="s">
        <v>988</v>
      </c>
      <c r="E813" s="38">
        <v>17</v>
      </c>
      <c r="F813" s="38" t="s">
        <v>1528</v>
      </c>
      <c r="G813" s="38" t="s">
        <v>17</v>
      </c>
      <c r="H813" s="38" t="s">
        <v>16</v>
      </c>
    </row>
    <row r="814" spans="2:8" s="13" customFormat="1">
      <c r="B814" s="4">
        <v>801</v>
      </c>
      <c r="C814" s="97" t="s">
        <v>1029</v>
      </c>
      <c r="D814" s="97" t="s">
        <v>988</v>
      </c>
      <c r="E814" s="38">
        <v>17</v>
      </c>
      <c r="F814" s="38" t="s">
        <v>291</v>
      </c>
      <c r="G814" s="38" t="s">
        <v>17</v>
      </c>
      <c r="H814" s="38" t="s">
        <v>16</v>
      </c>
    </row>
    <row r="815" spans="2:8" s="13" customFormat="1">
      <c r="B815" s="4">
        <v>802</v>
      </c>
      <c r="C815" s="97" t="s">
        <v>1030</v>
      </c>
      <c r="D815" s="97" t="s">
        <v>988</v>
      </c>
      <c r="E815" s="38">
        <v>17</v>
      </c>
      <c r="F815" s="38" t="s">
        <v>1528</v>
      </c>
      <c r="G815" s="38" t="s">
        <v>17</v>
      </c>
      <c r="H815" s="38" t="s">
        <v>16</v>
      </c>
    </row>
    <row r="816" spans="2:8" s="13" customFormat="1">
      <c r="B816" s="4">
        <v>803</v>
      </c>
      <c r="C816" s="97" t="s">
        <v>1031</v>
      </c>
      <c r="D816" s="97" t="s">
        <v>988</v>
      </c>
      <c r="E816" s="38">
        <v>17</v>
      </c>
      <c r="F816" s="38" t="s">
        <v>1528</v>
      </c>
      <c r="G816" s="38" t="s">
        <v>17</v>
      </c>
      <c r="H816" s="38" t="s">
        <v>16</v>
      </c>
    </row>
    <row r="817" spans="2:8" s="13" customFormat="1">
      <c r="B817" s="4">
        <v>804</v>
      </c>
      <c r="C817" s="97" t="s">
        <v>1032</v>
      </c>
      <c r="D817" s="97" t="s">
        <v>988</v>
      </c>
      <c r="E817" s="38">
        <v>17</v>
      </c>
      <c r="F817" s="38" t="s">
        <v>1529</v>
      </c>
      <c r="G817" s="38" t="s">
        <v>17</v>
      </c>
      <c r="H817" s="38" t="s">
        <v>16</v>
      </c>
    </row>
    <row r="818" spans="2:8" s="13" customFormat="1">
      <c r="B818" s="4">
        <v>805</v>
      </c>
      <c r="C818" s="97" t="s">
        <v>1033</v>
      </c>
      <c r="D818" s="97" t="s">
        <v>988</v>
      </c>
      <c r="E818" s="38">
        <v>17</v>
      </c>
      <c r="F818" s="38" t="s">
        <v>1529</v>
      </c>
      <c r="G818" s="38" t="s">
        <v>17</v>
      </c>
      <c r="H818" s="38" t="s">
        <v>16</v>
      </c>
    </row>
    <row r="819" spans="2:8" s="13" customFormat="1">
      <c r="B819" s="4">
        <v>806</v>
      </c>
      <c r="C819" s="97" t="s">
        <v>1034</v>
      </c>
      <c r="D819" s="97" t="s">
        <v>988</v>
      </c>
      <c r="E819" s="38">
        <v>17</v>
      </c>
      <c r="F819" s="38" t="s">
        <v>1528</v>
      </c>
      <c r="G819" s="38" t="s">
        <v>17</v>
      </c>
      <c r="H819" s="38" t="s">
        <v>16</v>
      </c>
    </row>
    <row r="820" spans="2:8" s="13" customFormat="1">
      <c r="B820" s="4">
        <v>807</v>
      </c>
      <c r="C820" s="97" t="s">
        <v>1035</v>
      </c>
      <c r="D820" s="97" t="s">
        <v>988</v>
      </c>
      <c r="E820" s="38">
        <v>17</v>
      </c>
      <c r="F820" s="38" t="s">
        <v>162</v>
      </c>
      <c r="G820" s="38" t="s">
        <v>17</v>
      </c>
      <c r="H820" s="38" t="s">
        <v>16</v>
      </c>
    </row>
    <row r="821" spans="2:8" s="13" customFormat="1">
      <c r="B821" s="4">
        <v>808</v>
      </c>
      <c r="C821" s="97" t="s">
        <v>1036</v>
      </c>
      <c r="D821" s="97" t="s">
        <v>988</v>
      </c>
      <c r="E821" s="38">
        <v>17</v>
      </c>
      <c r="F821" s="38" t="s">
        <v>1528</v>
      </c>
      <c r="G821" s="38" t="s">
        <v>17</v>
      </c>
      <c r="H821" s="38" t="s">
        <v>16</v>
      </c>
    </row>
    <row r="822" spans="2:8" s="13" customFormat="1">
      <c r="B822" s="4">
        <v>809</v>
      </c>
      <c r="C822" s="97" t="s">
        <v>1037</v>
      </c>
      <c r="D822" s="97" t="s">
        <v>988</v>
      </c>
      <c r="E822" s="38">
        <v>17</v>
      </c>
      <c r="F822" s="38" t="s">
        <v>1528</v>
      </c>
      <c r="G822" s="38" t="s">
        <v>17</v>
      </c>
      <c r="H822" s="38" t="s">
        <v>16</v>
      </c>
    </row>
    <row r="823" spans="2:8" s="13" customFormat="1">
      <c r="B823" s="4">
        <v>810</v>
      </c>
      <c r="C823" s="97" t="s">
        <v>1038</v>
      </c>
      <c r="D823" s="97" t="s">
        <v>988</v>
      </c>
      <c r="E823" s="38">
        <v>17</v>
      </c>
      <c r="F823" s="38" t="s">
        <v>1527</v>
      </c>
      <c r="G823" s="38" t="s">
        <v>17</v>
      </c>
      <c r="H823" s="38" t="s">
        <v>16</v>
      </c>
    </row>
    <row r="824" spans="2:8" s="13" customFormat="1">
      <c r="B824" s="4">
        <v>811</v>
      </c>
      <c r="C824" s="97" t="s">
        <v>1039</v>
      </c>
      <c r="D824" s="97" t="s">
        <v>627</v>
      </c>
      <c r="E824" s="38">
        <v>15</v>
      </c>
      <c r="F824" s="38" t="s">
        <v>1528</v>
      </c>
      <c r="G824" s="38" t="s">
        <v>17</v>
      </c>
      <c r="H824" s="38" t="s">
        <v>16</v>
      </c>
    </row>
    <row r="825" spans="2:8" s="13" customFormat="1">
      <c r="B825" s="4">
        <v>812</v>
      </c>
      <c r="C825" s="97" t="s">
        <v>1040</v>
      </c>
      <c r="D825" s="97" t="s">
        <v>627</v>
      </c>
      <c r="E825" s="38">
        <v>15</v>
      </c>
      <c r="F825" s="38" t="s">
        <v>1528</v>
      </c>
      <c r="G825" s="38" t="s">
        <v>17</v>
      </c>
      <c r="H825" s="38" t="s">
        <v>16</v>
      </c>
    </row>
    <row r="826" spans="2:8" s="13" customFormat="1">
      <c r="B826" s="4">
        <v>813</v>
      </c>
      <c r="C826" s="97" t="s">
        <v>1041</v>
      </c>
      <c r="D826" s="97" t="s">
        <v>627</v>
      </c>
      <c r="E826" s="38">
        <v>15</v>
      </c>
      <c r="F826" s="38" t="s">
        <v>410</v>
      </c>
      <c r="G826" s="38" t="s">
        <v>17</v>
      </c>
      <c r="H826" s="38" t="s">
        <v>16</v>
      </c>
    </row>
    <row r="827" spans="2:8" s="13" customFormat="1">
      <c r="B827" s="4">
        <v>814</v>
      </c>
      <c r="C827" s="97" t="s">
        <v>1042</v>
      </c>
      <c r="D827" s="97" t="s">
        <v>627</v>
      </c>
      <c r="E827" s="38">
        <v>15</v>
      </c>
      <c r="F827" s="38" t="s">
        <v>364</v>
      </c>
      <c r="G827" s="38" t="s">
        <v>17</v>
      </c>
      <c r="H827" s="38" t="s">
        <v>16</v>
      </c>
    </row>
    <row r="828" spans="2:8" s="13" customFormat="1">
      <c r="B828" s="4">
        <v>815</v>
      </c>
      <c r="C828" s="97" t="s">
        <v>1043</v>
      </c>
      <c r="D828" s="97" t="s">
        <v>627</v>
      </c>
      <c r="E828" s="38">
        <v>15</v>
      </c>
      <c r="F828" s="38" t="s">
        <v>1528</v>
      </c>
      <c r="G828" s="38" t="s">
        <v>17</v>
      </c>
      <c r="H828" s="38" t="s">
        <v>16</v>
      </c>
    </row>
    <row r="829" spans="2:8" s="13" customFormat="1">
      <c r="B829" s="4">
        <v>816</v>
      </c>
      <c r="C829" s="97" t="s">
        <v>1044</v>
      </c>
      <c r="D829" s="97" t="s">
        <v>627</v>
      </c>
      <c r="E829" s="38">
        <v>15</v>
      </c>
      <c r="F829" s="38" t="s">
        <v>247</v>
      </c>
      <c r="G829" s="38" t="s">
        <v>17</v>
      </c>
      <c r="H829" s="38" t="s">
        <v>16</v>
      </c>
    </row>
    <row r="830" spans="2:8" s="13" customFormat="1">
      <c r="B830" s="4">
        <v>817</v>
      </c>
      <c r="C830" s="97" t="s">
        <v>1045</v>
      </c>
      <c r="D830" s="97" t="s">
        <v>627</v>
      </c>
      <c r="E830" s="38">
        <v>15</v>
      </c>
      <c r="F830" s="38" t="s">
        <v>247</v>
      </c>
      <c r="G830" s="38" t="s">
        <v>17</v>
      </c>
      <c r="H830" s="38" t="s">
        <v>16</v>
      </c>
    </row>
    <row r="831" spans="2:8" s="13" customFormat="1">
      <c r="B831" s="4">
        <v>818</v>
      </c>
      <c r="C831" s="97" t="s">
        <v>1046</v>
      </c>
      <c r="D831" s="97" t="s">
        <v>627</v>
      </c>
      <c r="E831" s="38">
        <v>15</v>
      </c>
      <c r="F831" s="38" t="s">
        <v>1528</v>
      </c>
      <c r="G831" s="38" t="s">
        <v>17</v>
      </c>
      <c r="H831" s="38" t="s">
        <v>16</v>
      </c>
    </row>
    <row r="832" spans="2:8" s="13" customFormat="1">
      <c r="B832" s="4">
        <v>819</v>
      </c>
      <c r="C832" s="97" t="s">
        <v>1047</v>
      </c>
      <c r="D832" s="97" t="s">
        <v>627</v>
      </c>
      <c r="E832" s="38">
        <v>15</v>
      </c>
      <c r="F832" s="38" t="s">
        <v>247</v>
      </c>
      <c r="G832" s="38" t="s">
        <v>17</v>
      </c>
      <c r="H832" s="38" t="s">
        <v>16</v>
      </c>
    </row>
    <row r="833" spans="2:8" s="13" customFormat="1">
      <c r="B833" s="4">
        <v>820</v>
      </c>
      <c r="C833" s="97" t="s">
        <v>1048</v>
      </c>
      <c r="D833" s="97" t="s">
        <v>627</v>
      </c>
      <c r="E833" s="38">
        <v>15</v>
      </c>
      <c r="F833" s="38" t="s">
        <v>188</v>
      </c>
      <c r="G833" s="38" t="s">
        <v>17</v>
      </c>
      <c r="H833" s="38" t="s">
        <v>16</v>
      </c>
    </row>
    <row r="834" spans="2:8" s="13" customFormat="1">
      <c r="B834" s="4">
        <v>821</v>
      </c>
      <c r="C834" s="97" t="s">
        <v>1049</v>
      </c>
      <c r="D834" s="97" t="s">
        <v>627</v>
      </c>
      <c r="E834" s="38">
        <v>15</v>
      </c>
      <c r="F834" s="38" t="s">
        <v>1528</v>
      </c>
      <c r="G834" s="38" t="s">
        <v>17</v>
      </c>
      <c r="H834" s="38" t="s">
        <v>16</v>
      </c>
    </row>
    <row r="835" spans="2:8" s="13" customFormat="1">
      <c r="B835" s="4">
        <v>822</v>
      </c>
      <c r="C835" s="97" t="s">
        <v>1050</v>
      </c>
      <c r="D835" s="97" t="s">
        <v>627</v>
      </c>
      <c r="E835" s="38">
        <v>15</v>
      </c>
      <c r="F835" s="38" t="s">
        <v>291</v>
      </c>
      <c r="G835" s="38" t="s">
        <v>17</v>
      </c>
      <c r="H835" s="38" t="s">
        <v>16</v>
      </c>
    </row>
    <row r="836" spans="2:8" s="13" customFormat="1">
      <c r="B836" s="4">
        <v>823</v>
      </c>
      <c r="C836" s="97" t="s">
        <v>1051</v>
      </c>
      <c r="D836" s="97" t="s">
        <v>627</v>
      </c>
      <c r="E836" s="38">
        <v>15</v>
      </c>
      <c r="F836" s="38" t="s">
        <v>291</v>
      </c>
      <c r="G836" s="38" t="s">
        <v>17</v>
      </c>
      <c r="H836" s="38" t="s">
        <v>16</v>
      </c>
    </row>
    <row r="837" spans="2:8" s="13" customFormat="1">
      <c r="B837" s="4">
        <v>824</v>
      </c>
      <c r="C837" s="97" t="s">
        <v>1052</v>
      </c>
      <c r="D837" s="97" t="s">
        <v>627</v>
      </c>
      <c r="E837" s="38">
        <v>15</v>
      </c>
      <c r="F837" s="38" t="s">
        <v>162</v>
      </c>
      <c r="G837" s="38" t="s">
        <v>17</v>
      </c>
      <c r="H837" s="38" t="s">
        <v>16</v>
      </c>
    </row>
    <row r="838" spans="2:8" s="13" customFormat="1">
      <c r="B838" s="4">
        <v>825</v>
      </c>
      <c r="C838" s="97" t="s">
        <v>1053</v>
      </c>
      <c r="D838" s="97" t="s">
        <v>627</v>
      </c>
      <c r="E838" s="38">
        <v>15</v>
      </c>
      <c r="F838" s="38" t="s">
        <v>1530</v>
      </c>
      <c r="G838" s="38" t="s">
        <v>17</v>
      </c>
      <c r="H838" s="38" t="s">
        <v>16</v>
      </c>
    </row>
    <row r="839" spans="2:8" s="13" customFormat="1">
      <c r="B839" s="4">
        <v>826</v>
      </c>
      <c r="C839" s="97" t="s">
        <v>1054</v>
      </c>
      <c r="D839" s="97" t="s">
        <v>627</v>
      </c>
      <c r="E839" s="38">
        <v>15</v>
      </c>
      <c r="F839" s="38" t="s">
        <v>1530</v>
      </c>
      <c r="G839" s="38" t="s">
        <v>17</v>
      </c>
      <c r="H839" s="38" t="s">
        <v>16</v>
      </c>
    </row>
    <row r="840" spans="2:8" s="13" customFormat="1">
      <c r="B840" s="4">
        <v>827</v>
      </c>
      <c r="C840" s="97" t="s">
        <v>1055</v>
      </c>
      <c r="D840" s="97" t="s">
        <v>627</v>
      </c>
      <c r="E840" s="38">
        <v>15</v>
      </c>
      <c r="F840" s="38" t="s">
        <v>247</v>
      </c>
      <c r="G840" s="38" t="s">
        <v>17</v>
      </c>
      <c r="H840" s="38" t="s">
        <v>16</v>
      </c>
    </row>
    <row r="841" spans="2:8" s="13" customFormat="1">
      <c r="B841" s="4">
        <v>828</v>
      </c>
      <c r="C841" s="97" t="s">
        <v>1056</v>
      </c>
      <c r="D841" s="97" t="s">
        <v>627</v>
      </c>
      <c r="E841" s="38">
        <v>15</v>
      </c>
      <c r="F841" s="38" t="s">
        <v>1529</v>
      </c>
      <c r="G841" s="38" t="s">
        <v>17</v>
      </c>
      <c r="H841" s="38" t="s">
        <v>16</v>
      </c>
    </row>
    <row r="842" spans="2:8" s="13" customFormat="1">
      <c r="B842" s="4">
        <v>829</v>
      </c>
      <c r="C842" s="97" t="s">
        <v>1057</v>
      </c>
      <c r="D842" s="97" t="s">
        <v>627</v>
      </c>
      <c r="E842" s="38">
        <v>15</v>
      </c>
      <c r="F842" s="38" t="s">
        <v>162</v>
      </c>
      <c r="G842" s="38" t="s">
        <v>17</v>
      </c>
      <c r="H842" s="38" t="s">
        <v>16</v>
      </c>
    </row>
    <row r="843" spans="2:8" s="13" customFormat="1">
      <c r="B843" s="4">
        <v>830</v>
      </c>
      <c r="C843" s="103" t="s">
        <v>1058</v>
      </c>
      <c r="D843" s="99" t="s">
        <v>627</v>
      </c>
      <c r="E843" s="38">
        <v>15</v>
      </c>
      <c r="F843" s="38" t="s">
        <v>162</v>
      </c>
      <c r="G843" s="38" t="s">
        <v>17</v>
      </c>
      <c r="H843" s="38" t="s">
        <v>16</v>
      </c>
    </row>
    <row r="844" spans="2:8" s="13" customFormat="1">
      <c r="B844" s="4">
        <v>831</v>
      </c>
      <c r="C844" s="97" t="s">
        <v>1059</v>
      </c>
      <c r="D844" s="97" t="s">
        <v>627</v>
      </c>
      <c r="E844" s="38">
        <v>15</v>
      </c>
      <c r="F844" s="38" t="s">
        <v>1528</v>
      </c>
      <c r="G844" s="38" t="s">
        <v>17</v>
      </c>
      <c r="H844" s="38" t="s">
        <v>16</v>
      </c>
    </row>
    <row r="845" spans="2:8" s="13" customFormat="1">
      <c r="B845" s="4">
        <v>832</v>
      </c>
      <c r="C845" s="97" t="s">
        <v>1060</v>
      </c>
      <c r="D845" s="97" t="s">
        <v>627</v>
      </c>
      <c r="E845" s="38">
        <v>15</v>
      </c>
      <c r="F845" s="38" t="s">
        <v>410</v>
      </c>
      <c r="G845" s="38" t="s">
        <v>17</v>
      </c>
      <c r="H845" s="38" t="s">
        <v>16</v>
      </c>
    </row>
    <row r="846" spans="2:8" s="13" customFormat="1">
      <c r="B846" s="4">
        <v>833</v>
      </c>
      <c r="C846" s="97" t="s">
        <v>1061</v>
      </c>
      <c r="D846" s="97" t="s">
        <v>627</v>
      </c>
      <c r="E846" s="38">
        <v>15</v>
      </c>
      <c r="F846" s="38" t="s">
        <v>1529</v>
      </c>
      <c r="G846" s="38" t="s">
        <v>17</v>
      </c>
      <c r="H846" s="38" t="s">
        <v>16</v>
      </c>
    </row>
    <row r="847" spans="2:8" s="13" customFormat="1">
      <c r="B847" s="4">
        <v>834</v>
      </c>
      <c r="C847" s="97" t="s">
        <v>1062</v>
      </c>
      <c r="D847" s="97" t="s">
        <v>627</v>
      </c>
      <c r="E847" s="38">
        <v>15</v>
      </c>
      <c r="F847" s="38" t="s">
        <v>291</v>
      </c>
      <c r="G847" s="38" t="s">
        <v>17</v>
      </c>
      <c r="H847" s="38" t="s">
        <v>16</v>
      </c>
    </row>
    <row r="848" spans="2:8" s="13" customFormat="1">
      <c r="B848" s="4">
        <v>835</v>
      </c>
      <c r="C848" s="97" t="s">
        <v>1063</v>
      </c>
      <c r="D848" s="97" t="s">
        <v>627</v>
      </c>
      <c r="E848" s="38">
        <v>15</v>
      </c>
      <c r="F848" s="38" t="s">
        <v>162</v>
      </c>
      <c r="G848" s="38" t="s">
        <v>17</v>
      </c>
      <c r="H848" s="38" t="s">
        <v>16</v>
      </c>
    </row>
    <row r="849" spans="2:8" s="13" customFormat="1">
      <c r="B849" s="4">
        <v>836</v>
      </c>
      <c r="C849" s="97" t="s">
        <v>1064</v>
      </c>
      <c r="D849" s="97" t="s">
        <v>627</v>
      </c>
      <c r="E849" s="38">
        <v>15</v>
      </c>
      <c r="F849" s="38" t="s">
        <v>345</v>
      </c>
      <c r="G849" s="38" t="s">
        <v>17</v>
      </c>
      <c r="H849" s="38" t="s">
        <v>16</v>
      </c>
    </row>
    <row r="850" spans="2:8" s="13" customFormat="1">
      <c r="B850" s="4">
        <v>837</v>
      </c>
      <c r="C850" s="97" t="s">
        <v>1065</v>
      </c>
      <c r="D850" s="97" t="s">
        <v>627</v>
      </c>
      <c r="E850" s="38">
        <v>15</v>
      </c>
      <c r="F850" s="38" t="s">
        <v>345</v>
      </c>
      <c r="G850" s="38" t="s">
        <v>17</v>
      </c>
      <c r="H850" s="38" t="s">
        <v>16</v>
      </c>
    </row>
    <row r="851" spans="2:8" s="13" customFormat="1">
      <c r="B851" s="4">
        <v>838</v>
      </c>
      <c r="C851" s="97" t="s">
        <v>1066</v>
      </c>
      <c r="D851" s="97" t="s">
        <v>627</v>
      </c>
      <c r="E851" s="38">
        <v>15</v>
      </c>
      <c r="F851" s="38" t="s">
        <v>1533</v>
      </c>
      <c r="G851" s="38" t="s">
        <v>17</v>
      </c>
      <c r="H851" s="38" t="s">
        <v>16</v>
      </c>
    </row>
    <row r="852" spans="2:8" s="13" customFormat="1">
      <c r="B852" s="4">
        <v>839</v>
      </c>
      <c r="C852" s="97" t="s">
        <v>1067</v>
      </c>
      <c r="D852" s="97" t="s">
        <v>627</v>
      </c>
      <c r="E852" s="38">
        <v>15</v>
      </c>
      <c r="F852" s="38" t="s">
        <v>1533</v>
      </c>
      <c r="G852" s="38" t="s">
        <v>17</v>
      </c>
      <c r="H852" s="38" t="s">
        <v>16</v>
      </c>
    </row>
    <row r="853" spans="2:8" s="13" customFormat="1">
      <c r="B853" s="4">
        <v>840</v>
      </c>
      <c r="C853" s="97" t="s">
        <v>1068</v>
      </c>
      <c r="D853" s="97" t="s">
        <v>627</v>
      </c>
      <c r="E853" s="38">
        <v>15</v>
      </c>
      <c r="F853" s="38" t="s">
        <v>1529</v>
      </c>
      <c r="G853" s="38" t="s">
        <v>17</v>
      </c>
      <c r="H853" s="38" t="s">
        <v>16</v>
      </c>
    </row>
    <row r="854" spans="2:8" s="13" customFormat="1">
      <c r="B854" s="4">
        <v>841</v>
      </c>
      <c r="C854" s="97" t="s">
        <v>1069</v>
      </c>
      <c r="D854" s="97" t="s">
        <v>627</v>
      </c>
      <c r="E854" s="38">
        <v>15</v>
      </c>
      <c r="F854" s="38" t="s">
        <v>410</v>
      </c>
      <c r="G854" s="38" t="s">
        <v>17</v>
      </c>
      <c r="H854" s="38" t="s">
        <v>16</v>
      </c>
    </row>
    <row r="855" spans="2:8" s="13" customFormat="1">
      <c r="B855" s="4">
        <v>842</v>
      </c>
      <c r="C855" s="97" t="s">
        <v>1070</v>
      </c>
      <c r="D855" s="97" t="s">
        <v>627</v>
      </c>
      <c r="E855" s="38">
        <v>15</v>
      </c>
      <c r="F855" s="38" t="s">
        <v>1533</v>
      </c>
      <c r="G855" s="38" t="s">
        <v>17</v>
      </c>
      <c r="H855" s="38" t="s">
        <v>16</v>
      </c>
    </row>
    <row r="856" spans="2:8" s="13" customFormat="1">
      <c r="B856" s="4">
        <v>843</v>
      </c>
      <c r="C856" s="97" t="s">
        <v>1071</v>
      </c>
      <c r="D856" s="97" t="s">
        <v>627</v>
      </c>
      <c r="E856" s="38">
        <v>15</v>
      </c>
      <c r="F856" s="38" t="s">
        <v>1528</v>
      </c>
      <c r="G856" s="38" t="s">
        <v>17</v>
      </c>
      <c r="H856" s="38" t="s">
        <v>16</v>
      </c>
    </row>
    <row r="857" spans="2:8" s="13" customFormat="1">
      <c r="B857" s="4">
        <v>844</v>
      </c>
      <c r="C857" s="97" t="s">
        <v>1072</v>
      </c>
      <c r="D857" s="97" t="s">
        <v>627</v>
      </c>
      <c r="E857" s="38">
        <v>15</v>
      </c>
      <c r="F857" s="38" t="s">
        <v>1534</v>
      </c>
      <c r="G857" s="38" t="s">
        <v>17</v>
      </c>
      <c r="H857" s="38" t="s">
        <v>16</v>
      </c>
    </row>
    <row r="858" spans="2:8" s="13" customFormat="1">
      <c r="B858" s="4">
        <v>845</v>
      </c>
      <c r="C858" s="97" t="s">
        <v>1073</v>
      </c>
      <c r="D858" s="97" t="s">
        <v>627</v>
      </c>
      <c r="E858" s="38">
        <v>15</v>
      </c>
      <c r="F858" s="38" t="s">
        <v>345</v>
      </c>
      <c r="G858" s="38" t="s">
        <v>17</v>
      </c>
      <c r="H858" s="38" t="s">
        <v>16</v>
      </c>
    </row>
    <row r="859" spans="2:8" s="13" customFormat="1">
      <c r="B859" s="4">
        <v>846</v>
      </c>
      <c r="C859" s="97" t="s">
        <v>1552</v>
      </c>
      <c r="D859" s="97" t="s">
        <v>627</v>
      </c>
      <c r="E859" s="38">
        <v>15</v>
      </c>
      <c r="F859" s="38" t="s">
        <v>345</v>
      </c>
      <c r="G859" s="38" t="s">
        <v>17</v>
      </c>
      <c r="H859" s="38" t="s">
        <v>16</v>
      </c>
    </row>
    <row r="860" spans="2:8" s="13" customFormat="1">
      <c r="B860" s="4">
        <v>847</v>
      </c>
      <c r="C860" s="97" t="s">
        <v>1074</v>
      </c>
      <c r="D860" s="97" t="s">
        <v>627</v>
      </c>
      <c r="E860" s="38">
        <v>15</v>
      </c>
      <c r="F860" s="38" t="s">
        <v>345</v>
      </c>
      <c r="G860" s="38" t="s">
        <v>17</v>
      </c>
      <c r="H860" s="38" t="s">
        <v>16</v>
      </c>
    </row>
    <row r="861" spans="2:8" s="13" customFormat="1">
      <c r="B861" s="4">
        <v>848</v>
      </c>
      <c r="C861" s="97" t="s">
        <v>1075</v>
      </c>
      <c r="D861" s="97" t="s">
        <v>627</v>
      </c>
      <c r="E861" s="38">
        <v>15</v>
      </c>
      <c r="F861" s="38" t="s">
        <v>345</v>
      </c>
      <c r="G861" s="38" t="s">
        <v>17</v>
      </c>
      <c r="H861" s="38" t="s">
        <v>16</v>
      </c>
    </row>
    <row r="862" spans="2:8" s="13" customFormat="1">
      <c r="B862" s="4">
        <v>849</v>
      </c>
      <c r="C862" s="97" t="s">
        <v>1076</v>
      </c>
      <c r="D862" s="97" t="s">
        <v>627</v>
      </c>
      <c r="E862" s="38">
        <v>15</v>
      </c>
      <c r="F862" s="38" t="s">
        <v>1533</v>
      </c>
      <c r="G862" s="38" t="s">
        <v>17</v>
      </c>
      <c r="H862" s="38" t="s">
        <v>16</v>
      </c>
    </row>
    <row r="863" spans="2:8" s="13" customFormat="1">
      <c r="B863" s="4">
        <v>850</v>
      </c>
      <c r="C863" s="97" t="s">
        <v>1077</v>
      </c>
      <c r="D863" s="97" t="s">
        <v>627</v>
      </c>
      <c r="E863" s="38">
        <v>15</v>
      </c>
      <c r="F863" s="38" t="s">
        <v>1528</v>
      </c>
      <c r="G863" s="38" t="s">
        <v>17</v>
      </c>
      <c r="H863" s="38" t="s">
        <v>16</v>
      </c>
    </row>
    <row r="864" spans="2:8" s="13" customFormat="1">
      <c r="B864" s="4">
        <v>851</v>
      </c>
      <c r="C864" s="97" t="s">
        <v>1078</v>
      </c>
      <c r="D864" s="97" t="s">
        <v>627</v>
      </c>
      <c r="E864" s="38">
        <v>15</v>
      </c>
      <c r="F864" s="38" t="s">
        <v>364</v>
      </c>
      <c r="G864" s="38" t="s">
        <v>17</v>
      </c>
      <c r="H864" s="38" t="s">
        <v>16</v>
      </c>
    </row>
    <row r="865" spans="2:8" s="13" customFormat="1">
      <c r="B865" s="4">
        <v>852</v>
      </c>
      <c r="C865" s="97" t="s">
        <v>1079</v>
      </c>
      <c r="D865" s="97" t="s">
        <v>627</v>
      </c>
      <c r="E865" s="38">
        <v>15</v>
      </c>
      <c r="F865" s="38" t="s">
        <v>1529</v>
      </c>
      <c r="G865" s="38" t="s">
        <v>17</v>
      </c>
      <c r="H865" s="38" t="s">
        <v>16</v>
      </c>
    </row>
    <row r="866" spans="2:8" s="13" customFormat="1">
      <c r="B866" s="4">
        <v>853</v>
      </c>
      <c r="C866" s="97" t="s">
        <v>1080</v>
      </c>
      <c r="D866" s="97" t="s">
        <v>627</v>
      </c>
      <c r="E866" s="38">
        <v>15</v>
      </c>
      <c r="F866" s="38" t="s">
        <v>1529</v>
      </c>
      <c r="G866" s="38" t="s">
        <v>17</v>
      </c>
      <c r="H866" s="38" t="s">
        <v>16</v>
      </c>
    </row>
    <row r="867" spans="2:8" s="13" customFormat="1">
      <c r="B867" s="4">
        <v>854</v>
      </c>
      <c r="C867" s="97" t="s">
        <v>1081</v>
      </c>
      <c r="D867" s="97" t="s">
        <v>627</v>
      </c>
      <c r="E867" s="38">
        <v>15</v>
      </c>
      <c r="F867" s="38" t="s">
        <v>1535</v>
      </c>
      <c r="G867" s="38" t="s">
        <v>17</v>
      </c>
      <c r="H867" s="38" t="s">
        <v>16</v>
      </c>
    </row>
    <row r="868" spans="2:8" s="13" customFormat="1">
      <c r="B868" s="4">
        <v>855</v>
      </c>
      <c r="C868" s="97" t="s">
        <v>1082</v>
      </c>
      <c r="D868" s="97" t="s">
        <v>627</v>
      </c>
      <c r="E868" s="38">
        <v>15</v>
      </c>
      <c r="F868" s="38" t="s">
        <v>188</v>
      </c>
      <c r="G868" s="38" t="s">
        <v>17</v>
      </c>
      <c r="H868" s="38" t="s">
        <v>16</v>
      </c>
    </row>
    <row r="869" spans="2:8" s="13" customFormat="1">
      <c r="B869" s="4">
        <v>856</v>
      </c>
      <c r="C869" s="97" t="s">
        <v>1083</v>
      </c>
      <c r="D869" s="97" t="s">
        <v>627</v>
      </c>
      <c r="E869" s="38">
        <v>15</v>
      </c>
      <c r="F869" s="38" t="s">
        <v>1533</v>
      </c>
      <c r="G869" s="38" t="s">
        <v>17</v>
      </c>
      <c r="H869" s="38" t="s">
        <v>16</v>
      </c>
    </row>
    <row r="870" spans="2:8" s="13" customFormat="1">
      <c r="B870" s="4">
        <v>857</v>
      </c>
      <c r="C870" s="97" t="s">
        <v>1084</v>
      </c>
      <c r="D870" s="97" t="s">
        <v>627</v>
      </c>
      <c r="E870" s="38">
        <v>15</v>
      </c>
      <c r="F870" s="38" t="s">
        <v>1528</v>
      </c>
      <c r="G870" s="38" t="s">
        <v>17</v>
      </c>
      <c r="H870" s="38" t="s">
        <v>16</v>
      </c>
    </row>
    <row r="871" spans="2:8" s="13" customFormat="1">
      <c r="B871" s="4">
        <v>858</v>
      </c>
      <c r="C871" s="97" t="s">
        <v>1085</v>
      </c>
      <c r="D871" s="97" t="s">
        <v>627</v>
      </c>
      <c r="E871" s="38">
        <v>15</v>
      </c>
      <c r="F871" s="38" t="s">
        <v>1530</v>
      </c>
      <c r="G871" s="38" t="s">
        <v>17</v>
      </c>
      <c r="H871" s="38" t="s">
        <v>16</v>
      </c>
    </row>
    <row r="872" spans="2:8" s="13" customFormat="1">
      <c r="B872" s="4">
        <v>859</v>
      </c>
      <c r="C872" s="97" t="s">
        <v>1086</v>
      </c>
      <c r="D872" s="97" t="s">
        <v>627</v>
      </c>
      <c r="E872" s="38">
        <v>15</v>
      </c>
      <c r="F872" s="38" t="s">
        <v>1533</v>
      </c>
      <c r="G872" s="38" t="s">
        <v>17</v>
      </c>
      <c r="H872" s="38" t="s">
        <v>16</v>
      </c>
    </row>
    <row r="873" spans="2:8" s="13" customFormat="1">
      <c r="B873" s="4">
        <v>860</v>
      </c>
      <c r="C873" s="97" t="s">
        <v>1087</v>
      </c>
      <c r="D873" s="97" t="s">
        <v>627</v>
      </c>
      <c r="E873" s="38">
        <v>15</v>
      </c>
      <c r="F873" s="38" t="s">
        <v>345</v>
      </c>
      <c r="G873" s="38" t="s">
        <v>17</v>
      </c>
      <c r="H873" s="38" t="s">
        <v>16</v>
      </c>
    </row>
    <row r="874" spans="2:8" s="13" customFormat="1">
      <c r="B874" s="4">
        <v>861</v>
      </c>
      <c r="C874" s="97" t="s">
        <v>1088</v>
      </c>
      <c r="D874" s="97" t="s">
        <v>627</v>
      </c>
      <c r="E874" s="38">
        <v>15</v>
      </c>
      <c r="F874" s="38" t="s">
        <v>291</v>
      </c>
      <c r="G874" s="38" t="s">
        <v>17</v>
      </c>
      <c r="H874" s="38" t="s">
        <v>16</v>
      </c>
    </row>
    <row r="875" spans="2:8" s="13" customFormat="1">
      <c r="B875" s="4">
        <v>862</v>
      </c>
      <c r="C875" s="97" t="s">
        <v>1089</v>
      </c>
      <c r="D875" s="97" t="s">
        <v>627</v>
      </c>
      <c r="E875" s="38">
        <v>15</v>
      </c>
      <c r="F875" s="38" t="s">
        <v>1528</v>
      </c>
      <c r="G875" s="38" t="s">
        <v>17</v>
      </c>
      <c r="H875" s="38" t="s">
        <v>16</v>
      </c>
    </row>
    <row r="876" spans="2:8" s="13" customFormat="1">
      <c r="B876" s="4">
        <v>863</v>
      </c>
      <c r="C876" s="97" t="s">
        <v>1090</v>
      </c>
      <c r="D876" s="97" t="s">
        <v>627</v>
      </c>
      <c r="E876" s="38">
        <v>15</v>
      </c>
      <c r="F876" s="38" t="s">
        <v>1530</v>
      </c>
      <c r="G876" s="38" t="s">
        <v>17</v>
      </c>
      <c r="H876" s="38" t="s">
        <v>16</v>
      </c>
    </row>
    <row r="877" spans="2:8" s="13" customFormat="1">
      <c r="B877" s="4">
        <v>864</v>
      </c>
      <c r="C877" s="97" t="s">
        <v>1091</v>
      </c>
      <c r="D877" s="97" t="s">
        <v>627</v>
      </c>
      <c r="E877" s="38">
        <v>15</v>
      </c>
      <c r="F877" s="38" t="s">
        <v>1529</v>
      </c>
      <c r="G877" s="38" t="s">
        <v>17</v>
      </c>
      <c r="H877" s="38" t="s">
        <v>16</v>
      </c>
    </row>
    <row r="878" spans="2:8" s="13" customFormat="1">
      <c r="B878" s="4">
        <v>865</v>
      </c>
      <c r="C878" s="97" t="s">
        <v>1092</v>
      </c>
      <c r="D878" s="97" t="s">
        <v>627</v>
      </c>
      <c r="E878" s="38">
        <v>15</v>
      </c>
      <c r="F878" s="38" t="s">
        <v>162</v>
      </c>
      <c r="G878" s="38" t="s">
        <v>17</v>
      </c>
      <c r="H878" s="38" t="s">
        <v>16</v>
      </c>
    </row>
    <row r="879" spans="2:8" s="13" customFormat="1">
      <c r="B879" s="4">
        <v>866</v>
      </c>
      <c r="C879" s="97" t="s">
        <v>1093</v>
      </c>
      <c r="D879" s="97" t="s">
        <v>627</v>
      </c>
      <c r="E879" s="38">
        <v>15</v>
      </c>
      <c r="F879" s="38" t="s">
        <v>162</v>
      </c>
      <c r="G879" s="38" t="s">
        <v>17</v>
      </c>
      <c r="H879" s="38" t="s">
        <v>16</v>
      </c>
    </row>
    <row r="880" spans="2:8" s="13" customFormat="1">
      <c r="B880" s="4">
        <v>867</v>
      </c>
      <c r="C880" s="97" t="s">
        <v>1094</v>
      </c>
      <c r="D880" s="97" t="s">
        <v>627</v>
      </c>
      <c r="E880" s="38">
        <v>15</v>
      </c>
      <c r="F880" s="38" t="s">
        <v>247</v>
      </c>
      <c r="G880" s="38" t="s">
        <v>17</v>
      </c>
      <c r="H880" s="38" t="s">
        <v>16</v>
      </c>
    </row>
    <row r="881" spans="2:8" s="13" customFormat="1">
      <c r="B881" s="4">
        <v>868</v>
      </c>
      <c r="C881" s="97" t="s">
        <v>1095</v>
      </c>
      <c r="D881" s="97" t="s">
        <v>627</v>
      </c>
      <c r="E881" s="38">
        <v>15</v>
      </c>
      <c r="F881" s="38" t="s">
        <v>1530</v>
      </c>
      <c r="G881" s="38" t="s">
        <v>17</v>
      </c>
      <c r="H881" s="38" t="s">
        <v>16</v>
      </c>
    </row>
    <row r="882" spans="2:8" s="13" customFormat="1">
      <c r="B882" s="4">
        <v>869</v>
      </c>
      <c r="C882" s="97" t="s">
        <v>1096</v>
      </c>
      <c r="D882" s="97" t="s">
        <v>627</v>
      </c>
      <c r="E882" s="38">
        <v>15</v>
      </c>
      <c r="F882" s="38" t="s">
        <v>1530</v>
      </c>
      <c r="G882" s="38" t="s">
        <v>17</v>
      </c>
      <c r="H882" s="38" t="s">
        <v>16</v>
      </c>
    </row>
    <row r="883" spans="2:8" s="13" customFormat="1">
      <c r="B883" s="4">
        <v>870</v>
      </c>
      <c r="C883" s="97" t="s">
        <v>1097</v>
      </c>
      <c r="D883" s="97" t="s">
        <v>627</v>
      </c>
      <c r="E883" s="38">
        <v>15</v>
      </c>
      <c r="F883" s="38" t="s">
        <v>410</v>
      </c>
      <c r="G883" s="38" t="s">
        <v>17</v>
      </c>
      <c r="H883" s="38" t="s">
        <v>16</v>
      </c>
    </row>
    <row r="884" spans="2:8" s="13" customFormat="1">
      <c r="B884" s="4">
        <v>871</v>
      </c>
      <c r="C884" s="97" t="s">
        <v>1098</v>
      </c>
      <c r="D884" s="97" t="s">
        <v>627</v>
      </c>
      <c r="E884" s="38">
        <v>15</v>
      </c>
      <c r="F884" s="38" t="s">
        <v>345</v>
      </c>
      <c r="G884" s="38" t="s">
        <v>17</v>
      </c>
      <c r="H884" s="38" t="s">
        <v>16</v>
      </c>
    </row>
    <row r="885" spans="2:8" s="13" customFormat="1">
      <c r="B885" s="4">
        <v>872</v>
      </c>
      <c r="C885" s="97" t="s">
        <v>1546</v>
      </c>
      <c r="D885" s="97" t="s">
        <v>627</v>
      </c>
      <c r="E885" s="38">
        <v>15</v>
      </c>
      <c r="F885" s="38" t="s">
        <v>1528</v>
      </c>
      <c r="G885" s="38" t="s">
        <v>17</v>
      </c>
      <c r="H885" s="38" t="s">
        <v>16</v>
      </c>
    </row>
    <row r="886" spans="2:8" s="13" customFormat="1">
      <c r="B886" s="4">
        <v>873</v>
      </c>
      <c r="C886" s="97" t="s">
        <v>1099</v>
      </c>
      <c r="D886" s="97" t="s">
        <v>627</v>
      </c>
      <c r="E886" s="38">
        <v>15</v>
      </c>
      <c r="F886" s="38" t="s">
        <v>345</v>
      </c>
      <c r="G886" s="38" t="s">
        <v>17</v>
      </c>
      <c r="H886" s="38" t="s">
        <v>16</v>
      </c>
    </row>
    <row r="887" spans="2:8" s="13" customFormat="1">
      <c r="B887" s="4">
        <v>874</v>
      </c>
      <c r="C887" s="97" t="s">
        <v>1100</v>
      </c>
      <c r="D887" s="97" t="s">
        <v>627</v>
      </c>
      <c r="E887" s="38">
        <v>15</v>
      </c>
      <c r="F887" s="38" t="s">
        <v>162</v>
      </c>
      <c r="G887" s="38" t="s">
        <v>17</v>
      </c>
      <c r="H887" s="38" t="s">
        <v>16</v>
      </c>
    </row>
    <row r="888" spans="2:8" s="13" customFormat="1">
      <c r="B888" s="4">
        <v>875</v>
      </c>
      <c r="C888" s="97" t="s">
        <v>1101</v>
      </c>
      <c r="D888" s="97" t="s">
        <v>627</v>
      </c>
      <c r="E888" s="38">
        <v>15</v>
      </c>
      <c r="F888" s="38" t="s">
        <v>291</v>
      </c>
      <c r="G888" s="38" t="s">
        <v>17</v>
      </c>
      <c r="H888" s="38" t="s">
        <v>16</v>
      </c>
    </row>
    <row r="889" spans="2:8" s="13" customFormat="1">
      <c r="B889" s="4">
        <v>876</v>
      </c>
      <c r="C889" s="97" t="s">
        <v>1102</v>
      </c>
      <c r="D889" s="97" t="s">
        <v>627</v>
      </c>
      <c r="E889" s="38">
        <v>15</v>
      </c>
      <c r="F889" s="38" t="s">
        <v>1528</v>
      </c>
      <c r="G889" s="38" t="s">
        <v>17</v>
      </c>
      <c r="H889" s="38" t="s">
        <v>16</v>
      </c>
    </row>
    <row r="890" spans="2:8" s="13" customFormat="1">
      <c r="B890" s="4">
        <v>877</v>
      </c>
      <c r="C890" s="97" t="s">
        <v>1103</v>
      </c>
      <c r="D890" s="97" t="s">
        <v>627</v>
      </c>
      <c r="E890" s="38">
        <v>15</v>
      </c>
      <c r="F890" s="38" t="s">
        <v>188</v>
      </c>
      <c r="G890" s="38" t="s">
        <v>17</v>
      </c>
      <c r="H890" s="38" t="s">
        <v>16</v>
      </c>
    </row>
    <row r="891" spans="2:8" s="13" customFormat="1">
      <c r="B891" s="4">
        <v>878</v>
      </c>
      <c r="C891" s="97" t="s">
        <v>1104</v>
      </c>
      <c r="D891" s="97" t="s">
        <v>627</v>
      </c>
      <c r="E891" s="38">
        <v>15</v>
      </c>
      <c r="F891" s="38" t="s">
        <v>1529</v>
      </c>
      <c r="G891" s="38" t="s">
        <v>17</v>
      </c>
      <c r="H891" s="38" t="s">
        <v>16</v>
      </c>
    </row>
    <row r="892" spans="2:8" s="13" customFormat="1">
      <c r="B892" s="4">
        <v>879</v>
      </c>
      <c r="C892" s="97" t="s">
        <v>1105</v>
      </c>
      <c r="D892" s="97" t="s">
        <v>627</v>
      </c>
      <c r="E892" s="38">
        <v>15</v>
      </c>
      <c r="F892" s="38" t="s">
        <v>291</v>
      </c>
      <c r="G892" s="38" t="s">
        <v>17</v>
      </c>
      <c r="H892" s="38" t="s">
        <v>16</v>
      </c>
    </row>
    <row r="893" spans="2:8" s="13" customFormat="1">
      <c r="B893" s="4">
        <v>880</v>
      </c>
      <c r="C893" s="97" t="s">
        <v>1106</v>
      </c>
      <c r="D893" s="97" t="s">
        <v>627</v>
      </c>
      <c r="E893" s="38">
        <v>15</v>
      </c>
      <c r="F893" s="38" t="s">
        <v>345</v>
      </c>
      <c r="G893" s="38" t="s">
        <v>17</v>
      </c>
      <c r="H893" s="38" t="s">
        <v>16</v>
      </c>
    </row>
    <row r="894" spans="2:8" s="13" customFormat="1">
      <c r="B894" s="4">
        <v>881</v>
      </c>
      <c r="C894" s="97" t="s">
        <v>1107</v>
      </c>
      <c r="D894" s="97" t="s">
        <v>627</v>
      </c>
      <c r="E894" s="38">
        <v>15</v>
      </c>
      <c r="F894" s="38" t="s">
        <v>1528</v>
      </c>
      <c r="G894" s="38" t="s">
        <v>17</v>
      </c>
      <c r="H894" s="38" t="s">
        <v>16</v>
      </c>
    </row>
    <row r="895" spans="2:8" s="13" customFormat="1">
      <c r="B895" s="4">
        <v>882</v>
      </c>
      <c r="C895" s="97" t="s">
        <v>1108</v>
      </c>
      <c r="D895" s="97" t="s">
        <v>627</v>
      </c>
      <c r="E895" s="38">
        <v>15</v>
      </c>
      <c r="F895" s="38" t="s">
        <v>410</v>
      </c>
      <c r="G895" s="38" t="s">
        <v>17</v>
      </c>
      <c r="H895" s="38" t="s">
        <v>16</v>
      </c>
    </row>
    <row r="896" spans="2:8" s="13" customFormat="1">
      <c r="B896" s="4">
        <v>883</v>
      </c>
      <c r="C896" s="97" t="s">
        <v>1109</v>
      </c>
      <c r="D896" s="97" t="s">
        <v>627</v>
      </c>
      <c r="E896" s="38">
        <v>15</v>
      </c>
      <c r="F896" s="38" t="s">
        <v>1529</v>
      </c>
      <c r="G896" s="38" t="s">
        <v>17</v>
      </c>
      <c r="H896" s="38" t="s">
        <v>16</v>
      </c>
    </row>
    <row r="897" spans="2:8" s="13" customFormat="1">
      <c r="B897" s="4">
        <v>884</v>
      </c>
      <c r="C897" s="97" t="s">
        <v>1110</v>
      </c>
      <c r="D897" s="97" t="s">
        <v>627</v>
      </c>
      <c r="E897" s="38">
        <v>15</v>
      </c>
      <c r="F897" s="38" t="s">
        <v>1528</v>
      </c>
      <c r="G897" s="38" t="s">
        <v>17</v>
      </c>
      <c r="H897" s="38" t="s">
        <v>16</v>
      </c>
    </row>
    <row r="898" spans="2:8" s="13" customFormat="1">
      <c r="B898" s="4">
        <v>885</v>
      </c>
      <c r="C898" s="97" t="s">
        <v>1111</v>
      </c>
      <c r="D898" s="97" t="s">
        <v>627</v>
      </c>
      <c r="E898" s="38">
        <v>15</v>
      </c>
      <c r="F898" s="38" t="s">
        <v>345</v>
      </c>
      <c r="G898" s="38" t="s">
        <v>17</v>
      </c>
      <c r="H898" s="38" t="s">
        <v>16</v>
      </c>
    </row>
    <row r="899" spans="2:8" s="13" customFormat="1">
      <c r="B899" s="4">
        <v>886</v>
      </c>
      <c r="C899" s="97" t="s">
        <v>1112</v>
      </c>
      <c r="D899" s="97" t="s">
        <v>627</v>
      </c>
      <c r="E899" s="38">
        <v>15</v>
      </c>
      <c r="F899" s="38" t="s">
        <v>1528</v>
      </c>
      <c r="G899" s="38" t="s">
        <v>17</v>
      </c>
      <c r="H899" s="38" t="s">
        <v>16</v>
      </c>
    </row>
    <row r="900" spans="2:8" s="13" customFormat="1">
      <c r="B900" s="4">
        <v>887</v>
      </c>
      <c r="C900" s="97" t="s">
        <v>1113</v>
      </c>
      <c r="D900" s="97" t="s">
        <v>627</v>
      </c>
      <c r="E900" s="38">
        <v>15</v>
      </c>
      <c r="F900" s="38" t="s">
        <v>1535</v>
      </c>
      <c r="G900" s="38" t="s">
        <v>17</v>
      </c>
      <c r="H900" s="38" t="s">
        <v>16</v>
      </c>
    </row>
    <row r="901" spans="2:8" s="13" customFormat="1">
      <c r="B901" s="4">
        <v>888</v>
      </c>
      <c r="C901" s="97" t="s">
        <v>1114</v>
      </c>
      <c r="D901" s="97" t="s">
        <v>627</v>
      </c>
      <c r="E901" s="38">
        <v>15</v>
      </c>
      <c r="F901" s="38" t="s">
        <v>247</v>
      </c>
      <c r="G901" s="38" t="s">
        <v>17</v>
      </c>
      <c r="H901" s="38" t="s">
        <v>16</v>
      </c>
    </row>
    <row r="902" spans="2:8" s="13" customFormat="1">
      <c r="B902" s="4">
        <v>889</v>
      </c>
      <c r="C902" s="97" t="s">
        <v>1115</v>
      </c>
      <c r="D902" s="97" t="s">
        <v>627</v>
      </c>
      <c r="E902" s="38">
        <v>15</v>
      </c>
      <c r="F902" s="38" t="s">
        <v>1535</v>
      </c>
      <c r="G902" s="38" t="s">
        <v>17</v>
      </c>
      <c r="H902" s="38" t="s">
        <v>16</v>
      </c>
    </row>
    <row r="903" spans="2:8" s="13" customFormat="1">
      <c r="B903" s="4">
        <v>890</v>
      </c>
      <c r="C903" s="97" t="s">
        <v>1116</v>
      </c>
      <c r="D903" s="97" t="s">
        <v>627</v>
      </c>
      <c r="E903" s="38">
        <v>15</v>
      </c>
      <c r="F903" s="38" t="s">
        <v>291</v>
      </c>
      <c r="G903" s="38" t="s">
        <v>17</v>
      </c>
      <c r="H903" s="38" t="s">
        <v>16</v>
      </c>
    </row>
    <row r="904" spans="2:8" s="13" customFormat="1">
      <c r="B904" s="4">
        <v>891</v>
      </c>
      <c r="C904" s="97" t="s">
        <v>1117</v>
      </c>
      <c r="D904" s="97" t="s">
        <v>627</v>
      </c>
      <c r="E904" s="38">
        <v>15</v>
      </c>
      <c r="F904" s="38" t="s">
        <v>188</v>
      </c>
      <c r="G904" s="38" t="s">
        <v>17</v>
      </c>
      <c r="H904" s="38" t="s">
        <v>16</v>
      </c>
    </row>
    <row r="905" spans="2:8" s="13" customFormat="1">
      <c r="B905" s="4">
        <v>892</v>
      </c>
      <c r="C905" s="97" t="s">
        <v>1118</v>
      </c>
      <c r="D905" s="97" t="s">
        <v>627</v>
      </c>
      <c r="E905" s="38">
        <v>15</v>
      </c>
      <c r="F905" s="38" t="s">
        <v>291</v>
      </c>
      <c r="G905" s="38" t="s">
        <v>17</v>
      </c>
      <c r="H905" s="38" t="s">
        <v>16</v>
      </c>
    </row>
    <row r="906" spans="2:8" s="13" customFormat="1">
      <c r="B906" s="4">
        <v>893</v>
      </c>
      <c r="C906" s="97" t="s">
        <v>1119</v>
      </c>
      <c r="D906" s="97" t="s">
        <v>627</v>
      </c>
      <c r="E906" s="38">
        <v>15</v>
      </c>
      <c r="F906" s="38" t="s">
        <v>1528</v>
      </c>
      <c r="G906" s="38" t="s">
        <v>17</v>
      </c>
      <c r="H906" s="38" t="s">
        <v>16</v>
      </c>
    </row>
    <row r="907" spans="2:8" s="13" customFormat="1">
      <c r="B907" s="4">
        <v>894</v>
      </c>
      <c r="C907" s="97" t="s">
        <v>1120</v>
      </c>
      <c r="D907" s="97" t="s">
        <v>627</v>
      </c>
      <c r="E907" s="38">
        <v>15</v>
      </c>
      <c r="F907" s="38" t="s">
        <v>1528</v>
      </c>
      <c r="G907" s="38" t="s">
        <v>17</v>
      </c>
      <c r="H907" s="38" t="s">
        <v>16</v>
      </c>
    </row>
    <row r="908" spans="2:8" s="13" customFormat="1">
      <c r="B908" s="4">
        <v>895</v>
      </c>
      <c r="C908" s="97" t="s">
        <v>1121</v>
      </c>
      <c r="D908" s="97" t="s">
        <v>627</v>
      </c>
      <c r="E908" s="38">
        <v>15</v>
      </c>
      <c r="F908" s="38" t="s">
        <v>291</v>
      </c>
      <c r="G908" s="38" t="s">
        <v>17</v>
      </c>
      <c r="H908" s="38" t="s">
        <v>16</v>
      </c>
    </row>
    <row r="909" spans="2:8" s="13" customFormat="1">
      <c r="B909" s="4">
        <v>896</v>
      </c>
      <c r="C909" s="97" t="s">
        <v>1122</v>
      </c>
      <c r="D909" s="97" t="s">
        <v>627</v>
      </c>
      <c r="E909" s="38">
        <v>15</v>
      </c>
      <c r="F909" s="38" t="s">
        <v>1536</v>
      </c>
      <c r="G909" s="38" t="s">
        <v>17</v>
      </c>
      <c r="H909" s="38" t="s">
        <v>16</v>
      </c>
    </row>
    <row r="910" spans="2:8" s="13" customFormat="1">
      <c r="B910" s="4">
        <v>897</v>
      </c>
      <c r="C910" s="98" t="s">
        <v>1123</v>
      </c>
      <c r="D910" s="97" t="s">
        <v>627</v>
      </c>
      <c r="E910" s="38">
        <v>15</v>
      </c>
      <c r="F910" s="38" t="s">
        <v>291</v>
      </c>
      <c r="G910" s="38" t="s">
        <v>17</v>
      </c>
      <c r="H910" s="38" t="s">
        <v>16</v>
      </c>
    </row>
    <row r="911" spans="2:8" s="13" customFormat="1">
      <c r="B911" s="4">
        <v>898</v>
      </c>
      <c r="C911" s="97" t="s">
        <v>1547</v>
      </c>
      <c r="D911" s="97" t="s">
        <v>627</v>
      </c>
      <c r="E911" s="38">
        <v>15</v>
      </c>
      <c r="F911" s="38" t="s">
        <v>247</v>
      </c>
      <c r="G911" s="38" t="s">
        <v>17</v>
      </c>
      <c r="H911" s="38" t="s">
        <v>16</v>
      </c>
    </row>
    <row r="912" spans="2:8" s="13" customFormat="1">
      <c r="B912" s="4">
        <v>899</v>
      </c>
      <c r="C912" s="97" t="s">
        <v>1124</v>
      </c>
      <c r="D912" s="97" t="s">
        <v>627</v>
      </c>
      <c r="E912" s="38">
        <v>15</v>
      </c>
      <c r="F912" s="38" t="s">
        <v>247</v>
      </c>
      <c r="G912" s="38" t="s">
        <v>17</v>
      </c>
      <c r="H912" s="38" t="s">
        <v>16</v>
      </c>
    </row>
    <row r="913" spans="2:8" s="13" customFormat="1">
      <c r="B913" s="4">
        <v>900</v>
      </c>
      <c r="C913" s="97" t="s">
        <v>1125</v>
      </c>
      <c r="D913" s="99" t="s">
        <v>627</v>
      </c>
      <c r="E913" s="38">
        <v>15</v>
      </c>
      <c r="F913" s="38" t="s">
        <v>345</v>
      </c>
      <c r="G913" s="38" t="s">
        <v>17</v>
      </c>
      <c r="H913" s="38" t="s">
        <v>16</v>
      </c>
    </row>
    <row r="914" spans="2:8" s="13" customFormat="1">
      <c r="B914" s="4">
        <v>901</v>
      </c>
      <c r="C914" s="97" t="s">
        <v>1126</v>
      </c>
      <c r="D914" s="99" t="s">
        <v>627</v>
      </c>
      <c r="E914" s="38">
        <v>15</v>
      </c>
      <c r="F914" s="38" t="s">
        <v>1528</v>
      </c>
      <c r="G914" s="38" t="s">
        <v>17</v>
      </c>
      <c r="H914" s="38" t="s">
        <v>16</v>
      </c>
    </row>
    <row r="915" spans="2:8" s="13" customFormat="1">
      <c r="B915" s="4">
        <v>902</v>
      </c>
      <c r="C915" s="97" t="s">
        <v>1127</v>
      </c>
      <c r="D915" s="99" t="s">
        <v>627</v>
      </c>
      <c r="E915" s="38">
        <v>15</v>
      </c>
      <c r="F915" s="38" t="s">
        <v>345</v>
      </c>
      <c r="G915" s="38" t="s">
        <v>17</v>
      </c>
      <c r="H915" s="38" t="s">
        <v>16</v>
      </c>
    </row>
    <row r="916" spans="2:8" s="13" customFormat="1">
      <c r="B916" s="4">
        <v>903</v>
      </c>
      <c r="C916" s="97" t="s">
        <v>1128</v>
      </c>
      <c r="D916" s="99" t="s">
        <v>627</v>
      </c>
      <c r="E916" s="38">
        <v>15</v>
      </c>
      <c r="F916" s="38" t="s">
        <v>291</v>
      </c>
      <c r="G916" s="38" t="s">
        <v>17</v>
      </c>
      <c r="H916" s="38" t="s">
        <v>16</v>
      </c>
    </row>
    <row r="917" spans="2:8" s="13" customFormat="1">
      <c r="B917" s="4">
        <v>904</v>
      </c>
      <c r="C917" s="97" t="s">
        <v>1129</v>
      </c>
      <c r="D917" s="99" t="s">
        <v>627</v>
      </c>
      <c r="E917" s="38">
        <v>15</v>
      </c>
      <c r="F917" s="38" t="s">
        <v>291</v>
      </c>
      <c r="G917" s="38" t="s">
        <v>17</v>
      </c>
      <c r="H917" s="38" t="s">
        <v>16</v>
      </c>
    </row>
    <row r="918" spans="2:8" s="13" customFormat="1">
      <c r="B918" s="4">
        <v>905</v>
      </c>
      <c r="C918" s="97" t="s">
        <v>1130</v>
      </c>
      <c r="D918" s="99" t="s">
        <v>627</v>
      </c>
      <c r="E918" s="38">
        <v>15</v>
      </c>
      <c r="F918" s="38" t="s">
        <v>247</v>
      </c>
      <c r="G918" s="38" t="s">
        <v>17</v>
      </c>
      <c r="H918" s="38" t="s">
        <v>16</v>
      </c>
    </row>
    <row r="919" spans="2:8" s="13" customFormat="1">
      <c r="B919" s="4">
        <v>906</v>
      </c>
      <c r="C919" s="97" t="s">
        <v>1131</v>
      </c>
      <c r="D919" s="99" t="s">
        <v>627</v>
      </c>
      <c r="E919" s="38">
        <v>15</v>
      </c>
      <c r="F919" s="38" t="s">
        <v>247</v>
      </c>
      <c r="G919" s="38" t="s">
        <v>17</v>
      </c>
      <c r="H919" s="38" t="s">
        <v>16</v>
      </c>
    </row>
    <row r="920" spans="2:8" s="13" customFormat="1">
      <c r="B920" s="4">
        <v>907</v>
      </c>
      <c r="C920" s="97" t="s">
        <v>1132</v>
      </c>
      <c r="D920" s="99" t="s">
        <v>627</v>
      </c>
      <c r="E920" s="38">
        <v>15</v>
      </c>
      <c r="F920" s="38" t="s">
        <v>162</v>
      </c>
      <c r="G920" s="38" t="s">
        <v>17</v>
      </c>
      <c r="H920" s="38" t="s">
        <v>16</v>
      </c>
    </row>
    <row r="921" spans="2:8" s="13" customFormat="1">
      <c r="B921" s="4">
        <v>908</v>
      </c>
      <c r="C921" s="97" t="s">
        <v>1133</v>
      </c>
      <c r="D921" s="99" t="s">
        <v>627</v>
      </c>
      <c r="E921" s="38">
        <v>15</v>
      </c>
      <c r="F921" s="38" t="s">
        <v>1529</v>
      </c>
      <c r="G921" s="38" t="s">
        <v>17</v>
      </c>
      <c r="H921" s="38" t="s">
        <v>16</v>
      </c>
    </row>
    <row r="922" spans="2:8" s="13" customFormat="1">
      <c r="B922" s="4">
        <v>909</v>
      </c>
      <c r="C922" s="97" t="s">
        <v>1134</v>
      </c>
      <c r="D922" s="99" t="s">
        <v>627</v>
      </c>
      <c r="E922" s="38">
        <v>15</v>
      </c>
      <c r="F922" s="38" t="s">
        <v>1529</v>
      </c>
      <c r="G922" s="38" t="s">
        <v>17</v>
      </c>
      <c r="H922" s="38" t="s">
        <v>16</v>
      </c>
    </row>
    <row r="923" spans="2:8" s="13" customFormat="1">
      <c r="B923" s="4">
        <v>910</v>
      </c>
      <c r="C923" s="97" t="s">
        <v>1135</v>
      </c>
      <c r="D923" s="99" t="s">
        <v>627</v>
      </c>
      <c r="E923" s="38">
        <v>15</v>
      </c>
      <c r="F923" s="38" t="s">
        <v>410</v>
      </c>
      <c r="G923" s="38" t="s">
        <v>17</v>
      </c>
      <c r="H923" s="38" t="s">
        <v>16</v>
      </c>
    </row>
    <row r="924" spans="2:8" s="13" customFormat="1">
      <c r="B924" s="4">
        <v>911</v>
      </c>
      <c r="C924" s="97" t="s">
        <v>1136</v>
      </c>
      <c r="D924" s="99" t="s">
        <v>627</v>
      </c>
      <c r="E924" s="38">
        <v>15</v>
      </c>
      <c r="F924" s="38" t="s">
        <v>162</v>
      </c>
      <c r="G924" s="38" t="s">
        <v>17</v>
      </c>
      <c r="H924" s="38" t="s">
        <v>16</v>
      </c>
    </row>
    <row r="925" spans="2:8" s="13" customFormat="1">
      <c r="B925" s="4">
        <v>912</v>
      </c>
      <c r="C925" s="97" t="s">
        <v>1137</v>
      </c>
      <c r="D925" s="99" t="s">
        <v>627</v>
      </c>
      <c r="E925" s="38">
        <v>15</v>
      </c>
      <c r="F925" s="38" t="s">
        <v>291</v>
      </c>
      <c r="G925" s="38" t="s">
        <v>17</v>
      </c>
      <c r="H925" s="38" t="s">
        <v>16</v>
      </c>
    </row>
    <row r="926" spans="2:8" s="13" customFormat="1">
      <c r="B926" s="4">
        <v>913</v>
      </c>
      <c r="C926" s="97" t="s">
        <v>1138</v>
      </c>
      <c r="D926" s="99" t="s">
        <v>627</v>
      </c>
      <c r="E926" s="38">
        <v>15</v>
      </c>
      <c r="F926" s="38" t="s">
        <v>291</v>
      </c>
      <c r="G926" s="38" t="s">
        <v>17</v>
      </c>
      <c r="H926" s="38" t="s">
        <v>16</v>
      </c>
    </row>
    <row r="927" spans="2:8" s="13" customFormat="1">
      <c r="B927" s="4">
        <v>914</v>
      </c>
      <c r="C927" s="98" t="s">
        <v>1139</v>
      </c>
      <c r="D927" s="97" t="s">
        <v>627</v>
      </c>
      <c r="E927" s="38">
        <v>15</v>
      </c>
      <c r="F927" s="38" t="s">
        <v>291</v>
      </c>
      <c r="G927" s="38" t="s">
        <v>17</v>
      </c>
      <c r="H927" s="38" t="s">
        <v>16</v>
      </c>
    </row>
    <row r="928" spans="2:8" s="13" customFormat="1">
      <c r="B928" s="4">
        <v>915</v>
      </c>
      <c r="C928" s="97" t="s">
        <v>1140</v>
      </c>
      <c r="D928" s="97" t="s">
        <v>627</v>
      </c>
      <c r="E928" s="38">
        <v>15</v>
      </c>
      <c r="F928" s="38" t="s">
        <v>247</v>
      </c>
      <c r="G928" s="38" t="s">
        <v>17</v>
      </c>
      <c r="H928" s="38" t="s">
        <v>16</v>
      </c>
    </row>
    <row r="929" spans="2:8" s="13" customFormat="1">
      <c r="B929" s="4">
        <v>916</v>
      </c>
      <c r="C929" s="97" t="s">
        <v>1141</v>
      </c>
      <c r="D929" s="97" t="s">
        <v>627</v>
      </c>
      <c r="E929" s="38">
        <v>15</v>
      </c>
      <c r="F929" s="38" t="s">
        <v>364</v>
      </c>
      <c r="G929" s="38" t="s">
        <v>17</v>
      </c>
      <c r="H929" s="38" t="s">
        <v>16</v>
      </c>
    </row>
    <row r="930" spans="2:8" s="13" customFormat="1">
      <c r="B930" s="4">
        <v>917</v>
      </c>
      <c r="C930" s="97" t="s">
        <v>1142</v>
      </c>
      <c r="D930" s="97" t="s">
        <v>627</v>
      </c>
      <c r="E930" s="38">
        <v>15</v>
      </c>
      <c r="F930" s="38" t="s">
        <v>1528</v>
      </c>
      <c r="G930" s="38" t="s">
        <v>17</v>
      </c>
      <c r="H930" s="38" t="s">
        <v>16</v>
      </c>
    </row>
    <row r="931" spans="2:8" s="13" customFormat="1">
      <c r="B931" s="4">
        <v>918</v>
      </c>
      <c r="C931" s="97" t="s">
        <v>1143</v>
      </c>
      <c r="D931" s="97" t="s">
        <v>627</v>
      </c>
      <c r="E931" s="38">
        <v>15</v>
      </c>
      <c r="F931" s="38" t="s">
        <v>1529</v>
      </c>
      <c r="G931" s="38" t="s">
        <v>17</v>
      </c>
      <c r="H931" s="38" t="s">
        <v>16</v>
      </c>
    </row>
    <row r="932" spans="2:8" s="13" customFormat="1">
      <c r="B932" s="4">
        <v>919</v>
      </c>
      <c r="C932" s="97" t="s">
        <v>1144</v>
      </c>
      <c r="D932" s="97" t="s">
        <v>627</v>
      </c>
      <c r="E932" s="38">
        <v>15</v>
      </c>
      <c r="F932" s="38" t="s">
        <v>1535</v>
      </c>
      <c r="G932" s="38" t="s">
        <v>17</v>
      </c>
      <c r="H932" s="38" t="s">
        <v>16</v>
      </c>
    </row>
    <row r="933" spans="2:8" s="13" customFormat="1">
      <c r="B933" s="4">
        <v>920</v>
      </c>
      <c r="C933" s="97" t="s">
        <v>1145</v>
      </c>
      <c r="D933" s="97" t="s">
        <v>627</v>
      </c>
      <c r="E933" s="38">
        <v>15</v>
      </c>
      <c r="F933" s="38" t="s">
        <v>1528</v>
      </c>
      <c r="G933" s="38" t="s">
        <v>17</v>
      </c>
      <c r="H933" s="38" t="s">
        <v>16</v>
      </c>
    </row>
    <row r="934" spans="2:8" s="13" customFormat="1">
      <c r="B934" s="4">
        <v>921</v>
      </c>
      <c r="C934" s="97" t="s">
        <v>1146</v>
      </c>
      <c r="D934" s="97" t="s">
        <v>627</v>
      </c>
      <c r="E934" s="38">
        <v>15</v>
      </c>
      <c r="F934" s="38" t="s">
        <v>345</v>
      </c>
      <c r="G934" s="38" t="s">
        <v>17</v>
      </c>
      <c r="H934" s="38" t="s">
        <v>16</v>
      </c>
    </row>
    <row r="935" spans="2:8" s="13" customFormat="1">
      <c r="B935" s="4">
        <v>922</v>
      </c>
      <c r="C935" s="97" t="s">
        <v>1147</v>
      </c>
      <c r="D935" s="97" t="s">
        <v>627</v>
      </c>
      <c r="E935" s="38">
        <v>15</v>
      </c>
      <c r="F935" s="38" t="s">
        <v>345</v>
      </c>
      <c r="G935" s="38" t="s">
        <v>17</v>
      </c>
      <c r="H935" s="38" t="s">
        <v>16</v>
      </c>
    </row>
    <row r="936" spans="2:8" s="13" customFormat="1">
      <c r="B936" s="4">
        <v>923</v>
      </c>
      <c r="C936" s="97" t="s">
        <v>1148</v>
      </c>
      <c r="D936" s="97" t="s">
        <v>627</v>
      </c>
      <c r="E936" s="38">
        <v>15</v>
      </c>
      <c r="F936" s="38" t="s">
        <v>247</v>
      </c>
      <c r="G936" s="38" t="s">
        <v>17</v>
      </c>
      <c r="H936" s="38" t="s">
        <v>16</v>
      </c>
    </row>
    <row r="937" spans="2:8" s="13" customFormat="1">
      <c r="B937" s="4">
        <v>924</v>
      </c>
      <c r="C937" s="97" t="s">
        <v>1149</v>
      </c>
      <c r="D937" s="97" t="s">
        <v>627</v>
      </c>
      <c r="E937" s="38">
        <v>15</v>
      </c>
      <c r="F937" s="38" t="s">
        <v>1528</v>
      </c>
      <c r="G937" s="38" t="s">
        <v>17</v>
      </c>
      <c r="H937" s="38" t="s">
        <v>16</v>
      </c>
    </row>
    <row r="938" spans="2:8" s="13" customFormat="1">
      <c r="B938" s="4">
        <v>925</v>
      </c>
      <c r="C938" s="97" t="s">
        <v>1150</v>
      </c>
      <c r="D938" s="97" t="s">
        <v>627</v>
      </c>
      <c r="E938" s="38">
        <v>15</v>
      </c>
      <c r="F938" s="38" t="s">
        <v>1528</v>
      </c>
      <c r="G938" s="38" t="s">
        <v>17</v>
      </c>
      <c r="H938" s="38" t="s">
        <v>16</v>
      </c>
    </row>
    <row r="939" spans="2:8" s="13" customFormat="1">
      <c r="B939" s="4">
        <v>926</v>
      </c>
      <c r="C939" s="97" t="s">
        <v>1151</v>
      </c>
      <c r="D939" s="97" t="s">
        <v>627</v>
      </c>
      <c r="E939" s="38">
        <v>15</v>
      </c>
      <c r="F939" s="38" t="s">
        <v>1529</v>
      </c>
      <c r="G939" s="38" t="s">
        <v>17</v>
      </c>
      <c r="H939" s="38" t="s">
        <v>16</v>
      </c>
    </row>
    <row r="940" spans="2:8" s="13" customFormat="1">
      <c r="B940" s="4">
        <v>927</v>
      </c>
      <c r="C940" s="97" t="s">
        <v>1548</v>
      </c>
      <c r="D940" s="97" t="s">
        <v>627</v>
      </c>
      <c r="E940" s="38">
        <v>15</v>
      </c>
      <c r="F940" s="38" t="s">
        <v>1529</v>
      </c>
      <c r="G940" s="38" t="s">
        <v>17</v>
      </c>
      <c r="H940" s="38" t="s">
        <v>16</v>
      </c>
    </row>
    <row r="941" spans="2:8" s="13" customFormat="1">
      <c r="B941" s="4">
        <v>928</v>
      </c>
      <c r="C941" s="97" t="s">
        <v>1152</v>
      </c>
      <c r="D941" s="97" t="s">
        <v>627</v>
      </c>
      <c r="E941" s="38">
        <v>15</v>
      </c>
      <c r="F941" s="38" t="s">
        <v>247</v>
      </c>
      <c r="G941" s="38" t="s">
        <v>17</v>
      </c>
      <c r="H941" s="38" t="s">
        <v>16</v>
      </c>
    </row>
    <row r="942" spans="2:8" s="13" customFormat="1">
      <c r="B942" s="4">
        <v>929</v>
      </c>
      <c r="C942" s="97" t="s">
        <v>1153</v>
      </c>
      <c r="D942" s="97" t="s">
        <v>627</v>
      </c>
      <c r="E942" s="38">
        <v>15</v>
      </c>
      <c r="F942" s="38" t="s">
        <v>345</v>
      </c>
      <c r="G942" s="38" t="s">
        <v>17</v>
      </c>
      <c r="H942" s="38" t="s">
        <v>16</v>
      </c>
    </row>
    <row r="943" spans="2:8" s="13" customFormat="1">
      <c r="B943" s="4">
        <v>930</v>
      </c>
      <c r="C943" s="97" t="s">
        <v>1154</v>
      </c>
      <c r="D943" s="97" t="s">
        <v>627</v>
      </c>
      <c r="E943" s="38">
        <v>15</v>
      </c>
      <c r="F943" s="38" t="s">
        <v>345</v>
      </c>
      <c r="G943" s="38" t="s">
        <v>17</v>
      </c>
      <c r="H943" s="38" t="s">
        <v>16</v>
      </c>
    </row>
    <row r="944" spans="2:8" s="13" customFormat="1">
      <c r="B944" s="4">
        <v>931</v>
      </c>
      <c r="C944" s="97" t="s">
        <v>1155</v>
      </c>
      <c r="D944" s="97" t="s">
        <v>627</v>
      </c>
      <c r="E944" s="38">
        <v>15</v>
      </c>
      <c r="F944" s="38" t="s">
        <v>1528</v>
      </c>
      <c r="G944" s="38" t="s">
        <v>17</v>
      </c>
      <c r="H944" s="38" t="s">
        <v>16</v>
      </c>
    </row>
    <row r="945" spans="2:8" s="13" customFormat="1">
      <c r="B945" s="4">
        <v>932</v>
      </c>
      <c r="C945" s="97" t="s">
        <v>1156</v>
      </c>
      <c r="D945" s="97" t="s">
        <v>627</v>
      </c>
      <c r="E945" s="38">
        <v>15</v>
      </c>
      <c r="F945" s="38" t="s">
        <v>1528</v>
      </c>
      <c r="G945" s="38" t="s">
        <v>17</v>
      </c>
      <c r="H945" s="38" t="s">
        <v>16</v>
      </c>
    </row>
    <row r="946" spans="2:8" s="13" customFormat="1">
      <c r="B946" s="4">
        <v>933</v>
      </c>
      <c r="C946" s="97" t="s">
        <v>1157</v>
      </c>
      <c r="D946" s="97" t="s">
        <v>627</v>
      </c>
      <c r="E946" s="38">
        <v>15</v>
      </c>
      <c r="F946" s="38" t="s">
        <v>1533</v>
      </c>
      <c r="G946" s="38" t="s">
        <v>17</v>
      </c>
      <c r="H946" s="38" t="s">
        <v>16</v>
      </c>
    </row>
    <row r="947" spans="2:8" s="13" customFormat="1">
      <c r="B947" s="4">
        <v>934</v>
      </c>
      <c r="C947" s="99" t="s">
        <v>1158</v>
      </c>
      <c r="D947" s="97" t="s">
        <v>627</v>
      </c>
      <c r="E947" s="38">
        <v>15</v>
      </c>
      <c r="F947" s="38" t="s">
        <v>345</v>
      </c>
      <c r="G947" s="38" t="s">
        <v>17</v>
      </c>
      <c r="H947" s="38" t="s">
        <v>16</v>
      </c>
    </row>
    <row r="948" spans="2:8" s="13" customFormat="1">
      <c r="B948" s="4">
        <v>935</v>
      </c>
      <c r="C948" s="97" t="s">
        <v>1159</v>
      </c>
      <c r="D948" s="97" t="s">
        <v>627</v>
      </c>
      <c r="E948" s="38">
        <v>15</v>
      </c>
      <c r="F948" s="38" t="s">
        <v>162</v>
      </c>
      <c r="G948" s="38" t="s">
        <v>17</v>
      </c>
      <c r="H948" s="38" t="s">
        <v>16</v>
      </c>
    </row>
    <row r="949" spans="2:8" s="13" customFormat="1">
      <c r="B949" s="4">
        <v>936</v>
      </c>
      <c r="C949" s="99" t="s">
        <v>1160</v>
      </c>
      <c r="D949" s="99" t="s">
        <v>627</v>
      </c>
      <c r="E949" s="38">
        <v>15</v>
      </c>
      <c r="F949" s="38" t="s">
        <v>1530</v>
      </c>
      <c r="G949" s="38" t="s">
        <v>17</v>
      </c>
      <c r="H949" s="38" t="s">
        <v>16</v>
      </c>
    </row>
    <row r="950" spans="2:8" s="13" customFormat="1">
      <c r="B950" s="4">
        <v>937</v>
      </c>
      <c r="C950" s="99" t="s">
        <v>1161</v>
      </c>
      <c r="D950" s="99" t="s">
        <v>627</v>
      </c>
      <c r="E950" s="38">
        <v>15</v>
      </c>
      <c r="F950" s="38" t="s">
        <v>364</v>
      </c>
      <c r="G950" s="38" t="s">
        <v>17</v>
      </c>
      <c r="H950" s="38" t="s">
        <v>16</v>
      </c>
    </row>
    <row r="951" spans="2:8" s="13" customFormat="1">
      <c r="B951" s="4">
        <v>938</v>
      </c>
      <c r="C951" s="97" t="s">
        <v>1162</v>
      </c>
      <c r="D951" s="97" t="s">
        <v>1163</v>
      </c>
      <c r="E951" s="38">
        <v>11</v>
      </c>
      <c r="F951" s="38" t="s">
        <v>1535</v>
      </c>
      <c r="G951" s="38" t="s">
        <v>17</v>
      </c>
      <c r="H951" s="38" t="s">
        <v>16</v>
      </c>
    </row>
    <row r="952" spans="2:8" s="13" customFormat="1">
      <c r="B952" s="4">
        <v>939</v>
      </c>
      <c r="C952" s="97" t="s">
        <v>1164</v>
      </c>
      <c r="D952" s="97" t="s">
        <v>1163</v>
      </c>
      <c r="E952" s="38">
        <v>11</v>
      </c>
      <c r="F952" s="38" t="s">
        <v>1533</v>
      </c>
      <c r="G952" s="38" t="s">
        <v>17</v>
      </c>
      <c r="H952" s="38" t="s">
        <v>16</v>
      </c>
    </row>
    <row r="953" spans="2:8" s="13" customFormat="1">
      <c r="B953" s="4">
        <v>940</v>
      </c>
      <c r="C953" s="97" t="s">
        <v>1165</v>
      </c>
      <c r="D953" s="97" t="s">
        <v>1163</v>
      </c>
      <c r="E953" s="38">
        <v>11</v>
      </c>
      <c r="F953" s="38" t="s">
        <v>162</v>
      </c>
      <c r="G953" s="38" t="s">
        <v>17</v>
      </c>
      <c r="H953" s="38" t="s">
        <v>16</v>
      </c>
    </row>
    <row r="954" spans="2:8" s="13" customFormat="1">
      <c r="B954" s="4">
        <v>941</v>
      </c>
      <c r="C954" s="97" t="s">
        <v>1166</v>
      </c>
      <c r="D954" s="97" t="s">
        <v>1163</v>
      </c>
      <c r="E954" s="38">
        <v>11</v>
      </c>
      <c r="F954" s="38" t="s">
        <v>1535</v>
      </c>
      <c r="G954" s="38" t="s">
        <v>17</v>
      </c>
      <c r="H954" s="38" t="s">
        <v>16</v>
      </c>
    </row>
    <row r="955" spans="2:8" s="13" customFormat="1">
      <c r="B955" s="4">
        <v>942</v>
      </c>
      <c r="C955" s="97" t="s">
        <v>1167</v>
      </c>
      <c r="D955" s="97" t="s">
        <v>1163</v>
      </c>
      <c r="E955" s="38">
        <v>11</v>
      </c>
      <c r="F955" s="38" t="s">
        <v>1537</v>
      </c>
      <c r="G955" s="38" t="s">
        <v>17</v>
      </c>
      <c r="H955" s="38" t="s">
        <v>16</v>
      </c>
    </row>
    <row r="956" spans="2:8" s="13" customFormat="1">
      <c r="B956" s="4">
        <v>943</v>
      </c>
      <c r="C956" s="97" t="s">
        <v>1168</v>
      </c>
      <c r="D956" s="97" t="s">
        <v>1163</v>
      </c>
      <c r="E956" s="38">
        <v>11</v>
      </c>
      <c r="F956" s="38" t="s">
        <v>410</v>
      </c>
      <c r="G956" s="38" t="s">
        <v>17</v>
      </c>
      <c r="H956" s="38" t="s">
        <v>16</v>
      </c>
    </row>
    <row r="957" spans="2:8" s="13" customFormat="1">
      <c r="B957" s="4">
        <v>944</v>
      </c>
      <c r="C957" s="97" t="s">
        <v>1169</v>
      </c>
      <c r="D957" s="97" t="s">
        <v>1163</v>
      </c>
      <c r="E957" s="38">
        <v>11</v>
      </c>
      <c r="F957" s="38" t="s">
        <v>291</v>
      </c>
      <c r="G957" s="38" t="s">
        <v>17</v>
      </c>
      <c r="H957" s="38" t="s">
        <v>16</v>
      </c>
    </row>
    <row r="958" spans="2:8" s="13" customFormat="1">
      <c r="B958" s="4">
        <v>945</v>
      </c>
      <c r="C958" s="97" t="s">
        <v>1170</v>
      </c>
      <c r="D958" s="97" t="s">
        <v>1163</v>
      </c>
      <c r="E958" s="38">
        <v>11</v>
      </c>
      <c r="F958" s="38" t="s">
        <v>345</v>
      </c>
      <c r="G958" s="38" t="s">
        <v>17</v>
      </c>
      <c r="H958" s="38" t="s">
        <v>16</v>
      </c>
    </row>
    <row r="959" spans="2:8" s="13" customFormat="1">
      <c r="B959" s="4">
        <v>946</v>
      </c>
      <c r="C959" s="97" t="s">
        <v>1171</v>
      </c>
      <c r="D959" s="97" t="s">
        <v>1163</v>
      </c>
      <c r="E959" s="38">
        <v>11</v>
      </c>
      <c r="F959" s="38" t="s">
        <v>1528</v>
      </c>
      <c r="G959" s="38" t="s">
        <v>17</v>
      </c>
      <c r="H959" s="38" t="s">
        <v>16</v>
      </c>
    </row>
    <row r="960" spans="2:8" s="13" customFormat="1">
      <c r="B960" s="4">
        <v>947</v>
      </c>
      <c r="C960" s="97" t="s">
        <v>1172</v>
      </c>
      <c r="D960" s="97" t="s">
        <v>1163</v>
      </c>
      <c r="E960" s="38">
        <v>11</v>
      </c>
      <c r="F960" s="38" t="s">
        <v>1522</v>
      </c>
      <c r="G960" s="38" t="s">
        <v>17</v>
      </c>
      <c r="H960" s="38" t="s">
        <v>16</v>
      </c>
    </row>
    <row r="961" spans="2:8" s="13" customFormat="1">
      <c r="B961" s="4">
        <v>948</v>
      </c>
      <c r="C961" s="97" t="s">
        <v>1173</v>
      </c>
      <c r="D961" s="97" t="s">
        <v>1163</v>
      </c>
      <c r="E961" s="38">
        <v>11</v>
      </c>
      <c r="F961" s="38" t="s">
        <v>1535</v>
      </c>
      <c r="G961" s="38" t="s">
        <v>17</v>
      </c>
      <c r="H961" s="38" t="s">
        <v>16</v>
      </c>
    </row>
    <row r="962" spans="2:8" s="13" customFormat="1">
      <c r="B962" s="4">
        <v>949</v>
      </c>
      <c r="C962" s="97" t="s">
        <v>1174</v>
      </c>
      <c r="D962" s="97" t="s">
        <v>1163</v>
      </c>
      <c r="E962" s="38">
        <v>11</v>
      </c>
      <c r="F962" s="38" t="s">
        <v>1533</v>
      </c>
      <c r="G962" s="38" t="s">
        <v>17</v>
      </c>
      <c r="H962" s="38" t="s">
        <v>16</v>
      </c>
    </row>
    <row r="963" spans="2:8" s="13" customFormat="1">
      <c r="B963" s="4">
        <v>950</v>
      </c>
      <c r="C963" s="97" t="s">
        <v>1175</v>
      </c>
      <c r="D963" s="97" t="s">
        <v>1163</v>
      </c>
      <c r="E963" s="38">
        <v>11</v>
      </c>
      <c r="F963" s="38" t="s">
        <v>1528</v>
      </c>
      <c r="G963" s="38" t="s">
        <v>17</v>
      </c>
      <c r="H963" s="38" t="s">
        <v>16</v>
      </c>
    </row>
    <row r="964" spans="2:8" s="13" customFormat="1">
      <c r="B964" s="4">
        <v>951</v>
      </c>
      <c r="C964" s="97" t="s">
        <v>1176</v>
      </c>
      <c r="D964" s="97" t="s">
        <v>1163</v>
      </c>
      <c r="E964" s="38">
        <v>11</v>
      </c>
      <c r="F964" s="38" t="s">
        <v>410</v>
      </c>
      <c r="G964" s="38" t="s">
        <v>17</v>
      </c>
      <c r="H964" s="38" t="s">
        <v>16</v>
      </c>
    </row>
    <row r="965" spans="2:8" s="13" customFormat="1">
      <c r="B965" s="4">
        <v>952</v>
      </c>
      <c r="C965" s="97" t="s">
        <v>1177</v>
      </c>
      <c r="D965" s="97" t="s">
        <v>1163</v>
      </c>
      <c r="E965" s="38">
        <v>11</v>
      </c>
      <c r="F965" s="38" t="s">
        <v>1528</v>
      </c>
      <c r="G965" s="38" t="s">
        <v>17</v>
      </c>
      <c r="H965" s="38" t="s">
        <v>16</v>
      </c>
    </row>
    <row r="966" spans="2:8" s="13" customFormat="1">
      <c r="B966" s="4">
        <v>953</v>
      </c>
      <c r="C966" s="97" t="s">
        <v>1178</v>
      </c>
      <c r="D966" s="97" t="s">
        <v>1163</v>
      </c>
      <c r="E966" s="38">
        <v>11</v>
      </c>
      <c r="F966" s="38" t="s">
        <v>188</v>
      </c>
      <c r="G966" s="38" t="s">
        <v>17</v>
      </c>
      <c r="H966" s="38" t="s">
        <v>16</v>
      </c>
    </row>
    <row r="967" spans="2:8" s="13" customFormat="1">
      <c r="B967" s="4">
        <v>954</v>
      </c>
      <c r="C967" s="97" t="s">
        <v>1179</v>
      </c>
      <c r="D967" s="97" t="s">
        <v>1163</v>
      </c>
      <c r="E967" s="38">
        <v>11</v>
      </c>
      <c r="F967" s="38" t="s">
        <v>1533</v>
      </c>
      <c r="G967" s="38" t="s">
        <v>17</v>
      </c>
      <c r="H967" s="38" t="s">
        <v>16</v>
      </c>
    </row>
    <row r="968" spans="2:8" s="13" customFormat="1">
      <c r="B968" s="4">
        <v>955</v>
      </c>
      <c r="C968" s="97" t="s">
        <v>1180</v>
      </c>
      <c r="D968" s="97" t="s">
        <v>1163</v>
      </c>
      <c r="E968" s="38">
        <v>11</v>
      </c>
      <c r="F968" s="38" t="s">
        <v>1530</v>
      </c>
      <c r="G968" s="38" t="s">
        <v>17</v>
      </c>
      <c r="H968" s="38" t="s">
        <v>16</v>
      </c>
    </row>
    <row r="969" spans="2:8" s="13" customFormat="1">
      <c r="B969" s="4">
        <v>956</v>
      </c>
      <c r="C969" s="97" t="s">
        <v>1181</v>
      </c>
      <c r="D969" s="97" t="s">
        <v>1163</v>
      </c>
      <c r="E969" s="38">
        <v>11</v>
      </c>
      <c r="F969" s="38" t="s">
        <v>1535</v>
      </c>
      <c r="G969" s="38" t="s">
        <v>17</v>
      </c>
      <c r="H969" s="38" t="s">
        <v>16</v>
      </c>
    </row>
    <row r="970" spans="2:8" s="13" customFormat="1">
      <c r="B970" s="4">
        <v>957</v>
      </c>
      <c r="C970" s="97" t="s">
        <v>1182</v>
      </c>
      <c r="D970" s="97" t="s">
        <v>1163</v>
      </c>
      <c r="E970" s="38">
        <v>11</v>
      </c>
      <c r="F970" s="38" t="s">
        <v>247</v>
      </c>
      <c r="G970" s="38" t="s">
        <v>17</v>
      </c>
      <c r="H970" s="38" t="s">
        <v>16</v>
      </c>
    </row>
    <row r="971" spans="2:8" s="13" customFormat="1">
      <c r="B971" s="4">
        <v>958</v>
      </c>
      <c r="C971" s="97" t="s">
        <v>1183</v>
      </c>
      <c r="D971" s="97" t="s">
        <v>1163</v>
      </c>
      <c r="E971" s="38">
        <v>11</v>
      </c>
      <c r="F971" s="38" t="s">
        <v>345</v>
      </c>
      <c r="G971" s="38" t="s">
        <v>17</v>
      </c>
      <c r="H971" s="38" t="s">
        <v>16</v>
      </c>
    </row>
    <row r="972" spans="2:8" s="13" customFormat="1">
      <c r="B972" s="4">
        <v>959</v>
      </c>
      <c r="C972" s="97" t="s">
        <v>1184</v>
      </c>
      <c r="D972" s="97" t="s">
        <v>1163</v>
      </c>
      <c r="E972" s="38">
        <v>11</v>
      </c>
      <c r="F972" s="38" t="s">
        <v>410</v>
      </c>
      <c r="G972" s="38" t="s">
        <v>17</v>
      </c>
      <c r="H972" s="38" t="s">
        <v>16</v>
      </c>
    </row>
    <row r="973" spans="2:8" s="13" customFormat="1">
      <c r="B973" s="4">
        <v>960</v>
      </c>
      <c r="C973" s="97" t="s">
        <v>1185</v>
      </c>
      <c r="D973" s="97" t="s">
        <v>1163</v>
      </c>
      <c r="E973" s="38">
        <v>11</v>
      </c>
      <c r="F973" s="38" t="s">
        <v>291</v>
      </c>
      <c r="G973" s="38" t="s">
        <v>17</v>
      </c>
      <c r="H973" s="38" t="s">
        <v>16</v>
      </c>
    </row>
    <row r="974" spans="2:8" s="13" customFormat="1">
      <c r="B974" s="4">
        <v>961</v>
      </c>
      <c r="C974" s="97" t="s">
        <v>1186</v>
      </c>
      <c r="D974" s="97" t="s">
        <v>1163</v>
      </c>
      <c r="E974" s="38">
        <v>11</v>
      </c>
      <c r="F974" s="38" t="s">
        <v>291</v>
      </c>
      <c r="G974" s="38" t="s">
        <v>17</v>
      </c>
      <c r="H974" s="38" t="s">
        <v>16</v>
      </c>
    </row>
    <row r="975" spans="2:8" s="13" customFormat="1">
      <c r="B975" s="4">
        <v>962</v>
      </c>
      <c r="C975" s="97" t="s">
        <v>1187</v>
      </c>
      <c r="D975" s="97" t="s">
        <v>1163</v>
      </c>
      <c r="E975" s="38">
        <v>11</v>
      </c>
      <c r="F975" s="38" t="s">
        <v>1529</v>
      </c>
      <c r="G975" s="38" t="s">
        <v>17</v>
      </c>
      <c r="H975" s="38" t="s">
        <v>16</v>
      </c>
    </row>
    <row r="976" spans="2:8" s="13" customFormat="1">
      <c r="B976" s="4">
        <v>963</v>
      </c>
      <c r="C976" s="97" t="s">
        <v>1188</v>
      </c>
      <c r="D976" s="97" t="s">
        <v>1163</v>
      </c>
      <c r="E976" s="38">
        <v>11</v>
      </c>
      <c r="F976" s="38" t="s">
        <v>345</v>
      </c>
      <c r="G976" s="38" t="s">
        <v>17</v>
      </c>
      <c r="H976" s="38" t="s">
        <v>16</v>
      </c>
    </row>
    <row r="977" spans="2:8" s="13" customFormat="1">
      <c r="B977" s="4">
        <v>964</v>
      </c>
      <c r="C977" s="97" t="s">
        <v>1189</v>
      </c>
      <c r="D977" s="97" t="s">
        <v>1163</v>
      </c>
      <c r="E977" s="38">
        <v>11</v>
      </c>
      <c r="F977" s="38" t="s">
        <v>410</v>
      </c>
      <c r="G977" s="38" t="s">
        <v>17</v>
      </c>
      <c r="H977" s="38" t="s">
        <v>16</v>
      </c>
    </row>
    <row r="978" spans="2:8" s="13" customFormat="1">
      <c r="B978" s="4">
        <v>965</v>
      </c>
      <c r="C978" s="97" t="s">
        <v>1190</v>
      </c>
      <c r="D978" s="97" t="s">
        <v>1163</v>
      </c>
      <c r="E978" s="38">
        <v>11</v>
      </c>
      <c r="F978" s="38" t="s">
        <v>188</v>
      </c>
      <c r="G978" s="38" t="s">
        <v>17</v>
      </c>
      <c r="H978" s="38" t="s">
        <v>16</v>
      </c>
    </row>
    <row r="979" spans="2:8" s="13" customFormat="1">
      <c r="B979" s="4">
        <v>966</v>
      </c>
      <c r="C979" s="97" t="s">
        <v>1191</v>
      </c>
      <c r="D979" s="97" t="s">
        <v>1163</v>
      </c>
      <c r="E979" s="38">
        <v>11</v>
      </c>
      <c r="F979" s="38" t="s">
        <v>188</v>
      </c>
      <c r="G979" s="38" t="s">
        <v>17</v>
      </c>
      <c r="H979" s="38" t="s">
        <v>16</v>
      </c>
    </row>
    <row r="980" spans="2:8" s="13" customFormat="1">
      <c r="B980" s="4">
        <v>967</v>
      </c>
      <c r="C980" s="97" t="s">
        <v>1192</v>
      </c>
      <c r="D980" s="97" t="s">
        <v>1163</v>
      </c>
      <c r="E980" s="38">
        <v>11</v>
      </c>
      <c r="F980" s="38" t="s">
        <v>291</v>
      </c>
      <c r="G980" s="38" t="s">
        <v>17</v>
      </c>
      <c r="H980" s="38" t="s">
        <v>16</v>
      </c>
    </row>
    <row r="981" spans="2:8" s="13" customFormat="1">
      <c r="B981" s="4">
        <v>968</v>
      </c>
      <c r="C981" s="97" t="s">
        <v>1193</v>
      </c>
      <c r="D981" s="97" t="s">
        <v>1163</v>
      </c>
      <c r="E981" s="38">
        <v>11</v>
      </c>
      <c r="F981" s="38" t="s">
        <v>410</v>
      </c>
      <c r="G981" s="38" t="s">
        <v>17</v>
      </c>
      <c r="H981" s="38" t="s">
        <v>16</v>
      </c>
    </row>
    <row r="982" spans="2:8" s="13" customFormat="1">
      <c r="B982" s="4">
        <v>969</v>
      </c>
      <c r="C982" s="97" t="s">
        <v>1194</v>
      </c>
      <c r="D982" s="97" t="s">
        <v>1163</v>
      </c>
      <c r="E982" s="38">
        <v>11</v>
      </c>
      <c r="F982" s="38" t="s">
        <v>410</v>
      </c>
      <c r="G982" s="38" t="s">
        <v>17</v>
      </c>
      <c r="H982" s="38" t="s">
        <v>16</v>
      </c>
    </row>
    <row r="983" spans="2:8" s="13" customFormat="1">
      <c r="B983" s="4">
        <v>970</v>
      </c>
      <c r="C983" s="97" t="s">
        <v>1195</v>
      </c>
      <c r="D983" s="97" t="s">
        <v>1163</v>
      </c>
      <c r="E983" s="38">
        <v>11</v>
      </c>
      <c r="F983" s="38" t="s">
        <v>1528</v>
      </c>
      <c r="G983" s="38" t="s">
        <v>17</v>
      </c>
      <c r="H983" s="38" t="s">
        <v>16</v>
      </c>
    </row>
    <row r="984" spans="2:8" s="13" customFormat="1">
      <c r="B984" s="4">
        <v>971</v>
      </c>
      <c r="C984" s="97" t="s">
        <v>1196</v>
      </c>
      <c r="D984" s="97" t="s">
        <v>1163</v>
      </c>
      <c r="E984" s="38">
        <v>11</v>
      </c>
      <c r="F984" s="38" t="s">
        <v>291</v>
      </c>
      <c r="G984" s="38" t="s">
        <v>17</v>
      </c>
      <c r="H984" s="38" t="s">
        <v>16</v>
      </c>
    </row>
    <row r="985" spans="2:8" s="13" customFormat="1">
      <c r="B985" s="4">
        <v>972</v>
      </c>
      <c r="C985" s="97" t="s">
        <v>1197</v>
      </c>
      <c r="D985" s="97" t="s">
        <v>1163</v>
      </c>
      <c r="E985" s="38">
        <v>11</v>
      </c>
      <c r="F985" s="38" t="s">
        <v>1528</v>
      </c>
      <c r="G985" s="38" t="s">
        <v>17</v>
      </c>
      <c r="H985" s="38" t="s">
        <v>16</v>
      </c>
    </row>
    <row r="986" spans="2:8" s="13" customFormat="1">
      <c r="B986" s="4">
        <v>973</v>
      </c>
      <c r="C986" s="97" t="s">
        <v>1198</v>
      </c>
      <c r="D986" s="97" t="s">
        <v>1163</v>
      </c>
      <c r="E986" s="38">
        <v>11</v>
      </c>
      <c r="F986" s="38" t="s">
        <v>1528</v>
      </c>
      <c r="G986" s="38" t="s">
        <v>17</v>
      </c>
      <c r="H986" s="38" t="s">
        <v>16</v>
      </c>
    </row>
    <row r="987" spans="2:8" s="13" customFormat="1">
      <c r="B987" s="4">
        <v>974</v>
      </c>
      <c r="C987" s="97" t="s">
        <v>1199</v>
      </c>
      <c r="D987" s="97" t="s">
        <v>1163</v>
      </c>
      <c r="E987" s="38">
        <v>11</v>
      </c>
      <c r="F987" s="38" t="s">
        <v>1528</v>
      </c>
      <c r="G987" s="38" t="s">
        <v>17</v>
      </c>
      <c r="H987" s="38" t="s">
        <v>16</v>
      </c>
    </row>
    <row r="988" spans="2:8" s="13" customFormat="1">
      <c r="B988" s="4">
        <v>975</v>
      </c>
      <c r="C988" s="97" t="s">
        <v>1200</v>
      </c>
      <c r="D988" s="97" t="s">
        <v>1163</v>
      </c>
      <c r="E988" s="38">
        <v>11</v>
      </c>
      <c r="F988" s="38" t="s">
        <v>1528</v>
      </c>
      <c r="G988" s="38" t="s">
        <v>17</v>
      </c>
      <c r="H988" s="38" t="s">
        <v>16</v>
      </c>
    </row>
    <row r="989" spans="2:8" s="13" customFormat="1">
      <c r="B989" s="4">
        <v>976</v>
      </c>
      <c r="C989" s="97" t="s">
        <v>1201</v>
      </c>
      <c r="D989" s="97" t="s">
        <v>1163</v>
      </c>
      <c r="E989" s="38">
        <v>11</v>
      </c>
      <c r="F989" s="38" t="s">
        <v>1533</v>
      </c>
      <c r="G989" s="38" t="s">
        <v>17</v>
      </c>
      <c r="H989" s="38" t="s">
        <v>16</v>
      </c>
    </row>
    <row r="990" spans="2:8" s="13" customFormat="1">
      <c r="B990" s="4">
        <v>977</v>
      </c>
      <c r="C990" s="97" t="s">
        <v>1202</v>
      </c>
      <c r="D990" s="97" t="s">
        <v>1163</v>
      </c>
      <c r="E990" s="38">
        <v>11</v>
      </c>
      <c r="F990" s="38" t="s">
        <v>410</v>
      </c>
      <c r="G990" s="38" t="s">
        <v>17</v>
      </c>
      <c r="H990" s="38" t="s">
        <v>16</v>
      </c>
    </row>
    <row r="991" spans="2:8" s="13" customFormat="1">
      <c r="B991" s="4">
        <v>978</v>
      </c>
      <c r="C991" s="97" t="s">
        <v>1203</v>
      </c>
      <c r="D991" s="97" t="s">
        <v>1163</v>
      </c>
      <c r="E991" s="38">
        <v>11</v>
      </c>
      <c r="F991" s="38" t="s">
        <v>247</v>
      </c>
      <c r="G991" s="38" t="s">
        <v>17</v>
      </c>
      <c r="H991" s="38" t="s">
        <v>16</v>
      </c>
    </row>
    <row r="992" spans="2:8" s="13" customFormat="1">
      <c r="B992" s="4">
        <v>979</v>
      </c>
      <c r="C992" s="97" t="s">
        <v>1204</v>
      </c>
      <c r="D992" s="97" t="s">
        <v>1163</v>
      </c>
      <c r="E992" s="38">
        <v>11</v>
      </c>
      <c r="F992" s="38" t="s">
        <v>1528</v>
      </c>
      <c r="G992" s="38" t="s">
        <v>17</v>
      </c>
      <c r="H992" s="38" t="s">
        <v>16</v>
      </c>
    </row>
    <row r="993" spans="2:8" s="13" customFormat="1">
      <c r="B993" s="4">
        <v>980</v>
      </c>
      <c r="C993" s="97" t="s">
        <v>1205</v>
      </c>
      <c r="D993" s="97" t="s">
        <v>1163</v>
      </c>
      <c r="E993" s="38">
        <v>11</v>
      </c>
      <c r="F993" s="38" t="s">
        <v>410</v>
      </c>
      <c r="G993" s="38" t="s">
        <v>17</v>
      </c>
      <c r="H993" s="38" t="s">
        <v>16</v>
      </c>
    </row>
    <row r="994" spans="2:8" s="13" customFormat="1">
      <c r="B994" s="4">
        <v>981</v>
      </c>
      <c r="C994" s="97" t="s">
        <v>1206</v>
      </c>
      <c r="D994" s="97" t="s">
        <v>1163</v>
      </c>
      <c r="E994" s="38">
        <v>11</v>
      </c>
      <c r="F994" s="38" t="s">
        <v>247</v>
      </c>
      <c r="G994" s="38" t="s">
        <v>17</v>
      </c>
      <c r="H994" s="38" t="s">
        <v>16</v>
      </c>
    </row>
    <row r="995" spans="2:8" s="13" customFormat="1">
      <c r="B995" s="4">
        <v>982</v>
      </c>
      <c r="C995" s="97" t="s">
        <v>1207</v>
      </c>
      <c r="D995" s="97" t="s">
        <v>1163</v>
      </c>
      <c r="E995" s="38">
        <v>11</v>
      </c>
      <c r="F995" s="38" t="s">
        <v>247</v>
      </c>
      <c r="G995" s="38" t="s">
        <v>17</v>
      </c>
      <c r="H995" s="38" t="s">
        <v>16</v>
      </c>
    </row>
    <row r="996" spans="2:8" s="13" customFormat="1">
      <c r="B996" s="4">
        <v>983</v>
      </c>
      <c r="C996" s="97" t="s">
        <v>1208</v>
      </c>
      <c r="D996" s="97" t="s">
        <v>1163</v>
      </c>
      <c r="E996" s="38">
        <v>11</v>
      </c>
      <c r="F996" s="38" t="s">
        <v>247</v>
      </c>
      <c r="G996" s="38" t="s">
        <v>17</v>
      </c>
      <c r="H996" s="38" t="s">
        <v>16</v>
      </c>
    </row>
    <row r="997" spans="2:8" s="13" customFormat="1">
      <c r="B997" s="4">
        <v>984</v>
      </c>
      <c r="C997" s="97" t="s">
        <v>1209</v>
      </c>
      <c r="D997" s="97" t="s">
        <v>1163</v>
      </c>
      <c r="E997" s="38">
        <v>11</v>
      </c>
      <c r="F997" s="38" t="s">
        <v>291</v>
      </c>
      <c r="G997" s="38" t="s">
        <v>17</v>
      </c>
      <c r="H997" s="38" t="s">
        <v>16</v>
      </c>
    </row>
    <row r="998" spans="2:8" s="13" customFormat="1">
      <c r="B998" s="4">
        <v>985</v>
      </c>
      <c r="C998" s="97" t="s">
        <v>1210</v>
      </c>
      <c r="D998" s="97" t="s">
        <v>1163</v>
      </c>
      <c r="E998" s="38">
        <v>11</v>
      </c>
      <c r="F998" s="38" t="s">
        <v>291</v>
      </c>
      <c r="G998" s="38" t="s">
        <v>17</v>
      </c>
      <c r="H998" s="38" t="s">
        <v>16</v>
      </c>
    </row>
    <row r="999" spans="2:8" s="13" customFormat="1">
      <c r="B999" s="4">
        <v>986</v>
      </c>
      <c r="C999" s="97" t="s">
        <v>1211</v>
      </c>
      <c r="D999" s="97" t="s">
        <v>1163</v>
      </c>
      <c r="E999" s="38">
        <v>11</v>
      </c>
      <c r="F999" s="38" t="s">
        <v>1528</v>
      </c>
      <c r="G999" s="38" t="s">
        <v>17</v>
      </c>
      <c r="H999" s="38" t="s">
        <v>16</v>
      </c>
    </row>
    <row r="1000" spans="2:8" s="13" customFormat="1">
      <c r="B1000" s="4">
        <v>987</v>
      </c>
      <c r="C1000" s="97" t="s">
        <v>1212</v>
      </c>
      <c r="D1000" s="97" t="s">
        <v>1163</v>
      </c>
      <c r="E1000" s="38">
        <v>11</v>
      </c>
      <c r="F1000" s="38" t="s">
        <v>291</v>
      </c>
      <c r="G1000" s="38" t="s">
        <v>17</v>
      </c>
      <c r="H1000" s="38" t="s">
        <v>16</v>
      </c>
    </row>
    <row r="1001" spans="2:8" s="13" customFormat="1">
      <c r="B1001" s="4">
        <v>988</v>
      </c>
      <c r="C1001" s="97" t="s">
        <v>1213</v>
      </c>
      <c r="D1001" s="97" t="s">
        <v>1163</v>
      </c>
      <c r="E1001" s="38">
        <v>11</v>
      </c>
      <c r="F1001" s="38" t="s">
        <v>291</v>
      </c>
      <c r="G1001" s="38" t="s">
        <v>17</v>
      </c>
      <c r="H1001" s="38" t="s">
        <v>16</v>
      </c>
    </row>
    <row r="1002" spans="2:8" s="13" customFormat="1">
      <c r="B1002" s="4">
        <v>989</v>
      </c>
      <c r="C1002" s="97" t="s">
        <v>1214</v>
      </c>
      <c r="D1002" s="97" t="s">
        <v>1163</v>
      </c>
      <c r="E1002" s="38">
        <v>11</v>
      </c>
      <c r="F1002" s="38" t="s">
        <v>291</v>
      </c>
      <c r="G1002" s="38" t="s">
        <v>17</v>
      </c>
      <c r="H1002" s="38" t="s">
        <v>16</v>
      </c>
    </row>
    <row r="1003" spans="2:8" s="13" customFormat="1">
      <c r="B1003" s="4">
        <v>990</v>
      </c>
      <c r="C1003" s="97" t="s">
        <v>1215</v>
      </c>
      <c r="D1003" s="97" t="s">
        <v>1163</v>
      </c>
      <c r="E1003" s="38">
        <v>11</v>
      </c>
      <c r="F1003" s="38" t="s">
        <v>1530</v>
      </c>
      <c r="G1003" s="38" t="s">
        <v>17</v>
      </c>
      <c r="H1003" s="38" t="s">
        <v>16</v>
      </c>
    </row>
    <row r="1004" spans="2:8" s="13" customFormat="1">
      <c r="B1004" s="4">
        <v>991</v>
      </c>
      <c r="C1004" s="97" t="s">
        <v>1216</v>
      </c>
      <c r="D1004" s="97" t="s">
        <v>1163</v>
      </c>
      <c r="E1004" s="38">
        <v>11</v>
      </c>
      <c r="F1004" s="38" t="s">
        <v>1532</v>
      </c>
      <c r="G1004" s="38" t="s">
        <v>17</v>
      </c>
      <c r="H1004" s="38" t="s">
        <v>16</v>
      </c>
    </row>
    <row r="1005" spans="2:8" s="13" customFormat="1">
      <c r="B1005" s="4">
        <v>992</v>
      </c>
      <c r="C1005" s="97" t="s">
        <v>1217</v>
      </c>
      <c r="D1005" s="97" t="s">
        <v>1163</v>
      </c>
      <c r="E1005" s="38">
        <v>11</v>
      </c>
      <c r="F1005" s="38" t="s">
        <v>247</v>
      </c>
      <c r="G1005" s="38" t="s">
        <v>17</v>
      </c>
      <c r="H1005" s="38" t="s">
        <v>16</v>
      </c>
    </row>
    <row r="1006" spans="2:8" s="13" customFormat="1">
      <c r="B1006" s="4">
        <v>993</v>
      </c>
      <c r="C1006" s="97" t="s">
        <v>1218</v>
      </c>
      <c r="D1006" s="97" t="s">
        <v>1163</v>
      </c>
      <c r="E1006" s="38">
        <v>11</v>
      </c>
      <c r="F1006" s="38" t="s">
        <v>247</v>
      </c>
      <c r="G1006" s="38" t="s">
        <v>17</v>
      </c>
      <c r="H1006" s="38" t="s">
        <v>16</v>
      </c>
    </row>
    <row r="1007" spans="2:8" s="13" customFormat="1">
      <c r="B1007" s="4">
        <v>994</v>
      </c>
      <c r="C1007" s="97" t="s">
        <v>1219</v>
      </c>
      <c r="D1007" s="97" t="s">
        <v>1163</v>
      </c>
      <c r="E1007" s="38">
        <v>11</v>
      </c>
      <c r="F1007" s="38" t="s">
        <v>410</v>
      </c>
      <c r="G1007" s="38" t="s">
        <v>17</v>
      </c>
      <c r="H1007" s="38" t="s">
        <v>16</v>
      </c>
    </row>
    <row r="1008" spans="2:8" s="13" customFormat="1">
      <c r="B1008" s="4">
        <v>995</v>
      </c>
      <c r="C1008" s="97" t="s">
        <v>1220</v>
      </c>
      <c r="D1008" s="97" t="s">
        <v>1163</v>
      </c>
      <c r="E1008" s="38">
        <v>11</v>
      </c>
      <c r="F1008" s="38" t="s">
        <v>410</v>
      </c>
      <c r="G1008" s="38" t="s">
        <v>17</v>
      </c>
      <c r="H1008" s="38" t="s">
        <v>16</v>
      </c>
    </row>
    <row r="1009" spans="2:8" s="13" customFormat="1">
      <c r="B1009" s="4">
        <v>996</v>
      </c>
      <c r="C1009" s="97" t="s">
        <v>1221</v>
      </c>
      <c r="D1009" s="97" t="s">
        <v>1163</v>
      </c>
      <c r="E1009" s="38">
        <v>11</v>
      </c>
      <c r="F1009" s="38" t="s">
        <v>247</v>
      </c>
      <c r="G1009" s="38" t="s">
        <v>17</v>
      </c>
      <c r="H1009" s="38" t="s">
        <v>16</v>
      </c>
    </row>
    <row r="1010" spans="2:8" s="13" customFormat="1">
      <c r="B1010" s="4">
        <v>997</v>
      </c>
      <c r="C1010" s="97" t="s">
        <v>1222</v>
      </c>
      <c r="D1010" s="97" t="s">
        <v>1163</v>
      </c>
      <c r="E1010" s="38">
        <v>11</v>
      </c>
      <c r="F1010" s="38" t="s">
        <v>188</v>
      </c>
      <c r="G1010" s="38" t="s">
        <v>17</v>
      </c>
      <c r="H1010" s="38" t="s">
        <v>16</v>
      </c>
    </row>
    <row r="1011" spans="2:8" s="13" customFormat="1">
      <c r="B1011" s="4">
        <v>998</v>
      </c>
      <c r="C1011" s="97" t="s">
        <v>1223</v>
      </c>
      <c r="D1011" s="97" t="s">
        <v>1163</v>
      </c>
      <c r="E1011" s="38">
        <v>11</v>
      </c>
      <c r="F1011" s="38" t="s">
        <v>247</v>
      </c>
      <c r="G1011" s="38" t="s">
        <v>17</v>
      </c>
      <c r="H1011" s="38" t="s">
        <v>16</v>
      </c>
    </row>
    <row r="1012" spans="2:8" s="13" customFormat="1">
      <c r="B1012" s="4">
        <v>999</v>
      </c>
      <c r="C1012" s="97" t="s">
        <v>1224</v>
      </c>
      <c r="D1012" s="97" t="s">
        <v>1163</v>
      </c>
      <c r="E1012" s="38">
        <v>11</v>
      </c>
      <c r="F1012" s="38" t="s">
        <v>291</v>
      </c>
      <c r="G1012" s="38" t="s">
        <v>17</v>
      </c>
      <c r="H1012" s="38" t="s">
        <v>16</v>
      </c>
    </row>
    <row r="1013" spans="2:8" s="13" customFormat="1">
      <c r="B1013" s="4">
        <v>1000</v>
      </c>
      <c r="C1013" s="99" t="s">
        <v>1225</v>
      </c>
      <c r="D1013" s="99" t="s">
        <v>1163</v>
      </c>
      <c r="E1013" s="38">
        <v>11</v>
      </c>
      <c r="F1013" s="38" t="s">
        <v>1528</v>
      </c>
      <c r="G1013" s="38" t="s">
        <v>17</v>
      </c>
      <c r="H1013" s="38" t="s">
        <v>16</v>
      </c>
    </row>
    <row r="1014" spans="2:8" s="13" customFormat="1">
      <c r="B1014" s="4">
        <v>1001</v>
      </c>
      <c r="C1014" s="99" t="s">
        <v>1226</v>
      </c>
      <c r="D1014" s="99" t="s">
        <v>1163</v>
      </c>
      <c r="E1014" s="38">
        <v>11</v>
      </c>
      <c r="F1014" s="38" t="s">
        <v>247</v>
      </c>
      <c r="G1014" s="38" t="s">
        <v>17</v>
      </c>
      <c r="H1014" s="38" t="s">
        <v>16</v>
      </c>
    </row>
    <row r="1015" spans="2:8" s="13" customFormat="1">
      <c r="B1015" s="4">
        <v>1002</v>
      </c>
      <c r="C1015" s="99" t="s">
        <v>1227</v>
      </c>
      <c r="D1015" s="99" t="s">
        <v>1163</v>
      </c>
      <c r="E1015" s="38">
        <v>11</v>
      </c>
      <c r="F1015" s="38" t="s">
        <v>1532</v>
      </c>
      <c r="G1015" s="38" t="s">
        <v>17</v>
      </c>
      <c r="H1015" s="38" t="s">
        <v>16</v>
      </c>
    </row>
    <row r="1016" spans="2:8" s="13" customFormat="1">
      <c r="B1016" s="4">
        <v>1003</v>
      </c>
      <c r="C1016" s="99" t="s">
        <v>1228</v>
      </c>
      <c r="D1016" s="99" t="s">
        <v>1163</v>
      </c>
      <c r="E1016" s="38">
        <v>11</v>
      </c>
      <c r="F1016" s="38" t="s">
        <v>410</v>
      </c>
      <c r="G1016" s="38" t="s">
        <v>17</v>
      </c>
      <c r="H1016" s="38" t="s">
        <v>16</v>
      </c>
    </row>
    <row r="1017" spans="2:8" s="13" customFormat="1">
      <c r="B1017" s="4">
        <v>1004</v>
      </c>
      <c r="C1017" s="99" t="s">
        <v>1229</v>
      </c>
      <c r="D1017" s="99" t="s">
        <v>1163</v>
      </c>
      <c r="E1017" s="38">
        <v>11</v>
      </c>
      <c r="F1017" s="38" t="s">
        <v>188</v>
      </c>
      <c r="G1017" s="38" t="s">
        <v>17</v>
      </c>
      <c r="H1017" s="38" t="s">
        <v>16</v>
      </c>
    </row>
    <row r="1018" spans="2:8" s="13" customFormat="1">
      <c r="B1018" s="4">
        <v>1005</v>
      </c>
      <c r="C1018" s="99" t="s">
        <v>1230</v>
      </c>
      <c r="D1018" s="99" t="s">
        <v>1163</v>
      </c>
      <c r="E1018" s="38">
        <v>11</v>
      </c>
      <c r="F1018" s="38" t="s">
        <v>291</v>
      </c>
      <c r="G1018" s="38" t="s">
        <v>17</v>
      </c>
      <c r="H1018" s="38" t="s">
        <v>16</v>
      </c>
    </row>
    <row r="1019" spans="2:8" s="13" customFormat="1">
      <c r="B1019" s="4">
        <v>1006</v>
      </c>
      <c r="C1019" s="99" t="s">
        <v>1231</v>
      </c>
      <c r="D1019" s="99" t="s">
        <v>1163</v>
      </c>
      <c r="E1019" s="38">
        <v>11</v>
      </c>
      <c r="F1019" s="38" t="s">
        <v>345</v>
      </c>
      <c r="G1019" s="38" t="s">
        <v>17</v>
      </c>
      <c r="H1019" s="38" t="s">
        <v>16</v>
      </c>
    </row>
    <row r="1020" spans="2:8" s="13" customFormat="1">
      <c r="B1020" s="4">
        <v>1007</v>
      </c>
      <c r="C1020" s="99" t="s">
        <v>1232</v>
      </c>
      <c r="D1020" s="99" t="s">
        <v>1163</v>
      </c>
      <c r="E1020" s="38">
        <v>11</v>
      </c>
      <c r="F1020" s="38" t="s">
        <v>291</v>
      </c>
      <c r="G1020" s="38" t="s">
        <v>17</v>
      </c>
      <c r="H1020" s="38" t="s">
        <v>16</v>
      </c>
    </row>
    <row r="1021" spans="2:8" s="13" customFormat="1">
      <c r="B1021" s="4">
        <v>1008</v>
      </c>
      <c r="C1021" s="99" t="s">
        <v>1233</v>
      </c>
      <c r="D1021" s="99" t="s">
        <v>1163</v>
      </c>
      <c r="E1021" s="38">
        <v>11</v>
      </c>
      <c r="F1021" s="38" t="s">
        <v>345</v>
      </c>
      <c r="G1021" s="38" t="s">
        <v>17</v>
      </c>
      <c r="H1021" s="38" t="s">
        <v>16</v>
      </c>
    </row>
    <row r="1022" spans="2:8" s="13" customFormat="1">
      <c r="B1022" s="4">
        <v>1009</v>
      </c>
      <c r="C1022" s="99" t="s">
        <v>1234</v>
      </c>
      <c r="D1022" s="99" t="s">
        <v>1163</v>
      </c>
      <c r="E1022" s="38">
        <v>11</v>
      </c>
      <c r="F1022" s="38" t="s">
        <v>410</v>
      </c>
      <c r="G1022" s="38" t="s">
        <v>17</v>
      </c>
      <c r="H1022" s="38" t="s">
        <v>16</v>
      </c>
    </row>
    <row r="1023" spans="2:8" s="13" customFormat="1">
      <c r="B1023" s="4">
        <v>1010</v>
      </c>
      <c r="C1023" s="99" t="s">
        <v>1235</v>
      </c>
      <c r="D1023" s="99" t="s">
        <v>1163</v>
      </c>
      <c r="E1023" s="38">
        <v>11</v>
      </c>
      <c r="F1023" s="38" t="s">
        <v>345</v>
      </c>
      <c r="G1023" s="38" t="s">
        <v>17</v>
      </c>
      <c r="H1023" s="38" t="s">
        <v>16</v>
      </c>
    </row>
    <row r="1024" spans="2:8" s="13" customFormat="1">
      <c r="B1024" s="4">
        <v>1011</v>
      </c>
      <c r="C1024" s="99" t="s">
        <v>1236</v>
      </c>
      <c r="D1024" s="99" t="s">
        <v>1163</v>
      </c>
      <c r="E1024" s="38">
        <v>11</v>
      </c>
      <c r="F1024" s="38" t="s">
        <v>162</v>
      </c>
      <c r="G1024" s="38" t="s">
        <v>17</v>
      </c>
      <c r="H1024" s="38" t="s">
        <v>16</v>
      </c>
    </row>
    <row r="1025" spans="2:8" s="13" customFormat="1">
      <c r="B1025" s="4">
        <v>1012</v>
      </c>
      <c r="C1025" s="99" t="s">
        <v>1237</v>
      </c>
      <c r="D1025" s="99" t="s">
        <v>1163</v>
      </c>
      <c r="E1025" s="38">
        <v>11</v>
      </c>
      <c r="F1025" s="38" t="s">
        <v>345</v>
      </c>
      <c r="G1025" s="38" t="s">
        <v>17</v>
      </c>
      <c r="H1025" s="38" t="s">
        <v>16</v>
      </c>
    </row>
    <row r="1026" spans="2:8" s="13" customFormat="1">
      <c r="B1026" s="4">
        <v>1013</v>
      </c>
      <c r="C1026" s="99" t="s">
        <v>1238</v>
      </c>
      <c r="D1026" s="99" t="s">
        <v>1163</v>
      </c>
      <c r="E1026" s="38">
        <v>11</v>
      </c>
      <c r="F1026" s="38" t="s">
        <v>364</v>
      </c>
      <c r="G1026" s="38" t="s">
        <v>17</v>
      </c>
      <c r="H1026" s="38" t="s">
        <v>16</v>
      </c>
    </row>
    <row r="1027" spans="2:8" s="13" customFormat="1">
      <c r="B1027" s="4">
        <v>1014</v>
      </c>
      <c r="C1027" s="99" t="s">
        <v>1239</v>
      </c>
      <c r="D1027" s="99" t="s">
        <v>1163</v>
      </c>
      <c r="E1027" s="38">
        <v>11</v>
      </c>
      <c r="F1027" s="38" t="s">
        <v>291</v>
      </c>
      <c r="G1027" s="38" t="s">
        <v>17</v>
      </c>
      <c r="H1027" s="38" t="s">
        <v>16</v>
      </c>
    </row>
    <row r="1028" spans="2:8" s="13" customFormat="1">
      <c r="B1028" s="4">
        <v>1015</v>
      </c>
      <c r="C1028" s="99" t="s">
        <v>1240</v>
      </c>
      <c r="D1028" s="99" t="s">
        <v>1163</v>
      </c>
      <c r="E1028" s="38">
        <v>11</v>
      </c>
      <c r="F1028" s="38" t="s">
        <v>410</v>
      </c>
      <c r="G1028" s="38" t="s">
        <v>17</v>
      </c>
      <c r="H1028" s="38" t="s">
        <v>16</v>
      </c>
    </row>
    <row r="1029" spans="2:8" s="13" customFormat="1">
      <c r="B1029" s="4">
        <v>1016</v>
      </c>
      <c r="C1029" s="99" t="s">
        <v>1241</v>
      </c>
      <c r="D1029" s="99" t="s">
        <v>1163</v>
      </c>
      <c r="E1029" s="38">
        <v>11</v>
      </c>
      <c r="F1029" s="38" t="s">
        <v>291</v>
      </c>
      <c r="G1029" s="38" t="s">
        <v>17</v>
      </c>
      <c r="H1029" s="38" t="s">
        <v>16</v>
      </c>
    </row>
    <row r="1030" spans="2:8" s="13" customFormat="1">
      <c r="B1030" s="4">
        <v>1017</v>
      </c>
      <c r="C1030" s="99" t="s">
        <v>1242</v>
      </c>
      <c r="D1030" s="99" t="s">
        <v>1163</v>
      </c>
      <c r="E1030" s="38">
        <v>11</v>
      </c>
      <c r="F1030" s="38" t="s">
        <v>188</v>
      </c>
      <c r="G1030" s="38" t="s">
        <v>17</v>
      </c>
      <c r="H1030" s="38" t="s">
        <v>16</v>
      </c>
    </row>
    <row r="1031" spans="2:8" s="13" customFormat="1">
      <c r="B1031" s="4">
        <v>1018</v>
      </c>
      <c r="C1031" s="99" t="s">
        <v>1243</v>
      </c>
      <c r="D1031" s="99" t="s">
        <v>1163</v>
      </c>
      <c r="E1031" s="38">
        <v>11</v>
      </c>
      <c r="F1031" s="38" t="s">
        <v>410</v>
      </c>
      <c r="G1031" s="38" t="s">
        <v>17</v>
      </c>
      <c r="H1031" s="38" t="s">
        <v>16</v>
      </c>
    </row>
    <row r="1032" spans="2:8" s="13" customFormat="1">
      <c r="B1032" s="4">
        <v>1019</v>
      </c>
      <c r="C1032" s="99" t="s">
        <v>1244</v>
      </c>
      <c r="D1032" s="99" t="s">
        <v>1163</v>
      </c>
      <c r="E1032" s="38">
        <v>11</v>
      </c>
      <c r="F1032" s="38" t="s">
        <v>1538</v>
      </c>
      <c r="G1032" s="38" t="s">
        <v>17</v>
      </c>
      <c r="H1032" s="38" t="s">
        <v>16</v>
      </c>
    </row>
    <row r="1033" spans="2:8" s="13" customFormat="1">
      <c r="B1033" s="4">
        <v>1020</v>
      </c>
      <c r="C1033" s="99" t="s">
        <v>1245</v>
      </c>
      <c r="D1033" s="99" t="s">
        <v>1163</v>
      </c>
      <c r="E1033" s="38">
        <v>11</v>
      </c>
      <c r="F1033" s="38" t="s">
        <v>410</v>
      </c>
      <c r="G1033" s="38" t="s">
        <v>17</v>
      </c>
      <c r="H1033" s="38" t="s">
        <v>16</v>
      </c>
    </row>
    <row r="1034" spans="2:8" s="13" customFormat="1">
      <c r="B1034" s="4">
        <v>1021</v>
      </c>
      <c r="C1034" s="99" t="s">
        <v>1246</v>
      </c>
      <c r="D1034" s="99" t="s">
        <v>1163</v>
      </c>
      <c r="E1034" s="38">
        <v>11</v>
      </c>
      <c r="F1034" s="38" t="s">
        <v>247</v>
      </c>
      <c r="G1034" s="38" t="s">
        <v>17</v>
      </c>
      <c r="H1034" s="38" t="s">
        <v>16</v>
      </c>
    </row>
    <row r="1035" spans="2:8" s="13" customFormat="1">
      <c r="B1035" s="4">
        <v>1022</v>
      </c>
      <c r="C1035" s="99" t="s">
        <v>1247</v>
      </c>
      <c r="D1035" s="99" t="s">
        <v>1163</v>
      </c>
      <c r="E1035" s="38">
        <v>11</v>
      </c>
      <c r="F1035" s="38" t="s">
        <v>410</v>
      </c>
      <c r="G1035" s="38" t="s">
        <v>17</v>
      </c>
      <c r="H1035" s="38" t="s">
        <v>16</v>
      </c>
    </row>
    <row r="1036" spans="2:8" s="13" customFormat="1">
      <c r="B1036" s="4">
        <v>1023</v>
      </c>
      <c r="C1036" s="99" t="s">
        <v>1248</v>
      </c>
      <c r="D1036" s="99" t="s">
        <v>1163</v>
      </c>
      <c r="E1036" s="38">
        <v>11</v>
      </c>
      <c r="F1036" s="38" t="s">
        <v>410</v>
      </c>
      <c r="G1036" s="38" t="s">
        <v>17</v>
      </c>
      <c r="H1036" s="38" t="s">
        <v>16</v>
      </c>
    </row>
    <row r="1037" spans="2:8" s="13" customFormat="1">
      <c r="B1037" s="4">
        <v>1024</v>
      </c>
      <c r="C1037" s="99" t="s">
        <v>1249</v>
      </c>
      <c r="D1037" s="99" t="s">
        <v>1163</v>
      </c>
      <c r="E1037" s="38">
        <v>11</v>
      </c>
      <c r="F1037" s="38" t="s">
        <v>410</v>
      </c>
      <c r="G1037" s="38" t="s">
        <v>17</v>
      </c>
      <c r="H1037" s="38" t="s">
        <v>16</v>
      </c>
    </row>
    <row r="1038" spans="2:8" s="13" customFormat="1">
      <c r="B1038" s="4">
        <v>1025</v>
      </c>
      <c r="C1038" s="99" t="s">
        <v>1250</v>
      </c>
      <c r="D1038" s="99" t="s">
        <v>1163</v>
      </c>
      <c r="E1038" s="38">
        <v>11</v>
      </c>
      <c r="F1038" s="38" t="s">
        <v>1528</v>
      </c>
      <c r="G1038" s="38" t="s">
        <v>17</v>
      </c>
      <c r="H1038" s="38" t="s">
        <v>16</v>
      </c>
    </row>
    <row r="1039" spans="2:8" s="13" customFormat="1">
      <c r="B1039" s="4">
        <v>1026</v>
      </c>
      <c r="C1039" s="99" t="s">
        <v>1251</v>
      </c>
      <c r="D1039" s="99" t="s">
        <v>1163</v>
      </c>
      <c r="E1039" s="38">
        <v>11</v>
      </c>
      <c r="F1039" s="38" t="s">
        <v>1528</v>
      </c>
      <c r="G1039" s="38" t="s">
        <v>17</v>
      </c>
      <c r="H1039" s="38" t="s">
        <v>16</v>
      </c>
    </row>
    <row r="1040" spans="2:8" s="13" customFormat="1">
      <c r="B1040" s="4">
        <v>1027</v>
      </c>
      <c r="C1040" s="99" t="s">
        <v>1252</v>
      </c>
      <c r="D1040" s="99" t="s">
        <v>1163</v>
      </c>
      <c r="E1040" s="38">
        <v>11</v>
      </c>
      <c r="F1040" s="38" t="s">
        <v>1528</v>
      </c>
      <c r="G1040" s="38" t="s">
        <v>17</v>
      </c>
      <c r="H1040" s="38" t="s">
        <v>16</v>
      </c>
    </row>
    <row r="1041" spans="2:8" s="13" customFormat="1">
      <c r="B1041" s="4">
        <v>1028</v>
      </c>
      <c r="C1041" s="99" t="s">
        <v>1253</v>
      </c>
      <c r="D1041" s="99" t="s">
        <v>1163</v>
      </c>
      <c r="E1041" s="38">
        <v>11</v>
      </c>
      <c r="F1041" s="38" t="s">
        <v>1530</v>
      </c>
      <c r="G1041" s="38" t="s">
        <v>17</v>
      </c>
      <c r="H1041" s="38" t="s">
        <v>16</v>
      </c>
    </row>
    <row r="1042" spans="2:8" s="13" customFormat="1">
      <c r="B1042" s="4">
        <v>1029</v>
      </c>
      <c r="C1042" s="99" t="s">
        <v>1254</v>
      </c>
      <c r="D1042" s="99" t="s">
        <v>1163</v>
      </c>
      <c r="E1042" s="38">
        <v>11</v>
      </c>
      <c r="F1042" s="38" t="s">
        <v>345</v>
      </c>
      <c r="G1042" s="38" t="s">
        <v>17</v>
      </c>
      <c r="H1042" s="38" t="s">
        <v>16</v>
      </c>
    </row>
    <row r="1043" spans="2:8" s="13" customFormat="1">
      <c r="B1043" s="4">
        <v>1030</v>
      </c>
      <c r="C1043" s="99" t="s">
        <v>1255</v>
      </c>
      <c r="D1043" s="99" t="s">
        <v>1163</v>
      </c>
      <c r="E1043" s="38">
        <v>11</v>
      </c>
      <c r="F1043" s="38" t="s">
        <v>1528</v>
      </c>
      <c r="G1043" s="38" t="s">
        <v>17</v>
      </c>
      <c r="H1043" s="38" t="s">
        <v>16</v>
      </c>
    </row>
    <row r="1044" spans="2:8" s="13" customFormat="1">
      <c r="B1044" s="4">
        <v>1031</v>
      </c>
      <c r="C1044" s="99" t="s">
        <v>1256</v>
      </c>
      <c r="D1044" s="99" t="s">
        <v>1163</v>
      </c>
      <c r="E1044" s="38">
        <v>11</v>
      </c>
      <c r="F1044" s="38" t="s">
        <v>1528</v>
      </c>
      <c r="G1044" s="38" t="s">
        <v>17</v>
      </c>
      <c r="H1044" s="38" t="s">
        <v>16</v>
      </c>
    </row>
    <row r="1045" spans="2:8" s="13" customFormat="1">
      <c r="B1045" s="4">
        <v>1032</v>
      </c>
      <c r="C1045" s="99" t="s">
        <v>1257</v>
      </c>
      <c r="D1045" s="99" t="s">
        <v>1163</v>
      </c>
      <c r="E1045" s="38">
        <v>11</v>
      </c>
      <c r="F1045" s="38" t="s">
        <v>162</v>
      </c>
      <c r="G1045" s="38" t="s">
        <v>17</v>
      </c>
      <c r="H1045" s="38" t="s">
        <v>16</v>
      </c>
    </row>
    <row r="1046" spans="2:8" s="13" customFormat="1">
      <c r="B1046" s="4">
        <v>1033</v>
      </c>
      <c r="C1046" s="99" t="s">
        <v>1258</v>
      </c>
      <c r="D1046" s="99" t="s">
        <v>1163</v>
      </c>
      <c r="E1046" s="38">
        <v>11</v>
      </c>
      <c r="F1046" s="38" t="s">
        <v>247</v>
      </c>
      <c r="G1046" s="38" t="s">
        <v>17</v>
      </c>
      <c r="H1046" s="38" t="s">
        <v>16</v>
      </c>
    </row>
    <row r="1047" spans="2:8" s="13" customFormat="1">
      <c r="B1047" s="4">
        <v>1034</v>
      </c>
      <c r="C1047" s="99" t="s">
        <v>1259</v>
      </c>
      <c r="D1047" s="99" t="s">
        <v>1163</v>
      </c>
      <c r="E1047" s="38">
        <v>11</v>
      </c>
      <c r="F1047" s="38" t="s">
        <v>247</v>
      </c>
      <c r="G1047" s="38" t="s">
        <v>17</v>
      </c>
      <c r="H1047" s="38" t="s">
        <v>16</v>
      </c>
    </row>
    <row r="1048" spans="2:8" s="13" customFormat="1">
      <c r="B1048" s="4">
        <v>1035</v>
      </c>
      <c r="C1048" s="99" t="s">
        <v>1260</v>
      </c>
      <c r="D1048" s="99" t="s">
        <v>1163</v>
      </c>
      <c r="E1048" s="38">
        <v>11</v>
      </c>
      <c r="F1048" s="38" t="s">
        <v>188</v>
      </c>
      <c r="G1048" s="38" t="s">
        <v>17</v>
      </c>
      <c r="H1048" s="38" t="s">
        <v>16</v>
      </c>
    </row>
    <row r="1049" spans="2:8" s="13" customFormat="1">
      <c r="B1049" s="4">
        <v>1036</v>
      </c>
      <c r="C1049" s="99" t="s">
        <v>1261</v>
      </c>
      <c r="D1049" s="99" t="s">
        <v>1163</v>
      </c>
      <c r="E1049" s="38">
        <v>11</v>
      </c>
      <c r="F1049" s="38" t="s">
        <v>247</v>
      </c>
      <c r="G1049" s="38" t="s">
        <v>17</v>
      </c>
      <c r="H1049" s="38" t="s">
        <v>16</v>
      </c>
    </row>
    <row r="1050" spans="2:8" s="13" customFormat="1">
      <c r="B1050" s="4">
        <v>1037</v>
      </c>
      <c r="C1050" s="99" t="s">
        <v>1262</v>
      </c>
      <c r="D1050" s="99" t="s">
        <v>1163</v>
      </c>
      <c r="E1050" s="38">
        <v>11</v>
      </c>
      <c r="F1050" s="38" t="s">
        <v>1539</v>
      </c>
      <c r="G1050" s="38" t="s">
        <v>17</v>
      </c>
      <c r="H1050" s="38" t="s">
        <v>16</v>
      </c>
    </row>
    <row r="1051" spans="2:8" s="13" customFormat="1">
      <c r="B1051" s="4">
        <v>1038</v>
      </c>
      <c r="C1051" s="99" t="s">
        <v>1263</v>
      </c>
      <c r="D1051" s="99" t="s">
        <v>1163</v>
      </c>
      <c r="E1051" s="38">
        <v>11</v>
      </c>
      <c r="F1051" s="38" t="s">
        <v>345</v>
      </c>
      <c r="G1051" s="38" t="s">
        <v>17</v>
      </c>
      <c r="H1051" s="38" t="s">
        <v>16</v>
      </c>
    </row>
    <row r="1052" spans="2:8" s="13" customFormat="1">
      <c r="B1052" s="4">
        <v>1039</v>
      </c>
      <c r="C1052" s="99" t="s">
        <v>1264</v>
      </c>
      <c r="D1052" s="99" t="s">
        <v>1163</v>
      </c>
      <c r="E1052" s="38">
        <v>11</v>
      </c>
      <c r="F1052" s="38" t="s">
        <v>291</v>
      </c>
      <c r="G1052" s="38" t="s">
        <v>17</v>
      </c>
      <c r="H1052" s="38" t="s">
        <v>16</v>
      </c>
    </row>
    <row r="1053" spans="2:8" s="13" customFormat="1">
      <c r="B1053" s="4">
        <v>1040</v>
      </c>
      <c r="C1053" s="99" t="s">
        <v>1265</v>
      </c>
      <c r="D1053" s="99" t="s">
        <v>1163</v>
      </c>
      <c r="E1053" s="38">
        <v>11</v>
      </c>
      <c r="F1053" s="38" t="s">
        <v>291</v>
      </c>
      <c r="G1053" s="38" t="s">
        <v>17</v>
      </c>
      <c r="H1053" s="38" t="s">
        <v>16</v>
      </c>
    </row>
    <row r="1054" spans="2:8" s="13" customFormat="1">
      <c r="B1054" s="4">
        <v>1041</v>
      </c>
      <c r="C1054" s="103" t="s">
        <v>1266</v>
      </c>
      <c r="D1054" s="99" t="s">
        <v>1163</v>
      </c>
      <c r="E1054" s="38">
        <v>11</v>
      </c>
      <c r="F1054" s="38" t="s">
        <v>345</v>
      </c>
      <c r="G1054" s="38" t="s">
        <v>17</v>
      </c>
      <c r="H1054" s="38" t="s">
        <v>16</v>
      </c>
    </row>
    <row r="1055" spans="2:8" s="13" customFormat="1">
      <c r="B1055" s="4">
        <v>1042</v>
      </c>
      <c r="C1055" s="99" t="s">
        <v>1267</v>
      </c>
      <c r="D1055" s="99" t="s">
        <v>1163</v>
      </c>
      <c r="E1055" s="38">
        <v>11</v>
      </c>
      <c r="F1055" s="38" t="s">
        <v>1529</v>
      </c>
      <c r="G1055" s="38" t="s">
        <v>17</v>
      </c>
      <c r="H1055" s="38" t="s">
        <v>16</v>
      </c>
    </row>
    <row r="1056" spans="2:8" s="13" customFormat="1">
      <c r="B1056" s="4">
        <v>1043</v>
      </c>
      <c r="C1056" s="99" t="s">
        <v>1268</v>
      </c>
      <c r="D1056" s="99" t="s">
        <v>1163</v>
      </c>
      <c r="E1056" s="38">
        <v>11</v>
      </c>
      <c r="F1056" s="38" t="s">
        <v>188</v>
      </c>
      <c r="G1056" s="38" t="s">
        <v>17</v>
      </c>
      <c r="H1056" s="38" t="s">
        <v>16</v>
      </c>
    </row>
    <row r="1057" spans="2:8" s="13" customFormat="1">
      <c r="B1057" s="4">
        <v>1044</v>
      </c>
      <c r="C1057" s="99" t="s">
        <v>1269</v>
      </c>
      <c r="D1057" s="99" t="s">
        <v>1163</v>
      </c>
      <c r="E1057" s="38">
        <v>11</v>
      </c>
      <c r="F1057" s="38" t="s">
        <v>1528</v>
      </c>
      <c r="G1057" s="38" t="s">
        <v>17</v>
      </c>
      <c r="H1057" s="38" t="s">
        <v>16</v>
      </c>
    </row>
    <row r="1058" spans="2:8" s="13" customFormat="1">
      <c r="B1058" s="4">
        <v>1045</v>
      </c>
      <c r="C1058" s="99" t="s">
        <v>1270</v>
      </c>
      <c r="D1058" s="99" t="s">
        <v>1163</v>
      </c>
      <c r="E1058" s="38">
        <v>11</v>
      </c>
      <c r="F1058" s="38" t="s">
        <v>291</v>
      </c>
      <c r="G1058" s="38" t="s">
        <v>17</v>
      </c>
      <c r="H1058" s="38" t="s">
        <v>16</v>
      </c>
    </row>
    <row r="1059" spans="2:8" s="13" customFormat="1">
      <c r="B1059" s="4">
        <v>1046</v>
      </c>
      <c r="C1059" s="99" t="s">
        <v>1271</v>
      </c>
      <c r="D1059" s="99" t="s">
        <v>1163</v>
      </c>
      <c r="E1059" s="38">
        <v>11</v>
      </c>
      <c r="F1059" s="38" t="s">
        <v>364</v>
      </c>
      <c r="G1059" s="38" t="s">
        <v>17</v>
      </c>
      <c r="H1059" s="38" t="s">
        <v>16</v>
      </c>
    </row>
    <row r="1060" spans="2:8" s="13" customFormat="1">
      <c r="B1060" s="4">
        <v>1047</v>
      </c>
      <c r="C1060" s="99" t="s">
        <v>1272</v>
      </c>
      <c r="D1060" s="99" t="s">
        <v>1163</v>
      </c>
      <c r="E1060" s="38">
        <v>11</v>
      </c>
      <c r="F1060" s="38" t="s">
        <v>410</v>
      </c>
      <c r="G1060" s="38" t="s">
        <v>17</v>
      </c>
      <c r="H1060" s="38" t="s">
        <v>16</v>
      </c>
    </row>
    <row r="1061" spans="2:8" s="13" customFormat="1">
      <c r="B1061" s="4">
        <v>1048</v>
      </c>
      <c r="C1061" s="99" t="s">
        <v>1273</v>
      </c>
      <c r="D1061" s="99" t="s">
        <v>1163</v>
      </c>
      <c r="E1061" s="38">
        <v>11</v>
      </c>
      <c r="F1061" s="38" t="s">
        <v>291</v>
      </c>
      <c r="G1061" s="38" t="s">
        <v>17</v>
      </c>
      <c r="H1061" s="38" t="s">
        <v>16</v>
      </c>
    </row>
    <row r="1062" spans="2:8" s="13" customFormat="1">
      <c r="B1062" s="4">
        <v>1049</v>
      </c>
      <c r="C1062" s="99" t="s">
        <v>1274</v>
      </c>
      <c r="D1062" s="99" t="s">
        <v>1163</v>
      </c>
      <c r="E1062" s="38">
        <v>11</v>
      </c>
      <c r="F1062" s="38" t="s">
        <v>1533</v>
      </c>
      <c r="G1062" s="38" t="s">
        <v>17</v>
      </c>
      <c r="H1062" s="38" t="s">
        <v>16</v>
      </c>
    </row>
    <row r="1063" spans="2:8" s="13" customFormat="1">
      <c r="B1063" s="4">
        <v>1050</v>
      </c>
      <c r="C1063" s="99" t="s">
        <v>1275</v>
      </c>
      <c r="D1063" s="99" t="s">
        <v>1163</v>
      </c>
      <c r="E1063" s="38">
        <v>11</v>
      </c>
      <c r="F1063" s="38" t="s">
        <v>1528</v>
      </c>
      <c r="G1063" s="38" t="s">
        <v>17</v>
      </c>
      <c r="H1063" s="38" t="s">
        <v>16</v>
      </c>
    </row>
    <row r="1064" spans="2:8" s="13" customFormat="1">
      <c r="B1064" s="4">
        <v>1051</v>
      </c>
      <c r="C1064" s="99" t="s">
        <v>1276</v>
      </c>
      <c r="D1064" s="99" t="s">
        <v>1163</v>
      </c>
      <c r="E1064" s="38">
        <v>11</v>
      </c>
      <c r="F1064" s="38" t="s">
        <v>188</v>
      </c>
      <c r="G1064" s="38" t="s">
        <v>17</v>
      </c>
      <c r="H1064" s="38" t="s">
        <v>16</v>
      </c>
    </row>
    <row r="1065" spans="2:8" s="13" customFormat="1">
      <c r="B1065" s="4">
        <v>1052</v>
      </c>
      <c r="C1065" s="99" t="s">
        <v>1277</v>
      </c>
      <c r="D1065" s="99" t="s">
        <v>1163</v>
      </c>
      <c r="E1065" s="38">
        <v>11</v>
      </c>
      <c r="F1065" s="38" t="s">
        <v>364</v>
      </c>
      <c r="G1065" s="38" t="s">
        <v>17</v>
      </c>
      <c r="H1065" s="38" t="s">
        <v>16</v>
      </c>
    </row>
    <row r="1066" spans="2:8" s="13" customFormat="1">
      <c r="B1066" s="4">
        <v>1053</v>
      </c>
      <c r="C1066" s="103" t="s">
        <v>1278</v>
      </c>
      <c r="D1066" s="99" t="s">
        <v>1163</v>
      </c>
      <c r="E1066" s="38">
        <v>11</v>
      </c>
      <c r="F1066" s="38" t="s">
        <v>1529</v>
      </c>
      <c r="G1066" s="38" t="s">
        <v>17</v>
      </c>
      <c r="H1066" s="38" t="s">
        <v>16</v>
      </c>
    </row>
    <row r="1067" spans="2:8" s="13" customFormat="1">
      <c r="B1067" s="4">
        <v>1054</v>
      </c>
      <c r="C1067" s="103" t="s">
        <v>1279</v>
      </c>
      <c r="D1067" s="99" t="s">
        <v>1163</v>
      </c>
      <c r="E1067" s="38">
        <v>11</v>
      </c>
      <c r="F1067" s="38" t="s">
        <v>410</v>
      </c>
      <c r="G1067" s="38" t="s">
        <v>17</v>
      </c>
      <c r="H1067" s="38" t="s">
        <v>16</v>
      </c>
    </row>
    <row r="1068" spans="2:8" s="13" customFormat="1">
      <c r="B1068" s="4">
        <v>1055</v>
      </c>
      <c r="C1068" s="103" t="s">
        <v>1280</v>
      </c>
      <c r="D1068" s="99" t="s">
        <v>1163</v>
      </c>
      <c r="E1068" s="38">
        <v>11</v>
      </c>
      <c r="F1068" s="38" t="s">
        <v>291</v>
      </c>
      <c r="G1068" s="38" t="s">
        <v>17</v>
      </c>
      <c r="H1068" s="38" t="s">
        <v>16</v>
      </c>
    </row>
    <row r="1069" spans="2:8" s="13" customFormat="1">
      <c r="B1069" s="4">
        <v>1056</v>
      </c>
      <c r="C1069" s="103" t="s">
        <v>1281</v>
      </c>
      <c r="D1069" s="99" t="s">
        <v>1163</v>
      </c>
      <c r="E1069" s="38">
        <v>11</v>
      </c>
      <c r="F1069" s="38" t="s">
        <v>188</v>
      </c>
      <c r="G1069" s="38" t="s">
        <v>17</v>
      </c>
      <c r="H1069" s="38" t="s">
        <v>16</v>
      </c>
    </row>
    <row r="1070" spans="2:8" s="13" customFormat="1">
      <c r="B1070" s="4">
        <v>1057</v>
      </c>
      <c r="C1070" s="103" t="s">
        <v>1282</v>
      </c>
      <c r="D1070" s="99" t="s">
        <v>1163</v>
      </c>
      <c r="E1070" s="38">
        <v>11</v>
      </c>
      <c r="F1070" s="38" t="s">
        <v>410</v>
      </c>
      <c r="G1070" s="38" t="s">
        <v>17</v>
      </c>
      <c r="H1070" s="38" t="s">
        <v>16</v>
      </c>
    </row>
    <row r="1071" spans="2:8" s="13" customFormat="1">
      <c r="B1071" s="4">
        <v>1058</v>
      </c>
      <c r="C1071" s="103" t="s">
        <v>1283</v>
      </c>
      <c r="D1071" s="99" t="s">
        <v>1163</v>
      </c>
      <c r="E1071" s="38">
        <v>11</v>
      </c>
      <c r="F1071" s="38" t="s">
        <v>410</v>
      </c>
      <c r="G1071" s="38" t="s">
        <v>17</v>
      </c>
      <c r="H1071" s="38" t="s">
        <v>16</v>
      </c>
    </row>
    <row r="1072" spans="2:8" s="13" customFormat="1">
      <c r="B1072" s="4">
        <v>1059</v>
      </c>
      <c r="C1072" s="103" t="s">
        <v>1284</v>
      </c>
      <c r="D1072" s="99" t="s">
        <v>1163</v>
      </c>
      <c r="E1072" s="38">
        <v>11</v>
      </c>
      <c r="F1072" s="38" t="s">
        <v>410</v>
      </c>
      <c r="G1072" s="38" t="s">
        <v>17</v>
      </c>
      <c r="H1072" s="38" t="s">
        <v>16</v>
      </c>
    </row>
    <row r="1073" spans="2:8" s="13" customFormat="1">
      <c r="B1073" s="4">
        <v>1060</v>
      </c>
      <c r="C1073" s="103" t="s">
        <v>1285</v>
      </c>
      <c r="D1073" s="99" t="s">
        <v>1163</v>
      </c>
      <c r="E1073" s="38">
        <v>11</v>
      </c>
      <c r="F1073" s="38" t="s">
        <v>162</v>
      </c>
      <c r="G1073" s="38" t="s">
        <v>17</v>
      </c>
      <c r="H1073" s="38" t="s">
        <v>16</v>
      </c>
    </row>
    <row r="1074" spans="2:8" s="13" customFormat="1">
      <c r="B1074" s="4">
        <v>1061</v>
      </c>
      <c r="C1074" s="103" t="s">
        <v>1286</v>
      </c>
      <c r="D1074" s="99" t="s">
        <v>1163</v>
      </c>
      <c r="E1074" s="38">
        <v>11</v>
      </c>
      <c r="F1074" s="38" t="s">
        <v>247</v>
      </c>
      <c r="G1074" s="38" t="s">
        <v>17</v>
      </c>
      <c r="H1074" s="38" t="s">
        <v>16</v>
      </c>
    </row>
    <row r="1075" spans="2:8" s="13" customFormat="1">
      <c r="B1075" s="4">
        <v>1062</v>
      </c>
      <c r="C1075" s="103" t="s">
        <v>1287</v>
      </c>
      <c r="D1075" s="99" t="s">
        <v>1163</v>
      </c>
      <c r="E1075" s="38">
        <v>11</v>
      </c>
      <c r="F1075" s="38" t="s">
        <v>1528</v>
      </c>
      <c r="G1075" s="38" t="s">
        <v>17</v>
      </c>
      <c r="H1075" s="38" t="s">
        <v>16</v>
      </c>
    </row>
    <row r="1076" spans="2:8" s="13" customFormat="1">
      <c r="B1076" s="4">
        <v>1063</v>
      </c>
      <c r="C1076" s="103" t="s">
        <v>1288</v>
      </c>
      <c r="D1076" s="99" t="s">
        <v>1163</v>
      </c>
      <c r="E1076" s="38">
        <v>11</v>
      </c>
      <c r="F1076" s="38" t="s">
        <v>1528</v>
      </c>
      <c r="G1076" s="38" t="s">
        <v>17</v>
      </c>
      <c r="H1076" s="38" t="s">
        <v>16</v>
      </c>
    </row>
    <row r="1077" spans="2:8" s="13" customFormat="1">
      <c r="B1077" s="4">
        <v>1064</v>
      </c>
      <c r="C1077" s="103" t="s">
        <v>1289</v>
      </c>
      <c r="D1077" s="99" t="s">
        <v>1163</v>
      </c>
      <c r="E1077" s="38">
        <v>11</v>
      </c>
      <c r="F1077" s="38" t="s">
        <v>1528</v>
      </c>
      <c r="G1077" s="38" t="s">
        <v>17</v>
      </c>
      <c r="H1077" s="38" t="s">
        <v>16</v>
      </c>
    </row>
    <row r="1078" spans="2:8" s="13" customFormat="1">
      <c r="B1078" s="4">
        <v>1065</v>
      </c>
      <c r="C1078" s="103" t="s">
        <v>1290</v>
      </c>
      <c r="D1078" s="99" t="s">
        <v>1163</v>
      </c>
      <c r="E1078" s="38">
        <v>11</v>
      </c>
      <c r="F1078" s="38" t="s">
        <v>345</v>
      </c>
      <c r="G1078" s="38" t="s">
        <v>17</v>
      </c>
      <c r="H1078" s="38" t="s">
        <v>16</v>
      </c>
    </row>
    <row r="1079" spans="2:8" s="13" customFormat="1">
      <c r="B1079" s="4">
        <v>1066</v>
      </c>
      <c r="C1079" s="103" t="s">
        <v>1291</v>
      </c>
      <c r="D1079" s="99" t="s">
        <v>1163</v>
      </c>
      <c r="E1079" s="38">
        <v>11</v>
      </c>
      <c r="F1079" s="38" t="s">
        <v>1528</v>
      </c>
      <c r="G1079" s="38" t="s">
        <v>17</v>
      </c>
      <c r="H1079" s="38" t="s">
        <v>16</v>
      </c>
    </row>
    <row r="1080" spans="2:8" s="13" customFormat="1">
      <c r="B1080" s="4">
        <v>1067</v>
      </c>
      <c r="C1080" s="103" t="s">
        <v>1292</v>
      </c>
      <c r="D1080" s="99" t="s">
        <v>1163</v>
      </c>
      <c r="E1080" s="38">
        <v>11</v>
      </c>
      <c r="F1080" s="38" t="s">
        <v>1528</v>
      </c>
      <c r="G1080" s="38" t="s">
        <v>17</v>
      </c>
      <c r="H1080" s="38" t="s">
        <v>16</v>
      </c>
    </row>
    <row r="1081" spans="2:8" s="13" customFormat="1">
      <c r="B1081" s="4">
        <v>1068</v>
      </c>
      <c r="C1081" s="103" t="s">
        <v>1293</v>
      </c>
      <c r="D1081" s="99" t="s">
        <v>1163</v>
      </c>
      <c r="E1081" s="38">
        <v>11</v>
      </c>
      <c r="F1081" s="38" t="s">
        <v>1530</v>
      </c>
      <c r="G1081" s="38" t="s">
        <v>17</v>
      </c>
      <c r="H1081" s="38" t="s">
        <v>16</v>
      </c>
    </row>
    <row r="1082" spans="2:8" s="13" customFormat="1">
      <c r="B1082" s="4">
        <v>1069</v>
      </c>
      <c r="C1082" s="103" t="s">
        <v>1294</v>
      </c>
      <c r="D1082" s="99" t="s">
        <v>1163</v>
      </c>
      <c r="E1082" s="38">
        <v>11</v>
      </c>
      <c r="F1082" s="38" t="s">
        <v>189</v>
      </c>
      <c r="G1082" s="38" t="s">
        <v>17</v>
      </c>
      <c r="H1082" s="38" t="s">
        <v>16</v>
      </c>
    </row>
    <row r="1083" spans="2:8" s="13" customFormat="1">
      <c r="B1083" s="4">
        <v>1070</v>
      </c>
      <c r="C1083" s="103" t="s">
        <v>1295</v>
      </c>
      <c r="D1083" s="99" t="s">
        <v>1163</v>
      </c>
      <c r="E1083" s="38">
        <v>11</v>
      </c>
      <c r="F1083" s="38" t="s">
        <v>345</v>
      </c>
      <c r="G1083" s="38" t="s">
        <v>17</v>
      </c>
      <c r="H1083" s="38" t="s">
        <v>16</v>
      </c>
    </row>
    <row r="1084" spans="2:8" s="13" customFormat="1">
      <c r="B1084" s="4">
        <v>1071</v>
      </c>
      <c r="C1084" s="103" t="s">
        <v>1296</v>
      </c>
      <c r="D1084" s="99" t="s">
        <v>1163</v>
      </c>
      <c r="E1084" s="38">
        <v>11</v>
      </c>
      <c r="F1084" s="38" t="s">
        <v>162</v>
      </c>
      <c r="G1084" s="38" t="s">
        <v>17</v>
      </c>
      <c r="H1084" s="38" t="s">
        <v>16</v>
      </c>
    </row>
    <row r="1085" spans="2:8" s="13" customFormat="1">
      <c r="B1085" s="4">
        <v>1072</v>
      </c>
      <c r="C1085" s="103" t="s">
        <v>1297</v>
      </c>
      <c r="D1085" s="99" t="s">
        <v>1163</v>
      </c>
      <c r="E1085" s="38">
        <v>11</v>
      </c>
      <c r="F1085" s="38" t="s">
        <v>162</v>
      </c>
      <c r="G1085" s="38" t="s">
        <v>17</v>
      </c>
      <c r="H1085" s="38" t="s">
        <v>16</v>
      </c>
    </row>
    <row r="1086" spans="2:8" s="13" customFormat="1">
      <c r="B1086" s="4">
        <v>1073</v>
      </c>
      <c r="C1086" s="103" t="s">
        <v>1298</v>
      </c>
      <c r="D1086" s="99" t="s">
        <v>1163</v>
      </c>
      <c r="E1086" s="38">
        <v>11</v>
      </c>
      <c r="F1086" s="38" t="s">
        <v>1530</v>
      </c>
      <c r="G1086" s="38" t="s">
        <v>17</v>
      </c>
      <c r="H1086" s="38" t="s">
        <v>16</v>
      </c>
    </row>
    <row r="1087" spans="2:8" s="13" customFormat="1">
      <c r="B1087" s="4">
        <v>1074</v>
      </c>
      <c r="C1087" s="103" t="s">
        <v>1299</v>
      </c>
      <c r="D1087" s="99" t="s">
        <v>1163</v>
      </c>
      <c r="E1087" s="38">
        <v>11</v>
      </c>
      <c r="F1087" s="38" t="s">
        <v>162</v>
      </c>
      <c r="G1087" s="38" t="s">
        <v>17</v>
      </c>
      <c r="H1087" s="38" t="s">
        <v>16</v>
      </c>
    </row>
    <row r="1088" spans="2:8" s="13" customFormat="1">
      <c r="B1088" s="4">
        <v>1075</v>
      </c>
      <c r="C1088" s="103" t="s">
        <v>1300</v>
      </c>
      <c r="D1088" s="99" t="s">
        <v>1163</v>
      </c>
      <c r="E1088" s="38">
        <v>11</v>
      </c>
      <c r="F1088" s="38" t="s">
        <v>291</v>
      </c>
      <c r="G1088" s="38" t="s">
        <v>17</v>
      </c>
      <c r="H1088" s="38" t="s">
        <v>16</v>
      </c>
    </row>
    <row r="1089" spans="2:8" s="13" customFormat="1">
      <c r="B1089" s="4">
        <v>1076</v>
      </c>
      <c r="C1089" s="103" t="s">
        <v>1301</v>
      </c>
      <c r="D1089" s="99" t="s">
        <v>1163</v>
      </c>
      <c r="E1089" s="38">
        <v>11</v>
      </c>
      <c r="F1089" s="38" t="s">
        <v>1528</v>
      </c>
      <c r="G1089" s="38" t="s">
        <v>17</v>
      </c>
      <c r="H1089" s="38" t="s">
        <v>16</v>
      </c>
    </row>
    <row r="1090" spans="2:8" s="13" customFormat="1">
      <c r="B1090" s="4">
        <v>1077</v>
      </c>
      <c r="C1090" s="103" t="s">
        <v>1302</v>
      </c>
      <c r="D1090" s="99" t="s">
        <v>1163</v>
      </c>
      <c r="E1090" s="38">
        <v>11</v>
      </c>
      <c r="F1090" s="38" t="s">
        <v>188</v>
      </c>
      <c r="G1090" s="38" t="s">
        <v>17</v>
      </c>
      <c r="H1090" s="38" t="s">
        <v>16</v>
      </c>
    </row>
    <row r="1091" spans="2:8" s="13" customFormat="1">
      <c r="B1091" s="4">
        <v>1078</v>
      </c>
      <c r="C1091" s="103" t="s">
        <v>1303</v>
      </c>
      <c r="D1091" s="99" t="s">
        <v>1163</v>
      </c>
      <c r="E1091" s="38">
        <v>11</v>
      </c>
      <c r="F1091" s="38" t="s">
        <v>188</v>
      </c>
      <c r="G1091" s="38" t="s">
        <v>17</v>
      </c>
      <c r="H1091" s="38" t="s">
        <v>16</v>
      </c>
    </row>
    <row r="1092" spans="2:8" s="13" customFormat="1">
      <c r="B1092" s="4">
        <v>1079</v>
      </c>
      <c r="C1092" s="103" t="s">
        <v>1304</v>
      </c>
      <c r="D1092" s="99" t="s">
        <v>1163</v>
      </c>
      <c r="E1092" s="38">
        <v>11</v>
      </c>
      <c r="F1092" s="38" t="s">
        <v>162</v>
      </c>
      <c r="G1092" s="38" t="s">
        <v>17</v>
      </c>
      <c r="H1092" s="38" t="s">
        <v>16</v>
      </c>
    </row>
    <row r="1093" spans="2:8" s="13" customFormat="1">
      <c r="B1093" s="4">
        <v>1080</v>
      </c>
      <c r="C1093" s="103" t="s">
        <v>1305</v>
      </c>
      <c r="D1093" s="99" t="s">
        <v>1163</v>
      </c>
      <c r="E1093" s="38">
        <v>11</v>
      </c>
      <c r="F1093" s="38" t="s">
        <v>1528</v>
      </c>
      <c r="G1093" s="38" t="s">
        <v>17</v>
      </c>
      <c r="H1093" s="38" t="s">
        <v>16</v>
      </c>
    </row>
    <row r="1094" spans="2:8" s="13" customFormat="1">
      <c r="B1094" s="4">
        <v>1081</v>
      </c>
      <c r="C1094" s="103" t="s">
        <v>1306</v>
      </c>
      <c r="D1094" s="99" t="s">
        <v>1163</v>
      </c>
      <c r="E1094" s="38">
        <v>11</v>
      </c>
      <c r="F1094" s="38" t="s">
        <v>162</v>
      </c>
      <c r="G1094" s="38" t="s">
        <v>17</v>
      </c>
      <c r="H1094" s="38" t="s">
        <v>16</v>
      </c>
    </row>
    <row r="1095" spans="2:8" s="13" customFormat="1">
      <c r="B1095" s="4">
        <v>1082</v>
      </c>
      <c r="C1095" s="103" t="s">
        <v>1307</v>
      </c>
      <c r="D1095" s="99" t="s">
        <v>1163</v>
      </c>
      <c r="E1095" s="38">
        <v>11</v>
      </c>
      <c r="F1095" s="38" t="s">
        <v>1528</v>
      </c>
      <c r="G1095" s="38" t="s">
        <v>17</v>
      </c>
      <c r="H1095" s="38" t="s">
        <v>16</v>
      </c>
    </row>
    <row r="1096" spans="2:8" s="13" customFormat="1">
      <c r="B1096" s="4">
        <v>1083</v>
      </c>
      <c r="C1096" s="103" t="s">
        <v>1308</v>
      </c>
      <c r="D1096" s="99" t="s">
        <v>1163</v>
      </c>
      <c r="E1096" s="38">
        <v>11</v>
      </c>
      <c r="F1096" s="38" t="s">
        <v>247</v>
      </c>
      <c r="G1096" s="38" t="s">
        <v>17</v>
      </c>
      <c r="H1096" s="38" t="s">
        <v>16</v>
      </c>
    </row>
    <row r="1097" spans="2:8" s="13" customFormat="1">
      <c r="B1097" s="4">
        <v>1084</v>
      </c>
      <c r="C1097" s="103" t="s">
        <v>1309</v>
      </c>
      <c r="D1097" s="99" t="s">
        <v>1163</v>
      </c>
      <c r="E1097" s="38">
        <v>11</v>
      </c>
      <c r="F1097" s="38" t="s">
        <v>162</v>
      </c>
      <c r="G1097" s="38" t="s">
        <v>17</v>
      </c>
      <c r="H1097" s="38" t="s">
        <v>16</v>
      </c>
    </row>
    <row r="1098" spans="2:8" s="13" customFormat="1">
      <c r="B1098" s="4">
        <v>1085</v>
      </c>
      <c r="C1098" s="103" t="s">
        <v>1310</v>
      </c>
      <c r="D1098" s="99" t="s">
        <v>1163</v>
      </c>
      <c r="E1098" s="38">
        <v>11</v>
      </c>
      <c r="F1098" s="38" t="s">
        <v>162</v>
      </c>
      <c r="G1098" s="38" t="s">
        <v>17</v>
      </c>
      <c r="H1098" s="38" t="s">
        <v>16</v>
      </c>
    </row>
    <row r="1099" spans="2:8" s="13" customFormat="1">
      <c r="B1099" s="4">
        <v>1086</v>
      </c>
      <c r="C1099" s="103" t="s">
        <v>1311</v>
      </c>
      <c r="D1099" s="99" t="s">
        <v>1163</v>
      </c>
      <c r="E1099" s="38">
        <v>11</v>
      </c>
      <c r="F1099" s="38" t="s">
        <v>1528</v>
      </c>
      <c r="G1099" s="38" t="s">
        <v>17</v>
      </c>
      <c r="H1099" s="38" t="s">
        <v>16</v>
      </c>
    </row>
    <row r="1100" spans="2:8" s="13" customFormat="1">
      <c r="B1100" s="4">
        <v>1087</v>
      </c>
      <c r="C1100" s="103" t="s">
        <v>1312</v>
      </c>
      <c r="D1100" s="99" t="s">
        <v>1163</v>
      </c>
      <c r="E1100" s="38">
        <v>11</v>
      </c>
      <c r="F1100" s="38" t="s">
        <v>1528</v>
      </c>
      <c r="G1100" s="38" t="s">
        <v>17</v>
      </c>
      <c r="H1100" s="38" t="s">
        <v>16</v>
      </c>
    </row>
    <row r="1101" spans="2:8" s="13" customFormat="1">
      <c r="B1101" s="4">
        <v>1088</v>
      </c>
      <c r="C1101" s="103" t="s">
        <v>1313</v>
      </c>
      <c r="D1101" s="99" t="s">
        <v>1163</v>
      </c>
      <c r="E1101" s="38">
        <v>11</v>
      </c>
      <c r="F1101" s="38" t="s">
        <v>247</v>
      </c>
      <c r="G1101" s="38" t="s">
        <v>17</v>
      </c>
      <c r="H1101" s="38" t="s">
        <v>16</v>
      </c>
    </row>
    <row r="1102" spans="2:8" s="13" customFormat="1">
      <c r="B1102" s="4">
        <v>1089</v>
      </c>
      <c r="C1102" s="103" t="s">
        <v>1314</v>
      </c>
      <c r="D1102" s="99" t="s">
        <v>1163</v>
      </c>
      <c r="E1102" s="38">
        <v>11</v>
      </c>
      <c r="F1102" s="38" t="s">
        <v>162</v>
      </c>
      <c r="G1102" s="38" t="s">
        <v>17</v>
      </c>
      <c r="H1102" s="38" t="s">
        <v>16</v>
      </c>
    </row>
    <row r="1103" spans="2:8" s="13" customFormat="1">
      <c r="B1103" s="4">
        <v>1090</v>
      </c>
      <c r="C1103" s="103" t="s">
        <v>1315</v>
      </c>
      <c r="D1103" s="99" t="s">
        <v>1163</v>
      </c>
      <c r="E1103" s="38">
        <v>11</v>
      </c>
      <c r="F1103" s="38" t="s">
        <v>162</v>
      </c>
      <c r="G1103" s="38" t="s">
        <v>17</v>
      </c>
      <c r="H1103" s="38" t="s">
        <v>16</v>
      </c>
    </row>
    <row r="1104" spans="2:8" s="13" customFormat="1">
      <c r="B1104" s="4">
        <v>1091</v>
      </c>
      <c r="C1104" s="103" t="s">
        <v>1316</v>
      </c>
      <c r="D1104" s="99" t="s">
        <v>1163</v>
      </c>
      <c r="E1104" s="38">
        <v>11</v>
      </c>
      <c r="F1104" s="38" t="s">
        <v>247</v>
      </c>
      <c r="G1104" s="38" t="s">
        <v>17</v>
      </c>
      <c r="H1104" s="38" t="s">
        <v>16</v>
      </c>
    </row>
    <row r="1105" spans="2:8" s="13" customFormat="1">
      <c r="B1105" s="4">
        <v>1092</v>
      </c>
      <c r="C1105" s="103" t="s">
        <v>1317</v>
      </c>
      <c r="D1105" s="99" t="s">
        <v>1163</v>
      </c>
      <c r="E1105" s="38">
        <v>11</v>
      </c>
      <c r="F1105" s="38" t="s">
        <v>291</v>
      </c>
      <c r="G1105" s="38" t="s">
        <v>17</v>
      </c>
      <c r="H1105" s="38" t="s">
        <v>16</v>
      </c>
    </row>
    <row r="1106" spans="2:8" s="13" customFormat="1">
      <c r="B1106" s="4">
        <v>1093</v>
      </c>
      <c r="C1106" s="103" t="s">
        <v>1318</v>
      </c>
      <c r="D1106" s="99" t="s">
        <v>1163</v>
      </c>
      <c r="E1106" s="38">
        <v>11</v>
      </c>
      <c r="F1106" s="38" t="s">
        <v>291</v>
      </c>
      <c r="G1106" s="38" t="s">
        <v>17</v>
      </c>
      <c r="H1106" s="38" t="s">
        <v>16</v>
      </c>
    </row>
    <row r="1107" spans="2:8" s="13" customFormat="1">
      <c r="B1107" s="4">
        <v>1094</v>
      </c>
      <c r="C1107" s="103" t="s">
        <v>1319</v>
      </c>
      <c r="D1107" s="99" t="s">
        <v>1163</v>
      </c>
      <c r="E1107" s="38">
        <v>11</v>
      </c>
      <c r="F1107" s="38" t="s">
        <v>1528</v>
      </c>
      <c r="G1107" s="38" t="s">
        <v>17</v>
      </c>
      <c r="H1107" s="38" t="s">
        <v>16</v>
      </c>
    </row>
    <row r="1108" spans="2:8" s="13" customFormat="1">
      <c r="B1108" s="4">
        <v>1095</v>
      </c>
      <c r="C1108" s="99" t="s">
        <v>1320</v>
      </c>
      <c r="D1108" s="99" t="s">
        <v>427</v>
      </c>
      <c r="E1108" s="38">
        <v>10</v>
      </c>
      <c r="F1108" s="38" t="s">
        <v>1527</v>
      </c>
      <c r="G1108" s="38" t="s">
        <v>17</v>
      </c>
      <c r="H1108" s="38" t="s">
        <v>16</v>
      </c>
    </row>
    <row r="1109" spans="2:8" s="13" customFormat="1">
      <c r="B1109" s="4">
        <v>1096</v>
      </c>
      <c r="C1109" s="99" t="s">
        <v>1321</v>
      </c>
      <c r="D1109" s="99" t="s">
        <v>1322</v>
      </c>
      <c r="E1109" s="38">
        <v>11</v>
      </c>
      <c r="F1109" s="38" t="s">
        <v>189</v>
      </c>
      <c r="G1109" s="38" t="s">
        <v>17</v>
      </c>
      <c r="H1109" s="38" t="s">
        <v>16</v>
      </c>
    </row>
    <row r="1110" spans="2:8" s="13" customFormat="1">
      <c r="B1110" s="4">
        <v>1097</v>
      </c>
      <c r="C1110" s="99" t="s">
        <v>1323</v>
      </c>
      <c r="D1110" s="99" t="s">
        <v>1322</v>
      </c>
      <c r="E1110" s="38">
        <v>11</v>
      </c>
      <c r="F1110" s="38" t="s">
        <v>1540</v>
      </c>
      <c r="G1110" s="38" t="s">
        <v>17</v>
      </c>
      <c r="H1110" s="38" t="s">
        <v>16</v>
      </c>
    </row>
    <row r="1111" spans="2:8" s="13" customFormat="1">
      <c r="B1111" s="4">
        <v>1098</v>
      </c>
      <c r="C1111" s="99" t="s">
        <v>1324</v>
      </c>
      <c r="D1111" s="99" t="s">
        <v>1322</v>
      </c>
      <c r="E1111" s="38">
        <v>11</v>
      </c>
      <c r="F1111" s="38" t="s">
        <v>247</v>
      </c>
      <c r="G1111" s="38" t="s">
        <v>17</v>
      </c>
      <c r="H1111" s="38" t="s">
        <v>16</v>
      </c>
    </row>
    <row r="1112" spans="2:8" s="13" customFormat="1">
      <c r="B1112" s="4">
        <v>1099</v>
      </c>
      <c r="C1112" s="99" t="s">
        <v>1325</v>
      </c>
      <c r="D1112" s="99" t="s">
        <v>1322</v>
      </c>
      <c r="E1112" s="38">
        <v>11</v>
      </c>
      <c r="F1112" s="38" t="s">
        <v>1540</v>
      </c>
      <c r="G1112" s="38" t="s">
        <v>17</v>
      </c>
      <c r="H1112" s="38" t="s">
        <v>16</v>
      </c>
    </row>
    <row r="1113" spans="2:8" s="13" customFormat="1">
      <c r="B1113" s="4">
        <v>1100</v>
      </c>
      <c r="C1113" s="99" t="s">
        <v>1326</v>
      </c>
      <c r="D1113" s="99" t="s">
        <v>1322</v>
      </c>
      <c r="E1113" s="38">
        <v>11</v>
      </c>
      <c r="F1113" s="38" t="s">
        <v>247</v>
      </c>
      <c r="G1113" s="38" t="s">
        <v>17</v>
      </c>
      <c r="H1113" s="38" t="s">
        <v>16</v>
      </c>
    </row>
    <row r="1114" spans="2:8" s="13" customFormat="1">
      <c r="B1114" s="4">
        <v>1101</v>
      </c>
      <c r="C1114" s="99" t="s">
        <v>1327</v>
      </c>
      <c r="D1114" s="99" t="s">
        <v>1322</v>
      </c>
      <c r="E1114" s="38">
        <v>11</v>
      </c>
      <c r="F1114" s="38" t="s">
        <v>247</v>
      </c>
      <c r="G1114" s="38" t="s">
        <v>17</v>
      </c>
      <c r="H1114" s="38" t="s">
        <v>16</v>
      </c>
    </row>
    <row r="1115" spans="2:8" s="13" customFormat="1">
      <c r="B1115" s="4">
        <v>1102</v>
      </c>
      <c r="C1115" s="99" t="s">
        <v>1328</v>
      </c>
      <c r="D1115" s="99" t="s">
        <v>1322</v>
      </c>
      <c r="E1115" s="38">
        <v>11</v>
      </c>
      <c r="F1115" s="38" t="s">
        <v>1540</v>
      </c>
      <c r="G1115" s="38" t="s">
        <v>17</v>
      </c>
      <c r="H1115" s="38" t="s">
        <v>16</v>
      </c>
    </row>
    <row r="1116" spans="2:8" s="13" customFormat="1">
      <c r="B1116" s="4">
        <v>1103</v>
      </c>
      <c r="C1116" s="99" t="s">
        <v>1329</v>
      </c>
      <c r="D1116" s="99" t="s">
        <v>1322</v>
      </c>
      <c r="E1116" s="38">
        <v>11</v>
      </c>
      <c r="F1116" s="38" t="s">
        <v>247</v>
      </c>
      <c r="G1116" s="38" t="s">
        <v>17</v>
      </c>
      <c r="H1116" s="38" t="s">
        <v>16</v>
      </c>
    </row>
    <row r="1117" spans="2:8" s="13" customFormat="1">
      <c r="B1117" s="4">
        <v>1104</v>
      </c>
      <c r="C1117" s="99" t="s">
        <v>1330</v>
      </c>
      <c r="D1117" s="99" t="s">
        <v>1322</v>
      </c>
      <c r="E1117" s="38">
        <v>11</v>
      </c>
      <c r="F1117" s="38" t="s">
        <v>247</v>
      </c>
      <c r="G1117" s="38" t="s">
        <v>17</v>
      </c>
      <c r="H1117" s="38" t="s">
        <v>16</v>
      </c>
    </row>
    <row r="1118" spans="2:8" s="13" customFormat="1">
      <c r="B1118" s="4">
        <v>1105</v>
      </c>
      <c r="C1118" s="99" t="s">
        <v>1331</v>
      </c>
      <c r="D1118" s="99" t="s">
        <v>1322</v>
      </c>
      <c r="E1118" s="38">
        <v>11</v>
      </c>
      <c r="F1118" s="38" t="s">
        <v>247</v>
      </c>
      <c r="G1118" s="38" t="s">
        <v>17</v>
      </c>
      <c r="H1118" s="38" t="s">
        <v>16</v>
      </c>
    </row>
    <row r="1119" spans="2:8" s="13" customFormat="1">
      <c r="B1119" s="4">
        <v>1106</v>
      </c>
      <c r="C1119" s="99" t="s">
        <v>1332</v>
      </c>
      <c r="D1119" s="99" t="s">
        <v>1322</v>
      </c>
      <c r="E1119" s="38">
        <v>11</v>
      </c>
      <c r="F1119" s="38" t="s">
        <v>247</v>
      </c>
      <c r="G1119" s="38" t="s">
        <v>17</v>
      </c>
      <c r="H1119" s="38" t="s">
        <v>16</v>
      </c>
    </row>
    <row r="1120" spans="2:8" s="13" customFormat="1">
      <c r="B1120" s="4">
        <v>1107</v>
      </c>
      <c r="C1120" s="99" t="s">
        <v>1333</v>
      </c>
      <c r="D1120" s="99" t="s">
        <v>1322</v>
      </c>
      <c r="E1120" s="38">
        <v>11</v>
      </c>
      <c r="F1120" s="38" t="s">
        <v>247</v>
      </c>
      <c r="G1120" s="38" t="s">
        <v>17</v>
      </c>
      <c r="H1120" s="38" t="s">
        <v>16</v>
      </c>
    </row>
    <row r="1121" spans="2:8" s="13" customFormat="1">
      <c r="B1121" s="4">
        <v>1108</v>
      </c>
      <c r="C1121" s="99" t="s">
        <v>1334</v>
      </c>
      <c r="D1121" s="99" t="s">
        <v>1322</v>
      </c>
      <c r="E1121" s="38">
        <v>11</v>
      </c>
      <c r="F1121" s="38" t="s">
        <v>247</v>
      </c>
      <c r="G1121" s="38" t="s">
        <v>17</v>
      </c>
      <c r="H1121" s="38" t="s">
        <v>16</v>
      </c>
    </row>
    <row r="1122" spans="2:8" s="13" customFormat="1">
      <c r="B1122" s="4">
        <v>1109</v>
      </c>
      <c r="C1122" s="99" t="s">
        <v>1549</v>
      </c>
      <c r="D1122" s="99" t="s">
        <v>1322</v>
      </c>
      <c r="E1122" s="38">
        <v>11</v>
      </c>
      <c r="F1122" s="38" t="s">
        <v>247</v>
      </c>
      <c r="G1122" s="38" t="s">
        <v>17</v>
      </c>
      <c r="H1122" s="38" t="s">
        <v>16</v>
      </c>
    </row>
    <row r="1123" spans="2:8" s="13" customFormat="1">
      <c r="B1123" s="4">
        <v>1110</v>
      </c>
      <c r="C1123" s="99" t="s">
        <v>1553</v>
      </c>
      <c r="D1123" s="99" t="s">
        <v>1322</v>
      </c>
      <c r="E1123" s="38">
        <v>11</v>
      </c>
      <c r="F1123" s="38" t="s">
        <v>247</v>
      </c>
      <c r="G1123" s="38" t="s">
        <v>17</v>
      </c>
      <c r="H1123" s="38" t="s">
        <v>16</v>
      </c>
    </row>
    <row r="1124" spans="2:8" s="13" customFormat="1">
      <c r="B1124" s="4">
        <v>1111</v>
      </c>
      <c r="C1124" s="99" t="s">
        <v>1554</v>
      </c>
      <c r="D1124" s="99" t="s">
        <v>1322</v>
      </c>
      <c r="E1124" s="38">
        <v>11</v>
      </c>
      <c r="F1124" s="38" t="s">
        <v>247</v>
      </c>
      <c r="G1124" s="38" t="s">
        <v>17</v>
      </c>
      <c r="H1124" s="38" t="s">
        <v>16</v>
      </c>
    </row>
    <row r="1125" spans="2:8" s="13" customFormat="1">
      <c r="B1125" s="4">
        <v>1112</v>
      </c>
      <c r="C1125" s="99" t="s">
        <v>1338</v>
      </c>
      <c r="D1125" s="99" t="s">
        <v>1322</v>
      </c>
      <c r="E1125" s="38">
        <v>11</v>
      </c>
      <c r="F1125" s="38" t="s">
        <v>1540</v>
      </c>
      <c r="G1125" s="38" t="s">
        <v>17</v>
      </c>
      <c r="H1125" s="38" t="s">
        <v>16</v>
      </c>
    </row>
    <row r="1126" spans="2:8" s="13" customFormat="1">
      <c r="B1126" s="4">
        <v>1113</v>
      </c>
      <c r="C1126" s="99" t="s">
        <v>1339</v>
      </c>
      <c r="D1126" s="99" t="s">
        <v>1322</v>
      </c>
      <c r="E1126" s="38">
        <v>11</v>
      </c>
      <c r="F1126" s="38" t="s">
        <v>247</v>
      </c>
      <c r="G1126" s="38" t="s">
        <v>17</v>
      </c>
      <c r="H1126" s="38" t="s">
        <v>16</v>
      </c>
    </row>
    <row r="1127" spans="2:8" s="13" customFormat="1">
      <c r="B1127" s="4">
        <v>1114</v>
      </c>
      <c r="C1127" s="99" t="s">
        <v>1340</v>
      </c>
      <c r="D1127" s="99" t="s">
        <v>1322</v>
      </c>
      <c r="E1127" s="38">
        <v>11</v>
      </c>
      <c r="F1127" s="38" t="s">
        <v>247</v>
      </c>
      <c r="G1127" s="38" t="s">
        <v>17</v>
      </c>
      <c r="H1127" s="38" t="s">
        <v>16</v>
      </c>
    </row>
    <row r="1128" spans="2:8" s="13" customFormat="1">
      <c r="B1128" s="4">
        <v>1115</v>
      </c>
      <c r="C1128" s="99" t="s">
        <v>1341</v>
      </c>
      <c r="D1128" s="99" t="s">
        <v>1322</v>
      </c>
      <c r="E1128" s="38">
        <v>11</v>
      </c>
      <c r="F1128" s="38" t="s">
        <v>247</v>
      </c>
      <c r="G1128" s="38" t="s">
        <v>17</v>
      </c>
      <c r="H1128" s="38" t="s">
        <v>16</v>
      </c>
    </row>
    <row r="1129" spans="2:8" s="13" customFormat="1">
      <c r="B1129" s="4">
        <v>1116</v>
      </c>
      <c r="C1129" s="99" t="s">
        <v>1342</v>
      </c>
      <c r="D1129" s="99" t="s">
        <v>1322</v>
      </c>
      <c r="E1129" s="38">
        <v>11</v>
      </c>
      <c r="F1129" s="38" t="s">
        <v>247</v>
      </c>
      <c r="G1129" s="38" t="s">
        <v>17</v>
      </c>
      <c r="H1129" s="38" t="s">
        <v>16</v>
      </c>
    </row>
    <row r="1130" spans="2:8" s="13" customFormat="1">
      <c r="B1130" s="4">
        <v>1117</v>
      </c>
      <c r="C1130" s="99" t="s">
        <v>1343</v>
      </c>
      <c r="D1130" s="99" t="s">
        <v>1322</v>
      </c>
      <c r="E1130" s="38">
        <v>11</v>
      </c>
      <c r="F1130" s="38" t="s">
        <v>247</v>
      </c>
      <c r="G1130" s="38" t="s">
        <v>17</v>
      </c>
      <c r="H1130" s="38" t="s">
        <v>16</v>
      </c>
    </row>
    <row r="1131" spans="2:8" s="13" customFormat="1">
      <c r="B1131" s="4">
        <v>1118</v>
      </c>
      <c r="C1131" s="99" t="s">
        <v>1344</v>
      </c>
      <c r="D1131" s="99" t="s">
        <v>1322</v>
      </c>
      <c r="E1131" s="38">
        <v>11</v>
      </c>
      <c r="F1131" s="38" t="s">
        <v>247</v>
      </c>
      <c r="G1131" s="38" t="s">
        <v>17</v>
      </c>
      <c r="H1131" s="38" t="s">
        <v>16</v>
      </c>
    </row>
    <row r="1132" spans="2:8" s="13" customFormat="1">
      <c r="B1132" s="4">
        <v>1119</v>
      </c>
      <c r="C1132" s="99" t="s">
        <v>1345</v>
      </c>
      <c r="D1132" s="99" t="s">
        <v>1322</v>
      </c>
      <c r="E1132" s="38">
        <v>11</v>
      </c>
      <c r="F1132" s="38" t="s">
        <v>247</v>
      </c>
      <c r="G1132" s="38" t="s">
        <v>17</v>
      </c>
      <c r="H1132" s="38" t="s">
        <v>16</v>
      </c>
    </row>
    <row r="1133" spans="2:8" s="13" customFormat="1">
      <c r="B1133" s="4">
        <v>1120</v>
      </c>
      <c r="C1133" s="99" t="s">
        <v>1346</v>
      </c>
      <c r="D1133" s="99" t="s">
        <v>1322</v>
      </c>
      <c r="E1133" s="38">
        <v>11</v>
      </c>
      <c r="F1133" s="38" t="s">
        <v>247</v>
      </c>
      <c r="G1133" s="38" t="s">
        <v>17</v>
      </c>
      <c r="H1133" s="38" t="s">
        <v>16</v>
      </c>
    </row>
    <row r="1134" spans="2:8" s="13" customFormat="1">
      <c r="B1134" s="4">
        <v>1121</v>
      </c>
      <c r="C1134" s="99" t="s">
        <v>1347</v>
      </c>
      <c r="D1134" s="99" t="s">
        <v>1322</v>
      </c>
      <c r="E1134" s="38">
        <v>11</v>
      </c>
      <c r="F1134" s="38" t="s">
        <v>247</v>
      </c>
      <c r="G1134" s="38" t="s">
        <v>17</v>
      </c>
      <c r="H1134" s="38" t="s">
        <v>16</v>
      </c>
    </row>
    <row r="1135" spans="2:8" s="13" customFormat="1">
      <c r="B1135" s="4">
        <v>1122</v>
      </c>
      <c r="C1135" s="99" t="s">
        <v>1348</v>
      </c>
      <c r="D1135" s="99" t="s">
        <v>1322</v>
      </c>
      <c r="E1135" s="38">
        <v>11</v>
      </c>
      <c r="F1135" s="38" t="s">
        <v>247</v>
      </c>
      <c r="G1135" s="38" t="s">
        <v>17</v>
      </c>
      <c r="H1135" s="38" t="s">
        <v>16</v>
      </c>
    </row>
    <row r="1136" spans="2:8" s="13" customFormat="1">
      <c r="B1136" s="4">
        <v>1123</v>
      </c>
      <c r="C1136" s="99" t="s">
        <v>1349</v>
      </c>
      <c r="D1136" s="99" t="s">
        <v>1322</v>
      </c>
      <c r="E1136" s="38">
        <v>11</v>
      </c>
      <c r="F1136" s="38" t="s">
        <v>247</v>
      </c>
      <c r="G1136" s="38" t="s">
        <v>17</v>
      </c>
      <c r="H1136" s="38" t="s">
        <v>16</v>
      </c>
    </row>
    <row r="1137" spans="2:8" s="13" customFormat="1">
      <c r="B1137" s="4">
        <v>1124</v>
      </c>
      <c r="C1137" s="99" t="s">
        <v>1350</v>
      </c>
      <c r="D1137" s="99" t="s">
        <v>1322</v>
      </c>
      <c r="E1137" s="38">
        <v>11</v>
      </c>
      <c r="F1137" s="38" t="s">
        <v>247</v>
      </c>
      <c r="G1137" s="38" t="s">
        <v>17</v>
      </c>
      <c r="H1137" s="38" t="s">
        <v>16</v>
      </c>
    </row>
    <row r="1138" spans="2:8" s="13" customFormat="1">
      <c r="B1138" s="4">
        <v>1125</v>
      </c>
      <c r="C1138" s="99" t="s">
        <v>1351</v>
      </c>
      <c r="D1138" s="99" t="s">
        <v>1322</v>
      </c>
      <c r="E1138" s="38">
        <v>11</v>
      </c>
      <c r="F1138" s="38" t="s">
        <v>247</v>
      </c>
      <c r="G1138" s="38" t="s">
        <v>17</v>
      </c>
      <c r="H1138" s="38" t="s">
        <v>16</v>
      </c>
    </row>
    <row r="1139" spans="2:8" s="13" customFormat="1">
      <c r="B1139" s="4">
        <v>1126</v>
      </c>
      <c r="C1139" s="99" t="s">
        <v>1352</v>
      </c>
      <c r="D1139" s="99" t="s">
        <v>1322</v>
      </c>
      <c r="E1139" s="38">
        <v>11</v>
      </c>
      <c r="F1139" s="38" t="s">
        <v>247</v>
      </c>
      <c r="G1139" s="38" t="s">
        <v>17</v>
      </c>
      <c r="H1139" s="38" t="s">
        <v>16</v>
      </c>
    </row>
    <row r="1140" spans="2:8" s="13" customFormat="1">
      <c r="B1140" s="4">
        <v>1127</v>
      </c>
      <c r="C1140" s="99" t="s">
        <v>1353</v>
      </c>
      <c r="D1140" s="99" t="s">
        <v>1322</v>
      </c>
      <c r="E1140" s="38">
        <v>11</v>
      </c>
      <c r="F1140" s="38" t="s">
        <v>247</v>
      </c>
      <c r="G1140" s="38" t="s">
        <v>17</v>
      </c>
      <c r="H1140" s="38" t="s">
        <v>16</v>
      </c>
    </row>
    <row r="1141" spans="2:8" s="13" customFormat="1">
      <c r="B1141" s="4">
        <v>1128</v>
      </c>
      <c r="C1141" s="99" t="s">
        <v>1354</v>
      </c>
      <c r="D1141" s="99" t="s">
        <v>1322</v>
      </c>
      <c r="E1141" s="38">
        <v>11</v>
      </c>
      <c r="F1141" s="38" t="s">
        <v>247</v>
      </c>
      <c r="G1141" s="38" t="s">
        <v>17</v>
      </c>
      <c r="H1141" s="38" t="s">
        <v>16</v>
      </c>
    </row>
    <row r="1142" spans="2:8" s="13" customFormat="1">
      <c r="B1142" s="4">
        <v>1129</v>
      </c>
      <c r="C1142" s="99" t="s">
        <v>1355</v>
      </c>
      <c r="D1142" s="99" t="s">
        <v>1356</v>
      </c>
      <c r="E1142" s="38">
        <v>9</v>
      </c>
      <c r="F1142" s="38" t="s">
        <v>247</v>
      </c>
      <c r="G1142" s="38" t="s">
        <v>17</v>
      </c>
      <c r="H1142" s="38" t="s">
        <v>16</v>
      </c>
    </row>
    <row r="1143" spans="2:8" s="13" customFormat="1">
      <c r="B1143" s="4">
        <v>1130</v>
      </c>
      <c r="C1143" s="99" t="s">
        <v>1357</v>
      </c>
      <c r="D1143" s="99" t="s">
        <v>1356</v>
      </c>
      <c r="E1143" s="38">
        <v>9</v>
      </c>
      <c r="F1143" s="38" t="s">
        <v>247</v>
      </c>
      <c r="G1143" s="38" t="s">
        <v>17</v>
      </c>
      <c r="H1143" s="38" t="s">
        <v>16</v>
      </c>
    </row>
    <row r="1144" spans="2:8" s="13" customFormat="1">
      <c r="B1144" s="4">
        <v>1131</v>
      </c>
      <c r="C1144" s="99" t="s">
        <v>1358</v>
      </c>
      <c r="D1144" s="99" t="s">
        <v>1356</v>
      </c>
      <c r="E1144" s="38">
        <v>9</v>
      </c>
      <c r="F1144" s="38" t="s">
        <v>247</v>
      </c>
      <c r="G1144" s="38" t="s">
        <v>17</v>
      </c>
      <c r="H1144" s="38" t="s">
        <v>16</v>
      </c>
    </row>
    <row r="1145" spans="2:8" s="13" customFormat="1">
      <c r="B1145" s="4">
        <v>1132</v>
      </c>
      <c r="C1145" s="99" t="s">
        <v>1359</v>
      </c>
      <c r="D1145" s="99" t="s">
        <v>1356</v>
      </c>
      <c r="E1145" s="38">
        <v>9</v>
      </c>
      <c r="F1145" s="38" t="s">
        <v>247</v>
      </c>
      <c r="G1145" s="38" t="s">
        <v>17</v>
      </c>
      <c r="H1145" s="38" t="s">
        <v>16</v>
      </c>
    </row>
    <row r="1146" spans="2:8" s="13" customFormat="1">
      <c r="B1146" s="4">
        <v>1133</v>
      </c>
      <c r="C1146" s="99" t="s">
        <v>1360</v>
      </c>
      <c r="D1146" s="99" t="s">
        <v>1356</v>
      </c>
      <c r="E1146" s="38">
        <v>9</v>
      </c>
      <c r="F1146" s="38" t="s">
        <v>247</v>
      </c>
      <c r="G1146" s="38" t="s">
        <v>17</v>
      </c>
      <c r="H1146" s="38" t="s">
        <v>16</v>
      </c>
    </row>
    <row r="1147" spans="2:8" s="13" customFormat="1">
      <c r="B1147" s="4">
        <v>1134</v>
      </c>
      <c r="C1147" s="99" t="s">
        <v>1361</v>
      </c>
      <c r="D1147" s="99" t="s">
        <v>1356</v>
      </c>
      <c r="E1147" s="38">
        <v>9</v>
      </c>
      <c r="F1147" s="38" t="s">
        <v>247</v>
      </c>
      <c r="G1147" s="38" t="s">
        <v>17</v>
      </c>
      <c r="H1147" s="38" t="s">
        <v>16</v>
      </c>
    </row>
    <row r="1148" spans="2:8" s="13" customFormat="1">
      <c r="B1148" s="4">
        <v>1135</v>
      </c>
      <c r="C1148" s="99" t="s">
        <v>1362</v>
      </c>
      <c r="D1148" s="99" t="s">
        <v>1356</v>
      </c>
      <c r="E1148" s="38">
        <v>9</v>
      </c>
      <c r="F1148" s="38" t="s">
        <v>247</v>
      </c>
      <c r="G1148" s="38" t="s">
        <v>17</v>
      </c>
      <c r="H1148" s="38" t="s">
        <v>16</v>
      </c>
    </row>
    <row r="1149" spans="2:8" s="13" customFormat="1">
      <c r="B1149" s="4">
        <v>1136</v>
      </c>
      <c r="C1149" s="99" t="s">
        <v>1363</v>
      </c>
      <c r="D1149" s="99" t="s">
        <v>1356</v>
      </c>
      <c r="E1149" s="38">
        <v>9</v>
      </c>
      <c r="F1149" s="38" t="s">
        <v>247</v>
      </c>
      <c r="G1149" s="38" t="s">
        <v>17</v>
      </c>
      <c r="H1149" s="38" t="s">
        <v>16</v>
      </c>
    </row>
    <row r="1150" spans="2:8" s="13" customFormat="1">
      <c r="B1150" s="4">
        <v>1137</v>
      </c>
      <c r="C1150" s="99" t="s">
        <v>1364</v>
      </c>
      <c r="D1150" s="99" t="s">
        <v>1356</v>
      </c>
      <c r="E1150" s="38">
        <v>9</v>
      </c>
      <c r="F1150" s="38" t="s">
        <v>247</v>
      </c>
      <c r="G1150" s="38" t="s">
        <v>17</v>
      </c>
      <c r="H1150" s="38" t="s">
        <v>16</v>
      </c>
    </row>
    <row r="1151" spans="2:8" s="13" customFormat="1">
      <c r="B1151" s="4">
        <v>1138</v>
      </c>
      <c r="C1151" s="99" t="s">
        <v>1365</v>
      </c>
      <c r="D1151" s="99" t="s">
        <v>1356</v>
      </c>
      <c r="E1151" s="38">
        <v>9</v>
      </c>
      <c r="F1151" s="38" t="s">
        <v>247</v>
      </c>
      <c r="G1151" s="38" t="s">
        <v>17</v>
      </c>
      <c r="H1151" s="38" t="s">
        <v>16</v>
      </c>
    </row>
    <row r="1152" spans="2:8" s="13" customFormat="1">
      <c r="B1152" s="4">
        <v>1139</v>
      </c>
      <c r="C1152" s="99" t="s">
        <v>1366</v>
      </c>
      <c r="D1152" s="99" t="s">
        <v>1356</v>
      </c>
      <c r="E1152" s="38">
        <v>9</v>
      </c>
      <c r="F1152" s="38" t="s">
        <v>247</v>
      </c>
      <c r="G1152" s="38" t="s">
        <v>17</v>
      </c>
      <c r="H1152" s="38" t="s">
        <v>16</v>
      </c>
    </row>
    <row r="1153" spans="2:8" s="13" customFormat="1">
      <c r="B1153" s="4">
        <v>1140</v>
      </c>
      <c r="C1153" s="99" t="s">
        <v>1367</v>
      </c>
      <c r="D1153" s="99" t="s">
        <v>1356</v>
      </c>
      <c r="E1153" s="38">
        <v>9</v>
      </c>
      <c r="F1153" s="38" t="s">
        <v>247</v>
      </c>
      <c r="G1153" s="38" t="s">
        <v>17</v>
      </c>
      <c r="H1153" s="38" t="s">
        <v>16</v>
      </c>
    </row>
    <row r="1154" spans="2:8" s="13" customFormat="1">
      <c r="B1154" s="4">
        <v>1141</v>
      </c>
      <c r="C1154" s="99" t="s">
        <v>1368</v>
      </c>
      <c r="D1154" s="99" t="s">
        <v>1356</v>
      </c>
      <c r="E1154" s="38">
        <v>9</v>
      </c>
      <c r="F1154" s="38" t="s">
        <v>247</v>
      </c>
      <c r="G1154" s="38" t="s">
        <v>17</v>
      </c>
      <c r="H1154" s="38" t="s">
        <v>16</v>
      </c>
    </row>
    <row r="1155" spans="2:8" s="13" customFormat="1">
      <c r="B1155" s="4">
        <v>1142</v>
      </c>
      <c r="C1155" s="99" t="s">
        <v>1369</v>
      </c>
      <c r="D1155" s="99" t="s">
        <v>1356</v>
      </c>
      <c r="E1155" s="38">
        <v>9</v>
      </c>
      <c r="F1155" s="38" t="s">
        <v>247</v>
      </c>
      <c r="G1155" s="38" t="s">
        <v>17</v>
      </c>
      <c r="H1155" s="38" t="s">
        <v>16</v>
      </c>
    </row>
    <row r="1156" spans="2:8" s="13" customFormat="1">
      <c r="B1156" s="4">
        <v>1143</v>
      </c>
      <c r="C1156" s="99" t="s">
        <v>1370</v>
      </c>
      <c r="D1156" s="99" t="s">
        <v>1356</v>
      </c>
      <c r="E1156" s="38">
        <v>9</v>
      </c>
      <c r="F1156" s="38" t="s">
        <v>247</v>
      </c>
      <c r="G1156" s="38" t="s">
        <v>17</v>
      </c>
      <c r="H1156" s="38" t="s">
        <v>16</v>
      </c>
    </row>
    <row r="1157" spans="2:8" s="13" customFormat="1">
      <c r="B1157" s="4">
        <v>1144</v>
      </c>
      <c r="C1157" s="99" t="s">
        <v>1371</v>
      </c>
      <c r="D1157" s="99" t="s">
        <v>1356</v>
      </c>
      <c r="E1157" s="38">
        <v>9</v>
      </c>
      <c r="F1157" s="38" t="s">
        <v>247</v>
      </c>
      <c r="G1157" s="38" t="s">
        <v>17</v>
      </c>
      <c r="H1157" s="38" t="s">
        <v>16</v>
      </c>
    </row>
    <row r="1158" spans="2:8" s="13" customFormat="1">
      <c r="B1158" s="4">
        <v>1145</v>
      </c>
      <c r="C1158" s="99" t="s">
        <v>1372</v>
      </c>
      <c r="D1158" s="99" t="s">
        <v>1356</v>
      </c>
      <c r="E1158" s="38">
        <v>9</v>
      </c>
      <c r="F1158" s="38" t="s">
        <v>247</v>
      </c>
      <c r="G1158" s="38" t="s">
        <v>17</v>
      </c>
      <c r="H1158" s="38" t="s">
        <v>16</v>
      </c>
    </row>
    <row r="1159" spans="2:8" s="13" customFormat="1">
      <c r="B1159" s="4">
        <v>1146</v>
      </c>
      <c r="C1159" s="99" t="s">
        <v>1373</v>
      </c>
      <c r="D1159" s="99" t="s">
        <v>1374</v>
      </c>
      <c r="E1159" s="38">
        <v>6</v>
      </c>
      <c r="F1159" s="38" t="s">
        <v>291</v>
      </c>
      <c r="G1159" s="38" t="s">
        <v>17</v>
      </c>
      <c r="H1159" s="38" t="s">
        <v>16</v>
      </c>
    </row>
    <row r="1160" spans="2:8" s="13" customFormat="1">
      <c r="B1160" s="4">
        <v>1147</v>
      </c>
      <c r="C1160" s="99" t="s">
        <v>1375</v>
      </c>
      <c r="D1160" s="99" t="s">
        <v>1374</v>
      </c>
      <c r="E1160" s="38">
        <v>6</v>
      </c>
      <c r="F1160" s="38" t="s">
        <v>247</v>
      </c>
      <c r="G1160" s="38" t="s">
        <v>17</v>
      </c>
      <c r="H1160" s="38" t="s">
        <v>16</v>
      </c>
    </row>
    <row r="1161" spans="2:8" s="13" customFormat="1">
      <c r="B1161" s="4">
        <v>1148</v>
      </c>
      <c r="C1161" s="99" t="s">
        <v>1376</v>
      </c>
      <c r="D1161" s="99" t="s">
        <v>1374</v>
      </c>
      <c r="E1161" s="38">
        <v>6</v>
      </c>
      <c r="F1161" s="38" t="s">
        <v>1528</v>
      </c>
      <c r="G1161" s="38" t="s">
        <v>17</v>
      </c>
      <c r="H1161" s="38" t="s">
        <v>16</v>
      </c>
    </row>
    <row r="1162" spans="2:8" s="13" customFormat="1">
      <c r="B1162" s="4">
        <v>1149</v>
      </c>
      <c r="C1162" s="99" t="s">
        <v>1377</v>
      </c>
      <c r="D1162" s="99" t="s">
        <v>1374</v>
      </c>
      <c r="E1162" s="38">
        <v>6</v>
      </c>
      <c r="F1162" s="38" t="s">
        <v>1528</v>
      </c>
      <c r="G1162" s="38" t="s">
        <v>17</v>
      </c>
      <c r="H1162" s="38" t="s">
        <v>16</v>
      </c>
    </row>
    <row r="1163" spans="2:8" s="13" customFormat="1">
      <c r="B1163" s="4">
        <v>1150</v>
      </c>
      <c r="C1163" s="99" t="s">
        <v>1378</v>
      </c>
      <c r="D1163" s="99" t="s">
        <v>1374</v>
      </c>
      <c r="E1163" s="38">
        <v>6</v>
      </c>
      <c r="F1163" s="38" t="s">
        <v>364</v>
      </c>
      <c r="G1163" s="38" t="s">
        <v>17</v>
      </c>
      <c r="H1163" s="38" t="s">
        <v>16</v>
      </c>
    </row>
    <row r="1164" spans="2:8" s="13" customFormat="1">
      <c r="B1164" s="4">
        <v>1151</v>
      </c>
      <c r="C1164" s="99" t="s">
        <v>1379</v>
      </c>
      <c r="D1164" s="99" t="s">
        <v>1374</v>
      </c>
      <c r="E1164" s="38">
        <v>6</v>
      </c>
      <c r="F1164" s="38" t="s">
        <v>364</v>
      </c>
      <c r="G1164" s="38" t="s">
        <v>17</v>
      </c>
      <c r="H1164" s="38" t="s">
        <v>16</v>
      </c>
    </row>
    <row r="1165" spans="2:8" s="13" customFormat="1">
      <c r="B1165" s="4">
        <v>1152</v>
      </c>
      <c r="C1165" s="99" t="s">
        <v>1380</v>
      </c>
      <c r="D1165" s="99" t="s">
        <v>1374</v>
      </c>
      <c r="E1165" s="38">
        <v>6</v>
      </c>
      <c r="F1165" s="38" t="s">
        <v>1528</v>
      </c>
      <c r="G1165" s="38" t="s">
        <v>17</v>
      </c>
      <c r="H1165" s="38" t="s">
        <v>16</v>
      </c>
    </row>
    <row r="1166" spans="2:8" s="13" customFormat="1">
      <c r="B1166" s="4">
        <v>1153</v>
      </c>
      <c r="C1166" s="99" t="s">
        <v>1381</v>
      </c>
      <c r="D1166" s="99" t="s">
        <v>1374</v>
      </c>
      <c r="E1166" s="38">
        <v>6</v>
      </c>
      <c r="F1166" s="38" t="s">
        <v>162</v>
      </c>
      <c r="G1166" s="38" t="s">
        <v>17</v>
      </c>
      <c r="H1166" s="38" t="s">
        <v>16</v>
      </c>
    </row>
    <row r="1167" spans="2:8" s="13" customFormat="1">
      <c r="B1167" s="4">
        <v>1154</v>
      </c>
      <c r="C1167" s="99" t="s">
        <v>1382</v>
      </c>
      <c r="D1167" s="99" t="s">
        <v>1374</v>
      </c>
      <c r="E1167" s="38">
        <v>6</v>
      </c>
      <c r="F1167" s="38" t="s">
        <v>1528</v>
      </c>
      <c r="G1167" s="38" t="s">
        <v>17</v>
      </c>
      <c r="H1167" s="38" t="s">
        <v>16</v>
      </c>
    </row>
    <row r="1168" spans="2:8" s="13" customFormat="1">
      <c r="B1168" s="4">
        <v>1155</v>
      </c>
      <c r="C1168" s="99" t="s">
        <v>1383</v>
      </c>
      <c r="D1168" s="99" t="s">
        <v>1374</v>
      </c>
      <c r="E1168" s="38">
        <v>6</v>
      </c>
      <c r="F1168" s="38" t="s">
        <v>162</v>
      </c>
      <c r="G1168" s="38" t="s">
        <v>17</v>
      </c>
      <c r="H1168" s="38" t="s">
        <v>16</v>
      </c>
    </row>
    <row r="1169" spans="2:8" s="13" customFormat="1">
      <c r="B1169" s="4">
        <v>1156</v>
      </c>
      <c r="C1169" s="99" t="s">
        <v>1384</v>
      </c>
      <c r="D1169" s="99" t="s">
        <v>1374</v>
      </c>
      <c r="E1169" s="38">
        <v>6</v>
      </c>
      <c r="F1169" s="38" t="s">
        <v>1528</v>
      </c>
      <c r="G1169" s="38" t="s">
        <v>17</v>
      </c>
      <c r="H1169" s="38" t="s">
        <v>16</v>
      </c>
    </row>
    <row r="1170" spans="2:8" s="13" customFormat="1">
      <c r="B1170" s="4">
        <v>1157</v>
      </c>
      <c r="C1170" s="99" t="s">
        <v>1385</v>
      </c>
      <c r="D1170" s="99" t="s">
        <v>1374</v>
      </c>
      <c r="E1170" s="38">
        <v>6</v>
      </c>
      <c r="F1170" s="38" t="s">
        <v>1528</v>
      </c>
      <c r="G1170" s="38" t="s">
        <v>17</v>
      </c>
      <c r="H1170" s="38" t="s">
        <v>16</v>
      </c>
    </row>
    <row r="1171" spans="2:8" s="13" customFormat="1">
      <c r="B1171" s="4">
        <v>1158</v>
      </c>
      <c r="C1171" s="99" t="s">
        <v>1386</v>
      </c>
      <c r="D1171" s="99" t="s">
        <v>1374</v>
      </c>
      <c r="E1171" s="38">
        <v>6</v>
      </c>
      <c r="F1171" s="38" t="s">
        <v>364</v>
      </c>
      <c r="G1171" s="38" t="s">
        <v>17</v>
      </c>
      <c r="H1171" s="38" t="s">
        <v>16</v>
      </c>
    </row>
    <row r="1172" spans="2:8" s="13" customFormat="1">
      <c r="B1172" s="4">
        <v>1159</v>
      </c>
      <c r="C1172" s="99" t="s">
        <v>1387</v>
      </c>
      <c r="D1172" s="99" t="s">
        <v>1374</v>
      </c>
      <c r="E1172" s="38">
        <v>6</v>
      </c>
      <c r="F1172" s="38" t="s">
        <v>1538</v>
      </c>
      <c r="G1172" s="38" t="s">
        <v>17</v>
      </c>
      <c r="H1172" s="38" t="s">
        <v>16</v>
      </c>
    </row>
    <row r="1173" spans="2:8" s="13" customFormat="1">
      <c r="B1173" s="4">
        <v>1160</v>
      </c>
      <c r="C1173" s="99" t="s">
        <v>1388</v>
      </c>
      <c r="D1173" s="99" t="s">
        <v>1374</v>
      </c>
      <c r="E1173" s="38">
        <v>6</v>
      </c>
      <c r="F1173" s="38" t="s">
        <v>1528</v>
      </c>
      <c r="G1173" s="38" t="s">
        <v>17</v>
      </c>
      <c r="H1173" s="38" t="s">
        <v>16</v>
      </c>
    </row>
    <row r="1174" spans="2:8" s="13" customFormat="1">
      <c r="B1174" s="4">
        <v>1161</v>
      </c>
      <c r="C1174" s="99" t="s">
        <v>1389</v>
      </c>
      <c r="D1174" s="99" t="s">
        <v>1374</v>
      </c>
      <c r="E1174" s="38">
        <v>6</v>
      </c>
      <c r="F1174" s="38" t="s">
        <v>1528</v>
      </c>
      <c r="G1174" s="38" t="s">
        <v>17</v>
      </c>
      <c r="H1174" s="38" t="s">
        <v>16</v>
      </c>
    </row>
    <row r="1175" spans="2:8" s="13" customFormat="1">
      <c r="B1175" s="4">
        <v>1162</v>
      </c>
      <c r="C1175" s="99" t="s">
        <v>1390</v>
      </c>
      <c r="D1175" s="99" t="s">
        <v>1374</v>
      </c>
      <c r="E1175" s="38">
        <v>6</v>
      </c>
      <c r="F1175" s="38" t="s">
        <v>1528</v>
      </c>
      <c r="G1175" s="38" t="s">
        <v>17</v>
      </c>
      <c r="H1175" s="38" t="s">
        <v>16</v>
      </c>
    </row>
    <row r="1176" spans="2:8" s="13" customFormat="1">
      <c r="B1176" s="4">
        <v>1163</v>
      </c>
      <c r="C1176" s="99" t="s">
        <v>1391</v>
      </c>
      <c r="D1176" s="99" t="s">
        <v>1374</v>
      </c>
      <c r="E1176" s="38">
        <v>6</v>
      </c>
      <c r="F1176" s="38" t="s">
        <v>1528</v>
      </c>
      <c r="G1176" s="38" t="s">
        <v>17</v>
      </c>
      <c r="H1176" s="38" t="s">
        <v>16</v>
      </c>
    </row>
    <row r="1177" spans="2:8" s="13" customFormat="1">
      <c r="B1177" s="4">
        <v>1164</v>
      </c>
      <c r="C1177" s="99" t="s">
        <v>1392</v>
      </c>
      <c r="D1177" s="99" t="s">
        <v>1374</v>
      </c>
      <c r="E1177" s="38">
        <v>6</v>
      </c>
      <c r="F1177" s="38" t="s">
        <v>1528</v>
      </c>
      <c r="G1177" s="38" t="s">
        <v>17</v>
      </c>
      <c r="H1177" s="38" t="s">
        <v>16</v>
      </c>
    </row>
    <row r="1178" spans="2:8" s="13" customFormat="1">
      <c r="B1178" s="4">
        <v>1165</v>
      </c>
      <c r="C1178" s="99" t="s">
        <v>1393</v>
      </c>
      <c r="D1178" s="99" t="s">
        <v>1374</v>
      </c>
      <c r="E1178" s="38">
        <v>6</v>
      </c>
      <c r="F1178" s="38" t="s">
        <v>1531</v>
      </c>
      <c r="G1178" s="38" t="s">
        <v>17</v>
      </c>
      <c r="H1178" s="38" t="s">
        <v>16</v>
      </c>
    </row>
    <row r="1179" spans="2:8" s="13" customFormat="1">
      <c r="B1179" s="4">
        <v>1166</v>
      </c>
      <c r="C1179" s="99" t="s">
        <v>1394</v>
      </c>
      <c r="D1179" s="99" t="s">
        <v>1374</v>
      </c>
      <c r="E1179" s="38">
        <v>6</v>
      </c>
      <c r="F1179" s="38" t="s">
        <v>345</v>
      </c>
      <c r="G1179" s="38" t="s">
        <v>17</v>
      </c>
      <c r="H1179" s="38" t="s">
        <v>16</v>
      </c>
    </row>
    <row r="1180" spans="2:8" s="13" customFormat="1">
      <c r="B1180" s="4">
        <v>1167</v>
      </c>
      <c r="C1180" s="99" t="s">
        <v>1395</v>
      </c>
      <c r="D1180" s="99" t="s">
        <v>1374</v>
      </c>
      <c r="E1180" s="38">
        <v>6</v>
      </c>
      <c r="F1180" s="38" t="s">
        <v>345</v>
      </c>
      <c r="G1180" s="38" t="s">
        <v>17</v>
      </c>
      <c r="H1180" s="38" t="s">
        <v>16</v>
      </c>
    </row>
    <row r="1181" spans="2:8" s="13" customFormat="1">
      <c r="B1181" s="4">
        <v>1168</v>
      </c>
      <c r="C1181" s="99" t="s">
        <v>1396</v>
      </c>
      <c r="D1181" s="99" t="s">
        <v>1374</v>
      </c>
      <c r="E1181" s="38">
        <v>6</v>
      </c>
      <c r="F1181" s="38" t="s">
        <v>1528</v>
      </c>
      <c r="G1181" s="38" t="s">
        <v>17</v>
      </c>
      <c r="H1181" s="38" t="s">
        <v>16</v>
      </c>
    </row>
    <row r="1182" spans="2:8" s="13" customFormat="1">
      <c r="B1182" s="4">
        <v>1169</v>
      </c>
      <c r="C1182" s="99" t="s">
        <v>1397</v>
      </c>
      <c r="D1182" s="99" t="s">
        <v>1374</v>
      </c>
      <c r="E1182" s="38">
        <v>6</v>
      </c>
      <c r="F1182" s="38" t="s">
        <v>291</v>
      </c>
      <c r="G1182" s="38" t="s">
        <v>17</v>
      </c>
      <c r="H1182" s="38" t="s">
        <v>16</v>
      </c>
    </row>
    <row r="1183" spans="2:8" s="13" customFormat="1">
      <c r="B1183" s="4">
        <v>1170</v>
      </c>
      <c r="C1183" s="99" t="s">
        <v>1398</v>
      </c>
      <c r="D1183" s="99" t="s">
        <v>1374</v>
      </c>
      <c r="E1183" s="38">
        <v>6</v>
      </c>
      <c r="F1183" s="38" t="s">
        <v>1528</v>
      </c>
      <c r="G1183" s="38" t="s">
        <v>17</v>
      </c>
      <c r="H1183" s="38" t="s">
        <v>16</v>
      </c>
    </row>
    <row r="1184" spans="2:8" s="13" customFormat="1">
      <c r="B1184" s="4">
        <v>1171</v>
      </c>
      <c r="C1184" s="99" t="s">
        <v>1399</v>
      </c>
      <c r="D1184" s="99" t="s">
        <v>1374</v>
      </c>
      <c r="E1184" s="38">
        <v>6</v>
      </c>
      <c r="F1184" s="38" t="s">
        <v>1528</v>
      </c>
      <c r="G1184" s="38" t="s">
        <v>17</v>
      </c>
      <c r="H1184" s="38" t="s">
        <v>16</v>
      </c>
    </row>
    <row r="1185" spans="2:8" s="13" customFormat="1">
      <c r="B1185" s="4">
        <v>1172</v>
      </c>
      <c r="C1185" s="99" t="s">
        <v>1400</v>
      </c>
      <c r="D1185" s="99" t="s">
        <v>1374</v>
      </c>
      <c r="E1185" s="38">
        <v>6</v>
      </c>
      <c r="F1185" s="38" t="s">
        <v>1528</v>
      </c>
      <c r="G1185" s="38" t="s">
        <v>17</v>
      </c>
      <c r="H1185" s="38" t="s">
        <v>16</v>
      </c>
    </row>
    <row r="1186" spans="2:8" s="13" customFormat="1">
      <c r="B1186" s="4">
        <v>1173</v>
      </c>
      <c r="C1186" s="99" t="s">
        <v>1401</v>
      </c>
      <c r="D1186" s="99" t="s">
        <v>1374</v>
      </c>
      <c r="E1186" s="38">
        <v>6</v>
      </c>
      <c r="F1186" s="38" t="s">
        <v>1528</v>
      </c>
      <c r="G1186" s="38" t="s">
        <v>17</v>
      </c>
      <c r="H1186" s="38" t="s">
        <v>16</v>
      </c>
    </row>
    <row r="1187" spans="2:8" s="13" customFormat="1">
      <c r="B1187" s="4">
        <v>1174</v>
      </c>
      <c r="C1187" s="99" t="s">
        <v>1402</v>
      </c>
      <c r="D1187" s="99" t="s">
        <v>1374</v>
      </c>
      <c r="E1187" s="38">
        <v>6</v>
      </c>
      <c r="F1187" s="38" t="s">
        <v>291</v>
      </c>
      <c r="G1187" s="38" t="s">
        <v>17</v>
      </c>
      <c r="H1187" s="38" t="s">
        <v>16</v>
      </c>
    </row>
    <row r="1188" spans="2:8" s="13" customFormat="1">
      <c r="B1188" s="4">
        <v>1175</v>
      </c>
      <c r="C1188" s="99" t="s">
        <v>1403</v>
      </c>
      <c r="D1188" s="99" t="s">
        <v>1374</v>
      </c>
      <c r="E1188" s="38">
        <v>6</v>
      </c>
      <c r="F1188" s="38" t="s">
        <v>1528</v>
      </c>
      <c r="G1188" s="38" t="s">
        <v>17</v>
      </c>
      <c r="H1188" s="38" t="s">
        <v>16</v>
      </c>
    </row>
    <row r="1189" spans="2:8" s="13" customFormat="1">
      <c r="B1189" s="4">
        <v>1176</v>
      </c>
      <c r="C1189" s="99" t="s">
        <v>1404</v>
      </c>
      <c r="D1189" s="99" t="s">
        <v>1374</v>
      </c>
      <c r="E1189" s="38">
        <v>6</v>
      </c>
      <c r="F1189" s="38" t="s">
        <v>1522</v>
      </c>
      <c r="G1189" s="38" t="s">
        <v>17</v>
      </c>
      <c r="H1189" s="38" t="s">
        <v>16</v>
      </c>
    </row>
    <row r="1190" spans="2:8" s="13" customFormat="1">
      <c r="B1190" s="4">
        <v>1177</v>
      </c>
      <c r="C1190" s="99" t="s">
        <v>1405</v>
      </c>
      <c r="D1190" s="99" t="s">
        <v>1374</v>
      </c>
      <c r="E1190" s="38">
        <v>6</v>
      </c>
      <c r="F1190" s="38" t="s">
        <v>1528</v>
      </c>
      <c r="G1190" s="38" t="s">
        <v>17</v>
      </c>
      <c r="H1190" s="38" t="s">
        <v>16</v>
      </c>
    </row>
    <row r="1191" spans="2:8" s="13" customFormat="1">
      <c r="B1191" s="4">
        <v>1178</v>
      </c>
      <c r="C1191" s="99" t="s">
        <v>1406</v>
      </c>
      <c r="D1191" s="99" t="s">
        <v>1374</v>
      </c>
      <c r="E1191" s="38">
        <v>6</v>
      </c>
      <c r="F1191" s="38" t="s">
        <v>345</v>
      </c>
      <c r="G1191" s="38" t="s">
        <v>17</v>
      </c>
      <c r="H1191" s="38" t="s">
        <v>16</v>
      </c>
    </row>
    <row r="1192" spans="2:8" s="13" customFormat="1">
      <c r="B1192" s="4">
        <v>1179</v>
      </c>
      <c r="C1192" s="99" t="s">
        <v>1407</v>
      </c>
      <c r="D1192" s="99" t="s">
        <v>1374</v>
      </c>
      <c r="E1192" s="38">
        <v>6</v>
      </c>
      <c r="F1192" s="38" t="s">
        <v>345</v>
      </c>
      <c r="G1192" s="38" t="s">
        <v>17</v>
      </c>
      <c r="H1192" s="38" t="s">
        <v>16</v>
      </c>
    </row>
    <row r="1193" spans="2:8" s="13" customFormat="1">
      <c r="B1193" s="4">
        <v>1180</v>
      </c>
      <c r="C1193" s="99" t="s">
        <v>1408</v>
      </c>
      <c r="D1193" s="99" t="s">
        <v>1374</v>
      </c>
      <c r="E1193" s="38">
        <v>6</v>
      </c>
      <c r="F1193" s="38" t="s">
        <v>1531</v>
      </c>
      <c r="G1193" s="38" t="s">
        <v>17</v>
      </c>
      <c r="H1193" s="38" t="s">
        <v>16</v>
      </c>
    </row>
    <row r="1194" spans="2:8" s="13" customFormat="1">
      <c r="B1194" s="4">
        <v>1181</v>
      </c>
      <c r="C1194" s="99" t="s">
        <v>1409</v>
      </c>
      <c r="D1194" s="99" t="s">
        <v>1374</v>
      </c>
      <c r="E1194" s="38">
        <v>6</v>
      </c>
      <c r="F1194" s="38" t="s">
        <v>1528</v>
      </c>
      <c r="G1194" s="38" t="s">
        <v>17</v>
      </c>
      <c r="H1194" s="38" t="s">
        <v>16</v>
      </c>
    </row>
    <row r="1195" spans="2:8" s="13" customFormat="1">
      <c r="B1195" s="4">
        <v>1182</v>
      </c>
      <c r="C1195" s="99" t="s">
        <v>1410</v>
      </c>
      <c r="D1195" s="99" t="s">
        <v>1374</v>
      </c>
      <c r="E1195" s="38">
        <v>6</v>
      </c>
      <c r="F1195" s="38" t="s">
        <v>345</v>
      </c>
      <c r="G1195" s="38" t="s">
        <v>17</v>
      </c>
      <c r="H1195" s="38" t="s">
        <v>16</v>
      </c>
    </row>
    <row r="1196" spans="2:8" s="13" customFormat="1">
      <c r="B1196" s="4">
        <v>1183</v>
      </c>
      <c r="C1196" s="99" t="s">
        <v>1411</v>
      </c>
      <c r="D1196" s="99" t="s">
        <v>1374</v>
      </c>
      <c r="E1196" s="38">
        <v>6</v>
      </c>
      <c r="F1196" s="38" t="s">
        <v>410</v>
      </c>
      <c r="G1196" s="38" t="s">
        <v>17</v>
      </c>
      <c r="H1196" s="38" t="s">
        <v>16</v>
      </c>
    </row>
    <row r="1197" spans="2:8" s="13" customFormat="1">
      <c r="B1197" s="4">
        <v>1184</v>
      </c>
      <c r="C1197" s="99" t="s">
        <v>1412</v>
      </c>
      <c r="D1197" s="99" t="s">
        <v>1374</v>
      </c>
      <c r="E1197" s="38">
        <v>6</v>
      </c>
      <c r="F1197" s="38" t="s">
        <v>1528</v>
      </c>
      <c r="G1197" s="38" t="s">
        <v>17</v>
      </c>
      <c r="H1197" s="38" t="s">
        <v>16</v>
      </c>
    </row>
    <row r="1198" spans="2:8" s="13" customFormat="1">
      <c r="B1198" s="4">
        <v>1185</v>
      </c>
      <c r="C1198" s="99" t="s">
        <v>1413</v>
      </c>
      <c r="D1198" s="99" t="s">
        <v>1374</v>
      </c>
      <c r="E1198" s="38">
        <v>6</v>
      </c>
      <c r="F1198" s="38" t="s">
        <v>1531</v>
      </c>
      <c r="G1198" s="38" t="s">
        <v>17</v>
      </c>
      <c r="H1198" s="38" t="s">
        <v>16</v>
      </c>
    </row>
    <row r="1199" spans="2:8" s="13" customFormat="1">
      <c r="B1199" s="4">
        <v>1186</v>
      </c>
      <c r="C1199" s="99" t="s">
        <v>1414</v>
      </c>
      <c r="D1199" s="99" t="s">
        <v>1374</v>
      </c>
      <c r="E1199" s="38">
        <v>6</v>
      </c>
      <c r="F1199" s="38" t="s">
        <v>1528</v>
      </c>
      <c r="G1199" s="38" t="s">
        <v>17</v>
      </c>
      <c r="H1199" s="38" t="s">
        <v>16</v>
      </c>
    </row>
    <row r="1200" spans="2:8" s="13" customFormat="1">
      <c r="B1200" s="4">
        <v>1187</v>
      </c>
      <c r="C1200" s="99" t="s">
        <v>1415</v>
      </c>
      <c r="D1200" s="99" t="s">
        <v>1374</v>
      </c>
      <c r="E1200" s="38">
        <v>6</v>
      </c>
      <c r="F1200" s="38" t="s">
        <v>291</v>
      </c>
      <c r="G1200" s="38" t="s">
        <v>17</v>
      </c>
      <c r="H1200" s="38" t="s">
        <v>16</v>
      </c>
    </row>
    <row r="1201" spans="2:8" s="13" customFormat="1">
      <c r="B1201" s="4">
        <v>1188</v>
      </c>
      <c r="C1201" s="99" t="s">
        <v>1416</v>
      </c>
      <c r="D1201" s="99" t="s">
        <v>1374</v>
      </c>
      <c r="E1201" s="38">
        <v>6</v>
      </c>
      <c r="F1201" s="38" t="s">
        <v>1531</v>
      </c>
      <c r="G1201" s="38" t="s">
        <v>17</v>
      </c>
      <c r="H1201" s="38" t="s">
        <v>16</v>
      </c>
    </row>
    <row r="1202" spans="2:8" s="13" customFormat="1">
      <c r="B1202" s="4">
        <v>1189</v>
      </c>
      <c r="C1202" s="99" t="s">
        <v>1417</v>
      </c>
      <c r="D1202" s="99" t="s">
        <v>1374</v>
      </c>
      <c r="E1202" s="38">
        <v>6</v>
      </c>
      <c r="F1202" s="38" t="s">
        <v>291</v>
      </c>
      <c r="G1202" s="38" t="s">
        <v>17</v>
      </c>
      <c r="H1202" s="38" t="s">
        <v>16</v>
      </c>
    </row>
    <row r="1203" spans="2:8" s="13" customFormat="1">
      <c r="B1203" s="4">
        <v>1190</v>
      </c>
      <c r="C1203" s="99" t="s">
        <v>1418</v>
      </c>
      <c r="D1203" s="99" t="s">
        <v>1374</v>
      </c>
      <c r="E1203" s="38">
        <v>6</v>
      </c>
      <c r="F1203" s="38" t="s">
        <v>162</v>
      </c>
      <c r="G1203" s="38" t="s">
        <v>17</v>
      </c>
      <c r="H1203" s="38" t="s">
        <v>16</v>
      </c>
    </row>
    <row r="1204" spans="2:8" s="13" customFormat="1">
      <c r="B1204" s="4">
        <v>1191</v>
      </c>
      <c r="C1204" s="99" t="s">
        <v>1419</v>
      </c>
      <c r="D1204" s="99" t="s">
        <v>1374</v>
      </c>
      <c r="E1204" s="38">
        <v>6</v>
      </c>
      <c r="F1204" s="38" t="s">
        <v>247</v>
      </c>
      <c r="G1204" s="38" t="s">
        <v>17</v>
      </c>
      <c r="H1204" s="38" t="s">
        <v>16</v>
      </c>
    </row>
    <row r="1205" spans="2:8" s="13" customFormat="1">
      <c r="B1205" s="4">
        <v>1192</v>
      </c>
      <c r="C1205" s="99" t="s">
        <v>1420</v>
      </c>
      <c r="D1205" s="99" t="s">
        <v>1374</v>
      </c>
      <c r="E1205" s="38">
        <v>6</v>
      </c>
      <c r="F1205" s="38" t="s">
        <v>162</v>
      </c>
      <c r="G1205" s="38" t="s">
        <v>17</v>
      </c>
      <c r="H1205" s="38" t="s">
        <v>16</v>
      </c>
    </row>
    <row r="1206" spans="2:8" s="13" customFormat="1">
      <c r="B1206" s="4">
        <v>1193</v>
      </c>
      <c r="C1206" s="99" t="s">
        <v>1421</v>
      </c>
      <c r="D1206" s="99" t="s">
        <v>1374</v>
      </c>
      <c r="E1206" s="38">
        <v>6</v>
      </c>
      <c r="F1206" s="38" t="s">
        <v>410</v>
      </c>
      <c r="G1206" s="38" t="s">
        <v>17</v>
      </c>
      <c r="H1206" s="38" t="s">
        <v>16</v>
      </c>
    </row>
    <row r="1207" spans="2:8" s="13" customFormat="1">
      <c r="B1207" s="4">
        <v>1194</v>
      </c>
      <c r="C1207" s="99" t="s">
        <v>1422</v>
      </c>
      <c r="D1207" s="99" t="s">
        <v>1374</v>
      </c>
      <c r="E1207" s="38">
        <v>6</v>
      </c>
      <c r="F1207" s="38" t="s">
        <v>345</v>
      </c>
      <c r="G1207" s="38" t="s">
        <v>17</v>
      </c>
      <c r="H1207" s="38" t="s">
        <v>16</v>
      </c>
    </row>
    <row r="1208" spans="2:8" s="13" customFormat="1">
      <c r="B1208" s="4">
        <v>1195</v>
      </c>
      <c r="C1208" s="99" t="s">
        <v>1423</v>
      </c>
      <c r="D1208" s="99" t="s">
        <v>1374</v>
      </c>
      <c r="E1208" s="38">
        <v>6</v>
      </c>
      <c r="F1208" s="38" t="s">
        <v>247</v>
      </c>
      <c r="G1208" s="38" t="s">
        <v>17</v>
      </c>
      <c r="H1208" s="38" t="s">
        <v>16</v>
      </c>
    </row>
    <row r="1209" spans="2:8" s="13" customFormat="1">
      <c r="B1209" s="4">
        <v>1196</v>
      </c>
      <c r="C1209" s="99" t="s">
        <v>1424</v>
      </c>
      <c r="D1209" s="99" t="s">
        <v>1374</v>
      </c>
      <c r="E1209" s="38">
        <v>6</v>
      </c>
      <c r="F1209" s="38" t="s">
        <v>1531</v>
      </c>
      <c r="G1209" s="38" t="s">
        <v>17</v>
      </c>
      <c r="H1209" s="38" t="s">
        <v>16</v>
      </c>
    </row>
    <row r="1210" spans="2:8" s="13" customFormat="1">
      <c r="B1210" s="4">
        <v>1197</v>
      </c>
      <c r="C1210" s="99" t="s">
        <v>1425</v>
      </c>
      <c r="D1210" s="99" t="s">
        <v>1374</v>
      </c>
      <c r="E1210" s="38">
        <v>6</v>
      </c>
      <c r="F1210" s="38" t="s">
        <v>410</v>
      </c>
      <c r="G1210" s="38" t="s">
        <v>17</v>
      </c>
      <c r="H1210" s="38" t="s">
        <v>16</v>
      </c>
    </row>
    <row r="1211" spans="2:8" s="13" customFormat="1">
      <c r="B1211" s="4">
        <v>1198</v>
      </c>
      <c r="C1211" s="99" t="s">
        <v>1426</v>
      </c>
      <c r="D1211" s="99" t="s">
        <v>1374</v>
      </c>
      <c r="E1211" s="38">
        <v>6</v>
      </c>
      <c r="F1211" s="38" t="s">
        <v>162</v>
      </c>
      <c r="G1211" s="38" t="s">
        <v>17</v>
      </c>
      <c r="H1211" s="38" t="s">
        <v>16</v>
      </c>
    </row>
    <row r="1212" spans="2:8" s="13" customFormat="1">
      <c r="B1212" s="4">
        <v>1199</v>
      </c>
      <c r="C1212" s="99" t="s">
        <v>1427</v>
      </c>
      <c r="D1212" s="99" t="s">
        <v>1374</v>
      </c>
      <c r="E1212" s="38">
        <v>6</v>
      </c>
      <c r="F1212" s="38" t="s">
        <v>1531</v>
      </c>
      <c r="G1212" s="38" t="s">
        <v>17</v>
      </c>
      <c r="H1212" s="38" t="s">
        <v>16</v>
      </c>
    </row>
    <row r="1213" spans="2:8" s="13" customFormat="1">
      <c r="B1213" s="4">
        <v>1200</v>
      </c>
      <c r="C1213" s="99" t="s">
        <v>1428</v>
      </c>
      <c r="D1213" s="99" t="s">
        <v>1374</v>
      </c>
      <c r="E1213" s="38">
        <v>6</v>
      </c>
      <c r="F1213" s="38" t="s">
        <v>1528</v>
      </c>
      <c r="G1213" s="38" t="s">
        <v>17</v>
      </c>
      <c r="H1213" s="38" t="s">
        <v>16</v>
      </c>
    </row>
    <row r="1214" spans="2:8" s="13" customFormat="1">
      <c r="B1214" s="4">
        <v>1201</v>
      </c>
      <c r="C1214" s="99" t="s">
        <v>1429</v>
      </c>
      <c r="D1214" s="99" t="s">
        <v>1374</v>
      </c>
      <c r="E1214" s="38">
        <v>6</v>
      </c>
      <c r="F1214" s="38" t="s">
        <v>410</v>
      </c>
      <c r="G1214" s="38" t="s">
        <v>17</v>
      </c>
      <c r="H1214" s="38" t="s">
        <v>16</v>
      </c>
    </row>
    <row r="1215" spans="2:8" s="13" customFormat="1">
      <c r="B1215" s="4">
        <v>1202</v>
      </c>
      <c r="C1215" s="99" t="s">
        <v>1430</v>
      </c>
      <c r="D1215" s="99" t="s">
        <v>1374</v>
      </c>
      <c r="E1215" s="38">
        <v>6</v>
      </c>
      <c r="F1215" s="38" t="s">
        <v>1530</v>
      </c>
      <c r="G1215" s="38" t="s">
        <v>17</v>
      </c>
      <c r="H1215" s="38" t="s">
        <v>16</v>
      </c>
    </row>
    <row r="1216" spans="2:8" s="13" customFormat="1">
      <c r="B1216" s="4">
        <v>1203</v>
      </c>
      <c r="C1216" s="99" t="s">
        <v>1431</v>
      </c>
      <c r="D1216" s="99" t="s">
        <v>1374</v>
      </c>
      <c r="E1216" s="38">
        <v>6</v>
      </c>
      <c r="F1216" s="38" t="s">
        <v>345</v>
      </c>
      <c r="G1216" s="38" t="s">
        <v>17</v>
      </c>
      <c r="H1216" s="38" t="s">
        <v>16</v>
      </c>
    </row>
    <row r="1217" spans="2:8" s="13" customFormat="1">
      <c r="B1217" s="4">
        <v>1204</v>
      </c>
      <c r="C1217" s="99" t="s">
        <v>1432</v>
      </c>
      <c r="D1217" s="99" t="s">
        <v>1374</v>
      </c>
      <c r="E1217" s="38">
        <v>6</v>
      </c>
      <c r="F1217" s="38" t="s">
        <v>345</v>
      </c>
      <c r="G1217" s="38" t="s">
        <v>17</v>
      </c>
      <c r="H1217" s="38" t="s">
        <v>16</v>
      </c>
    </row>
    <row r="1218" spans="2:8" s="13" customFormat="1">
      <c r="B1218" s="4">
        <v>1205</v>
      </c>
      <c r="C1218" s="99" t="s">
        <v>1433</v>
      </c>
      <c r="D1218" s="99" t="s">
        <v>1374</v>
      </c>
      <c r="E1218" s="38">
        <v>6</v>
      </c>
      <c r="F1218" s="38" t="s">
        <v>291</v>
      </c>
      <c r="G1218" s="38" t="s">
        <v>17</v>
      </c>
      <c r="H1218" s="38" t="s">
        <v>16</v>
      </c>
    </row>
    <row r="1219" spans="2:8" s="13" customFormat="1">
      <c r="B1219" s="4">
        <v>1206</v>
      </c>
      <c r="C1219" s="99" t="s">
        <v>1434</v>
      </c>
      <c r="D1219" s="99" t="s">
        <v>1374</v>
      </c>
      <c r="E1219" s="38">
        <v>6</v>
      </c>
      <c r="F1219" s="38" t="s">
        <v>247</v>
      </c>
      <c r="G1219" s="38" t="s">
        <v>17</v>
      </c>
      <c r="H1219" s="38" t="s">
        <v>16</v>
      </c>
    </row>
    <row r="1220" spans="2:8" s="13" customFormat="1">
      <c r="B1220" s="4">
        <v>1207</v>
      </c>
      <c r="C1220" s="99" t="s">
        <v>1435</v>
      </c>
      <c r="D1220" s="99" t="s">
        <v>1374</v>
      </c>
      <c r="E1220" s="38">
        <v>6</v>
      </c>
      <c r="F1220" s="38" t="s">
        <v>345</v>
      </c>
      <c r="G1220" s="38" t="s">
        <v>17</v>
      </c>
      <c r="H1220" s="38" t="s">
        <v>16</v>
      </c>
    </row>
    <row r="1221" spans="2:8" s="13" customFormat="1">
      <c r="B1221" s="4">
        <v>1208</v>
      </c>
      <c r="C1221" s="99" t="s">
        <v>1436</v>
      </c>
      <c r="D1221" s="99" t="s">
        <v>1374</v>
      </c>
      <c r="E1221" s="38">
        <v>6</v>
      </c>
      <c r="F1221" s="38" t="s">
        <v>345</v>
      </c>
      <c r="G1221" s="38" t="s">
        <v>17</v>
      </c>
      <c r="H1221" s="38" t="s">
        <v>16</v>
      </c>
    </row>
    <row r="1222" spans="2:8" s="13" customFormat="1">
      <c r="B1222" s="4">
        <v>1209</v>
      </c>
      <c r="C1222" s="99" t="s">
        <v>1437</v>
      </c>
      <c r="D1222" s="99" t="s">
        <v>1374</v>
      </c>
      <c r="E1222" s="38">
        <v>6</v>
      </c>
      <c r="F1222" s="38" t="s">
        <v>364</v>
      </c>
      <c r="G1222" s="38" t="s">
        <v>17</v>
      </c>
      <c r="H1222" s="38" t="s">
        <v>16</v>
      </c>
    </row>
    <row r="1223" spans="2:8" s="13" customFormat="1">
      <c r="B1223" s="4">
        <v>1210</v>
      </c>
      <c r="C1223" s="99" t="s">
        <v>1438</v>
      </c>
      <c r="D1223" s="99" t="s">
        <v>1374</v>
      </c>
      <c r="E1223" s="38">
        <v>6</v>
      </c>
      <c r="F1223" s="38" t="s">
        <v>1530</v>
      </c>
      <c r="G1223" s="38" t="s">
        <v>17</v>
      </c>
      <c r="H1223" s="38" t="s">
        <v>16</v>
      </c>
    </row>
    <row r="1224" spans="2:8" s="13" customFormat="1">
      <c r="B1224" s="4">
        <v>1211</v>
      </c>
      <c r="C1224" s="99" t="s">
        <v>1439</v>
      </c>
      <c r="D1224" s="99" t="s">
        <v>1374</v>
      </c>
      <c r="E1224" s="38">
        <v>6</v>
      </c>
      <c r="F1224" s="38" t="s">
        <v>1530</v>
      </c>
      <c r="G1224" s="38" t="s">
        <v>17</v>
      </c>
      <c r="H1224" s="38" t="s">
        <v>16</v>
      </c>
    </row>
    <row r="1225" spans="2:8" s="13" customFormat="1">
      <c r="B1225" s="4">
        <v>1212</v>
      </c>
      <c r="C1225" s="99" t="s">
        <v>1440</v>
      </c>
      <c r="D1225" s="99" t="s">
        <v>1374</v>
      </c>
      <c r="E1225" s="38">
        <v>6</v>
      </c>
      <c r="F1225" s="38" t="s">
        <v>1530</v>
      </c>
      <c r="G1225" s="38" t="s">
        <v>17</v>
      </c>
      <c r="H1225" s="38" t="s">
        <v>16</v>
      </c>
    </row>
    <row r="1226" spans="2:8" s="13" customFormat="1">
      <c r="B1226" s="4">
        <v>1213</v>
      </c>
      <c r="C1226" s="99" t="s">
        <v>1441</v>
      </c>
      <c r="D1226" s="99" t="s">
        <v>1374</v>
      </c>
      <c r="E1226" s="38">
        <v>6</v>
      </c>
      <c r="F1226" s="38" t="s">
        <v>1530</v>
      </c>
      <c r="G1226" s="38" t="s">
        <v>17</v>
      </c>
      <c r="H1226" s="38" t="s">
        <v>16</v>
      </c>
    </row>
    <row r="1227" spans="2:8" s="13" customFormat="1">
      <c r="B1227" s="4">
        <v>1214</v>
      </c>
      <c r="C1227" s="99" t="s">
        <v>1442</v>
      </c>
      <c r="D1227" s="99" t="s">
        <v>1374</v>
      </c>
      <c r="E1227" s="38">
        <v>6</v>
      </c>
      <c r="F1227" s="38" t="s">
        <v>1530</v>
      </c>
      <c r="G1227" s="38" t="s">
        <v>17</v>
      </c>
      <c r="H1227" s="38" t="s">
        <v>16</v>
      </c>
    </row>
    <row r="1228" spans="2:8" s="13" customFormat="1">
      <c r="B1228" s="4">
        <v>1215</v>
      </c>
      <c r="C1228" s="99" t="s">
        <v>1443</v>
      </c>
      <c r="D1228" s="99" t="s">
        <v>1374</v>
      </c>
      <c r="E1228" s="38">
        <v>6</v>
      </c>
      <c r="F1228" s="38" t="s">
        <v>1532</v>
      </c>
      <c r="G1228" s="38" t="s">
        <v>17</v>
      </c>
      <c r="H1228" s="38" t="s">
        <v>16</v>
      </c>
    </row>
    <row r="1229" spans="2:8" s="13" customFormat="1">
      <c r="B1229" s="4">
        <v>1216</v>
      </c>
      <c r="C1229" s="99" t="s">
        <v>1444</v>
      </c>
      <c r="D1229" s="99" t="s">
        <v>1374</v>
      </c>
      <c r="E1229" s="38">
        <v>6</v>
      </c>
      <c r="F1229" s="38" t="s">
        <v>247</v>
      </c>
      <c r="G1229" s="38" t="s">
        <v>17</v>
      </c>
      <c r="H1229" s="38" t="s">
        <v>16</v>
      </c>
    </row>
    <row r="1230" spans="2:8" s="13" customFormat="1">
      <c r="B1230" s="4">
        <v>1217</v>
      </c>
      <c r="C1230" s="99" t="s">
        <v>1445</v>
      </c>
      <c r="D1230" s="99" t="s">
        <v>1374</v>
      </c>
      <c r="E1230" s="38">
        <v>6</v>
      </c>
      <c r="F1230" s="38" t="s">
        <v>345</v>
      </c>
      <c r="G1230" s="38" t="s">
        <v>17</v>
      </c>
      <c r="H1230" s="38" t="s">
        <v>16</v>
      </c>
    </row>
    <row r="1231" spans="2:8" s="13" customFormat="1">
      <c r="B1231" s="4">
        <v>1218</v>
      </c>
      <c r="C1231" s="99" t="s">
        <v>1446</v>
      </c>
      <c r="D1231" s="99" t="s">
        <v>1374</v>
      </c>
      <c r="E1231" s="38">
        <v>6</v>
      </c>
      <c r="F1231" s="38" t="s">
        <v>410</v>
      </c>
      <c r="G1231" s="38" t="s">
        <v>17</v>
      </c>
      <c r="H1231" s="38" t="s">
        <v>16</v>
      </c>
    </row>
    <row r="1232" spans="2:8" s="13" customFormat="1">
      <c r="B1232" s="4">
        <v>1219</v>
      </c>
      <c r="C1232" s="99" t="s">
        <v>1447</v>
      </c>
      <c r="D1232" s="99" t="s">
        <v>1374</v>
      </c>
      <c r="E1232" s="38">
        <v>6</v>
      </c>
      <c r="F1232" s="38" t="s">
        <v>1530</v>
      </c>
      <c r="G1232" s="38" t="s">
        <v>17</v>
      </c>
      <c r="H1232" s="38" t="s">
        <v>16</v>
      </c>
    </row>
    <row r="1233" spans="2:8" s="13" customFormat="1">
      <c r="B1233" s="4">
        <v>1220</v>
      </c>
      <c r="C1233" s="99" t="s">
        <v>1448</v>
      </c>
      <c r="D1233" s="99" t="s">
        <v>1374</v>
      </c>
      <c r="E1233" s="38">
        <v>6</v>
      </c>
      <c r="F1233" s="38" t="s">
        <v>247</v>
      </c>
      <c r="G1233" s="38" t="s">
        <v>17</v>
      </c>
      <c r="H1233" s="38" t="s">
        <v>16</v>
      </c>
    </row>
    <row r="1234" spans="2:8" s="13" customFormat="1">
      <c r="B1234" s="4">
        <v>1221</v>
      </c>
      <c r="C1234" s="99" t="s">
        <v>1449</v>
      </c>
      <c r="D1234" s="99" t="s">
        <v>1374</v>
      </c>
      <c r="E1234" s="38">
        <v>6</v>
      </c>
      <c r="F1234" s="38" t="s">
        <v>1528</v>
      </c>
      <c r="G1234" s="38" t="s">
        <v>17</v>
      </c>
      <c r="H1234" s="38" t="s">
        <v>16</v>
      </c>
    </row>
    <row r="1235" spans="2:8" s="13" customFormat="1">
      <c r="B1235" s="4">
        <v>1222</v>
      </c>
      <c r="C1235" s="99" t="s">
        <v>1450</v>
      </c>
      <c r="D1235" s="99" t="s">
        <v>1374</v>
      </c>
      <c r="E1235" s="38">
        <v>6</v>
      </c>
      <c r="F1235" s="38" t="s">
        <v>162</v>
      </c>
      <c r="G1235" s="38" t="s">
        <v>17</v>
      </c>
      <c r="H1235" s="38" t="s">
        <v>16</v>
      </c>
    </row>
    <row r="1236" spans="2:8" s="13" customFormat="1">
      <c r="B1236" s="4">
        <v>1223</v>
      </c>
      <c r="C1236" s="99" t="s">
        <v>1451</v>
      </c>
      <c r="D1236" s="99" t="s">
        <v>1374</v>
      </c>
      <c r="E1236" s="38">
        <v>6</v>
      </c>
      <c r="F1236" s="38" t="s">
        <v>1531</v>
      </c>
      <c r="G1236" s="38" t="s">
        <v>17</v>
      </c>
      <c r="H1236" s="38" t="s">
        <v>16</v>
      </c>
    </row>
    <row r="1237" spans="2:8" s="13" customFormat="1">
      <c r="B1237" s="4">
        <v>1224</v>
      </c>
      <c r="C1237" s="99" t="s">
        <v>1452</v>
      </c>
      <c r="D1237" s="99" t="s">
        <v>1374</v>
      </c>
      <c r="E1237" s="38">
        <v>6</v>
      </c>
      <c r="F1237" s="38" t="s">
        <v>410</v>
      </c>
      <c r="G1237" s="38" t="s">
        <v>17</v>
      </c>
      <c r="H1237" s="38" t="s">
        <v>16</v>
      </c>
    </row>
    <row r="1238" spans="2:8" s="13" customFormat="1">
      <c r="B1238" s="4">
        <v>1225</v>
      </c>
      <c r="C1238" s="99" t="s">
        <v>1453</v>
      </c>
      <c r="D1238" s="99" t="s">
        <v>1374</v>
      </c>
      <c r="E1238" s="38">
        <v>6</v>
      </c>
      <c r="F1238" s="38" t="s">
        <v>1531</v>
      </c>
      <c r="G1238" s="38" t="s">
        <v>17</v>
      </c>
      <c r="H1238" s="38" t="s">
        <v>16</v>
      </c>
    </row>
    <row r="1239" spans="2:8" s="13" customFormat="1">
      <c r="B1239" s="4">
        <v>1226</v>
      </c>
      <c r="C1239" s="99" t="s">
        <v>1454</v>
      </c>
      <c r="D1239" s="99" t="s">
        <v>1374</v>
      </c>
      <c r="E1239" s="38">
        <v>6</v>
      </c>
      <c r="F1239" s="38" t="s">
        <v>1528</v>
      </c>
      <c r="G1239" s="38" t="s">
        <v>17</v>
      </c>
      <c r="H1239" s="38" t="s">
        <v>16</v>
      </c>
    </row>
    <row r="1240" spans="2:8" s="13" customFormat="1">
      <c r="B1240" s="4">
        <v>1227</v>
      </c>
      <c r="C1240" s="99" t="s">
        <v>1455</v>
      </c>
      <c r="D1240" s="99" t="s">
        <v>1374</v>
      </c>
      <c r="E1240" s="38">
        <v>6</v>
      </c>
      <c r="F1240" s="38" t="s">
        <v>1531</v>
      </c>
      <c r="G1240" s="38" t="s">
        <v>17</v>
      </c>
      <c r="H1240" s="38" t="s">
        <v>16</v>
      </c>
    </row>
    <row r="1241" spans="2:8" s="13" customFormat="1">
      <c r="B1241" s="4">
        <v>1228</v>
      </c>
      <c r="C1241" s="99" t="s">
        <v>1456</v>
      </c>
      <c r="D1241" s="99" t="s">
        <v>1374</v>
      </c>
      <c r="E1241" s="38">
        <v>6</v>
      </c>
      <c r="F1241" s="38" t="s">
        <v>162</v>
      </c>
      <c r="G1241" s="38" t="s">
        <v>17</v>
      </c>
      <c r="H1241" s="38" t="s">
        <v>16</v>
      </c>
    </row>
    <row r="1242" spans="2:8" s="13" customFormat="1">
      <c r="B1242" s="4">
        <v>1229</v>
      </c>
      <c r="C1242" s="99" t="s">
        <v>1457</v>
      </c>
      <c r="D1242" s="99" t="s">
        <v>1374</v>
      </c>
      <c r="E1242" s="38">
        <v>6</v>
      </c>
      <c r="F1242" s="38" t="s">
        <v>345</v>
      </c>
      <c r="G1242" s="38" t="s">
        <v>17</v>
      </c>
      <c r="H1242" s="38" t="s">
        <v>16</v>
      </c>
    </row>
    <row r="1243" spans="2:8" s="13" customFormat="1">
      <c r="B1243" s="4">
        <v>1230</v>
      </c>
      <c r="C1243" s="99" t="s">
        <v>1458</v>
      </c>
      <c r="D1243" s="99" t="s">
        <v>1374</v>
      </c>
      <c r="E1243" s="38">
        <v>6</v>
      </c>
      <c r="F1243" s="38" t="s">
        <v>410</v>
      </c>
      <c r="G1243" s="38" t="s">
        <v>17</v>
      </c>
      <c r="H1243" s="38" t="s">
        <v>16</v>
      </c>
    </row>
    <row r="1244" spans="2:8" s="13" customFormat="1">
      <c r="B1244" s="4">
        <v>1231</v>
      </c>
      <c r="C1244" s="99" t="s">
        <v>1459</v>
      </c>
      <c r="D1244" s="99" t="s">
        <v>1374</v>
      </c>
      <c r="E1244" s="38">
        <v>6</v>
      </c>
      <c r="F1244" s="38" t="s">
        <v>291</v>
      </c>
      <c r="G1244" s="38" t="s">
        <v>17</v>
      </c>
      <c r="H1244" s="38" t="s">
        <v>16</v>
      </c>
    </row>
    <row r="1245" spans="2:8" s="13" customFormat="1">
      <c r="B1245" s="4">
        <v>1232</v>
      </c>
      <c r="C1245" s="99" t="s">
        <v>1460</v>
      </c>
      <c r="D1245" s="99" t="s">
        <v>1374</v>
      </c>
      <c r="E1245" s="38">
        <v>6</v>
      </c>
      <c r="F1245" s="38" t="s">
        <v>1530</v>
      </c>
      <c r="G1245" s="38" t="s">
        <v>17</v>
      </c>
      <c r="H1245" s="38" t="s">
        <v>16</v>
      </c>
    </row>
    <row r="1246" spans="2:8" s="13" customFormat="1">
      <c r="B1246" s="4">
        <v>1233</v>
      </c>
      <c r="C1246" s="99" t="s">
        <v>1461</v>
      </c>
      <c r="D1246" s="99" t="s">
        <v>1374</v>
      </c>
      <c r="E1246" s="38">
        <v>6</v>
      </c>
      <c r="F1246" s="38" t="s">
        <v>1530</v>
      </c>
      <c r="G1246" s="38" t="s">
        <v>17</v>
      </c>
      <c r="H1246" s="38" t="s">
        <v>16</v>
      </c>
    </row>
    <row r="1247" spans="2:8" s="13" customFormat="1">
      <c r="B1247" s="4">
        <v>1234</v>
      </c>
      <c r="C1247" s="99" t="s">
        <v>1462</v>
      </c>
      <c r="D1247" s="99" t="s">
        <v>1374</v>
      </c>
      <c r="E1247" s="38">
        <v>6</v>
      </c>
      <c r="F1247" s="38" t="s">
        <v>410</v>
      </c>
      <c r="G1247" s="38" t="s">
        <v>17</v>
      </c>
      <c r="H1247" s="38" t="s">
        <v>16</v>
      </c>
    </row>
    <row r="1248" spans="2:8" s="13" customFormat="1">
      <c r="B1248" s="4">
        <v>1235</v>
      </c>
      <c r="C1248" s="99" t="s">
        <v>1463</v>
      </c>
      <c r="D1248" s="99" t="s">
        <v>1374</v>
      </c>
      <c r="E1248" s="38">
        <v>6</v>
      </c>
      <c r="F1248" s="38" t="s">
        <v>291</v>
      </c>
      <c r="G1248" s="38" t="s">
        <v>17</v>
      </c>
      <c r="H1248" s="38" t="s">
        <v>16</v>
      </c>
    </row>
    <row r="1249" spans="2:8" s="13" customFormat="1">
      <c r="B1249" s="4">
        <v>1236</v>
      </c>
      <c r="C1249" s="99" t="s">
        <v>1464</v>
      </c>
      <c r="D1249" s="99" t="s">
        <v>1374</v>
      </c>
      <c r="E1249" s="38">
        <v>6</v>
      </c>
      <c r="F1249" s="38" t="s">
        <v>1530</v>
      </c>
      <c r="G1249" s="38" t="s">
        <v>17</v>
      </c>
      <c r="H1249" s="38" t="s">
        <v>16</v>
      </c>
    </row>
    <row r="1250" spans="2:8" s="13" customFormat="1">
      <c r="B1250" s="4">
        <v>1237</v>
      </c>
      <c r="C1250" s="99" t="s">
        <v>1465</v>
      </c>
      <c r="D1250" s="99" t="s">
        <v>1374</v>
      </c>
      <c r="E1250" s="38">
        <v>6</v>
      </c>
      <c r="F1250" s="38" t="s">
        <v>364</v>
      </c>
      <c r="G1250" s="38" t="s">
        <v>17</v>
      </c>
      <c r="H1250" s="38" t="s">
        <v>16</v>
      </c>
    </row>
    <row r="1251" spans="2:8" s="13" customFormat="1">
      <c r="B1251" s="4">
        <v>1238</v>
      </c>
      <c r="C1251" s="99" t="s">
        <v>1466</v>
      </c>
      <c r="D1251" s="99" t="s">
        <v>1374</v>
      </c>
      <c r="E1251" s="38">
        <v>6</v>
      </c>
      <c r="F1251" s="38" t="s">
        <v>162</v>
      </c>
      <c r="G1251" s="38" t="s">
        <v>17</v>
      </c>
      <c r="H1251" s="38" t="s">
        <v>16</v>
      </c>
    </row>
    <row r="1252" spans="2:8" s="13" customFormat="1">
      <c r="B1252" s="4">
        <v>1239</v>
      </c>
      <c r="C1252" s="99" t="s">
        <v>1467</v>
      </c>
      <c r="D1252" s="99" t="s">
        <v>1374</v>
      </c>
      <c r="E1252" s="38">
        <v>6</v>
      </c>
      <c r="F1252" s="38" t="s">
        <v>410</v>
      </c>
      <c r="G1252" s="38" t="s">
        <v>17</v>
      </c>
      <c r="H1252" s="38" t="s">
        <v>16</v>
      </c>
    </row>
    <row r="1253" spans="2:8" s="13" customFormat="1">
      <c r="B1253" s="4">
        <v>1240</v>
      </c>
      <c r="C1253" s="99" t="s">
        <v>1468</v>
      </c>
      <c r="D1253" s="99" t="s">
        <v>1374</v>
      </c>
      <c r="E1253" s="38">
        <v>6</v>
      </c>
      <c r="F1253" s="38" t="s">
        <v>291</v>
      </c>
      <c r="G1253" s="38" t="s">
        <v>17</v>
      </c>
      <c r="H1253" s="38" t="s">
        <v>16</v>
      </c>
    </row>
    <row r="1254" spans="2:8" s="13" customFormat="1">
      <c r="B1254" s="4">
        <v>1241</v>
      </c>
      <c r="C1254" s="99" t="s">
        <v>1469</v>
      </c>
      <c r="D1254" s="99" t="s">
        <v>1374</v>
      </c>
      <c r="E1254" s="38">
        <v>6</v>
      </c>
      <c r="F1254" s="38" t="s">
        <v>1530</v>
      </c>
      <c r="G1254" s="38" t="s">
        <v>17</v>
      </c>
      <c r="H1254" s="38" t="s">
        <v>16</v>
      </c>
    </row>
    <row r="1255" spans="2:8" s="13" customFormat="1">
      <c r="B1255" s="4">
        <v>1242</v>
      </c>
      <c r="C1255" s="99" t="s">
        <v>1470</v>
      </c>
      <c r="D1255" s="99" t="s">
        <v>1374</v>
      </c>
      <c r="E1255" s="38">
        <v>6</v>
      </c>
      <c r="F1255" s="38" t="s">
        <v>1528</v>
      </c>
      <c r="G1255" s="38" t="s">
        <v>17</v>
      </c>
      <c r="H1255" s="38" t="s">
        <v>16</v>
      </c>
    </row>
    <row r="1256" spans="2:8" s="13" customFormat="1">
      <c r="B1256" s="4">
        <v>1243</v>
      </c>
      <c r="C1256" s="99" t="s">
        <v>1471</v>
      </c>
      <c r="D1256" s="99" t="s">
        <v>1374</v>
      </c>
      <c r="E1256" s="38">
        <v>6</v>
      </c>
      <c r="F1256" s="38" t="s">
        <v>247</v>
      </c>
      <c r="G1256" s="38" t="s">
        <v>17</v>
      </c>
      <c r="H1256" s="38" t="s">
        <v>16</v>
      </c>
    </row>
    <row r="1257" spans="2:8" s="13" customFormat="1">
      <c r="B1257" s="4">
        <v>1244</v>
      </c>
      <c r="C1257" s="99" t="s">
        <v>1472</v>
      </c>
      <c r="D1257" s="99" t="s">
        <v>1374</v>
      </c>
      <c r="E1257" s="38">
        <v>6</v>
      </c>
      <c r="F1257" s="38" t="s">
        <v>1531</v>
      </c>
      <c r="G1257" s="38" t="s">
        <v>17</v>
      </c>
      <c r="H1257" s="38" t="s">
        <v>16</v>
      </c>
    </row>
    <row r="1258" spans="2:8" s="13" customFormat="1">
      <c r="B1258" s="4">
        <v>1245</v>
      </c>
      <c r="C1258" s="99" t="s">
        <v>1473</v>
      </c>
      <c r="D1258" s="99" t="s">
        <v>1374</v>
      </c>
      <c r="E1258" s="38">
        <v>6</v>
      </c>
      <c r="F1258" s="38" t="s">
        <v>345</v>
      </c>
      <c r="G1258" s="38" t="s">
        <v>17</v>
      </c>
      <c r="H1258" s="38" t="s">
        <v>16</v>
      </c>
    </row>
    <row r="1259" spans="2:8" s="13" customFormat="1">
      <c r="B1259" s="4">
        <v>1246</v>
      </c>
      <c r="C1259" s="99" t="s">
        <v>1474</v>
      </c>
      <c r="D1259" s="99" t="s">
        <v>1374</v>
      </c>
      <c r="E1259" s="38">
        <v>6</v>
      </c>
      <c r="F1259" s="38" t="s">
        <v>345</v>
      </c>
      <c r="G1259" s="38" t="s">
        <v>17</v>
      </c>
      <c r="H1259" s="38" t="s">
        <v>16</v>
      </c>
    </row>
    <row r="1260" spans="2:8" s="13" customFormat="1">
      <c r="B1260" s="4">
        <v>1247</v>
      </c>
      <c r="C1260" s="103" t="s">
        <v>1475</v>
      </c>
      <c r="D1260" s="99" t="s">
        <v>1374</v>
      </c>
      <c r="E1260" s="38">
        <v>6</v>
      </c>
      <c r="F1260" s="38" t="s">
        <v>291</v>
      </c>
      <c r="G1260" s="38" t="s">
        <v>17</v>
      </c>
      <c r="H1260" s="38" t="s">
        <v>16</v>
      </c>
    </row>
    <row r="1261" spans="2:8" s="13" customFormat="1">
      <c r="B1261" s="4">
        <v>1248</v>
      </c>
      <c r="C1261" s="97" t="s">
        <v>1476</v>
      </c>
      <c r="D1261" s="97" t="s">
        <v>1374</v>
      </c>
      <c r="E1261" s="38">
        <v>6</v>
      </c>
      <c r="F1261" s="38" t="s">
        <v>410</v>
      </c>
      <c r="G1261" s="38" t="s">
        <v>17</v>
      </c>
      <c r="H1261" s="38" t="s">
        <v>16</v>
      </c>
    </row>
    <row r="1262" spans="2:8" s="13" customFormat="1">
      <c r="B1262" s="4">
        <v>1249</v>
      </c>
      <c r="C1262" s="97" t="s">
        <v>1477</v>
      </c>
      <c r="D1262" s="97" t="s">
        <v>1374</v>
      </c>
      <c r="E1262" s="38">
        <v>6</v>
      </c>
      <c r="F1262" s="38" t="s">
        <v>364</v>
      </c>
      <c r="G1262" s="38" t="s">
        <v>17</v>
      </c>
      <c r="H1262" s="38" t="s">
        <v>16</v>
      </c>
    </row>
    <row r="1263" spans="2:8" s="13" customFormat="1">
      <c r="B1263" s="4">
        <v>1250</v>
      </c>
      <c r="C1263" s="97" t="s">
        <v>1478</v>
      </c>
      <c r="D1263" s="97" t="s">
        <v>1374</v>
      </c>
      <c r="E1263" s="38">
        <v>6</v>
      </c>
      <c r="F1263" s="38" t="s">
        <v>1531</v>
      </c>
      <c r="G1263" s="38" t="s">
        <v>17</v>
      </c>
      <c r="H1263" s="38" t="s">
        <v>16</v>
      </c>
    </row>
    <row r="1264" spans="2:8" s="13" customFormat="1">
      <c r="B1264" s="4">
        <v>1251</v>
      </c>
      <c r="C1264" s="97" t="s">
        <v>1479</v>
      </c>
      <c r="D1264" s="97" t="s">
        <v>1374</v>
      </c>
      <c r="E1264" s="38">
        <v>6</v>
      </c>
      <c r="F1264" s="38" t="s">
        <v>410</v>
      </c>
      <c r="G1264" s="38" t="s">
        <v>17</v>
      </c>
      <c r="H1264" s="38" t="s">
        <v>16</v>
      </c>
    </row>
    <row r="1265" spans="2:8" s="13" customFormat="1">
      <c r="B1265" s="4">
        <v>1252</v>
      </c>
      <c r="C1265" s="97" t="s">
        <v>1480</v>
      </c>
      <c r="D1265" s="97" t="s">
        <v>1374</v>
      </c>
      <c r="E1265" s="38">
        <v>6</v>
      </c>
      <c r="F1265" s="38" t="s">
        <v>291</v>
      </c>
      <c r="G1265" s="38" t="s">
        <v>17</v>
      </c>
      <c r="H1265" s="38" t="s">
        <v>16</v>
      </c>
    </row>
    <row r="1266" spans="2:8" s="13" customFormat="1">
      <c r="B1266" s="4">
        <v>1253</v>
      </c>
      <c r="C1266" s="97" t="s">
        <v>1481</v>
      </c>
      <c r="D1266" s="97" t="s">
        <v>1374</v>
      </c>
      <c r="E1266" s="38">
        <v>6</v>
      </c>
      <c r="F1266" s="38" t="s">
        <v>1534</v>
      </c>
      <c r="G1266" s="38" t="s">
        <v>17</v>
      </c>
      <c r="H1266" s="38" t="s">
        <v>16</v>
      </c>
    </row>
    <row r="1267" spans="2:8" s="13" customFormat="1">
      <c r="B1267" s="4">
        <v>1254</v>
      </c>
      <c r="C1267" s="97" t="s">
        <v>1482</v>
      </c>
      <c r="D1267" s="97" t="s">
        <v>1374</v>
      </c>
      <c r="E1267" s="38">
        <v>6</v>
      </c>
      <c r="F1267" s="38" t="s">
        <v>291</v>
      </c>
      <c r="G1267" s="38" t="s">
        <v>17</v>
      </c>
      <c r="H1267" s="38" t="s">
        <v>16</v>
      </c>
    </row>
    <row r="1268" spans="2:8" s="13" customFormat="1">
      <c r="B1268" s="4">
        <v>1255</v>
      </c>
      <c r="C1268" s="97" t="s">
        <v>1483</v>
      </c>
      <c r="D1268" s="97" t="s">
        <v>1374</v>
      </c>
      <c r="E1268" s="38">
        <v>6</v>
      </c>
      <c r="F1268" s="38" t="s">
        <v>1528</v>
      </c>
      <c r="G1268" s="38" t="s">
        <v>17</v>
      </c>
      <c r="H1268" s="38" t="s">
        <v>16</v>
      </c>
    </row>
    <row r="1269" spans="2:8" s="13" customFormat="1">
      <c r="B1269" s="4">
        <v>1256</v>
      </c>
      <c r="C1269" s="97" t="s">
        <v>1484</v>
      </c>
      <c r="D1269" s="97" t="s">
        <v>1374</v>
      </c>
      <c r="E1269" s="38">
        <v>6</v>
      </c>
      <c r="F1269" s="38" t="s">
        <v>1531</v>
      </c>
      <c r="G1269" s="38" t="s">
        <v>17</v>
      </c>
      <c r="H1269" s="38" t="s">
        <v>16</v>
      </c>
    </row>
    <row r="1270" spans="2:8" s="13" customFormat="1">
      <c r="B1270" s="4">
        <v>1257</v>
      </c>
      <c r="C1270" s="97" t="s">
        <v>1485</v>
      </c>
      <c r="D1270" s="97" t="s">
        <v>1374</v>
      </c>
      <c r="E1270" s="38">
        <v>6</v>
      </c>
      <c r="F1270" s="38" t="s">
        <v>1531</v>
      </c>
      <c r="G1270" s="38" t="s">
        <v>17</v>
      </c>
      <c r="H1270" s="38" t="s">
        <v>16</v>
      </c>
    </row>
    <row r="1271" spans="2:8" s="13" customFormat="1">
      <c r="B1271" s="4">
        <v>1258</v>
      </c>
      <c r="C1271" s="97" t="s">
        <v>1486</v>
      </c>
      <c r="D1271" s="97" t="s">
        <v>1374</v>
      </c>
      <c r="E1271" s="38">
        <v>6</v>
      </c>
      <c r="F1271" s="38" t="s">
        <v>345</v>
      </c>
      <c r="G1271" s="38" t="s">
        <v>17</v>
      </c>
      <c r="H1271" s="38" t="s">
        <v>16</v>
      </c>
    </row>
    <row r="1272" spans="2:8" s="13" customFormat="1">
      <c r="B1272" s="4">
        <v>1259</v>
      </c>
      <c r="C1272" s="97" t="s">
        <v>1487</v>
      </c>
      <c r="D1272" s="97" t="s">
        <v>1374</v>
      </c>
      <c r="E1272" s="38">
        <v>6</v>
      </c>
      <c r="F1272" s="38" t="s">
        <v>291</v>
      </c>
      <c r="G1272" s="38" t="s">
        <v>17</v>
      </c>
      <c r="H1272" s="38" t="s">
        <v>16</v>
      </c>
    </row>
    <row r="1273" spans="2:8" s="13" customFormat="1">
      <c r="B1273" s="4">
        <v>1260</v>
      </c>
      <c r="C1273" s="97" t="s">
        <v>1488</v>
      </c>
      <c r="D1273" s="97" t="s">
        <v>723</v>
      </c>
      <c r="E1273" s="38">
        <v>6</v>
      </c>
      <c r="F1273" s="38" t="s">
        <v>247</v>
      </c>
      <c r="G1273" s="38" t="s">
        <v>17</v>
      </c>
      <c r="H1273" s="38" t="s">
        <v>16</v>
      </c>
    </row>
    <row r="1274" spans="2:8" s="13" customFormat="1">
      <c r="B1274" s="4">
        <v>1261</v>
      </c>
      <c r="C1274" s="97" t="s">
        <v>1489</v>
      </c>
      <c r="D1274" s="97" t="s">
        <v>723</v>
      </c>
      <c r="E1274" s="38">
        <v>6</v>
      </c>
      <c r="F1274" s="38" t="s">
        <v>1531</v>
      </c>
      <c r="G1274" s="38" t="s">
        <v>17</v>
      </c>
      <c r="H1274" s="38" t="s">
        <v>16</v>
      </c>
    </row>
    <row r="1275" spans="2:8" s="13" customFormat="1">
      <c r="B1275" s="4">
        <v>1262</v>
      </c>
      <c r="C1275" s="97" t="s">
        <v>1490</v>
      </c>
      <c r="D1275" s="97" t="s">
        <v>1491</v>
      </c>
      <c r="E1275" s="38">
        <v>4</v>
      </c>
      <c r="F1275" s="38" t="s">
        <v>1528</v>
      </c>
      <c r="G1275" s="38" t="s">
        <v>17</v>
      </c>
      <c r="H1275" s="38" t="s">
        <v>16</v>
      </c>
    </row>
    <row r="1276" spans="2:8" s="13" customFormat="1">
      <c r="B1276" s="4">
        <v>1263</v>
      </c>
      <c r="C1276" s="97" t="s">
        <v>1492</v>
      </c>
      <c r="D1276" s="97" t="s">
        <v>1491</v>
      </c>
      <c r="E1276" s="38">
        <v>4</v>
      </c>
      <c r="F1276" s="38" t="s">
        <v>162</v>
      </c>
      <c r="G1276" s="38" t="s">
        <v>17</v>
      </c>
      <c r="H1276" s="38" t="s">
        <v>16</v>
      </c>
    </row>
    <row r="1277" spans="2:8" s="13" customFormat="1">
      <c r="B1277" s="4">
        <v>1264</v>
      </c>
      <c r="C1277" s="97" t="s">
        <v>1493</v>
      </c>
      <c r="D1277" s="97" t="s">
        <v>1491</v>
      </c>
      <c r="E1277" s="38">
        <v>4</v>
      </c>
      <c r="F1277" s="38" t="s">
        <v>162</v>
      </c>
      <c r="G1277" s="38" t="s">
        <v>17</v>
      </c>
      <c r="H1277" s="38" t="s">
        <v>16</v>
      </c>
    </row>
    <row r="1278" spans="2:8" s="13" customFormat="1">
      <c r="B1278" s="4">
        <v>1265</v>
      </c>
      <c r="C1278" s="97" t="s">
        <v>1494</v>
      </c>
      <c r="D1278" s="97" t="s">
        <v>1491</v>
      </c>
      <c r="E1278" s="38">
        <v>4</v>
      </c>
      <c r="F1278" s="38" t="s">
        <v>162</v>
      </c>
      <c r="G1278" s="38" t="s">
        <v>17</v>
      </c>
      <c r="H1278" s="38" t="s">
        <v>16</v>
      </c>
    </row>
    <row r="1279" spans="2:8" s="13" customFormat="1">
      <c r="B1279" s="4">
        <v>1266</v>
      </c>
      <c r="C1279" s="97" t="s">
        <v>1495</v>
      </c>
      <c r="D1279" s="97" t="s">
        <v>1491</v>
      </c>
      <c r="E1279" s="38">
        <v>4</v>
      </c>
      <c r="F1279" s="38" t="s">
        <v>162</v>
      </c>
      <c r="G1279" s="38" t="s">
        <v>17</v>
      </c>
      <c r="H1279" s="38" t="s">
        <v>16</v>
      </c>
    </row>
    <row r="1280" spans="2:8" s="13" customFormat="1">
      <c r="B1280" s="4">
        <v>1267</v>
      </c>
      <c r="C1280" s="97" t="s">
        <v>1496</v>
      </c>
      <c r="D1280" s="97" t="s">
        <v>1491</v>
      </c>
      <c r="E1280" s="38">
        <v>4</v>
      </c>
      <c r="F1280" s="38" t="s">
        <v>410</v>
      </c>
      <c r="G1280" s="38" t="s">
        <v>17</v>
      </c>
      <c r="H1280" s="38" t="s">
        <v>16</v>
      </c>
    </row>
    <row r="1281" spans="2:8" s="13" customFormat="1">
      <c r="B1281" s="4">
        <v>1268</v>
      </c>
      <c r="C1281" s="97" t="s">
        <v>1497</v>
      </c>
      <c r="D1281" s="97" t="s">
        <v>1491</v>
      </c>
      <c r="E1281" s="38">
        <v>4</v>
      </c>
      <c r="F1281" s="38" t="s">
        <v>162</v>
      </c>
      <c r="G1281" s="38" t="s">
        <v>17</v>
      </c>
      <c r="H1281" s="38" t="s">
        <v>16</v>
      </c>
    </row>
    <row r="1282" spans="2:8" s="13" customFormat="1">
      <c r="B1282" s="4">
        <v>1269</v>
      </c>
      <c r="C1282" s="97" t="s">
        <v>1498</v>
      </c>
      <c r="D1282" s="97" t="s">
        <v>1491</v>
      </c>
      <c r="E1282" s="38">
        <v>4</v>
      </c>
      <c r="F1282" s="38" t="s">
        <v>1530</v>
      </c>
      <c r="G1282" s="38" t="s">
        <v>17</v>
      </c>
      <c r="H1282" s="38" t="s">
        <v>16</v>
      </c>
    </row>
    <row r="1283" spans="2:8" s="13" customFormat="1">
      <c r="B1283" s="4">
        <v>1270</v>
      </c>
      <c r="C1283" s="97" t="s">
        <v>1499</v>
      </c>
      <c r="D1283" s="97" t="s">
        <v>1491</v>
      </c>
      <c r="E1283" s="38">
        <v>4</v>
      </c>
      <c r="F1283" s="38" t="s">
        <v>410</v>
      </c>
      <c r="G1283" s="38" t="s">
        <v>17</v>
      </c>
      <c r="H1283" s="38" t="s">
        <v>16</v>
      </c>
    </row>
    <row r="1284" spans="2:8" s="13" customFormat="1">
      <c r="B1284" s="4">
        <v>1271</v>
      </c>
      <c r="C1284" s="97" t="s">
        <v>1500</v>
      </c>
      <c r="D1284" s="97" t="s">
        <v>1491</v>
      </c>
      <c r="E1284" s="38">
        <v>4</v>
      </c>
      <c r="F1284" s="38" t="s">
        <v>291</v>
      </c>
      <c r="G1284" s="38" t="s">
        <v>17</v>
      </c>
      <c r="H1284" s="38" t="s">
        <v>16</v>
      </c>
    </row>
    <row r="1285" spans="2:8" s="13" customFormat="1">
      <c r="B1285" s="4">
        <v>1272</v>
      </c>
      <c r="C1285" s="97" t="s">
        <v>1501</v>
      </c>
      <c r="D1285" s="97" t="s">
        <v>1491</v>
      </c>
      <c r="E1285" s="38">
        <v>4</v>
      </c>
      <c r="F1285" s="38" t="s">
        <v>410</v>
      </c>
      <c r="G1285" s="38" t="s">
        <v>17</v>
      </c>
      <c r="H1285" s="38" t="s">
        <v>16</v>
      </c>
    </row>
    <row r="1286" spans="2:8" s="13" customFormat="1">
      <c r="B1286" s="4">
        <v>1273</v>
      </c>
      <c r="C1286" s="97" t="s">
        <v>1502</v>
      </c>
      <c r="D1286" s="97" t="s">
        <v>1491</v>
      </c>
      <c r="E1286" s="38">
        <v>4</v>
      </c>
      <c r="F1286" s="38" t="s">
        <v>162</v>
      </c>
      <c r="G1286" s="38" t="s">
        <v>17</v>
      </c>
      <c r="H1286" s="38" t="s">
        <v>16</v>
      </c>
    </row>
    <row r="1287" spans="2:8" s="13" customFormat="1">
      <c r="B1287" s="4">
        <v>1274</v>
      </c>
      <c r="C1287" s="97" t="s">
        <v>1503</v>
      </c>
      <c r="D1287" s="97" t="s">
        <v>1491</v>
      </c>
      <c r="E1287" s="38">
        <v>4</v>
      </c>
      <c r="F1287" s="38" t="s">
        <v>410</v>
      </c>
      <c r="G1287" s="38" t="s">
        <v>17</v>
      </c>
      <c r="H1287" s="38" t="s">
        <v>16</v>
      </c>
    </row>
    <row r="1288" spans="2:8" s="13" customFormat="1">
      <c r="B1288" s="4">
        <v>1275</v>
      </c>
      <c r="C1288" s="97" t="s">
        <v>1504</v>
      </c>
      <c r="D1288" s="97" t="s">
        <v>1491</v>
      </c>
      <c r="E1288" s="38">
        <v>4</v>
      </c>
      <c r="F1288" s="38" t="s">
        <v>345</v>
      </c>
      <c r="G1288" s="38" t="s">
        <v>17</v>
      </c>
      <c r="H1288" s="38" t="s">
        <v>16</v>
      </c>
    </row>
    <row r="1289" spans="2:8" s="13" customFormat="1">
      <c r="B1289" s="4">
        <v>1276</v>
      </c>
      <c r="C1289" s="97" t="s">
        <v>1505</v>
      </c>
      <c r="D1289" s="97" t="s">
        <v>1491</v>
      </c>
      <c r="E1289" s="38">
        <v>4</v>
      </c>
      <c r="F1289" s="38" t="s">
        <v>410</v>
      </c>
      <c r="G1289" s="38" t="s">
        <v>17</v>
      </c>
      <c r="H1289" s="38" t="s">
        <v>16</v>
      </c>
    </row>
    <row r="1290" spans="2:8" s="13" customFormat="1">
      <c r="B1290" s="4">
        <v>1277</v>
      </c>
      <c r="C1290" s="97" t="s">
        <v>1506</v>
      </c>
      <c r="D1290" s="97" t="s">
        <v>365</v>
      </c>
      <c r="E1290" s="38">
        <v>11</v>
      </c>
      <c r="F1290" s="38" t="s">
        <v>1522</v>
      </c>
      <c r="G1290" s="38" t="s">
        <v>1521</v>
      </c>
      <c r="H1290" s="38" t="s">
        <v>16</v>
      </c>
    </row>
    <row r="1291" spans="2:8" s="13" customFormat="1">
      <c r="B1291" s="4">
        <v>1278</v>
      </c>
      <c r="C1291" s="97" t="s">
        <v>1507</v>
      </c>
      <c r="D1291" s="97" t="s">
        <v>365</v>
      </c>
      <c r="E1291" s="38">
        <v>11</v>
      </c>
      <c r="F1291" s="38" t="s">
        <v>1522</v>
      </c>
      <c r="G1291" s="38" t="s">
        <v>1521</v>
      </c>
      <c r="H1291" s="38" t="s">
        <v>16</v>
      </c>
    </row>
    <row r="1292" spans="2:8" s="13" customFormat="1">
      <c r="B1292" s="4">
        <v>1279</v>
      </c>
      <c r="C1292" s="105" t="s">
        <v>1508</v>
      </c>
      <c r="D1292" s="105" t="s">
        <v>627</v>
      </c>
      <c r="E1292" s="38">
        <v>15</v>
      </c>
      <c r="F1292" s="38" t="s">
        <v>189</v>
      </c>
      <c r="G1292" s="38" t="s">
        <v>17</v>
      </c>
      <c r="H1292" s="38" t="s">
        <v>16</v>
      </c>
    </row>
    <row r="1293" spans="2:8" s="13" customFormat="1">
      <c r="B1293" s="4">
        <v>1280</v>
      </c>
      <c r="C1293" s="105" t="s">
        <v>1509</v>
      </c>
      <c r="D1293" s="105" t="s">
        <v>627</v>
      </c>
      <c r="E1293" s="38">
        <v>15</v>
      </c>
      <c r="F1293" s="38" t="s">
        <v>189</v>
      </c>
      <c r="G1293" s="38" t="s">
        <v>17</v>
      </c>
      <c r="H1293" s="38" t="s">
        <v>16</v>
      </c>
    </row>
    <row r="1294" spans="2:8" s="13" customFormat="1">
      <c r="B1294" s="4">
        <v>1281</v>
      </c>
      <c r="C1294" s="105" t="s">
        <v>1510</v>
      </c>
      <c r="D1294" s="105" t="s">
        <v>627</v>
      </c>
      <c r="E1294" s="38">
        <v>15</v>
      </c>
      <c r="F1294" s="38" t="s">
        <v>189</v>
      </c>
      <c r="G1294" s="38" t="s">
        <v>17</v>
      </c>
      <c r="H1294" s="38" t="s">
        <v>16</v>
      </c>
    </row>
    <row r="1295" spans="2:8" s="13" customFormat="1">
      <c r="B1295" s="4">
        <v>1282</v>
      </c>
      <c r="C1295" s="105" t="s">
        <v>1511</v>
      </c>
      <c r="D1295" s="105" t="s">
        <v>486</v>
      </c>
      <c r="E1295" s="38">
        <v>11</v>
      </c>
      <c r="F1295" s="38" t="s">
        <v>189</v>
      </c>
      <c r="G1295" s="38" t="s">
        <v>17</v>
      </c>
      <c r="H1295" s="38" t="s">
        <v>16</v>
      </c>
    </row>
    <row r="1296" spans="2:8" s="13" customFormat="1">
      <c r="B1296" s="4">
        <v>1283</v>
      </c>
      <c r="C1296" s="105" t="s">
        <v>1512</v>
      </c>
      <c r="D1296" s="105" t="s">
        <v>1374</v>
      </c>
      <c r="E1296" s="38">
        <v>6</v>
      </c>
      <c r="F1296" s="38" t="s">
        <v>189</v>
      </c>
      <c r="G1296" s="38" t="s">
        <v>17</v>
      </c>
      <c r="H1296" s="38" t="s">
        <v>16</v>
      </c>
    </row>
    <row r="1297" spans="2:8" s="13" customFormat="1">
      <c r="B1297" s="4">
        <v>1284</v>
      </c>
      <c r="C1297" s="105" t="s">
        <v>1513</v>
      </c>
      <c r="D1297" s="105" t="s">
        <v>1374</v>
      </c>
      <c r="E1297" s="38">
        <v>6</v>
      </c>
      <c r="F1297" s="38" t="s">
        <v>189</v>
      </c>
      <c r="G1297" s="38" t="s">
        <v>17</v>
      </c>
      <c r="H1297" s="38" t="s">
        <v>16</v>
      </c>
    </row>
    <row r="1298" spans="2:8" s="13" customFormat="1">
      <c r="B1298" s="4">
        <v>1285</v>
      </c>
      <c r="C1298" s="105" t="s">
        <v>1514</v>
      </c>
      <c r="D1298" s="105" t="s">
        <v>1374</v>
      </c>
      <c r="E1298" s="38">
        <v>6</v>
      </c>
      <c r="F1298" s="38" t="s">
        <v>189</v>
      </c>
      <c r="G1298" s="38" t="s">
        <v>17</v>
      </c>
      <c r="H1298" s="38" t="s">
        <v>16</v>
      </c>
    </row>
    <row r="1299" spans="2:8" s="13" customFormat="1">
      <c r="B1299" s="4">
        <v>1286</v>
      </c>
      <c r="C1299" s="105" t="s">
        <v>1515</v>
      </c>
      <c r="D1299" s="105" t="s">
        <v>1374</v>
      </c>
      <c r="E1299" s="38">
        <v>6</v>
      </c>
      <c r="F1299" s="38" t="s">
        <v>189</v>
      </c>
      <c r="G1299" s="38" t="s">
        <v>17</v>
      </c>
      <c r="H1299" s="38" t="s">
        <v>16</v>
      </c>
    </row>
    <row r="1300" spans="2:8" s="13" customFormat="1">
      <c r="B1300" s="4">
        <v>1287</v>
      </c>
      <c r="C1300" s="97" t="s">
        <v>1516</v>
      </c>
      <c r="D1300" s="97" t="s">
        <v>1517</v>
      </c>
      <c r="E1300" s="38">
        <v>4</v>
      </c>
      <c r="F1300" s="38" t="s">
        <v>189</v>
      </c>
      <c r="G1300" s="38" t="s">
        <v>17</v>
      </c>
      <c r="H1300" s="38" t="s">
        <v>16</v>
      </c>
    </row>
    <row r="1301" spans="2:8" s="13" customFormat="1">
      <c r="B1301" s="4">
        <v>1288</v>
      </c>
      <c r="C1301" s="98" t="s">
        <v>1518</v>
      </c>
      <c r="D1301" s="97" t="s">
        <v>1517</v>
      </c>
      <c r="E1301" s="38">
        <v>4</v>
      </c>
      <c r="F1301" s="38" t="s">
        <v>189</v>
      </c>
      <c r="G1301" s="38" t="s">
        <v>17</v>
      </c>
      <c r="H1301" s="38" t="s">
        <v>16</v>
      </c>
    </row>
    <row r="1302" spans="2:8" s="13" customFormat="1">
      <c r="B1302" s="4">
        <v>1289</v>
      </c>
      <c r="C1302" s="98" t="s">
        <v>1519</v>
      </c>
      <c r="D1302" s="97" t="s">
        <v>1520</v>
      </c>
      <c r="E1302" s="38">
        <v>4</v>
      </c>
      <c r="F1302" s="38" t="s">
        <v>189</v>
      </c>
      <c r="G1302" s="38" t="s">
        <v>17</v>
      </c>
      <c r="H1302" s="38" t="s">
        <v>16</v>
      </c>
    </row>
    <row r="1303" spans="2:8" s="13" customFormat="1">
      <c r="B1303" s="4">
        <v>1291</v>
      </c>
      <c r="C1303" s="98" t="s">
        <v>1541</v>
      </c>
      <c r="D1303" s="97" t="s">
        <v>1542</v>
      </c>
      <c r="E1303" s="38">
        <v>1</v>
      </c>
      <c r="F1303" s="38" t="s">
        <v>189</v>
      </c>
      <c r="G1303" s="38" t="s">
        <v>17</v>
      </c>
      <c r="H1303" s="38" t="s">
        <v>16</v>
      </c>
    </row>
    <row r="1304" spans="2:8" s="13" customFormat="1">
      <c r="B1304" s="4">
        <v>1292</v>
      </c>
      <c r="C1304" s="98"/>
      <c r="D1304" s="97"/>
      <c r="E1304" s="38"/>
      <c r="F1304" s="38"/>
      <c r="G1304" s="38"/>
      <c r="H1304" s="38"/>
    </row>
    <row r="1305" spans="2:8" s="13" customFormat="1">
      <c r="B1305" s="4">
        <v>1380</v>
      </c>
      <c r="C1305" s="108"/>
      <c r="D1305" s="108"/>
      <c r="E1305" s="38"/>
      <c r="F1305" s="38"/>
      <c r="G1305" s="38"/>
      <c r="H1305" s="38"/>
    </row>
  </sheetData>
  <sheetProtection algorithmName="SHA-512" hashValue="TuKtrcWD/zwMxBVoGNtBxI8eA9pn1+BtBE+mOP7MaHTNw70isLETFcAvZ9NhQeGujAAaTXUw92LXJxlN/PDMkQ==" saltValue="eTSbeR6fQnf36nzZP/9P2w==" spinCount="100000" sheet="1" objects="1" scenarios="1" formatColumns="0" formatRows="0" sort="0" autoFilter="0"/>
  <dataValidations count="1">
    <dataValidation type="list" allowBlank="1" showInputMessage="1" showErrorMessage="1" sqref="H14:H1305">
      <formula1>"FT, PT"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2190750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781050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828675</xdr:colOff>
                    <xdr:row>13</xdr:row>
                    <xdr:rowOff>9525</xdr:rowOff>
                  </from>
                  <to>
                    <xdr:col>1</xdr:col>
                    <xdr:colOff>1552575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SelectDept!$B$2:$B$67</xm:f>
          </x14:formula1>
          <xm:sqref>F14:F1305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1:DT1349"/>
  <sheetViews>
    <sheetView topLeftCell="B1" zoomScale="115" zoomScaleNormal="115" workbookViewId="0">
      <pane xSplit="2" ySplit="17" topLeftCell="D18" activePane="bottomRight" state="frozen"/>
      <selection activeCell="B12" sqref="B12"/>
      <selection pane="topRight" activeCell="D12" sqref="D12"/>
      <selection pane="bottomLeft" activeCell="B18" sqref="B18"/>
      <selection pane="bottomRight" activeCell="G1" sqref="G1:BH1048576"/>
    </sheetView>
  </sheetViews>
  <sheetFormatPr defaultColWidth="8.7109375" defaultRowHeight="16.5"/>
  <cols>
    <col min="1" max="1" width="8.7109375" style="13"/>
    <col min="2" max="2" width="8.7109375" style="1" customWidth="1"/>
    <col min="3" max="3" width="21.7109375" style="1" customWidth="1"/>
    <col min="4" max="4" width="23.28515625" style="1" customWidth="1"/>
    <col min="5" max="5" width="13.85546875" style="1" customWidth="1"/>
    <col min="6" max="6" width="1.42578125" style="13" customWidth="1"/>
    <col min="7" max="60" width="8.7109375" style="13" hidden="1" customWidth="1"/>
    <col min="61" max="61" width="1.42578125" style="13" customWidth="1"/>
    <col min="62" max="62" width="8.7109375" style="13" customWidth="1"/>
    <col min="63" max="77" width="8.7109375" style="95" customWidth="1"/>
    <col min="78" max="78" width="15" style="95" customWidth="1"/>
    <col min="79" max="114" width="8.7109375" style="95" customWidth="1"/>
    <col min="115" max="122" width="8.7109375" style="13" customWidth="1"/>
    <col min="123" max="123" width="1.42578125" style="1" customWidth="1"/>
    <col min="124" max="16384" width="8.7109375" style="1"/>
  </cols>
  <sheetData>
    <row r="1" spans="1:124" ht="15" hidden="1" customHeight="1"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</row>
    <row r="2" spans="1:124" s="20" customFormat="1" ht="18" hidden="1" customHeight="1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124" ht="12.75" hidden="1" customHeight="1"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</row>
    <row r="4" spans="1:124" ht="36" hidden="1" customHeight="1">
      <c r="B4" s="111" t="s">
        <v>13</v>
      </c>
      <c r="C4" s="112"/>
      <c r="D4" s="112"/>
      <c r="E4" s="1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</row>
    <row r="5" spans="1:124" ht="21" hidden="1" customHeight="1">
      <c r="B5" s="32" t="s">
        <v>64</v>
      </c>
      <c r="C5" s="33"/>
      <c r="E5" s="34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</row>
    <row r="6" spans="1:124" ht="16.5" hidden="1" customHeight="1">
      <c r="B6" s="32" t="s">
        <v>14</v>
      </c>
      <c r="C6" s="33"/>
      <c r="D6" s="33"/>
      <c r="E6" s="34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</row>
    <row r="7" spans="1:124" s="13" customFormat="1" ht="21.75" hidden="1" customHeight="1">
      <c r="B7" s="85" t="s">
        <v>103</v>
      </c>
      <c r="C7" s="33"/>
      <c r="D7" s="86">
        <v>2017</v>
      </c>
      <c r="E7" s="34"/>
    </row>
    <row r="8" spans="1:124" ht="36" hidden="1" customHeight="1">
      <c r="B8" s="114" t="s">
        <v>63</v>
      </c>
      <c r="C8" s="115"/>
      <c r="D8" s="115"/>
      <c r="E8" s="116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</row>
    <row r="9" spans="1:124" ht="11.25" hidden="1" customHeight="1"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</row>
    <row r="10" spans="1:124" ht="11.25" hidden="1" customHeight="1">
      <c r="F10" s="87" t="s">
        <v>4</v>
      </c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</row>
    <row r="11" spans="1:124" s="15" customFormat="1" ht="13.5" hidden="1" customHeight="1">
      <c r="B11" s="46"/>
      <c r="C11" s="47"/>
      <c r="D11" s="48"/>
      <c r="E11" s="48"/>
      <c r="F11" s="23"/>
      <c r="G11" s="117" t="s">
        <v>23</v>
      </c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9"/>
      <c r="Y11" s="120" t="s">
        <v>39</v>
      </c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2" t="s">
        <v>50</v>
      </c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23"/>
      <c r="BJ11" s="109" t="s">
        <v>23</v>
      </c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23" t="s">
        <v>39</v>
      </c>
      <c r="CC11" s="124"/>
      <c r="CD11" s="124"/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4"/>
      <c r="CT11" s="124"/>
      <c r="CU11" s="109" t="s">
        <v>50</v>
      </c>
      <c r="CV11" s="109"/>
      <c r="CW11" s="109"/>
      <c r="CX11" s="109"/>
      <c r="CY11" s="109"/>
      <c r="CZ11" s="109"/>
      <c r="DA11" s="109"/>
      <c r="DB11" s="109"/>
      <c r="DC11" s="109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T11" s="39"/>
    </row>
    <row r="12" spans="1:124" s="14" customFormat="1" ht="69" customHeight="1">
      <c r="B12" s="50" t="s">
        <v>12</v>
      </c>
      <c r="C12" s="51" t="s">
        <v>0</v>
      </c>
      <c r="D12" s="49" t="s">
        <v>7</v>
      </c>
      <c r="E12" s="49" t="s">
        <v>22</v>
      </c>
      <c r="F12" s="23"/>
      <c r="G12" s="24" t="s">
        <v>24</v>
      </c>
      <c r="H12" s="24" t="s">
        <v>87</v>
      </c>
      <c r="I12" s="24" t="s">
        <v>25</v>
      </c>
      <c r="J12" s="24" t="s">
        <v>26</v>
      </c>
      <c r="K12" s="24" t="s">
        <v>27</v>
      </c>
      <c r="L12" s="24" t="s">
        <v>28</v>
      </c>
      <c r="M12" s="24" t="s">
        <v>29</v>
      </c>
      <c r="N12" s="24" t="s">
        <v>88</v>
      </c>
      <c r="O12" s="24" t="s">
        <v>30</v>
      </c>
      <c r="P12" s="24" t="s">
        <v>31</v>
      </c>
      <c r="Q12" s="24" t="s">
        <v>32</v>
      </c>
      <c r="R12" s="24" t="s">
        <v>33</v>
      </c>
      <c r="S12" s="24" t="s">
        <v>34</v>
      </c>
      <c r="T12" s="24" t="s">
        <v>35</v>
      </c>
      <c r="U12" s="24" t="s">
        <v>36</v>
      </c>
      <c r="V12" s="24" t="s">
        <v>37</v>
      </c>
      <c r="W12" s="24" t="s">
        <v>38</v>
      </c>
      <c r="X12" s="24" t="s">
        <v>68</v>
      </c>
      <c r="Y12" s="24" t="s">
        <v>40</v>
      </c>
      <c r="Z12" s="24" t="s">
        <v>43</v>
      </c>
      <c r="AA12" s="25" t="s">
        <v>69</v>
      </c>
      <c r="AB12" s="24" t="s">
        <v>42</v>
      </c>
      <c r="AC12" s="25" t="s">
        <v>41</v>
      </c>
      <c r="AD12" s="24" t="s">
        <v>70</v>
      </c>
      <c r="AE12" s="24" t="s">
        <v>71</v>
      </c>
      <c r="AF12" s="24" t="s">
        <v>73</v>
      </c>
      <c r="AG12" s="24" t="s">
        <v>5</v>
      </c>
      <c r="AH12" s="24" t="s">
        <v>44</v>
      </c>
      <c r="AI12" s="24" t="s">
        <v>74</v>
      </c>
      <c r="AJ12" s="89" t="s">
        <v>45</v>
      </c>
      <c r="AK12" s="24" t="s">
        <v>46</v>
      </c>
      <c r="AL12" s="24" t="s">
        <v>47</v>
      </c>
      <c r="AM12" s="24" t="s">
        <v>48</v>
      </c>
      <c r="AN12" s="25" t="s">
        <v>75</v>
      </c>
      <c r="AO12" s="25" t="s">
        <v>76</v>
      </c>
      <c r="AP12" s="24" t="s">
        <v>68</v>
      </c>
      <c r="AQ12" s="24" t="s">
        <v>89</v>
      </c>
      <c r="AR12" s="24" t="s">
        <v>77</v>
      </c>
      <c r="AS12" s="24" t="s">
        <v>78</v>
      </c>
      <c r="AT12" s="24" t="s">
        <v>79</v>
      </c>
      <c r="AU12" s="24" t="s">
        <v>80</v>
      </c>
      <c r="AV12" s="24" t="s">
        <v>81</v>
      </c>
      <c r="AW12" s="24" t="s">
        <v>82</v>
      </c>
      <c r="AX12" s="88" t="s">
        <v>90</v>
      </c>
      <c r="AY12" s="89" t="s">
        <v>91</v>
      </c>
      <c r="AZ12" s="24" t="s">
        <v>52</v>
      </c>
      <c r="BA12" s="24" t="s">
        <v>6</v>
      </c>
      <c r="BB12" s="24" t="s">
        <v>49</v>
      </c>
      <c r="BC12" s="24" t="s">
        <v>53</v>
      </c>
      <c r="BD12" s="89" t="s">
        <v>54</v>
      </c>
      <c r="BE12" s="24" t="s">
        <v>55</v>
      </c>
      <c r="BF12" s="24" t="s">
        <v>56</v>
      </c>
      <c r="BG12" s="24" t="s">
        <v>57</v>
      </c>
      <c r="BH12" s="24" t="s">
        <v>58</v>
      </c>
      <c r="BI12" s="23"/>
      <c r="BJ12" s="24" t="s">
        <v>24</v>
      </c>
      <c r="BK12" s="90" t="s">
        <v>65</v>
      </c>
      <c r="BL12" s="90" t="s">
        <v>25</v>
      </c>
      <c r="BM12" s="90" t="s">
        <v>26</v>
      </c>
      <c r="BN12" s="90" t="s">
        <v>27</v>
      </c>
      <c r="BO12" s="90" t="s">
        <v>28</v>
      </c>
      <c r="BP12" s="90" t="s">
        <v>29</v>
      </c>
      <c r="BQ12" s="90" t="s">
        <v>66</v>
      </c>
      <c r="BR12" s="90" t="s">
        <v>30</v>
      </c>
      <c r="BS12" s="90" t="s">
        <v>31</v>
      </c>
      <c r="BT12" s="90" t="s">
        <v>32</v>
      </c>
      <c r="BU12" s="90" t="s">
        <v>33</v>
      </c>
      <c r="BV12" s="90" t="s">
        <v>34</v>
      </c>
      <c r="BW12" s="90" t="s">
        <v>35</v>
      </c>
      <c r="BX12" s="90" t="s">
        <v>36</v>
      </c>
      <c r="BY12" s="90" t="s">
        <v>37</v>
      </c>
      <c r="BZ12" s="90" t="s">
        <v>67</v>
      </c>
      <c r="CA12" s="90" t="s">
        <v>68</v>
      </c>
      <c r="CB12" s="90" t="s">
        <v>40</v>
      </c>
      <c r="CC12" s="90" t="s">
        <v>43</v>
      </c>
      <c r="CD12" s="90" t="s">
        <v>69</v>
      </c>
      <c r="CE12" s="90" t="s">
        <v>42</v>
      </c>
      <c r="CF12" s="90" t="s">
        <v>41</v>
      </c>
      <c r="CG12" s="90" t="s">
        <v>70</v>
      </c>
      <c r="CH12" s="90" t="s">
        <v>71</v>
      </c>
      <c r="CI12" s="90" t="s">
        <v>72</v>
      </c>
      <c r="CJ12" s="90" t="s">
        <v>73</v>
      </c>
      <c r="CK12" s="90" t="s">
        <v>5</v>
      </c>
      <c r="CL12" s="90" t="s">
        <v>44</v>
      </c>
      <c r="CM12" s="90" t="s">
        <v>74</v>
      </c>
      <c r="CN12" s="90" t="s">
        <v>45</v>
      </c>
      <c r="CO12" s="90" t="s">
        <v>46</v>
      </c>
      <c r="CP12" s="90" t="s">
        <v>47</v>
      </c>
      <c r="CQ12" s="90" t="s">
        <v>48</v>
      </c>
      <c r="CR12" s="90" t="s">
        <v>75</v>
      </c>
      <c r="CS12" s="90" t="s">
        <v>76</v>
      </c>
      <c r="CT12" s="93" t="s">
        <v>68</v>
      </c>
      <c r="CU12" s="90" t="s">
        <v>51</v>
      </c>
      <c r="CV12" s="90" t="s">
        <v>77</v>
      </c>
      <c r="CW12" s="90" t="s">
        <v>78</v>
      </c>
      <c r="CX12" s="90" t="s">
        <v>79</v>
      </c>
      <c r="CY12" s="90" t="s">
        <v>80</v>
      </c>
      <c r="CZ12" s="90" t="s">
        <v>81</v>
      </c>
      <c r="DA12" s="90" t="s">
        <v>82</v>
      </c>
      <c r="DB12" s="91" t="s">
        <v>83</v>
      </c>
      <c r="DC12" s="90" t="s">
        <v>84</v>
      </c>
      <c r="DD12" s="90" t="s">
        <v>52</v>
      </c>
      <c r="DE12" s="90" t="s">
        <v>6</v>
      </c>
      <c r="DF12" s="90" t="s">
        <v>85</v>
      </c>
      <c r="DG12" s="90" t="s">
        <v>49</v>
      </c>
      <c r="DH12" s="90" t="s">
        <v>86</v>
      </c>
      <c r="DI12" s="90" t="s">
        <v>53</v>
      </c>
      <c r="DJ12" s="90" t="s">
        <v>54</v>
      </c>
      <c r="DK12" s="90" t="s">
        <v>55</v>
      </c>
      <c r="DL12" s="90" t="s">
        <v>56</v>
      </c>
      <c r="DM12" s="90" t="s">
        <v>57</v>
      </c>
      <c r="DN12" s="90" t="s">
        <v>58</v>
      </c>
      <c r="DO12" s="90" t="s">
        <v>59</v>
      </c>
      <c r="DP12" s="90" t="s">
        <v>60</v>
      </c>
      <c r="DQ12" s="90" t="s">
        <v>61</v>
      </c>
      <c r="DR12" s="90" t="s">
        <v>62</v>
      </c>
      <c r="DT12" s="40" t="s">
        <v>92</v>
      </c>
    </row>
    <row r="13" spans="1:124">
      <c r="B13" s="4">
        <f>'6.1Personnel List'!B14</f>
        <v>1</v>
      </c>
      <c r="C13" s="45" t="s">
        <v>104</v>
      </c>
      <c r="D13" s="45" t="str">
        <f>'6.1Personnel List'!D14</f>
        <v xml:space="preserve">Medical Center Chief II </v>
      </c>
      <c r="E13" s="45" t="str">
        <f>'6.1Personnel List'!H14</f>
        <v>FT</v>
      </c>
      <c r="F13" s="42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2"/>
      <c r="BJ13" s="41">
        <v>1</v>
      </c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3"/>
      <c r="DT13" s="44">
        <f t="shared" ref="DT13:DT18" si="0">SUM(F13:DR13)</f>
        <v>1</v>
      </c>
    </row>
    <row r="14" spans="1:124">
      <c r="B14" s="4">
        <f>'6.1Personnel List'!B15</f>
        <v>2</v>
      </c>
      <c r="C14" s="45" t="s">
        <v>107</v>
      </c>
      <c r="D14" s="45" t="str">
        <f>'6.1Personnel List'!D15</f>
        <v>Medical Specialist IV (P.T.) - Chairman</v>
      </c>
      <c r="E14" s="45" t="str">
        <f>'6.1Personnel List'!H15</f>
        <v>PT</v>
      </c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>
        <v>0.2</v>
      </c>
      <c r="CM14" s="41"/>
      <c r="CN14" s="41"/>
      <c r="CO14" s="41"/>
      <c r="CP14" s="41">
        <v>0.1</v>
      </c>
      <c r="CQ14" s="41"/>
      <c r="CR14" s="41"/>
      <c r="CS14" s="41"/>
      <c r="CT14" s="41">
        <v>0.3</v>
      </c>
      <c r="CU14" s="41">
        <v>0.2</v>
      </c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>
        <v>0.2</v>
      </c>
      <c r="DM14" s="41"/>
      <c r="DN14" s="41"/>
      <c r="DO14" s="41"/>
      <c r="DP14" s="41"/>
      <c r="DQ14" s="41"/>
      <c r="DR14" s="41"/>
      <c r="DS14" s="43"/>
      <c r="DT14" s="44">
        <f t="shared" si="0"/>
        <v>1</v>
      </c>
    </row>
    <row r="15" spans="1:124">
      <c r="B15" s="4">
        <f>'6.1Personnel List'!B16</f>
        <v>3</v>
      </c>
      <c r="C15" s="45" t="s">
        <v>109</v>
      </c>
      <c r="D15" s="45" t="str">
        <f>'6.1Personnel List'!D16</f>
        <v>Medical Specialist IV (P.T.)</v>
      </c>
      <c r="E15" s="45" t="str">
        <f>'6.1Personnel List'!H16</f>
        <v>PT</v>
      </c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>
        <v>0.2</v>
      </c>
      <c r="CM15" s="41"/>
      <c r="CN15" s="41"/>
      <c r="CO15" s="41"/>
      <c r="CP15" s="41">
        <v>0.1</v>
      </c>
      <c r="CQ15" s="41"/>
      <c r="CR15" s="41"/>
      <c r="CS15" s="41"/>
      <c r="CT15" s="41">
        <v>0.3</v>
      </c>
      <c r="CU15" s="41">
        <v>0.2</v>
      </c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>
        <v>0.2</v>
      </c>
      <c r="DM15" s="41"/>
      <c r="DN15" s="41"/>
      <c r="DO15" s="41"/>
      <c r="DP15" s="41"/>
      <c r="DQ15" s="41"/>
      <c r="DR15" s="41"/>
      <c r="DS15" s="43"/>
      <c r="DT15" s="44">
        <f t="shared" si="0"/>
        <v>1</v>
      </c>
    </row>
    <row r="16" spans="1:124">
      <c r="B16" s="4">
        <f>'6.1Personnel List'!B17</f>
        <v>4</v>
      </c>
      <c r="C16" s="45" t="s">
        <v>111</v>
      </c>
      <c r="D16" s="45" t="str">
        <f>'6.1Personnel List'!D17</f>
        <v>Medical Specialist III</v>
      </c>
      <c r="E16" s="45" t="str">
        <f>'6.1Personnel List'!H17</f>
        <v>FT</v>
      </c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>
        <v>0.2</v>
      </c>
      <c r="CM16" s="41"/>
      <c r="CN16" s="41"/>
      <c r="CO16" s="41"/>
      <c r="CP16" s="41">
        <v>0.1</v>
      </c>
      <c r="CQ16" s="41"/>
      <c r="CR16" s="41"/>
      <c r="CS16" s="41"/>
      <c r="CT16" s="41">
        <v>0.3</v>
      </c>
      <c r="CU16" s="41">
        <v>0.2</v>
      </c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>
        <v>0.2</v>
      </c>
      <c r="DM16" s="41"/>
      <c r="DN16" s="41"/>
      <c r="DO16" s="41"/>
      <c r="DP16" s="41"/>
      <c r="DQ16" s="41"/>
      <c r="DR16" s="41"/>
      <c r="DS16" s="43"/>
      <c r="DT16" s="44">
        <f t="shared" si="0"/>
        <v>1</v>
      </c>
    </row>
    <row r="17" spans="2:124">
      <c r="B17" s="4">
        <f>'6.1Personnel List'!B18</f>
        <v>5</v>
      </c>
      <c r="C17" s="45" t="s">
        <v>113</v>
      </c>
      <c r="D17" s="45" t="str">
        <f>'6.1Personnel List'!D18</f>
        <v>Medical Specialist III (P.T.)</v>
      </c>
      <c r="E17" s="45" t="str">
        <f>'6.1Personnel List'!H18</f>
        <v>PT</v>
      </c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>
        <v>0.2</v>
      </c>
      <c r="CM17" s="41"/>
      <c r="CN17" s="41"/>
      <c r="CO17" s="41"/>
      <c r="CP17" s="41">
        <v>0.1</v>
      </c>
      <c r="CQ17" s="41"/>
      <c r="CR17" s="41"/>
      <c r="CS17" s="41"/>
      <c r="CT17" s="41">
        <v>0.3</v>
      </c>
      <c r="CU17" s="41">
        <v>0.2</v>
      </c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>
        <v>0.2</v>
      </c>
      <c r="DM17" s="41"/>
      <c r="DN17" s="41"/>
      <c r="DO17" s="41"/>
      <c r="DP17" s="41"/>
      <c r="DQ17" s="41"/>
      <c r="DR17" s="41"/>
      <c r="DS17" s="43"/>
      <c r="DT17" s="44">
        <f t="shared" si="0"/>
        <v>1</v>
      </c>
    </row>
    <row r="18" spans="2:124">
      <c r="B18" s="4">
        <f>'6.1Personnel List'!B19</f>
        <v>6</v>
      </c>
      <c r="C18" s="45" t="s">
        <v>115</v>
      </c>
      <c r="D18" s="45" t="str">
        <f>'6.1Personnel List'!D19</f>
        <v>Medical Specialist III (P.T.)</v>
      </c>
      <c r="E18" s="45" t="str">
        <f>'6.1Personnel List'!H19</f>
        <v>PT</v>
      </c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>
        <v>0.2</v>
      </c>
      <c r="CM18" s="41"/>
      <c r="CN18" s="41"/>
      <c r="CO18" s="41"/>
      <c r="CP18" s="41">
        <v>0.1</v>
      </c>
      <c r="CQ18" s="41"/>
      <c r="CR18" s="41"/>
      <c r="CS18" s="41"/>
      <c r="CT18" s="41">
        <v>0.3</v>
      </c>
      <c r="CU18" s="41">
        <v>0.2</v>
      </c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>
        <v>0.2</v>
      </c>
      <c r="DM18" s="41"/>
      <c r="DN18" s="41"/>
      <c r="DO18" s="41"/>
      <c r="DP18" s="41"/>
      <c r="DQ18" s="41"/>
      <c r="DR18" s="41"/>
      <c r="DS18" s="43"/>
      <c r="DT18" s="44">
        <f t="shared" si="0"/>
        <v>1</v>
      </c>
    </row>
    <row r="19" spans="2:124" s="13" customFormat="1">
      <c r="B19" s="4">
        <f>'6.1Personnel List'!B20</f>
        <v>7</v>
      </c>
      <c r="C19" s="45" t="s">
        <v>116</v>
      </c>
      <c r="D19" s="45" t="str">
        <f>'6.1Personnel List'!D20</f>
        <v>Medical Specialist III (P.T.)</v>
      </c>
      <c r="E19" s="45" t="str">
        <f>'6.1Personnel List'!H20</f>
        <v>PT</v>
      </c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>
        <v>0.2</v>
      </c>
      <c r="CM19" s="41"/>
      <c r="CN19" s="41"/>
      <c r="CO19" s="41"/>
      <c r="CP19" s="41">
        <v>0.1</v>
      </c>
      <c r="CQ19" s="41"/>
      <c r="CR19" s="41"/>
      <c r="CS19" s="41"/>
      <c r="CT19" s="41">
        <v>0.3</v>
      </c>
      <c r="CU19" s="41">
        <v>0.2</v>
      </c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>
        <v>0.2</v>
      </c>
      <c r="DM19" s="41"/>
      <c r="DN19" s="41"/>
      <c r="DO19" s="41"/>
      <c r="DP19" s="41"/>
      <c r="DQ19" s="41"/>
      <c r="DR19" s="41"/>
      <c r="DS19" s="43"/>
      <c r="DT19" s="44">
        <f t="shared" ref="DT19" si="1">SUM(F19:DR19)</f>
        <v>1</v>
      </c>
    </row>
    <row r="20" spans="2:124" s="13" customFormat="1">
      <c r="B20" s="4">
        <f>'6.1Personnel List'!B21</f>
        <v>8</v>
      </c>
      <c r="C20" s="45" t="s">
        <v>117</v>
      </c>
      <c r="D20" s="45" t="str">
        <f>'6.1Personnel List'!D21</f>
        <v>Medical Specialist III (P.T.)</v>
      </c>
      <c r="E20" s="45" t="str">
        <f>'6.1Personnel List'!H21</f>
        <v>PT</v>
      </c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>
        <v>0.2</v>
      </c>
      <c r="CM20" s="41"/>
      <c r="CN20" s="41"/>
      <c r="CO20" s="41"/>
      <c r="CP20" s="41">
        <v>0.1</v>
      </c>
      <c r="CQ20" s="41"/>
      <c r="CR20" s="41"/>
      <c r="CS20" s="41"/>
      <c r="CT20" s="41">
        <v>0.3</v>
      </c>
      <c r="CU20" s="41">
        <v>0.2</v>
      </c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>
        <v>0.2</v>
      </c>
      <c r="DM20" s="41"/>
      <c r="DN20" s="41"/>
      <c r="DO20" s="41"/>
      <c r="DP20" s="41"/>
      <c r="DQ20" s="41"/>
      <c r="DR20" s="41"/>
      <c r="DS20" s="43"/>
      <c r="DT20" s="44">
        <f t="shared" ref="DT20" si="2">SUM(F20:DR20)</f>
        <v>1</v>
      </c>
    </row>
    <row r="21" spans="2:124" s="13" customFormat="1">
      <c r="B21" s="4">
        <f>'6.1Personnel List'!B22</f>
        <v>9</v>
      </c>
      <c r="C21" s="45" t="s">
        <v>118</v>
      </c>
      <c r="D21" s="45" t="str">
        <f>'6.1Personnel List'!D22</f>
        <v>Medical Specialist III (P.T.)</v>
      </c>
      <c r="E21" s="45" t="str">
        <f>'6.1Personnel List'!H22</f>
        <v>PT</v>
      </c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>
        <v>0.2</v>
      </c>
      <c r="CM21" s="41"/>
      <c r="CN21" s="41"/>
      <c r="CO21" s="41"/>
      <c r="CP21" s="41">
        <v>0.1</v>
      </c>
      <c r="CQ21" s="41"/>
      <c r="CR21" s="41"/>
      <c r="CS21" s="41"/>
      <c r="CT21" s="41">
        <v>0.3</v>
      </c>
      <c r="CU21" s="41">
        <v>0.2</v>
      </c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>
        <v>0.2</v>
      </c>
      <c r="DM21" s="41"/>
      <c r="DN21" s="41"/>
      <c r="DO21" s="41"/>
      <c r="DP21" s="41"/>
      <c r="DQ21" s="41"/>
      <c r="DR21" s="41"/>
      <c r="DS21" s="43"/>
      <c r="DT21" s="44">
        <f t="shared" ref="DT21" si="3">SUM(F21:DR21)</f>
        <v>1</v>
      </c>
    </row>
    <row r="22" spans="2:124" s="13" customFormat="1">
      <c r="B22" s="4">
        <f>'6.1Personnel List'!B23</f>
        <v>10</v>
      </c>
      <c r="C22" s="45" t="s">
        <v>119</v>
      </c>
      <c r="D22" s="45" t="str">
        <f>'6.1Personnel List'!D23</f>
        <v>Medical Specialist III (P.T.)</v>
      </c>
      <c r="E22" s="45" t="str">
        <f>'6.1Personnel List'!H23</f>
        <v>PT</v>
      </c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>
        <v>0.2</v>
      </c>
      <c r="CM22" s="41"/>
      <c r="CN22" s="41"/>
      <c r="CO22" s="41"/>
      <c r="CP22" s="41">
        <v>0.1</v>
      </c>
      <c r="CQ22" s="41"/>
      <c r="CR22" s="41"/>
      <c r="CS22" s="41"/>
      <c r="CT22" s="41">
        <v>0.3</v>
      </c>
      <c r="CU22" s="41">
        <v>0.2</v>
      </c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>
        <v>0.2</v>
      </c>
      <c r="DM22" s="41"/>
      <c r="DN22" s="41"/>
      <c r="DO22" s="41"/>
      <c r="DP22" s="41"/>
      <c r="DQ22" s="41"/>
      <c r="DR22" s="41"/>
      <c r="DS22" s="43"/>
      <c r="DT22" s="44">
        <f t="shared" ref="DT22" si="4">SUM(F22:DR22)</f>
        <v>1</v>
      </c>
    </row>
    <row r="23" spans="2:124" s="13" customFormat="1">
      <c r="B23" s="4">
        <f>'6.1Personnel List'!B24</f>
        <v>11</v>
      </c>
      <c r="C23" s="45" t="s">
        <v>120</v>
      </c>
      <c r="D23" s="45" t="str">
        <f>'6.1Personnel List'!D24</f>
        <v>Medical Specialist III (P.T.)</v>
      </c>
      <c r="E23" s="45" t="str">
        <f>'6.1Personnel List'!H24</f>
        <v>PT</v>
      </c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>
        <v>0.2</v>
      </c>
      <c r="CM23" s="41"/>
      <c r="CN23" s="41"/>
      <c r="CO23" s="41"/>
      <c r="CP23" s="41">
        <v>0.1</v>
      </c>
      <c r="CQ23" s="41"/>
      <c r="CR23" s="41"/>
      <c r="CS23" s="41"/>
      <c r="CT23" s="41">
        <v>0.3</v>
      </c>
      <c r="CU23" s="41">
        <v>0.2</v>
      </c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>
        <v>0.2</v>
      </c>
      <c r="DM23" s="41"/>
      <c r="DN23" s="41"/>
      <c r="DO23" s="41"/>
      <c r="DP23" s="41"/>
      <c r="DQ23" s="41"/>
      <c r="DR23" s="41"/>
      <c r="DS23" s="43"/>
      <c r="DT23" s="44">
        <f t="shared" ref="DT23" si="5">SUM(F23:DR23)</f>
        <v>1</v>
      </c>
    </row>
    <row r="24" spans="2:124" s="13" customFormat="1">
      <c r="B24" s="4">
        <f>'6.1Personnel List'!B25</f>
        <v>12</v>
      </c>
      <c r="C24" s="45" t="s">
        <v>121</v>
      </c>
      <c r="D24" s="45" t="str">
        <f>'6.1Personnel List'!D25</f>
        <v>Medical Specialist III (P.T.)</v>
      </c>
      <c r="E24" s="45" t="str">
        <f>'6.1Personnel List'!H25</f>
        <v>PT</v>
      </c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>
        <v>0.2</v>
      </c>
      <c r="CM24" s="41"/>
      <c r="CN24" s="41"/>
      <c r="CO24" s="41"/>
      <c r="CP24" s="41">
        <v>0.1</v>
      </c>
      <c r="CQ24" s="41"/>
      <c r="CR24" s="41"/>
      <c r="CS24" s="41"/>
      <c r="CT24" s="41">
        <v>0.3</v>
      </c>
      <c r="CU24" s="41">
        <v>0.2</v>
      </c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>
        <v>0.2</v>
      </c>
      <c r="DM24" s="41"/>
      <c r="DN24" s="41"/>
      <c r="DO24" s="41"/>
      <c r="DP24" s="41"/>
      <c r="DQ24" s="41"/>
      <c r="DR24" s="41"/>
      <c r="DS24" s="43"/>
      <c r="DT24" s="44">
        <f t="shared" ref="DT24" si="6">SUM(F24:DR24)</f>
        <v>1</v>
      </c>
    </row>
    <row r="25" spans="2:124" s="13" customFormat="1">
      <c r="B25" s="4">
        <f>'6.1Personnel List'!B26</f>
        <v>13</v>
      </c>
      <c r="C25" s="45" t="s">
        <v>122</v>
      </c>
      <c r="D25" s="45" t="str">
        <f>'6.1Personnel List'!D26</f>
        <v>Medical Specialist III (P.T.)</v>
      </c>
      <c r="E25" s="45" t="str">
        <f>'6.1Personnel List'!H26</f>
        <v>PT</v>
      </c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>
        <v>0.2</v>
      </c>
      <c r="CM25" s="41"/>
      <c r="CN25" s="41"/>
      <c r="CO25" s="41"/>
      <c r="CP25" s="41">
        <v>0.1</v>
      </c>
      <c r="CQ25" s="41"/>
      <c r="CR25" s="41"/>
      <c r="CS25" s="41"/>
      <c r="CT25" s="41">
        <v>0.3</v>
      </c>
      <c r="CU25" s="41">
        <v>0.2</v>
      </c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>
        <v>0.2</v>
      </c>
      <c r="DM25" s="41"/>
      <c r="DN25" s="41"/>
      <c r="DO25" s="41"/>
      <c r="DP25" s="41"/>
      <c r="DQ25" s="41"/>
      <c r="DR25" s="41"/>
      <c r="DS25" s="43"/>
      <c r="DT25" s="44">
        <f t="shared" ref="DT25" si="7">SUM(F25:DR25)</f>
        <v>1</v>
      </c>
    </row>
    <row r="26" spans="2:124" s="13" customFormat="1">
      <c r="B26" s="4">
        <f>'6.1Personnel List'!B27</f>
        <v>14</v>
      </c>
      <c r="C26" s="45" t="s">
        <v>123</v>
      </c>
      <c r="D26" s="45" t="str">
        <f>'6.1Personnel List'!D27</f>
        <v>Medical Specialist III (P.T.)</v>
      </c>
      <c r="E26" s="45" t="str">
        <f>'6.1Personnel List'!H27</f>
        <v>PT</v>
      </c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>
        <v>0.2</v>
      </c>
      <c r="CM26" s="41"/>
      <c r="CN26" s="41"/>
      <c r="CO26" s="41"/>
      <c r="CP26" s="41">
        <v>0.1</v>
      </c>
      <c r="CQ26" s="41"/>
      <c r="CR26" s="41"/>
      <c r="CS26" s="41"/>
      <c r="CT26" s="41">
        <v>0.3</v>
      </c>
      <c r="CU26" s="41">
        <v>0.2</v>
      </c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>
        <v>0.2</v>
      </c>
      <c r="DM26" s="41"/>
      <c r="DN26" s="41"/>
      <c r="DO26" s="41"/>
      <c r="DP26" s="41"/>
      <c r="DQ26" s="41"/>
      <c r="DR26" s="41"/>
      <c r="DS26" s="43"/>
      <c r="DT26" s="44">
        <f t="shared" ref="DT26" si="8">SUM(F26:DR26)</f>
        <v>1</v>
      </c>
    </row>
    <row r="27" spans="2:124" s="13" customFormat="1">
      <c r="B27" s="4">
        <f>'6.1Personnel List'!B28</f>
        <v>15</v>
      </c>
      <c r="C27" s="45" t="s">
        <v>124</v>
      </c>
      <c r="D27" s="45" t="str">
        <f>'6.1Personnel List'!D28</f>
        <v>Medical Specialist III (P.T.)</v>
      </c>
      <c r="E27" s="45" t="str">
        <f>'6.1Personnel List'!H28</f>
        <v>PT</v>
      </c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>
        <v>0.2</v>
      </c>
      <c r="CM27" s="41"/>
      <c r="CN27" s="41"/>
      <c r="CO27" s="41"/>
      <c r="CP27" s="41">
        <v>0.1</v>
      </c>
      <c r="CQ27" s="41"/>
      <c r="CR27" s="41"/>
      <c r="CS27" s="41"/>
      <c r="CT27" s="41">
        <v>0.3</v>
      </c>
      <c r="CU27" s="41">
        <v>0.2</v>
      </c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>
        <v>0.2</v>
      </c>
      <c r="DM27" s="41"/>
      <c r="DN27" s="41"/>
      <c r="DO27" s="41"/>
      <c r="DP27" s="41"/>
      <c r="DQ27" s="41"/>
      <c r="DR27" s="41"/>
      <c r="DS27" s="43"/>
      <c r="DT27" s="44">
        <f t="shared" ref="DT27" si="9">SUM(F27:DR27)</f>
        <v>1</v>
      </c>
    </row>
    <row r="28" spans="2:124" s="13" customFormat="1">
      <c r="B28" s="4">
        <f>'6.1Personnel List'!B29</f>
        <v>16</v>
      </c>
      <c r="C28" s="45" t="s">
        <v>125</v>
      </c>
      <c r="D28" s="45" t="str">
        <f>'6.1Personnel List'!D29</f>
        <v>Medical Specialist II (P.T.)</v>
      </c>
      <c r="E28" s="45" t="str">
        <f>'6.1Personnel List'!H29</f>
        <v>PT</v>
      </c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>
        <v>0.2</v>
      </c>
      <c r="CM28" s="41"/>
      <c r="CN28" s="41"/>
      <c r="CO28" s="41"/>
      <c r="CP28" s="41">
        <v>0.1</v>
      </c>
      <c r="CQ28" s="41"/>
      <c r="CR28" s="41"/>
      <c r="CS28" s="41"/>
      <c r="CT28" s="41">
        <v>0.3</v>
      </c>
      <c r="CU28" s="41">
        <v>0.2</v>
      </c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>
        <v>0.2</v>
      </c>
      <c r="DM28" s="41"/>
      <c r="DN28" s="41"/>
      <c r="DO28" s="41"/>
      <c r="DP28" s="41"/>
      <c r="DQ28" s="41"/>
      <c r="DR28" s="41"/>
      <c r="DS28" s="43"/>
      <c r="DT28" s="44">
        <f t="shared" ref="DT28" si="10">SUM(F28:DR28)</f>
        <v>1</v>
      </c>
    </row>
    <row r="29" spans="2:124" s="13" customFormat="1">
      <c r="B29" s="4">
        <f>'6.1Personnel List'!B30</f>
        <v>17</v>
      </c>
      <c r="C29" s="45" t="s">
        <v>127</v>
      </c>
      <c r="D29" s="45" t="str">
        <f>'6.1Personnel List'!D30</f>
        <v>Medical Specialist II (P.T.)</v>
      </c>
      <c r="E29" s="45" t="str">
        <f>'6.1Personnel List'!H30</f>
        <v>PT</v>
      </c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>
        <v>0.2</v>
      </c>
      <c r="CM29" s="41"/>
      <c r="CN29" s="41"/>
      <c r="CO29" s="41"/>
      <c r="CP29" s="41">
        <v>0.1</v>
      </c>
      <c r="CQ29" s="41"/>
      <c r="CR29" s="41"/>
      <c r="CS29" s="41"/>
      <c r="CT29" s="41">
        <v>0.3</v>
      </c>
      <c r="CU29" s="41">
        <v>0.2</v>
      </c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>
        <v>0.2</v>
      </c>
      <c r="DM29" s="41"/>
      <c r="DN29" s="41"/>
      <c r="DO29" s="41"/>
      <c r="DP29" s="41"/>
      <c r="DQ29" s="41"/>
      <c r="DR29" s="41"/>
      <c r="DS29" s="43"/>
      <c r="DT29" s="44">
        <f t="shared" ref="DT29" si="11">SUM(F29:DR29)</f>
        <v>1</v>
      </c>
    </row>
    <row r="30" spans="2:124" s="13" customFormat="1">
      <c r="B30" s="4">
        <f>'6.1Personnel List'!B31</f>
        <v>18</v>
      </c>
      <c r="C30" s="45" t="s">
        <v>128</v>
      </c>
      <c r="D30" s="45" t="str">
        <f>'6.1Personnel List'!D31</f>
        <v>Medical Specialist II (P.T.)</v>
      </c>
      <c r="E30" s="45" t="str">
        <f>'6.1Personnel List'!H31</f>
        <v>PT</v>
      </c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>
        <v>0.2</v>
      </c>
      <c r="CM30" s="41"/>
      <c r="CN30" s="41"/>
      <c r="CO30" s="41"/>
      <c r="CP30" s="41">
        <v>0.1</v>
      </c>
      <c r="CQ30" s="41"/>
      <c r="CR30" s="41"/>
      <c r="CS30" s="41"/>
      <c r="CT30" s="41">
        <v>0.3</v>
      </c>
      <c r="CU30" s="41">
        <v>0.2</v>
      </c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>
        <v>0.2</v>
      </c>
      <c r="DM30" s="41"/>
      <c r="DN30" s="41"/>
      <c r="DO30" s="41"/>
      <c r="DP30" s="41"/>
      <c r="DQ30" s="41"/>
      <c r="DR30" s="41"/>
      <c r="DS30" s="43"/>
      <c r="DT30" s="44">
        <f t="shared" ref="DT30" si="12">SUM(F30:DR30)</f>
        <v>1</v>
      </c>
    </row>
    <row r="31" spans="2:124" s="13" customFormat="1">
      <c r="B31" s="4">
        <f>'6.1Personnel List'!B32</f>
        <v>19</v>
      </c>
      <c r="C31" s="45" t="s">
        <v>129</v>
      </c>
      <c r="D31" s="45" t="str">
        <f>'6.1Personnel List'!D32</f>
        <v>Medical Specialist II (P.T.)</v>
      </c>
      <c r="E31" s="45" t="str">
        <f>'6.1Personnel List'!H32</f>
        <v>PT</v>
      </c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>
        <v>0.2</v>
      </c>
      <c r="CM31" s="41"/>
      <c r="CN31" s="41"/>
      <c r="CO31" s="41"/>
      <c r="CP31" s="41">
        <v>0.1</v>
      </c>
      <c r="CQ31" s="41"/>
      <c r="CR31" s="41"/>
      <c r="CS31" s="41"/>
      <c r="CT31" s="41">
        <v>0.3</v>
      </c>
      <c r="CU31" s="41">
        <v>0.2</v>
      </c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>
        <v>0.2</v>
      </c>
      <c r="DM31" s="41"/>
      <c r="DN31" s="41"/>
      <c r="DO31" s="41"/>
      <c r="DP31" s="41"/>
      <c r="DQ31" s="41"/>
      <c r="DR31" s="41"/>
      <c r="DS31" s="43"/>
      <c r="DT31" s="44">
        <f t="shared" ref="DT31" si="13">SUM(F31:DR31)</f>
        <v>1</v>
      </c>
    </row>
    <row r="32" spans="2:124" s="13" customFormat="1">
      <c r="B32" s="4">
        <f>'6.1Personnel List'!B33</f>
        <v>20</v>
      </c>
      <c r="C32" s="45" t="s">
        <v>130</v>
      </c>
      <c r="D32" s="45" t="str">
        <f>'6.1Personnel List'!D33</f>
        <v>Medical Specialist II (P.T.)</v>
      </c>
      <c r="E32" s="45" t="str">
        <f>'6.1Personnel List'!H33</f>
        <v>PT</v>
      </c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>
        <v>0.2</v>
      </c>
      <c r="CM32" s="41"/>
      <c r="CN32" s="41"/>
      <c r="CO32" s="41"/>
      <c r="CP32" s="41">
        <v>0.1</v>
      </c>
      <c r="CQ32" s="41"/>
      <c r="CR32" s="41"/>
      <c r="CS32" s="41"/>
      <c r="CT32" s="41">
        <v>0.3</v>
      </c>
      <c r="CU32" s="41">
        <v>0.2</v>
      </c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>
        <v>0.2</v>
      </c>
      <c r="DM32" s="41"/>
      <c r="DN32" s="41"/>
      <c r="DO32" s="41"/>
      <c r="DP32" s="41"/>
      <c r="DQ32" s="41"/>
      <c r="DR32" s="41"/>
      <c r="DS32" s="43"/>
      <c r="DT32" s="44">
        <f t="shared" ref="DT32" si="14">SUM(F32:DR32)</f>
        <v>1</v>
      </c>
    </row>
    <row r="33" spans="2:124" s="13" customFormat="1">
      <c r="B33" s="4">
        <f>'6.1Personnel List'!B34</f>
        <v>21</v>
      </c>
      <c r="C33" s="45" t="s">
        <v>131</v>
      </c>
      <c r="D33" s="45" t="str">
        <f>'6.1Personnel List'!D34</f>
        <v>Medical Officer IV</v>
      </c>
      <c r="E33" s="45" t="str">
        <f>'6.1Personnel List'!H34</f>
        <v>FT</v>
      </c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>
        <v>0.2</v>
      </c>
      <c r="CM33" s="41"/>
      <c r="CN33" s="41"/>
      <c r="CO33" s="41"/>
      <c r="CP33" s="41">
        <v>0.1</v>
      </c>
      <c r="CQ33" s="41"/>
      <c r="CR33" s="41"/>
      <c r="CS33" s="41"/>
      <c r="CT33" s="41">
        <v>0.2</v>
      </c>
      <c r="CU33" s="41">
        <v>0.3</v>
      </c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>
        <v>0.2</v>
      </c>
      <c r="DM33" s="41"/>
      <c r="DN33" s="41"/>
      <c r="DO33" s="41"/>
      <c r="DP33" s="41"/>
      <c r="DQ33" s="41"/>
      <c r="DR33" s="41"/>
      <c r="DS33" s="43"/>
      <c r="DT33" s="44">
        <f t="shared" ref="DT33" si="15">SUM(F33:DR33)</f>
        <v>1</v>
      </c>
    </row>
    <row r="34" spans="2:124" s="13" customFormat="1">
      <c r="B34" s="4">
        <f>'6.1Personnel List'!B35</f>
        <v>22</v>
      </c>
      <c r="C34" s="45" t="s">
        <v>133</v>
      </c>
      <c r="D34" s="45" t="str">
        <f>'6.1Personnel List'!D35</f>
        <v>Medical Officer IV</v>
      </c>
      <c r="E34" s="45" t="str">
        <f>'6.1Personnel List'!H35</f>
        <v>FT</v>
      </c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>
        <v>0.2</v>
      </c>
      <c r="CM34" s="41"/>
      <c r="CN34" s="41"/>
      <c r="CO34" s="41"/>
      <c r="CP34" s="41">
        <v>0.1</v>
      </c>
      <c r="CQ34" s="41"/>
      <c r="CR34" s="41"/>
      <c r="CS34" s="41"/>
      <c r="CT34" s="41">
        <v>0.2</v>
      </c>
      <c r="CU34" s="41">
        <v>0.3</v>
      </c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>
        <v>0.2</v>
      </c>
      <c r="DM34" s="41"/>
      <c r="DN34" s="41"/>
      <c r="DO34" s="41"/>
      <c r="DP34" s="41"/>
      <c r="DQ34" s="41"/>
      <c r="DR34" s="41"/>
      <c r="DS34" s="43"/>
      <c r="DT34" s="44">
        <f t="shared" ref="DT34" si="16">SUM(F34:DR34)</f>
        <v>1</v>
      </c>
    </row>
    <row r="35" spans="2:124" s="13" customFormat="1">
      <c r="B35" s="4">
        <f>'6.1Personnel List'!B36</f>
        <v>23</v>
      </c>
      <c r="C35" s="45" t="s">
        <v>134</v>
      </c>
      <c r="D35" s="45" t="str">
        <f>'6.1Personnel List'!D36</f>
        <v>Medical Officer IV</v>
      </c>
      <c r="E35" s="45" t="str">
        <f>'6.1Personnel List'!H36</f>
        <v>FT</v>
      </c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>
        <v>0.2</v>
      </c>
      <c r="CM35" s="41"/>
      <c r="CN35" s="41"/>
      <c r="CO35" s="41"/>
      <c r="CP35" s="41">
        <v>0.1</v>
      </c>
      <c r="CQ35" s="41"/>
      <c r="CR35" s="41"/>
      <c r="CS35" s="41"/>
      <c r="CT35" s="41">
        <v>0.2</v>
      </c>
      <c r="CU35" s="41">
        <v>0.3</v>
      </c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>
        <v>0.2</v>
      </c>
      <c r="DM35" s="41"/>
      <c r="DN35" s="41"/>
      <c r="DO35" s="41"/>
      <c r="DP35" s="41"/>
      <c r="DQ35" s="41"/>
      <c r="DR35" s="41"/>
      <c r="DS35" s="43"/>
      <c r="DT35" s="44">
        <f t="shared" ref="DT35" si="17">SUM(F35:DR35)</f>
        <v>1</v>
      </c>
    </row>
    <row r="36" spans="2:124" s="13" customFormat="1">
      <c r="B36" s="4">
        <f>'6.1Personnel List'!B37</f>
        <v>24</v>
      </c>
      <c r="C36" s="45" t="s">
        <v>135</v>
      </c>
      <c r="D36" s="45" t="str">
        <f>'6.1Personnel List'!D37</f>
        <v>Medical Officer IV</v>
      </c>
      <c r="E36" s="45" t="str">
        <f>'6.1Personnel List'!H37</f>
        <v>FT</v>
      </c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>
        <v>0.2</v>
      </c>
      <c r="CM36" s="41"/>
      <c r="CN36" s="41"/>
      <c r="CO36" s="41"/>
      <c r="CP36" s="41">
        <v>0.1</v>
      </c>
      <c r="CQ36" s="41"/>
      <c r="CR36" s="41"/>
      <c r="CS36" s="41"/>
      <c r="CT36" s="41">
        <v>0.2</v>
      </c>
      <c r="CU36" s="41">
        <v>0.3</v>
      </c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>
        <v>0.2</v>
      </c>
      <c r="DM36" s="41"/>
      <c r="DN36" s="41"/>
      <c r="DO36" s="41"/>
      <c r="DP36" s="41"/>
      <c r="DQ36" s="41"/>
      <c r="DR36" s="41"/>
      <c r="DS36" s="43"/>
      <c r="DT36" s="44">
        <f t="shared" ref="DT36" si="18">SUM(F36:DR36)</f>
        <v>1</v>
      </c>
    </row>
    <row r="37" spans="2:124" s="13" customFormat="1">
      <c r="B37" s="4">
        <f>'6.1Personnel List'!B38</f>
        <v>25</v>
      </c>
      <c r="C37" s="45" t="s">
        <v>136</v>
      </c>
      <c r="D37" s="45" t="str">
        <f>'6.1Personnel List'!D38</f>
        <v>Medical Officer IV</v>
      </c>
      <c r="E37" s="45" t="str">
        <f>'6.1Personnel List'!H38</f>
        <v>FT</v>
      </c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>
        <v>0.2</v>
      </c>
      <c r="CM37" s="41"/>
      <c r="CN37" s="41"/>
      <c r="CO37" s="41"/>
      <c r="CP37" s="41">
        <v>0.1</v>
      </c>
      <c r="CQ37" s="41"/>
      <c r="CR37" s="41"/>
      <c r="CS37" s="41"/>
      <c r="CT37" s="41">
        <v>0.2</v>
      </c>
      <c r="CU37" s="41">
        <v>0.3</v>
      </c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>
        <v>0.2</v>
      </c>
      <c r="DM37" s="41"/>
      <c r="DN37" s="41"/>
      <c r="DO37" s="41"/>
      <c r="DP37" s="41"/>
      <c r="DQ37" s="41"/>
      <c r="DR37" s="41"/>
      <c r="DS37" s="43"/>
      <c r="DT37" s="44">
        <f t="shared" ref="DT37" si="19">SUM(F37:DR37)</f>
        <v>1</v>
      </c>
    </row>
    <row r="38" spans="2:124" s="13" customFormat="1">
      <c r="B38" s="4">
        <f>'6.1Personnel List'!B39</f>
        <v>26</v>
      </c>
      <c r="C38" s="45" t="s">
        <v>137</v>
      </c>
      <c r="D38" s="45" t="str">
        <f>'6.1Personnel List'!D39</f>
        <v>Medical Officer IV</v>
      </c>
      <c r="E38" s="45" t="str">
        <f>'6.1Personnel List'!H39</f>
        <v>FT</v>
      </c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>
        <v>0.2</v>
      </c>
      <c r="CM38" s="41"/>
      <c r="CN38" s="41"/>
      <c r="CO38" s="41"/>
      <c r="CP38" s="41">
        <v>0.1</v>
      </c>
      <c r="CQ38" s="41"/>
      <c r="CR38" s="41"/>
      <c r="CS38" s="41"/>
      <c r="CT38" s="41">
        <v>0.1</v>
      </c>
      <c r="CU38" s="41">
        <v>0.3</v>
      </c>
      <c r="CV38" s="41"/>
      <c r="CW38" s="41"/>
      <c r="CX38" s="41"/>
      <c r="CY38" s="41"/>
      <c r="CZ38" s="41"/>
      <c r="DA38" s="41"/>
      <c r="DB38" s="41"/>
      <c r="DC38" s="41"/>
      <c r="DD38" s="41">
        <v>0.1</v>
      </c>
      <c r="DE38" s="41"/>
      <c r="DF38" s="41"/>
      <c r="DG38" s="41"/>
      <c r="DH38" s="41"/>
      <c r="DI38" s="41"/>
      <c r="DJ38" s="41"/>
      <c r="DK38" s="41"/>
      <c r="DL38" s="41">
        <v>0.2</v>
      </c>
      <c r="DM38" s="41"/>
      <c r="DN38" s="41"/>
      <c r="DO38" s="41"/>
      <c r="DP38" s="41"/>
      <c r="DQ38" s="41"/>
      <c r="DR38" s="41"/>
      <c r="DS38" s="43"/>
      <c r="DT38" s="44">
        <f t="shared" ref="DT38" si="20">SUM(F38:DR38)</f>
        <v>1</v>
      </c>
    </row>
    <row r="39" spans="2:124" s="13" customFormat="1">
      <c r="B39" s="4">
        <f>'6.1Personnel List'!B40</f>
        <v>27</v>
      </c>
      <c r="C39" s="45" t="s">
        <v>138</v>
      </c>
      <c r="D39" s="45" t="str">
        <f>'6.1Personnel List'!D40</f>
        <v>Medical Officer IV</v>
      </c>
      <c r="E39" s="45" t="str">
        <f>'6.1Personnel List'!H40</f>
        <v>FT</v>
      </c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>
        <v>0.2</v>
      </c>
      <c r="CM39" s="41"/>
      <c r="CN39" s="41"/>
      <c r="CO39" s="41"/>
      <c r="CP39" s="41">
        <v>0.1</v>
      </c>
      <c r="CQ39" s="41"/>
      <c r="CR39" s="41"/>
      <c r="CS39" s="41"/>
      <c r="CT39" s="41">
        <v>0.1</v>
      </c>
      <c r="CU39" s="41">
        <v>0.3</v>
      </c>
      <c r="CV39" s="41"/>
      <c r="CW39" s="41"/>
      <c r="CX39" s="41"/>
      <c r="CY39" s="41"/>
      <c r="CZ39" s="41"/>
      <c r="DA39" s="41"/>
      <c r="DB39" s="41"/>
      <c r="DC39" s="41"/>
      <c r="DD39" s="41">
        <v>0.1</v>
      </c>
      <c r="DE39" s="41"/>
      <c r="DF39" s="41"/>
      <c r="DG39" s="41"/>
      <c r="DH39" s="41"/>
      <c r="DI39" s="41"/>
      <c r="DJ39" s="41"/>
      <c r="DK39" s="41"/>
      <c r="DL39" s="41">
        <v>0.2</v>
      </c>
      <c r="DM39" s="41"/>
      <c r="DN39" s="41"/>
      <c r="DO39" s="41"/>
      <c r="DP39" s="41"/>
      <c r="DQ39" s="41"/>
      <c r="DR39" s="41"/>
      <c r="DS39" s="43"/>
      <c r="DT39" s="44">
        <f t="shared" ref="DT39" si="21">SUM(F39:DR39)</f>
        <v>1</v>
      </c>
    </row>
    <row r="40" spans="2:124" s="13" customFormat="1">
      <c r="B40" s="4">
        <f>'6.1Personnel List'!B41</f>
        <v>28</v>
      </c>
      <c r="C40" s="45" t="s">
        <v>139</v>
      </c>
      <c r="D40" s="45" t="str">
        <f>'6.1Personnel List'!D41</f>
        <v>Medical Officer IV</v>
      </c>
      <c r="E40" s="45" t="str">
        <f>'6.1Personnel List'!H41</f>
        <v>FT</v>
      </c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>
        <v>0.2</v>
      </c>
      <c r="CM40" s="41"/>
      <c r="CN40" s="41"/>
      <c r="CO40" s="41"/>
      <c r="CP40" s="41">
        <v>0.1</v>
      </c>
      <c r="CQ40" s="41"/>
      <c r="CR40" s="41"/>
      <c r="CS40" s="41"/>
      <c r="CT40" s="41">
        <v>0.1</v>
      </c>
      <c r="CU40" s="41">
        <v>0.3</v>
      </c>
      <c r="CV40" s="41"/>
      <c r="CW40" s="41"/>
      <c r="CX40" s="41"/>
      <c r="CY40" s="41"/>
      <c r="CZ40" s="41"/>
      <c r="DA40" s="41"/>
      <c r="DB40" s="41"/>
      <c r="DC40" s="41"/>
      <c r="DD40" s="41">
        <v>0.1</v>
      </c>
      <c r="DE40" s="41"/>
      <c r="DF40" s="41"/>
      <c r="DG40" s="41"/>
      <c r="DH40" s="41"/>
      <c r="DI40" s="41"/>
      <c r="DJ40" s="41"/>
      <c r="DK40" s="41"/>
      <c r="DL40" s="41">
        <v>0.2</v>
      </c>
      <c r="DM40" s="41"/>
      <c r="DN40" s="41"/>
      <c r="DO40" s="41"/>
      <c r="DP40" s="41"/>
      <c r="DQ40" s="41"/>
      <c r="DR40" s="41"/>
      <c r="DS40" s="43"/>
      <c r="DT40" s="44">
        <f t="shared" ref="DT40" si="22">SUM(F40:DR40)</f>
        <v>1</v>
      </c>
    </row>
    <row r="41" spans="2:124" s="13" customFormat="1">
      <c r="B41" s="4">
        <f>'6.1Personnel List'!B42</f>
        <v>29</v>
      </c>
      <c r="C41" s="45" t="s">
        <v>140</v>
      </c>
      <c r="D41" s="45" t="str">
        <f>'6.1Personnel List'!D42</f>
        <v>Medical Officer IV</v>
      </c>
      <c r="E41" s="45" t="str">
        <f>'6.1Personnel List'!H42</f>
        <v>FT</v>
      </c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>
        <v>0.2</v>
      </c>
      <c r="CM41" s="41"/>
      <c r="CN41" s="41"/>
      <c r="CO41" s="41"/>
      <c r="CP41" s="41">
        <v>0.1</v>
      </c>
      <c r="CQ41" s="41"/>
      <c r="CR41" s="41"/>
      <c r="CS41" s="41"/>
      <c r="CT41" s="41">
        <v>0.1</v>
      </c>
      <c r="CU41" s="41">
        <v>0.3</v>
      </c>
      <c r="CV41" s="41"/>
      <c r="CW41" s="41"/>
      <c r="CX41" s="41"/>
      <c r="CY41" s="41"/>
      <c r="CZ41" s="41"/>
      <c r="DA41" s="41"/>
      <c r="DB41" s="41"/>
      <c r="DC41" s="41"/>
      <c r="DD41" s="41">
        <v>0.1</v>
      </c>
      <c r="DE41" s="41"/>
      <c r="DF41" s="41"/>
      <c r="DG41" s="41"/>
      <c r="DH41" s="41"/>
      <c r="DI41" s="41"/>
      <c r="DJ41" s="41"/>
      <c r="DK41" s="41"/>
      <c r="DL41" s="41">
        <v>0.2</v>
      </c>
      <c r="DM41" s="41"/>
      <c r="DN41" s="41"/>
      <c r="DO41" s="41"/>
      <c r="DP41" s="41"/>
      <c r="DQ41" s="41"/>
      <c r="DR41" s="41"/>
      <c r="DS41" s="43"/>
      <c r="DT41" s="44">
        <f t="shared" ref="DT41" si="23">SUM(F41:DR41)</f>
        <v>1</v>
      </c>
    </row>
    <row r="42" spans="2:124" s="13" customFormat="1">
      <c r="B42" s="4">
        <f>'6.1Personnel List'!B43</f>
        <v>30</v>
      </c>
      <c r="C42" s="45" t="s">
        <v>141</v>
      </c>
      <c r="D42" s="45" t="str">
        <f>'6.1Personnel List'!D43</f>
        <v>Medical Officer IV</v>
      </c>
      <c r="E42" s="45" t="str">
        <f>'6.1Personnel List'!H43</f>
        <v>FT</v>
      </c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>
        <v>0.2</v>
      </c>
      <c r="CM42" s="41"/>
      <c r="CN42" s="41"/>
      <c r="CO42" s="41"/>
      <c r="CP42" s="41">
        <v>0.1</v>
      </c>
      <c r="CQ42" s="41"/>
      <c r="CR42" s="41"/>
      <c r="CS42" s="41"/>
      <c r="CT42" s="41">
        <v>0.1</v>
      </c>
      <c r="CU42" s="41">
        <v>0.3</v>
      </c>
      <c r="CV42" s="41"/>
      <c r="CW42" s="41"/>
      <c r="CX42" s="41"/>
      <c r="CY42" s="41"/>
      <c r="CZ42" s="41"/>
      <c r="DA42" s="41"/>
      <c r="DB42" s="41"/>
      <c r="DC42" s="41"/>
      <c r="DD42" s="41">
        <v>0.1</v>
      </c>
      <c r="DE42" s="41"/>
      <c r="DF42" s="41"/>
      <c r="DG42" s="41"/>
      <c r="DH42" s="41"/>
      <c r="DI42" s="41"/>
      <c r="DJ42" s="41"/>
      <c r="DK42" s="41"/>
      <c r="DL42" s="41">
        <v>0.2</v>
      </c>
      <c r="DM42" s="41"/>
      <c r="DN42" s="41"/>
      <c r="DO42" s="41"/>
      <c r="DP42" s="41"/>
      <c r="DQ42" s="41"/>
      <c r="DR42" s="41"/>
      <c r="DS42" s="43"/>
      <c r="DT42" s="44">
        <f t="shared" ref="DT42" si="24">SUM(F42:DR42)</f>
        <v>1</v>
      </c>
    </row>
    <row r="43" spans="2:124" s="13" customFormat="1">
      <c r="B43" s="4">
        <f>'6.1Personnel List'!B44</f>
        <v>31</v>
      </c>
      <c r="C43" s="45" t="s">
        <v>142</v>
      </c>
      <c r="D43" s="45" t="str">
        <f>'6.1Personnel List'!D44</f>
        <v>Medical Officer III</v>
      </c>
      <c r="E43" s="45" t="str">
        <f>'6.1Personnel List'!H44</f>
        <v>FT</v>
      </c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>
        <v>0.3</v>
      </c>
      <c r="CM43" s="41"/>
      <c r="CN43" s="41"/>
      <c r="CO43" s="41"/>
      <c r="CP43" s="41">
        <v>0.1</v>
      </c>
      <c r="CQ43" s="41"/>
      <c r="CR43" s="41"/>
      <c r="CS43" s="41"/>
      <c r="CT43" s="41">
        <v>0.1</v>
      </c>
      <c r="CU43" s="41">
        <v>0.2</v>
      </c>
      <c r="CV43" s="41"/>
      <c r="CW43" s="41"/>
      <c r="CX43" s="41"/>
      <c r="CY43" s="41"/>
      <c r="CZ43" s="41"/>
      <c r="DA43" s="41"/>
      <c r="DB43" s="41"/>
      <c r="DC43" s="41"/>
      <c r="DD43" s="41">
        <v>0.1</v>
      </c>
      <c r="DE43" s="41"/>
      <c r="DF43" s="41"/>
      <c r="DG43" s="41"/>
      <c r="DH43" s="41"/>
      <c r="DI43" s="41"/>
      <c r="DJ43" s="41"/>
      <c r="DK43" s="41"/>
      <c r="DL43" s="41">
        <v>0.2</v>
      </c>
      <c r="DM43" s="41"/>
      <c r="DN43" s="41"/>
      <c r="DO43" s="41"/>
      <c r="DP43" s="41"/>
      <c r="DQ43" s="41"/>
      <c r="DR43" s="41"/>
      <c r="DS43" s="43"/>
      <c r="DT43" s="44">
        <f t="shared" ref="DT43" si="25">SUM(F43:DR43)</f>
        <v>1</v>
      </c>
    </row>
    <row r="44" spans="2:124" s="13" customFormat="1">
      <c r="B44" s="4">
        <f>'6.1Personnel List'!B45</f>
        <v>32</v>
      </c>
      <c r="C44" s="45" t="s">
        <v>143</v>
      </c>
      <c r="D44" s="45" t="str">
        <f>'6.1Personnel List'!D45</f>
        <v>Medical Officer III</v>
      </c>
      <c r="E44" s="45" t="str">
        <f>'6.1Personnel List'!H45</f>
        <v>FT</v>
      </c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>
        <v>0.3</v>
      </c>
      <c r="CM44" s="41"/>
      <c r="CN44" s="41"/>
      <c r="CO44" s="41"/>
      <c r="CP44" s="41">
        <v>0.1</v>
      </c>
      <c r="CQ44" s="41"/>
      <c r="CR44" s="41"/>
      <c r="CS44" s="41"/>
      <c r="CT44" s="41">
        <v>0.1</v>
      </c>
      <c r="CU44" s="41">
        <v>0.2</v>
      </c>
      <c r="CV44" s="41"/>
      <c r="CW44" s="41"/>
      <c r="CX44" s="41"/>
      <c r="CY44" s="41"/>
      <c r="CZ44" s="41"/>
      <c r="DA44" s="41"/>
      <c r="DB44" s="41"/>
      <c r="DC44" s="41"/>
      <c r="DD44" s="41">
        <v>0.1</v>
      </c>
      <c r="DE44" s="41"/>
      <c r="DF44" s="41"/>
      <c r="DG44" s="41"/>
      <c r="DH44" s="41"/>
      <c r="DI44" s="41"/>
      <c r="DJ44" s="41"/>
      <c r="DK44" s="41"/>
      <c r="DL44" s="41">
        <v>0.2</v>
      </c>
      <c r="DM44" s="41"/>
      <c r="DN44" s="41"/>
      <c r="DO44" s="41"/>
      <c r="DP44" s="41"/>
      <c r="DQ44" s="41"/>
      <c r="DR44" s="41"/>
      <c r="DS44" s="43"/>
      <c r="DT44" s="44">
        <f t="shared" ref="DT44" si="26">SUM(F44:DR44)</f>
        <v>1</v>
      </c>
    </row>
    <row r="45" spans="2:124" s="13" customFormat="1">
      <c r="B45" s="4">
        <f>'6.1Personnel List'!B46</f>
        <v>33</v>
      </c>
      <c r="C45" s="45" t="s">
        <v>144</v>
      </c>
      <c r="D45" s="45" t="str">
        <f>'6.1Personnel List'!D46</f>
        <v>Medical Officer III</v>
      </c>
      <c r="E45" s="45" t="str">
        <f>'6.1Personnel List'!H46</f>
        <v>FT</v>
      </c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>
        <v>0.3</v>
      </c>
      <c r="CM45" s="41"/>
      <c r="CN45" s="41"/>
      <c r="CO45" s="41"/>
      <c r="CP45" s="41">
        <v>0.1</v>
      </c>
      <c r="CQ45" s="41"/>
      <c r="CR45" s="41"/>
      <c r="CS45" s="41"/>
      <c r="CT45" s="41">
        <v>0.1</v>
      </c>
      <c r="CU45" s="41">
        <v>0.2</v>
      </c>
      <c r="CV45" s="41"/>
      <c r="CW45" s="41"/>
      <c r="CX45" s="41"/>
      <c r="CY45" s="41"/>
      <c r="CZ45" s="41"/>
      <c r="DA45" s="41"/>
      <c r="DB45" s="41"/>
      <c r="DC45" s="41"/>
      <c r="DD45" s="41">
        <v>0.1</v>
      </c>
      <c r="DE45" s="41"/>
      <c r="DF45" s="41"/>
      <c r="DG45" s="41"/>
      <c r="DH45" s="41"/>
      <c r="DI45" s="41"/>
      <c r="DJ45" s="41"/>
      <c r="DK45" s="41"/>
      <c r="DL45" s="41">
        <v>0.2</v>
      </c>
      <c r="DM45" s="41"/>
      <c r="DN45" s="41"/>
      <c r="DO45" s="41"/>
      <c r="DP45" s="41"/>
      <c r="DQ45" s="41"/>
      <c r="DR45" s="41"/>
      <c r="DS45" s="43"/>
      <c r="DT45" s="44">
        <f t="shared" ref="DT45" si="27">SUM(F45:DR45)</f>
        <v>1</v>
      </c>
    </row>
    <row r="46" spans="2:124" s="13" customFormat="1">
      <c r="B46" s="4">
        <f>'6.1Personnel List'!B47</f>
        <v>34</v>
      </c>
      <c r="C46" s="45" t="s">
        <v>160</v>
      </c>
      <c r="D46" s="45" t="str">
        <f>'6.1Personnel List'!D47</f>
        <v>Medical Officer III</v>
      </c>
      <c r="E46" s="45" t="str">
        <f>'6.1Personnel List'!H47</f>
        <v>FT</v>
      </c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>
        <v>0.3</v>
      </c>
      <c r="CM46" s="41"/>
      <c r="CN46" s="41"/>
      <c r="CO46" s="41"/>
      <c r="CP46" s="41">
        <v>0.1</v>
      </c>
      <c r="CQ46" s="41"/>
      <c r="CR46" s="41"/>
      <c r="CS46" s="41"/>
      <c r="CT46" s="41">
        <v>0.1</v>
      </c>
      <c r="CU46" s="41">
        <v>0.2</v>
      </c>
      <c r="CV46" s="41"/>
      <c r="CW46" s="41"/>
      <c r="CX46" s="41"/>
      <c r="CY46" s="41"/>
      <c r="CZ46" s="41"/>
      <c r="DA46" s="41"/>
      <c r="DB46" s="41"/>
      <c r="DC46" s="41"/>
      <c r="DD46" s="41">
        <v>0.1</v>
      </c>
      <c r="DE46" s="41"/>
      <c r="DF46" s="41"/>
      <c r="DG46" s="41"/>
      <c r="DH46" s="41"/>
      <c r="DI46" s="41"/>
      <c r="DJ46" s="41"/>
      <c r="DK46" s="41"/>
      <c r="DL46" s="41">
        <v>0.2</v>
      </c>
      <c r="DM46" s="41"/>
      <c r="DN46" s="41"/>
      <c r="DO46" s="41"/>
      <c r="DP46" s="41"/>
      <c r="DQ46" s="41"/>
      <c r="DR46" s="41"/>
      <c r="DS46" s="43"/>
      <c r="DT46" s="44">
        <f t="shared" ref="DT46" si="28">SUM(F46:DR46)</f>
        <v>1</v>
      </c>
    </row>
    <row r="47" spans="2:124" s="13" customFormat="1">
      <c r="B47" s="4">
        <f>'6.1Personnel List'!B48</f>
        <v>35</v>
      </c>
      <c r="C47" s="45" t="s">
        <v>161</v>
      </c>
      <c r="D47" s="45" t="str">
        <f>'6.1Personnel List'!D48</f>
        <v>Medical Officer III</v>
      </c>
      <c r="E47" s="45" t="str">
        <f>'6.1Personnel List'!H48</f>
        <v>FT</v>
      </c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>
        <v>0.3</v>
      </c>
      <c r="CM47" s="41"/>
      <c r="CN47" s="41"/>
      <c r="CO47" s="41"/>
      <c r="CP47" s="41">
        <v>0.1</v>
      </c>
      <c r="CQ47" s="41"/>
      <c r="CR47" s="41"/>
      <c r="CS47" s="41"/>
      <c r="CT47" s="41">
        <v>0.1</v>
      </c>
      <c r="CU47" s="41">
        <v>0.2</v>
      </c>
      <c r="CV47" s="41"/>
      <c r="CW47" s="41"/>
      <c r="CX47" s="41"/>
      <c r="CY47" s="41"/>
      <c r="CZ47" s="41"/>
      <c r="DA47" s="41"/>
      <c r="DB47" s="41"/>
      <c r="DC47" s="41"/>
      <c r="DD47" s="41">
        <v>0.1</v>
      </c>
      <c r="DE47" s="41"/>
      <c r="DF47" s="41"/>
      <c r="DG47" s="41"/>
      <c r="DH47" s="41"/>
      <c r="DI47" s="41"/>
      <c r="DJ47" s="41"/>
      <c r="DK47" s="41"/>
      <c r="DL47" s="41">
        <v>0.2</v>
      </c>
      <c r="DM47" s="41"/>
      <c r="DN47" s="41"/>
      <c r="DO47" s="41"/>
      <c r="DP47" s="41"/>
      <c r="DQ47" s="41"/>
      <c r="DR47" s="41"/>
      <c r="DS47" s="43"/>
      <c r="DT47" s="44">
        <f t="shared" ref="DT47" si="29">SUM(F47:DR47)</f>
        <v>1</v>
      </c>
    </row>
    <row r="48" spans="2:124" s="13" customFormat="1">
      <c r="B48" s="4">
        <f>'6.1Personnel List'!B49</f>
        <v>36</v>
      </c>
      <c r="C48" s="45" t="s">
        <v>145</v>
      </c>
      <c r="D48" s="45" t="str">
        <f>'6.1Personnel List'!D49</f>
        <v>Medical Officer III</v>
      </c>
      <c r="E48" s="45" t="str">
        <f>'6.1Personnel List'!H49</f>
        <v>FT</v>
      </c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>
        <v>0.3</v>
      </c>
      <c r="CM48" s="41"/>
      <c r="CN48" s="41"/>
      <c r="CO48" s="41"/>
      <c r="CP48" s="41">
        <v>0.1</v>
      </c>
      <c r="CQ48" s="41"/>
      <c r="CR48" s="41"/>
      <c r="CS48" s="41"/>
      <c r="CT48" s="41">
        <v>0.1</v>
      </c>
      <c r="CU48" s="41">
        <v>0.2</v>
      </c>
      <c r="CV48" s="41"/>
      <c r="CW48" s="41"/>
      <c r="CX48" s="41"/>
      <c r="CY48" s="41"/>
      <c r="CZ48" s="41"/>
      <c r="DA48" s="41"/>
      <c r="DB48" s="41"/>
      <c r="DC48" s="41"/>
      <c r="DD48" s="41">
        <v>0.1</v>
      </c>
      <c r="DE48" s="41"/>
      <c r="DF48" s="41"/>
      <c r="DG48" s="41"/>
      <c r="DH48" s="41"/>
      <c r="DI48" s="41"/>
      <c r="DJ48" s="41"/>
      <c r="DK48" s="41"/>
      <c r="DL48" s="41">
        <v>0.2</v>
      </c>
      <c r="DM48" s="41"/>
      <c r="DN48" s="41"/>
      <c r="DO48" s="41"/>
      <c r="DP48" s="41"/>
      <c r="DQ48" s="41"/>
      <c r="DR48" s="41"/>
      <c r="DS48" s="43"/>
      <c r="DT48" s="44">
        <f t="shared" ref="DT48" si="30">SUM(F48:DR48)</f>
        <v>1</v>
      </c>
    </row>
    <row r="49" spans="2:124" s="13" customFormat="1">
      <c r="B49" s="4">
        <f>'6.1Personnel List'!B50</f>
        <v>37</v>
      </c>
      <c r="C49" s="45" t="s">
        <v>146</v>
      </c>
      <c r="D49" s="45" t="str">
        <f>'6.1Personnel List'!D50</f>
        <v xml:space="preserve">Medical Officer III </v>
      </c>
      <c r="E49" s="45" t="str">
        <f>'6.1Personnel List'!H50</f>
        <v>FT</v>
      </c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>
        <v>0.3</v>
      </c>
      <c r="CM49" s="41"/>
      <c r="CN49" s="41"/>
      <c r="CO49" s="41"/>
      <c r="CP49" s="41">
        <v>0.1</v>
      </c>
      <c r="CQ49" s="41"/>
      <c r="CR49" s="41"/>
      <c r="CS49" s="41"/>
      <c r="CT49" s="41">
        <v>0.1</v>
      </c>
      <c r="CU49" s="41">
        <v>0.2</v>
      </c>
      <c r="CV49" s="41"/>
      <c r="CW49" s="41"/>
      <c r="CX49" s="41"/>
      <c r="CY49" s="41"/>
      <c r="CZ49" s="41"/>
      <c r="DA49" s="41"/>
      <c r="DB49" s="41"/>
      <c r="DC49" s="41"/>
      <c r="DD49" s="41">
        <v>0.1</v>
      </c>
      <c r="DE49" s="41"/>
      <c r="DF49" s="41"/>
      <c r="DG49" s="41"/>
      <c r="DH49" s="41"/>
      <c r="DI49" s="41"/>
      <c r="DJ49" s="41"/>
      <c r="DK49" s="41"/>
      <c r="DL49" s="41">
        <v>0.2</v>
      </c>
      <c r="DM49" s="41"/>
      <c r="DN49" s="41"/>
      <c r="DO49" s="41"/>
      <c r="DP49" s="41"/>
      <c r="DQ49" s="41"/>
      <c r="DR49" s="41"/>
      <c r="DS49" s="43"/>
      <c r="DT49" s="44">
        <f t="shared" ref="DT49" si="31">SUM(F49:DR49)</f>
        <v>1</v>
      </c>
    </row>
    <row r="50" spans="2:124" s="13" customFormat="1">
      <c r="B50" s="4">
        <f>'6.1Personnel List'!B51</f>
        <v>38</v>
      </c>
      <c r="C50" s="45" t="s">
        <v>148</v>
      </c>
      <c r="D50" s="45" t="str">
        <f>'6.1Personnel List'!D51</f>
        <v>Medical Officer III</v>
      </c>
      <c r="E50" s="45" t="str">
        <f>'6.1Personnel List'!H51</f>
        <v>FT</v>
      </c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>
        <v>0.3</v>
      </c>
      <c r="CM50" s="41"/>
      <c r="CN50" s="41"/>
      <c r="CO50" s="41"/>
      <c r="CP50" s="41">
        <v>0.1</v>
      </c>
      <c r="CQ50" s="41"/>
      <c r="CR50" s="41"/>
      <c r="CS50" s="41"/>
      <c r="CT50" s="41">
        <v>0.1</v>
      </c>
      <c r="CU50" s="41">
        <v>0.2</v>
      </c>
      <c r="CV50" s="41"/>
      <c r="CW50" s="41"/>
      <c r="CX50" s="41"/>
      <c r="CY50" s="41"/>
      <c r="CZ50" s="41"/>
      <c r="DA50" s="41"/>
      <c r="DB50" s="41"/>
      <c r="DC50" s="41"/>
      <c r="DD50" s="41">
        <v>0.1</v>
      </c>
      <c r="DE50" s="41"/>
      <c r="DF50" s="41"/>
      <c r="DG50" s="41"/>
      <c r="DH50" s="41"/>
      <c r="DI50" s="41"/>
      <c r="DJ50" s="41"/>
      <c r="DK50" s="41"/>
      <c r="DL50" s="41">
        <v>0.2</v>
      </c>
      <c r="DM50" s="41"/>
      <c r="DN50" s="41"/>
      <c r="DO50" s="41"/>
      <c r="DP50" s="41"/>
      <c r="DQ50" s="41"/>
      <c r="DR50" s="41"/>
      <c r="DS50" s="43"/>
      <c r="DT50" s="44">
        <f t="shared" ref="DT50" si="32">SUM(F50:DR50)</f>
        <v>1</v>
      </c>
    </row>
    <row r="51" spans="2:124" s="13" customFormat="1">
      <c r="B51" s="4">
        <f>'6.1Personnel List'!B52</f>
        <v>39</v>
      </c>
      <c r="C51" s="45" t="s">
        <v>149</v>
      </c>
      <c r="D51" s="45" t="str">
        <f>'6.1Personnel List'!D52</f>
        <v>Medical Officer III</v>
      </c>
      <c r="E51" s="45" t="str">
        <f>'6.1Personnel List'!H52</f>
        <v>FT</v>
      </c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>
        <v>0.3</v>
      </c>
      <c r="CM51" s="41"/>
      <c r="CN51" s="41"/>
      <c r="CO51" s="41"/>
      <c r="CP51" s="41">
        <v>0.1</v>
      </c>
      <c r="CQ51" s="41"/>
      <c r="CR51" s="41"/>
      <c r="CS51" s="41"/>
      <c r="CT51" s="41">
        <v>0.1</v>
      </c>
      <c r="CU51" s="41">
        <v>0.2</v>
      </c>
      <c r="CV51" s="41"/>
      <c r="CW51" s="41"/>
      <c r="CX51" s="41"/>
      <c r="CY51" s="41"/>
      <c r="CZ51" s="41"/>
      <c r="DA51" s="41"/>
      <c r="DB51" s="41"/>
      <c r="DC51" s="41"/>
      <c r="DD51" s="41">
        <v>0.1</v>
      </c>
      <c r="DE51" s="41"/>
      <c r="DF51" s="41"/>
      <c r="DG51" s="41"/>
      <c r="DH51" s="41"/>
      <c r="DI51" s="41"/>
      <c r="DJ51" s="41"/>
      <c r="DK51" s="41"/>
      <c r="DL51" s="41">
        <v>0.2</v>
      </c>
      <c r="DM51" s="41"/>
      <c r="DN51" s="41"/>
      <c r="DO51" s="41"/>
      <c r="DP51" s="41"/>
      <c r="DQ51" s="41"/>
      <c r="DR51" s="41"/>
      <c r="DS51" s="43"/>
      <c r="DT51" s="44">
        <f t="shared" ref="DT51" si="33">SUM(F51:DR51)</f>
        <v>1</v>
      </c>
    </row>
    <row r="52" spans="2:124" s="13" customFormat="1">
      <c r="B52" s="4">
        <f>'6.1Personnel List'!B53</f>
        <v>40</v>
      </c>
      <c r="C52" s="45" t="s">
        <v>150</v>
      </c>
      <c r="D52" s="45" t="str">
        <f>'6.1Personnel List'!D53</f>
        <v>Medical Officer III</v>
      </c>
      <c r="E52" s="45" t="str">
        <f>'6.1Personnel List'!H53</f>
        <v>FT</v>
      </c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>
        <v>0.3</v>
      </c>
      <c r="CM52" s="41"/>
      <c r="CN52" s="41"/>
      <c r="CO52" s="41"/>
      <c r="CP52" s="41">
        <v>0.1</v>
      </c>
      <c r="CQ52" s="41"/>
      <c r="CR52" s="41"/>
      <c r="CS52" s="41"/>
      <c r="CT52" s="41">
        <v>0.1</v>
      </c>
      <c r="CU52" s="41">
        <v>0.2</v>
      </c>
      <c r="CV52" s="41"/>
      <c r="CW52" s="41"/>
      <c r="CX52" s="41"/>
      <c r="CY52" s="41"/>
      <c r="CZ52" s="41"/>
      <c r="DA52" s="41"/>
      <c r="DB52" s="41"/>
      <c r="DC52" s="41"/>
      <c r="DD52" s="41">
        <v>0.1</v>
      </c>
      <c r="DE52" s="41"/>
      <c r="DF52" s="41"/>
      <c r="DG52" s="41"/>
      <c r="DH52" s="41"/>
      <c r="DI52" s="41"/>
      <c r="DJ52" s="41"/>
      <c r="DK52" s="41"/>
      <c r="DL52" s="41">
        <v>0.2</v>
      </c>
      <c r="DM52" s="41"/>
      <c r="DN52" s="41"/>
      <c r="DO52" s="41"/>
      <c r="DP52" s="41"/>
      <c r="DQ52" s="41"/>
      <c r="DR52" s="41"/>
      <c r="DS52" s="43"/>
      <c r="DT52" s="44">
        <f t="shared" ref="DT52" si="34">SUM(F52:DR52)</f>
        <v>1</v>
      </c>
    </row>
    <row r="53" spans="2:124" s="13" customFormat="1">
      <c r="B53" s="4">
        <f>'6.1Personnel List'!B54</f>
        <v>41</v>
      </c>
      <c r="C53" s="45" t="s">
        <v>151</v>
      </c>
      <c r="D53" s="45" t="str">
        <f>'6.1Personnel List'!D54</f>
        <v>Medical Officer III</v>
      </c>
      <c r="E53" s="45" t="str">
        <f>'6.1Personnel List'!H54</f>
        <v>FT</v>
      </c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>
        <v>0.3</v>
      </c>
      <c r="CM53" s="41"/>
      <c r="CN53" s="41"/>
      <c r="CO53" s="41"/>
      <c r="CP53" s="41">
        <v>0.1</v>
      </c>
      <c r="CQ53" s="41"/>
      <c r="CR53" s="41"/>
      <c r="CS53" s="41"/>
      <c r="CT53" s="41">
        <v>0.1</v>
      </c>
      <c r="CU53" s="41">
        <v>0.2</v>
      </c>
      <c r="CV53" s="41"/>
      <c r="CW53" s="41"/>
      <c r="CX53" s="41"/>
      <c r="CY53" s="41"/>
      <c r="CZ53" s="41"/>
      <c r="DA53" s="41"/>
      <c r="DB53" s="41"/>
      <c r="DC53" s="41"/>
      <c r="DD53" s="41">
        <v>0.1</v>
      </c>
      <c r="DE53" s="41"/>
      <c r="DF53" s="41"/>
      <c r="DG53" s="41"/>
      <c r="DH53" s="41"/>
      <c r="DI53" s="41"/>
      <c r="DJ53" s="41"/>
      <c r="DK53" s="41"/>
      <c r="DL53" s="41">
        <v>0.2</v>
      </c>
      <c r="DM53" s="41"/>
      <c r="DN53" s="41"/>
      <c r="DO53" s="41"/>
      <c r="DP53" s="41"/>
      <c r="DQ53" s="41"/>
      <c r="DR53" s="41"/>
      <c r="DS53" s="43"/>
      <c r="DT53" s="44">
        <f t="shared" ref="DT53" si="35">SUM(F53:DR53)</f>
        <v>1</v>
      </c>
    </row>
    <row r="54" spans="2:124" s="13" customFormat="1">
      <c r="B54" s="4">
        <f>'6.1Personnel List'!B55</f>
        <v>42</v>
      </c>
      <c r="C54" s="45" t="s">
        <v>152</v>
      </c>
      <c r="D54" s="45" t="str">
        <f>'6.1Personnel List'!D55</f>
        <v>Medical Officer III</v>
      </c>
      <c r="E54" s="45" t="str">
        <f>'6.1Personnel List'!H55</f>
        <v>FT</v>
      </c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>
        <v>0.3</v>
      </c>
      <c r="CM54" s="41"/>
      <c r="CN54" s="41"/>
      <c r="CO54" s="41"/>
      <c r="CP54" s="41">
        <v>0.1</v>
      </c>
      <c r="CQ54" s="41"/>
      <c r="CR54" s="41"/>
      <c r="CS54" s="41"/>
      <c r="CT54" s="41">
        <v>0.1</v>
      </c>
      <c r="CU54" s="41">
        <v>0.2</v>
      </c>
      <c r="CV54" s="41"/>
      <c r="CW54" s="41"/>
      <c r="CX54" s="41"/>
      <c r="CY54" s="41"/>
      <c r="CZ54" s="41"/>
      <c r="DA54" s="41"/>
      <c r="DB54" s="41"/>
      <c r="DC54" s="41"/>
      <c r="DD54" s="41">
        <v>0.1</v>
      </c>
      <c r="DE54" s="41"/>
      <c r="DF54" s="41"/>
      <c r="DG54" s="41"/>
      <c r="DH54" s="41"/>
      <c r="DI54" s="41"/>
      <c r="DJ54" s="41"/>
      <c r="DK54" s="41"/>
      <c r="DL54" s="41">
        <v>0.2</v>
      </c>
      <c r="DM54" s="41"/>
      <c r="DN54" s="41"/>
      <c r="DO54" s="41"/>
      <c r="DP54" s="41"/>
      <c r="DQ54" s="41"/>
      <c r="DR54" s="41"/>
      <c r="DS54" s="43"/>
      <c r="DT54" s="44">
        <f t="shared" ref="DT54" si="36">SUM(F54:DR54)</f>
        <v>1</v>
      </c>
    </row>
    <row r="55" spans="2:124" s="13" customFormat="1">
      <c r="B55" s="4">
        <f>'6.1Personnel List'!B56</f>
        <v>43</v>
      </c>
      <c r="C55" s="45" t="s">
        <v>153</v>
      </c>
      <c r="D55" s="45" t="str">
        <f>'6.1Personnel List'!D56</f>
        <v>Medical Officer III</v>
      </c>
      <c r="E55" s="45" t="str">
        <f>'6.1Personnel List'!H56</f>
        <v>FT</v>
      </c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>
        <v>0.3</v>
      </c>
      <c r="CM55" s="41"/>
      <c r="CN55" s="41"/>
      <c r="CO55" s="41"/>
      <c r="CP55" s="41">
        <v>0.1</v>
      </c>
      <c r="CQ55" s="41"/>
      <c r="CR55" s="41"/>
      <c r="CS55" s="41"/>
      <c r="CT55" s="41">
        <v>0.1</v>
      </c>
      <c r="CU55" s="41">
        <v>0.2</v>
      </c>
      <c r="CV55" s="41"/>
      <c r="CW55" s="41"/>
      <c r="CX55" s="41"/>
      <c r="CY55" s="41"/>
      <c r="CZ55" s="41"/>
      <c r="DA55" s="41"/>
      <c r="DB55" s="41"/>
      <c r="DC55" s="41"/>
      <c r="DD55" s="41">
        <v>0.1</v>
      </c>
      <c r="DE55" s="41"/>
      <c r="DF55" s="41"/>
      <c r="DG55" s="41"/>
      <c r="DH55" s="41"/>
      <c r="DI55" s="41"/>
      <c r="DJ55" s="41"/>
      <c r="DK55" s="41"/>
      <c r="DL55" s="41">
        <v>0.2</v>
      </c>
      <c r="DM55" s="41"/>
      <c r="DN55" s="41"/>
      <c r="DO55" s="41"/>
      <c r="DP55" s="41"/>
      <c r="DQ55" s="41"/>
      <c r="DR55" s="41"/>
      <c r="DS55" s="43"/>
      <c r="DT55" s="44">
        <f t="shared" ref="DT55" si="37">SUM(F55:DR55)</f>
        <v>1</v>
      </c>
    </row>
    <row r="56" spans="2:124" s="13" customFormat="1">
      <c r="B56" s="4">
        <f>'6.1Personnel List'!B57</f>
        <v>44</v>
      </c>
      <c r="C56" s="45" t="s">
        <v>154</v>
      </c>
      <c r="D56" s="45" t="str">
        <f>'6.1Personnel List'!D57</f>
        <v>Medical Officer III</v>
      </c>
      <c r="E56" s="45" t="str">
        <f>'6.1Personnel List'!H57</f>
        <v>FT</v>
      </c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>
        <v>0.3</v>
      </c>
      <c r="CM56" s="41"/>
      <c r="CN56" s="41"/>
      <c r="CO56" s="41"/>
      <c r="CP56" s="41">
        <v>0.1</v>
      </c>
      <c r="CQ56" s="41"/>
      <c r="CR56" s="41"/>
      <c r="CS56" s="41"/>
      <c r="CT56" s="41">
        <v>0.1</v>
      </c>
      <c r="CU56" s="41">
        <v>0.2</v>
      </c>
      <c r="CV56" s="41"/>
      <c r="CW56" s="41"/>
      <c r="CX56" s="41"/>
      <c r="CY56" s="41"/>
      <c r="CZ56" s="41"/>
      <c r="DA56" s="41"/>
      <c r="DB56" s="41"/>
      <c r="DC56" s="41"/>
      <c r="DD56" s="41">
        <v>0.1</v>
      </c>
      <c r="DE56" s="41"/>
      <c r="DF56" s="41"/>
      <c r="DG56" s="41"/>
      <c r="DH56" s="41"/>
      <c r="DI56" s="41"/>
      <c r="DJ56" s="41"/>
      <c r="DK56" s="41"/>
      <c r="DL56" s="41">
        <v>0.2</v>
      </c>
      <c r="DM56" s="41"/>
      <c r="DN56" s="41"/>
      <c r="DO56" s="41"/>
      <c r="DP56" s="41"/>
      <c r="DQ56" s="41"/>
      <c r="DR56" s="41"/>
      <c r="DS56" s="43"/>
      <c r="DT56" s="44">
        <f t="shared" ref="DT56" si="38">SUM(F56:DR56)</f>
        <v>1</v>
      </c>
    </row>
    <row r="57" spans="2:124" s="13" customFormat="1">
      <c r="B57" s="4">
        <f>'6.1Personnel List'!B58</f>
        <v>45</v>
      </c>
      <c r="C57" s="45" t="s">
        <v>155</v>
      </c>
      <c r="D57" s="45" t="str">
        <f>'6.1Personnel List'!D58</f>
        <v>Medical Officer III</v>
      </c>
      <c r="E57" s="45" t="str">
        <f>'6.1Personnel List'!H58</f>
        <v>FT</v>
      </c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>
        <v>0.3</v>
      </c>
      <c r="CM57" s="41"/>
      <c r="CN57" s="41"/>
      <c r="CO57" s="41"/>
      <c r="CP57" s="41">
        <v>0.1</v>
      </c>
      <c r="CQ57" s="41"/>
      <c r="CR57" s="41"/>
      <c r="CS57" s="41"/>
      <c r="CT57" s="41">
        <v>0.1</v>
      </c>
      <c r="CU57" s="41">
        <v>0.2</v>
      </c>
      <c r="CV57" s="41"/>
      <c r="CW57" s="41"/>
      <c r="CX57" s="41"/>
      <c r="CY57" s="41"/>
      <c r="CZ57" s="41"/>
      <c r="DA57" s="41"/>
      <c r="DB57" s="41"/>
      <c r="DC57" s="41"/>
      <c r="DD57" s="41">
        <v>0.1</v>
      </c>
      <c r="DE57" s="41"/>
      <c r="DF57" s="41"/>
      <c r="DG57" s="41"/>
      <c r="DH57" s="41"/>
      <c r="DI57" s="41"/>
      <c r="DJ57" s="41"/>
      <c r="DK57" s="41"/>
      <c r="DL57" s="41">
        <v>0.2</v>
      </c>
      <c r="DM57" s="41"/>
      <c r="DN57" s="41"/>
      <c r="DO57" s="41"/>
      <c r="DP57" s="41"/>
      <c r="DQ57" s="41"/>
      <c r="DR57" s="41"/>
      <c r="DS57" s="43"/>
      <c r="DT57" s="44">
        <f t="shared" ref="DT57" si="39">SUM(F57:DR57)</f>
        <v>1</v>
      </c>
    </row>
    <row r="58" spans="2:124" s="13" customFormat="1">
      <c r="B58" s="4">
        <f>'6.1Personnel List'!B59</f>
        <v>46</v>
      </c>
      <c r="C58" s="45" t="s">
        <v>156</v>
      </c>
      <c r="D58" s="45" t="str">
        <f>'6.1Personnel List'!D59</f>
        <v>Medical Officer III</v>
      </c>
      <c r="E58" s="45" t="str">
        <f>'6.1Personnel List'!H59</f>
        <v>FT</v>
      </c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>
        <v>0.3</v>
      </c>
      <c r="CM58" s="41"/>
      <c r="CN58" s="41"/>
      <c r="CO58" s="41"/>
      <c r="CP58" s="41">
        <v>0.1</v>
      </c>
      <c r="CQ58" s="41"/>
      <c r="CR58" s="41"/>
      <c r="CS58" s="41"/>
      <c r="CT58" s="41">
        <v>0.1</v>
      </c>
      <c r="CU58" s="41">
        <v>0.2</v>
      </c>
      <c r="CV58" s="41"/>
      <c r="CW58" s="41"/>
      <c r="CX58" s="41"/>
      <c r="CY58" s="41"/>
      <c r="CZ58" s="41"/>
      <c r="DA58" s="41"/>
      <c r="DB58" s="41"/>
      <c r="DC58" s="41"/>
      <c r="DD58" s="41">
        <v>0.1</v>
      </c>
      <c r="DE58" s="41"/>
      <c r="DF58" s="41"/>
      <c r="DG58" s="41"/>
      <c r="DH58" s="41"/>
      <c r="DI58" s="41"/>
      <c r="DJ58" s="41"/>
      <c r="DK58" s="41"/>
      <c r="DL58" s="41">
        <v>0.2</v>
      </c>
      <c r="DM58" s="41"/>
      <c r="DN58" s="41"/>
      <c r="DO58" s="41"/>
      <c r="DP58" s="41"/>
      <c r="DQ58" s="41"/>
      <c r="DR58" s="41"/>
      <c r="DS58" s="43"/>
      <c r="DT58" s="44">
        <f t="shared" ref="DT58" si="40">SUM(F58:DR58)</f>
        <v>1</v>
      </c>
    </row>
    <row r="59" spans="2:124" s="13" customFormat="1">
      <c r="B59" s="4">
        <f>'6.1Personnel List'!B60</f>
        <v>47</v>
      </c>
      <c r="C59" s="45" t="s">
        <v>157</v>
      </c>
      <c r="D59" s="45" t="str">
        <f>'6.1Personnel List'!D60</f>
        <v>Medical Officer III</v>
      </c>
      <c r="E59" s="45" t="str">
        <f>'6.1Personnel List'!H60</f>
        <v>FT</v>
      </c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>
        <v>0.3</v>
      </c>
      <c r="CM59" s="41"/>
      <c r="CN59" s="41"/>
      <c r="CO59" s="41"/>
      <c r="CP59" s="41">
        <v>0.1</v>
      </c>
      <c r="CQ59" s="41"/>
      <c r="CR59" s="41"/>
      <c r="CS59" s="41"/>
      <c r="CT59" s="41">
        <v>0.1</v>
      </c>
      <c r="CU59" s="41">
        <v>0.2</v>
      </c>
      <c r="CV59" s="41"/>
      <c r="CW59" s="41"/>
      <c r="CX59" s="41"/>
      <c r="CY59" s="41"/>
      <c r="CZ59" s="41"/>
      <c r="DA59" s="41"/>
      <c r="DB59" s="41"/>
      <c r="DC59" s="41"/>
      <c r="DD59" s="41">
        <v>0.1</v>
      </c>
      <c r="DE59" s="41"/>
      <c r="DF59" s="41"/>
      <c r="DG59" s="41"/>
      <c r="DH59" s="41"/>
      <c r="DI59" s="41"/>
      <c r="DJ59" s="41"/>
      <c r="DK59" s="41"/>
      <c r="DL59" s="41">
        <v>0.2</v>
      </c>
      <c r="DM59" s="41"/>
      <c r="DN59" s="41"/>
      <c r="DO59" s="41"/>
      <c r="DP59" s="41"/>
      <c r="DQ59" s="41"/>
      <c r="DR59" s="41"/>
      <c r="DS59" s="43"/>
      <c r="DT59" s="44">
        <f t="shared" ref="DT59" si="41">SUM(F59:DR59)</f>
        <v>1</v>
      </c>
    </row>
    <row r="60" spans="2:124" s="13" customFormat="1">
      <c r="B60" s="4">
        <f>'6.1Personnel List'!B61</f>
        <v>48</v>
      </c>
      <c r="C60" s="45" t="s">
        <v>158</v>
      </c>
      <c r="D60" s="45" t="str">
        <f>'6.1Personnel List'!D61</f>
        <v>Administrative Assistant I</v>
      </c>
      <c r="E60" s="45" t="str">
        <f>'6.1Personnel List'!H61</f>
        <v>FT</v>
      </c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>
        <v>0.3</v>
      </c>
      <c r="CM60" s="41"/>
      <c r="CN60" s="41"/>
      <c r="CO60" s="41"/>
      <c r="CP60" s="41">
        <v>0.1</v>
      </c>
      <c r="CQ60" s="41"/>
      <c r="CR60" s="41"/>
      <c r="CS60" s="41"/>
      <c r="CT60" s="41">
        <v>0.1</v>
      </c>
      <c r="CU60" s="41">
        <v>0.2</v>
      </c>
      <c r="CV60" s="41"/>
      <c r="CW60" s="41"/>
      <c r="CX60" s="41"/>
      <c r="CY60" s="41"/>
      <c r="CZ60" s="41"/>
      <c r="DA60" s="41"/>
      <c r="DB60" s="41"/>
      <c r="DC60" s="41"/>
      <c r="DD60" s="41">
        <v>0.1</v>
      </c>
      <c r="DE60" s="41"/>
      <c r="DF60" s="41"/>
      <c r="DG60" s="41"/>
      <c r="DH60" s="41"/>
      <c r="DI60" s="41"/>
      <c r="DJ60" s="41"/>
      <c r="DK60" s="41"/>
      <c r="DL60" s="41">
        <v>0.2</v>
      </c>
      <c r="DM60" s="41"/>
      <c r="DN60" s="41"/>
      <c r="DO60" s="41"/>
      <c r="DP60" s="41"/>
      <c r="DQ60" s="41"/>
      <c r="DR60" s="41"/>
      <c r="DS60" s="43"/>
      <c r="DT60" s="44">
        <f t="shared" ref="DT60" si="42">SUM(F60:DR60)</f>
        <v>1</v>
      </c>
    </row>
    <row r="61" spans="2:124" s="13" customFormat="1">
      <c r="B61" s="4">
        <f>'6.1Personnel List'!B62</f>
        <v>49</v>
      </c>
      <c r="C61" s="45" t="s">
        <v>165</v>
      </c>
      <c r="D61" s="45" t="str">
        <f>'6.1Personnel List'!D62</f>
        <v>Medical Specialist III (OIC-Chairman)</v>
      </c>
      <c r="E61" s="45" t="str">
        <f>'6.1Personnel List'!H62</f>
        <v>FT</v>
      </c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>
        <v>0.05</v>
      </c>
      <c r="CK61" s="41"/>
      <c r="CL61" s="41">
        <v>0.3</v>
      </c>
      <c r="CM61" s="41"/>
      <c r="CN61" s="41"/>
      <c r="CO61" s="41"/>
      <c r="CP61" s="41"/>
      <c r="CQ61" s="41"/>
      <c r="CR61" s="41"/>
      <c r="CS61" s="41"/>
      <c r="CT61" s="41">
        <v>0.15</v>
      </c>
      <c r="CU61" s="41">
        <v>0.4</v>
      </c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>
        <v>0.1</v>
      </c>
      <c r="DQ61" s="41"/>
      <c r="DR61" s="41"/>
      <c r="DS61" s="43"/>
      <c r="DT61" s="44">
        <f t="shared" ref="DT61" si="43">SUM(F61:DR61)</f>
        <v>1</v>
      </c>
    </row>
    <row r="62" spans="2:124" s="13" customFormat="1">
      <c r="B62" s="4">
        <f>'6.1Personnel List'!B63</f>
        <v>50</v>
      </c>
      <c r="C62" s="45" t="s">
        <v>167</v>
      </c>
      <c r="D62" s="45" t="str">
        <f>'6.1Personnel List'!D63</f>
        <v>Medical Specialist IV (P.T.)</v>
      </c>
      <c r="E62" s="45" t="str">
        <f>'6.1Personnel List'!H63</f>
        <v>PT</v>
      </c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>
        <v>0.05</v>
      </c>
      <c r="CK62" s="41"/>
      <c r="CL62" s="41">
        <v>0.3</v>
      </c>
      <c r="CM62" s="41"/>
      <c r="CN62" s="41"/>
      <c r="CO62" s="41"/>
      <c r="CP62" s="41"/>
      <c r="CQ62" s="41"/>
      <c r="CR62" s="41"/>
      <c r="CS62" s="41"/>
      <c r="CT62" s="41">
        <v>0.15</v>
      </c>
      <c r="CU62" s="41">
        <v>0.4</v>
      </c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>
        <v>0.1</v>
      </c>
      <c r="DQ62" s="41"/>
      <c r="DR62" s="41"/>
      <c r="DS62" s="43"/>
      <c r="DT62" s="44">
        <f t="shared" ref="DT62" si="44">SUM(F62:DR62)</f>
        <v>1</v>
      </c>
    </row>
    <row r="63" spans="2:124" s="13" customFormat="1">
      <c r="B63" s="4">
        <f>'6.1Personnel List'!B64</f>
        <v>51</v>
      </c>
      <c r="C63" s="45" t="s">
        <v>168</v>
      </c>
      <c r="D63" s="45" t="str">
        <f>'6.1Personnel List'!D64</f>
        <v>Medical Specialist III (P.T.)</v>
      </c>
      <c r="E63" s="45" t="str">
        <f>'6.1Personnel List'!H64</f>
        <v>PT</v>
      </c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>
        <v>0.05</v>
      </c>
      <c r="CK63" s="41"/>
      <c r="CL63" s="41">
        <v>0.3</v>
      </c>
      <c r="CM63" s="41"/>
      <c r="CN63" s="41"/>
      <c r="CO63" s="41"/>
      <c r="CP63" s="41"/>
      <c r="CQ63" s="41"/>
      <c r="CR63" s="41"/>
      <c r="CS63" s="41"/>
      <c r="CT63" s="41">
        <v>0.15</v>
      </c>
      <c r="CU63" s="41">
        <v>0.4</v>
      </c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>
        <v>0.1</v>
      </c>
      <c r="DQ63" s="41"/>
      <c r="DR63" s="41"/>
      <c r="DS63" s="43"/>
      <c r="DT63" s="44">
        <f t="shared" ref="DT63" si="45">SUM(F63:DR63)</f>
        <v>1</v>
      </c>
    </row>
    <row r="64" spans="2:124" s="13" customFormat="1">
      <c r="B64" s="4">
        <f>'6.1Personnel List'!B65</f>
        <v>52</v>
      </c>
      <c r="C64" s="45" t="s">
        <v>169</v>
      </c>
      <c r="D64" s="45" t="str">
        <f>'6.1Personnel List'!D65</f>
        <v>Medical Specialist II (P.T.)</v>
      </c>
      <c r="E64" s="45" t="str">
        <f>'6.1Personnel List'!H65</f>
        <v>PT</v>
      </c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>
        <v>0.05</v>
      </c>
      <c r="CK64" s="41"/>
      <c r="CL64" s="41">
        <v>0.3</v>
      </c>
      <c r="CM64" s="41"/>
      <c r="CN64" s="41"/>
      <c r="CO64" s="41"/>
      <c r="CP64" s="41"/>
      <c r="CQ64" s="41"/>
      <c r="CR64" s="41"/>
      <c r="CS64" s="41"/>
      <c r="CT64" s="41">
        <v>0.15</v>
      </c>
      <c r="CU64" s="41">
        <v>0.4</v>
      </c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>
        <v>0.1</v>
      </c>
      <c r="DQ64" s="41"/>
      <c r="DR64" s="41"/>
      <c r="DS64" s="43"/>
      <c r="DT64" s="44">
        <f t="shared" ref="DT64" si="46">SUM(F64:DR64)</f>
        <v>1</v>
      </c>
    </row>
    <row r="65" spans="2:124" s="13" customFormat="1">
      <c r="B65" s="4">
        <f>'6.1Personnel List'!B66</f>
        <v>53</v>
      </c>
      <c r="C65" s="45" t="s">
        <v>170</v>
      </c>
      <c r="D65" s="45" t="str">
        <f>'6.1Personnel List'!D66</f>
        <v>Medical Specialist II  (P.T.)</v>
      </c>
      <c r="E65" s="45" t="str">
        <f>'6.1Personnel List'!H66</f>
        <v>PT</v>
      </c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>
        <v>0.05</v>
      </c>
      <c r="CK65" s="41"/>
      <c r="CL65" s="41">
        <v>0.3</v>
      </c>
      <c r="CM65" s="41"/>
      <c r="CN65" s="41"/>
      <c r="CO65" s="41"/>
      <c r="CP65" s="41"/>
      <c r="CQ65" s="41"/>
      <c r="CR65" s="41"/>
      <c r="CS65" s="41"/>
      <c r="CT65" s="41">
        <v>0.15</v>
      </c>
      <c r="CU65" s="41">
        <v>0.4</v>
      </c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>
        <v>0.1</v>
      </c>
      <c r="DQ65" s="41"/>
      <c r="DR65" s="41"/>
      <c r="DS65" s="43"/>
      <c r="DT65" s="44">
        <f t="shared" ref="DT65" si="47">SUM(F65:DR65)</f>
        <v>1</v>
      </c>
    </row>
    <row r="66" spans="2:124" s="13" customFormat="1">
      <c r="B66" s="4">
        <f>'6.1Personnel List'!B67</f>
        <v>54</v>
      </c>
      <c r="C66" s="45" t="s">
        <v>172</v>
      </c>
      <c r="D66" s="45" t="str">
        <f>'6.1Personnel List'!D67</f>
        <v>Medical Specialist II (P.T.)</v>
      </c>
      <c r="E66" s="45" t="str">
        <f>'6.1Personnel List'!H67</f>
        <v>PT</v>
      </c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>
        <v>0.05</v>
      </c>
      <c r="CK66" s="41"/>
      <c r="CL66" s="41">
        <v>0.3</v>
      </c>
      <c r="CM66" s="41"/>
      <c r="CN66" s="41"/>
      <c r="CO66" s="41"/>
      <c r="CP66" s="41"/>
      <c r="CQ66" s="41"/>
      <c r="CR66" s="41"/>
      <c r="CS66" s="41"/>
      <c r="CT66" s="41">
        <v>0.15</v>
      </c>
      <c r="CU66" s="41">
        <v>0.4</v>
      </c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>
        <v>0.1</v>
      </c>
      <c r="DQ66" s="41"/>
      <c r="DR66" s="41"/>
      <c r="DS66" s="43"/>
      <c r="DT66" s="44">
        <f t="shared" ref="DT66" si="48">SUM(F66:DR66)</f>
        <v>1</v>
      </c>
    </row>
    <row r="67" spans="2:124" s="13" customFormat="1">
      <c r="B67" s="4">
        <f>'6.1Personnel List'!B68</f>
        <v>55</v>
      </c>
      <c r="C67" s="45" t="s">
        <v>173</v>
      </c>
      <c r="D67" s="45" t="str">
        <f>'6.1Personnel List'!D68</f>
        <v>Medical Specialist II (P.T.)</v>
      </c>
      <c r="E67" s="45" t="str">
        <f>'6.1Personnel List'!H68</f>
        <v>PT</v>
      </c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>
        <v>0.05</v>
      </c>
      <c r="CK67" s="41"/>
      <c r="CL67" s="41">
        <v>0.3</v>
      </c>
      <c r="CM67" s="41"/>
      <c r="CN67" s="41"/>
      <c r="CO67" s="41"/>
      <c r="CP67" s="41"/>
      <c r="CQ67" s="41"/>
      <c r="CR67" s="41"/>
      <c r="CS67" s="41"/>
      <c r="CT67" s="41">
        <v>0.15</v>
      </c>
      <c r="CU67" s="41">
        <v>0.4</v>
      </c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>
        <v>0.1</v>
      </c>
      <c r="DQ67" s="41"/>
      <c r="DR67" s="41"/>
      <c r="DS67" s="43"/>
      <c r="DT67" s="44">
        <f t="shared" ref="DT67" si="49">SUM(F67:DR67)</f>
        <v>1</v>
      </c>
    </row>
    <row r="68" spans="2:124" s="13" customFormat="1">
      <c r="B68" s="4">
        <f>'6.1Personnel List'!B69</f>
        <v>56</v>
      </c>
      <c r="C68" s="45" t="s">
        <v>174</v>
      </c>
      <c r="D68" s="45" t="str">
        <f>'6.1Personnel List'!D69</f>
        <v>Medical Specialist II (P.T.)</v>
      </c>
      <c r="E68" s="45" t="str">
        <f>'6.1Personnel List'!H69</f>
        <v>PT</v>
      </c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>
        <v>0.05</v>
      </c>
      <c r="CK68" s="41"/>
      <c r="CL68" s="41">
        <v>0.3</v>
      </c>
      <c r="CM68" s="41"/>
      <c r="CN68" s="41"/>
      <c r="CO68" s="41"/>
      <c r="CP68" s="41"/>
      <c r="CQ68" s="41"/>
      <c r="CR68" s="41"/>
      <c r="CS68" s="41"/>
      <c r="CT68" s="41">
        <v>0.15</v>
      </c>
      <c r="CU68" s="41">
        <v>0.4</v>
      </c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>
        <v>0.1</v>
      </c>
      <c r="DQ68" s="41"/>
      <c r="DR68" s="41"/>
      <c r="DS68" s="43"/>
      <c r="DT68" s="44">
        <f t="shared" ref="DT68" si="50">SUM(F68:DR68)</f>
        <v>1</v>
      </c>
    </row>
    <row r="69" spans="2:124" s="13" customFormat="1">
      <c r="B69" s="4">
        <f>'6.1Personnel List'!B70</f>
        <v>57</v>
      </c>
      <c r="C69" s="45" t="s">
        <v>175</v>
      </c>
      <c r="D69" s="45" t="str">
        <f>'6.1Personnel List'!D70</f>
        <v>Medical Specialist II (P.T.)</v>
      </c>
      <c r="E69" s="45" t="str">
        <f>'6.1Personnel List'!H70</f>
        <v>PT</v>
      </c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>
        <v>0.05</v>
      </c>
      <c r="CK69" s="41"/>
      <c r="CL69" s="41">
        <v>0.3</v>
      </c>
      <c r="CM69" s="41"/>
      <c r="CN69" s="41"/>
      <c r="CO69" s="41"/>
      <c r="CP69" s="41"/>
      <c r="CQ69" s="41"/>
      <c r="CR69" s="41"/>
      <c r="CS69" s="41"/>
      <c r="CT69" s="41">
        <v>0.15</v>
      </c>
      <c r="CU69" s="41">
        <v>0.4</v>
      </c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>
        <v>0.1</v>
      </c>
      <c r="DQ69" s="41"/>
      <c r="DR69" s="41"/>
      <c r="DS69" s="43"/>
      <c r="DT69" s="44">
        <f t="shared" ref="DT69" si="51">SUM(F69:DR69)</f>
        <v>1</v>
      </c>
    </row>
    <row r="70" spans="2:124" s="13" customFormat="1">
      <c r="B70" s="4">
        <f>'6.1Personnel List'!B71</f>
        <v>58</v>
      </c>
      <c r="C70" s="45" t="s">
        <v>176</v>
      </c>
      <c r="D70" s="45" t="str">
        <f>'6.1Personnel List'!D71</f>
        <v>Medical Officer IV</v>
      </c>
      <c r="E70" s="45" t="str">
        <f>'6.1Personnel List'!H71</f>
        <v>FT</v>
      </c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>
        <v>0.05</v>
      </c>
      <c r="CI70" s="41"/>
      <c r="CJ70" s="41">
        <v>0.05</v>
      </c>
      <c r="CK70" s="41"/>
      <c r="CL70" s="41">
        <v>0.2</v>
      </c>
      <c r="CM70" s="41"/>
      <c r="CN70" s="41"/>
      <c r="CO70" s="41"/>
      <c r="CP70" s="41"/>
      <c r="CQ70" s="41"/>
      <c r="CR70" s="41"/>
      <c r="CS70" s="41"/>
      <c r="CT70" s="41">
        <v>0.1</v>
      </c>
      <c r="CU70" s="41">
        <v>0.2</v>
      </c>
      <c r="CV70" s="41"/>
      <c r="CW70" s="41"/>
      <c r="CX70" s="41"/>
      <c r="CY70" s="41"/>
      <c r="CZ70" s="41"/>
      <c r="DA70" s="41"/>
      <c r="DB70" s="41"/>
      <c r="DC70" s="41"/>
      <c r="DD70" s="41">
        <v>0.2</v>
      </c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>
        <v>0.2</v>
      </c>
      <c r="DQ70" s="41"/>
      <c r="DR70" s="41"/>
      <c r="DS70" s="43"/>
      <c r="DT70" s="44">
        <f t="shared" ref="DT70" si="52">SUM(F70:DR70)</f>
        <v>1</v>
      </c>
    </row>
    <row r="71" spans="2:124" s="13" customFormat="1">
      <c r="B71" s="4">
        <f>'6.1Personnel List'!B72</f>
        <v>59</v>
      </c>
      <c r="C71" s="45" t="s">
        <v>177</v>
      </c>
      <c r="D71" s="45" t="str">
        <f>'6.1Personnel List'!D72</f>
        <v>Medical Officer IV</v>
      </c>
      <c r="E71" s="45" t="str">
        <f>'6.1Personnel List'!H72</f>
        <v>FT</v>
      </c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>
        <v>0.05</v>
      </c>
      <c r="CI71" s="41"/>
      <c r="CJ71" s="41">
        <v>0.05</v>
      </c>
      <c r="CK71" s="41"/>
      <c r="CL71" s="41">
        <v>0.2</v>
      </c>
      <c r="CM71" s="41"/>
      <c r="CN71" s="41"/>
      <c r="CO71" s="41"/>
      <c r="CP71" s="41"/>
      <c r="CQ71" s="41"/>
      <c r="CR71" s="41"/>
      <c r="CS71" s="41"/>
      <c r="CT71" s="41">
        <v>0.1</v>
      </c>
      <c r="CU71" s="41">
        <v>0.2</v>
      </c>
      <c r="CV71" s="41"/>
      <c r="CW71" s="41"/>
      <c r="CX71" s="41"/>
      <c r="CY71" s="41"/>
      <c r="CZ71" s="41"/>
      <c r="DA71" s="41"/>
      <c r="DB71" s="41"/>
      <c r="DC71" s="41"/>
      <c r="DD71" s="41">
        <v>0.2</v>
      </c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>
        <v>0.2</v>
      </c>
      <c r="DQ71" s="41"/>
      <c r="DR71" s="41"/>
      <c r="DS71" s="43"/>
      <c r="DT71" s="44">
        <f t="shared" ref="DT71" si="53">SUM(F71:DR71)</f>
        <v>1</v>
      </c>
    </row>
    <row r="72" spans="2:124" s="13" customFormat="1">
      <c r="B72" s="4">
        <f>'6.1Personnel List'!B73</f>
        <v>60</v>
      </c>
      <c r="C72" s="45" t="s">
        <v>178</v>
      </c>
      <c r="D72" s="45" t="str">
        <f>'6.1Personnel List'!D73</f>
        <v>Medical Officer IV</v>
      </c>
      <c r="E72" s="45" t="str">
        <f>'6.1Personnel List'!H73</f>
        <v>FT</v>
      </c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>
        <v>0.05</v>
      </c>
      <c r="CI72" s="41"/>
      <c r="CJ72" s="41">
        <v>0.05</v>
      </c>
      <c r="CK72" s="41"/>
      <c r="CL72" s="41">
        <v>0.2</v>
      </c>
      <c r="CM72" s="41"/>
      <c r="CN72" s="41"/>
      <c r="CO72" s="41"/>
      <c r="CP72" s="41"/>
      <c r="CQ72" s="41"/>
      <c r="CR72" s="41"/>
      <c r="CS72" s="41"/>
      <c r="CT72" s="41">
        <v>0.1</v>
      </c>
      <c r="CU72" s="41">
        <v>0.2</v>
      </c>
      <c r="CV72" s="41"/>
      <c r="CW72" s="41"/>
      <c r="CX72" s="41"/>
      <c r="CY72" s="41"/>
      <c r="CZ72" s="41"/>
      <c r="DA72" s="41"/>
      <c r="DB72" s="41"/>
      <c r="DC72" s="41"/>
      <c r="DD72" s="41">
        <v>0.2</v>
      </c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>
        <v>0.2</v>
      </c>
      <c r="DQ72" s="41"/>
      <c r="DR72" s="41"/>
      <c r="DS72" s="43"/>
      <c r="DT72" s="44">
        <f t="shared" ref="DT72" si="54">SUM(F72:DR72)</f>
        <v>1</v>
      </c>
    </row>
    <row r="73" spans="2:124" s="13" customFormat="1">
      <c r="B73" s="4">
        <f>'6.1Personnel List'!B74</f>
        <v>61</v>
      </c>
      <c r="C73" s="45" t="s">
        <v>179</v>
      </c>
      <c r="D73" s="45" t="str">
        <f>'6.1Personnel List'!D74</f>
        <v>Medical Officer IV</v>
      </c>
      <c r="E73" s="45" t="str">
        <f>'6.1Personnel List'!H74</f>
        <v>FT</v>
      </c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>
        <v>0.05</v>
      </c>
      <c r="CI73" s="41"/>
      <c r="CJ73" s="41">
        <v>0.05</v>
      </c>
      <c r="CK73" s="41"/>
      <c r="CL73" s="41">
        <v>0.2</v>
      </c>
      <c r="CM73" s="41"/>
      <c r="CN73" s="41"/>
      <c r="CO73" s="41"/>
      <c r="CP73" s="41"/>
      <c r="CQ73" s="41"/>
      <c r="CR73" s="41"/>
      <c r="CS73" s="41"/>
      <c r="CT73" s="41">
        <v>0.1</v>
      </c>
      <c r="CU73" s="41">
        <v>0.2</v>
      </c>
      <c r="CV73" s="41"/>
      <c r="CW73" s="41"/>
      <c r="CX73" s="41"/>
      <c r="CY73" s="41"/>
      <c r="CZ73" s="41"/>
      <c r="DA73" s="41"/>
      <c r="DB73" s="41"/>
      <c r="DC73" s="41"/>
      <c r="DD73" s="41">
        <v>0.2</v>
      </c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>
        <v>0.2</v>
      </c>
      <c r="DQ73" s="41"/>
      <c r="DR73" s="41"/>
      <c r="DS73" s="43"/>
      <c r="DT73" s="44">
        <f t="shared" ref="DT73" si="55">SUM(F73:DR73)</f>
        <v>1</v>
      </c>
    </row>
    <row r="74" spans="2:124" s="13" customFormat="1">
      <c r="B74" s="4">
        <f>'6.1Personnel List'!B75</f>
        <v>62</v>
      </c>
      <c r="C74" s="45" t="s">
        <v>180</v>
      </c>
      <c r="D74" s="45" t="str">
        <f>'6.1Personnel List'!D75</f>
        <v>Medical Officer IV</v>
      </c>
      <c r="E74" s="45" t="str">
        <f>'6.1Personnel List'!H75</f>
        <v>FT</v>
      </c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>
        <v>0.05</v>
      </c>
      <c r="CI74" s="41"/>
      <c r="CJ74" s="41">
        <v>0.05</v>
      </c>
      <c r="CK74" s="41"/>
      <c r="CL74" s="41">
        <v>0.2</v>
      </c>
      <c r="CM74" s="41"/>
      <c r="CN74" s="41"/>
      <c r="CO74" s="41"/>
      <c r="CP74" s="41"/>
      <c r="CQ74" s="41"/>
      <c r="CR74" s="41"/>
      <c r="CS74" s="41"/>
      <c r="CT74" s="41">
        <v>0.1</v>
      </c>
      <c r="CU74" s="41">
        <v>0.2</v>
      </c>
      <c r="CV74" s="41"/>
      <c r="CW74" s="41"/>
      <c r="CX74" s="41"/>
      <c r="CY74" s="41"/>
      <c r="CZ74" s="41"/>
      <c r="DA74" s="41"/>
      <c r="DB74" s="41"/>
      <c r="DC74" s="41"/>
      <c r="DD74" s="41">
        <v>0.2</v>
      </c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>
        <v>0.2</v>
      </c>
      <c r="DQ74" s="41"/>
      <c r="DR74" s="41"/>
      <c r="DS74" s="43"/>
      <c r="DT74" s="44">
        <f t="shared" ref="DT74" si="56">SUM(F74:DR74)</f>
        <v>1</v>
      </c>
    </row>
    <row r="75" spans="2:124" s="13" customFormat="1">
      <c r="B75" s="4">
        <f>'6.1Personnel List'!B76</f>
        <v>63</v>
      </c>
      <c r="C75" s="45" t="s">
        <v>181</v>
      </c>
      <c r="D75" s="45" t="str">
        <f>'6.1Personnel List'!D76</f>
        <v>Medical Officer IV</v>
      </c>
      <c r="E75" s="45" t="str">
        <f>'6.1Personnel List'!H76</f>
        <v>FT</v>
      </c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>
        <v>0.05</v>
      </c>
      <c r="CI75" s="41"/>
      <c r="CJ75" s="41">
        <v>0.05</v>
      </c>
      <c r="CK75" s="41"/>
      <c r="CL75" s="41">
        <v>0.2</v>
      </c>
      <c r="CM75" s="41"/>
      <c r="CN75" s="41"/>
      <c r="CO75" s="41"/>
      <c r="CP75" s="41"/>
      <c r="CQ75" s="41"/>
      <c r="CR75" s="41"/>
      <c r="CS75" s="41"/>
      <c r="CT75" s="41">
        <v>0.1</v>
      </c>
      <c r="CU75" s="41">
        <v>0.2</v>
      </c>
      <c r="CV75" s="41"/>
      <c r="CW75" s="41"/>
      <c r="CX75" s="41"/>
      <c r="CY75" s="41"/>
      <c r="CZ75" s="41"/>
      <c r="DA75" s="41"/>
      <c r="DB75" s="41"/>
      <c r="DC75" s="41"/>
      <c r="DD75" s="41">
        <v>0.2</v>
      </c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>
        <v>0.2</v>
      </c>
      <c r="DQ75" s="41"/>
      <c r="DR75" s="41"/>
      <c r="DS75" s="43"/>
      <c r="DT75" s="44">
        <f t="shared" ref="DT75" si="57">SUM(F75:DR75)</f>
        <v>1</v>
      </c>
    </row>
    <row r="76" spans="2:124" s="13" customFormat="1">
      <c r="B76" s="4">
        <f>'6.1Personnel List'!B77</f>
        <v>64</v>
      </c>
      <c r="C76" s="45" t="s">
        <v>182</v>
      </c>
      <c r="D76" s="45" t="str">
        <f>'6.1Personnel List'!D77</f>
        <v>Medical Officer IV</v>
      </c>
      <c r="E76" s="45" t="str">
        <f>'6.1Personnel List'!H77</f>
        <v>FT</v>
      </c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>
        <v>0.05</v>
      </c>
      <c r="CI76" s="41"/>
      <c r="CJ76" s="41">
        <v>0.05</v>
      </c>
      <c r="CK76" s="41"/>
      <c r="CL76" s="41">
        <v>0.2</v>
      </c>
      <c r="CM76" s="41"/>
      <c r="CN76" s="41"/>
      <c r="CO76" s="41"/>
      <c r="CP76" s="41"/>
      <c r="CQ76" s="41"/>
      <c r="CR76" s="41"/>
      <c r="CS76" s="41"/>
      <c r="CT76" s="41">
        <v>0.1</v>
      </c>
      <c r="CU76" s="41">
        <v>0.2</v>
      </c>
      <c r="CV76" s="41"/>
      <c r="CW76" s="41"/>
      <c r="CX76" s="41"/>
      <c r="CY76" s="41"/>
      <c r="CZ76" s="41"/>
      <c r="DA76" s="41"/>
      <c r="DB76" s="41"/>
      <c r="DC76" s="41"/>
      <c r="DD76" s="41">
        <v>0.2</v>
      </c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>
        <v>0.2</v>
      </c>
      <c r="DQ76" s="41"/>
      <c r="DR76" s="41"/>
      <c r="DS76" s="43"/>
      <c r="DT76" s="44">
        <f t="shared" ref="DT76" si="58">SUM(F76:DR76)</f>
        <v>1</v>
      </c>
    </row>
    <row r="77" spans="2:124" s="13" customFormat="1">
      <c r="B77" s="4">
        <f>'6.1Personnel List'!B78</f>
        <v>65</v>
      </c>
      <c r="C77" s="45" t="s">
        <v>183</v>
      </c>
      <c r="D77" s="45" t="str">
        <f>'6.1Personnel List'!D78</f>
        <v>Medical Officer III</v>
      </c>
      <c r="E77" s="45" t="str">
        <f>'6.1Personnel List'!H78</f>
        <v>FT</v>
      </c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>
        <v>0.05</v>
      </c>
      <c r="CI77" s="41"/>
      <c r="CJ77" s="41">
        <v>0.05</v>
      </c>
      <c r="CK77" s="41"/>
      <c r="CL77" s="41">
        <v>0.2</v>
      </c>
      <c r="CM77" s="41"/>
      <c r="CN77" s="41"/>
      <c r="CO77" s="41"/>
      <c r="CP77" s="41"/>
      <c r="CQ77" s="41"/>
      <c r="CR77" s="41"/>
      <c r="CS77" s="41"/>
      <c r="CT77" s="41">
        <v>0.1</v>
      </c>
      <c r="CU77" s="41">
        <v>0.2</v>
      </c>
      <c r="CV77" s="41"/>
      <c r="CW77" s="41"/>
      <c r="CX77" s="41"/>
      <c r="CY77" s="41"/>
      <c r="CZ77" s="41"/>
      <c r="DA77" s="41"/>
      <c r="DB77" s="41"/>
      <c r="DC77" s="41"/>
      <c r="DD77" s="41">
        <v>0.2</v>
      </c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>
        <v>0.2</v>
      </c>
      <c r="DQ77" s="41"/>
      <c r="DR77" s="41"/>
      <c r="DS77" s="43"/>
      <c r="DT77" s="44">
        <f t="shared" ref="DT77" si="59">SUM(F77:DR77)</f>
        <v>1</v>
      </c>
    </row>
    <row r="78" spans="2:124" s="13" customFormat="1">
      <c r="B78" s="4">
        <f>'6.1Personnel List'!B79</f>
        <v>66</v>
      </c>
      <c r="C78" s="45" t="s">
        <v>184</v>
      </c>
      <c r="D78" s="45" t="str">
        <f>'6.1Personnel List'!D79</f>
        <v>Medical Officer III</v>
      </c>
      <c r="E78" s="45" t="str">
        <f>'6.1Personnel List'!H79</f>
        <v>FT</v>
      </c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>
        <v>0.05</v>
      </c>
      <c r="CI78" s="41"/>
      <c r="CJ78" s="41">
        <v>0.05</v>
      </c>
      <c r="CK78" s="41"/>
      <c r="CL78" s="41">
        <v>0.2</v>
      </c>
      <c r="CM78" s="41"/>
      <c r="CN78" s="41"/>
      <c r="CO78" s="41"/>
      <c r="CP78" s="41"/>
      <c r="CQ78" s="41"/>
      <c r="CR78" s="41"/>
      <c r="CS78" s="41"/>
      <c r="CT78" s="41">
        <v>0.1</v>
      </c>
      <c r="CU78" s="41">
        <v>0.2</v>
      </c>
      <c r="CV78" s="41"/>
      <c r="CW78" s="41"/>
      <c r="CX78" s="41"/>
      <c r="CY78" s="41"/>
      <c r="CZ78" s="41"/>
      <c r="DA78" s="41"/>
      <c r="DB78" s="41"/>
      <c r="DC78" s="41"/>
      <c r="DD78" s="41">
        <v>0.2</v>
      </c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>
        <v>0.2</v>
      </c>
      <c r="DQ78" s="41"/>
      <c r="DR78" s="41"/>
      <c r="DS78" s="43"/>
      <c r="DT78" s="44">
        <f t="shared" ref="DT78" si="60">SUM(F78:DR78)</f>
        <v>1</v>
      </c>
    </row>
    <row r="79" spans="2:124" s="13" customFormat="1">
      <c r="B79" s="4">
        <f>'6.1Personnel List'!B80</f>
        <v>67</v>
      </c>
      <c r="C79" s="45" t="s">
        <v>185</v>
      </c>
      <c r="D79" s="45" t="str">
        <f>'6.1Personnel List'!D80</f>
        <v>Medical Officer III</v>
      </c>
      <c r="E79" s="45" t="str">
        <f>'6.1Personnel List'!H80</f>
        <v>FT</v>
      </c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>
        <v>0.05</v>
      </c>
      <c r="CI79" s="41"/>
      <c r="CJ79" s="41">
        <v>0.05</v>
      </c>
      <c r="CK79" s="41"/>
      <c r="CL79" s="41">
        <v>0.2</v>
      </c>
      <c r="CM79" s="41"/>
      <c r="CN79" s="41"/>
      <c r="CO79" s="41"/>
      <c r="CP79" s="41"/>
      <c r="CQ79" s="41"/>
      <c r="CR79" s="41"/>
      <c r="CS79" s="41"/>
      <c r="CT79" s="41">
        <v>0.1</v>
      </c>
      <c r="CU79" s="41">
        <v>0.2</v>
      </c>
      <c r="CV79" s="41"/>
      <c r="CW79" s="41"/>
      <c r="CX79" s="41"/>
      <c r="CY79" s="41"/>
      <c r="CZ79" s="41"/>
      <c r="DA79" s="41"/>
      <c r="DB79" s="41"/>
      <c r="DC79" s="41"/>
      <c r="DD79" s="41">
        <v>0.2</v>
      </c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>
        <v>0.2</v>
      </c>
      <c r="DQ79" s="41"/>
      <c r="DR79" s="41"/>
      <c r="DS79" s="43"/>
      <c r="DT79" s="44">
        <f t="shared" ref="DT79" si="61">SUM(F79:DR79)</f>
        <v>1</v>
      </c>
    </row>
    <row r="80" spans="2:124" s="13" customFormat="1">
      <c r="B80" s="4">
        <f>'6.1Personnel List'!B81</f>
        <v>68</v>
      </c>
      <c r="C80" s="45" t="s">
        <v>1526</v>
      </c>
      <c r="D80" s="45" t="str">
        <f>'6.1Personnel List'!D81</f>
        <v>Medical Officer III</v>
      </c>
      <c r="E80" s="45" t="str">
        <f>'6.1Personnel List'!H81</f>
        <v>FT</v>
      </c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>
        <v>0.05</v>
      </c>
      <c r="CI80" s="41"/>
      <c r="CJ80" s="41">
        <v>0.05</v>
      </c>
      <c r="CK80" s="41"/>
      <c r="CL80" s="41">
        <v>0.2</v>
      </c>
      <c r="CM80" s="41"/>
      <c r="CN80" s="41"/>
      <c r="CO80" s="41"/>
      <c r="CP80" s="41"/>
      <c r="CQ80" s="41"/>
      <c r="CR80" s="41"/>
      <c r="CS80" s="41"/>
      <c r="CT80" s="41">
        <v>0.1</v>
      </c>
      <c r="CU80" s="41">
        <v>0.2</v>
      </c>
      <c r="CV80" s="41"/>
      <c r="CW80" s="41"/>
      <c r="CX80" s="41"/>
      <c r="CY80" s="41"/>
      <c r="CZ80" s="41"/>
      <c r="DA80" s="41"/>
      <c r="DB80" s="41"/>
      <c r="DC80" s="41"/>
      <c r="DD80" s="41">
        <v>0.2</v>
      </c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>
        <v>0.2</v>
      </c>
      <c r="DQ80" s="41"/>
      <c r="DR80" s="41"/>
      <c r="DS80" s="43"/>
      <c r="DT80" s="44">
        <f t="shared" ref="DT80" si="62">SUM(F80:DR80)</f>
        <v>1</v>
      </c>
    </row>
    <row r="81" spans="2:124" s="13" customFormat="1">
      <c r="B81" s="4">
        <f>'6.1Personnel List'!B82</f>
        <v>69</v>
      </c>
      <c r="C81" s="45" t="s">
        <v>186</v>
      </c>
      <c r="D81" s="45" t="str">
        <f>'6.1Personnel List'!D82</f>
        <v>Medical Officer III</v>
      </c>
      <c r="E81" s="45" t="str">
        <f>'6.1Personnel List'!H82</f>
        <v>FT</v>
      </c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>
        <v>0.05</v>
      </c>
      <c r="CI81" s="41"/>
      <c r="CJ81" s="41">
        <v>0.05</v>
      </c>
      <c r="CK81" s="41"/>
      <c r="CL81" s="41">
        <v>0.2</v>
      </c>
      <c r="CM81" s="41"/>
      <c r="CN81" s="41"/>
      <c r="CO81" s="41"/>
      <c r="CP81" s="41"/>
      <c r="CQ81" s="41"/>
      <c r="CR81" s="41"/>
      <c r="CS81" s="41"/>
      <c r="CT81" s="41">
        <v>0.1</v>
      </c>
      <c r="CU81" s="41">
        <v>0.2</v>
      </c>
      <c r="CV81" s="41"/>
      <c r="CW81" s="41"/>
      <c r="CX81" s="41"/>
      <c r="CY81" s="41"/>
      <c r="CZ81" s="41"/>
      <c r="DA81" s="41"/>
      <c r="DB81" s="41"/>
      <c r="DC81" s="41"/>
      <c r="DD81" s="41">
        <v>0.2</v>
      </c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>
        <v>0.2</v>
      </c>
      <c r="DQ81" s="41"/>
      <c r="DR81" s="41"/>
      <c r="DS81" s="43"/>
      <c r="DT81" s="44">
        <f t="shared" ref="DT81" si="63">SUM(F81:DR81)</f>
        <v>1</v>
      </c>
    </row>
    <row r="82" spans="2:124" s="13" customFormat="1">
      <c r="B82" s="4">
        <f>'6.1Personnel List'!B83</f>
        <v>70</v>
      </c>
      <c r="C82" s="45" t="s">
        <v>187</v>
      </c>
      <c r="D82" s="45" t="str">
        <f>'6.1Personnel List'!D83</f>
        <v>Administrative Assistant I</v>
      </c>
      <c r="E82" s="45" t="str">
        <f>'6.1Personnel List'!H83</f>
        <v>FT</v>
      </c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>
        <v>1</v>
      </c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3"/>
      <c r="DT82" s="44">
        <f t="shared" ref="DT82" si="64">SUM(F82:DR82)</f>
        <v>1</v>
      </c>
    </row>
    <row r="83" spans="2:124" s="13" customFormat="1">
      <c r="B83" s="4">
        <f>'6.1Personnel List'!B84</f>
        <v>71</v>
      </c>
      <c r="C83" s="45" t="s">
        <v>190</v>
      </c>
      <c r="D83" s="45" t="str">
        <f>'6.1Personnel List'!D84</f>
        <v>Medical Specialist IV (P.T.) - Chairman</v>
      </c>
      <c r="E83" s="45" t="str">
        <f>'6.1Personnel List'!H84</f>
        <v>PT</v>
      </c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>
        <v>0.8</v>
      </c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>
        <v>0.2</v>
      </c>
      <c r="DS83" s="43"/>
      <c r="DT83" s="44">
        <f t="shared" ref="DT83" si="65">SUM(F83:DR83)</f>
        <v>1</v>
      </c>
    </row>
    <row r="84" spans="2:124" s="13" customFormat="1">
      <c r="B84" s="4">
        <f>'6.1Personnel List'!B85</f>
        <v>72</v>
      </c>
      <c r="C84" s="45" t="s">
        <v>191</v>
      </c>
      <c r="D84" s="45" t="str">
        <f>'6.1Personnel List'!D85</f>
        <v>Medical Specialist III (P.T.)</v>
      </c>
      <c r="E84" s="45" t="str">
        <f>'6.1Personnel List'!H85</f>
        <v>PT</v>
      </c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>
        <v>0.35</v>
      </c>
      <c r="CM84" s="41"/>
      <c r="CN84" s="41"/>
      <c r="CO84" s="41"/>
      <c r="CP84" s="41"/>
      <c r="CQ84" s="41"/>
      <c r="CR84" s="41"/>
      <c r="CS84" s="41"/>
      <c r="CT84" s="41">
        <v>0.15</v>
      </c>
      <c r="CU84" s="41">
        <v>0.4</v>
      </c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>
        <v>0.1</v>
      </c>
      <c r="DS84" s="43"/>
      <c r="DT84" s="44">
        <f t="shared" ref="DT84" si="66">SUM(F84:DR84)</f>
        <v>1</v>
      </c>
    </row>
    <row r="85" spans="2:124" s="13" customFormat="1">
      <c r="B85" s="4">
        <f>'6.1Personnel List'!B86</f>
        <v>73</v>
      </c>
      <c r="C85" s="45" t="s">
        <v>192</v>
      </c>
      <c r="D85" s="45" t="str">
        <f>'6.1Personnel List'!D86</f>
        <v>Medical Specialist III (P.T.)</v>
      </c>
      <c r="E85" s="45" t="str">
        <f>'6.1Personnel List'!H86</f>
        <v>PT</v>
      </c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>
        <v>0.35</v>
      </c>
      <c r="CM85" s="41"/>
      <c r="CN85" s="41"/>
      <c r="CO85" s="41"/>
      <c r="CP85" s="41"/>
      <c r="CQ85" s="41"/>
      <c r="CR85" s="41"/>
      <c r="CS85" s="41"/>
      <c r="CT85" s="41">
        <v>0.15</v>
      </c>
      <c r="CU85" s="41">
        <v>0.4</v>
      </c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>
        <v>0.1</v>
      </c>
      <c r="DS85" s="43"/>
      <c r="DT85" s="44">
        <f t="shared" ref="DT85" si="67">SUM(F85:DR85)</f>
        <v>1</v>
      </c>
    </row>
    <row r="86" spans="2:124" s="13" customFormat="1">
      <c r="B86" s="4">
        <f>'6.1Personnel List'!B87</f>
        <v>74</v>
      </c>
      <c r="C86" s="45" t="s">
        <v>193</v>
      </c>
      <c r="D86" s="45" t="str">
        <f>'6.1Personnel List'!D87</f>
        <v>Medical Specialist III (P.T.)</v>
      </c>
      <c r="E86" s="45" t="str">
        <f>'6.1Personnel List'!H87</f>
        <v>PT</v>
      </c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>
        <v>0.35</v>
      </c>
      <c r="CM86" s="41"/>
      <c r="CN86" s="41"/>
      <c r="CO86" s="41"/>
      <c r="CP86" s="41"/>
      <c r="CQ86" s="41"/>
      <c r="CR86" s="41"/>
      <c r="CS86" s="41"/>
      <c r="CT86" s="41">
        <v>0.15</v>
      </c>
      <c r="CU86" s="41">
        <v>0.4</v>
      </c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>
        <v>0.1</v>
      </c>
      <c r="DS86" s="43"/>
      <c r="DT86" s="44">
        <f t="shared" ref="DT86" si="68">SUM(F86:DR86)</f>
        <v>1</v>
      </c>
    </row>
    <row r="87" spans="2:124" s="13" customFormat="1">
      <c r="B87" s="4">
        <f>'6.1Personnel List'!B88</f>
        <v>75</v>
      </c>
      <c r="C87" s="45" t="s">
        <v>194</v>
      </c>
      <c r="D87" s="45" t="str">
        <f>'6.1Personnel List'!D88</f>
        <v>Medical Specialist III (P.T.)</v>
      </c>
      <c r="E87" s="45" t="str">
        <f>'6.1Personnel List'!H88</f>
        <v>PT</v>
      </c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>
        <v>0.35</v>
      </c>
      <c r="CM87" s="41"/>
      <c r="CN87" s="41"/>
      <c r="CO87" s="41"/>
      <c r="CP87" s="41"/>
      <c r="CQ87" s="41"/>
      <c r="CR87" s="41"/>
      <c r="CS87" s="41"/>
      <c r="CT87" s="41">
        <v>0.15</v>
      </c>
      <c r="CU87" s="41">
        <v>0.4</v>
      </c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>
        <v>0.1</v>
      </c>
      <c r="DS87" s="43"/>
      <c r="DT87" s="44">
        <f t="shared" ref="DT87" si="69">SUM(F87:DR87)</f>
        <v>1</v>
      </c>
    </row>
    <row r="88" spans="2:124" s="13" customFormat="1">
      <c r="B88" s="4">
        <f>'6.1Personnel List'!B89</f>
        <v>76</v>
      </c>
      <c r="C88" s="45" t="s">
        <v>195</v>
      </c>
      <c r="D88" s="45" t="str">
        <f>'6.1Personnel List'!D89</f>
        <v>Medical Specialist II (P.T.)</v>
      </c>
      <c r="E88" s="45" t="str">
        <f>'6.1Personnel List'!H89</f>
        <v>PT</v>
      </c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>
        <v>0.35</v>
      </c>
      <c r="CM88" s="41"/>
      <c r="CN88" s="41"/>
      <c r="CO88" s="41"/>
      <c r="CP88" s="41"/>
      <c r="CQ88" s="41"/>
      <c r="CR88" s="41"/>
      <c r="CS88" s="41"/>
      <c r="CT88" s="41">
        <v>0.15</v>
      </c>
      <c r="CU88" s="41">
        <v>0.4</v>
      </c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>
        <v>0.1</v>
      </c>
      <c r="DS88" s="43"/>
      <c r="DT88" s="44">
        <f t="shared" ref="DT88" si="70">SUM(F88:DR88)</f>
        <v>1</v>
      </c>
    </row>
    <row r="89" spans="2:124" s="13" customFormat="1">
      <c r="B89" s="4">
        <f>'6.1Personnel List'!B90</f>
        <v>77</v>
      </c>
      <c r="C89" s="45" t="s">
        <v>196</v>
      </c>
      <c r="D89" s="45" t="str">
        <f>'6.1Personnel List'!D90</f>
        <v>Medical Specialist II (P.T.)</v>
      </c>
      <c r="E89" s="45" t="str">
        <f>'6.1Personnel List'!H90</f>
        <v>PT</v>
      </c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>
        <v>0.35</v>
      </c>
      <c r="CM89" s="41"/>
      <c r="CN89" s="41"/>
      <c r="CO89" s="41"/>
      <c r="CP89" s="41"/>
      <c r="CQ89" s="41"/>
      <c r="CR89" s="41"/>
      <c r="CS89" s="41"/>
      <c r="CT89" s="41">
        <v>0.15</v>
      </c>
      <c r="CU89" s="41">
        <v>0.4</v>
      </c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>
        <v>0.1</v>
      </c>
      <c r="DS89" s="43"/>
      <c r="DT89" s="44">
        <f t="shared" ref="DT89" si="71">SUM(F89:DR89)</f>
        <v>1</v>
      </c>
    </row>
    <row r="90" spans="2:124" s="13" customFormat="1">
      <c r="B90" s="4">
        <f>'6.1Personnel List'!B91</f>
        <v>78</v>
      </c>
      <c r="C90" s="45" t="s">
        <v>197</v>
      </c>
      <c r="D90" s="45" t="str">
        <f>'6.1Personnel List'!D91</f>
        <v>Medical Officer IV</v>
      </c>
      <c r="E90" s="45" t="str">
        <f>'6.1Personnel List'!H91</f>
        <v>FT</v>
      </c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>
        <v>0.4</v>
      </c>
      <c r="CM90" s="41"/>
      <c r="CN90" s="41"/>
      <c r="CO90" s="41"/>
      <c r="CP90" s="41"/>
      <c r="CQ90" s="41"/>
      <c r="CR90" s="41"/>
      <c r="CS90" s="41"/>
      <c r="CT90" s="41">
        <v>0.1</v>
      </c>
      <c r="CU90" s="41">
        <v>0.4</v>
      </c>
      <c r="CV90" s="41"/>
      <c r="CW90" s="41"/>
      <c r="CX90" s="41"/>
      <c r="CY90" s="41"/>
      <c r="CZ90" s="41"/>
      <c r="DA90" s="41"/>
      <c r="DB90" s="41"/>
      <c r="DC90" s="41"/>
      <c r="DD90" s="41">
        <v>0.05</v>
      </c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>
        <v>0.05</v>
      </c>
      <c r="DS90" s="43"/>
      <c r="DT90" s="44">
        <f t="shared" ref="DT90" si="72">SUM(F90:DR90)</f>
        <v>1</v>
      </c>
    </row>
    <row r="91" spans="2:124" s="13" customFormat="1">
      <c r="B91" s="4">
        <f>'6.1Personnel List'!B92</f>
        <v>79</v>
      </c>
      <c r="C91" s="45" t="s">
        <v>198</v>
      </c>
      <c r="D91" s="45" t="str">
        <f>'6.1Personnel List'!D92</f>
        <v>Medical Officer IV</v>
      </c>
      <c r="E91" s="45" t="str">
        <f>'6.1Personnel List'!H92</f>
        <v>FT</v>
      </c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>
        <v>0.4</v>
      </c>
      <c r="CM91" s="41"/>
      <c r="CN91" s="41"/>
      <c r="CO91" s="41"/>
      <c r="CP91" s="41"/>
      <c r="CQ91" s="41"/>
      <c r="CR91" s="41"/>
      <c r="CS91" s="41"/>
      <c r="CT91" s="41">
        <v>0.1</v>
      </c>
      <c r="CU91" s="41">
        <v>0.4</v>
      </c>
      <c r="CV91" s="41"/>
      <c r="CW91" s="41"/>
      <c r="CX91" s="41"/>
      <c r="CY91" s="41"/>
      <c r="CZ91" s="41"/>
      <c r="DA91" s="41"/>
      <c r="DB91" s="41"/>
      <c r="DC91" s="41"/>
      <c r="DD91" s="41">
        <v>0.05</v>
      </c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>
        <v>0.05</v>
      </c>
      <c r="DS91" s="43"/>
      <c r="DT91" s="44">
        <f t="shared" ref="DT91" si="73">SUM(F91:DR91)</f>
        <v>1</v>
      </c>
    </row>
    <row r="92" spans="2:124" s="13" customFormat="1">
      <c r="B92" s="4">
        <f>'6.1Personnel List'!B93</f>
        <v>80</v>
      </c>
      <c r="C92" s="45" t="s">
        <v>199</v>
      </c>
      <c r="D92" s="45" t="str">
        <f>'6.1Personnel List'!D93</f>
        <v>Medical Officer IV</v>
      </c>
      <c r="E92" s="45" t="str">
        <f>'6.1Personnel List'!H93</f>
        <v>FT</v>
      </c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>
        <v>0.4</v>
      </c>
      <c r="CM92" s="41"/>
      <c r="CN92" s="41"/>
      <c r="CO92" s="41"/>
      <c r="CP92" s="41"/>
      <c r="CQ92" s="41"/>
      <c r="CR92" s="41"/>
      <c r="CS92" s="41"/>
      <c r="CT92" s="41">
        <v>0.1</v>
      </c>
      <c r="CU92" s="41">
        <v>0.4</v>
      </c>
      <c r="CV92" s="41"/>
      <c r="CW92" s="41"/>
      <c r="CX92" s="41"/>
      <c r="CY92" s="41"/>
      <c r="CZ92" s="41"/>
      <c r="DA92" s="41"/>
      <c r="DB92" s="41"/>
      <c r="DC92" s="41"/>
      <c r="DD92" s="41">
        <v>0.05</v>
      </c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>
        <v>0.05</v>
      </c>
      <c r="DS92" s="43"/>
      <c r="DT92" s="44">
        <f t="shared" ref="DT92" si="74">SUM(F92:DR92)</f>
        <v>1</v>
      </c>
    </row>
    <row r="93" spans="2:124" s="13" customFormat="1">
      <c r="B93" s="4">
        <f>'6.1Personnel List'!B94</f>
        <v>81</v>
      </c>
      <c r="C93" s="45" t="s">
        <v>200</v>
      </c>
      <c r="D93" s="45" t="str">
        <f>'6.1Personnel List'!D94</f>
        <v>Medical Officer IV</v>
      </c>
      <c r="E93" s="45" t="str">
        <f>'6.1Personnel List'!H94</f>
        <v>FT</v>
      </c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>
        <v>0.4</v>
      </c>
      <c r="CM93" s="41"/>
      <c r="CN93" s="41"/>
      <c r="CO93" s="41"/>
      <c r="CP93" s="41"/>
      <c r="CQ93" s="41"/>
      <c r="CR93" s="41"/>
      <c r="CS93" s="41"/>
      <c r="CT93" s="41">
        <v>0.1</v>
      </c>
      <c r="CU93" s="41">
        <v>0.4</v>
      </c>
      <c r="CV93" s="41"/>
      <c r="CW93" s="41"/>
      <c r="CX93" s="41"/>
      <c r="CY93" s="41"/>
      <c r="CZ93" s="41"/>
      <c r="DA93" s="41"/>
      <c r="DB93" s="41"/>
      <c r="DC93" s="41"/>
      <c r="DD93" s="41">
        <v>0.05</v>
      </c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>
        <v>0.05</v>
      </c>
      <c r="DS93" s="43"/>
      <c r="DT93" s="44">
        <f t="shared" ref="DT93" si="75">SUM(F93:DR93)</f>
        <v>1</v>
      </c>
    </row>
    <row r="94" spans="2:124" s="13" customFormat="1">
      <c r="B94" s="4">
        <f>'6.1Personnel List'!B95</f>
        <v>82</v>
      </c>
      <c r="C94" s="45" t="s">
        <v>201</v>
      </c>
      <c r="D94" s="45" t="str">
        <f>'6.1Personnel List'!D95</f>
        <v>Medical Officer IV</v>
      </c>
      <c r="E94" s="45" t="str">
        <f>'6.1Personnel List'!H95</f>
        <v>FT</v>
      </c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>
        <v>0.4</v>
      </c>
      <c r="CM94" s="41"/>
      <c r="CN94" s="41"/>
      <c r="CO94" s="41"/>
      <c r="CP94" s="41"/>
      <c r="CQ94" s="41"/>
      <c r="CR94" s="41"/>
      <c r="CS94" s="41"/>
      <c r="CT94" s="41">
        <v>0.1</v>
      </c>
      <c r="CU94" s="41">
        <v>0.4</v>
      </c>
      <c r="CV94" s="41"/>
      <c r="CW94" s="41"/>
      <c r="CX94" s="41"/>
      <c r="CY94" s="41"/>
      <c r="CZ94" s="41"/>
      <c r="DA94" s="41"/>
      <c r="DB94" s="41"/>
      <c r="DC94" s="41"/>
      <c r="DD94" s="41">
        <v>0.05</v>
      </c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>
        <v>0.05</v>
      </c>
      <c r="DS94" s="43"/>
      <c r="DT94" s="44">
        <f t="shared" ref="DT94" si="76">SUM(F94:DR94)</f>
        <v>1</v>
      </c>
    </row>
    <row r="95" spans="2:124" s="13" customFormat="1">
      <c r="B95" s="4">
        <f>'6.1Personnel List'!B96</f>
        <v>83</v>
      </c>
      <c r="C95" s="45" t="s">
        <v>202</v>
      </c>
      <c r="D95" s="45" t="str">
        <f>'6.1Personnel List'!D96</f>
        <v>Medical Officer IV</v>
      </c>
      <c r="E95" s="45" t="str">
        <f>'6.1Personnel List'!H96</f>
        <v>FT</v>
      </c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>
        <v>0.4</v>
      </c>
      <c r="CM95" s="41"/>
      <c r="CN95" s="41"/>
      <c r="CO95" s="41"/>
      <c r="CP95" s="41"/>
      <c r="CQ95" s="41"/>
      <c r="CR95" s="41"/>
      <c r="CS95" s="41"/>
      <c r="CT95" s="41">
        <v>0.1</v>
      </c>
      <c r="CU95" s="41">
        <v>0.4</v>
      </c>
      <c r="CV95" s="41"/>
      <c r="CW95" s="41"/>
      <c r="CX95" s="41"/>
      <c r="CY95" s="41"/>
      <c r="CZ95" s="41"/>
      <c r="DA95" s="41"/>
      <c r="DB95" s="41"/>
      <c r="DC95" s="41"/>
      <c r="DD95" s="41">
        <v>0.05</v>
      </c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>
        <v>0.05</v>
      </c>
      <c r="DS95" s="43"/>
      <c r="DT95" s="44">
        <f t="shared" ref="DT95" si="77">SUM(F95:DR95)</f>
        <v>1</v>
      </c>
    </row>
    <row r="96" spans="2:124" s="13" customFormat="1">
      <c r="B96" s="4">
        <f>'6.1Personnel List'!B97</f>
        <v>84</v>
      </c>
      <c r="C96" s="45" t="s">
        <v>203</v>
      </c>
      <c r="D96" s="45" t="str">
        <f>'6.1Personnel List'!D97</f>
        <v>Medical Officer III</v>
      </c>
      <c r="E96" s="45" t="str">
        <f>'6.1Personnel List'!H97</f>
        <v>FT</v>
      </c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>
        <v>0.3</v>
      </c>
      <c r="CM96" s="41"/>
      <c r="CN96" s="41"/>
      <c r="CO96" s="41"/>
      <c r="CP96" s="41"/>
      <c r="CQ96" s="41"/>
      <c r="CR96" s="41"/>
      <c r="CS96" s="41"/>
      <c r="CT96" s="41">
        <v>0.1</v>
      </c>
      <c r="CU96" s="41">
        <v>0.4</v>
      </c>
      <c r="CV96" s="41"/>
      <c r="CW96" s="41"/>
      <c r="CX96" s="41"/>
      <c r="CY96" s="41"/>
      <c r="CZ96" s="41"/>
      <c r="DA96" s="41"/>
      <c r="DB96" s="41"/>
      <c r="DC96" s="41"/>
      <c r="DD96" s="41">
        <v>0.1</v>
      </c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>
        <v>0.1</v>
      </c>
      <c r="DS96" s="43"/>
      <c r="DT96" s="44">
        <f t="shared" ref="DT96" si="78">SUM(F96:DR96)</f>
        <v>1</v>
      </c>
    </row>
    <row r="97" spans="2:124" s="13" customFormat="1">
      <c r="B97" s="4">
        <f>'6.1Personnel List'!B98</f>
        <v>85</v>
      </c>
      <c r="C97" s="45" t="s">
        <v>204</v>
      </c>
      <c r="D97" s="45" t="str">
        <f>'6.1Personnel List'!D98</f>
        <v>Medical Officer III</v>
      </c>
      <c r="E97" s="45" t="str">
        <f>'6.1Personnel List'!H98</f>
        <v>FT</v>
      </c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>
        <v>0.3</v>
      </c>
      <c r="CM97" s="41"/>
      <c r="CN97" s="41"/>
      <c r="CO97" s="41"/>
      <c r="CP97" s="41"/>
      <c r="CQ97" s="41"/>
      <c r="CR97" s="41"/>
      <c r="CS97" s="41"/>
      <c r="CT97" s="41">
        <v>0.1</v>
      </c>
      <c r="CU97" s="41">
        <v>0.4</v>
      </c>
      <c r="CV97" s="41"/>
      <c r="CW97" s="41"/>
      <c r="CX97" s="41"/>
      <c r="CY97" s="41"/>
      <c r="CZ97" s="41"/>
      <c r="DA97" s="41"/>
      <c r="DB97" s="41"/>
      <c r="DC97" s="41"/>
      <c r="DD97" s="41">
        <v>0.1</v>
      </c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>
        <v>0.1</v>
      </c>
      <c r="DS97" s="43"/>
      <c r="DT97" s="44">
        <f t="shared" ref="DT97" si="79">SUM(F97:DR97)</f>
        <v>1</v>
      </c>
    </row>
    <row r="98" spans="2:124" s="13" customFormat="1">
      <c r="B98" s="4">
        <f>'6.1Personnel List'!B99</f>
        <v>86</v>
      </c>
      <c r="C98" s="45" t="s">
        <v>205</v>
      </c>
      <c r="D98" s="45" t="str">
        <f>'6.1Personnel List'!D99</f>
        <v>Medical Officer III</v>
      </c>
      <c r="E98" s="45" t="str">
        <f>'6.1Personnel List'!H99</f>
        <v>FT</v>
      </c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>
        <v>0.3</v>
      </c>
      <c r="CM98" s="41"/>
      <c r="CN98" s="41"/>
      <c r="CO98" s="41"/>
      <c r="CP98" s="41"/>
      <c r="CQ98" s="41"/>
      <c r="CR98" s="41"/>
      <c r="CS98" s="41"/>
      <c r="CT98" s="41">
        <v>0.1</v>
      </c>
      <c r="CU98" s="41">
        <v>0.4</v>
      </c>
      <c r="CV98" s="41"/>
      <c r="CW98" s="41"/>
      <c r="CX98" s="41"/>
      <c r="CY98" s="41"/>
      <c r="CZ98" s="41"/>
      <c r="DA98" s="41"/>
      <c r="DB98" s="41"/>
      <c r="DC98" s="41"/>
      <c r="DD98" s="41">
        <v>0.1</v>
      </c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>
        <v>0.1</v>
      </c>
      <c r="DS98" s="43"/>
      <c r="DT98" s="44">
        <f t="shared" ref="DT98" si="80">SUM(F98:DR98)</f>
        <v>1</v>
      </c>
    </row>
    <row r="99" spans="2:124" s="13" customFormat="1">
      <c r="B99" s="4">
        <f>'6.1Personnel List'!B100</f>
        <v>87</v>
      </c>
      <c r="C99" s="45" t="s">
        <v>207</v>
      </c>
      <c r="D99" s="45" t="str">
        <f>'6.1Personnel List'!D100</f>
        <v>Medical Specialist III - Chairman</v>
      </c>
      <c r="E99" s="45" t="str">
        <f>'6.1Personnel List'!H100</f>
        <v>FT</v>
      </c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>
        <v>0.1</v>
      </c>
      <c r="CL99" s="41">
        <v>0.1</v>
      </c>
      <c r="CM99" s="41"/>
      <c r="CN99" s="41"/>
      <c r="CO99" s="41"/>
      <c r="CP99" s="41"/>
      <c r="CQ99" s="41"/>
      <c r="CR99" s="41"/>
      <c r="CS99" s="41"/>
      <c r="CT99" s="41">
        <v>0.5</v>
      </c>
      <c r="CU99" s="41"/>
      <c r="CV99" s="41"/>
      <c r="CW99" s="41"/>
      <c r="CX99" s="41"/>
      <c r="CY99" s="41">
        <v>0.1</v>
      </c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>
        <v>0.2</v>
      </c>
      <c r="DN99" s="41"/>
      <c r="DO99" s="41"/>
      <c r="DP99" s="41"/>
      <c r="DQ99" s="41"/>
      <c r="DR99" s="41"/>
      <c r="DS99" s="43"/>
      <c r="DT99" s="44">
        <f t="shared" ref="DT99" si="81">SUM(F99:DR99)</f>
        <v>1</v>
      </c>
    </row>
    <row r="100" spans="2:124" s="13" customFormat="1">
      <c r="B100" s="4">
        <f>'6.1Personnel List'!B101</f>
        <v>88</v>
      </c>
      <c r="C100" s="45" t="s">
        <v>209</v>
      </c>
      <c r="D100" s="45" t="str">
        <f>'6.1Personnel List'!D101</f>
        <v>Medical Specialist IV (P.T.)</v>
      </c>
      <c r="E100" s="45" t="str">
        <f>'6.1Personnel List'!H101</f>
        <v>PT</v>
      </c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>
        <v>0.5</v>
      </c>
      <c r="CM100" s="41"/>
      <c r="CN100" s="41"/>
      <c r="CO100" s="41"/>
      <c r="CP100" s="41"/>
      <c r="CQ100" s="41"/>
      <c r="CR100" s="41"/>
      <c r="CS100" s="41"/>
      <c r="CT100" s="41">
        <v>0.2</v>
      </c>
      <c r="CU100" s="41">
        <v>0.2</v>
      </c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>
        <v>0.1</v>
      </c>
      <c r="DN100" s="41"/>
      <c r="DO100" s="41"/>
      <c r="DP100" s="41"/>
      <c r="DQ100" s="41"/>
      <c r="DR100" s="41"/>
      <c r="DS100" s="43"/>
      <c r="DT100" s="44">
        <f t="shared" ref="DT100" si="82">SUM(F100:DR100)</f>
        <v>0.99999999999999989</v>
      </c>
    </row>
    <row r="101" spans="2:124" s="13" customFormat="1">
      <c r="B101" s="4">
        <f>'6.1Personnel List'!B102</f>
        <v>89</v>
      </c>
      <c r="C101" s="45" t="s">
        <v>210</v>
      </c>
      <c r="D101" s="45" t="str">
        <f>'6.1Personnel List'!D102</f>
        <v>Medical Specialist IV (P.T.)</v>
      </c>
      <c r="E101" s="45" t="str">
        <f>'6.1Personnel List'!H102</f>
        <v>PT</v>
      </c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>
        <v>0.4</v>
      </c>
      <c r="CM101" s="41"/>
      <c r="CN101" s="41"/>
      <c r="CO101" s="41"/>
      <c r="CP101" s="41"/>
      <c r="CQ101" s="41"/>
      <c r="CR101" s="41"/>
      <c r="CS101" s="41"/>
      <c r="CT101" s="41">
        <v>0.1</v>
      </c>
      <c r="CU101" s="41">
        <v>0.3</v>
      </c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>
        <v>0.2</v>
      </c>
      <c r="DN101" s="41"/>
      <c r="DO101" s="41"/>
      <c r="DP101" s="41"/>
      <c r="DQ101" s="41"/>
      <c r="DR101" s="41"/>
      <c r="DS101" s="43"/>
      <c r="DT101" s="44">
        <f t="shared" ref="DT101" si="83">SUM(F101:DR101)</f>
        <v>1</v>
      </c>
    </row>
    <row r="102" spans="2:124" s="13" customFormat="1">
      <c r="B102" s="4">
        <f>'6.1Personnel List'!B103</f>
        <v>90</v>
      </c>
      <c r="C102" s="45" t="s">
        <v>211</v>
      </c>
      <c r="D102" s="45" t="str">
        <f>'6.1Personnel List'!D103</f>
        <v>Medical Specialist III (P.T.)</v>
      </c>
      <c r="E102" s="45" t="str">
        <f>'6.1Personnel List'!H103</f>
        <v>PT</v>
      </c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>
        <v>0.2</v>
      </c>
      <c r="CM102" s="41"/>
      <c r="CN102" s="41"/>
      <c r="CO102" s="41"/>
      <c r="CP102" s="41"/>
      <c r="CQ102" s="41"/>
      <c r="CR102" s="41"/>
      <c r="CS102" s="41"/>
      <c r="CT102" s="41">
        <v>0.5</v>
      </c>
      <c r="CU102" s="41">
        <v>0.1</v>
      </c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>
        <v>0.2</v>
      </c>
      <c r="DN102" s="41"/>
      <c r="DO102" s="41"/>
      <c r="DP102" s="41"/>
      <c r="DQ102" s="41"/>
      <c r="DR102" s="41"/>
      <c r="DS102" s="43"/>
      <c r="DT102" s="44">
        <f t="shared" ref="DT102" si="84">SUM(F102:DR102)</f>
        <v>1</v>
      </c>
    </row>
    <row r="103" spans="2:124" s="13" customFormat="1">
      <c r="B103" s="4">
        <f>'6.1Personnel List'!B104</f>
        <v>91</v>
      </c>
      <c r="C103" s="45" t="s">
        <v>212</v>
      </c>
      <c r="D103" s="45" t="str">
        <f>'6.1Personnel List'!D104</f>
        <v>Medical Specialist III(P.T.)</v>
      </c>
      <c r="E103" s="45" t="str">
        <f>'6.1Personnel List'!H104</f>
        <v>PT</v>
      </c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>
        <v>0.5</v>
      </c>
      <c r="CL103" s="41"/>
      <c r="CM103" s="41"/>
      <c r="CN103" s="41"/>
      <c r="CO103" s="41"/>
      <c r="CP103" s="41"/>
      <c r="CQ103" s="41"/>
      <c r="CR103" s="41"/>
      <c r="CS103" s="41"/>
      <c r="CT103" s="41">
        <v>0.3</v>
      </c>
      <c r="CU103" s="41">
        <v>0.1</v>
      </c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>
        <v>0.1</v>
      </c>
      <c r="DN103" s="41"/>
      <c r="DO103" s="41"/>
      <c r="DP103" s="41"/>
      <c r="DQ103" s="41"/>
      <c r="DR103" s="41"/>
      <c r="DS103" s="43"/>
      <c r="DT103" s="44">
        <f t="shared" ref="DT103" si="85">SUM(F103:DR103)</f>
        <v>1</v>
      </c>
    </row>
    <row r="104" spans="2:124" s="13" customFormat="1">
      <c r="B104" s="4">
        <f>'6.1Personnel List'!B105</f>
        <v>92</v>
      </c>
      <c r="C104" s="45" t="s">
        <v>214</v>
      </c>
      <c r="D104" s="45" t="str">
        <f>'6.1Personnel List'!D105</f>
        <v>Medical Specialist III (P.T.)</v>
      </c>
      <c r="E104" s="45" t="str">
        <f>'6.1Personnel List'!H105</f>
        <v>PT</v>
      </c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>
        <v>0.5</v>
      </c>
      <c r="CL104" s="41"/>
      <c r="CM104" s="41"/>
      <c r="CN104" s="41"/>
      <c r="CO104" s="41"/>
      <c r="CP104" s="41"/>
      <c r="CQ104" s="41"/>
      <c r="CR104" s="41"/>
      <c r="CS104" s="41"/>
      <c r="CT104" s="41">
        <v>0.3</v>
      </c>
      <c r="CU104" s="41">
        <v>0.1</v>
      </c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>
        <v>0.1</v>
      </c>
      <c r="DN104" s="41"/>
      <c r="DO104" s="41"/>
      <c r="DP104" s="41"/>
      <c r="DQ104" s="41"/>
      <c r="DR104" s="41"/>
      <c r="DS104" s="43"/>
      <c r="DT104" s="44">
        <f t="shared" ref="DT104" si="86">SUM(F104:DR104)</f>
        <v>1</v>
      </c>
    </row>
    <row r="105" spans="2:124" s="13" customFormat="1">
      <c r="B105" s="4">
        <f>'6.1Personnel List'!B106</f>
        <v>93</v>
      </c>
      <c r="C105" s="45" t="s">
        <v>215</v>
      </c>
      <c r="D105" s="45" t="str">
        <f>'6.1Personnel List'!D106</f>
        <v>Medical Specialist III (P.T.)</v>
      </c>
      <c r="E105" s="45" t="str">
        <f>'6.1Personnel List'!H106</f>
        <v>PT</v>
      </c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>
        <v>0.7</v>
      </c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>
        <v>0.3</v>
      </c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3"/>
      <c r="DT105" s="44">
        <f t="shared" ref="DT105" si="87">SUM(F105:DR105)</f>
        <v>1</v>
      </c>
    </row>
    <row r="106" spans="2:124" s="13" customFormat="1">
      <c r="B106" s="4">
        <f>'6.1Personnel List'!B107</f>
        <v>94</v>
      </c>
      <c r="C106" s="45" t="s">
        <v>216</v>
      </c>
      <c r="D106" s="45" t="str">
        <f>'6.1Personnel List'!D107</f>
        <v>Medical Specialist II</v>
      </c>
      <c r="E106" s="45" t="str">
        <f>'6.1Personnel List'!H107</f>
        <v>FT</v>
      </c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>
        <v>0.4</v>
      </c>
      <c r="CM106" s="41"/>
      <c r="CN106" s="41"/>
      <c r="CO106" s="41"/>
      <c r="CP106" s="41"/>
      <c r="CQ106" s="41"/>
      <c r="CR106" s="41"/>
      <c r="CS106" s="41"/>
      <c r="CT106" s="41">
        <v>0.4</v>
      </c>
      <c r="CU106" s="41">
        <v>0.1</v>
      </c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>
        <v>0.1</v>
      </c>
      <c r="DN106" s="41"/>
      <c r="DO106" s="41"/>
      <c r="DP106" s="41"/>
      <c r="DQ106" s="41"/>
      <c r="DR106" s="41"/>
      <c r="DS106" s="43"/>
      <c r="DT106" s="44">
        <f t="shared" ref="DT106" si="88">SUM(F106:DR106)</f>
        <v>1</v>
      </c>
    </row>
    <row r="107" spans="2:124" s="13" customFormat="1">
      <c r="B107" s="4">
        <f>'6.1Personnel List'!B108</f>
        <v>95</v>
      </c>
      <c r="C107" s="45" t="s">
        <v>217</v>
      </c>
      <c r="D107" s="45" t="str">
        <f>'6.1Personnel List'!D108</f>
        <v>Medical Specialist II (P.T.)</v>
      </c>
      <c r="E107" s="45" t="str">
        <f>'6.1Personnel List'!H108</f>
        <v>PT</v>
      </c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>
        <v>0.2</v>
      </c>
      <c r="CM107" s="41"/>
      <c r="CN107" s="41"/>
      <c r="CO107" s="41"/>
      <c r="CP107" s="41"/>
      <c r="CQ107" s="41"/>
      <c r="CR107" s="41"/>
      <c r="CS107" s="41"/>
      <c r="CT107" s="41">
        <v>0.2</v>
      </c>
      <c r="CU107" s="41">
        <v>0.2</v>
      </c>
      <c r="CV107" s="41"/>
      <c r="CW107" s="41"/>
      <c r="CX107" s="41"/>
      <c r="CY107" s="41">
        <v>0.2</v>
      </c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>
        <v>0.2</v>
      </c>
      <c r="DN107" s="41"/>
      <c r="DO107" s="41"/>
      <c r="DP107" s="41"/>
      <c r="DQ107" s="41"/>
      <c r="DR107" s="41"/>
      <c r="DS107" s="43"/>
      <c r="DT107" s="44">
        <f t="shared" ref="DT107" si="89">SUM(F107:DR107)</f>
        <v>1</v>
      </c>
    </row>
    <row r="108" spans="2:124" s="13" customFormat="1">
      <c r="B108" s="4">
        <f>'6.1Personnel List'!B109</f>
        <v>96</v>
      </c>
      <c r="C108" s="45" t="s">
        <v>218</v>
      </c>
      <c r="D108" s="45" t="str">
        <f>'6.1Personnel List'!D109</f>
        <v>Medical Specialist II (P.T.)</v>
      </c>
      <c r="E108" s="45" t="str">
        <f>'6.1Personnel List'!H109</f>
        <v>PT</v>
      </c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>
        <v>0.2</v>
      </c>
      <c r="CM108" s="41"/>
      <c r="CN108" s="41"/>
      <c r="CO108" s="41"/>
      <c r="CP108" s="41"/>
      <c r="CQ108" s="41"/>
      <c r="CR108" s="41"/>
      <c r="CS108" s="41"/>
      <c r="CT108" s="41">
        <v>0.2</v>
      </c>
      <c r="CU108" s="41">
        <v>0.2</v>
      </c>
      <c r="CV108" s="41"/>
      <c r="CW108" s="41"/>
      <c r="CX108" s="41"/>
      <c r="CY108" s="41">
        <v>0.2</v>
      </c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>
        <v>0.2</v>
      </c>
      <c r="DN108" s="41"/>
      <c r="DO108" s="41"/>
      <c r="DP108" s="41"/>
      <c r="DQ108" s="41"/>
      <c r="DR108" s="41"/>
      <c r="DS108" s="43"/>
      <c r="DT108" s="44">
        <f t="shared" ref="DT108" si="90">SUM(F108:DR108)</f>
        <v>1</v>
      </c>
    </row>
    <row r="109" spans="2:124" s="13" customFormat="1">
      <c r="B109" s="4">
        <f>'6.1Personnel List'!B110</f>
        <v>97</v>
      </c>
      <c r="C109" s="45" t="s">
        <v>219</v>
      </c>
      <c r="D109" s="45" t="str">
        <f>'6.1Personnel List'!D110</f>
        <v>Medical Specialist II (P.T.)</v>
      </c>
      <c r="E109" s="45" t="str">
        <f>'6.1Personnel List'!H110</f>
        <v>PT</v>
      </c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>
        <v>0.4</v>
      </c>
      <c r="CM109" s="41"/>
      <c r="CN109" s="41"/>
      <c r="CO109" s="41"/>
      <c r="CP109" s="41"/>
      <c r="CQ109" s="41"/>
      <c r="CR109" s="41"/>
      <c r="CS109" s="41"/>
      <c r="CT109" s="41">
        <v>0.1</v>
      </c>
      <c r="CU109" s="41">
        <v>0.1</v>
      </c>
      <c r="CV109" s="41"/>
      <c r="CW109" s="41"/>
      <c r="CX109" s="41"/>
      <c r="CY109" s="41">
        <v>0.3</v>
      </c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>
        <v>0.1</v>
      </c>
      <c r="DN109" s="41"/>
      <c r="DO109" s="41"/>
      <c r="DP109" s="41"/>
      <c r="DQ109" s="41"/>
      <c r="DR109" s="41"/>
      <c r="DS109" s="43"/>
      <c r="DT109" s="44">
        <f t="shared" ref="DT109" si="91">SUM(F109:DR109)</f>
        <v>0.99999999999999989</v>
      </c>
    </row>
    <row r="110" spans="2:124" s="13" customFormat="1">
      <c r="B110" s="4">
        <f>'6.1Personnel List'!B111</f>
        <v>98</v>
      </c>
      <c r="C110" s="45" t="s">
        <v>220</v>
      </c>
      <c r="D110" s="45" t="str">
        <f>'6.1Personnel List'!D111</f>
        <v>Medical Specialist II (P.T.)</v>
      </c>
      <c r="E110" s="45" t="str">
        <f>'6.1Personnel List'!H111</f>
        <v>PT</v>
      </c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>
        <v>0.2</v>
      </c>
      <c r="CM110" s="41"/>
      <c r="CN110" s="41"/>
      <c r="CO110" s="41"/>
      <c r="CP110" s="41"/>
      <c r="CQ110" s="41"/>
      <c r="CR110" s="41"/>
      <c r="CS110" s="41"/>
      <c r="CT110" s="41">
        <v>0.2</v>
      </c>
      <c r="CU110" s="41">
        <v>0.2</v>
      </c>
      <c r="CV110" s="41"/>
      <c r="CW110" s="41"/>
      <c r="CX110" s="41"/>
      <c r="CY110" s="41">
        <v>0.2</v>
      </c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>
        <v>0.2</v>
      </c>
      <c r="DN110" s="41"/>
      <c r="DO110" s="41"/>
      <c r="DP110" s="41"/>
      <c r="DQ110" s="41"/>
      <c r="DR110" s="41"/>
      <c r="DS110" s="43"/>
      <c r="DT110" s="44">
        <f t="shared" ref="DT110" si="92">SUM(F110:DR110)</f>
        <v>1</v>
      </c>
    </row>
    <row r="111" spans="2:124" s="13" customFormat="1">
      <c r="B111" s="4">
        <f>'6.1Personnel List'!B112</f>
        <v>99</v>
      </c>
      <c r="C111" s="45" t="s">
        <v>221</v>
      </c>
      <c r="D111" s="45" t="str">
        <f>'6.1Personnel List'!D112</f>
        <v>Medical Specialist II (P.T.)</v>
      </c>
      <c r="E111" s="45" t="str">
        <f>'6.1Personnel List'!H112</f>
        <v>PT</v>
      </c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>
        <v>0.6</v>
      </c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>
        <v>0.3</v>
      </c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>
        <v>0.1</v>
      </c>
      <c r="DN111" s="41"/>
      <c r="DO111" s="41"/>
      <c r="DP111" s="41"/>
      <c r="DQ111" s="41"/>
      <c r="DR111" s="41"/>
      <c r="DS111" s="43"/>
      <c r="DT111" s="44">
        <f t="shared" ref="DT111" si="93">SUM(F111:DR111)</f>
        <v>0.99999999999999989</v>
      </c>
    </row>
    <row r="112" spans="2:124" s="13" customFormat="1">
      <c r="B112" s="4">
        <f>'6.1Personnel List'!B113</f>
        <v>100</v>
      </c>
      <c r="C112" s="45" t="s">
        <v>222</v>
      </c>
      <c r="D112" s="45" t="str">
        <f>'6.1Personnel List'!D113</f>
        <v>Medical Officer IV</v>
      </c>
      <c r="E112" s="45" t="str">
        <f>'6.1Personnel List'!H113</f>
        <v>FT</v>
      </c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>
        <v>0.2</v>
      </c>
      <c r="CL112" s="41">
        <v>0.2</v>
      </c>
      <c r="CM112" s="41"/>
      <c r="CN112" s="41"/>
      <c r="CO112" s="41"/>
      <c r="CP112" s="41"/>
      <c r="CQ112" s="41"/>
      <c r="CR112" s="41"/>
      <c r="CS112" s="41"/>
      <c r="CT112" s="41">
        <v>0.2</v>
      </c>
      <c r="CU112" s="41">
        <v>0.2</v>
      </c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>
        <v>0.2</v>
      </c>
      <c r="DN112" s="41"/>
      <c r="DO112" s="41"/>
      <c r="DP112" s="41"/>
      <c r="DQ112" s="41"/>
      <c r="DR112" s="41"/>
      <c r="DS112" s="43"/>
      <c r="DT112" s="44">
        <f t="shared" ref="DT112" si="94">SUM(F112:DR112)</f>
        <v>1</v>
      </c>
    </row>
    <row r="113" spans="2:124" s="13" customFormat="1">
      <c r="B113" s="4">
        <f>'6.1Personnel List'!B114</f>
        <v>101</v>
      </c>
      <c r="C113" s="45" t="s">
        <v>223</v>
      </c>
      <c r="D113" s="45" t="str">
        <f>'6.1Personnel List'!D114</f>
        <v>Medical Officer IV</v>
      </c>
      <c r="E113" s="45" t="str">
        <f>'6.1Personnel List'!H114</f>
        <v>FT</v>
      </c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>
        <v>0.2</v>
      </c>
      <c r="CL113" s="41">
        <v>0.2</v>
      </c>
      <c r="CM113" s="41"/>
      <c r="CN113" s="41"/>
      <c r="CO113" s="41"/>
      <c r="CP113" s="41"/>
      <c r="CQ113" s="41"/>
      <c r="CR113" s="41"/>
      <c r="CS113" s="41"/>
      <c r="CT113" s="41">
        <v>0.2</v>
      </c>
      <c r="CU113" s="41">
        <v>0.2</v>
      </c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>
        <v>0.2</v>
      </c>
      <c r="DN113" s="41"/>
      <c r="DO113" s="41"/>
      <c r="DP113" s="41"/>
      <c r="DQ113" s="41"/>
      <c r="DR113" s="41"/>
      <c r="DS113" s="43"/>
      <c r="DT113" s="44">
        <f t="shared" ref="DT113" si="95">SUM(F113:DR113)</f>
        <v>1</v>
      </c>
    </row>
    <row r="114" spans="2:124" s="13" customFormat="1">
      <c r="B114" s="4">
        <f>'6.1Personnel List'!B115</f>
        <v>102</v>
      </c>
      <c r="C114" s="45" t="s">
        <v>224</v>
      </c>
      <c r="D114" s="45" t="str">
        <f>'6.1Personnel List'!D115</f>
        <v>Medical Officer IV</v>
      </c>
      <c r="E114" s="45" t="str">
        <f>'6.1Personnel List'!H115</f>
        <v>FT</v>
      </c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>
        <v>0.2</v>
      </c>
      <c r="CL114" s="41">
        <v>0.2</v>
      </c>
      <c r="CM114" s="41"/>
      <c r="CN114" s="41"/>
      <c r="CO114" s="41"/>
      <c r="CP114" s="41"/>
      <c r="CQ114" s="41"/>
      <c r="CR114" s="41"/>
      <c r="CS114" s="41"/>
      <c r="CT114" s="41">
        <v>0.2</v>
      </c>
      <c r="CU114" s="41">
        <v>0.2</v>
      </c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>
        <v>0.2</v>
      </c>
      <c r="DN114" s="41"/>
      <c r="DO114" s="41"/>
      <c r="DP114" s="41"/>
      <c r="DQ114" s="41"/>
      <c r="DR114" s="41"/>
      <c r="DS114" s="43"/>
      <c r="DT114" s="44">
        <f t="shared" ref="DT114" si="96">SUM(F114:DR114)</f>
        <v>1</v>
      </c>
    </row>
    <row r="115" spans="2:124" s="13" customFormat="1">
      <c r="B115" s="4">
        <f>'6.1Personnel List'!B116</f>
        <v>103</v>
      </c>
      <c r="C115" s="45" t="s">
        <v>225</v>
      </c>
      <c r="D115" s="45" t="str">
        <f>'6.1Personnel List'!D116</f>
        <v>Medical Officer IV</v>
      </c>
      <c r="E115" s="45" t="str">
        <f>'6.1Personnel List'!H116</f>
        <v>FT</v>
      </c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>
        <v>0.2</v>
      </c>
      <c r="CL115" s="41">
        <v>0.2</v>
      </c>
      <c r="CM115" s="41"/>
      <c r="CN115" s="41"/>
      <c r="CO115" s="41"/>
      <c r="CP115" s="41"/>
      <c r="CQ115" s="41"/>
      <c r="CR115" s="41"/>
      <c r="CS115" s="41"/>
      <c r="CT115" s="41">
        <v>0.2</v>
      </c>
      <c r="CU115" s="41">
        <v>0.2</v>
      </c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>
        <v>0.2</v>
      </c>
      <c r="DN115" s="41"/>
      <c r="DO115" s="41"/>
      <c r="DP115" s="41"/>
      <c r="DQ115" s="41"/>
      <c r="DR115" s="41"/>
      <c r="DS115" s="43"/>
      <c r="DT115" s="44">
        <f t="shared" ref="DT115" si="97">SUM(F115:DR115)</f>
        <v>1</v>
      </c>
    </row>
    <row r="116" spans="2:124" s="13" customFormat="1">
      <c r="B116" s="4">
        <f>'6.1Personnel List'!B117</f>
        <v>104</v>
      </c>
      <c r="C116" s="45" t="s">
        <v>226</v>
      </c>
      <c r="D116" s="45" t="str">
        <f>'6.1Personnel List'!D117</f>
        <v>Medical Officer IV</v>
      </c>
      <c r="E116" s="45" t="str">
        <f>'6.1Personnel List'!H117</f>
        <v>FT</v>
      </c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>
        <v>0.2</v>
      </c>
      <c r="CL116" s="41">
        <v>0.2</v>
      </c>
      <c r="CM116" s="41"/>
      <c r="CN116" s="41"/>
      <c r="CO116" s="41"/>
      <c r="CP116" s="41"/>
      <c r="CQ116" s="41"/>
      <c r="CR116" s="41"/>
      <c r="CS116" s="41"/>
      <c r="CT116" s="41">
        <v>0.2</v>
      </c>
      <c r="CU116" s="41">
        <v>0.2</v>
      </c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>
        <v>0.2</v>
      </c>
      <c r="DN116" s="41"/>
      <c r="DO116" s="41"/>
      <c r="DP116" s="41"/>
      <c r="DQ116" s="41"/>
      <c r="DR116" s="41"/>
      <c r="DS116" s="43"/>
      <c r="DT116" s="44">
        <f t="shared" ref="DT116" si="98">SUM(F116:DR116)</f>
        <v>1</v>
      </c>
    </row>
    <row r="117" spans="2:124" s="13" customFormat="1">
      <c r="B117" s="4">
        <f>'6.1Personnel List'!B118</f>
        <v>105</v>
      </c>
      <c r="C117" s="45" t="s">
        <v>227</v>
      </c>
      <c r="D117" s="45" t="str">
        <f>'6.1Personnel List'!D118</f>
        <v>Medical Officer IV</v>
      </c>
      <c r="E117" s="45" t="str">
        <f>'6.1Personnel List'!H118</f>
        <v>FT</v>
      </c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>
        <v>0.2</v>
      </c>
      <c r="CL117" s="41">
        <v>0.2</v>
      </c>
      <c r="CM117" s="41"/>
      <c r="CN117" s="41"/>
      <c r="CO117" s="41"/>
      <c r="CP117" s="41"/>
      <c r="CQ117" s="41"/>
      <c r="CR117" s="41"/>
      <c r="CS117" s="41"/>
      <c r="CT117" s="41">
        <v>0.2</v>
      </c>
      <c r="CU117" s="41">
        <v>0.2</v>
      </c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>
        <v>0.2</v>
      </c>
      <c r="DN117" s="41"/>
      <c r="DO117" s="41"/>
      <c r="DP117" s="41"/>
      <c r="DQ117" s="41"/>
      <c r="DR117" s="41"/>
      <c r="DS117" s="43"/>
      <c r="DT117" s="44">
        <f t="shared" ref="DT117" si="99">SUM(F117:DR117)</f>
        <v>1</v>
      </c>
    </row>
    <row r="118" spans="2:124" s="13" customFormat="1">
      <c r="B118" s="4">
        <f>'6.1Personnel List'!B119</f>
        <v>106</v>
      </c>
      <c r="C118" s="45" t="s">
        <v>228</v>
      </c>
      <c r="D118" s="45" t="str">
        <f>'6.1Personnel List'!D119</f>
        <v>Medical Officer IV</v>
      </c>
      <c r="E118" s="45" t="str">
        <f>'6.1Personnel List'!H119</f>
        <v>FT</v>
      </c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>
        <v>0.2</v>
      </c>
      <c r="CL118" s="41">
        <v>0.2</v>
      </c>
      <c r="CM118" s="41"/>
      <c r="CN118" s="41"/>
      <c r="CO118" s="41"/>
      <c r="CP118" s="41"/>
      <c r="CQ118" s="41"/>
      <c r="CR118" s="41"/>
      <c r="CS118" s="41"/>
      <c r="CT118" s="41">
        <v>0.2</v>
      </c>
      <c r="CU118" s="41">
        <v>0.2</v>
      </c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>
        <v>0.2</v>
      </c>
      <c r="DN118" s="41"/>
      <c r="DO118" s="41"/>
      <c r="DP118" s="41"/>
      <c r="DQ118" s="41"/>
      <c r="DR118" s="41"/>
      <c r="DS118" s="43"/>
      <c r="DT118" s="44">
        <f t="shared" ref="DT118" si="100">SUM(F118:DR118)</f>
        <v>1</v>
      </c>
    </row>
    <row r="119" spans="2:124" s="13" customFormat="1">
      <c r="B119" s="4">
        <f>'6.1Personnel List'!B120</f>
        <v>107</v>
      </c>
      <c r="C119" s="45" t="s">
        <v>229</v>
      </c>
      <c r="D119" s="45" t="str">
        <f>'6.1Personnel List'!D120</f>
        <v>Medical Officer IV</v>
      </c>
      <c r="E119" s="45" t="str">
        <f>'6.1Personnel List'!H120</f>
        <v>FT</v>
      </c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>
        <v>0.2</v>
      </c>
      <c r="CL119" s="41">
        <v>0.2</v>
      </c>
      <c r="CM119" s="41"/>
      <c r="CN119" s="41"/>
      <c r="CO119" s="41"/>
      <c r="CP119" s="41"/>
      <c r="CQ119" s="41"/>
      <c r="CR119" s="41"/>
      <c r="CS119" s="41"/>
      <c r="CT119" s="41">
        <v>0.2</v>
      </c>
      <c r="CU119" s="41">
        <v>0.2</v>
      </c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>
        <v>0.2</v>
      </c>
      <c r="DN119" s="41"/>
      <c r="DO119" s="41"/>
      <c r="DP119" s="41"/>
      <c r="DQ119" s="41"/>
      <c r="DR119" s="41"/>
      <c r="DS119" s="43"/>
      <c r="DT119" s="44">
        <f t="shared" ref="DT119" si="101">SUM(F119:DR119)</f>
        <v>1</v>
      </c>
    </row>
    <row r="120" spans="2:124" s="13" customFormat="1">
      <c r="B120" s="4">
        <f>'6.1Personnel List'!B121</f>
        <v>108</v>
      </c>
      <c r="C120" s="45" t="s">
        <v>230</v>
      </c>
      <c r="D120" s="45" t="str">
        <f>'6.1Personnel List'!D121</f>
        <v>Medical Officer IV</v>
      </c>
      <c r="E120" s="45" t="str">
        <f>'6.1Personnel List'!H121</f>
        <v>FT</v>
      </c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>
        <v>0.2</v>
      </c>
      <c r="CL120" s="41">
        <v>0.2</v>
      </c>
      <c r="CM120" s="41"/>
      <c r="CN120" s="41"/>
      <c r="CO120" s="41"/>
      <c r="CP120" s="41"/>
      <c r="CQ120" s="41"/>
      <c r="CR120" s="41"/>
      <c r="CS120" s="41"/>
      <c r="CT120" s="41">
        <v>0.2</v>
      </c>
      <c r="CU120" s="41">
        <v>0.2</v>
      </c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>
        <v>0.2</v>
      </c>
      <c r="DN120" s="41"/>
      <c r="DO120" s="41"/>
      <c r="DP120" s="41"/>
      <c r="DQ120" s="41"/>
      <c r="DR120" s="41"/>
      <c r="DS120" s="43"/>
      <c r="DT120" s="44">
        <f t="shared" ref="DT120" si="102">SUM(F120:DR120)</f>
        <v>1</v>
      </c>
    </row>
    <row r="121" spans="2:124" s="13" customFormat="1">
      <c r="B121" s="4">
        <f>'6.1Personnel List'!B122</f>
        <v>109</v>
      </c>
      <c r="C121" s="45" t="s">
        <v>231</v>
      </c>
      <c r="D121" s="45" t="str">
        <f>'6.1Personnel List'!D122</f>
        <v>Medical Officer IV</v>
      </c>
      <c r="E121" s="45" t="str">
        <f>'6.1Personnel List'!H122</f>
        <v>FT</v>
      </c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>
        <v>0.2</v>
      </c>
      <c r="CL121" s="41">
        <v>0.2</v>
      </c>
      <c r="CM121" s="41"/>
      <c r="CN121" s="41"/>
      <c r="CO121" s="41"/>
      <c r="CP121" s="41"/>
      <c r="CQ121" s="41"/>
      <c r="CR121" s="41"/>
      <c r="CS121" s="41"/>
      <c r="CT121" s="41">
        <v>0.2</v>
      </c>
      <c r="CU121" s="41">
        <v>0.2</v>
      </c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>
        <v>0.2</v>
      </c>
      <c r="DN121" s="41"/>
      <c r="DO121" s="41"/>
      <c r="DP121" s="41"/>
      <c r="DQ121" s="41"/>
      <c r="DR121" s="41"/>
      <c r="DS121" s="43"/>
      <c r="DT121" s="44">
        <f t="shared" ref="DT121" si="103">SUM(F121:DR121)</f>
        <v>1</v>
      </c>
    </row>
    <row r="122" spans="2:124" s="13" customFormat="1">
      <c r="B122" s="4">
        <f>'6.1Personnel List'!B123</f>
        <v>110</v>
      </c>
      <c r="C122" s="45" t="s">
        <v>232</v>
      </c>
      <c r="D122" s="45" t="str">
        <f>'6.1Personnel List'!D123</f>
        <v>Medical Officer IV</v>
      </c>
      <c r="E122" s="45" t="str">
        <f>'6.1Personnel List'!H123</f>
        <v>FT</v>
      </c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>
        <v>0.2</v>
      </c>
      <c r="CL122" s="41">
        <v>0.2</v>
      </c>
      <c r="CM122" s="41"/>
      <c r="CN122" s="41"/>
      <c r="CO122" s="41"/>
      <c r="CP122" s="41"/>
      <c r="CQ122" s="41"/>
      <c r="CR122" s="41"/>
      <c r="CS122" s="41"/>
      <c r="CT122" s="41">
        <v>0.2</v>
      </c>
      <c r="CU122" s="41">
        <v>0.2</v>
      </c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>
        <v>0.2</v>
      </c>
      <c r="DN122" s="41"/>
      <c r="DO122" s="41"/>
      <c r="DP122" s="41"/>
      <c r="DQ122" s="41"/>
      <c r="DR122" s="41"/>
      <c r="DS122" s="43"/>
      <c r="DT122" s="44">
        <f t="shared" ref="DT122" si="104">SUM(F122:DR122)</f>
        <v>1</v>
      </c>
    </row>
    <row r="123" spans="2:124" s="13" customFormat="1">
      <c r="B123" s="4">
        <f>'6.1Personnel List'!B124</f>
        <v>111</v>
      </c>
      <c r="C123" s="45" t="s">
        <v>233</v>
      </c>
      <c r="D123" s="45" t="str">
        <f>'6.1Personnel List'!D124</f>
        <v>Medical Officer IV</v>
      </c>
      <c r="E123" s="45" t="str">
        <f>'6.1Personnel List'!H124</f>
        <v>FT</v>
      </c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>
        <v>0.2</v>
      </c>
      <c r="CL123" s="41">
        <v>0.2</v>
      </c>
      <c r="CM123" s="41"/>
      <c r="CN123" s="41"/>
      <c r="CO123" s="41"/>
      <c r="CP123" s="41"/>
      <c r="CQ123" s="41"/>
      <c r="CR123" s="41"/>
      <c r="CS123" s="41"/>
      <c r="CT123" s="41">
        <v>0.2</v>
      </c>
      <c r="CU123" s="41">
        <v>0.2</v>
      </c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>
        <v>0.2</v>
      </c>
      <c r="DN123" s="41"/>
      <c r="DO123" s="41"/>
      <c r="DP123" s="41"/>
      <c r="DQ123" s="41"/>
      <c r="DR123" s="41"/>
      <c r="DS123" s="43"/>
      <c r="DT123" s="44">
        <f t="shared" ref="DT123" si="105">SUM(F123:DR123)</f>
        <v>1</v>
      </c>
    </row>
    <row r="124" spans="2:124" s="13" customFormat="1">
      <c r="B124" s="4">
        <f>'6.1Personnel List'!B125</f>
        <v>112</v>
      </c>
      <c r="C124" s="45" t="s">
        <v>234</v>
      </c>
      <c r="D124" s="45" t="str">
        <f>'6.1Personnel List'!D125</f>
        <v>Medical Officer III</v>
      </c>
      <c r="E124" s="45" t="str">
        <f>'6.1Personnel List'!H125</f>
        <v>FT</v>
      </c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>
        <v>0.2</v>
      </c>
      <c r="CL124" s="41">
        <v>0.2</v>
      </c>
      <c r="CM124" s="41"/>
      <c r="CN124" s="41"/>
      <c r="CO124" s="41"/>
      <c r="CP124" s="41"/>
      <c r="CQ124" s="41"/>
      <c r="CR124" s="41"/>
      <c r="CS124" s="41"/>
      <c r="CT124" s="41">
        <v>0.2</v>
      </c>
      <c r="CU124" s="41">
        <v>0.2</v>
      </c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>
        <v>0.2</v>
      </c>
      <c r="DN124" s="41"/>
      <c r="DO124" s="41"/>
      <c r="DP124" s="41"/>
      <c r="DQ124" s="41"/>
      <c r="DR124" s="41"/>
      <c r="DS124" s="43"/>
      <c r="DT124" s="44">
        <f t="shared" ref="DT124" si="106">SUM(F124:DR124)</f>
        <v>1</v>
      </c>
    </row>
    <row r="125" spans="2:124" s="13" customFormat="1">
      <c r="B125" s="4">
        <f>'6.1Personnel List'!B126</f>
        <v>113</v>
      </c>
      <c r="C125" s="45" t="s">
        <v>235</v>
      </c>
      <c r="D125" s="45" t="str">
        <f>'6.1Personnel List'!D126</f>
        <v>Medical Officer III</v>
      </c>
      <c r="E125" s="45" t="str">
        <f>'6.1Personnel List'!H126</f>
        <v>FT</v>
      </c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>
        <v>0.2</v>
      </c>
      <c r="CL125" s="41">
        <v>0.2</v>
      </c>
      <c r="CM125" s="41"/>
      <c r="CN125" s="41"/>
      <c r="CO125" s="41"/>
      <c r="CP125" s="41"/>
      <c r="CQ125" s="41"/>
      <c r="CR125" s="41"/>
      <c r="CS125" s="41"/>
      <c r="CT125" s="41">
        <v>0.2</v>
      </c>
      <c r="CU125" s="41">
        <v>0.2</v>
      </c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>
        <v>0.2</v>
      </c>
      <c r="DN125" s="41"/>
      <c r="DO125" s="41"/>
      <c r="DP125" s="41"/>
      <c r="DQ125" s="41"/>
      <c r="DR125" s="41"/>
      <c r="DS125" s="43"/>
      <c r="DT125" s="44">
        <f t="shared" ref="DT125" si="107">SUM(F125:DR125)</f>
        <v>1</v>
      </c>
    </row>
    <row r="126" spans="2:124" s="13" customFormat="1">
      <c r="B126" s="4">
        <f>'6.1Personnel List'!B127</f>
        <v>114</v>
      </c>
      <c r="C126" s="45" t="s">
        <v>236</v>
      </c>
      <c r="D126" s="45" t="str">
        <f>'6.1Personnel List'!D127</f>
        <v>Medical Officer III</v>
      </c>
      <c r="E126" s="45" t="str">
        <f>'6.1Personnel List'!H127</f>
        <v>FT</v>
      </c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>
        <v>0.2</v>
      </c>
      <c r="CL126" s="41">
        <v>0.2</v>
      </c>
      <c r="CM126" s="41"/>
      <c r="CN126" s="41"/>
      <c r="CO126" s="41"/>
      <c r="CP126" s="41"/>
      <c r="CQ126" s="41"/>
      <c r="CR126" s="41"/>
      <c r="CS126" s="41"/>
      <c r="CT126" s="41">
        <v>0.2</v>
      </c>
      <c r="CU126" s="41">
        <v>0.2</v>
      </c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>
        <v>0.2</v>
      </c>
      <c r="DN126" s="41"/>
      <c r="DO126" s="41"/>
      <c r="DP126" s="41"/>
      <c r="DQ126" s="41"/>
      <c r="DR126" s="41"/>
      <c r="DS126" s="43"/>
      <c r="DT126" s="44">
        <f t="shared" ref="DT126" si="108">SUM(F126:DR126)</f>
        <v>1</v>
      </c>
    </row>
    <row r="127" spans="2:124" s="13" customFormat="1">
      <c r="B127" s="4">
        <f>'6.1Personnel List'!B128</f>
        <v>115</v>
      </c>
      <c r="C127" s="45" t="s">
        <v>237</v>
      </c>
      <c r="D127" s="45" t="str">
        <f>'6.1Personnel List'!D128</f>
        <v>Medical Officer III</v>
      </c>
      <c r="E127" s="45" t="str">
        <f>'6.1Personnel List'!H128</f>
        <v>FT</v>
      </c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>
        <v>0.2</v>
      </c>
      <c r="CL127" s="41">
        <v>0.2</v>
      </c>
      <c r="CM127" s="41"/>
      <c r="CN127" s="41"/>
      <c r="CO127" s="41"/>
      <c r="CP127" s="41"/>
      <c r="CQ127" s="41"/>
      <c r="CR127" s="41"/>
      <c r="CS127" s="41"/>
      <c r="CT127" s="41">
        <v>0.2</v>
      </c>
      <c r="CU127" s="41">
        <v>0.2</v>
      </c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>
        <v>0.2</v>
      </c>
      <c r="DN127" s="41"/>
      <c r="DO127" s="41"/>
      <c r="DP127" s="41"/>
      <c r="DQ127" s="41"/>
      <c r="DR127" s="41"/>
      <c r="DS127" s="43"/>
      <c r="DT127" s="44">
        <f t="shared" ref="DT127" si="109">SUM(F127:DR127)</f>
        <v>1</v>
      </c>
    </row>
    <row r="128" spans="2:124" s="13" customFormat="1">
      <c r="B128" s="4">
        <f>'6.1Personnel List'!B129</f>
        <v>116</v>
      </c>
      <c r="C128" s="45" t="s">
        <v>238</v>
      </c>
      <c r="D128" s="45" t="str">
        <f>'6.1Personnel List'!D129</f>
        <v>Medical Officer III</v>
      </c>
      <c r="E128" s="45" t="str">
        <f>'6.1Personnel List'!H129</f>
        <v>FT</v>
      </c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>
        <v>0.2</v>
      </c>
      <c r="CL128" s="41">
        <v>0.2</v>
      </c>
      <c r="CM128" s="41"/>
      <c r="CN128" s="41"/>
      <c r="CO128" s="41"/>
      <c r="CP128" s="41"/>
      <c r="CQ128" s="41"/>
      <c r="CR128" s="41"/>
      <c r="CS128" s="41"/>
      <c r="CT128" s="41">
        <v>0.2</v>
      </c>
      <c r="CU128" s="41">
        <v>0.2</v>
      </c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>
        <v>0.2</v>
      </c>
      <c r="DN128" s="41"/>
      <c r="DO128" s="41"/>
      <c r="DP128" s="41"/>
      <c r="DQ128" s="41"/>
      <c r="DR128" s="41"/>
      <c r="DS128" s="43"/>
      <c r="DT128" s="44">
        <f t="shared" ref="DT128" si="110">SUM(F128:DR128)</f>
        <v>1</v>
      </c>
    </row>
    <row r="129" spans="2:124" s="13" customFormat="1">
      <c r="B129" s="4">
        <f>'6.1Personnel List'!B130</f>
        <v>117</v>
      </c>
      <c r="C129" s="45" t="s">
        <v>239</v>
      </c>
      <c r="D129" s="45" t="str">
        <f>'6.1Personnel List'!D130</f>
        <v>Medical Officer III</v>
      </c>
      <c r="E129" s="45" t="str">
        <f>'6.1Personnel List'!H130</f>
        <v>FT</v>
      </c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>
        <v>0.2</v>
      </c>
      <c r="CL129" s="41">
        <v>0.2</v>
      </c>
      <c r="CM129" s="41"/>
      <c r="CN129" s="41"/>
      <c r="CO129" s="41"/>
      <c r="CP129" s="41"/>
      <c r="CQ129" s="41"/>
      <c r="CR129" s="41"/>
      <c r="CS129" s="41"/>
      <c r="CT129" s="41">
        <v>0.2</v>
      </c>
      <c r="CU129" s="41">
        <v>0.2</v>
      </c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>
        <v>0.2</v>
      </c>
      <c r="DN129" s="41"/>
      <c r="DO129" s="41"/>
      <c r="DP129" s="41"/>
      <c r="DQ129" s="41"/>
      <c r="DR129" s="41"/>
      <c r="DS129" s="43"/>
      <c r="DT129" s="44">
        <f t="shared" ref="DT129" si="111">SUM(F129:DR129)</f>
        <v>1</v>
      </c>
    </row>
    <row r="130" spans="2:124" s="13" customFormat="1">
      <c r="B130" s="4">
        <f>'6.1Personnel List'!B131</f>
        <v>118</v>
      </c>
      <c r="C130" s="45" t="s">
        <v>240</v>
      </c>
      <c r="D130" s="45" t="str">
        <f>'6.1Personnel List'!D131</f>
        <v>Medical Officer III</v>
      </c>
      <c r="E130" s="45" t="str">
        <f>'6.1Personnel List'!H131</f>
        <v>FT</v>
      </c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>
        <v>0.2</v>
      </c>
      <c r="CL130" s="41">
        <v>0.2</v>
      </c>
      <c r="CM130" s="41"/>
      <c r="CN130" s="41"/>
      <c r="CO130" s="41"/>
      <c r="CP130" s="41"/>
      <c r="CQ130" s="41"/>
      <c r="CR130" s="41"/>
      <c r="CS130" s="41"/>
      <c r="CT130" s="41">
        <v>0.2</v>
      </c>
      <c r="CU130" s="41">
        <v>0.2</v>
      </c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>
        <v>0.2</v>
      </c>
      <c r="DN130" s="41"/>
      <c r="DO130" s="41"/>
      <c r="DP130" s="41"/>
      <c r="DQ130" s="41"/>
      <c r="DR130" s="41"/>
      <c r="DS130" s="43"/>
      <c r="DT130" s="44">
        <f t="shared" ref="DT130" si="112">SUM(F130:DR130)</f>
        <v>1</v>
      </c>
    </row>
    <row r="131" spans="2:124" s="13" customFormat="1">
      <c r="B131" s="4">
        <f>'6.1Personnel List'!B132</f>
        <v>119</v>
      </c>
      <c r="C131" s="45" t="s">
        <v>241</v>
      </c>
      <c r="D131" s="45" t="str">
        <f>'6.1Personnel List'!D132</f>
        <v>Medical Officer III</v>
      </c>
      <c r="E131" s="45" t="str">
        <f>'6.1Personnel List'!H132</f>
        <v>FT</v>
      </c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>
        <v>0.2</v>
      </c>
      <c r="CL131" s="41">
        <v>0.2</v>
      </c>
      <c r="CM131" s="41"/>
      <c r="CN131" s="41"/>
      <c r="CO131" s="41"/>
      <c r="CP131" s="41"/>
      <c r="CQ131" s="41"/>
      <c r="CR131" s="41"/>
      <c r="CS131" s="41"/>
      <c r="CT131" s="41">
        <v>0.2</v>
      </c>
      <c r="CU131" s="41">
        <v>0.2</v>
      </c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>
        <v>0.2</v>
      </c>
      <c r="DN131" s="41"/>
      <c r="DO131" s="41"/>
      <c r="DP131" s="41"/>
      <c r="DQ131" s="41"/>
      <c r="DR131" s="41"/>
      <c r="DS131" s="43"/>
      <c r="DT131" s="44">
        <f t="shared" ref="DT131" si="113">SUM(F131:DR131)</f>
        <v>1</v>
      </c>
    </row>
    <row r="132" spans="2:124" s="13" customFormat="1">
      <c r="B132" s="4">
        <f>'6.1Personnel List'!B133</f>
        <v>120</v>
      </c>
      <c r="C132" s="45" t="s">
        <v>1525</v>
      </c>
      <c r="D132" s="45" t="str">
        <f>'6.1Personnel List'!D133</f>
        <v>Medical Officer III</v>
      </c>
      <c r="E132" s="45" t="str">
        <f>'6.1Personnel List'!H133</f>
        <v>FT</v>
      </c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>
        <v>0.2</v>
      </c>
      <c r="CL132" s="41">
        <v>0.2</v>
      </c>
      <c r="CM132" s="41"/>
      <c r="CN132" s="41"/>
      <c r="CO132" s="41"/>
      <c r="CP132" s="41"/>
      <c r="CQ132" s="41"/>
      <c r="CR132" s="41"/>
      <c r="CS132" s="41"/>
      <c r="CT132" s="41">
        <v>0.2</v>
      </c>
      <c r="CU132" s="41">
        <v>0.2</v>
      </c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>
        <v>0.2</v>
      </c>
      <c r="DN132" s="41"/>
      <c r="DO132" s="41"/>
      <c r="DP132" s="41"/>
      <c r="DQ132" s="41"/>
      <c r="DR132" s="41"/>
      <c r="DS132" s="43"/>
      <c r="DT132" s="44">
        <f t="shared" ref="DT132" si="114">SUM(F132:DR132)</f>
        <v>1</v>
      </c>
    </row>
    <row r="133" spans="2:124" s="13" customFormat="1">
      <c r="B133" s="4">
        <f>'6.1Personnel List'!B134</f>
        <v>121</v>
      </c>
      <c r="C133" s="45" t="s">
        <v>242</v>
      </c>
      <c r="D133" s="45" t="str">
        <f>'6.1Personnel List'!D134</f>
        <v>Medical Officer III</v>
      </c>
      <c r="E133" s="45" t="str">
        <f>'6.1Personnel List'!H134</f>
        <v>FT</v>
      </c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>
        <v>0.2</v>
      </c>
      <c r="CL133" s="41">
        <v>0.2</v>
      </c>
      <c r="CM133" s="41"/>
      <c r="CN133" s="41"/>
      <c r="CO133" s="41"/>
      <c r="CP133" s="41"/>
      <c r="CQ133" s="41"/>
      <c r="CR133" s="41"/>
      <c r="CS133" s="41"/>
      <c r="CT133" s="41">
        <v>0.2</v>
      </c>
      <c r="CU133" s="41">
        <v>0.2</v>
      </c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>
        <v>0.2</v>
      </c>
      <c r="DN133" s="41"/>
      <c r="DO133" s="41"/>
      <c r="DP133" s="41"/>
      <c r="DQ133" s="41"/>
      <c r="DR133" s="41"/>
      <c r="DS133" s="43"/>
      <c r="DT133" s="44">
        <f t="shared" ref="DT133" si="115">SUM(F133:DR133)</f>
        <v>1</v>
      </c>
    </row>
    <row r="134" spans="2:124" s="13" customFormat="1">
      <c r="B134" s="4">
        <f>'6.1Personnel List'!B135</f>
        <v>122</v>
      </c>
      <c r="C134" s="45" t="s">
        <v>243</v>
      </c>
      <c r="D134" s="45" t="str">
        <f>'6.1Personnel List'!D135</f>
        <v>Medical Officer III</v>
      </c>
      <c r="E134" s="45" t="str">
        <f>'6.1Personnel List'!H135</f>
        <v>FT</v>
      </c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>
        <v>0.2</v>
      </c>
      <c r="CL134" s="41">
        <v>0.2</v>
      </c>
      <c r="CM134" s="41"/>
      <c r="CN134" s="41"/>
      <c r="CO134" s="41"/>
      <c r="CP134" s="41"/>
      <c r="CQ134" s="41"/>
      <c r="CR134" s="41"/>
      <c r="CS134" s="41"/>
      <c r="CT134" s="41">
        <v>0.2</v>
      </c>
      <c r="CU134" s="41">
        <v>0.2</v>
      </c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>
        <v>0.2</v>
      </c>
      <c r="DN134" s="41"/>
      <c r="DO134" s="41"/>
      <c r="DP134" s="41"/>
      <c r="DQ134" s="41"/>
      <c r="DR134" s="41"/>
      <c r="DS134" s="43"/>
      <c r="DT134" s="44">
        <f t="shared" ref="DT134" si="116">SUM(F134:DR134)</f>
        <v>1</v>
      </c>
    </row>
    <row r="135" spans="2:124" s="13" customFormat="1">
      <c r="B135" s="4">
        <f>'6.1Personnel List'!B136</f>
        <v>123</v>
      </c>
      <c r="C135" s="45" t="s">
        <v>1524</v>
      </c>
      <c r="D135" s="45" t="str">
        <f>'6.1Personnel List'!D136</f>
        <v>Medical Officer III</v>
      </c>
      <c r="E135" s="45" t="str">
        <f>'6.1Personnel List'!H136</f>
        <v>FT</v>
      </c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>
        <v>0.2</v>
      </c>
      <c r="CL135" s="41">
        <v>0.2</v>
      </c>
      <c r="CM135" s="41"/>
      <c r="CN135" s="41"/>
      <c r="CO135" s="41"/>
      <c r="CP135" s="41"/>
      <c r="CQ135" s="41"/>
      <c r="CR135" s="41"/>
      <c r="CS135" s="41"/>
      <c r="CT135" s="41">
        <v>0.2</v>
      </c>
      <c r="CU135" s="41">
        <v>0.2</v>
      </c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>
        <v>0.2</v>
      </c>
      <c r="DN135" s="41"/>
      <c r="DO135" s="41"/>
      <c r="DP135" s="41"/>
      <c r="DQ135" s="41"/>
      <c r="DR135" s="41"/>
      <c r="DS135" s="43"/>
      <c r="DT135" s="44">
        <f t="shared" ref="DT135" si="117">SUM(F135:DR135)</f>
        <v>1</v>
      </c>
    </row>
    <row r="136" spans="2:124" s="13" customFormat="1">
      <c r="B136" s="4">
        <f>'6.1Personnel List'!B137</f>
        <v>124</v>
      </c>
      <c r="C136" s="45" t="s">
        <v>1523</v>
      </c>
      <c r="D136" s="45" t="str">
        <f>'6.1Personnel List'!D137</f>
        <v>Medical Officer III</v>
      </c>
      <c r="E136" s="45" t="str">
        <f>'6.1Personnel List'!H137</f>
        <v>FT</v>
      </c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>
        <v>0.2</v>
      </c>
      <c r="CL136" s="41">
        <v>0.2</v>
      </c>
      <c r="CM136" s="41"/>
      <c r="CN136" s="41"/>
      <c r="CO136" s="41"/>
      <c r="CP136" s="41"/>
      <c r="CQ136" s="41"/>
      <c r="CR136" s="41"/>
      <c r="CS136" s="41"/>
      <c r="CT136" s="41">
        <v>0.2</v>
      </c>
      <c r="CU136" s="41">
        <v>0.2</v>
      </c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  <c r="DK136" s="41"/>
      <c r="DL136" s="41"/>
      <c r="DM136" s="41">
        <v>0.2</v>
      </c>
      <c r="DN136" s="41"/>
      <c r="DO136" s="41"/>
      <c r="DP136" s="41"/>
      <c r="DQ136" s="41"/>
      <c r="DR136" s="41"/>
      <c r="DS136" s="43"/>
      <c r="DT136" s="44">
        <f t="shared" ref="DT136" si="118">SUM(F136:DR136)</f>
        <v>1</v>
      </c>
    </row>
    <row r="137" spans="2:124" s="13" customFormat="1">
      <c r="B137" s="4">
        <f>'6.1Personnel List'!B138</f>
        <v>125</v>
      </c>
      <c r="C137" s="45" t="s">
        <v>244</v>
      </c>
      <c r="D137" s="45" t="str">
        <f>'6.1Personnel List'!D138</f>
        <v>Medical Officer III</v>
      </c>
      <c r="E137" s="45" t="str">
        <f>'6.1Personnel List'!H138</f>
        <v>FT</v>
      </c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>
        <v>0.2</v>
      </c>
      <c r="CL137" s="41">
        <v>0.2</v>
      </c>
      <c r="CM137" s="41"/>
      <c r="CN137" s="41"/>
      <c r="CO137" s="41"/>
      <c r="CP137" s="41"/>
      <c r="CQ137" s="41"/>
      <c r="CR137" s="41"/>
      <c r="CS137" s="41"/>
      <c r="CT137" s="41">
        <v>0.2</v>
      </c>
      <c r="CU137" s="41">
        <v>0.2</v>
      </c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>
        <v>0.2</v>
      </c>
      <c r="DN137" s="41"/>
      <c r="DO137" s="41"/>
      <c r="DP137" s="41"/>
      <c r="DQ137" s="41"/>
      <c r="DR137" s="41"/>
      <c r="DS137" s="43"/>
      <c r="DT137" s="44">
        <f t="shared" ref="DT137" si="119">SUM(F137:DR137)</f>
        <v>1</v>
      </c>
    </row>
    <row r="138" spans="2:124" s="13" customFormat="1">
      <c r="B138" s="4">
        <f>'6.1Personnel List'!B139</f>
        <v>126</v>
      </c>
      <c r="C138" s="45" t="s">
        <v>245</v>
      </c>
      <c r="D138" s="45" t="str">
        <f>'6.1Personnel List'!D139</f>
        <v>Medical Officer III</v>
      </c>
      <c r="E138" s="45" t="str">
        <f>'6.1Personnel List'!H139</f>
        <v>FT</v>
      </c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>
        <v>0.2</v>
      </c>
      <c r="CL138" s="41">
        <v>0.2</v>
      </c>
      <c r="CM138" s="41"/>
      <c r="CN138" s="41"/>
      <c r="CO138" s="41"/>
      <c r="CP138" s="41"/>
      <c r="CQ138" s="41"/>
      <c r="CR138" s="41"/>
      <c r="CS138" s="41"/>
      <c r="CT138" s="41">
        <v>0.2</v>
      </c>
      <c r="CU138" s="41">
        <v>0.2</v>
      </c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>
        <v>0.2</v>
      </c>
      <c r="DN138" s="41"/>
      <c r="DO138" s="41"/>
      <c r="DP138" s="41"/>
      <c r="DQ138" s="41"/>
      <c r="DR138" s="41"/>
      <c r="DS138" s="43"/>
      <c r="DT138" s="44">
        <f t="shared" ref="DT138" si="120">SUM(F138:DR138)</f>
        <v>1</v>
      </c>
    </row>
    <row r="139" spans="2:124" s="13" customFormat="1">
      <c r="B139" s="4">
        <f>'6.1Personnel List'!B140</f>
        <v>127</v>
      </c>
      <c r="C139" s="45" t="s">
        <v>246</v>
      </c>
      <c r="D139" s="45" t="str">
        <f>'6.1Personnel List'!D140</f>
        <v>Administrative Assistant I</v>
      </c>
      <c r="E139" s="45" t="str">
        <f>'6.1Personnel List'!H140</f>
        <v>FT</v>
      </c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>
        <v>1</v>
      </c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3"/>
      <c r="DT139" s="44">
        <f t="shared" ref="DT139" si="121">SUM(F139:DR139)</f>
        <v>1</v>
      </c>
    </row>
    <row r="140" spans="2:124" s="13" customFormat="1">
      <c r="B140" s="4">
        <f>'6.1Personnel List'!B141</f>
        <v>128</v>
      </c>
      <c r="C140" s="45" t="s">
        <v>1559</v>
      </c>
      <c r="D140" s="45" t="str">
        <f>'6.1Personnel List'!D141</f>
        <v>Medical Specialist IV (P.T.) - Chairman</v>
      </c>
      <c r="E140" s="45" t="str">
        <f>'6.1Personnel List'!H141</f>
        <v>PT</v>
      </c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>
        <v>0.2</v>
      </c>
      <c r="CO140" s="41"/>
      <c r="CP140" s="41"/>
      <c r="CQ140" s="41"/>
      <c r="CR140" s="41"/>
      <c r="CS140" s="41"/>
      <c r="CT140" s="41">
        <v>0.2</v>
      </c>
      <c r="CU140" s="41">
        <v>0.3</v>
      </c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>
        <v>0.3</v>
      </c>
      <c r="DK140" s="41"/>
      <c r="DL140" s="41"/>
      <c r="DM140" s="41"/>
      <c r="DN140" s="41"/>
      <c r="DO140" s="41"/>
      <c r="DP140" s="41"/>
      <c r="DQ140" s="41"/>
      <c r="DR140" s="41"/>
      <c r="DS140" s="43"/>
      <c r="DT140" s="44">
        <f t="shared" ref="DT140" si="122">SUM(F140:DR140)</f>
        <v>1</v>
      </c>
    </row>
    <row r="141" spans="2:124" s="13" customFormat="1">
      <c r="B141" s="4">
        <f>'6.1Personnel List'!B142</f>
        <v>129</v>
      </c>
      <c r="C141" s="45" t="s">
        <v>249</v>
      </c>
      <c r="D141" s="45" t="str">
        <f>'6.1Personnel List'!D142</f>
        <v>Medical Specialist III (P.T.)</v>
      </c>
      <c r="E141" s="45" t="str">
        <f>'6.1Personnel List'!H142</f>
        <v>PT</v>
      </c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>
        <v>0.3</v>
      </c>
      <c r="CO141" s="41"/>
      <c r="CP141" s="41"/>
      <c r="CQ141" s="41"/>
      <c r="CR141" s="41"/>
      <c r="CS141" s="41"/>
      <c r="CT141" s="41">
        <v>0.1</v>
      </c>
      <c r="CU141" s="41">
        <v>0.1</v>
      </c>
      <c r="CV141" s="41"/>
      <c r="CW141" s="41"/>
      <c r="CX141" s="41">
        <v>0.3</v>
      </c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>
        <v>0.2</v>
      </c>
      <c r="DK141" s="41"/>
      <c r="DL141" s="41"/>
      <c r="DM141" s="41"/>
      <c r="DN141" s="41"/>
      <c r="DO141" s="41"/>
      <c r="DP141" s="41"/>
      <c r="DQ141" s="41"/>
      <c r="DR141" s="41"/>
      <c r="DS141" s="43"/>
      <c r="DT141" s="44">
        <f t="shared" ref="DT141" si="123">SUM(F141:DR141)</f>
        <v>1</v>
      </c>
    </row>
    <row r="142" spans="2:124" s="13" customFormat="1">
      <c r="B142" s="4">
        <f>'6.1Personnel List'!B143</f>
        <v>130</v>
      </c>
      <c r="C142" s="45" t="s">
        <v>250</v>
      </c>
      <c r="D142" s="45" t="str">
        <f>'6.1Personnel List'!D143</f>
        <v>Medical Specialist III (P.T.)</v>
      </c>
      <c r="E142" s="45" t="str">
        <f>'6.1Personnel List'!H143</f>
        <v>PT</v>
      </c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>
        <v>0.1</v>
      </c>
      <c r="CO142" s="41"/>
      <c r="CP142" s="41"/>
      <c r="CQ142" s="41"/>
      <c r="CR142" s="41"/>
      <c r="CS142" s="41"/>
      <c r="CT142" s="41">
        <v>0.1</v>
      </c>
      <c r="CU142" s="41"/>
      <c r="CV142" s="41"/>
      <c r="CW142" s="41"/>
      <c r="CX142" s="41"/>
      <c r="CY142" s="41"/>
      <c r="CZ142" s="41"/>
      <c r="DA142" s="41"/>
      <c r="DB142" s="41">
        <v>0.5</v>
      </c>
      <c r="DC142" s="41"/>
      <c r="DD142" s="41"/>
      <c r="DE142" s="41"/>
      <c r="DF142" s="41"/>
      <c r="DG142" s="41"/>
      <c r="DH142" s="41"/>
      <c r="DI142" s="41"/>
      <c r="DJ142" s="41">
        <v>0.3</v>
      </c>
      <c r="DK142" s="41"/>
      <c r="DL142" s="41"/>
      <c r="DM142" s="41"/>
      <c r="DN142" s="41"/>
      <c r="DO142" s="41"/>
      <c r="DP142" s="41"/>
      <c r="DQ142" s="41"/>
      <c r="DR142" s="41"/>
      <c r="DS142" s="43"/>
      <c r="DT142" s="44">
        <f t="shared" ref="DT142" si="124">SUM(F142:DR142)</f>
        <v>1</v>
      </c>
    </row>
    <row r="143" spans="2:124" s="13" customFormat="1">
      <c r="B143" s="4">
        <f>'6.1Personnel List'!B144</f>
        <v>131</v>
      </c>
      <c r="C143" s="45" t="s">
        <v>251</v>
      </c>
      <c r="D143" s="45" t="str">
        <f>'6.1Personnel List'!D144</f>
        <v>Medical Specialist III (P.T.)</v>
      </c>
      <c r="E143" s="45" t="str">
        <f>'6.1Personnel List'!H144</f>
        <v>PT</v>
      </c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>
        <v>0.1</v>
      </c>
      <c r="CO143" s="41"/>
      <c r="CP143" s="41"/>
      <c r="CQ143" s="41"/>
      <c r="CR143" s="41"/>
      <c r="CS143" s="41"/>
      <c r="CT143" s="41">
        <v>0.1</v>
      </c>
      <c r="CU143" s="41">
        <v>0.1</v>
      </c>
      <c r="CV143" s="41"/>
      <c r="CW143" s="41"/>
      <c r="CX143" s="41">
        <v>0.3</v>
      </c>
      <c r="CY143" s="41"/>
      <c r="CZ143" s="41"/>
      <c r="DA143" s="41">
        <v>0.2</v>
      </c>
      <c r="DB143" s="41"/>
      <c r="DC143" s="41"/>
      <c r="DD143" s="41"/>
      <c r="DE143" s="41"/>
      <c r="DF143" s="41"/>
      <c r="DG143" s="41"/>
      <c r="DH143" s="41"/>
      <c r="DI143" s="41"/>
      <c r="DJ143" s="41">
        <v>0.2</v>
      </c>
      <c r="DK143" s="41"/>
      <c r="DL143" s="41"/>
      <c r="DM143" s="41"/>
      <c r="DN143" s="41"/>
      <c r="DO143" s="41"/>
      <c r="DP143" s="41"/>
      <c r="DQ143" s="41"/>
      <c r="DR143" s="41"/>
      <c r="DS143" s="43"/>
      <c r="DT143" s="44">
        <f t="shared" ref="DT143" si="125">SUM(F143:DR143)</f>
        <v>1</v>
      </c>
    </row>
    <row r="144" spans="2:124" s="13" customFormat="1">
      <c r="B144" s="4">
        <f>'6.1Personnel List'!B145</f>
        <v>132</v>
      </c>
      <c r="C144" s="45" t="s">
        <v>252</v>
      </c>
      <c r="D144" s="45" t="str">
        <f>'6.1Personnel List'!D145</f>
        <v>Medical Specialist III (P.T.)</v>
      </c>
      <c r="E144" s="45" t="str">
        <f>'6.1Personnel List'!H145</f>
        <v>PT</v>
      </c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>
        <v>0.2</v>
      </c>
      <c r="CO144" s="41"/>
      <c r="CP144" s="41"/>
      <c r="CQ144" s="41"/>
      <c r="CR144" s="41"/>
      <c r="CS144" s="41"/>
      <c r="CT144" s="41">
        <v>0.2</v>
      </c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>
        <v>0.4</v>
      </c>
      <c r="DI144" s="41"/>
      <c r="DJ144" s="41">
        <v>0.2</v>
      </c>
      <c r="DK144" s="41"/>
      <c r="DL144" s="41"/>
      <c r="DM144" s="41"/>
      <c r="DN144" s="41"/>
      <c r="DO144" s="41"/>
      <c r="DP144" s="41"/>
      <c r="DQ144" s="41"/>
      <c r="DR144" s="41"/>
      <c r="DS144" s="43"/>
      <c r="DT144" s="44">
        <f t="shared" ref="DT144" si="126">SUM(F144:DR144)</f>
        <v>1</v>
      </c>
    </row>
    <row r="145" spans="2:124" s="13" customFormat="1">
      <c r="B145" s="4">
        <f>'6.1Personnel List'!B146</f>
        <v>133</v>
      </c>
      <c r="C145" s="45" t="s">
        <v>253</v>
      </c>
      <c r="D145" s="45" t="str">
        <f>'6.1Personnel List'!D146</f>
        <v>Medical Specialist III (P.T.)</v>
      </c>
      <c r="E145" s="45" t="str">
        <f>'6.1Personnel List'!H146</f>
        <v>PT</v>
      </c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>
        <v>0.4</v>
      </c>
      <c r="CO145" s="41"/>
      <c r="CP145" s="41"/>
      <c r="CQ145" s="41"/>
      <c r="CR145" s="41"/>
      <c r="CS145" s="41"/>
      <c r="CT145" s="41">
        <v>0.2</v>
      </c>
      <c r="CU145" s="41">
        <v>0.2</v>
      </c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>
        <v>0.2</v>
      </c>
      <c r="DK145" s="41"/>
      <c r="DL145" s="41"/>
      <c r="DM145" s="41"/>
      <c r="DN145" s="41"/>
      <c r="DO145" s="41"/>
      <c r="DP145" s="41"/>
      <c r="DQ145" s="41"/>
      <c r="DR145" s="41"/>
      <c r="DS145" s="43"/>
      <c r="DT145" s="44">
        <f t="shared" ref="DT145" si="127">SUM(F145:DR145)</f>
        <v>1</v>
      </c>
    </row>
    <row r="146" spans="2:124" s="13" customFormat="1">
      <c r="B146" s="4">
        <f>'6.1Personnel List'!B147</f>
        <v>134</v>
      </c>
      <c r="C146" s="45" t="s">
        <v>254</v>
      </c>
      <c r="D146" s="45" t="str">
        <f>'6.1Personnel List'!D147</f>
        <v>Medical Specialist III (P.T.)</v>
      </c>
      <c r="E146" s="45" t="str">
        <f>'6.1Personnel List'!H147</f>
        <v>PT</v>
      </c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>
        <v>0.2</v>
      </c>
      <c r="CO146" s="41"/>
      <c r="CP146" s="41"/>
      <c r="CQ146" s="41"/>
      <c r="CR146" s="41"/>
      <c r="CS146" s="41"/>
      <c r="CT146" s="41">
        <v>0.1</v>
      </c>
      <c r="CU146" s="41"/>
      <c r="CV146" s="41"/>
      <c r="CW146" s="41">
        <v>0.4</v>
      </c>
      <c r="CX146" s="41"/>
      <c r="CY146" s="41"/>
      <c r="CZ146" s="41">
        <v>0.1</v>
      </c>
      <c r="DA146" s="41"/>
      <c r="DB146" s="41"/>
      <c r="DC146" s="41"/>
      <c r="DD146" s="41"/>
      <c r="DE146" s="41"/>
      <c r="DF146" s="41"/>
      <c r="DG146" s="41"/>
      <c r="DH146" s="41"/>
      <c r="DI146" s="41"/>
      <c r="DJ146" s="41">
        <v>0.2</v>
      </c>
      <c r="DK146" s="41"/>
      <c r="DL146" s="41"/>
      <c r="DM146" s="41"/>
      <c r="DN146" s="41"/>
      <c r="DO146" s="41"/>
      <c r="DP146" s="41"/>
      <c r="DQ146" s="41"/>
      <c r="DR146" s="41"/>
      <c r="DS146" s="43"/>
      <c r="DT146" s="44">
        <f t="shared" ref="DT146" si="128">SUM(F146:DR146)</f>
        <v>1</v>
      </c>
    </row>
    <row r="147" spans="2:124" s="13" customFormat="1">
      <c r="B147" s="4">
        <f>'6.1Personnel List'!B148</f>
        <v>135</v>
      </c>
      <c r="C147" s="45" t="s">
        <v>255</v>
      </c>
      <c r="D147" s="45" t="str">
        <f>'6.1Personnel List'!D148</f>
        <v>Medical Specialist III (P.T.)</v>
      </c>
      <c r="E147" s="45" t="str">
        <f>'6.1Personnel List'!H148</f>
        <v>PT</v>
      </c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>
        <v>0.4</v>
      </c>
      <c r="CO147" s="41"/>
      <c r="CP147" s="41"/>
      <c r="CQ147" s="41"/>
      <c r="CR147" s="41"/>
      <c r="CS147" s="41"/>
      <c r="CT147" s="41">
        <v>0.2</v>
      </c>
      <c r="CU147" s="41">
        <v>0.2</v>
      </c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>
        <v>0.2</v>
      </c>
      <c r="DK147" s="41"/>
      <c r="DL147" s="41"/>
      <c r="DM147" s="41"/>
      <c r="DN147" s="41"/>
      <c r="DO147" s="41"/>
      <c r="DP147" s="41"/>
      <c r="DQ147" s="41"/>
      <c r="DR147" s="41"/>
      <c r="DS147" s="43"/>
      <c r="DT147" s="44">
        <f t="shared" ref="DT147" si="129">SUM(F147:DR147)</f>
        <v>1</v>
      </c>
    </row>
    <row r="148" spans="2:124" s="13" customFormat="1">
      <c r="B148" s="4">
        <f>'6.1Personnel List'!B149</f>
        <v>136</v>
      </c>
      <c r="C148" s="45" t="s">
        <v>256</v>
      </c>
      <c r="D148" s="45" t="str">
        <f>'6.1Personnel List'!D149</f>
        <v>Medical Specialist III (P.T.)</v>
      </c>
      <c r="E148" s="45" t="str">
        <f>'6.1Personnel List'!H149</f>
        <v>PT</v>
      </c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>
        <v>0.2</v>
      </c>
      <c r="CO148" s="41"/>
      <c r="CP148" s="41"/>
      <c r="CQ148" s="41"/>
      <c r="CR148" s="41"/>
      <c r="CS148" s="41"/>
      <c r="CT148" s="41">
        <v>0.05</v>
      </c>
      <c r="CU148" s="41">
        <v>0.15</v>
      </c>
      <c r="CV148" s="41"/>
      <c r="CW148" s="41"/>
      <c r="CX148" s="41"/>
      <c r="CY148" s="41"/>
      <c r="CZ148" s="41"/>
      <c r="DA148" s="41"/>
      <c r="DB148" s="41"/>
      <c r="DC148" s="41"/>
      <c r="DD148" s="41"/>
      <c r="DE148" s="41">
        <v>0.2</v>
      </c>
      <c r="DF148" s="41"/>
      <c r="DG148" s="41"/>
      <c r="DH148" s="41"/>
      <c r="DI148" s="41"/>
      <c r="DJ148" s="41">
        <v>0.4</v>
      </c>
      <c r="DK148" s="41"/>
      <c r="DL148" s="41"/>
      <c r="DM148" s="41"/>
      <c r="DN148" s="41"/>
      <c r="DO148" s="41"/>
      <c r="DP148" s="41"/>
      <c r="DQ148" s="41"/>
      <c r="DR148" s="41"/>
      <c r="DS148" s="43"/>
      <c r="DT148" s="44">
        <f t="shared" ref="DT148" si="130">SUM(F148:DR148)</f>
        <v>1</v>
      </c>
    </row>
    <row r="149" spans="2:124" s="13" customFormat="1">
      <c r="B149" s="4">
        <f>'6.1Personnel List'!B150</f>
        <v>137</v>
      </c>
      <c r="C149" s="45" t="s">
        <v>257</v>
      </c>
      <c r="D149" s="45" t="str">
        <f>'6.1Personnel List'!D150</f>
        <v>Medical Specialist III (P.T.)</v>
      </c>
      <c r="E149" s="45" t="str">
        <f>'6.1Personnel List'!H150</f>
        <v>PT</v>
      </c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>
        <v>0.2</v>
      </c>
      <c r="CO149" s="41"/>
      <c r="CP149" s="41"/>
      <c r="CQ149" s="41"/>
      <c r="CR149" s="41"/>
      <c r="CS149" s="41"/>
      <c r="CT149" s="41">
        <v>0.05</v>
      </c>
      <c r="CU149" s="41">
        <v>0.15</v>
      </c>
      <c r="CV149" s="41"/>
      <c r="CW149" s="41"/>
      <c r="CX149" s="41"/>
      <c r="CY149" s="41"/>
      <c r="CZ149" s="41"/>
      <c r="DA149" s="41"/>
      <c r="DB149" s="41"/>
      <c r="DC149" s="41"/>
      <c r="DD149" s="41"/>
      <c r="DE149" s="41">
        <v>0.2</v>
      </c>
      <c r="DF149" s="41"/>
      <c r="DG149" s="41"/>
      <c r="DH149" s="41"/>
      <c r="DI149" s="41"/>
      <c r="DJ149" s="41">
        <v>0.4</v>
      </c>
      <c r="DK149" s="41"/>
      <c r="DL149" s="41"/>
      <c r="DM149" s="41"/>
      <c r="DN149" s="41"/>
      <c r="DO149" s="41"/>
      <c r="DP149" s="41"/>
      <c r="DQ149" s="41"/>
      <c r="DR149" s="41"/>
      <c r="DS149" s="43"/>
      <c r="DT149" s="44">
        <f t="shared" ref="DT149" si="131">SUM(F149:DR149)</f>
        <v>1</v>
      </c>
    </row>
    <row r="150" spans="2:124" s="13" customFormat="1">
      <c r="B150" s="4">
        <f>'6.1Personnel List'!B151</f>
        <v>138</v>
      </c>
      <c r="C150" s="45" t="s">
        <v>258</v>
      </c>
      <c r="D150" s="45" t="str">
        <f>'6.1Personnel List'!D151</f>
        <v>Medical Specialist III (P.T.)</v>
      </c>
      <c r="E150" s="45" t="str">
        <f>'6.1Personnel List'!H151</f>
        <v>PT</v>
      </c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>
        <v>0.1</v>
      </c>
      <c r="CO150" s="41"/>
      <c r="CP150" s="41"/>
      <c r="CQ150" s="41"/>
      <c r="CR150" s="41"/>
      <c r="CS150" s="41"/>
      <c r="CT150" s="41">
        <v>0.2</v>
      </c>
      <c r="CU150" s="41">
        <v>0.2</v>
      </c>
      <c r="CV150" s="41"/>
      <c r="CW150" s="41"/>
      <c r="CX150" s="41"/>
      <c r="CY150" s="41"/>
      <c r="CZ150" s="41"/>
      <c r="DA150" s="41"/>
      <c r="DB150" s="41"/>
      <c r="DC150" s="41">
        <v>0.1</v>
      </c>
      <c r="DD150" s="41"/>
      <c r="DE150" s="41"/>
      <c r="DF150" s="41"/>
      <c r="DG150" s="41"/>
      <c r="DH150" s="41"/>
      <c r="DI150" s="41"/>
      <c r="DJ150" s="41">
        <v>0.4</v>
      </c>
      <c r="DK150" s="41"/>
      <c r="DL150" s="41"/>
      <c r="DM150" s="41"/>
      <c r="DN150" s="41"/>
      <c r="DO150" s="41"/>
      <c r="DP150" s="41"/>
      <c r="DQ150" s="41"/>
      <c r="DR150" s="41"/>
      <c r="DS150" s="43"/>
      <c r="DT150" s="44">
        <f t="shared" ref="DT150" si="132">SUM(F150:DR150)</f>
        <v>1</v>
      </c>
    </row>
    <row r="151" spans="2:124" s="13" customFormat="1">
      <c r="B151" s="4">
        <f>'6.1Personnel List'!B152</f>
        <v>139</v>
      </c>
      <c r="C151" s="45" t="s">
        <v>259</v>
      </c>
      <c r="D151" s="45" t="str">
        <f>'6.1Personnel List'!D152</f>
        <v>Medical Specialist III (P.T.)</v>
      </c>
      <c r="E151" s="45" t="str">
        <f>'6.1Personnel List'!H152</f>
        <v>PT</v>
      </c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>
        <v>0.4</v>
      </c>
      <c r="CO151" s="41"/>
      <c r="CP151" s="41"/>
      <c r="CQ151" s="41"/>
      <c r="CR151" s="41"/>
      <c r="CS151" s="41"/>
      <c r="CT151" s="41">
        <v>0.1</v>
      </c>
      <c r="CU151" s="41">
        <v>0.2</v>
      </c>
      <c r="CV151" s="41"/>
      <c r="CW151" s="41"/>
      <c r="CX151" s="41"/>
      <c r="CY151" s="41"/>
      <c r="CZ151" s="41"/>
      <c r="DA151" s="41"/>
      <c r="DB151" s="41"/>
      <c r="DC151" s="41">
        <v>0.2</v>
      </c>
      <c r="DD151" s="41"/>
      <c r="DE151" s="41"/>
      <c r="DF151" s="41"/>
      <c r="DG151" s="41"/>
      <c r="DH151" s="41"/>
      <c r="DI151" s="41"/>
      <c r="DJ151" s="41">
        <v>0.1</v>
      </c>
      <c r="DK151" s="41"/>
      <c r="DL151" s="41"/>
      <c r="DM151" s="41"/>
      <c r="DN151" s="41"/>
      <c r="DO151" s="41"/>
      <c r="DP151" s="41"/>
      <c r="DQ151" s="41"/>
      <c r="DR151" s="41"/>
      <c r="DS151" s="43"/>
      <c r="DT151" s="44">
        <f t="shared" ref="DT151" si="133">SUM(F151:DR151)</f>
        <v>0.99999999999999989</v>
      </c>
    </row>
    <row r="152" spans="2:124" s="13" customFormat="1">
      <c r="B152" s="4">
        <f>'6.1Personnel List'!B153</f>
        <v>140</v>
      </c>
      <c r="C152" s="45" t="s">
        <v>260</v>
      </c>
      <c r="D152" s="45" t="str">
        <f>'6.1Personnel List'!D153</f>
        <v>Medical Specialist III (P.T.)</v>
      </c>
      <c r="E152" s="45" t="str">
        <f>'6.1Personnel List'!H153</f>
        <v>PT</v>
      </c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>
        <v>0.1</v>
      </c>
      <c r="CO152" s="41"/>
      <c r="CP152" s="41"/>
      <c r="CQ152" s="41"/>
      <c r="CR152" s="41"/>
      <c r="CS152" s="41"/>
      <c r="CT152" s="41">
        <v>0.2</v>
      </c>
      <c r="CU152" s="41">
        <v>0.2</v>
      </c>
      <c r="CV152" s="41"/>
      <c r="CW152" s="41"/>
      <c r="CX152" s="41"/>
      <c r="CY152" s="41"/>
      <c r="CZ152" s="41"/>
      <c r="DA152" s="41"/>
      <c r="DB152" s="41"/>
      <c r="DC152" s="41">
        <v>0.1</v>
      </c>
      <c r="DD152" s="41"/>
      <c r="DE152" s="41"/>
      <c r="DF152" s="41"/>
      <c r="DG152" s="41"/>
      <c r="DH152" s="41"/>
      <c r="DI152" s="41"/>
      <c r="DJ152" s="41">
        <v>0.4</v>
      </c>
      <c r="DK152" s="41"/>
      <c r="DL152" s="41"/>
      <c r="DM152" s="41"/>
      <c r="DN152" s="41"/>
      <c r="DO152" s="41"/>
      <c r="DP152" s="41"/>
      <c r="DQ152" s="41"/>
      <c r="DR152" s="41"/>
      <c r="DS152" s="43"/>
      <c r="DT152" s="44">
        <f t="shared" ref="DT152" si="134">SUM(F152:DR152)</f>
        <v>1</v>
      </c>
    </row>
    <row r="153" spans="2:124" s="13" customFormat="1">
      <c r="B153" s="4">
        <f>'6.1Personnel List'!B154</f>
        <v>141</v>
      </c>
      <c r="C153" s="45" t="s">
        <v>261</v>
      </c>
      <c r="D153" s="45" t="str">
        <f>'6.1Personnel List'!D154</f>
        <v>Medical Specialist III (P.T.)</v>
      </c>
      <c r="E153" s="45" t="str">
        <f>'6.1Personnel List'!H154</f>
        <v>PT</v>
      </c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>
        <v>0.1</v>
      </c>
      <c r="CO153" s="41"/>
      <c r="CP153" s="41"/>
      <c r="CQ153" s="41"/>
      <c r="CR153" s="41"/>
      <c r="CS153" s="41"/>
      <c r="CT153" s="41">
        <v>0.2</v>
      </c>
      <c r="CU153" s="41">
        <v>0.2</v>
      </c>
      <c r="CV153" s="41"/>
      <c r="CW153" s="41"/>
      <c r="CX153" s="41"/>
      <c r="CY153" s="41"/>
      <c r="CZ153" s="41"/>
      <c r="DA153" s="41"/>
      <c r="DB153" s="41"/>
      <c r="DC153" s="41">
        <v>0.1</v>
      </c>
      <c r="DD153" s="41"/>
      <c r="DE153" s="41"/>
      <c r="DF153" s="41"/>
      <c r="DG153" s="41"/>
      <c r="DH153" s="41"/>
      <c r="DI153" s="41"/>
      <c r="DJ153" s="41">
        <v>0.4</v>
      </c>
      <c r="DK153" s="41"/>
      <c r="DL153" s="41"/>
      <c r="DM153" s="41"/>
      <c r="DN153" s="41"/>
      <c r="DO153" s="41"/>
      <c r="DP153" s="41"/>
      <c r="DQ153" s="41"/>
      <c r="DR153" s="41"/>
      <c r="DS153" s="43"/>
      <c r="DT153" s="44">
        <f t="shared" ref="DT153" si="135">SUM(F153:DR153)</f>
        <v>1</v>
      </c>
    </row>
    <row r="154" spans="2:124" s="13" customFormat="1">
      <c r="B154" s="4">
        <f>'6.1Personnel List'!B155</f>
        <v>142</v>
      </c>
      <c r="C154" s="45" t="s">
        <v>262</v>
      </c>
      <c r="D154" s="45" t="str">
        <f>'6.1Personnel List'!D155</f>
        <v>Medical Specialist III (P.T.)</v>
      </c>
      <c r="E154" s="45" t="str">
        <f>'6.1Personnel List'!H155</f>
        <v>PT</v>
      </c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>
        <v>0.2</v>
      </c>
      <c r="CO154" s="41"/>
      <c r="CP154" s="41"/>
      <c r="CQ154" s="41"/>
      <c r="CR154" s="41"/>
      <c r="CS154" s="41"/>
      <c r="CT154" s="41">
        <v>0.1</v>
      </c>
      <c r="CU154" s="41">
        <v>0.4</v>
      </c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>
        <v>0.3</v>
      </c>
      <c r="DK154" s="41"/>
      <c r="DL154" s="41"/>
      <c r="DM154" s="41"/>
      <c r="DN154" s="41"/>
      <c r="DO154" s="41"/>
      <c r="DP154" s="41"/>
      <c r="DQ154" s="41"/>
      <c r="DR154" s="41"/>
      <c r="DS154" s="43"/>
      <c r="DT154" s="44">
        <f t="shared" ref="DT154" si="136">SUM(F154:DR154)</f>
        <v>1</v>
      </c>
    </row>
    <row r="155" spans="2:124" s="13" customFormat="1">
      <c r="B155" s="4">
        <f>'6.1Personnel List'!B156</f>
        <v>143</v>
      </c>
      <c r="C155" s="45" t="s">
        <v>263</v>
      </c>
      <c r="D155" s="45" t="str">
        <f>'6.1Personnel List'!D156</f>
        <v>Medical Specialist II (P.T.)</v>
      </c>
      <c r="E155" s="45" t="str">
        <f>'6.1Personnel List'!H156</f>
        <v>PT</v>
      </c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>
        <v>0.4</v>
      </c>
      <c r="CO155" s="41"/>
      <c r="CP155" s="41"/>
      <c r="CQ155" s="41"/>
      <c r="CR155" s="41"/>
      <c r="CS155" s="41"/>
      <c r="CT155" s="41">
        <v>0.1</v>
      </c>
      <c r="CU155" s="41">
        <v>0.2</v>
      </c>
      <c r="CV155" s="41"/>
      <c r="CW155" s="41"/>
      <c r="CX155" s="41"/>
      <c r="CY155" s="41"/>
      <c r="CZ155" s="41"/>
      <c r="DA155" s="41"/>
      <c r="DB155" s="41"/>
      <c r="DC155" s="41">
        <v>0.2</v>
      </c>
      <c r="DD155" s="41"/>
      <c r="DE155" s="41"/>
      <c r="DF155" s="41"/>
      <c r="DG155" s="41"/>
      <c r="DH155" s="41"/>
      <c r="DI155" s="41"/>
      <c r="DJ155" s="41">
        <v>0.1</v>
      </c>
      <c r="DK155" s="41"/>
      <c r="DL155" s="41"/>
      <c r="DM155" s="41"/>
      <c r="DN155" s="41"/>
      <c r="DO155" s="41"/>
      <c r="DP155" s="41"/>
      <c r="DQ155" s="41"/>
      <c r="DR155" s="41"/>
      <c r="DS155" s="43"/>
      <c r="DT155" s="44">
        <f t="shared" ref="DT155" si="137">SUM(F155:DR155)</f>
        <v>0.99999999999999989</v>
      </c>
    </row>
    <row r="156" spans="2:124" s="13" customFormat="1">
      <c r="B156" s="4">
        <f>'6.1Personnel List'!B157</f>
        <v>144</v>
      </c>
      <c r="C156" s="45" t="s">
        <v>264</v>
      </c>
      <c r="D156" s="45" t="str">
        <f>'6.1Personnel List'!D157</f>
        <v>Medical Specialist II (P.T.)</v>
      </c>
      <c r="E156" s="45" t="str">
        <f>'6.1Personnel List'!H157</f>
        <v>PT</v>
      </c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>
        <v>0.3</v>
      </c>
      <c r="CO156" s="41"/>
      <c r="CP156" s="41"/>
      <c r="CQ156" s="41"/>
      <c r="CR156" s="41"/>
      <c r="CS156" s="41"/>
      <c r="CT156" s="41">
        <v>0.1</v>
      </c>
      <c r="CU156" s="41">
        <v>0.2</v>
      </c>
      <c r="CV156" s="41"/>
      <c r="CW156" s="41"/>
      <c r="CX156" s="41"/>
      <c r="CY156" s="41"/>
      <c r="CZ156" s="41"/>
      <c r="DA156" s="41"/>
      <c r="DB156" s="41"/>
      <c r="DC156" s="41"/>
      <c r="DD156" s="41"/>
      <c r="DE156" s="41">
        <v>0.2</v>
      </c>
      <c r="DF156" s="41"/>
      <c r="DG156" s="41"/>
      <c r="DH156" s="41"/>
      <c r="DI156" s="41"/>
      <c r="DJ156" s="41">
        <v>0.2</v>
      </c>
      <c r="DK156" s="41"/>
      <c r="DL156" s="41"/>
      <c r="DM156" s="41"/>
      <c r="DN156" s="41"/>
      <c r="DO156" s="41"/>
      <c r="DP156" s="41"/>
      <c r="DQ156" s="41"/>
      <c r="DR156" s="41"/>
      <c r="DS156" s="43"/>
      <c r="DT156" s="44">
        <f t="shared" ref="DT156" si="138">SUM(F156:DR156)</f>
        <v>1</v>
      </c>
    </row>
    <row r="157" spans="2:124" s="13" customFormat="1">
      <c r="B157" s="4">
        <f>'6.1Personnel List'!B158</f>
        <v>145</v>
      </c>
      <c r="C157" s="45" t="s">
        <v>265</v>
      </c>
      <c r="D157" s="45" t="str">
        <f>'6.1Personnel List'!D158</f>
        <v>Medical Specialist II (P.T.)</v>
      </c>
      <c r="E157" s="45" t="str">
        <f>'6.1Personnel List'!H158</f>
        <v>PT</v>
      </c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>
        <v>0.2</v>
      </c>
      <c r="CO157" s="41"/>
      <c r="CP157" s="41"/>
      <c r="CQ157" s="41"/>
      <c r="CR157" s="41"/>
      <c r="CS157" s="41"/>
      <c r="CT157" s="41">
        <v>0.1</v>
      </c>
      <c r="CU157" s="41">
        <v>0.4</v>
      </c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>
        <v>0.3</v>
      </c>
      <c r="DK157" s="41"/>
      <c r="DL157" s="41"/>
      <c r="DM157" s="41"/>
      <c r="DN157" s="41"/>
      <c r="DO157" s="41"/>
      <c r="DP157" s="41"/>
      <c r="DQ157" s="41"/>
      <c r="DR157" s="41"/>
      <c r="DS157" s="43"/>
      <c r="DT157" s="44">
        <f t="shared" ref="DT157" si="139">SUM(F157:DR157)</f>
        <v>1</v>
      </c>
    </row>
    <row r="158" spans="2:124" s="13" customFormat="1">
      <c r="B158" s="4">
        <f>'6.1Personnel List'!B159</f>
        <v>146</v>
      </c>
      <c r="C158" s="45" t="s">
        <v>266</v>
      </c>
      <c r="D158" s="45" t="str">
        <f>'6.1Personnel List'!D159</f>
        <v>Medical Specialist II (P.T.)</v>
      </c>
      <c r="E158" s="45" t="str">
        <f>'6.1Personnel List'!H159</f>
        <v>PT</v>
      </c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>
        <v>0.1</v>
      </c>
      <c r="CO158" s="41"/>
      <c r="CP158" s="41"/>
      <c r="CQ158" s="41"/>
      <c r="CR158" s="41"/>
      <c r="CS158" s="41"/>
      <c r="CT158" s="41">
        <v>0.1</v>
      </c>
      <c r="CU158" s="41">
        <v>0.1</v>
      </c>
      <c r="CV158" s="41"/>
      <c r="CW158" s="41"/>
      <c r="CX158" s="41">
        <v>0.3</v>
      </c>
      <c r="CY158" s="41"/>
      <c r="CZ158" s="41"/>
      <c r="DA158" s="41">
        <v>0.2</v>
      </c>
      <c r="DB158" s="41"/>
      <c r="DC158" s="41"/>
      <c r="DD158" s="41"/>
      <c r="DE158" s="41"/>
      <c r="DF158" s="41"/>
      <c r="DG158" s="41"/>
      <c r="DH158" s="41"/>
      <c r="DI158" s="41"/>
      <c r="DJ158" s="41">
        <v>0.2</v>
      </c>
      <c r="DK158" s="41"/>
      <c r="DL158" s="41"/>
      <c r="DM158" s="41"/>
      <c r="DN158" s="41"/>
      <c r="DO158" s="41"/>
      <c r="DP158" s="41"/>
      <c r="DQ158" s="41"/>
      <c r="DR158" s="41"/>
      <c r="DS158" s="43"/>
      <c r="DT158" s="44">
        <f t="shared" ref="DT158" si="140">SUM(F158:DR158)</f>
        <v>1</v>
      </c>
    </row>
    <row r="159" spans="2:124" s="13" customFormat="1">
      <c r="B159" s="4">
        <f>'6.1Personnel List'!B160</f>
        <v>147</v>
      </c>
      <c r="C159" s="45" t="s">
        <v>267</v>
      </c>
      <c r="D159" s="45" t="str">
        <f>'6.1Personnel List'!D160</f>
        <v>Medical Specialist II (P.T.)</v>
      </c>
      <c r="E159" s="45" t="str">
        <f>'6.1Personnel List'!H160</f>
        <v>PT</v>
      </c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>
        <v>0.2</v>
      </c>
      <c r="CO159" s="41"/>
      <c r="CP159" s="41"/>
      <c r="CQ159" s="41"/>
      <c r="CR159" s="41"/>
      <c r="CS159" s="41"/>
      <c r="CT159" s="41">
        <v>0.05</v>
      </c>
      <c r="CU159" s="41">
        <v>0.15</v>
      </c>
      <c r="CV159" s="41"/>
      <c r="CW159" s="41"/>
      <c r="CX159" s="41"/>
      <c r="CY159" s="41"/>
      <c r="CZ159" s="41"/>
      <c r="DA159" s="41"/>
      <c r="DB159" s="41"/>
      <c r="DC159" s="41"/>
      <c r="DD159" s="41"/>
      <c r="DE159" s="41">
        <v>0.2</v>
      </c>
      <c r="DF159" s="41"/>
      <c r="DG159" s="41"/>
      <c r="DH159" s="41"/>
      <c r="DI159" s="41"/>
      <c r="DJ159" s="41">
        <v>0.4</v>
      </c>
      <c r="DK159" s="41"/>
      <c r="DL159" s="41"/>
      <c r="DM159" s="41"/>
      <c r="DN159" s="41"/>
      <c r="DO159" s="41"/>
      <c r="DP159" s="41"/>
      <c r="DQ159" s="41"/>
      <c r="DR159" s="41"/>
      <c r="DS159" s="43"/>
      <c r="DT159" s="44">
        <f t="shared" ref="DT159" si="141">SUM(F159:DR159)</f>
        <v>1</v>
      </c>
    </row>
    <row r="160" spans="2:124" s="13" customFormat="1">
      <c r="B160" s="4">
        <f>'6.1Personnel List'!B161</f>
        <v>148</v>
      </c>
      <c r="C160" s="45" t="s">
        <v>268</v>
      </c>
      <c r="D160" s="45" t="str">
        <f>'6.1Personnel List'!D161</f>
        <v>Medical Officer IV</v>
      </c>
      <c r="E160" s="45" t="str">
        <f>'6.1Personnel List'!H161</f>
        <v>FT</v>
      </c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>
        <v>0.4</v>
      </c>
      <c r="CO160" s="41"/>
      <c r="CP160" s="41"/>
      <c r="CQ160" s="41"/>
      <c r="CR160" s="41"/>
      <c r="CS160" s="41"/>
      <c r="CT160" s="41">
        <v>0.1</v>
      </c>
      <c r="CU160" s="41">
        <v>0.2</v>
      </c>
      <c r="CV160" s="41"/>
      <c r="CW160" s="41"/>
      <c r="CX160" s="41"/>
      <c r="CY160" s="41"/>
      <c r="CZ160" s="41"/>
      <c r="DA160" s="41"/>
      <c r="DB160" s="41"/>
      <c r="DC160" s="41">
        <v>0.2</v>
      </c>
      <c r="DD160" s="41"/>
      <c r="DE160" s="41"/>
      <c r="DF160" s="41"/>
      <c r="DG160" s="41"/>
      <c r="DH160" s="41"/>
      <c r="DI160" s="41"/>
      <c r="DJ160" s="41">
        <v>0.1</v>
      </c>
      <c r="DK160" s="41"/>
      <c r="DL160" s="41"/>
      <c r="DM160" s="41"/>
      <c r="DN160" s="41"/>
      <c r="DO160" s="41"/>
      <c r="DP160" s="41"/>
      <c r="DQ160" s="41"/>
      <c r="DR160" s="41"/>
      <c r="DS160" s="43"/>
      <c r="DT160" s="44">
        <f t="shared" ref="DT160" si="142">SUM(F160:DR160)</f>
        <v>0.99999999999999989</v>
      </c>
    </row>
    <row r="161" spans="2:124" s="13" customFormat="1">
      <c r="B161" s="4">
        <f>'6.1Personnel List'!B162</f>
        <v>149</v>
      </c>
      <c r="C161" s="45" t="s">
        <v>269</v>
      </c>
      <c r="D161" s="45" t="str">
        <f>'6.1Personnel List'!D162</f>
        <v>Medical Officer IV</v>
      </c>
      <c r="E161" s="45" t="str">
        <f>'6.1Personnel List'!H162</f>
        <v>FT</v>
      </c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>
        <v>0.1</v>
      </c>
      <c r="CO161" s="41"/>
      <c r="CP161" s="41"/>
      <c r="CQ161" s="41"/>
      <c r="CR161" s="41"/>
      <c r="CS161" s="41"/>
      <c r="CT161" s="41">
        <v>0.2</v>
      </c>
      <c r="CU161" s="41">
        <v>0.2</v>
      </c>
      <c r="CV161" s="41"/>
      <c r="CW161" s="41"/>
      <c r="CX161" s="41"/>
      <c r="CY161" s="41"/>
      <c r="CZ161" s="41"/>
      <c r="DA161" s="41"/>
      <c r="DB161" s="41"/>
      <c r="DC161" s="41">
        <v>0.1</v>
      </c>
      <c r="DD161" s="41"/>
      <c r="DE161" s="41"/>
      <c r="DF161" s="41"/>
      <c r="DG161" s="41"/>
      <c r="DH161" s="41"/>
      <c r="DI161" s="41"/>
      <c r="DJ161" s="41">
        <v>0.4</v>
      </c>
      <c r="DK161" s="41"/>
      <c r="DL161" s="41"/>
      <c r="DM161" s="41"/>
      <c r="DN161" s="41"/>
      <c r="DO161" s="41"/>
      <c r="DP161" s="41"/>
      <c r="DQ161" s="41"/>
      <c r="DR161" s="41"/>
      <c r="DS161" s="43"/>
      <c r="DT161" s="44">
        <f t="shared" ref="DT161" si="143">SUM(F161:DR161)</f>
        <v>1</v>
      </c>
    </row>
    <row r="162" spans="2:124" s="13" customFormat="1">
      <c r="B162" s="4">
        <f>'6.1Personnel List'!B163</f>
        <v>150</v>
      </c>
      <c r="C162" s="45" t="s">
        <v>270</v>
      </c>
      <c r="D162" s="45" t="str">
        <f>'6.1Personnel List'!D163</f>
        <v>Medical Officer IV</v>
      </c>
      <c r="E162" s="45" t="str">
        <f>'6.1Personnel List'!H163</f>
        <v>FT</v>
      </c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>
        <v>0.1</v>
      </c>
      <c r="CO162" s="41"/>
      <c r="CP162" s="41"/>
      <c r="CQ162" s="41"/>
      <c r="CR162" s="41"/>
      <c r="CS162" s="41"/>
      <c r="CT162" s="41">
        <v>0.2</v>
      </c>
      <c r="CU162" s="41">
        <v>0.2</v>
      </c>
      <c r="CV162" s="41"/>
      <c r="CW162" s="41"/>
      <c r="CX162" s="41"/>
      <c r="CY162" s="41"/>
      <c r="CZ162" s="41"/>
      <c r="DA162" s="41"/>
      <c r="DB162" s="41"/>
      <c r="DC162" s="41">
        <v>0.1</v>
      </c>
      <c r="DD162" s="41"/>
      <c r="DE162" s="41"/>
      <c r="DF162" s="41"/>
      <c r="DG162" s="41"/>
      <c r="DH162" s="41"/>
      <c r="DI162" s="41"/>
      <c r="DJ162" s="41">
        <v>0.4</v>
      </c>
      <c r="DK162" s="41"/>
      <c r="DL162" s="41"/>
      <c r="DM162" s="41"/>
      <c r="DN162" s="41"/>
      <c r="DO162" s="41"/>
      <c r="DP162" s="41"/>
      <c r="DQ162" s="41"/>
      <c r="DR162" s="41"/>
      <c r="DS162" s="43"/>
      <c r="DT162" s="44">
        <f t="shared" ref="DT162" si="144">SUM(F162:DR162)</f>
        <v>1</v>
      </c>
    </row>
    <row r="163" spans="2:124" s="13" customFormat="1">
      <c r="B163" s="4">
        <f>'6.1Personnel List'!B164</f>
        <v>151</v>
      </c>
      <c r="C163" s="45" t="s">
        <v>271</v>
      </c>
      <c r="D163" s="45" t="str">
        <f>'6.1Personnel List'!D164</f>
        <v>Medical Officer IV</v>
      </c>
      <c r="E163" s="45" t="str">
        <f>'6.1Personnel List'!H164</f>
        <v>FT</v>
      </c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>
        <v>0.1</v>
      </c>
      <c r="CO163" s="41"/>
      <c r="CP163" s="41"/>
      <c r="CQ163" s="41"/>
      <c r="CR163" s="41"/>
      <c r="CS163" s="41"/>
      <c r="CT163" s="41">
        <v>0.2</v>
      </c>
      <c r="CU163" s="41">
        <v>0.2</v>
      </c>
      <c r="CV163" s="41"/>
      <c r="CW163" s="41"/>
      <c r="CX163" s="41"/>
      <c r="CY163" s="41"/>
      <c r="CZ163" s="41"/>
      <c r="DA163" s="41"/>
      <c r="DB163" s="41"/>
      <c r="DC163" s="41">
        <v>0.1</v>
      </c>
      <c r="DD163" s="41"/>
      <c r="DE163" s="41"/>
      <c r="DF163" s="41"/>
      <c r="DG163" s="41"/>
      <c r="DH163" s="41"/>
      <c r="DI163" s="41"/>
      <c r="DJ163" s="41">
        <v>0.4</v>
      </c>
      <c r="DK163" s="41"/>
      <c r="DL163" s="41"/>
      <c r="DM163" s="41"/>
      <c r="DN163" s="41"/>
      <c r="DO163" s="41"/>
      <c r="DP163" s="41"/>
      <c r="DQ163" s="41"/>
      <c r="DR163" s="41"/>
      <c r="DS163" s="43"/>
      <c r="DT163" s="44">
        <f t="shared" ref="DT163" si="145">SUM(F163:DR163)</f>
        <v>1</v>
      </c>
    </row>
    <row r="164" spans="2:124" s="13" customFormat="1">
      <c r="B164" s="4">
        <f>'6.1Personnel List'!B165</f>
        <v>152</v>
      </c>
      <c r="C164" s="45" t="s">
        <v>272</v>
      </c>
      <c r="D164" s="45" t="str">
        <f>'6.1Personnel List'!D165</f>
        <v>Medical Officer IV</v>
      </c>
      <c r="E164" s="45" t="str">
        <f>'6.1Personnel List'!H165</f>
        <v>FT</v>
      </c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>
        <v>0.1</v>
      </c>
      <c r="CO164" s="41"/>
      <c r="CP164" s="41"/>
      <c r="CQ164" s="41"/>
      <c r="CR164" s="41"/>
      <c r="CS164" s="41"/>
      <c r="CT164" s="41">
        <v>0.2</v>
      </c>
      <c r="CU164" s="41">
        <v>0.2</v>
      </c>
      <c r="CV164" s="41"/>
      <c r="CW164" s="41"/>
      <c r="CX164" s="41"/>
      <c r="CY164" s="41"/>
      <c r="CZ164" s="41"/>
      <c r="DA164" s="41"/>
      <c r="DB164" s="41"/>
      <c r="DC164" s="41">
        <v>0.1</v>
      </c>
      <c r="DD164" s="41"/>
      <c r="DE164" s="41"/>
      <c r="DF164" s="41"/>
      <c r="DG164" s="41"/>
      <c r="DH164" s="41"/>
      <c r="DI164" s="41"/>
      <c r="DJ164" s="41">
        <v>0.4</v>
      </c>
      <c r="DK164" s="41"/>
      <c r="DL164" s="41"/>
      <c r="DM164" s="41"/>
      <c r="DN164" s="41"/>
      <c r="DO164" s="41"/>
      <c r="DP164" s="41"/>
      <c r="DQ164" s="41"/>
      <c r="DR164" s="41"/>
      <c r="DS164" s="43"/>
      <c r="DT164" s="44">
        <f t="shared" ref="DT164" si="146">SUM(F164:DR164)</f>
        <v>1</v>
      </c>
    </row>
    <row r="165" spans="2:124" s="13" customFormat="1">
      <c r="B165" s="4">
        <f>'6.1Personnel List'!B166</f>
        <v>153</v>
      </c>
      <c r="C165" s="45" t="s">
        <v>273</v>
      </c>
      <c r="D165" s="45" t="str">
        <f>'6.1Personnel List'!D166</f>
        <v>Medical Officer IV</v>
      </c>
      <c r="E165" s="45" t="str">
        <f>'6.1Personnel List'!H166</f>
        <v>FT</v>
      </c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>
        <v>0.1</v>
      </c>
      <c r="CO165" s="41"/>
      <c r="CP165" s="41"/>
      <c r="CQ165" s="41"/>
      <c r="CR165" s="41"/>
      <c r="CS165" s="41"/>
      <c r="CT165" s="41">
        <v>0.2</v>
      </c>
      <c r="CU165" s="41">
        <v>0.2</v>
      </c>
      <c r="CV165" s="41"/>
      <c r="CW165" s="41"/>
      <c r="CX165" s="41"/>
      <c r="CY165" s="41"/>
      <c r="CZ165" s="41"/>
      <c r="DA165" s="41"/>
      <c r="DB165" s="41"/>
      <c r="DC165" s="41">
        <v>0.1</v>
      </c>
      <c r="DD165" s="41"/>
      <c r="DE165" s="41"/>
      <c r="DF165" s="41"/>
      <c r="DG165" s="41"/>
      <c r="DH165" s="41"/>
      <c r="DI165" s="41"/>
      <c r="DJ165" s="41">
        <v>0.4</v>
      </c>
      <c r="DK165" s="41"/>
      <c r="DL165" s="41"/>
      <c r="DM165" s="41"/>
      <c r="DN165" s="41"/>
      <c r="DO165" s="41"/>
      <c r="DP165" s="41"/>
      <c r="DQ165" s="41"/>
      <c r="DR165" s="41"/>
      <c r="DS165" s="43"/>
      <c r="DT165" s="44">
        <f t="shared" ref="DT165" si="147">SUM(F165:DR165)</f>
        <v>1</v>
      </c>
    </row>
    <row r="166" spans="2:124" s="13" customFormat="1">
      <c r="B166" s="4">
        <f>'6.1Personnel List'!B167</f>
        <v>154</v>
      </c>
      <c r="C166" s="45" t="s">
        <v>274</v>
      </c>
      <c r="D166" s="45" t="str">
        <f>'6.1Personnel List'!D167</f>
        <v>Medical Officer IV</v>
      </c>
      <c r="E166" s="45" t="str">
        <f>'6.1Personnel List'!H167</f>
        <v>FT</v>
      </c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>
        <v>0.1</v>
      </c>
      <c r="CO166" s="41"/>
      <c r="CP166" s="41"/>
      <c r="CQ166" s="41"/>
      <c r="CR166" s="41"/>
      <c r="CS166" s="41"/>
      <c r="CT166" s="41">
        <v>0.2</v>
      </c>
      <c r="CU166" s="41">
        <v>0.2</v>
      </c>
      <c r="CV166" s="41"/>
      <c r="CW166" s="41"/>
      <c r="CX166" s="41"/>
      <c r="CY166" s="41"/>
      <c r="CZ166" s="41"/>
      <c r="DA166" s="41"/>
      <c r="DB166" s="41"/>
      <c r="DC166" s="41">
        <v>0.1</v>
      </c>
      <c r="DD166" s="41"/>
      <c r="DE166" s="41"/>
      <c r="DF166" s="41"/>
      <c r="DG166" s="41"/>
      <c r="DH166" s="41"/>
      <c r="DI166" s="41"/>
      <c r="DJ166" s="41">
        <v>0.4</v>
      </c>
      <c r="DK166" s="41"/>
      <c r="DL166" s="41"/>
      <c r="DM166" s="41"/>
      <c r="DN166" s="41"/>
      <c r="DO166" s="41"/>
      <c r="DP166" s="41"/>
      <c r="DQ166" s="41"/>
      <c r="DR166" s="41"/>
      <c r="DS166" s="43"/>
      <c r="DT166" s="44">
        <f t="shared" ref="DT166" si="148">SUM(F166:DR166)</f>
        <v>1</v>
      </c>
    </row>
    <row r="167" spans="2:124" s="13" customFormat="1">
      <c r="B167" s="4">
        <f>'6.1Personnel List'!B168</f>
        <v>155</v>
      </c>
      <c r="C167" s="45" t="s">
        <v>275</v>
      </c>
      <c r="D167" s="45" t="str">
        <f>'6.1Personnel List'!D168</f>
        <v>Medical Officer IV</v>
      </c>
      <c r="E167" s="45" t="str">
        <f>'6.1Personnel List'!H168</f>
        <v>FT</v>
      </c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>
        <v>0.1</v>
      </c>
      <c r="CO167" s="41"/>
      <c r="CP167" s="41"/>
      <c r="CQ167" s="41"/>
      <c r="CR167" s="41"/>
      <c r="CS167" s="41"/>
      <c r="CT167" s="41">
        <v>0.2</v>
      </c>
      <c r="CU167" s="41">
        <v>0.2</v>
      </c>
      <c r="CV167" s="41"/>
      <c r="CW167" s="41"/>
      <c r="CX167" s="41"/>
      <c r="CY167" s="41"/>
      <c r="CZ167" s="41"/>
      <c r="DA167" s="41"/>
      <c r="DB167" s="41"/>
      <c r="DC167" s="41">
        <v>0.1</v>
      </c>
      <c r="DD167" s="41"/>
      <c r="DE167" s="41"/>
      <c r="DF167" s="41"/>
      <c r="DG167" s="41"/>
      <c r="DH167" s="41"/>
      <c r="DI167" s="41"/>
      <c r="DJ167" s="41">
        <v>0.4</v>
      </c>
      <c r="DK167" s="41"/>
      <c r="DL167" s="41"/>
      <c r="DM167" s="41"/>
      <c r="DN167" s="41"/>
      <c r="DO167" s="41"/>
      <c r="DP167" s="41"/>
      <c r="DQ167" s="41"/>
      <c r="DR167" s="41"/>
      <c r="DS167" s="43"/>
      <c r="DT167" s="44">
        <f t="shared" ref="DT167" si="149">SUM(F167:DR167)</f>
        <v>1</v>
      </c>
    </row>
    <row r="168" spans="2:124" s="13" customFormat="1">
      <c r="B168" s="4">
        <f>'6.1Personnel List'!B169</f>
        <v>156</v>
      </c>
      <c r="C168" s="45" t="s">
        <v>276</v>
      </c>
      <c r="D168" s="45" t="str">
        <f>'6.1Personnel List'!D169</f>
        <v>Medical Officer III</v>
      </c>
      <c r="E168" s="45" t="str">
        <f>'6.1Personnel List'!H169</f>
        <v>FT</v>
      </c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>
        <v>0.4</v>
      </c>
      <c r="CO168" s="41"/>
      <c r="CP168" s="41"/>
      <c r="CQ168" s="41"/>
      <c r="CR168" s="41"/>
      <c r="CS168" s="41"/>
      <c r="CT168" s="41">
        <v>0.2</v>
      </c>
      <c r="CU168" s="41">
        <v>0.1</v>
      </c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>
        <v>0.3</v>
      </c>
      <c r="DK168" s="41"/>
      <c r="DL168" s="41"/>
      <c r="DM168" s="41"/>
      <c r="DN168" s="41"/>
      <c r="DO168" s="41"/>
      <c r="DP168" s="41"/>
      <c r="DQ168" s="41"/>
      <c r="DR168" s="41"/>
      <c r="DS168" s="43"/>
      <c r="DT168" s="44">
        <f t="shared" ref="DT168" si="150">SUM(F168:DR168)</f>
        <v>1</v>
      </c>
    </row>
    <row r="169" spans="2:124" s="13" customFormat="1">
      <c r="B169" s="4">
        <f>'6.1Personnel List'!B170</f>
        <v>157</v>
      </c>
      <c r="C169" s="45" t="s">
        <v>277</v>
      </c>
      <c r="D169" s="45" t="str">
        <f>'6.1Personnel List'!D170</f>
        <v>Medical Officer III</v>
      </c>
      <c r="E169" s="45" t="str">
        <f>'6.1Personnel List'!H170</f>
        <v>FT</v>
      </c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>
        <v>0.4</v>
      </c>
      <c r="CO169" s="41"/>
      <c r="CP169" s="41"/>
      <c r="CQ169" s="41"/>
      <c r="CR169" s="41"/>
      <c r="CS169" s="41"/>
      <c r="CT169" s="41">
        <v>0.2</v>
      </c>
      <c r="CU169" s="41">
        <v>0.1</v>
      </c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>
        <v>0.3</v>
      </c>
      <c r="DK169" s="41"/>
      <c r="DL169" s="41"/>
      <c r="DM169" s="41"/>
      <c r="DN169" s="41"/>
      <c r="DO169" s="41"/>
      <c r="DP169" s="41"/>
      <c r="DQ169" s="41"/>
      <c r="DR169" s="41"/>
      <c r="DS169" s="43"/>
      <c r="DT169" s="44">
        <f t="shared" ref="DT169" si="151">SUM(F169:DR169)</f>
        <v>1</v>
      </c>
    </row>
    <row r="170" spans="2:124" s="13" customFormat="1">
      <c r="B170" s="4">
        <f>'6.1Personnel List'!B171</f>
        <v>158</v>
      </c>
      <c r="C170" s="45" t="s">
        <v>278</v>
      </c>
      <c r="D170" s="45" t="str">
        <f>'6.1Personnel List'!D171</f>
        <v>Medical Officer III</v>
      </c>
      <c r="E170" s="45" t="str">
        <f>'6.1Personnel List'!H171</f>
        <v>FT</v>
      </c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>
        <v>0.4</v>
      </c>
      <c r="CO170" s="41"/>
      <c r="CP170" s="41"/>
      <c r="CQ170" s="41"/>
      <c r="CR170" s="41"/>
      <c r="CS170" s="41"/>
      <c r="CT170" s="41">
        <v>0.2</v>
      </c>
      <c r="CU170" s="41">
        <v>0.1</v>
      </c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>
        <v>0.3</v>
      </c>
      <c r="DK170" s="41"/>
      <c r="DL170" s="41"/>
      <c r="DM170" s="41"/>
      <c r="DN170" s="41"/>
      <c r="DO170" s="41"/>
      <c r="DP170" s="41"/>
      <c r="DQ170" s="41"/>
      <c r="DR170" s="41"/>
      <c r="DS170" s="43"/>
      <c r="DT170" s="44">
        <f t="shared" ref="DT170" si="152">SUM(F170:DR170)</f>
        <v>1</v>
      </c>
    </row>
    <row r="171" spans="2:124" s="13" customFormat="1">
      <c r="B171" s="4">
        <f>'6.1Personnel List'!B172</f>
        <v>159</v>
      </c>
      <c r="C171" s="45" t="s">
        <v>279</v>
      </c>
      <c r="D171" s="45" t="str">
        <f>'6.1Personnel List'!D172</f>
        <v>Medical Officer III</v>
      </c>
      <c r="E171" s="45" t="str">
        <f>'6.1Personnel List'!H172</f>
        <v>FT</v>
      </c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>
        <v>0.4</v>
      </c>
      <c r="CO171" s="41"/>
      <c r="CP171" s="41"/>
      <c r="CQ171" s="41"/>
      <c r="CR171" s="41"/>
      <c r="CS171" s="41"/>
      <c r="CT171" s="41">
        <v>0.2</v>
      </c>
      <c r="CU171" s="41">
        <v>0.1</v>
      </c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>
        <v>0.3</v>
      </c>
      <c r="DK171" s="41"/>
      <c r="DL171" s="41"/>
      <c r="DM171" s="41"/>
      <c r="DN171" s="41"/>
      <c r="DO171" s="41"/>
      <c r="DP171" s="41"/>
      <c r="DQ171" s="41"/>
      <c r="DR171" s="41"/>
      <c r="DS171" s="43"/>
      <c r="DT171" s="44">
        <f t="shared" ref="DT171" si="153">SUM(F171:DR171)</f>
        <v>1</v>
      </c>
    </row>
    <row r="172" spans="2:124" s="13" customFormat="1">
      <c r="B172" s="4">
        <f>'6.1Personnel List'!B173</f>
        <v>160</v>
      </c>
      <c r="C172" s="45" t="s">
        <v>280</v>
      </c>
      <c r="D172" s="45" t="str">
        <f>'6.1Personnel List'!D173</f>
        <v>Medical Officer III</v>
      </c>
      <c r="E172" s="45" t="str">
        <f>'6.1Personnel List'!H173</f>
        <v>FT</v>
      </c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>
        <v>0.4</v>
      </c>
      <c r="CO172" s="41"/>
      <c r="CP172" s="41"/>
      <c r="CQ172" s="41"/>
      <c r="CR172" s="41"/>
      <c r="CS172" s="41"/>
      <c r="CT172" s="41">
        <v>0.2</v>
      </c>
      <c r="CU172" s="41">
        <v>0.1</v>
      </c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>
        <v>0.3</v>
      </c>
      <c r="DK172" s="41"/>
      <c r="DL172" s="41"/>
      <c r="DM172" s="41"/>
      <c r="DN172" s="41"/>
      <c r="DO172" s="41"/>
      <c r="DP172" s="41"/>
      <c r="DQ172" s="41"/>
      <c r="DR172" s="41"/>
      <c r="DS172" s="43"/>
      <c r="DT172" s="44">
        <f t="shared" ref="DT172" si="154">SUM(F172:DR172)</f>
        <v>1</v>
      </c>
    </row>
    <row r="173" spans="2:124" s="13" customFormat="1">
      <c r="B173" s="4">
        <f>'6.1Personnel List'!B174</f>
        <v>161</v>
      </c>
      <c r="C173" s="45" t="s">
        <v>281</v>
      </c>
      <c r="D173" s="45" t="str">
        <f>'6.1Personnel List'!D174</f>
        <v>Medical Officer III</v>
      </c>
      <c r="E173" s="45" t="str">
        <f>'6.1Personnel List'!H174</f>
        <v>FT</v>
      </c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>
        <v>0.4</v>
      </c>
      <c r="CO173" s="41"/>
      <c r="CP173" s="41"/>
      <c r="CQ173" s="41"/>
      <c r="CR173" s="41"/>
      <c r="CS173" s="41"/>
      <c r="CT173" s="41">
        <v>0.2</v>
      </c>
      <c r="CU173" s="41">
        <v>0.1</v>
      </c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>
        <v>0.3</v>
      </c>
      <c r="DK173" s="41"/>
      <c r="DL173" s="41"/>
      <c r="DM173" s="41"/>
      <c r="DN173" s="41"/>
      <c r="DO173" s="41"/>
      <c r="DP173" s="41"/>
      <c r="DQ173" s="41"/>
      <c r="DR173" s="41"/>
      <c r="DS173" s="43"/>
      <c r="DT173" s="44">
        <f t="shared" ref="DT173" si="155">SUM(F173:DR173)</f>
        <v>1</v>
      </c>
    </row>
    <row r="174" spans="2:124" s="13" customFormat="1">
      <c r="B174" s="4">
        <f>'6.1Personnel List'!B175</f>
        <v>162</v>
      </c>
      <c r="C174" s="45" t="s">
        <v>282</v>
      </c>
      <c r="D174" s="45" t="str">
        <f>'6.1Personnel List'!D175</f>
        <v>Medical Officer III</v>
      </c>
      <c r="E174" s="45" t="str">
        <f>'6.1Personnel List'!H175</f>
        <v>FT</v>
      </c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>
        <v>0.4</v>
      </c>
      <c r="CO174" s="41"/>
      <c r="CP174" s="41"/>
      <c r="CQ174" s="41"/>
      <c r="CR174" s="41"/>
      <c r="CS174" s="41"/>
      <c r="CT174" s="41"/>
      <c r="CU174" s="41">
        <v>0.2</v>
      </c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  <c r="DJ174" s="41">
        <v>0.4</v>
      </c>
      <c r="DK174" s="41"/>
      <c r="DL174" s="41"/>
      <c r="DM174" s="41"/>
      <c r="DN174" s="41"/>
      <c r="DO174" s="41"/>
      <c r="DP174" s="41"/>
      <c r="DQ174" s="41"/>
      <c r="DR174" s="41"/>
      <c r="DS174" s="43"/>
      <c r="DT174" s="44">
        <f t="shared" ref="DT174" si="156">SUM(F174:DR174)</f>
        <v>1</v>
      </c>
    </row>
    <row r="175" spans="2:124" s="13" customFormat="1">
      <c r="B175" s="4">
        <f>'6.1Personnel List'!B176</f>
        <v>163</v>
      </c>
      <c r="C175" s="45" t="s">
        <v>283</v>
      </c>
      <c r="D175" s="45" t="str">
        <f>'6.1Personnel List'!D176</f>
        <v>Medical Officer III</v>
      </c>
      <c r="E175" s="45" t="str">
        <f>'6.1Personnel List'!H176</f>
        <v>FT</v>
      </c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>
        <v>0.05</v>
      </c>
      <c r="CO175" s="41"/>
      <c r="CP175" s="41"/>
      <c r="CQ175" s="41"/>
      <c r="CR175" s="41"/>
      <c r="CS175" s="41"/>
      <c r="CT175" s="41">
        <v>0.2</v>
      </c>
      <c r="CU175" s="41"/>
      <c r="CV175" s="41"/>
      <c r="CW175" s="41"/>
      <c r="CX175" s="41">
        <v>0.05</v>
      </c>
      <c r="CY175" s="41"/>
      <c r="CZ175" s="41"/>
      <c r="DA175" s="41">
        <v>0.05</v>
      </c>
      <c r="DB175" s="41">
        <v>0.05</v>
      </c>
      <c r="DC175" s="41">
        <v>0.05</v>
      </c>
      <c r="DD175" s="41">
        <v>0.3</v>
      </c>
      <c r="DE175" s="41"/>
      <c r="DF175" s="41"/>
      <c r="DG175" s="41"/>
      <c r="DH175" s="41">
        <v>0.05</v>
      </c>
      <c r="DI175" s="41"/>
      <c r="DJ175" s="41">
        <v>0.2</v>
      </c>
      <c r="DK175" s="41"/>
      <c r="DL175" s="41"/>
      <c r="DM175" s="41"/>
      <c r="DN175" s="41"/>
      <c r="DO175" s="41"/>
      <c r="DP175" s="41"/>
      <c r="DQ175" s="41"/>
      <c r="DR175" s="41"/>
      <c r="DS175" s="43"/>
      <c r="DT175" s="44">
        <f t="shared" ref="DT175" si="157">SUM(F175:DR175)</f>
        <v>1</v>
      </c>
    </row>
    <row r="176" spans="2:124" s="13" customFormat="1">
      <c r="B176" s="4">
        <f>'6.1Personnel List'!B177</f>
        <v>164</v>
      </c>
      <c r="C176" s="45" t="s">
        <v>284</v>
      </c>
      <c r="D176" s="45" t="str">
        <f>'6.1Personnel List'!D177</f>
        <v>Medical Officer III</v>
      </c>
      <c r="E176" s="45" t="str">
        <f>'6.1Personnel List'!H177</f>
        <v>FT</v>
      </c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>
        <v>0.05</v>
      </c>
      <c r="CO176" s="41"/>
      <c r="CP176" s="41"/>
      <c r="CQ176" s="41"/>
      <c r="CR176" s="41"/>
      <c r="CS176" s="41"/>
      <c r="CT176" s="41">
        <v>0.2</v>
      </c>
      <c r="CU176" s="41"/>
      <c r="CV176" s="41"/>
      <c r="CW176" s="41"/>
      <c r="CX176" s="41">
        <v>0.05</v>
      </c>
      <c r="CY176" s="41"/>
      <c r="CZ176" s="41"/>
      <c r="DA176" s="41">
        <v>0.05</v>
      </c>
      <c r="DB176" s="41">
        <v>0.05</v>
      </c>
      <c r="DC176" s="41">
        <v>0.05</v>
      </c>
      <c r="DD176" s="41">
        <v>0.3</v>
      </c>
      <c r="DE176" s="41"/>
      <c r="DF176" s="41"/>
      <c r="DG176" s="41"/>
      <c r="DH176" s="41">
        <v>0.05</v>
      </c>
      <c r="DI176" s="41"/>
      <c r="DJ176" s="41">
        <v>0.2</v>
      </c>
      <c r="DK176" s="41"/>
      <c r="DL176" s="41"/>
      <c r="DM176" s="41"/>
      <c r="DN176" s="41"/>
      <c r="DO176" s="41"/>
      <c r="DP176" s="41"/>
      <c r="DQ176" s="41"/>
      <c r="DR176" s="41"/>
      <c r="DS176" s="43"/>
      <c r="DT176" s="44">
        <f t="shared" ref="DT176" si="158">SUM(F176:DR176)</f>
        <v>1</v>
      </c>
    </row>
    <row r="177" spans="2:124" s="13" customFormat="1">
      <c r="B177" s="4">
        <f>'6.1Personnel List'!B178</f>
        <v>165</v>
      </c>
      <c r="C177" s="45" t="s">
        <v>285</v>
      </c>
      <c r="D177" s="45" t="str">
        <f>'6.1Personnel List'!D178</f>
        <v>Medical Officer III</v>
      </c>
      <c r="E177" s="45" t="str">
        <f>'6.1Personnel List'!H178</f>
        <v>FT</v>
      </c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>
        <v>0.05</v>
      </c>
      <c r="CO177" s="41"/>
      <c r="CP177" s="41"/>
      <c r="CQ177" s="41"/>
      <c r="CR177" s="41"/>
      <c r="CS177" s="41"/>
      <c r="CT177" s="41">
        <v>0.2</v>
      </c>
      <c r="CU177" s="41"/>
      <c r="CV177" s="41"/>
      <c r="CW177" s="41"/>
      <c r="CX177" s="41">
        <v>0.05</v>
      </c>
      <c r="CY177" s="41"/>
      <c r="CZ177" s="41"/>
      <c r="DA177" s="41">
        <v>0.05</v>
      </c>
      <c r="DB177" s="41">
        <v>0.05</v>
      </c>
      <c r="DC177" s="41">
        <v>0.05</v>
      </c>
      <c r="DD177" s="41">
        <v>0.3</v>
      </c>
      <c r="DE177" s="41"/>
      <c r="DF177" s="41"/>
      <c r="DG177" s="41"/>
      <c r="DH177" s="41">
        <v>0.05</v>
      </c>
      <c r="DI177" s="41"/>
      <c r="DJ177" s="41">
        <v>0.2</v>
      </c>
      <c r="DK177" s="41"/>
      <c r="DL177" s="41"/>
      <c r="DM177" s="41"/>
      <c r="DN177" s="41"/>
      <c r="DO177" s="41"/>
      <c r="DP177" s="41"/>
      <c r="DQ177" s="41"/>
      <c r="DR177" s="41"/>
      <c r="DS177" s="43"/>
      <c r="DT177" s="44">
        <f t="shared" ref="DT177" si="159">SUM(F177:DR177)</f>
        <v>1</v>
      </c>
    </row>
    <row r="178" spans="2:124" s="13" customFormat="1">
      <c r="B178" s="4">
        <f>'6.1Personnel List'!B179</f>
        <v>166</v>
      </c>
      <c r="C178" s="45" t="s">
        <v>286</v>
      </c>
      <c r="D178" s="45" t="str">
        <f>'6.1Personnel List'!D179</f>
        <v>Medical Officer III</v>
      </c>
      <c r="E178" s="45" t="str">
        <f>'6.1Personnel List'!H179</f>
        <v>FT</v>
      </c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>
        <v>0.05</v>
      </c>
      <c r="CO178" s="41"/>
      <c r="CP178" s="41"/>
      <c r="CQ178" s="41"/>
      <c r="CR178" s="41"/>
      <c r="CS178" s="41"/>
      <c r="CT178" s="41">
        <v>0.2</v>
      </c>
      <c r="CU178" s="41"/>
      <c r="CV178" s="41"/>
      <c r="CW178" s="41"/>
      <c r="CX178" s="41">
        <v>0.05</v>
      </c>
      <c r="CY178" s="41"/>
      <c r="CZ178" s="41"/>
      <c r="DA178" s="41">
        <v>0.05</v>
      </c>
      <c r="DB178" s="41">
        <v>0.05</v>
      </c>
      <c r="DC178" s="41">
        <v>0.05</v>
      </c>
      <c r="DD178" s="41">
        <v>0.3</v>
      </c>
      <c r="DE178" s="41"/>
      <c r="DF178" s="41"/>
      <c r="DG178" s="41"/>
      <c r="DH178" s="41">
        <v>0.05</v>
      </c>
      <c r="DI178" s="41"/>
      <c r="DJ178" s="41">
        <v>0.2</v>
      </c>
      <c r="DK178" s="41"/>
      <c r="DL178" s="41"/>
      <c r="DM178" s="41"/>
      <c r="DN178" s="41"/>
      <c r="DO178" s="41"/>
      <c r="DP178" s="41"/>
      <c r="DQ178" s="41"/>
      <c r="DR178" s="41"/>
      <c r="DS178" s="43"/>
      <c r="DT178" s="44">
        <f t="shared" ref="DT178" si="160">SUM(F178:DR178)</f>
        <v>1</v>
      </c>
    </row>
    <row r="179" spans="2:124" s="13" customFormat="1">
      <c r="B179" s="4">
        <f>'6.1Personnel List'!B180</f>
        <v>167</v>
      </c>
      <c r="C179" s="45" t="s">
        <v>287</v>
      </c>
      <c r="D179" s="45" t="str">
        <f>'6.1Personnel List'!D180</f>
        <v>Medical Officer III</v>
      </c>
      <c r="E179" s="45" t="str">
        <f>'6.1Personnel List'!H180</f>
        <v>FT</v>
      </c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>
        <v>0.05</v>
      </c>
      <c r="CO179" s="41"/>
      <c r="CP179" s="41"/>
      <c r="CQ179" s="41"/>
      <c r="CR179" s="41"/>
      <c r="CS179" s="41"/>
      <c r="CT179" s="41">
        <v>0.2</v>
      </c>
      <c r="CU179" s="41"/>
      <c r="CV179" s="41"/>
      <c r="CW179" s="41"/>
      <c r="CX179" s="41">
        <v>0.05</v>
      </c>
      <c r="CY179" s="41"/>
      <c r="CZ179" s="41"/>
      <c r="DA179" s="41">
        <v>0.05</v>
      </c>
      <c r="DB179" s="41">
        <v>0.05</v>
      </c>
      <c r="DC179" s="41">
        <v>0.05</v>
      </c>
      <c r="DD179" s="41">
        <v>0.3</v>
      </c>
      <c r="DE179" s="41"/>
      <c r="DF179" s="41"/>
      <c r="DG179" s="41"/>
      <c r="DH179" s="41">
        <v>0.05</v>
      </c>
      <c r="DI179" s="41"/>
      <c r="DJ179" s="41">
        <v>0.2</v>
      </c>
      <c r="DK179" s="41"/>
      <c r="DL179" s="41"/>
      <c r="DM179" s="41"/>
      <c r="DN179" s="41"/>
      <c r="DO179" s="41"/>
      <c r="DP179" s="41"/>
      <c r="DQ179" s="41"/>
      <c r="DR179" s="41"/>
      <c r="DS179" s="43"/>
      <c r="DT179" s="44">
        <f t="shared" ref="DT179" si="161">SUM(F179:DR179)</f>
        <v>1</v>
      </c>
    </row>
    <row r="180" spans="2:124" s="13" customFormat="1">
      <c r="B180" s="4">
        <f>'6.1Personnel List'!B181</f>
        <v>168</v>
      </c>
      <c r="C180" s="45" t="s">
        <v>288</v>
      </c>
      <c r="D180" s="45" t="str">
        <f>'6.1Personnel List'!D181</f>
        <v>Medical Officer III</v>
      </c>
      <c r="E180" s="45" t="str">
        <f>'6.1Personnel List'!H181</f>
        <v>FT</v>
      </c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>
        <v>0.05</v>
      </c>
      <c r="CO180" s="41"/>
      <c r="CP180" s="41"/>
      <c r="CQ180" s="41"/>
      <c r="CR180" s="41"/>
      <c r="CS180" s="41"/>
      <c r="CT180" s="41">
        <v>0.2</v>
      </c>
      <c r="CU180" s="41"/>
      <c r="CV180" s="41"/>
      <c r="CW180" s="41"/>
      <c r="CX180" s="41">
        <v>0.05</v>
      </c>
      <c r="CY180" s="41"/>
      <c r="CZ180" s="41"/>
      <c r="DA180" s="41">
        <v>0.05</v>
      </c>
      <c r="DB180" s="41">
        <v>0.05</v>
      </c>
      <c r="DC180" s="41">
        <v>0.05</v>
      </c>
      <c r="DD180" s="41">
        <v>0.3</v>
      </c>
      <c r="DE180" s="41"/>
      <c r="DF180" s="41"/>
      <c r="DG180" s="41"/>
      <c r="DH180" s="41">
        <v>0.05</v>
      </c>
      <c r="DI180" s="41"/>
      <c r="DJ180" s="41">
        <v>0.2</v>
      </c>
      <c r="DK180" s="41"/>
      <c r="DL180" s="41"/>
      <c r="DM180" s="41"/>
      <c r="DN180" s="41"/>
      <c r="DO180" s="41"/>
      <c r="DP180" s="41"/>
      <c r="DQ180" s="41"/>
      <c r="DR180" s="41"/>
      <c r="DS180" s="43"/>
      <c r="DT180" s="44">
        <f t="shared" ref="DT180" si="162">SUM(F180:DR180)</f>
        <v>1</v>
      </c>
    </row>
    <row r="181" spans="2:124" s="13" customFormat="1">
      <c r="B181" s="4">
        <f>'6.1Personnel List'!B182</f>
        <v>169</v>
      </c>
      <c r="C181" s="45" t="s">
        <v>289</v>
      </c>
      <c r="D181" s="45" t="str">
        <f>'6.1Personnel List'!D182</f>
        <v>Medical Officer III</v>
      </c>
      <c r="E181" s="45" t="str">
        <f>'6.1Personnel List'!H182</f>
        <v>FT</v>
      </c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>
        <v>0.05</v>
      </c>
      <c r="CO181" s="41"/>
      <c r="CP181" s="41"/>
      <c r="CQ181" s="41"/>
      <c r="CR181" s="41"/>
      <c r="CS181" s="41"/>
      <c r="CT181" s="41">
        <v>0.2</v>
      </c>
      <c r="CU181" s="41"/>
      <c r="CV181" s="41"/>
      <c r="CW181" s="41"/>
      <c r="CX181" s="41">
        <v>0.05</v>
      </c>
      <c r="CY181" s="41"/>
      <c r="CZ181" s="41"/>
      <c r="DA181" s="41">
        <v>0.05</v>
      </c>
      <c r="DB181" s="41">
        <v>0.05</v>
      </c>
      <c r="DC181" s="41">
        <v>0.05</v>
      </c>
      <c r="DD181" s="41">
        <v>0.3</v>
      </c>
      <c r="DE181" s="41"/>
      <c r="DF181" s="41"/>
      <c r="DG181" s="41"/>
      <c r="DH181" s="41">
        <v>0.05</v>
      </c>
      <c r="DI181" s="41"/>
      <c r="DJ181" s="41">
        <v>0.2</v>
      </c>
      <c r="DK181" s="41"/>
      <c r="DL181" s="41"/>
      <c r="DM181" s="41"/>
      <c r="DN181" s="41"/>
      <c r="DO181" s="41"/>
      <c r="DP181" s="41"/>
      <c r="DQ181" s="41"/>
      <c r="DR181" s="41"/>
      <c r="DS181" s="43"/>
      <c r="DT181" s="44">
        <f t="shared" ref="DT181" si="163">SUM(F181:DR181)</f>
        <v>1</v>
      </c>
    </row>
    <row r="182" spans="2:124" s="13" customFormat="1">
      <c r="B182" s="4">
        <f>'6.1Personnel List'!B183</f>
        <v>170</v>
      </c>
      <c r="C182" s="45" t="s">
        <v>290</v>
      </c>
      <c r="D182" s="45" t="str">
        <f>'6.1Personnel List'!D183</f>
        <v>Administrative Assistant I</v>
      </c>
      <c r="E182" s="45" t="str">
        <f>'6.1Personnel List'!H183</f>
        <v>FT</v>
      </c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>
        <v>1</v>
      </c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3"/>
      <c r="DT182" s="44">
        <f t="shared" ref="DT182" si="164">SUM(F182:DR182)</f>
        <v>1</v>
      </c>
    </row>
    <row r="183" spans="2:124" s="13" customFormat="1">
      <c r="B183" s="4">
        <f>'6.1Personnel List'!B184</f>
        <v>171</v>
      </c>
      <c r="C183" s="45" t="s">
        <v>293</v>
      </c>
      <c r="D183" s="45" t="str">
        <f>'6.1Personnel List'!D184</f>
        <v>Medical Specialist III - Chairman</v>
      </c>
      <c r="E183" s="45" t="str">
        <f>'6.1Personnel List'!H184</f>
        <v>FT</v>
      </c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>
        <v>1</v>
      </c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3"/>
      <c r="DT183" s="44">
        <f t="shared" ref="DT183" si="165">SUM(F183:DR183)</f>
        <v>1</v>
      </c>
    </row>
    <row r="184" spans="2:124" s="13" customFormat="1">
      <c r="B184" s="4">
        <f>'6.1Personnel List'!B185</f>
        <v>172</v>
      </c>
      <c r="C184" s="45" t="s">
        <v>294</v>
      </c>
      <c r="D184" s="45" t="str">
        <f>'6.1Personnel List'!D185</f>
        <v>Medical Specialist III (P.T.)</v>
      </c>
      <c r="E184" s="45" t="str">
        <f>'6.1Personnel List'!H185</f>
        <v>PT</v>
      </c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>
        <v>0.5</v>
      </c>
      <c r="CM184" s="41"/>
      <c r="CN184" s="41"/>
      <c r="CO184" s="41"/>
      <c r="CP184" s="41"/>
      <c r="CQ184" s="41"/>
      <c r="CR184" s="41"/>
      <c r="CS184" s="41"/>
      <c r="CT184" s="41">
        <v>0.5</v>
      </c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3"/>
      <c r="DT184" s="44">
        <f t="shared" ref="DT184" si="166">SUM(F184:DR184)</f>
        <v>1</v>
      </c>
    </row>
    <row r="185" spans="2:124" s="13" customFormat="1">
      <c r="B185" s="4">
        <f>'6.1Personnel List'!B186</f>
        <v>173</v>
      </c>
      <c r="C185" s="45" t="s">
        <v>295</v>
      </c>
      <c r="D185" s="45" t="str">
        <f>'6.1Personnel List'!D186</f>
        <v>Medical Specialist III (P.T.)</v>
      </c>
      <c r="E185" s="45" t="str">
        <f>'6.1Personnel List'!H186</f>
        <v>PT</v>
      </c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>
        <v>0.5</v>
      </c>
      <c r="CM185" s="41"/>
      <c r="CN185" s="41"/>
      <c r="CO185" s="41"/>
      <c r="CP185" s="41"/>
      <c r="CQ185" s="41"/>
      <c r="CR185" s="41"/>
      <c r="CS185" s="41"/>
      <c r="CT185" s="41">
        <v>0.5</v>
      </c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3"/>
      <c r="DT185" s="44">
        <f t="shared" ref="DT185" si="167">SUM(F185:DR185)</f>
        <v>1</v>
      </c>
    </row>
    <row r="186" spans="2:124" s="13" customFormat="1">
      <c r="B186" s="4">
        <f>'6.1Personnel List'!B187</f>
        <v>174</v>
      </c>
      <c r="C186" s="45" t="s">
        <v>296</v>
      </c>
      <c r="D186" s="45" t="str">
        <f>'6.1Personnel List'!D187</f>
        <v>Medical Specialist III (P.T.)</v>
      </c>
      <c r="E186" s="45" t="str">
        <f>'6.1Personnel List'!H187</f>
        <v>PT</v>
      </c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>
        <v>0.5</v>
      </c>
      <c r="CM186" s="41"/>
      <c r="CN186" s="41"/>
      <c r="CO186" s="41"/>
      <c r="CP186" s="41"/>
      <c r="CQ186" s="41"/>
      <c r="CR186" s="41"/>
      <c r="CS186" s="41"/>
      <c r="CT186" s="41">
        <v>0.5</v>
      </c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3"/>
      <c r="DT186" s="44">
        <f t="shared" ref="DT186" si="168">SUM(F186:DR186)</f>
        <v>1</v>
      </c>
    </row>
    <row r="187" spans="2:124" s="13" customFormat="1">
      <c r="B187" s="4">
        <f>'6.1Personnel List'!B188</f>
        <v>175</v>
      </c>
      <c r="C187" s="45" t="s">
        <v>297</v>
      </c>
      <c r="D187" s="45" t="str">
        <f>'6.1Personnel List'!D188</f>
        <v>Medical Specialist III (P.T.)</v>
      </c>
      <c r="E187" s="45" t="str">
        <f>'6.1Personnel List'!H188</f>
        <v>PT</v>
      </c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>
        <v>0.5</v>
      </c>
      <c r="CM187" s="41"/>
      <c r="CN187" s="41"/>
      <c r="CO187" s="41"/>
      <c r="CP187" s="41"/>
      <c r="CQ187" s="41"/>
      <c r="CR187" s="41"/>
      <c r="CS187" s="41"/>
      <c r="CT187" s="41">
        <v>0.5</v>
      </c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3"/>
      <c r="DT187" s="44">
        <f t="shared" ref="DT187" si="169">SUM(F187:DR187)</f>
        <v>1</v>
      </c>
    </row>
    <row r="188" spans="2:124" s="13" customFormat="1">
      <c r="B188" s="4">
        <f>'6.1Personnel List'!B189</f>
        <v>176</v>
      </c>
      <c r="C188" s="45" t="s">
        <v>298</v>
      </c>
      <c r="D188" s="45" t="str">
        <f>'6.1Personnel List'!D189</f>
        <v>Medical Specialist III (P.T.)</v>
      </c>
      <c r="E188" s="45" t="str">
        <f>'6.1Personnel List'!H189</f>
        <v>PT</v>
      </c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>
        <v>0.5</v>
      </c>
      <c r="CM188" s="41"/>
      <c r="CN188" s="41"/>
      <c r="CO188" s="41"/>
      <c r="CP188" s="41"/>
      <c r="CQ188" s="41"/>
      <c r="CR188" s="41"/>
      <c r="CS188" s="41"/>
      <c r="CT188" s="41">
        <v>0.5</v>
      </c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3"/>
      <c r="DT188" s="44">
        <f t="shared" ref="DT188" si="170">SUM(F188:DR188)</f>
        <v>1</v>
      </c>
    </row>
    <row r="189" spans="2:124" s="13" customFormat="1">
      <c r="B189" s="4">
        <f>'6.1Personnel List'!B190</f>
        <v>177</v>
      </c>
      <c r="C189" s="45" t="s">
        <v>299</v>
      </c>
      <c r="D189" s="45" t="str">
        <f>'6.1Personnel List'!D190</f>
        <v>Medical Specialist III (P.T.)</v>
      </c>
      <c r="E189" s="45" t="str">
        <f>'6.1Personnel List'!H190</f>
        <v>PT</v>
      </c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>
        <v>0.5</v>
      </c>
      <c r="CM189" s="41"/>
      <c r="CN189" s="41"/>
      <c r="CO189" s="41"/>
      <c r="CP189" s="41"/>
      <c r="CQ189" s="41"/>
      <c r="CR189" s="41"/>
      <c r="CS189" s="41"/>
      <c r="CT189" s="41">
        <v>0.5</v>
      </c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3"/>
      <c r="DT189" s="44">
        <f t="shared" ref="DT189" si="171">SUM(F189:DR189)</f>
        <v>1</v>
      </c>
    </row>
    <row r="190" spans="2:124" s="13" customFormat="1">
      <c r="B190" s="4">
        <f>'6.1Personnel List'!B191</f>
        <v>178</v>
      </c>
      <c r="C190" s="45" t="s">
        <v>300</v>
      </c>
      <c r="D190" s="45" t="str">
        <f>'6.1Personnel List'!D191</f>
        <v>Medical Specialist II (P.T.)</v>
      </c>
      <c r="E190" s="45" t="str">
        <f>'6.1Personnel List'!H191</f>
        <v>PT</v>
      </c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>
        <v>0.5</v>
      </c>
      <c r="CM190" s="41"/>
      <c r="CN190" s="41"/>
      <c r="CO190" s="41"/>
      <c r="CP190" s="41"/>
      <c r="CQ190" s="41"/>
      <c r="CR190" s="41"/>
      <c r="CS190" s="41"/>
      <c r="CT190" s="41">
        <v>0.5</v>
      </c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3"/>
      <c r="DT190" s="44">
        <f t="shared" ref="DT190" si="172">SUM(F190:DR190)</f>
        <v>1</v>
      </c>
    </row>
    <row r="191" spans="2:124" s="13" customFormat="1">
      <c r="B191" s="4">
        <f>'6.1Personnel List'!B192</f>
        <v>179</v>
      </c>
      <c r="C191" s="45" t="s">
        <v>301</v>
      </c>
      <c r="D191" s="45" t="str">
        <f>'6.1Personnel List'!D192</f>
        <v>Medical Specialist II (P.T.)</v>
      </c>
      <c r="E191" s="45" t="str">
        <f>'6.1Personnel List'!H192</f>
        <v>PT</v>
      </c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>
        <v>0.5</v>
      </c>
      <c r="CM191" s="41"/>
      <c r="CN191" s="41"/>
      <c r="CO191" s="41"/>
      <c r="CP191" s="41"/>
      <c r="CQ191" s="41"/>
      <c r="CR191" s="41"/>
      <c r="CS191" s="41"/>
      <c r="CT191" s="41">
        <v>0.5</v>
      </c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3"/>
      <c r="DT191" s="44">
        <f t="shared" ref="DT191" si="173">SUM(F191:DR191)</f>
        <v>1</v>
      </c>
    </row>
    <row r="192" spans="2:124" s="13" customFormat="1">
      <c r="B192" s="4">
        <f>'6.1Personnel List'!B193</f>
        <v>180</v>
      </c>
      <c r="C192" s="45" t="s">
        <v>302</v>
      </c>
      <c r="D192" s="45" t="str">
        <f>'6.1Personnel List'!D193</f>
        <v>Medical Officer IV</v>
      </c>
      <c r="E192" s="45" t="str">
        <f>'6.1Personnel List'!H193</f>
        <v>FT</v>
      </c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>
        <v>0.5</v>
      </c>
      <c r="CM192" s="41"/>
      <c r="CN192" s="41"/>
      <c r="CO192" s="41"/>
      <c r="CP192" s="41"/>
      <c r="CQ192" s="41"/>
      <c r="CR192" s="41"/>
      <c r="CS192" s="41"/>
      <c r="CT192" s="41">
        <v>0.5</v>
      </c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3"/>
      <c r="DT192" s="44">
        <f t="shared" ref="DT192" si="174">SUM(F192:DR192)</f>
        <v>1</v>
      </c>
    </row>
    <row r="193" spans="2:124" s="13" customFormat="1">
      <c r="B193" s="4">
        <f>'6.1Personnel List'!B194</f>
        <v>181</v>
      </c>
      <c r="C193" s="45" t="s">
        <v>303</v>
      </c>
      <c r="D193" s="45" t="str">
        <f>'6.1Personnel List'!D194</f>
        <v>Medical Officer IV</v>
      </c>
      <c r="E193" s="45" t="str">
        <f>'6.1Personnel List'!H194</f>
        <v>FT</v>
      </c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>
        <v>0.5</v>
      </c>
      <c r="CM193" s="41"/>
      <c r="CN193" s="41"/>
      <c r="CO193" s="41"/>
      <c r="CP193" s="41"/>
      <c r="CQ193" s="41"/>
      <c r="CR193" s="41"/>
      <c r="CS193" s="41"/>
      <c r="CT193" s="41">
        <v>0.5</v>
      </c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/>
      <c r="DM193" s="41"/>
      <c r="DN193" s="41"/>
      <c r="DO193" s="41"/>
      <c r="DP193" s="41"/>
      <c r="DQ193" s="41"/>
      <c r="DR193" s="41"/>
      <c r="DS193" s="43"/>
      <c r="DT193" s="44">
        <f t="shared" ref="DT193" si="175">SUM(F193:DR193)</f>
        <v>1</v>
      </c>
    </row>
    <row r="194" spans="2:124" s="13" customFormat="1">
      <c r="B194" s="4">
        <f>'6.1Personnel List'!B195</f>
        <v>182</v>
      </c>
      <c r="C194" s="45" t="s">
        <v>304</v>
      </c>
      <c r="D194" s="45" t="str">
        <f>'6.1Personnel List'!D195</f>
        <v>Medical Officer IV</v>
      </c>
      <c r="E194" s="45" t="str">
        <f>'6.1Personnel List'!H195</f>
        <v>FT</v>
      </c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>
        <v>0.5</v>
      </c>
      <c r="CM194" s="41"/>
      <c r="CN194" s="41"/>
      <c r="CO194" s="41"/>
      <c r="CP194" s="41"/>
      <c r="CQ194" s="41"/>
      <c r="CR194" s="41"/>
      <c r="CS194" s="41"/>
      <c r="CT194" s="41">
        <v>0.5</v>
      </c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3"/>
      <c r="DT194" s="44">
        <f t="shared" ref="DT194" si="176">SUM(F194:DR194)</f>
        <v>1</v>
      </c>
    </row>
    <row r="195" spans="2:124" s="13" customFormat="1">
      <c r="B195" s="4">
        <f>'6.1Personnel List'!B196</f>
        <v>183</v>
      </c>
      <c r="C195" s="45" t="s">
        <v>305</v>
      </c>
      <c r="D195" s="45" t="str">
        <f>'6.1Personnel List'!D196</f>
        <v>Medical Officer IV</v>
      </c>
      <c r="E195" s="45" t="str">
        <f>'6.1Personnel List'!H196</f>
        <v>FT</v>
      </c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>
        <v>0.5</v>
      </c>
      <c r="CM195" s="41"/>
      <c r="CN195" s="41"/>
      <c r="CO195" s="41"/>
      <c r="CP195" s="41"/>
      <c r="CQ195" s="41"/>
      <c r="CR195" s="41"/>
      <c r="CS195" s="41"/>
      <c r="CT195" s="41">
        <v>0.5</v>
      </c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3"/>
      <c r="DT195" s="44">
        <f t="shared" ref="DT195" si="177">SUM(F195:DR195)</f>
        <v>1</v>
      </c>
    </row>
    <row r="196" spans="2:124" s="13" customFormat="1">
      <c r="B196" s="4">
        <f>'6.1Personnel List'!B197</f>
        <v>184</v>
      </c>
      <c r="C196" s="45" t="s">
        <v>306</v>
      </c>
      <c r="D196" s="45" t="str">
        <f>'6.1Personnel List'!D197</f>
        <v>Medical Officer IV</v>
      </c>
      <c r="E196" s="45" t="str">
        <f>'6.1Personnel List'!H197</f>
        <v>FT</v>
      </c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>
        <v>0.5</v>
      </c>
      <c r="CM196" s="41"/>
      <c r="CN196" s="41"/>
      <c r="CO196" s="41"/>
      <c r="CP196" s="41"/>
      <c r="CQ196" s="41"/>
      <c r="CR196" s="41"/>
      <c r="CS196" s="41"/>
      <c r="CT196" s="41">
        <v>0.5</v>
      </c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3"/>
      <c r="DT196" s="44">
        <f t="shared" ref="DT196" si="178">SUM(F196:DR196)</f>
        <v>1</v>
      </c>
    </row>
    <row r="197" spans="2:124" s="13" customFormat="1">
      <c r="B197" s="4">
        <f>'6.1Personnel List'!B198</f>
        <v>185</v>
      </c>
      <c r="C197" s="45" t="s">
        <v>307</v>
      </c>
      <c r="D197" s="45" t="str">
        <f>'6.1Personnel List'!D198</f>
        <v>Medical Officer IV</v>
      </c>
      <c r="E197" s="45" t="str">
        <f>'6.1Personnel List'!H198</f>
        <v>FT</v>
      </c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>
        <v>0.5</v>
      </c>
      <c r="CM197" s="41"/>
      <c r="CN197" s="41"/>
      <c r="CO197" s="41"/>
      <c r="CP197" s="41"/>
      <c r="CQ197" s="41"/>
      <c r="CR197" s="41"/>
      <c r="CS197" s="41"/>
      <c r="CT197" s="41">
        <v>0.5</v>
      </c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3"/>
      <c r="DT197" s="44">
        <f t="shared" ref="DT197" si="179">SUM(F197:DR197)</f>
        <v>1</v>
      </c>
    </row>
    <row r="198" spans="2:124" s="13" customFormat="1">
      <c r="B198" s="4">
        <f>'6.1Personnel List'!B199</f>
        <v>186</v>
      </c>
      <c r="C198" s="45" t="s">
        <v>308</v>
      </c>
      <c r="D198" s="45" t="str">
        <f>'6.1Personnel List'!D199</f>
        <v>Medical Officer IV</v>
      </c>
      <c r="E198" s="45" t="str">
        <f>'6.1Personnel List'!H199</f>
        <v>FT</v>
      </c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>
        <v>0.5</v>
      </c>
      <c r="CM198" s="41"/>
      <c r="CN198" s="41"/>
      <c r="CO198" s="41"/>
      <c r="CP198" s="41"/>
      <c r="CQ198" s="41"/>
      <c r="CR198" s="41"/>
      <c r="CS198" s="41"/>
      <c r="CT198" s="41">
        <v>0.5</v>
      </c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3"/>
      <c r="DT198" s="44">
        <f t="shared" ref="DT198" si="180">SUM(F198:DR198)</f>
        <v>1</v>
      </c>
    </row>
    <row r="199" spans="2:124" s="13" customFormat="1">
      <c r="B199" s="4">
        <f>'6.1Personnel List'!B200</f>
        <v>187</v>
      </c>
      <c r="C199" s="45" t="s">
        <v>309</v>
      </c>
      <c r="D199" s="45" t="str">
        <f>'6.1Personnel List'!D200</f>
        <v>Medical Officer IV</v>
      </c>
      <c r="E199" s="45" t="str">
        <f>'6.1Personnel List'!H200</f>
        <v>FT</v>
      </c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>
        <v>0.5</v>
      </c>
      <c r="CM199" s="41"/>
      <c r="CN199" s="41"/>
      <c r="CO199" s="41"/>
      <c r="CP199" s="41"/>
      <c r="CQ199" s="41"/>
      <c r="CR199" s="41"/>
      <c r="CS199" s="41"/>
      <c r="CT199" s="41">
        <v>0.5</v>
      </c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3"/>
      <c r="DT199" s="44">
        <f t="shared" ref="DT199" si="181">SUM(F199:DR199)</f>
        <v>1</v>
      </c>
    </row>
    <row r="200" spans="2:124" s="13" customFormat="1">
      <c r="B200" s="4">
        <f>'6.1Personnel List'!B201</f>
        <v>188</v>
      </c>
      <c r="C200" s="45" t="s">
        <v>310</v>
      </c>
      <c r="D200" s="45" t="str">
        <f>'6.1Personnel List'!D201</f>
        <v>Medical Officer IV</v>
      </c>
      <c r="E200" s="45" t="str">
        <f>'6.1Personnel List'!H201</f>
        <v>FT</v>
      </c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>
        <v>0.5</v>
      </c>
      <c r="CM200" s="41"/>
      <c r="CN200" s="41"/>
      <c r="CO200" s="41"/>
      <c r="CP200" s="41"/>
      <c r="CQ200" s="41"/>
      <c r="CR200" s="41"/>
      <c r="CS200" s="41"/>
      <c r="CT200" s="41">
        <v>0.5</v>
      </c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3"/>
      <c r="DT200" s="44">
        <f t="shared" ref="DT200" si="182">SUM(F200:DR200)</f>
        <v>1</v>
      </c>
    </row>
    <row r="201" spans="2:124" s="13" customFormat="1">
      <c r="B201" s="4">
        <f>'6.1Personnel List'!B202</f>
        <v>189</v>
      </c>
      <c r="C201" s="45" t="s">
        <v>311</v>
      </c>
      <c r="D201" s="45" t="str">
        <f>'6.1Personnel List'!D202</f>
        <v>Medical Officer IV</v>
      </c>
      <c r="E201" s="45" t="str">
        <f>'6.1Personnel List'!H202</f>
        <v>FT</v>
      </c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41"/>
      <c r="BB201" s="41"/>
      <c r="BC201" s="41"/>
      <c r="BD201" s="41"/>
      <c r="BE201" s="41"/>
      <c r="BF201" s="41"/>
      <c r="BG201" s="41"/>
      <c r="BH201" s="41"/>
      <c r="BJ201" s="41"/>
      <c r="BK201" s="41"/>
      <c r="BL201" s="41"/>
      <c r="BM201" s="41"/>
      <c r="BN201" s="41"/>
      <c r="BO201" s="41"/>
      <c r="BP201" s="41"/>
      <c r="BQ201" s="41"/>
      <c r="BR201" s="41"/>
      <c r="BS201" s="41"/>
      <c r="BT201" s="41"/>
      <c r="BU201" s="41"/>
      <c r="BV201" s="41"/>
      <c r="BW201" s="41"/>
      <c r="BX201" s="41"/>
      <c r="BY201" s="41"/>
      <c r="BZ201" s="41"/>
      <c r="CA201" s="41"/>
      <c r="CB201" s="41"/>
      <c r="CC201" s="41"/>
      <c r="CD201" s="41"/>
      <c r="CE201" s="41"/>
      <c r="CF201" s="41"/>
      <c r="CG201" s="41"/>
      <c r="CH201" s="41"/>
      <c r="CI201" s="41"/>
      <c r="CJ201" s="41"/>
      <c r="CK201" s="41"/>
      <c r="CL201" s="41">
        <v>0.5</v>
      </c>
      <c r="CM201" s="41"/>
      <c r="CN201" s="41"/>
      <c r="CO201" s="41"/>
      <c r="CP201" s="41"/>
      <c r="CQ201" s="41"/>
      <c r="CR201" s="41"/>
      <c r="CS201" s="41"/>
      <c r="CT201" s="41">
        <v>0.5</v>
      </c>
      <c r="CU201" s="41"/>
      <c r="CV201" s="41"/>
      <c r="CW201" s="41"/>
      <c r="CX201" s="41"/>
      <c r="CY201" s="41"/>
      <c r="CZ201" s="41"/>
      <c r="DA201" s="41"/>
      <c r="DB201" s="41"/>
      <c r="DC201" s="41"/>
      <c r="DD201" s="41"/>
      <c r="DE201" s="41"/>
      <c r="DF201" s="41"/>
      <c r="DG201" s="41"/>
      <c r="DH201" s="41"/>
      <c r="DI201" s="41"/>
      <c r="DJ201" s="41"/>
      <c r="DK201" s="41"/>
      <c r="DL201" s="41"/>
      <c r="DM201" s="41"/>
      <c r="DN201" s="41"/>
      <c r="DO201" s="41"/>
      <c r="DP201" s="41"/>
      <c r="DQ201" s="41"/>
      <c r="DR201" s="41"/>
      <c r="DS201" s="43"/>
      <c r="DT201" s="44">
        <f t="shared" ref="DT201" si="183">SUM(F201:DR201)</f>
        <v>1</v>
      </c>
    </row>
    <row r="202" spans="2:124" s="13" customFormat="1">
      <c r="B202" s="4">
        <f>'6.1Personnel List'!B203</f>
        <v>190</v>
      </c>
      <c r="C202" s="45" t="s">
        <v>312</v>
      </c>
      <c r="D202" s="45" t="str">
        <f>'6.1Personnel List'!D203</f>
        <v>Medical Officer IV</v>
      </c>
      <c r="E202" s="45" t="str">
        <f>'6.1Personnel List'!H203</f>
        <v>FT</v>
      </c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41"/>
      <c r="BB202" s="41"/>
      <c r="BC202" s="41"/>
      <c r="BD202" s="41"/>
      <c r="BE202" s="41"/>
      <c r="BF202" s="41"/>
      <c r="BG202" s="41"/>
      <c r="BH202" s="41"/>
      <c r="BJ202" s="41"/>
      <c r="BK202" s="41"/>
      <c r="BL202" s="41"/>
      <c r="BM202" s="41"/>
      <c r="BN202" s="41"/>
      <c r="BO202" s="41"/>
      <c r="BP202" s="41"/>
      <c r="BQ202" s="41"/>
      <c r="BR202" s="41"/>
      <c r="BS202" s="41"/>
      <c r="BT202" s="41"/>
      <c r="BU202" s="41"/>
      <c r="BV202" s="41"/>
      <c r="BW202" s="41"/>
      <c r="BX202" s="41"/>
      <c r="BY202" s="41"/>
      <c r="BZ202" s="41"/>
      <c r="CA202" s="41"/>
      <c r="CB202" s="41"/>
      <c r="CC202" s="41"/>
      <c r="CD202" s="41"/>
      <c r="CE202" s="41"/>
      <c r="CF202" s="41"/>
      <c r="CG202" s="41"/>
      <c r="CH202" s="41"/>
      <c r="CI202" s="41"/>
      <c r="CJ202" s="41"/>
      <c r="CK202" s="41"/>
      <c r="CL202" s="41">
        <v>0.5</v>
      </c>
      <c r="CM202" s="41"/>
      <c r="CN202" s="41"/>
      <c r="CO202" s="41"/>
      <c r="CP202" s="41"/>
      <c r="CQ202" s="41"/>
      <c r="CR202" s="41"/>
      <c r="CS202" s="41"/>
      <c r="CT202" s="41">
        <v>0.5</v>
      </c>
      <c r="CU202" s="41"/>
      <c r="CV202" s="41"/>
      <c r="CW202" s="41"/>
      <c r="CX202" s="41"/>
      <c r="CY202" s="41"/>
      <c r="CZ202" s="41"/>
      <c r="DA202" s="41"/>
      <c r="DB202" s="41"/>
      <c r="DC202" s="41"/>
      <c r="DD202" s="41"/>
      <c r="DE202" s="41"/>
      <c r="DF202" s="41"/>
      <c r="DG202" s="41"/>
      <c r="DH202" s="41"/>
      <c r="DI202" s="41"/>
      <c r="DJ202" s="41"/>
      <c r="DK202" s="41"/>
      <c r="DL202" s="41"/>
      <c r="DM202" s="41"/>
      <c r="DN202" s="41"/>
      <c r="DO202" s="41"/>
      <c r="DP202" s="41"/>
      <c r="DQ202" s="41"/>
      <c r="DR202" s="41"/>
      <c r="DS202" s="43"/>
      <c r="DT202" s="44">
        <f t="shared" ref="DT202" si="184">SUM(F202:DR202)</f>
        <v>1</v>
      </c>
    </row>
    <row r="203" spans="2:124" s="13" customFormat="1">
      <c r="B203" s="4">
        <f>'6.1Personnel List'!B204</f>
        <v>191</v>
      </c>
      <c r="C203" s="45" t="s">
        <v>313</v>
      </c>
      <c r="D203" s="45" t="str">
        <f>'6.1Personnel List'!D204</f>
        <v>Medical Officer IV</v>
      </c>
      <c r="E203" s="45" t="str">
        <f>'6.1Personnel List'!H204</f>
        <v>FT</v>
      </c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>
        <v>0.5</v>
      </c>
      <c r="CM203" s="41"/>
      <c r="CN203" s="41"/>
      <c r="CO203" s="41"/>
      <c r="CP203" s="41"/>
      <c r="CQ203" s="41"/>
      <c r="CR203" s="41"/>
      <c r="CS203" s="41"/>
      <c r="CT203" s="41">
        <v>0.5</v>
      </c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3"/>
      <c r="DT203" s="44">
        <f t="shared" ref="DT203" si="185">SUM(F203:DR203)</f>
        <v>1</v>
      </c>
    </row>
    <row r="204" spans="2:124" s="13" customFormat="1">
      <c r="B204" s="4">
        <f>'6.1Personnel List'!B205</f>
        <v>192</v>
      </c>
      <c r="C204" s="45" t="s">
        <v>314</v>
      </c>
      <c r="D204" s="45" t="str">
        <f>'6.1Personnel List'!D205</f>
        <v>Medical Officer III</v>
      </c>
      <c r="E204" s="45" t="str">
        <f>'6.1Personnel List'!H205</f>
        <v>FT</v>
      </c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>
        <v>0.05</v>
      </c>
      <c r="CF204" s="41"/>
      <c r="CG204" s="41"/>
      <c r="CH204" s="41"/>
      <c r="CI204" s="41"/>
      <c r="CJ204" s="41"/>
      <c r="CK204" s="41"/>
      <c r="CL204" s="41">
        <v>0.4</v>
      </c>
      <c r="CM204" s="41"/>
      <c r="CN204" s="41">
        <v>0.05</v>
      </c>
      <c r="CO204" s="41"/>
      <c r="CP204" s="41">
        <v>0.05</v>
      </c>
      <c r="CQ204" s="41">
        <v>0.05</v>
      </c>
      <c r="CR204" s="41"/>
      <c r="CS204" s="41"/>
      <c r="CT204" s="41">
        <v>0.1</v>
      </c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>
        <v>0.05</v>
      </c>
      <c r="DK204" s="41">
        <v>0.05</v>
      </c>
      <c r="DL204" s="41">
        <v>0.05</v>
      </c>
      <c r="DM204" s="41">
        <v>0.05</v>
      </c>
      <c r="DN204" s="41"/>
      <c r="DO204" s="41"/>
      <c r="DP204" s="41">
        <v>0.05</v>
      </c>
      <c r="DQ204" s="41"/>
      <c r="DR204" s="41">
        <v>0.05</v>
      </c>
      <c r="DS204" s="43"/>
      <c r="DT204" s="44">
        <f t="shared" ref="DT204" si="186">SUM(F204:DR204)</f>
        <v>1.0000000000000002</v>
      </c>
    </row>
    <row r="205" spans="2:124" s="13" customFormat="1">
      <c r="B205" s="4">
        <f>'6.1Personnel List'!B206</f>
        <v>193</v>
      </c>
      <c r="C205" s="45" t="s">
        <v>315</v>
      </c>
      <c r="D205" s="45" t="str">
        <f>'6.1Personnel List'!D206</f>
        <v>Medical Officer III</v>
      </c>
      <c r="E205" s="45" t="str">
        <f>'6.1Personnel List'!H206</f>
        <v>FT</v>
      </c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>
        <v>0.05</v>
      </c>
      <c r="CF205" s="41"/>
      <c r="CG205" s="41"/>
      <c r="CH205" s="41"/>
      <c r="CI205" s="41"/>
      <c r="CJ205" s="41"/>
      <c r="CK205" s="41"/>
      <c r="CL205" s="41">
        <v>0.4</v>
      </c>
      <c r="CM205" s="41"/>
      <c r="CN205" s="41">
        <v>0.05</v>
      </c>
      <c r="CO205" s="41"/>
      <c r="CP205" s="41">
        <v>0.05</v>
      </c>
      <c r="CQ205" s="41">
        <v>0.05</v>
      </c>
      <c r="CR205" s="41"/>
      <c r="CS205" s="41"/>
      <c r="CT205" s="41">
        <v>0.1</v>
      </c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>
        <v>0.05</v>
      </c>
      <c r="DK205" s="41">
        <v>0.05</v>
      </c>
      <c r="DL205" s="41">
        <v>0.05</v>
      </c>
      <c r="DM205" s="41">
        <v>0.05</v>
      </c>
      <c r="DN205" s="41"/>
      <c r="DO205" s="41"/>
      <c r="DP205" s="41">
        <v>0.05</v>
      </c>
      <c r="DQ205" s="41"/>
      <c r="DR205" s="41">
        <v>0.05</v>
      </c>
      <c r="DS205" s="43"/>
      <c r="DT205" s="44">
        <f t="shared" ref="DT205" si="187">SUM(F205:DR205)</f>
        <v>1.0000000000000002</v>
      </c>
    </row>
    <row r="206" spans="2:124" s="13" customFormat="1">
      <c r="B206" s="4">
        <f>'6.1Personnel List'!B207</f>
        <v>194</v>
      </c>
      <c r="C206" s="45" t="s">
        <v>316</v>
      </c>
      <c r="D206" s="45" t="str">
        <f>'6.1Personnel List'!D207</f>
        <v>Medical Officer III</v>
      </c>
      <c r="E206" s="45" t="str">
        <f>'6.1Personnel List'!H207</f>
        <v>FT</v>
      </c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41"/>
      <c r="BB206" s="41"/>
      <c r="BC206" s="41"/>
      <c r="BD206" s="41"/>
      <c r="BE206" s="41"/>
      <c r="BF206" s="41"/>
      <c r="BG206" s="41"/>
      <c r="BH206" s="41"/>
      <c r="BJ206" s="41"/>
      <c r="BK206" s="41"/>
      <c r="BL206" s="41"/>
      <c r="BM206" s="41"/>
      <c r="BN206" s="41"/>
      <c r="BO206" s="41"/>
      <c r="BP206" s="41"/>
      <c r="BQ206" s="41"/>
      <c r="BR206" s="41"/>
      <c r="BS206" s="41"/>
      <c r="BT206" s="41"/>
      <c r="BU206" s="41"/>
      <c r="BV206" s="41"/>
      <c r="BW206" s="41"/>
      <c r="BX206" s="41"/>
      <c r="BY206" s="41"/>
      <c r="BZ206" s="41"/>
      <c r="CA206" s="41"/>
      <c r="CB206" s="41"/>
      <c r="CC206" s="41"/>
      <c r="CD206" s="41"/>
      <c r="CE206" s="41">
        <v>0.05</v>
      </c>
      <c r="CF206" s="41"/>
      <c r="CG206" s="41"/>
      <c r="CH206" s="41"/>
      <c r="CI206" s="41"/>
      <c r="CJ206" s="41"/>
      <c r="CK206" s="41"/>
      <c r="CL206" s="41">
        <v>0.4</v>
      </c>
      <c r="CM206" s="41"/>
      <c r="CN206" s="41">
        <v>0.05</v>
      </c>
      <c r="CO206" s="41"/>
      <c r="CP206" s="41">
        <v>0.05</v>
      </c>
      <c r="CQ206" s="41">
        <v>0.05</v>
      </c>
      <c r="CR206" s="41"/>
      <c r="CS206" s="41"/>
      <c r="CT206" s="41">
        <v>0.1</v>
      </c>
      <c r="CU206" s="41"/>
      <c r="CV206" s="41"/>
      <c r="CW206" s="41"/>
      <c r="CX206" s="41"/>
      <c r="CY206" s="41"/>
      <c r="CZ206" s="41"/>
      <c r="DA206" s="41"/>
      <c r="DB206" s="41"/>
      <c r="DC206" s="41"/>
      <c r="DD206" s="41"/>
      <c r="DE206" s="41"/>
      <c r="DF206" s="41"/>
      <c r="DG206" s="41"/>
      <c r="DH206" s="41"/>
      <c r="DI206" s="41"/>
      <c r="DJ206" s="41">
        <v>0.05</v>
      </c>
      <c r="DK206" s="41">
        <v>0.05</v>
      </c>
      <c r="DL206" s="41">
        <v>0.05</v>
      </c>
      <c r="DM206" s="41">
        <v>0.05</v>
      </c>
      <c r="DN206" s="41"/>
      <c r="DO206" s="41"/>
      <c r="DP206" s="41">
        <v>0.05</v>
      </c>
      <c r="DQ206" s="41"/>
      <c r="DR206" s="41">
        <v>0.05</v>
      </c>
      <c r="DS206" s="43"/>
      <c r="DT206" s="44">
        <f t="shared" ref="DT206" si="188">SUM(F206:DR206)</f>
        <v>1.0000000000000002</v>
      </c>
    </row>
    <row r="207" spans="2:124" s="13" customFormat="1">
      <c r="B207" s="4">
        <f>'6.1Personnel List'!B208</f>
        <v>195</v>
      </c>
      <c r="C207" s="45" t="s">
        <v>317</v>
      </c>
      <c r="D207" s="45" t="str">
        <f>'6.1Personnel List'!D208</f>
        <v>Medical Officer III</v>
      </c>
      <c r="E207" s="45" t="str">
        <f>'6.1Personnel List'!H208</f>
        <v>FT</v>
      </c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41"/>
      <c r="BB207" s="41"/>
      <c r="BC207" s="41"/>
      <c r="BD207" s="41"/>
      <c r="BE207" s="41"/>
      <c r="BF207" s="41"/>
      <c r="BG207" s="41"/>
      <c r="BH207" s="41"/>
      <c r="BJ207" s="41"/>
      <c r="BK207" s="41"/>
      <c r="BL207" s="41"/>
      <c r="BM207" s="41"/>
      <c r="BN207" s="41"/>
      <c r="BO207" s="41"/>
      <c r="BP207" s="41"/>
      <c r="BQ207" s="41"/>
      <c r="BR207" s="41"/>
      <c r="BS207" s="41"/>
      <c r="BT207" s="41"/>
      <c r="BU207" s="41"/>
      <c r="BV207" s="41"/>
      <c r="BW207" s="41"/>
      <c r="BX207" s="41"/>
      <c r="BY207" s="41"/>
      <c r="BZ207" s="41"/>
      <c r="CA207" s="41"/>
      <c r="CB207" s="41"/>
      <c r="CC207" s="41"/>
      <c r="CD207" s="41"/>
      <c r="CE207" s="41">
        <v>0.05</v>
      </c>
      <c r="CF207" s="41"/>
      <c r="CG207" s="41"/>
      <c r="CH207" s="41"/>
      <c r="CI207" s="41"/>
      <c r="CJ207" s="41"/>
      <c r="CK207" s="41"/>
      <c r="CL207" s="41">
        <v>0.4</v>
      </c>
      <c r="CM207" s="41"/>
      <c r="CN207" s="41">
        <v>0.05</v>
      </c>
      <c r="CO207" s="41"/>
      <c r="CP207" s="41">
        <v>0.05</v>
      </c>
      <c r="CQ207" s="41">
        <v>0.05</v>
      </c>
      <c r="CR207" s="41"/>
      <c r="CS207" s="41"/>
      <c r="CT207" s="41">
        <v>0.1</v>
      </c>
      <c r="CU207" s="41"/>
      <c r="CV207" s="41"/>
      <c r="CW207" s="41"/>
      <c r="CX207" s="41"/>
      <c r="CY207" s="41"/>
      <c r="CZ207" s="41"/>
      <c r="DA207" s="41"/>
      <c r="DB207" s="41"/>
      <c r="DC207" s="41"/>
      <c r="DD207" s="41"/>
      <c r="DE207" s="41"/>
      <c r="DF207" s="41"/>
      <c r="DG207" s="41"/>
      <c r="DH207" s="41"/>
      <c r="DI207" s="41"/>
      <c r="DJ207" s="41">
        <v>0.05</v>
      </c>
      <c r="DK207" s="41">
        <v>0.05</v>
      </c>
      <c r="DL207" s="41">
        <v>0.05</v>
      </c>
      <c r="DM207" s="41">
        <v>0.05</v>
      </c>
      <c r="DN207" s="41"/>
      <c r="DO207" s="41"/>
      <c r="DP207" s="41">
        <v>0.05</v>
      </c>
      <c r="DQ207" s="41"/>
      <c r="DR207" s="41">
        <v>0.05</v>
      </c>
      <c r="DS207" s="43"/>
      <c r="DT207" s="44">
        <f t="shared" ref="DT207" si="189">SUM(F207:DR207)</f>
        <v>1.0000000000000002</v>
      </c>
    </row>
    <row r="208" spans="2:124" s="13" customFormat="1">
      <c r="B208" s="4">
        <f>'6.1Personnel List'!B209</f>
        <v>196</v>
      </c>
      <c r="C208" s="45" t="s">
        <v>318</v>
      </c>
      <c r="D208" s="45" t="str">
        <f>'6.1Personnel List'!D209</f>
        <v>Medical Officer III</v>
      </c>
      <c r="E208" s="45" t="str">
        <f>'6.1Personnel List'!H209</f>
        <v>FT</v>
      </c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41"/>
      <c r="BB208" s="41"/>
      <c r="BC208" s="41"/>
      <c r="BD208" s="41"/>
      <c r="BE208" s="41"/>
      <c r="BF208" s="41"/>
      <c r="BG208" s="41"/>
      <c r="BH208" s="41"/>
      <c r="BJ208" s="41"/>
      <c r="BK208" s="41"/>
      <c r="BL208" s="41"/>
      <c r="BM208" s="41"/>
      <c r="BN208" s="41"/>
      <c r="BO208" s="41"/>
      <c r="BP208" s="41"/>
      <c r="BQ208" s="41"/>
      <c r="BR208" s="41"/>
      <c r="BS208" s="41"/>
      <c r="BT208" s="41"/>
      <c r="BU208" s="41"/>
      <c r="BV208" s="41"/>
      <c r="BW208" s="41"/>
      <c r="BX208" s="41"/>
      <c r="BY208" s="41"/>
      <c r="BZ208" s="41"/>
      <c r="CA208" s="41"/>
      <c r="CB208" s="41"/>
      <c r="CC208" s="41"/>
      <c r="CD208" s="41"/>
      <c r="CE208" s="41">
        <v>0.05</v>
      </c>
      <c r="CF208" s="41"/>
      <c r="CG208" s="41"/>
      <c r="CH208" s="41"/>
      <c r="CI208" s="41"/>
      <c r="CJ208" s="41"/>
      <c r="CK208" s="41"/>
      <c r="CL208" s="41">
        <v>0.4</v>
      </c>
      <c r="CM208" s="41"/>
      <c r="CN208" s="41">
        <v>0.05</v>
      </c>
      <c r="CO208" s="41"/>
      <c r="CP208" s="41">
        <v>0.05</v>
      </c>
      <c r="CQ208" s="41">
        <v>0.05</v>
      </c>
      <c r="CR208" s="41"/>
      <c r="CS208" s="41"/>
      <c r="CT208" s="41">
        <v>0.1</v>
      </c>
      <c r="CU208" s="41"/>
      <c r="CV208" s="41"/>
      <c r="CW208" s="41"/>
      <c r="CX208" s="41"/>
      <c r="CY208" s="41"/>
      <c r="CZ208" s="41"/>
      <c r="DA208" s="41"/>
      <c r="DB208" s="41"/>
      <c r="DC208" s="41"/>
      <c r="DD208" s="41"/>
      <c r="DE208" s="41"/>
      <c r="DF208" s="41"/>
      <c r="DG208" s="41"/>
      <c r="DH208" s="41"/>
      <c r="DI208" s="41"/>
      <c r="DJ208" s="41">
        <v>0.05</v>
      </c>
      <c r="DK208" s="41">
        <v>0.05</v>
      </c>
      <c r="DL208" s="41">
        <v>0.05</v>
      </c>
      <c r="DM208" s="41">
        <v>0.05</v>
      </c>
      <c r="DN208" s="41"/>
      <c r="DO208" s="41"/>
      <c r="DP208" s="41">
        <v>0.05</v>
      </c>
      <c r="DQ208" s="41"/>
      <c r="DR208" s="41">
        <v>0.05</v>
      </c>
      <c r="DS208" s="43"/>
      <c r="DT208" s="44">
        <f t="shared" ref="DT208" si="190">SUM(F208:DR208)</f>
        <v>1.0000000000000002</v>
      </c>
    </row>
    <row r="209" spans="2:124" s="13" customFormat="1">
      <c r="B209" s="4">
        <f>'6.1Personnel List'!B210</f>
        <v>197</v>
      </c>
      <c r="C209" s="45" t="s">
        <v>319</v>
      </c>
      <c r="D209" s="45" t="str">
        <f>'6.1Personnel List'!D210</f>
        <v>Medical Officer III</v>
      </c>
      <c r="E209" s="45" t="str">
        <f>'6.1Personnel List'!H210</f>
        <v>FT</v>
      </c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41"/>
      <c r="BB209" s="41"/>
      <c r="BC209" s="41"/>
      <c r="BD209" s="41"/>
      <c r="BE209" s="41"/>
      <c r="BF209" s="41"/>
      <c r="BG209" s="41"/>
      <c r="BH209" s="41"/>
      <c r="BJ209" s="41"/>
      <c r="BK209" s="41"/>
      <c r="BL209" s="41"/>
      <c r="BM209" s="41"/>
      <c r="BN209" s="41"/>
      <c r="BO209" s="41"/>
      <c r="BP209" s="41"/>
      <c r="BQ209" s="41"/>
      <c r="BR209" s="41"/>
      <c r="BS209" s="41"/>
      <c r="BT209" s="41"/>
      <c r="BU209" s="41"/>
      <c r="BV209" s="41"/>
      <c r="BW209" s="41"/>
      <c r="BX209" s="41"/>
      <c r="BY209" s="41"/>
      <c r="BZ209" s="41"/>
      <c r="CA209" s="41"/>
      <c r="CB209" s="41"/>
      <c r="CC209" s="41"/>
      <c r="CD209" s="41"/>
      <c r="CE209" s="41">
        <v>0.05</v>
      </c>
      <c r="CF209" s="41"/>
      <c r="CG209" s="41"/>
      <c r="CH209" s="41"/>
      <c r="CI209" s="41"/>
      <c r="CJ209" s="41"/>
      <c r="CK209" s="41"/>
      <c r="CL209" s="41">
        <v>0.4</v>
      </c>
      <c r="CM209" s="41"/>
      <c r="CN209" s="41">
        <v>0.05</v>
      </c>
      <c r="CO209" s="41"/>
      <c r="CP209" s="41">
        <v>0.05</v>
      </c>
      <c r="CQ209" s="41">
        <v>0.05</v>
      </c>
      <c r="CR209" s="41"/>
      <c r="CS209" s="41"/>
      <c r="CT209" s="41">
        <v>0.1</v>
      </c>
      <c r="CU209" s="41"/>
      <c r="CV209" s="41"/>
      <c r="CW209" s="41"/>
      <c r="CX209" s="41"/>
      <c r="CY209" s="41"/>
      <c r="CZ209" s="41"/>
      <c r="DA209" s="41"/>
      <c r="DB209" s="41"/>
      <c r="DC209" s="41"/>
      <c r="DD209" s="41"/>
      <c r="DE209" s="41"/>
      <c r="DF209" s="41"/>
      <c r="DG209" s="41"/>
      <c r="DH209" s="41"/>
      <c r="DI209" s="41"/>
      <c r="DJ209" s="41">
        <v>0.05</v>
      </c>
      <c r="DK209" s="41">
        <v>0.05</v>
      </c>
      <c r="DL209" s="41">
        <v>0.05</v>
      </c>
      <c r="DM209" s="41">
        <v>0.05</v>
      </c>
      <c r="DN209" s="41"/>
      <c r="DO209" s="41"/>
      <c r="DP209" s="41">
        <v>0.05</v>
      </c>
      <c r="DQ209" s="41"/>
      <c r="DR209" s="41">
        <v>0.05</v>
      </c>
      <c r="DS209" s="43"/>
      <c r="DT209" s="44">
        <f t="shared" ref="DT209" si="191">SUM(F209:DR209)</f>
        <v>1.0000000000000002</v>
      </c>
    </row>
    <row r="210" spans="2:124" s="13" customFormat="1">
      <c r="B210" s="4">
        <f>'6.1Personnel List'!B211</f>
        <v>198</v>
      </c>
      <c r="C210" s="45" t="s">
        <v>320</v>
      </c>
      <c r="D210" s="45" t="str">
        <f>'6.1Personnel List'!D211</f>
        <v>Medical Officer III</v>
      </c>
      <c r="E210" s="45" t="str">
        <f>'6.1Personnel List'!H211</f>
        <v>FT</v>
      </c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41"/>
      <c r="BB210" s="41"/>
      <c r="BC210" s="41"/>
      <c r="BD210" s="41"/>
      <c r="BE210" s="41"/>
      <c r="BF210" s="41"/>
      <c r="BG210" s="41"/>
      <c r="BH210" s="41"/>
      <c r="BJ210" s="41"/>
      <c r="BK210" s="41"/>
      <c r="BL210" s="41"/>
      <c r="BM210" s="41"/>
      <c r="BN210" s="41"/>
      <c r="BO210" s="41"/>
      <c r="BP210" s="41"/>
      <c r="BQ210" s="41"/>
      <c r="BR210" s="41"/>
      <c r="BS210" s="41"/>
      <c r="BT210" s="41"/>
      <c r="BU210" s="41"/>
      <c r="BV210" s="41"/>
      <c r="BW210" s="41"/>
      <c r="BX210" s="41"/>
      <c r="BY210" s="41"/>
      <c r="BZ210" s="41"/>
      <c r="CA210" s="41"/>
      <c r="CB210" s="41"/>
      <c r="CC210" s="41"/>
      <c r="CD210" s="41"/>
      <c r="CE210" s="41">
        <v>0.05</v>
      </c>
      <c r="CF210" s="41"/>
      <c r="CG210" s="41"/>
      <c r="CH210" s="41"/>
      <c r="CI210" s="41"/>
      <c r="CJ210" s="41"/>
      <c r="CK210" s="41"/>
      <c r="CL210" s="41">
        <v>0.4</v>
      </c>
      <c r="CM210" s="41"/>
      <c r="CN210" s="41">
        <v>0.05</v>
      </c>
      <c r="CO210" s="41"/>
      <c r="CP210" s="41">
        <v>0.05</v>
      </c>
      <c r="CQ210" s="41">
        <v>0.05</v>
      </c>
      <c r="CR210" s="41"/>
      <c r="CS210" s="41"/>
      <c r="CT210" s="41">
        <v>0.1</v>
      </c>
      <c r="CU210" s="41"/>
      <c r="CV210" s="41"/>
      <c r="CW210" s="41"/>
      <c r="CX210" s="41"/>
      <c r="CY210" s="41"/>
      <c r="CZ210" s="41"/>
      <c r="DA210" s="41"/>
      <c r="DB210" s="41"/>
      <c r="DC210" s="41"/>
      <c r="DD210" s="41"/>
      <c r="DE210" s="41"/>
      <c r="DF210" s="41"/>
      <c r="DG210" s="41"/>
      <c r="DH210" s="41"/>
      <c r="DI210" s="41"/>
      <c r="DJ210" s="41">
        <v>0.05</v>
      </c>
      <c r="DK210" s="41">
        <v>0.05</v>
      </c>
      <c r="DL210" s="41">
        <v>0.05</v>
      </c>
      <c r="DM210" s="41">
        <v>0.05</v>
      </c>
      <c r="DN210" s="41"/>
      <c r="DO210" s="41"/>
      <c r="DP210" s="41">
        <v>0.05</v>
      </c>
      <c r="DQ210" s="41"/>
      <c r="DR210" s="41">
        <v>0.05</v>
      </c>
      <c r="DS210" s="43"/>
      <c r="DT210" s="44">
        <f t="shared" ref="DT210" si="192">SUM(F210:DR210)</f>
        <v>1.0000000000000002</v>
      </c>
    </row>
    <row r="211" spans="2:124" s="13" customFormat="1">
      <c r="B211" s="4">
        <f>'6.1Personnel List'!B212</f>
        <v>199</v>
      </c>
      <c r="C211" s="45" t="s">
        <v>321</v>
      </c>
      <c r="D211" s="45" t="str">
        <f>'6.1Personnel List'!D212</f>
        <v>Medical Officer III</v>
      </c>
      <c r="E211" s="45" t="str">
        <f>'6.1Personnel List'!H212</f>
        <v>FT</v>
      </c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41"/>
      <c r="BB211" s="41"/>
      <c r="BC211" s="41"/>
      <c r="BD211" s="41"/>
      <c r="BE211" s="41"/>
      <c r="BF211" s="41"/>
      <c r="BG211" s="41"/>
      <c r="BH211" s="41"/>
      <c r="BJ211" s="41"/>
      <c r="BK211" s="41"/>
      <c r="BL211" s="41"/>
      <c r="BM211" s="41"/>
      <c r="BN211" s="41"/>
      <c r="BO211" s="41"/>
      <c r="BP211" s="41"/>
      <c r="BQ211" s="41"/>
      <c r="BR211" s="41"/>
      <c r="BS211" s="41"/>
      <c r="BT211" s="41"/>
      <c r="BU211" s="41"/>
      <c r="BV211" s="41"/>
      <c r="BW211" s="41"/>
      <c r="BX211" s="41"/>
      <c r="BY211" s="41"/>
      <c r="BZ211" s="41"/>
      <c r="CA211" s="41"/>
      <c r="CB211" s="41"/>
      <c r="CC211" s="41"/>
      <c r="CD211" s="41"/>
      <c r="CE211" s="41">
        <v>0.05</v>
      </c>
      <c r="CF211" s="41"/>
      <c r="CG211" s="41"/>
      <c r="CH211" s="41"/>
      <c r="CI211" s="41"/>
      <c r="CJ211" s="41"/>
      <c r="CK211" s="41"/>
      <c r="CL211" s="41">
        <v>0.4</v>
      </c>
      <c r="CM211" s="41"/>
      <c r="CN211" s="41">
        <v>0.05</v>
      </c>
      <c r="CO211" s="41"/>
      <c r="CP211" s="41">
        <v>0.05</v>
      </c>
      <c r="CQ211" s="41">
        <v>0.05</v>
      </c>
      <c r="CR211" s="41"/>
      <c r="CS211" s="41"/>
      <c r="CT211" s="41">
        <v>0.1</v>
      </c>
      <c r="CU211" s="41"/>
      <c r="CV211" s="41"/>
      <c r="CW211" s="41"/>
      <c r="CX211" s="41"/>
      <c r="CY211" s="41"/>
      <c r="CZ211" s="41"/>
      <c r="DA211" s="41"/>
      <c r="DB211" s="41"/>
      <c r="DC211" s="41"/>
      <c r="DD211" s="41"/>
      <c r="DE211" s="41"/>
      <c r="DF211" s="41"/>
      <c r="DG211" s="41"/>
      <c r="DH211" s="41"/>
      <c r="DI211" s="41"/>
      <c r="DJ211" s="41">
        <v>0.05</v>
      </c>
      <c r="DK211" s="41">
        <v>0.05</v>
      </c>
      <c r="DL211" s="41">
        <v>0.05</v>
      </c>
      <c r="DM211" s="41">
        <v>0.05</v>
      </c>
      <c r="DN211" s="41"/>
      <c r="DO211" s="41"/>
      <c r="DP211" s="41">
        <v>0.05</v>
      </c>
      <c r="DQ211" s="41"/>
      <c r="DR211" s="41">
        <v>0.05</v>
      </c>
      <c r="DS211" s="43"/>
      <c r="DT211" s="44">
        <f t="shared" ref="DT211" si="193">SUM(F211:DR211)</f>
        <v>1.0000000000000002</v>
      </c>
    </row>
    <row r="212" spans="2:124" s="13" customFormat="1">
      <c r="B212" s="4">
        <f>'6.1Personnel List'!B213</f>
        <v>200</v>
      </c>
      <c r="C212" s="45" t="s">
        <v>322</v>
      </c>
      <c r="D212" s="45" t="str">
        <f>'6.1Personnel List'!D213</f>
        <v>Medical Officer III</v>
      </c>
      <c r="E212" s="45" t="str">
        <f>'6.1Personnel List'!H213</f>
        <v>FT</v>
      </c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41"/>
      <c r="BB212" s="41"/>
      <c r="BC212" s="41"/>
      <c r="BD212" s="41"/>
      <c r="BE212" s="41"/>
      <c r="BF212" s="41"/>
      <c r="BG212" s="41"/>
      <c r="BH212" s="41"/>
      <c r="BJ212" s="41"/>
      <c r="BK212" s="41"/>
      <c r="BL212" s="41"/>
      <c r="BM212" s="41"/>
      <c r="BN212" s="41"/>
      <c r="BO212" s="41"/>
      <c r="BP212" s="41"/>
      <c r="BQ212" s="41"/>
      <c r="BR212" s="41"/>
      <c r="BS212" s="41"/>
      <c r="BT212" s="41"/>
      <c r="BU212" s="41"/>
      <c r="BV212" s="41"/>
      <c r="BW212" s="41"/>
      <c r="BX212" s="41"/>
      <c r="BY212" s="41"/>
      <c r="BZ212" s="41"/>
      <c r="CA212" s="41"/>
      <c r="CB212" s="41"/>
      <c r="CC212" s="41"/>
      <c r="CD212" s="41"/>
      <c r="CE212" s="41">
        <v>0.05</v>
      </c>
      <c r="CF212" s="41"/>
      <c r="CG212" s="41"/>
      <c r="CH212" s="41"/>
      <c r="CI212" s="41"/>
      <c r="CJ212" s="41"/>
      <c r="CK212" s="41"/>
      <c r="CL212" s="41">
        <v>0.4</v>
      </c>
      <c r="CM212" s="41"/>
      <c r="CN212" s="41">
        <v>0.05</v>
      </c>
      <c r="CO212" s="41"/>
      <c r="CP212" s="41">
        <v>0.05</v>
      </c>
      <c r="CQ212" s="41">
        <v>0.05</v>
      </c>
      <c r="CR212" s="41"/>
      <c r="CS212" s="41"/>
      <c r="CT212" s="41">
        <v>0.1</v>
      </c>
      <c r="CU212" s="41"/>
      <c r="CV212" s="41"/>
      <c r="CW212" s="41"/>
      <c r="CX212" s="41"/>
      <c r="CY212" s="41"/>
      <c r="CZ212" s="41"/>
      <c r="DA212" s="41"/>
      <c r="DB212" s="41"/>
      <c r="DC212" s="41"/>
      <c r="DD212" s="41"/>
      <c r="DE212" s="41"/>
      <c r="DF212" s="41"/>
      <c r="DG212" s="41"/>
      <c r="DH212" s="41"/>
      <c r="DI212" s="41"/>
      <c r="DJ212" s="41">
        <v>0.05</v>
      </c>
      <c r="DK212" s="41">
        <v>0.05</v>
      </c>
      <c r="DL212" s="41">
        <v>0.05</v>
      </c>
      <c r="DM212" s="41">
        <v>0.05</v>
      </c>
      <c r="DN212" s="41"/>
      <c r="DO212" s="41"/>
      <c r="DP212" s="41">
        <v>0.05</v>
      </c>
      <c r="DQ212" s="41"/>
      <c r="DR212" s="41">
        <v>0.05</v>
      </c>
      <c r="DS212" s="43"/>
      <c r="DT212" s="44">
        <f t="shared" ref="DT212" si="194">SUM(F212:DR212)</f>
        <v>1.0000000000000002</v>
      </c>
    </row>
    <row r="213" spans="2:124" s="13" customFormat="1">
      <c r="B213" s="4">
        <f>'6.1Personnel List'!B214</f>
        <v>201</v>
      </c>
      <c r="C213" s="45" t="s">
        <v>323</v>
      </c>
      <c r="D213" s="45" t="str">
        <f>'6.1Personnel List'!D214</f>
        <v>Medical Officer III</v>
      </c>
      <c r="E213" s="45" t="str">
        <f>'6.1Personnel List'!H214</f>
        <v>FT</v>
      </c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41"/>
      <c r="BB213" s="41"/>
      <c r="BC213" s="41"/>
      <c r="BD213" s="41"/>
      <c r="BE213" s="41"/>
      <c r="BF213" s="41"/>
      <c r="BG213" s="41"/>
      <c r="BH213" s="41"/>
      <c r="BJ213" s="41"/>
      <c r="BK213" s="41"/>
      <c r="BL213" s="41"/>
      <c r="BM213" s="41"/>
      <c r="BN213" s="41"/>
      <c r="BO213" s="41"/>
      <c r="BP213" s="41"/>
      <c r="BQ213" s="41"/>
      <c r="BR213" s="41"/>
      <c r="BS213" s="41"/>
      <c r="BT213" s="41"/>
      <c r="BU213" s="41"/>
      <c r="BV213" s="41"/>
      <c r="BW213" s="41"/>
      <c r="BX213" s="41"/>
      <c r="BY213" s="41"/>
      <c r="BZ213" s="41"/>
      <c r="CA213" s="41"/>
      <c r="CB213" s="41"/>
      <c r="CC213" s="41"/>
      <c r="CD213" s="41"/>
      <c r="CE213" s="41">
        <v>0.05</v>
      </c>
      <c r="CF213" s="41"/>
      <c r="CG213" s="41"/>
      <c r="CH213" s="41"/>
      <c r="CI213" s="41"/>
      <c r="CJ213" s="41"/>
      <c r="CK213" s="41"/>
      <c r="CL213" s="41">
        <v>0.4</v>
      </c>
      <c r="CM213" s="41"/>
      <c r="CN213" s="41">
        <v>0.05</v>
      </c>
      <c r="CO213" s="41"/>
      <c r="CP213" s="41">
        <v>0.05</v>
      </c>
      <c r="CQ213" s="41">
        <v>0.05</v>
      </c>
      <c r="CR213" s="41"/>
      <c r="CS213" s="41"/>
      <c r="CT213" s="41">
        <v>0.1</v>
      </c>
      <c r="CU213" s="41"/>
      <c r="CV213" s="41"/>
      <c r="CW213" s="41"/>
      <c r="CX213" s="41"/>
      <c r="CY213" s="41"/>
      <c r="CZ213" s="41"/>
      <c r="DA213" s="41"/>
      <c r="DB213" s="41"/>
      <c r="DC213" s="41"/>
      <c r="DD213" s="41"/>
      <c r="DE213" s="41"/>
      <c r="DF213" s="41"/>
      <c r="DG213" s="41"/>
      <c r="DH213" s="41"/>
      <c r="DI213" s="41"/>
      <c r="DJ213" s="41">
        <v>0.05</v>
      </c>
      <c r="DK213" s="41">
        <v>0.05</v>
      </c>
      <c r="DL213" s="41">
        <v>0.05</v>
      </c>
      <c r="DM213" s="41">
        <v>0.05</v>
      </c>
      <c r="DN213" s="41"/>
      <c r="DO213" s="41"/>
      <c r="DP213" s="41">
        <v>0.05</v>
      </c>
      <c r="DQ213" s="41"/>
      <c r="DR213" s="41">
        <v>0.05</v>
      </c>
      <c r="DS213" s="43"/>
      <c r="DT213" s="44">
        <f t="shared" ref="DT213" si="195">SUM(F213:DR213)</f>
        <v>1.0000000000000002</v>
      </c>
    </row>
    <row r="214" spans="2:124" s="13" customFormat="1">
      <c r="B214" s="4">
        <f>'6.1Personnel List'!B215</f>
        <v>202</v>
      </c>
      <c r="C214" s="45" t="s">
        <v>324</v>
      </c>
      <c r="D214" s="45" t="str">
        <f>'6.1Personnel List'!D215</f>
        <v>Medical Officer III</v>
      </c>
      <c r="E214" s="45" t="str">
        <f>'6.1Personnel List'!H215</f>
        <v>FT</v>
      </c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41"/>
      <c r="BB214" s="41"/>
      <c r="BC214" s="41"/>
      <c r="BD214" s="41"/>
      <c r="BE214" s="41"/>
      <c r="BF214" s="41"/>
      <c r="BG214" s="41"/>
      <c r="BH214" s="41"/>
      <c r="BJ214" s="41"/>
      <c r="BK214" s="41"/>
      <c r="BL214" s="41"/>
      <c r="BM214" s="41"/>
      <c r="BN214" s="41"/>
      <c r="BO214" s="41"/>
      <c r="BP214" s="41"/>
      <c r="BQ214" s="41"/>
      <c r="BR214" s="41"/>
      <c r="BS214" s="41"/>
      <c r="BT214" s="41"/>
      <c r="BU214" s="41"/>
      <c r="BV214" s="41"/>
      <c r="BW214" s="41"/>
      <c r="BX214" s="41"/>
      <c r="BY214" s="41"/>
      <c r="BZ214" s="41"/>
      <c r="CA214" s="41"/>
      <c r="CB214" s="41"/>
      <c r="CC214" s="41"/>
      <c r="CD214" s="41"/>
      <c r="CE214" s="41">
        <v>0.05</v>
      </c>
      <c r="CF214" s="41"/>
      <c r="CG214" s="41"/>
      <c r="CH214" s="41"/>
      <c r="CI214" s="41"/>
      <c r="CJ214" s="41"/>
      <c r="CK214" s="41"/>
      <c r="CL214" s="41">
        <v>0.4</v>
      </c>
      <c r="CM214" s="41"/>
      <c r="CN214" s="41">
        <v>0.05</v>
      </c>
      <c r="CO214" s="41"/>
      <c r="CP214" s="41">
        <v>0.05</v>
      </c>
      <c r="CQ214" s="41">
        <v>0.05</v>
      </c>
      <c r="CR214" s="41"/>
      <c r="CS214" s="41"/>
      <c r="CT214" s="41">
        <v>0.1</v>
      </c>
      <c r="CU214" s="41"/>
      <c r="CV214" s="41"/>
      <c r="CW214" s="41"/>
      <c r="CX214" s="41"/>
      <c r="CY214" s="41"/>
      <c r="CZ214" s="41"/>
      <c r="DA214" s="41"/>
      <c r="DB214" s="41"/>
      <c r="DC214" s="41"/>
      <c r="DD214" s="41"/>
      <c r="DE214" s="41"/>
      <c r="DF214" s="41"/>
      <c r="DG214" s="41"/>
      <c r="DH214" s="41"/>
      <c r="DI214" s="41"/>
      <c r="DJ214" s="41">
        <v>0.05</v>
      </c>
      <c r="DK214" s="41">
        <v>0.05</v>
      </c>
      <c r="DL214" s="41">
        <v>0.05</v>
      </c>
      <c r="DM214" s="41">
        <v>0.05</v>
      </c>
      <c r="DN214" s="41"/>
      <c r="DO214" s="41"/>
      <c r="DP214" s="41">
        <v>0.05</v>
      </c>
      <c r="DQ214" s="41"/>
      <c r="DR214" s="41">
        <v>0.05</v>
      </c>
      <c r="DS214" s="43"/>
      <c r="DT214" s="44">
        <f t="shared" ref="DT214" si="196">SUM(F214:DR214)</f>
        <v>1.0000000000000002</v>
      </c>
    </row>
    <row r="215" spans="2:124" s="13" customFormat="1">
      <c r="B215" s="4">
        <f>'6.1Personnel List'!B216</f>
        <v>203</v>
      </c>
      <c r="C215" s="45" t="s">
        <v>325</v>
      </c>
      <c r="D215" s="45" t="str">
        <f>'6.1Personnel List'!D216</f>
        <v>Medical Officer III</v>
      </c>
      <c r="E215" s="45" t="str">
        <f>'6.1Personnel List'!H216</f>
        <v>FT</v>
      </c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41"/>
      <c r="BB215" s="41"/>
      <c r="BC215" s="41"/>
      <c r="BD215" s="41"/>
      <c r="BE215" s="41"/>
      <c r="BF215" s="41"/>
      <c r="BG215" s="41"/>
      <c r="BH215" s="41"/>
      <c r="BJ215" s="41"/>
      <c r="BK215" s="41"/>
      <c r="BL215" s="41"/>
      <c r="BM215" s="41"/>
      <c r="BN215" s="41"/>
      <c r="BO215" s="41"/>
      <c r="BP215" s="41"/>
      <c r="BQ215" s="41"/>
      <c r="BR215" s="41"/>
      <c r="BS215" s="41"/>
      <c r="BT215" s="41"/>
      <c r="BU215" s="41"/>
      <c r="BV215" s="41"/>
      <c r="BW215" s="41"/>
      <c r="BX215" s="41"/>
      <c r="BY215" s="41"/>
      <c r="BZ215" s="41"/>
      <c r="CA215" s="41"/>
      <c r="CB215" s="41"/>
      <c r="CC215" s="41"/>
      <c r="CD215" s="41"/>
      <c r="CE215" s="41">
        <v>0.05</v>
      </c>
      <c r="CF215" s="41"/>
      <c r="CG215" s="41"/>
      <c r="CH215" s="41"/>
      <c r="CI215" s="41"/>
      <c r="CJ215" s="41"/>
      <c r="CK215" s="41"/>
      <c r="CL215" s="41">
        <v>0.4</v>
      </c>
      <c r="CM215" s="41"/>
      <c r="CN215" s="41">
        <v>0.05</v>
      </c>
      <c r="CO215" s="41"/>
      <c r="CP215" s="41">
        <v>0.05</v>
      </c>
      <c r="CQ215" s="41">
        <v>0.05</v>
      </c>
      <c r="CR215" s="41"/>
      <c r="CS215" s="41"/>
      <c r="CT215" s="41">
        <v>0.1</v>
      </c>
      <c r="CU215" s="41"/>
      <c r="CV215" s="41"/>
      <c r="CW215" s="41"/>
      <c r="CX215" s="41"/>
      <c r="CY215" s="41"/>
      <c r="CZ215" s="41"/>
      <c r="DA215" s="41"/>
      <c r="DB215" s="41"/>
      <c r="DC215" s="41"/>
      <c r="DD215" s="41"/>
      <c r="DE215" s="41"/>
      <c r="DF215" s="41"/>
      <c r="DG215" s="41"/>
      <c r="DH215" s="41"/>
      <c r="DI215" s="41"/>
      <c r="DJ215" s="41">
        <v>0.05</v>
      </c>
      <c r="DK215" s="41">
        <v>0.05</v>
      </c>
      <c r="DL215" s="41">
        <v>0.05</v>
      </c>
      <c r="DM215" s="41">
        <v>0.05</v>
      </c>
      <c r="DN215" s="41"/>
      <c r="DO215" s="41"/>
      <c r="DP215" s="41">
        <v>0.05</v>
      </c>
      <c r="DQ215" s="41"/>
      <c r="DR215" s="41">
        <v>0.05</v>
      </c>
      <c r="DS215" s="43"/>
      <c r="DT215" s="44">
        <f t="shared" ref="DT215" si="197">SUM(F215:DR215)</f>
        <v>1.0000000000000002</v>
      </c>
    </row>
    <row r="216" spans="2:124" s="13" customFormat="1">
      <c r="B216" s="4">
        <f>'6.1Personnel List'!B217</f>
        <v>204</v>
      </c>
      <c r="C216" s="45" t="s">
        <v>326</v>
      </c>
      <c r="D216" s="45" t="str">
        <f>'6.1Personnel List'!D217</f>
        <v>Medical Officer III</v>
      </c>
      <c r="E216" s="45" t="str">
        <f>'6.1Personnel List'!H217</f>
        <v>FT</v>
      </c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41"/>
      <c r="BB216" s="41"/>
      <c r="BC216" s="41"/>
      <c r="BD216" s="41"/>
      <c r="BE216" s="41"/>
      <c r="BF216" s="41"/>
      <c r="BG216" s="41"/>
      <c r="BH216" s="41"/>
      <c r="BJ216" s="41"/>
      <c r="BK216" s="41"/>
      <c r="BL216" s="41"/>
      <c r="BM216" s="41"/>
      <c r="BN216" s="41"/>
      <c r="BO216" s="41"/>
      <c r="BP216" s="41"/>
      <c r="BQ216" s="41"/>
      <c r="BR216" s="41"/>
      <c r="BS216" s="41"/>
      <c r="BT216" s="41"/>
      <c r="BU216" s="41"/>
      <c r="BV216" s="41"/>
      <c r="BW216" s="41"/>
      <c r="BX216" s="41"/>
      <c r="BY216" s="41"/>
      <c r="BZ216" s="41"/>
      <c r="CA216" s="41"/>
      <c r="CB216" s="41"/>
      <c r="CC216" s="41"/>
      <c r="CD216" s="41"/>
      <c r="CE216" s="41">
        <v>0.05</v>
      </c>
      <c r="CF216" s="41"/>
      <c r="CG216" s="41"/>
      <c r="CH216" s="41"/>
      <c r="CI216" s="41"/>
      <c r="CJ216" s="41"/>
      <c r="CK216" s="41"/>
      <c r="CL216" s="41">
        <v>0.4</v>
      </c>
      <c r="CM216" s="41"/>
      <c r="CN216" s="41">
        <v>0.05</v>
      </c>
      <c r="CO216" s="41"/>
      <c r="CP216" s="41">
        <v>0.05</v>
      </c>
      <c r="CQ216" s="41">
        <v>0.05</v>
      </c>
      <c r="CR216" s="41"/>
      <c r="CS216" s="41"/>
      <c r="CT216" s="41">
        <v>0.1</v>
      </c>
      <c r="CU216" s="41"/>
      <c r="CV216" s="41"/>
      <c r="CW216" s="41"/>
      <c r="CX216" s="41"/>
      <c r="CY216" s="41"/>
      <c r="CZ216" s="41"/>
      <c r="DA216" s="41"/>
      <c r="DB216" s="41"/>
      <c r="DC216" s="41"/>
      <c r="DD216" s="41"/>
      <c r="DE216" s="41"/>
      <c r="DF216" s="41"/>
      <c r="DG216" s="41"/>
      <c r="DH216" s="41"/>
      <c r="DI216" s="41"/>
      <c r="DJ216" s="41">
        <v>0.05</v>
      </c>
      <c r="DK216" s="41">
        <v>0.05</v>
      </c>
      <c r="DL216" s="41">
        <v>0.05</v>
      </c>
      <c r="DM216" s="41">
        <v>0.05</v>
      </c>
      <c r="DN216" s="41"/>
      <c r="DO216" s="41"/>
      <c r="DP216" s="41">
        <v>0.05</v>
      </c>
      <c r="DQ216" s="41"/>
      <c r="DR216" s="41">
        <v>0.05</v>
      </c>
      <c r="DS216" s="43"/>
      <c r="DT216" s="44">
        <f t="shared" ref="DT216" si="198">SUM(F216:DR216)</f>
        <v>1.0000000000000002</v>
      </c>
    </row>
    <row r="217" spans="2:124" s="13" customFormat="1">
      <c r="B217" s="4">
        <f>'6.1Personnel List'!B218</f>
        <v>205</v>
      </c>
      <c r="C217" s="45" t="s">
        <v>327</v>
      </c>
      <c r="D217" s="45" t="str">
        <f>'6.1Personnel List'!D218</f>
        <v>Medical Specialist III - Chairman</v>
      </c>
      <c r="E217" s="45" t="str">
        <f>'6.1Personnel List'!H218</f>
        <v>FT</v>
      </c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41"/>
      <c r="BB217" s="41"/>
      <c r="BC217" s="41"/>
      <c r="BD217" s="41"/>
      <c r="BE217" s="41"/>
      <c r="BF217" s="41"/>
      <c r="BG217" s="41"/>
      <c r="BH217" s="41"/>
      <c r="BJ217" s="41"/>
      <c r="BK217" s="41"/>
      <c r="BL217" s="41"/>
      <c r="BM217" s="41"/>
      <c r="BN217" s="41"/>
      <c r="BO217" s="41"/>
      <c r="BP217" s="41"/>
      <c r="BQ217" s="41"/>
      <c r="BR217" s="41"/>
      <c r="BS217" s="41"/>
      <c r="BT217" s="41"/>
      <c r="BU217" s="41"/>
      <c r="BV217" s="41"/>
      <c r="BW217" s="41"/>
      <c r="BX217" s="41"/>
      <c r="BY217" s="41"/>
      <c r="BZ217" s="41"/>
      <c r="CA217" s="41"/>
      <c r="CB217" s="41"/>
      <c r="CC217" s="41"/>
      <c r="CD217" s="41"/>
      <c r="CE217" s="41"/>
      <c r="CF217" s="41"/>
      <c r="CG217" s="41"/>
      <c r="CH217" s="41"/>
      <c r="CI217" s="41"/>
      <c r="CJ217" s="41"/>
      <c r="CK217" s="41"/>
      <c r="CL217" s="41"/>
      <c r="CM217" s="41"/>
      <c r="CN217" s="41"/>
      <c r="CO217" s="41"/>
      <c r="CP217" s="41"/>
      <c r="CQ217" s="41"/>
      <c r="CR217" s="41"/>
      <c r="CS217" s="41"/>
      <c r="CT217" s="41">
        <v>0.2</v>
      </c>
      <c r="CU217" s="41"/>
      <c r="CV217" s="41"/>
      <c r="CW217" s="41"/>
      <c r="CX217" s="41"/>
      <c r="CY217" s="41"/>
      <c r="CZ217" s="41"/>
      <c r="DA217" s="41"/>
      <c r="DB217" s="41"/>
      <c r="DC217" s="41"/>
      <c r="DD217" s="41">
        <v>0.8</v>
      </c>
      <c r="DE217" s="41"/>
      <c r="DF217" s="41"/>
      <c r="DG217" s="41"/>
      <c r="DH217" s="41"/>
      <c r="DI217" s="41"/>
      <c r="DJ217" s="41"/>
      <c r="DK217" s="41"/>
      <c r="DL217" s="41"/>
      <c r="DM217" s="41"/>
      <c r="DN217" s="41"/>
      <c r="DO217" s="41"/>
      <c r="DP217" s="41"/>
      <c r="DQ217" s="41"/>
      <c r="DR217" s="41"/>
      <c r="DS217" s="43"/>
      <c r="DT217" s="44">
        <f t="shared" ref="DT217" si="199">SUM(F217:DR217)</f>
        <v>1</v>
      </c>
    </row>
    <row r="218" spans="2:124" s="13" customFormat="1">
      <c r="B218" s="4">
        <f>'6.1Personnel List'!B219</f>
        <v>206</v>
      </c>
      <c r="C218" s="45" t="s">
        <v>328</v>
      </c>
      <c r="D218" s="45" t="str">
        <f>'6.1Personnel List'!D219</f>
        <v>Medical Specialist III (P.T.)</v>
      </c>
      <c r="E218" s="45" t="str">
        <f>'6.1Personnel List'!H219</f>
        <v>PT</v>
      </c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41"/>
      <c r="BB218" s="41"/>
      <c r="BC218" s="41"/>
      <c r="BD218" s="41"/>
      <c r="BE218" s="41"/>
      <c r="BF218" s="41"/>
      <c r="BG218" s="41"/>
      <c r="BH218" s="41"/>
      <c r="BJ218" s="41"/>
      <c r="BK218" s="41"/>
      <c r="BL218" s="41"/>
      <c r="BM218" s="41"/>
      <c r="BN218" s="41"/>
      <c r="BO218" s="41"/>
      <c r="BP218" s="41"/>
      <c r="BQ218" s="41"/>
      <c r="BR218" s="41"/>
      <c r="BS218" s="41"/>
      <c r="BT218" s="41"/>
      <c r="BU218" s="41"/>
      <c r="BV218" s="41"/>
      <c r="BW218" s="41"/>
      <c r="BX218" s="41"/>
      <c r="BY218" s="41"/>
      <c r="BZ218" s="41"/>
      <c r="CA218" s="41"/>
      <c r="CB218" s="41"/>
      <c r="CC218" s="41"/>
      <c r="CD218" s="41"/>
      <c r="CE218" s="41"/>
      <c r="CF218" s="41"/>
      <c r="CG218" s="41"/>
      <c r="CH218" s="41"/>
      <c r="CI218" s="41"/>
      <c r="CJ218" s="41"/>
      <c r="CK218" s="41"/>
      <c r="CL218" s="41"/>
      <c r="CM218" s="41"/>
      <c r="CN218" s="41"/>
      <c r="CO218" s="41"/>
      <c r="CP218" s="41"/>
      <c r="CQ218" s="41"/>
      <c r="CR218" s="41"/>
      <c r="CS218" s="41"/>
      <c r="CT218" s="41">
        <v>0.2</v>
      </c>
      <c r="CU218" s="41"/>
      <c r="CV218" s="41"/>
      <c r="CW218" s="41"/>
      <c r="CX218" s="41"/>
      <c r="CY218" s="41"/>
      <c r="CZ218" s="41"/>
      <c r="DA218" s="41"/>
      <c r="DB218" s="41"/>
      <c r="DC218" s="41"/>
      <c r="DD218" s="41">
        <v>0.8</v>
      </c>
      <c r="DE218" s="41"/>
      <c r="DF218" s="41"/>
      <c r="DG218" s="41"/>
      <c r="DH218" s="41"/>
      <c r="DI218" s="41"/>
      <c r="DJ218" s="41"/>
      <c r="DK218" s="41"/>
      <c r="DL218" s="41"/>
      <c r="DM218" s="41"/>
      <c r="DN218" s="41"/>
      <c r="DO218" s="41"/>
      <c r="DP218" s="41"/>
      <c r="DQ218" s="41"/>
      <c r="DR218" s="41"/>
      <c r="DS218" s="43"/>
      <c r="DT218" s="44">
        <f t="shared" ref="DT218" si="200">SUM(F218:DR218)</f>
        <v>1</v>
      </c>
    </row>
    <row r="219" spans="2:124" s="13" customFormat="1">
      <c r="B219" s="4">
        <f>'6.1Personnel List'!B220</f>
        <v>207</v>
      </c>
      <c r="C219" s="45" t="s">
        <v>329</v>
      </c>
      <c r="D219" s="45" t="str">
        <f>'6.1Personnel List'!D220</f>
        <v>Medical Specialist II (P.T.)</v>
      </c>
      <c r="E219" s="45" t="str">
        <f>'6.1Personnel List'!H220</f>
        <v>PT</v>
      </c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41"/>
      <c r="BB219" s="41"/>
      <c r="BC219" s="41"/>
      <c r="BD219" s="41"/>
      <c r="BE219" s="41"/>
      <c r="BF219" s="41"/>
      <c r="BG219" s="41"/>
      <c r="BH219" s="41"/>
      <c r="BJ219" s="41"/>
      <c r="BK219" s="41"/>
      <c r="BL219" s="41"/>
      <c r="BM219" s="41"/>
      <c r="BN219" s="41"/>
      <c r="BO219" s="41"/>
      <c r="BP219" s="41"/>
      <c r="BQ219" s="41"/>
      <c r="BR219" s="41"/>
      <c r="BS219" s="41"/>
      <c r="BT219" s="41"/>
      <c r="BU219" s="41"/>
      <c r="BV219" s="41"/>
      <c r="BW219" s="41"/>
      <c r="BX219" s="41"/>
      <c r="BY219" s="41"/>
      <c r="BZ219" s="41"/>
      <c r="CA219" s="41"/>
      <c r="CB219" s="41"/>
      <c r="CC219" s="41"/>
      <c r="CD219" s="41"/>
      <c r="CE219" s="41"/>
      <c r="CF219" s="41"/>
      <c r="CG219" s="41"/>
      <c r="CH219" s="41"/>
      <c r="CI219" s="41"/>
      <c r="CJ219" s="41"/>
      <c r="CK219" s="41"/>
      <c r="CL219" s="41"/>
      <c r="CM219" s="41"/>
      <c r="CN219" s="41"/>
      <c r="CO219" s="41"/>
      <c r="CP219" s="41"/>
      <c r="CQ219" s="41"/>
      <c r="CR219" s="41"/>
      <c r="CS219" s="41"/>
      <c r="CT219" s="41">
        <v>0.2</v>
      </c>
      <c r="CU219" s="41"/>
      <c r="CV219" s="41"/>
      <c r="CW219" s="41"/>
      <c r="CX219" s="41"/>
      <c r="CY219" s="41"/>
      <c r="CZ219" s="41"/>
      <c r="DA219" s="41"/>
      <c r="DB219" s="41"/>
      <c r="DC219" s="41"/>
      <c r="DD219" s="41">
        <v>0.8</v>
      </c>
      <c r="DE219" s="41"/>
      <c r="DF219" s="41"/>
      <c r="DG219" s="41"/>
      <c r="DH219" s="41"/>
      <c r="DI219" s="41"/>
      <c r="DJ219" s="41"/>
      <c r="DK219" s="41"/>
      <c r="DL219" s="41"/>
      <c r="DM219" s="41"/>
      <c r="DN219" s="41"/>
      <c r="DO219" s="41"/>
      <c r="DP219" s="41"/>
      <c r="DQ219" s="41"/>
      <c r="DR219" s="41"/>
      <c r="DS219" s="43"/>
      <c r="DT219" s="44">
        <f t="shared" ref="DT219" si="201">SUM(F219:DR219)</f>
        <v>1</v>
      </c>
    </row>
    <row r="220" spans="2:124" s="13" customFormat="1">
      <c r="B220" s="4">
        <f>'6.1Personnel List'!B221</f>
        <v>208</v>
      </c>
      <c r="C220" s="45" t="s">
        <v>330</v>
      </c>
      <c r="D220" s="45" t="str">
        <f>'6.1Personnel List'!D221</f>
        <v>Medical Specialist II (P.T.)</v>
      </c>
      <c r="E220" s="45" t="str">
        <f>'6.1Personnel List'!H221</f>
        <v>PT</v>
      </c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41"/>
      <c r="BB220" s="41"/>
      <c r="BC220" s="41"/>
      <c r="BD220" s="41"/>
      <c r="BE220" s="41"/>
      <c r="BF220" s="41"/>
      <c r="BG220" s="41"/>
      <c r="BH220" s="41"/>
      <c r="BJ220" s="41"/>
      <c r="BK220" s="41"/>
      <c r="BL220" s="41"/>
      <c r="BM220" s="41"/>
      <c r="BN220" s="41"/>
      <c r="BO220" s="41"/>
      <c r="BP220" s="41"/>
      <c r="BQ220" s="41"/>
      <c r="BR220" s="41"/>
      <c r="BS220" s="41"/>
      <c r="BT220" s="41"/>
      <c r="BU220" s="41"/>
      <c r="BV220" s="41"/>
      <c r="BW220" s="41"/>
      <c r="BX220" s="41"/>
      <c r="BY220" s="41"/>
      <c r="BZ220" s="41"/>
      <c r="CA220" s="41"/>
      <c r="CB220" s="41"/>
      <c r="CC220" s="41"/>
      <c r="CD220" s="41"/>
      <c r="CE220" s="41"/>
      <c r="CF220" s="41"/>
      <c r="CG220" s="41"/>
      <c r="CH220" s="41"/>
      <c r="CI220" s="41"/>
      <c r="CJ220" s="41"/>
      <c r="CK220" s="41"/>
      <c r="CL220" s="41"/>
      <c r="CM220" s="41"/>
      <c r="CN220" s="41"/>
      <c r="CO220" s="41"/>
      <c r="CP220" s="41"/>
      <c r="CQ220" s="41"/>
      <c r="CR220" s="41"/>
      <c r="CS220" s="41"/>
      <c r="CT220" s="41">
        <v>0.2</v>
      </c>
      <c r="CU220" s="41"/>
      <c r="CV220" s="41"/>
      <c r="CW220" s="41"/>
      <c r="CX220" s="41"/>
      <c r="CY220" s="41"/>
      <c r="CZ220" s="41"/>
      <c r="DA220" s="41"/>
      <c r="DB220" s="41"/>
      <c r="DC220" s="41"/>
      <c r="DD220" s="41">
        <v>0.8</v>
      </c>
      <c r="DE220" s="41"/>
      <c r="DF220" s="41"/>
      <c r="DG220" s="41"/>
      <c r="DH220" s="41"/>
      <c r="DI220" s="41"/>
      <c r="DJ220" s="41"/>
      <c r="DK220" s="41"/>
      <c r="DL220" s="41"/>
      <c r="DM220" s="41"/>
      <c r="DN220" s="41"/>
      <c r="DO220" s="41"/>
      <c r="DP220" s="41"/>
      <c r="DQ220" s="41"/>
      <c r="DR220" s="41"/>
      <c r="DS220" s="43"/>
      <c r="DT220" s="44">
        <f t="shared" ref="DT220" si="202">SUM(F220:DR220)</f>
        <v>1</v>
      </c>
    </row>
    <row r="221" spans="2:124" s="13" customFormat="1">
      <c r="B221" s="4">
        <f>'6.1Personnel List'!B222</f>
        <v>209</v>
      </c>
      <c r="C221" s="45" t="s">
        <v>331</v>
      </c>
      <c r="D221" s="45" t="str">
        <f>'6.1Personnel List'!D222</f>
        <v>Medical Officer IV</v>
      </c>
      <c r="E221" s="45" t="str">
        <f>'6.1Personnel List'!H222</f>
        <v>FT</v>
      </c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41"/>
      <c r="BB221" s="41"/>
      <c r="BC221" s="41"/>
      <c r="BD221" s="41"/>
      <c r="BE221" s="41"/>
      <c r="BF221" s="41"/>
      <c r="BG221" s="41"/>
      <c r="BH221" s="41"/>
      <c r="BJ221" s="41"/>
      <c r="BK221" s="41"/>
      <c r="BL221" s="41"/>
      <c r="BM221" s="41"/>
      <c r="BN221" s="41"/>
      <c r="BO221" s="41"/>
      <c r="BP221" s="41"/>
      <c r="BQ221" s="41"/>
      <c r="BR221" s="41"/>
      <c r="BS221" s="41"/>
      <c r="BT221" s="41"/>
      <c r="BU221" s="41"/>
      <c r="BV221" s="41"/>
      <c r="BW221" s="41"/>
      <c r="BX221" s="41"/>
      <c r="BY221" s="41"/>
      <c r="BZ221" s="41"/>
      <c r="CA221" s="41"/>
      <c r="CB221" s="41"/>
      <c r="CC221" s="41"/>
      <c r="CD221" s="41"/>
      <c r="CE221" s="41"/>
      <c r="CF221" s="41"/>
      <c r="CG221" s="41"/>
      <c r="CH221" s="41"/>
      <c r="CI221" s="41"/>
      <c r="CJ221" s="41"/>
      <c r="CK221" s="41"/>
      <c r="CL221" s="41"/>
      <c r="CM221" s="41"/>
      <c r="CN221" s="41"/>
      <c r="CO221" s="41"/>
      <c r="CP221" s="41"/>
      <c r="CQ221" s="41"/>
      <c r="CR221" s="41"/>
      <c r="CS221" s="41"/>
      <c r="CT221" s="41">
        <v>0.2</v>
      </c>
      <c r="CU221" s="41"/>
      <c r="CV221" s="41"/>
      <c r="CW221" s="41"/>
      <c r="CX221" s="41"/>
      <c r="CY221" s="41"/>
      <c r="CZ221" s="41"/>
      <c r="DA221" s="41"/>
      <c r="DB221" s="41"/>
      <c r="DC221" s="41"/>
      <c r="DD221" s="41">
        <v>0.8</v>
      </c>
      <c r="DE221" s="41"/>
      <c r="DF221" s="41"/>
      <c r="DG221" s="41"/>
      <c r="DH221" s="41"/>
      <c r="DI221" s="41"/>
      <c r="DJ221" s="41"/>
      <c r="DK221" s="41"/>
      <c r="DL221" s="41"/>
      <c r="DM221" s="41"/>
      <c r="DN221" s="41"/>
      <c r="DO221" s="41"/>
      <c r="DP221" s="41"/>
      <c r="DQ221" s="41"/>
      <c r="DR221" s="41"/>
      <c r="DS221" s="43"/>
      <c r="DT221" s="44">
        <f t="shared" ref="DT221" si="203">SUM(F221:DR221)</f>
        <v>1</v>
      </c>
    </row>
    <row r="222" spans="2:124" s="13" customFormat="1">
      <c r="B222" s="4">
        <f>'6.1Personnel List'!B223</f>
        <v>210</v>
      </c>
      <c r="C222" s="45" t="s">
        <v>332</v>
      </c>
      <c r="D222" s="45" t="str">
        <f>'6.1Personnel List'!D223</f>
        <v>Medical Officer IV</v>
      </c>
      <c r="E222" s="45" t="str">
        <f>'6.1Personnel List'!H223</f>
        <v>FT</v>
      </c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41"/>
      <c r="BB222" s="41"/>
      <c r="BC222" s="41"/>
      <c r="BD222" s="41"/>
      <c r="BE222" s="41"/>
      <c r="BF222" s="41"/>
      <c r="BG222" s="41"/>
      <c r="BH222" s="41"/>
      <c r="BJ222" s="41"/>
      <c r="BK222" s="41"/>
      <c r="BL222" s="41"/>
      <c r="BM222" s="41"/>
      <c r="BN222" s="41"/>
      <c r="BO222" s="41"/>
      <c r="BP222" s="41"/>
      <c r="BQ222" s="41"/>
      <c r="BR222" s="41"/>
      <c r="BS222" s="41"/>
      <c r="BT222" s="41"/>
      <c r="BU222" s="41"/>
      <c r="BV222" s="41"/>
      <c r="BW222" s="41"/>
      <c r="BX222" s="41"/>
      <c r="BY222" s="41"/>
      <c r="BZ222" s="41"/>
      <c r="CA222" s="41"/>
      <c r="CB222" s="41"/>
      <c r="CC222" s="41"/>
      <c r="CD222" s="41"/>
      <c r="CE222" s="41"/>
      <c r="CF222" s="41"/>
      <c r="CG222" s="41"/>
      <c r="CH222" s="41"/>
      <c r="CI222" s="41"/>
      <c r="CJ222" s="41"/>
      <c r="CK222" s="41"/>
      <c r="CL222" s="41"/>
      <c r="CM222" s="41"/>
      <c r="CN222" s="41"/>
      <c r="CO222" s="41"/>
      <c r="CP222" s="41"/>
      <c r="CQ222" s="41"/>
      <c r="CR222" s="41"/>
      <c r="CS222" s="41"/>
      <c r="CT222" s="41">
        <v>0.2</v>
      </c>
      <c r="CU222" s="41"/>
      <c r="CV222" s="41"/>
      <c r="CW222" s="41"/>
      <c r="CX222" s="41"/>
      <c r="CY222" s="41"/>
      <c r="CZ222" s="41"/>
      <c r="DA222" s="41"/>
      <c r="DB222" s="41"/>
      <c r="DC222" s="41"/>
      <c r="DD222" s="41">
        <v>0.8</v>
      </c>
      <c r="DE222" s="41"/>
      <c r="DF222" s="41"/>
      <c r="DG222" s="41"/>
      <c r="DH222" s="41"/>
      <c r="DI222" s="41"/>
      <c r="DJ222" s="41"/>
      <c r="DK222" s="41"/>
      <c r="DL222" s="41"/>
      <c r="DM222" s="41"/>
      <c r="DN222" s="41"/>
      <c r="DO222" s="41"/>
      <c r="DP222" s="41"/>
      <c r="DQ222" s="41"/>
      <c r="DR222" s="41"/>
      <c r="DS222" s="43"/>
      <c r="DT222" s="44">
        <f t="shared" ref="DT222" si="204">SUM(F222:DR222)</f>
        <v>1</v>
      </c>
    </row>
    <row r="223" spans="2:124" s="13" customFormat="1">
      <c r="B223" s="4">
        <f>'6.1Personnel List'!B224</f>
        <v>211</v>
      </c>
      <c r="C223" s="45" t="s">
        <v>333</v>
      </c>
      <c r="D223" s="45" t="str">
        <f>'6.1Personnel List'!D224</f>
        <v>Medical Officer IV</v>
      </c>
      <c r="E223" s="45" t="str">
        <f>'6.1Personnel List'!H224</f>
        <v>FT</v>
      </c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41"/>
      <c r="BB223" s="41"/>
      <c r="BC223" s="41"/>
      <c r="BD223" s="41"/>
      <c r="BE223" s="41"/>
      <c r="BF223" s="41"/>
      <c r="BG223" s="41"/>
      <c r="BH223" s="41"/>
      <c r="BJ223" s="41"/>
      <c r="BK223" s="41"/>
      <c r="BL223" s="41"/>
      <c r="BM223" s="41"/>
      <c r="BN223" s="41"/>
      <c r="BO223" s="41"/>
      <c r="BP223" s="41"/>
      <c r="BQ223" s="41"/>
      <c r="BR223" s="41"/>
      <c r="BS223" s="41"/>
      <c r="BT223" s="41"/>
      <c r="BU223" s="41"/>
      <c r="BV223" s="41"/>
      <c r="BW223" s="41"/>
      <c r="BX223" s="41"/>
      <c r="BY223" s="41"/>
      <c r="BZ223" s="41"/>
      <c r="CA223" s="41"/>
      <c r="CB223" s="41"/>
      <c r="CC223" s="41"/>
      <c r="CD223" s="41"/>
      <c r="CE223" s="41"/>
      <c r="CF223" s="41"/>
      <c r="CG223" s="41"/>
      <c r="CH223" s="41"/>
      <c r="CI223" s="41"/>
      <c r="CJ223" s="41"/>
      <c r="CK223" s="41"/>
      <c r="CL223" s="41"/>
      <c r="CM223" s="41"/>
      <c r="CN223" s="41"/>
      <c r="CO223" s="41"/>
      <c r="CP223" s="41"/>
      <c r="CQ223" s="41"/>
      <c r="CR223" s="41"/>
      <c r="CS223" s="41"/>
      <c r="CT223" s="41">
        <v>0.2</v>
      </c>
      <c r="CU223" s="41"/>
      <c r="CV223" s="41"/>
      <c r="CW223" s="41"/>
      <c r="CX223" s="41"/>
      <c r="CY223" s="41"/>
      <c r="CZ223" s="41"/>
      <c r="DA223" s="41"/>
      <c r="DB223" s="41"/>
      <c r="DC223" s="41"/>
      <c r="DD223" s="41">
        <v>0.8</v>
      </c>
      <c r="DE223" s="41"/>
      <c r="DF223" s="41"/>
      <c r="DG223" s="41"/>
      <c r="DH223" s="41"/>
      <c r="DI223" s="41"/>
      <c r="DJ223" s="41"/>
      <c r="DK223" s="41"/>
      <c r="DL223" s="41"/>
      <c r="DM223" s="41"/>
      <c r="DN223" s="41"/>
      <c r="DO223" s="41"/>
      <c r="DP223" s="41"/>
      <c r="DQ223" s="41"/>
      <c r="DR223" s="41"/>
      <c r="DS223" s="43"/>
      <c r="DT223" s="44">
        <f t="shared" ref="DT223" si="205">SUM(F223:DR223)</f>
        <v>1</v>
      </c>
    </row>
    <row r="224" spans="2:124" s="13" customFormat="1">
      <c r="B224" s="4">
        <f>'6.1Personnel List'!B225</f>
        <v>212</v>
      </c>
      <c r="C224" s="45" t="s">
        <v>334</v>
      </c>
      <c r="D224" s="45" t="str">
        <f>'6.1Personnel List'!D225</f>
        <v>Medical Officer IV</v>
      </c>
      <c r="E224" s="45" t="str">
        <f>'6.1Personnel List'!H225</f>
        <v>FT</v>
      </c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41"/>
      <c r="BB224" s="41"/>
      <c r="BC224" s="41"/>
      <c r="BD224" s="41"/>
      <c r="BE224" s="41"/>
      <c r="BF224" s="41"/>
      <c r="BG224" s="41"/>
      <c r="BH224" s="41"/>
      <c r="BJ224" s="41"/>
      <c r="BK224" s="41"/>
      <c r="BL224" s="41"/>
      <c r="BM224" s="41"/>
      <c r="BN224" s="41"/>
      <c r="BO224" s="41"/>
      <c r="BP224" s="41"/>
      <c r="BQ224" s="41"/>
      <c r="BR224" s="41"/>
      <c r="BS224" s="41"/>
      <c r="BT224" s="41"/>
      <c r="BU224" s="41"/>
      <c r="BV224" s="41"/>
      <c r="BW224" s="41"/>
      <c r="BX224" s="41"/>
      <c r="BY224" s="41"/>
      <c r="BZ224" s="41"/>
      <c r="CA224" s="41"/>
      <c r="CB224" s="41"/>
      <c r="CC224" s="41"/>
      <c r="CD224" s="41"/>
      <c r="CE224" s="41"/>
      <c r="CF224" s="41"/>
      <c r="CG224" s="41"/>
      <c r="CH224" s="41"/>
      <c r="CI224" s="41"/>
      <c r="CJ224" s="41"/>
      <c r="CK224" s="41"/>
      <c r="CL224" s="41"/>
      <c r="CM224" s="41"/>
      <c r="CN224" s="41"/>
      <c r="CO224" s="41"/>
      <c r="CP224" s="41"/>
      <c r="CQ224" s="41"/>
      <c r="CR224" s="41"/>
      <c r="CS224" s="41"/>
      <c r="CT224" s="41">
        <v>0.2</v>
      </c>
      <c r="CU224" s="41"/>
      <c r="CV224" s="41"/>
      <c r="CW224" s="41"/>
      <c r="CX224" s="41"/>
      <c r="CY224" s="41"/>
      <c r="CZ224" s="41"/>
      <c r="DA224" s="41"/>
      <c r="DB224" s="41"/>
      <c r="DC224" s="41"/>
      <c r="DD224" s="41">
        <v>0.8</v>
      </c>
      <c r="DE224" s="41"/>
      <c r="DF224" s="41"/>
      <c r="DG224" s="41"/>
      <c r="DH224" s="41"/>
      <c r="DI224" s="41"/>
      <c r="DJ224" s="41"/>
      <c r="DK224" s="41"/>
      <c r="DL224" s="41"/>
      <c r="DM224" s="41"/>
      <c r="DN224" s="41"/>
      <c r="DO224" s="41"/>
      <c r="DP224" s="41"/>
      <c r="DQ224" s="41"/>
      <c r="DR224" s="41"/>
      <c r="DS224" s="43"/>
      <c r="DT224" s="44">
        <f t="shared" ref="DT224" si="206">SUM(F224:DR224)</f>
        <v>1</v>
      </c>
    </row>
    <row r="225" spans="2:124" s="13" customFormat="1">
      <c r="B225" s="4">
        <f>'6.1Personnel List'!B226</f>
        <v>213</v>
      </c>
      <c r="C225" s="45" t="s">
        <v>335</v>
      </c>
      <c r="D225" s="45" t="str">
        <f>'6.1Personnel List'!D226</f>
        <v>Medical Officer IV</v>
      </c>
      <c r="E225" s="45" t="str">
        <f>'6.1Personnel List'!H226</f>
        <v>FT</v>
      </c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41"/>
      <c r="BB225" s="41"/>
      <c r="BC225" s="41"/>
      <c r="BD225" s="41"/>
      <c r="BE225" s="41"/>
      <c r="BF225" s="41"/>
      <c r="BG225" s="41"/>
      <c r="BH225" s="41"/>
      <c r="BJ225" s="41"/>
      <c r="BK225" s="41"/>
      <c r="BL225" s="41"/>
      <c r="BM225" s="41"/>
      <c r="BN225" s="41"/>
      <c r="BO225" s="41"/>
      <c r="BP225" s="41"/>
      <c r="BQ225" s="41"/>
      <c r="BR225" s="41"/>
      <c r="BS225" s="41"/>
      <c r="BT225" s="41"/>
      <c r="BU225" s="41"/>
      <c r="BV225" s="41"/>
      <c r="BW225" s="41"/>
      <c r="BX225" s="41"/>
      <c r="BY225" s="41"/>
      <c r="BZ225" s="41"/>
      <c r="CA225" s="41"/>
      <c r="CB225" s="41"/>
      <c r="CC225" s="41"/>
      <c r="CD225" s="41"/>
      <c r="CE225" s="41"/>
      <c r="CF225" s="41"/>
      <c r="CG225" s="41"/>
      <c r="CH225" s="41"/>
      <c r="CI225" s="41"/>
      <c r="CJ225" s="41"/>
      <c r="CK225" s="41"/>
      <c r="CL225" s="41"/>
      <c r="CM225" s="41"/>
      <c r="CN225" s="41"/>
      <c r="CO225" s="41"/>
      <c r="CP225" s="41"/>
      <c r="CQ225" s="41"/>
      <c r="CR225" s="41"/>
      <c r="CS225" s="41"/>
      <c r="CT225" s="41">
        <v>0.2</v>
      </c>
      <c r="CU225" s="41"/>
      <c r="CV225" s="41"/>
      <c r="CW225" s="41"/>
      <c r="CX225" s="41"/>
      <c r="CY225" s="41"/>
      <c r="CZ225" s="41"/>
      <c r="DA225" s="41"/>
      <c r="DB225" s="41"/>
      <c r="DC225" s="41"/>
      <c r="DD225" s="41">
        <v>0.8</v>
      </c>
      <c r="DE225" s="41"/>
      <c r="DF225" s="41"/>
      <c r="DG225" s="41"/>
      <c r="DH225" s="41"/>
      <c r="DI225" s="41"/>
      <c r="DJ225" s="41"/>
      <c r="DK225" s="41"/>
      <c r="DL225" s="41"/>
      <c r="DM225" s="41"/>
      <c r="DN225" s="41"/>
      <c r="DO225" s="41"/>
      <c r="DP225" s="41"/>
      <c r="DQ225" s="41"/>
      <c r="DR225" s="41"/>
      <c r="DS225" s="43"/>
      <c r="DT225" s="44">
        <f t="shared" ref="DT225" si="207">SUM(F225:DR225)</f>
        <v>1</v>
      </c>
    </row>
    <row r="226" spans="2:124" s="13" customFormat="1">
      <c r="B226" s="4">
        <f>'6.1Personnel List'!B227</f>
        <v>214</v>
      </c>
      <c r="C226" s="45" t="s">
        <v>336</v>
      </c>
      <c r="D226" s="45" t="str">
        <f>'6.1Personnel List'!D227</f>
        <v>Medical Officer IV</v>
      </c>
      <c r="E226" s="45" t="str">
        <f>'6.1Personnel List'!H227</f>
        <v>FT</v>
      </c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41"/>
      <c r="BB226" s="41"/>
      <c r="BC226" s="41"/>
      <c r="BD226" s="41"/>
      <c r="BE226" s="41"/>
      <c r="BF226" s="41"/>
      <c r="BG226" s="41"/>
      <c r="BH226" s="41"/>
      <c r="BJ226" s="41"/>
      <c r="BK226" s="41"/>
      <c r="BL226" s="41"/>
      <c r="BM226" s="41"/>
      <c r="BN226" s="41"/>
      <c r="BO226" s="41"/>
      <c r="BP226" s="41"/>
      <c r="BQ226" s="41"/>
      <c r="BR226" s="41"/>
      <c r="BS226" s="41"/>
      <c r="BT226" s="41"/>
      <c r="BU226" s="41"/>
      <c r="BV226" s="41"/>
      <c r="BW226" s="41"/>
      <c r="BX226" s="41"/>
      <c r="BY226" s="41"/>
      <c r="BZ226" s="41"/>
      <c r="CA226" s="41"/>
      <c r="CB226" s="41"/>
      <c r="CC226" s="41"/>
      <c r="CD226" s="41"/>
      <c r="CE226" s="41"/>
      <c r="CF226" s="41"/>
      <c r="CG226" s="41"/>
      <c r="CH226" s="41"/>
      <c r="CI226" s="41"/>
      <c r="CJ226" s="41"/>
      <c r="CK226" s="41"/>
      <c r="CL226" s="41"/>
      <c r="CM226" s="41"/>
      <c r="CN226" s="41"/>
      <c r="CO226" s="41"/>
      <c r="CP226" s="41"/>
      <c r="CQ226" s="41"/>
      <c r="CR226" s="41"/>
      <c r="CS226" s="41"/>
      <c r="CT226" s="41">
        <v>0.2</v>
      </c>
      <c r="CU226" s="41"/>
      <c r="CV226" s="41"/>
      <c r="CW226" s="41"/>
      <c r="CX226" s="41"/>
      <c r="CY226" s="41"/>
      <c r="CZ226" s="41"/>
      <c r="DA226" s="41"/>
      <c r="DB226" s="41"/>
      <c r="DC226" s="41"/>
      <c r="DD226" s="41">
        <v>0.8</v>
      </c>
      <c r="DE226" s="41"/>
      <c r="DF226" s="41"/>
      <c r="DG226" s="41"/>
      <c r="DH226" s="41"/>
      <c r="DI226" s="41"/>
      <c r="DJ226" s="41"/>
      <c r="DK226" s="41"/>
      <c r="DL226" s="41"/>
      <c r="DM226" s="41"/>
      <c r="DN226" s="41"/>
      <c r="DO226" s="41"/>
      <c r="DP226" s="41"/>
      <c r="DQ226" s="41"/>
      <c r="DR226" s="41"/>
      <c r="DS226" s="43"/>
      <c r="DT226" s="44">
        <f t="shared" ref="DT226" si="208">SUM(F226:DR226)</f>
        <v>1</v>
      </c>
    </row>
    <row r="227" spans="2:124" s="13" customFormat="1">
      <c r="B227" s="4">
        <f>'6.1Personnel List'!B228</f>
        <v>215</v>
      </c>
      <c r="C227" s="45" t="s">
        <v>337</v>
      </c>
      <c r="D227" s="45" t="str">
        <f>'6.1Personnel List'!D228</f>
        <v>Medical Officer IV</v>
      </c>
      <c r="E227" s="45" t="str">
        <f>'6.1Personnel List'!H228</f>
        <v>FT</v>
      </c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41"/>
      <c r="BB227" s="41"/>
      <c r="BC227" s="41"/>
      <c r="BD227" s="41"/>
      <c r="BE227" s="41"/>
      <c r="BF227" s="41"/>
      <c r="BG227" s="41"/>
      <c r="BH227" s="41"/>
      <c r="BJ227" s="41"/>
      <c r="BK227" s="41"/>
      <c r="BL227" s="41"/>
      <c r="BM227" s="41"/>
      <c r="BN227" s="41"/>
      <c r="BO227" s="41"/>
      <c r="BP227" s="41"/>
      <c r="BQ227" s="41"/>
      <c r="BR227" s="41"/>
      <c r="BS227" s="41"/>
      <c r="BT227" s="41"/>
      <c r="BU227" s="41"/>
      <c r="BV227" s="41"/>
      <c r="BW227" s="41"/>
      <c r="BX227" s="41"/>
      <c r="BY227" s="41"/>
      <c r="BZ227" s="41"/>
      <c r="CA227" s="41"/>
      <c r="CB227" s="41"/>
      <c r="CC227" s="41"/>
      <c r="CD227" s="41"/>
      <c r="CE227" s="41"/>
      <c r="CF227" s="41"/>
      <c r="CG227" s="41"/>
      <c r="CH227" s="41"/>
      <c r="CI227" s="41"/>
      <c r="CJ227" s="41"/>
      <c r="CK227" s="41"/>
      <c r="CL227" s="41"/>
      <c r="CM227" s="41"/>
      <c r="CN227" s="41"/>
      <c r="CO227" s="41"/>
      <c r="CP227" s="41"/>
      <c r="CQ227" s="41"/>
      <c r="CR227" s="41"/>
      <c r="CS227" s="41"/>
      <c r="CT227" s="41">
        <v>0.2</v>
      </c>
      <c r="CU227" s="41"/>
      <c r="CV227" s="41"/>
      <c r="CW227" s="41"/>
      <c r="CX227" s="41"/>
      <c r="CY227" s="41"/>
      <c r="CZ227" s="41"/>
      <c r="DA227" s="41"/>
      <c r="DB227" s="41"/>
      <c r="DC227" s="41"/>
      <c r="DD227" s="41">
        <v>0.8</v>
      </c>
      <c r="DE227" s="41"/>
      <c r="DF227" s="41"/>
      <c r="DG227" s="41"/>
      <c r="DH227" s="41"/>
      <c r="DI227" s="41"/>
      <c r="DJ227" s="41"/>
      <c r="DK227" s="41"/>
      <c r="DL227" s="41"/>
      <c r="DM227" s="41"/>
      <c r="DN227" s="41"/>
      <c r="DO227" s="41"/>
      <c r="DP227" s="41"/>
      <c r="DQ227" s="41"/>
      <c r="DR227" s="41"/>
      <c r="DS227" s="43"/>
      <c r="DT227" s="44">
        <f t="shared" ref="DT227" si="209">SUM(F227:DR227)</f>
        <v>1</v>
      </c>
    </row>
    <row r="228" spans="2:124" s="13" customFormat="1">
      <c r="B228" s="4">
        <f>'6.1Personnel List'!B229</f>
        <v>216</v>
      </c>
      <c r="C228" s="45" t="s">
        <v>338</v>
      </c>
      <c r="D228" s="45" t="str">
        <f>'6.1Personnel List'!D229</f>
        <v>Medical Officer IV</v>
      </c>
      <c r="E228" s="45" t="str">
        <f>'6.1Personnel List'!H229</f>
        <v>FT</v>
      </c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41"/>
      <c r="BB228" s="41"/>
      <c r="BC228" s="41"/>
      <c r="BD228" s="41"/>
      <c r="BE228" s="41"/>
      <c r="BF228" s="41"/>
      <c r="BG228" s="41"/>
      <c r="BH228" s="41"/>
      <c r="BJ228" s="41"/>
      <c r="BK228" s="41"/>
      <c r="BL228" s="41"/>
      <c r="BM228" s="41"/>
      <c r="BN228" s="41"/>
      <c r="BO228" s="41"/>
      <c r="BP228" s="41"/>
      <c r="BQ228" s="41"/>
      <c r="BR228" s="41"/>
      <c r="BS228" s="41"/>
      <c r="BT228" s="41"/>
      <c r="BU228" s="41"/>
      <c r="BV228" s="41"/>
      <c r="BW228" s="41"/>
      <c r="BX228" s="41"/>
      <c r="BY228" s="41"/>
      <c r="BZ228" s="41"/>
      <c r="CA228" s="41"/>
      <c r="CB228" s="41"/>
      <c r="CC228" s="41"/>
      <c r="CD228" s="41"/>
      <c r="CE228" s="41"/>
      <c r="CF228" s="41"/>
      <c r="CG228" s="41"/>
      <c r="CH228" s="41"/>
      <c r="CI228" s="41"/>
      <c r="CJ228" s="41"/>
      <c r="CK228" s="41"/>
      <c r="CL228" s="41"/>
      <c r="CM228" s="41"/>
      <c r="CN228" s="41"/>
      <c r="CO228" s="41"/>
      <c r="CP228" s="41"/>
      <c r="CQ228" s="41"/>
      <c r="CR228" s="41"/>
      <c r="CS228" s="41"/>
      <c r="CT228" s="41">
        <v>0.2</v>
      </c>
      <c r="CU228" s="41"/>
      <c r="CV228" s="41"/>
      <c r="CW228" s="41"/>
      <c r="CX228" s="41"/>
      <c r="CY228" s="41"/>
      <c r="CZ228" s="41"/>
      <c r="DA228" s="41"/>
      <c r="DB228" s="41"/>
      <c r="DC228" s="41"/>
      <c r="DD228" s="41">
        <v>0.8</v>
      </c>
      <c r="DE228" s="41"/>
      <c r="DF228" s="41"/>
      <c r="DG228" s="41"/>
      <c r="DH228" s="41"/>
      <c r="DI228" s="41"/>
      <c r="DJ228" s="41"/>
      <c r="DK228" s="41"/>
      <c r="DL228" s="41"/>
      <c r="DM228" s="41"/>
      <c r="DN228" s="41"/>
      <c r="DO228" s="41"/>
      <c r="DP228" s="41"/>
      <c r="DQ228" s="41"/>
      <c r="DR228" s="41"/>
      <c r="DS228" s="43"/>
      <c r="DT228" s="44">
        <f t="shared" ref="DT228" si="210">SUM(F228:DR228)</f>
        <v>1</v>
      </c>
    </row>
    <row r="229" spans="2:124" s="13" customFormat="1">
      <c r="B229" s="4">
        <f>'6.1Personnel List'!B230</f>
        <v>217</v>
      </c>
      <c r="C229" s="45" t="s">
        <v>339</v>
      </c>
      <c r="D229" s="45" t="str">
        <f>'6.1Personnel List'!D230</f>
        <v>Medical Officer III</v>
      </c>
      <c r="E229" s="45" t="str">
        <f>'6.1Personnel List'!H230</f>
        <v>FT</v>
      </c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41"/>
      <c r="BB229" s="41"/>
      <c r="BC229" s="41"/>
      <c r="BD229" s="41"/>
      <c r="BE229" s="41"/>
      <c r="BF229" s="41"/>
      <c r="BG229" s="41"/>
      <c r="BH229" s="41"/>
      <c r="BJ229" s="41"/>
      <c r="BK229" s="41"/>
      <c r="BL229" s="41"/>
      <c r="BM229" s="41"/>
      <c r="BN229" s="41"/>
      <c r="BO229" s="41"/>
      <c r="BP229" s="41"/>
      <c r="BQ229" s="41"/>
      <c r="BR229" s="41"/>
      <c r="BS229" s="41"/>
      <c r="BT229" s="41"/>
      <c r="BU229" s="41"/>
      <c r="BV229" s="41"/>
      <c r="BW229" s="41"/>
      <c r="BX229" s="41"/>
      <c r="BY229" s="41"/>
      <c r="BZ229" s="41"/>
      <c r="CA229" s="41"/>
      <c r="CB229" s="41"/>
      <c r="CC229" s="41"/>
      <c r="CD229" s="41"/>
      <c r="CE229" s="41"/>
      <c r="CF229" s="41"/>
      <c r="CG229" s="41"/>
      <c r="CH229" s="41"/>
      <c r="CI229" s="41"/>
      <c r="CJ229" s="41"/>
      <c r="CK229" s="41"/>
      <c r="CL229" s="41"/>
      <c r="CM229" s="41"/>
      <c r="CN229" s="41"/>
      <c r="CO229" s="41"/>
      <c r="CP229" s="41"/>
      <c r="CQ229" s="41"/>
      <c r="CR229" s="41"/>
      <c r="CS229" s="41"/>
      <c r="CT229" s="41">
        <v>0.2</v>
      </c>
      <c r="CU229" s="41"/>
      <c r="CV229" s="41"/>
      <c r="CW229" s="41"/>
      <c r="CX229" s="41"/>
      <c r="CY229" s="41"/>
      <c r="CZ229" s="41"/>
      <c r="DA229" s="41"/>
      <c r="DB229" s="41"/>
      <c r="DC229" s="41"/>
      <c r="DD229" s="41">
        <v>0.8</v>
      </c>
      <c r="DE229" s="41"/>
      <c r="DF229" s="41"/>
      <c r="DG229" s="41"/>
      <c r="DH229" s="41"/>
      <c r="DI229" s="41"/>
      <c r="DJ229" s="41"/>
      <c r="DK229" s="41"/>
      <c r="DL229" s="41"/>
      <c r="DM229" s="41"/>
      <c r="DN229" s="41"/>
      <c r="DO229" s="41"/>
      <c r="DP229" s="41"/>
      <c r="DQ229" s="41"/>
      <c r="DR229" s="41"/>
      <c r="DS229" s="43"/>
      <c r="DT229" s="44">
        <f t="shared" ref="DT229" si="211">SUM(F229:DR229)</f>
        <v>1</v>
      </c>
    </row>
    <row r="230" spans="2:124" s="13" customFormat="1">
      <c r="B230" s="4">
        <f>'6.1Personnel List'!B231</f>
        <v>218</v>
      </c>
      <c r="C230" s="45" t="s">
        <v>340</v>
      </c>
      <c r="D230" s="45" t="str">
        <f>'6.1Personnel List'!D231</f>
        <v>Medical Officer III</v>
      </c>
      <c r="E230" s="45" t="str">
        <f>'6.1Personnel List'!H231</f>
        <v>FT</v>
      </c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41"/>
      <c r="BB230" s="41"/>
      <c r="BC230" s="41"/>
      <c r="BD230" s="41"/>
      <c r="BE230" s="41"/>
      <c r="BF230" s="41"/>
      <c r="BG230" s="41"/>
      <c r="BH230" s="41"/>
      <c r="BJ230" s="41"/>
      <c r="BK230" s="41"/>
      <c r="BL230" s="41"/>
      <c r="BM230" s="41"/>
      <c r="BN230" s="41"/>
      <c r="BO230" s="41"/>
      <c r="BP230" s="41"/>
      <c r="BQ230" s="41"/>
      <c r="BR230" s="41"/>
      <c r="BS230" s="41"/>
      <c r="BT230" s="41"/>
      <c r="BU230" s="41"/>
      <c r="BV230" s="41"/>
      <c r="BW230" s="41"/>
      <c r="BX230" s="41"/>
      <c r="BY230" s="41"/>
      <c r="BZ230" s="41"/>
      <c r="CA230" s="41"/>
      <c r="CB230" s="41"/>
      <c r="CC230" s="41"/>
      <c r="CD230" s="41"/>
      <c r="CE230" s="41"/>
      <c r="CF230" s="41"/>
      <c r="CG230" s="41"/>
      <c r="CH230" s="41"/>
      <c r="CI230" s="41"/>
      <c r="CJ230" s="41"/>
      <c r="CK230" s="41"/>
      <c r="CL230" s="41"/>
      <c r="CM230" s="41"/>
      <c r="CN230" s="41"/>
      <c r="CO230" s="41"/>
      <c r="CP230" s="41"/>
      <c r="CQ230" s="41"/>
      <c r="CR230" s="41"/>
      <c r="CS230" s="41"/>
      <c r="CT230" s="41">
        <v>0.2</v>
      </c>
      <c r="CU230" s="41"/>
      <c r="CV230" s="41"/>
      <c r="CW230" s="41"/>
      <c r="CX230" s="41"/>
      <c r="CY230" s="41"/>
      <c r="CZ230" s="41"/>
      <c r="DA230" s="41"/>
      <c r="DB230" s="41"/>
      <c r="DC230" s="41"/>
      <c r="DD230" s="41">
        <v>0.8</v>
      </c>
      <c r="DE230" s="41"/>
      <c r="DF230" s="41"/>
      <c r="DG230" s="41"/>
      <c r="DH230" s="41"/>
      <c r="DI230" s="41"/>
      <c r="DJ230" s="41"/>
      <c r="DK230" s="41"/>
      <c r="DL230" s="41"/>
      <c r="DM230" s="41"/>
      <c r="DN230" s="41"/>
      <c r="DO230" s="41"/>
      <c r="DP230" s="41"/>
      <c r="DQ230" s="41"/>
      <c r="DR230" s="41"/>
      <c r="DS230" s="43"/>
      <c r="DT230" s="44">
        <f t="shared" ref="DT230" si="212">SUM(F230:DR230)</f>
        <v>1</v>
      </c>
    </row>
    <row r="231" spans="2:124" s="13" customFormat="1">
      <c r="B231" s="4">
        <f>'6.1Personnel List'!B232</f>
        <v>219</v>
      </c>
      <c r="C231" s="45" t="s">
        <v>341</v>
      </c>
      <c r="D231" s="45" t="str">
        <f>'6.1Personnel List'!D232</f>
        <v>Medical Officer III</v>
      </c>
      <c r="E231" s="45" t="str">
        <f>'6.1Personnel List'!H232</f>
        <v>FT</v>
      </c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41"/>
      <c r="BB231" s="41"/>
      <c r="BC231" s="41"/>
      <c r="BD231" s="41"/>
      <c r="BE231" s="41"/>
      <c r="BF231" s="41"/>
      <c r="BG231" s="41"/>
      <c r="BH231" s="41"/>
      <c r="BJ231" s="41"/>
      <c r="BK231" s="41"/>
      <c r="BL231" s="41"/>
      <c r="BM231" s="41"/>
      <c r="BN231" s="41"/>
      <c r="BO231" s="41"/>
      <c r="BP231" s="41"/>
      <c r="BQ231" s="41"/>
      <c r="BR231" s="41"/>
      <c r="BS231" s="41"/>
      <c r="BT231" s="41"/>
      <c r="BU231" s="41"/>
      <c r="BV231" s="41"/>
      <c r="BW231" s="41"/>
      <c r="BX231" s="41"/>
      <c r="BY231" s="41"/>
      <c r="BZ231" s="41"/>
      <c r="CA231" s="41"/>
      <c r="CB231" s="41"/>
      <c r="CC231" s="41"/>
      <c r="CD231" s="41"/>
      <c r="CE231" s="41"/>
      <c r="CF231" s="41"/>
      <c r="CG231" s="41"/>
      <c r="CH231" s="41"/>
      <c r="CI231" s="41"/>
      <c r="CJ231" s="41"/>
      <c r="CK231" s="41"/>
      <c r="CL231" s="41"/>
      <c r="CM231" s="41"/>
      <c r="CN231" s="41"/>
      <c r="CO231" s="41"/>
      <c r="CP231" s="41"/>
      <c r="CQ231" s="41"/>
      <c r="CR231" s="41"/>
      <c r="CS231" s="41"/>
      <c r="CT231" s="41">
        <v>0.2</v>
      </c>
      <c r="CU231" s="41"/>
      <c r="CV231" s="41"/>
      <c r="CW231" s="41"/>
      <c r="CX231" s="41"/>
      <c r="CY231" s="41"/>
      <c r="CZ231" s="41"/>
      <c r="DA231" s="41"/>
      <c r="DB231" s="41"/>
      <c r="DC231" s="41"/>
      <c r="DD231" s="41">
        <v>0.8</v>
      </c>
      <c r="DE231" s="41"/>
      <c r="DF231" s="41"/>
      <c r="DG231" s="41"/>
      <c r="DH231" s="41"/>
      <c r="DI231" s="41"/>
      <c r="DJ231" s="41"/>
      <c r="DK231" s="41"/>
      <c r="DL231" s="41"/>
      <c r="DM231" s="41"/>
      <c r="DN231" s="41"/>
      <c r="DO231" s="41"/>
      <c r="DP231" s="41"/>
      <c r="DQ231" s="41"/>
      <c r="DR231" s="41"/>
      <c r="DS231" s="43"/>
      <c r="DT231" s="44">
        <f t="shared" ref="DT231" si="213">SUM(F231:DR231)</f>
        <v>1</v>
      </c>
    </row>
    <row r="232" spans="2:124" s="13" customFormat="1">
      <c r="B232" s="4">
        <f>'6.1Personnel List'!B233</f>
        <v>220</v>
      </c>
      <c r="C232" s="45" t="s">
        <v>342</v>
      </c>
      <c r="D232" s="45" t="str">
        <f>'6.1Personnel List'!D233</f>
        <v>Medical Officer III</v>
      </c>
      <c r="E232" s="45" t="str">
        <f>'6.1Personnel List'!H233</f>
        <v>FT</v>
      </c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41"/>
      <c r="BB232" s="41"/>
      <c r="BC232" s="41"/>
      <c r="BD232" s="41"/>
      <c r="BE232" s="41"/>
      <c r="BF232" s="41"/>
      <c r="BG232" s="41"/>
      <c r="BH232" s="41"/>
      <c r="BJ232" s="41"/>
      <c r="BK232" s="41"/>
      <c r="BL232" s="41"/>
      <c r="BM232" s="41"/>
      <c r="BN232" s="41"/>
      <c r="BO232" s="41"/>
      <c r="BP232" s="41"/>
      <c r="BQ232" s="41"/>
      <c r="BR232" s="41"/>
      <c r="BS232" s="41"/>
      <c r="BT232" s="41"/>
      <c r="BU232" s="41"/>
      <c r="BV232" s="41"/>
      <c r="BW232" s="41"/>
      <c r="BX232" s="41"/>
      <c r="BY232" s="41"/>
      <c r="BZ232" s="41"/>
      <c r="CA232" s="41"/>
      <c r="CB232" s="41"/>
      <c r="CC232" s="41"/>
      <c r="CD232" s="41"/>
      <c r="CE232" s="41"/>
      <c r="CF232" s="41"/>
      <c r="CG232" s="41"/>
      <c r="CH232" s="41"/>
      <c r="CI232" s="41"/>
      <c r="CJ232" s="41"/>
      <c r="CK232" s="41"/>
      <c r="CL232" s="41"/>
      <c r="CM232" s="41"/>
      <c r="CN232" s="41"/>
      <c r="CO232" s="41"/>
      <c r="CP232" s="41"/>
      <c r="CQ232" s="41"/>
      <c r="CR232" s="41"/>
      <c r="CS232" s="41"/>
      <c r="CT232" s="41">
        <v>0.2</v>
      </c>
      <c r="CU232" s="41"/>
      <c r="CV232" s="41"/>
      <c r="CW232" s="41"/>
      <c r="CX232" s="41"/>
      <c r="CY232" s="41"/>
      <c r="CZ232" s="41"/>
      <c r="DA232" s="41"/>
      <c r="DB232" s="41"/>
      <c r="DC232" s="41"/>
      <c r="DD232" s="41">
        <v>0.8</v>
      </c>
      <c r="DE232" s="41"/>
      <c r="DF232" s="41"/>
      <c r="DG232" s="41"/>
      <c r="DH232" s="41"/>
      <c r="DI232" s="41"/>
      <c r="DJ232" s="41"/>
      <c r="DK232" s="41"/>
      <c r="DL232" s="41"/>
      <c r="DM232" s="41"/>
      <c r="DN232" s="41"/>
      <c r="DO232" s="41"/>
      <c r="DP232" s="41"/>
      <c r="DQ232" s="41"/>
      <c r="DR232" s="41"/>
      <c r="DS232" s="43"/>
      <c r="DT232" s="44">
        <f t="shared" ref="DT232" si="214">SUM(F232:DR232)</f>
        <v>1</v>
      </c>
    </row>
    <row r="233" spans="2:124" s="13" customFormat="1">
      <c r="B233" s="4">
        <f>'6.1Personnel List'!B234</f>
        <v>221</v>
      </c>
      <c r="C233" s="45" t="s">
        <v>343</v>
      </c>
      <c r="D233" s="45" t="str">
        <f>'6.1Personnel List'!D234</f>
        <v>Administrative Assistant II</v>
      </c>
      <c r="E233" s="45" t="str">
        <f>'6.1Personnel List'!H234</f>
        <v>FT</v>
      </c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41"/>
      <c r="BB233" s="41"/>
      <c r="BC233" s="41"/>
      <c r="BD233" s="41"/>
      <c r="BE233" s="41"/>
      <c r="BF233" s="41"/>
      <c r="BG233" s="41"/>
      <c r="BH233" s="41"/>
      <c r="BJ233" s="41"/>
      <c r="BK233" s="41"/>
      <c r="BL233" s="41"/>
      <c r="BM233" s="41"/>
      <c r="BN233" s="41"/>
      <c r="BO233" s="41"/>
      <c r="BP233" s="41"/>
      <c r="BQ233" s="41"/>
      <c r="BR233" s="41"/>
      <c r="BS233" s="41"/>
      <c r="BT233" s="41"/>
      <c r="BU233" s="41"/>
      <c r="BV233" s="41"/>
      <c r="BW233" s="41"/>
      <c r="BX233" s="41"/>
      <c r="BY233" s="41"/>
      <c r="BZ233" s="41"/>
      <c r="CA233" s="41"/>
      <c r="CB233" s="41"/>
      <c r="CC233" s="41"/>
      <c r="CD233" s="41"/>
      <c r="CE233" s="41"/>
      <c r="CF233" s="41"/>
      <c r="CG233" s="41"/>
      <c r="CH233" s="41"/>
      <c r="CI233" s="41"/>
      <c r="CJ233" s="41"/>
      <c r="CK233" s="41"/>
      <c r="CL233" s="41"/>
      <c r="CM233" s="41"/>
      <c r="CN233" s="41"/>
      <c r="CO233" s="41"/>
      <c r="CP233" s="41"/>
      <c r="CQ233" s="41"/>
      <c r="CR233" s="41"/>
      <c r="CS233" s="41"/>
      <c r="CT233" s="41">
        <v>0.5</v>
      </c>
      <c r="CU233" s="41"/>
      <c r="CV233" s="41"/>
      <c r="CW233" s="41"/>
      <c r="CX233" s="41"/>
      <c r="CY233" s="41"/>
      <c r="CZ233" s="41"/>
      <c r="DA233" s="41"/>
      <c r="DB233" s="41"/>
      <c r="DC233" s="41"/>
      <c r="DD233" s="41">
        <v>0.5</v>
      </c>
      <c r="DE233" s="41"/>
      <c r="DF233" s="41"/>
      <c r="DG233" s="41"/>
      <c r="DH233" s="41"/>
      <c r="DI233" s="41"/>
      <c r="DJ233" s="41"/>
      <c r="DK233" s="41"/>
      <c r="DL233" s="41"/>
      <c r="DM233" s="41"/>
      <c r="DN233" s="41"/>
      <c r="DO233" s="41"/>
      <c r="DP233" s="41"/>
      <c r="DQ233" s="41"/>
      <c r="DR233" s="41"/>
      <c r="DS233" s="43"/>
      <c r="DT233" s="44">
        <f t="shared" ref="DT233" si="215">SUM(F233:DR233)</f>
        <v>1</v>
      </c>
    </row>
    <row r="234" spans="2:124" s="13" customFormat="1">
      <c r="B234" s="4">
        <f>'6.1Personnel List'!B235</f>
        <v>222</v>
      </c>
      <c r="C234" s="45" t="s">
        <v>346</v>
      </c>
      <c r="D234" s="45" t="str">
        <f>'6.1Personnel List'!D235</f>
        <v>Medical Specialist IV (P.T.) - Chairman</v>
      </c>
      <c r="E234" s="45" t="str">
        <f>'6.1Personnel List'!H235</f>
        <v>PT</v>
      </c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41"/>
      <c r="BB234" s="41"/>
      <c r="BC234" s="41"/>
      <c r="BD234" s="41"/>
      <c r="BE234" s="41"/>
      <c r="BF234" s="41"/>
      <c r="BG234" s="41"/>
      <c r="BH234" s="41"/>
      <c r="BJ234" s="41"/>
      <c r="BK234" s="41"/>
      <c r="BL234" s="41"/>
      <c r="BM234" s="41"/>
      <c r="BN234" s="41"/>
      <c r="BO234" s="41"/>
      <c r="BP234" s="41"/>
      <c r="BQ234" s="41"/>
      <c r="BR234" s="41"/>
      <c r="BS234" s="41"/>
      <c r="BT234" s="41"/>
      <c r="BU234" s="41"/>
      <c r="BV234" s="41"/>
      <c r="BW234" s="41"/>
      <c r="BX234" s="41"/>
      <c r="BY234" s="41"/>
      <c r="BZ234" s="41"/>
      <c r="CA234" s="41"/>
      <c r="CB234" s="41"/>
      <c r="CC234" s="41"/>
      <c r="CD234" s="41"/>
      <c r="CE234" s="41"/>
      <c r="CF234" s="41"/>
      <c r="CG234" s="41"/>
      <c r="CH234" s="41"/>
      <c r="CI234" s="41"/>
      <c r="CJ234" s="41"/>
      <c r="CK234" s="41"/>
      <c r="CL234" s="41">
        <v>0.3</v>
      </c>
      <c r="CM234" s="41"/>
      <c r="CN234" s="41"/>
      <c r="CO234" s="41"/>
      <c r="CP234" s="41"/>
      <c r="CQ234" s="41"/>
      <c r="CR234" s="41"/>
      <c r="CS234" s="41"/>
      <c r="CT234" s="41">
        <v>0.3</v>
      </c>
      <c r="CU234" s="41">
        <v>0.4</v>
      </c>
      <c r="CV234" s="41"/>
      <c r="CW234" s="41"/>
      <c r="CX234" s="41"/>
      <c r="CY234" s="41"/>
      <c r="CZ234" s="41"/>
      <c r="DA234" s="41"/>
      <c r="DB234" s="41"/>
      <c r="DC234" s="41"/>
      <c r="DD234" s="41"/>
      <c r="DE234" s="41"/>
      <c r="DF234" s="41"/>
      <c r="DG234" s="41"/>
      <c r="DH234" s="41"/>
      <c r="DI234" s="41"/>
      <c r="DJ234" s="41"/>
      <c r="DK234" s="41"/>
      <c r="DL234" s="41"/>
      <c r="DM234" s="41"/>
      <c r="DN234" s="41"/>
      <c r="DO234" s="41"/>
      <c r="DP234" s="41"/>
      <c r="DQ234" s="41"/>
      <c r="DR234" s="41"/>
      <c r="DS234" s="43"/>
      <c r="DT234" s="44">
        <f t="shared" ref="DT234" si="216">SUM(F234:DR234)</f>
        <v>1</v>
      </c>
    </row>
    <row r="235" spans="2:124" s="13" customFormat="1">
      <c r="B235" s="4">
        <f>'6.1Personnel List'!B236</f>
        <v>223</v>
      </c>
      <c r="C235" s="45" t="s">
        <v>347</v>
      </c>
      <c r="D235" s="45" t="str">
        <f>'6.1Personnel List'!D236</f>
        <v>Medical Specialist IV (P.T.)</v>
      </c>
      <c r="E235" s="45" t="str">
        <f>'6.1Personnel List'!H236</f>
        <v>PT</v>
      </c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41"/>
      <c r="BB235" s="41"/>
      <c r="BC235" s="41"/>
      <c r="BD235" s="41"/>
      <c r="BE235" s="41"/>
      <c r="BF235" s="41"/>
      <c r="BG235" s="41"/>
      <c r="BH235" s="41"/>
      <c r="BJ235" s="41"/>
      <c r="BK235" s="41"/>
      <c r="BL235" s="41"/>
      <c r="BM235" s="41"/>
      <c r="BN235" s="41"/>
      <c r="BO235" s="41"/>
      <c r="BP235" s="41"/>
      <c r="BQ235" s="41"/>
      <c r="BR235" s="41"/>
      <c r="BS235" s="41"/>
      <c r="BT235" s="41"/>
      <c r="BU235" s="41"/>
      <c r="BV235" s="41"/>
      <c r="BW235" s="41"/>
      <c r="BX235" s="41"/>
      <c r="BY235" s="41"/>
      <c r="BZ235" s="41"/>
      <c r="CA235" s="41"/>
      <c r="CB235" s="41"/>
      <c r="CC235" s="41"/>
      <c r="CD235" s="41"/>
      <c r="CE235" s="41"/>
      <c r="CF235" s="41"/>
      <c r="CG235" s="41"/>
      <c r="CH235" s="41"/>
      <c r="CI235" s="41"/>
      <c r="CJ235" s="41"/>
      <c r="CK235" s="41"/>
      <c r="CL235" s="41">
        <v>0.3</v>
      </c>
      <c r="CM235" s="41"/>
      <c r="CN235" s="41"/>
      <c r="CO235" s="41"/>
      <c r="CP235" s="41"/>
      <c r="CQ235" s="41"/>
      <c r="CR235" s="41"/>
      <c r="CS235" s="41"/>
      <c r="CT235" s="41">
        <v>0.3</v>
      </c>
      <c r="CU235" s="41">
        <v>0.4</v>
      </c>
      <c r="CV235" s="41"/>
      <c r="CW235" s="41"/>
      <c r="CX235" s="41"/>
      <c r="CY235" s="41"/>
      <c r="CZ235" s="41"/>
      <c r="DA235" s="41"/>
      <c r="DB235" s="41"/>
      <c r="DC235" s="41"/>
      <c r="DD235" s="41"/>
      <c r="DE235" s="41"/>
      <c r="DF235" s="41"/>
      <c r="DG235" s="41"/>
      <c r="DH235" s="41"/>
      <c r="DI235" s="41"/>
      <c r="DJ235" s="41"/>
      <c r="DK235" s="41"/>
      <c r="DL235" s="41"/>
      <c r="DM235" s="41"/>
      <c r="DN235" s="41"/>
      <c r="DO235" s="41"/>
      <c r="DP235" s="41"/>
      <c r="DQ235" s="41"/>
      <c r="DR235" s="41"/>
      <c r="DS235" s="43"/>
      <c r="DT235" s="44">
        <f t="shared" ref="DT235" si="217">SUM(F235:DR235)</f>
        <v>1</v>
      </c>
    </row>
    <row r="236" spans="2:124" s="13" customFormat="1">
      <c r="B236" s="4">
        <f>'6.1Personnel List'!B237</f>
        <v>224</v>
      </c>
      <c r="C236" s="45" t="s">
        <v>348</v>
      </c>
      <c r="D236" s="45" t="str">
        <f>'6.1Personnel List'!D237</f>
        <v>Medical Specialist III (P.T.)</v>
      </c>
      <c r="E236" s="45" t="str">
        <f>'6.1Personnel List'!H237</f>
        <v>PT</v>
      </c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41"/>
      <c r="BB236" s="41"/>
      <c r="BC236" s="41"/>
      <c r="BD236" s="41"/>
      <c r="BE236" s="41"/>
      <c r="BF236" s="41"/>
      <c r="BG236" s="41"/>
      <c r="BH236" s="41"/>
      <c r="BJ236" s="41"/>
      <c r="BK236" s="41"/>
      <c r="BL236" s="41"/>
      <c r="BM236" s="41"/>
      <c r="BN236" s="41"/>
      <c r="BO236" s="41"/>
      <c r="BP236" s="41"/>
      <c r="BQ236" s="41"/>
      <c r="BR236" s="41"/>
      <c r="BS236" s="41"/>
      <c r="BT236" s="41"/>
      <c r="BU236" s="41"/>
      <c r="BV236" s="41"/>
      <c r="BW236" s="41"/>
      <c r="BX236" s="41"/>
      <c r="BY236" s="41"/>
      <c r="BZ236" s="41"/>
      <c r="CA236" s="41"/>
      <c r="CB236" s="41"/>
      <c r="CC236" s="41"/>
      <c r="CD236" s="41"/>
      <c r="CE236" s="41"/>
      <c r="CF236" s="41"/>
      <c r="CG236" s="41"/>
      <c r="CH236" s="41"/>
      <c r="CI236" s="41"/>
      <c r="CJ236" s="41"/>
      <c r="CK236" s="41"/>
      <c r="CL236" s="41">
        <v>0.3</v>
      </c>
      <c r="CM236" s="41"/>
      <c r="CN236" s="41"/>
      <c r="CO236" s="41"/>
      <c r="CP236" s="41"/>
      <c r="CQ236" s="41"/>
      <c r="CR236" s="41"/>
      <c r="CS236" s="41"/>
      <c r="CT236" s="41">
        <v>0.3</v>
      </c>
      <c r="CU236" s="41">
        <v>0.4</v>
      </c>
      <c r="CV236" s="41"/>
      <c r="CW236" s="41"/>
      <c r="CX236" s="41"/>
      <c r="CY236" s="41"/>
      <c r="CZ236" s="41"/>
      <c r="DA236" s="41"/>
      <c r="DB236" s="41"/>
      <c r="DC236" s="41"/>
      <c r="DD236" s="41"/>
      <c r="DE236" s="41"/>
      <c r="DF236" s="41"/>
      <c r="DG236" s="41"/>
      <c r="DH236" s="41"/>
      <c r="DI236" s="41"/>
      <c r="DJ236" s="41"/>
      <c r="DK236" s="41"/>
      <c r="DL236" s="41"/>
      <c r="DM236" s="41"/>
      <c r="DN236" s="41"/>
      <c r="DO236" s="41"/>
      <c r="DP236" s="41"/>
      <c r="DQ236" s="41"/>
      <c r="DR236" s="41"/>
      <c r="DS236" s="43"/>
      <c r="DT236" s="44">
        <f t="shared" ref="DT236" si="218">SUM(F236:DR236)</f>
        <v>1</v>
      </c>
    </row>
    <row r="237" spans="2:124" s="13" customFormat="1">
      <c r="B237" s="4">
        <f>'6.1Personnel List'!B238</f>
        <v>225</v>
      </c>
      <c r="C237" s="45" t="s">
        <v>349</v>
      </c>
      <c r="D237" s="45" t="str">
        <f>'6.1Personnel List'!D238</f>
        <v>Medical Specialist III (P.T.)</v>
      </c>
      <c r="E237" s="45" t="str">
        <f>'6.1Personnel List'!H238</f>
        <v>PT</v>
      </c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41"/>
      <c r="BB237" s="41"/>
      <c r="BC237" s="41"/>
      <c r="BD237" s="41"/>
      <c r="BE237" s="41"/>
      <c r="BF237" s="41"/>
      <c r="BG237" s="41"/>
      <c r="BH237" s="41"/>
      <c r="BJ237" s="41"/>
      <c r="BK237" s="41"/>
      <c r="BL237" s="41"/>
      <c r="BM237" s="41"/>
      <c r="BN237" s="41"/>
      <c r="BO237" s="41"/>
      <c r="BP237" s="41"/>
      <c r="BQ237" s="41"/>
      <c r="BR237" s="41"/>
      <c r="BS237" s="41"/>
      <c r="BT237" s="41"/>
      <c r="BU237" s="41"/>
      <c r="BV237" s="41"/>
      <c r="BW237" s="41"/>
      <c r="BX237" s="41"/>
      <c r="BY237" s="41"/>
      <c r="BZ237" s="41"/>
      <c r="CA237" s="41"/>
      <c r="CB237" s="41"/>
      <c r="CC237" s="41"/>
      <c r="CD237" s="41"/>
      <c r="CE237" s="41"/>
      <c r="CF237" s="41"/>
      <c r="CG237" s="41"/>
      <c r="CH237" s="41"/>
      <c r="CI237" s="41"/>
      <c r="CJ237" s="41"/>
      <c r="CK237" s="41"/>
      <c r="CL237" s="41">
        <v>0.3</v>
      </c>
      <c r="CM237" s="41"/>
      <c r="CN237" s="41"/>
      <c r="CO237" s="41"/>
      <c r="CP237" s="41"/>
      <c r="CQ237" s="41"/>
      <c r="CR237" s="41"/>
      <c r="CS237" s="41"/>
      <c r="CT237" s="41">
        <v>0.3</v>
      </c>
      <c r="CU237" s="41">
        <v>0.4</v>
      </c>
      <c r="CV237" s="41"/>
      <c r="CW237" s="41"/>
      <c r="CX237" s="41"/>
      <c r="CY237" s="41"/>
      <c r="CZ237" s="41"/>
      <c r="DA237" s="41"/>
      <c r="DB237" s="41"/>
      <c r="DC237" s="41"/>
      <c r="DD237" s="41"/>
      <c r="DE237" s="41"/>
      <c r="DF237" s="41"/>
      <c r="DG237" s="41"/>
      <c r="DH237" s="41"/>
      <c r="DI237" s="41"/>
      <c r="DJ237" s="41"/>
      <c r="DK237" s="41"/>
      <c r="DL237" s="41"/>
      <c r="DM237" s="41"/>
      <c r="DN237" s="41"/>
      <c r="DO237" s="41"/>
      <c r="DP237" s="41"/>
      <c r="DQ237" s="41"/>
      <c r="DR237" s="41"/>
      <c r="DS237" s="43"/>
      <c r="DT237" s="44">
        <f t="shared" ref="DT237" si="219">SUM(F237:DR237)</f>
        <v>1</v>
      </c>
    </row>
    <row r="238" spans="2:124" s="13" customFormat="1">
      <c r="B238" s="4">
        <f>'6.1Personnel List'!B239</f>
        <v>226</v>
      </c>
      <c r="C238" s="45" t="s">
        <v>350</v>
      </c>
      <c r="D238" s="45" t="str">
        <f>'6.1Personnel List'!D239</f>
        <v>Medical Specialist III (P.T.)</v>
      </c>
      <c r="E238" s="45" t="str">
        <f>'6.1Personnel List'!H239</f>
        <v>PT</v>
      </c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41"/>
      <c r="BB238" s="41"/>
      <c r="BC238" s="41"/>
      <c r="BD238" s="41"/>
      <c r="BE238" s="41"/>
      <c r="BF238" s="41"/>
      <c r="BG238" s="41"/>
      <c r="BH238" s="41"/>
      <c r="BJ238" s="41"/>
      <c r="BK238" s="41"/>
      <c r="BL238" s="41"/>
      <c r="BM238" s="41"/>
      <c r="BN238" s="41"/>
      <c r="BO238" s="41"/>
      <c r="BP238" s="41"/>
      <c r="BQ238" s="41"/>
      <c r="BR238" s="41"/>
      <c r="BS238" s="41"/>
      <c r="BT238" s="41"/>
      <c r="BU238" s="41"/>
      <c r="BV238" s="41"/>
      <c r="BW238" s="41"/>
      <c r="BX238" s="41"/>
      <c r="BY238" s="41"/>
      <c r="BZ238" s="41"/>
      <c r="CA238" s="41"/>
      <c r="CB238" s="41"/>
      <c r="CC238" s="41"/>
      <c r="CD238" s="41"/>
      <c r="CE238" s="41"/>
      <c r="CF238" s="41"/>
      <c r="CG238" s="41"/>
      <c r="CH238" s="41"/>
      <c r="CI238" s="41"/>
      <c r="CJ238" s="41"/>
      <c r="CK238" s="41"/>
      <c r="CL238" s="41">
        <v>0.3</v>
      </c>
      <c r="CM238" s="41"/>
      <c r="CN238" s="41"/>
      <c r="CO238" s="41"/>
      <c r="CP238" s="41"/>
      <c r="CQ238" s="41"/>
      <c r="CR238" s="41"/>
      <c r="CS238" s="41"/>
      <c r="CT238" s="41">
        <v>0.3</v>
      </c>
      <c r="CU238" s="41">
        <v>0.4</v>
      </c>
      <c r="CV238" s="41"/>
      <c r="CW238" s="41"/>
      <c r="CX238" s="41"/>
      <c r="CY238" s="41"/>
      <c r="CZ238" s="41"/>
      <c r="DA238" s="41"/>
      <c r="DB238" s="41"/>
      <c r="DC238" s="41"/>
      <c r="DD238" s="41"/>
      <c r="DE238" s="41"/>
      <c r="DF238" s="41"/>
      <c r="DG238" s="41"/>
      <c r="DH238" s="41"/>
      <c r="DI238" s="41"/>
      <c r="DJ238" s="41"/>
      <c r="DK238" s="41"/>
      <c r="DL238" s="41"/>
      <c r="DM238" s="41"/>
      <c r="DN238" s="41"/>
      <c r="DO238" s="41"/>
      <c r="DP238" s="41"/>
      <c r="DQ238" s="41"/>
      <c r="DR238" s="41"/>
      <c r="DS238" s="43"/>
      <c r="DT238" s="44">
        <f t="shared" ref="DT238" si="220">SUM(F238:DR238)</f>
        <v>1</v>
      </c>
    </row>
    <row r="239" spans="2:124" s="13" customFormat="1">
      <c r="B239" s="4">
        <f>'6.1Personnel List'!B240</f>
        <v>227</v>
      </c>
      <c r="C239" s="45" t="s">
        <v>351</v>
      </c>
      <c r="D239" s="45" t="str">
        <f>'6.1Personnel List'!D240</f>
        <v>Medical Specialist III (P.T.)</v>
      </c>
      <c r="E239" s="45" t="str">
        <f>'6.1Personnel List'!H240</f>
        <v>PT</v>
      </c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41"/>
      <c r="BB239" s="41"/>
      <c r="BC239" s="41"/>
      <c r="BD239" s="41"/>
      <c r="BE239" s="41"/>
      <c r="BF239" s="41"/>
      <c r="BG239" s="41"/>
      <c r="BH239" s="41"/>
      <c r="BJ239" s="41"/>
      <c r="BK239" s="41"/>
      <c r="BL239" s="41"/>
      <c r="BM239" s="41"/>
      <c r="BN239" s="41"/>
      <c r="BO239" s="41"/>
      <c r="BP239" s="41"/>
      <c r="BQ239" s="41"/>
      <c r="BR239" s="41"/>
      <c r="BS239" s="41"/>
      <c r="BT239" s="41"/>
      <c r="BU239" s="41"/>
      <c r="BV239" s="41"/>
      <c r="BW239" s="41"/>
      <c r="BX239" s="41"/>
      <c r="BY239" s="41"/>
      <c r="BZ239" s="41"/>
      <c r="CA239" s="41"/>
      <c r="CB239" s="41"/>
      <c r="CC239" s="41"/>
      <c r="CD239" s="41"/>
      <c r="CE239" s="41"/>
      <c r="CF239" s="41"/>
      <c r="CG239" s="41"/>
      <c r="CH239" s="41"/>
      <c r="CI239" s="41"/>
      <c r="CJ239" s="41"/>
      <c r="CK239" s="41"/>
      <c r="CL239" s="41">
        <v>0.3</v>
      </c>
      <c r="CM239" s="41"/>
      <c r="CN239" s="41"/>
      <c r="CO239" s="41"/>
      <c r="CP239" s="41"/>
      <c r="CQ239" s="41"/>
      <c r="CR239" s="41"/>
      <c r="CS239" s="41"/>
      <c r="CT239" s="41">
        <v>0.3</v>
      </c>
      <c r="CU239" s="41">
        <v>0.4</v>
      </c>
      <c r="CV239" s="41"/>
      <c r="CW239" s="41"/>
      <c r="CX239" s="41"/>
      <c r="CY239" s="41"/>
      <c r="CZ239" s="41"/>
      <c r="DA239" s="41"/>
      <c r="DB239" s="41"/>
      <c r="DC239" s="41"/>
      <c r="DD239" s="41"/>
      <c r="DE239" s="41"/>
      <c r="DF239" s="41"/>
      <c r="DG239" s="41"/>
      <c r="DH239" s="41"/>
      <c r="DI239" s="41"/>
      <c r="DJ239" s="41"/>
      <c r="DK239" s="41"/>
      <c r="DL239" s="41"/>
      <c r="DM239" s="41"/>
      <c r="DN239" s="41"/>
      <c r="DO239" s="41"/>
      <c r="DP239" s="41"/>
      <c r="DQ239" s="41"/>
      <c r="DR239" s="41"/>
      <c r="DS239" s="43"/>
      <c r="DT239" s="44">
        <f t="shared" ref="DT239" si="221">SUM(F239:DR239)</f>
        <v>1</v>
      </c>
    </row>
    <row r="240" spans="2:124" s="13" customFormat="1">
      <c r="B240" s="4">
        <f>'6.1Personnel List'!B241</f>
        <v>228</v>
      </c>
      <c r="C240" s="45" t="s">
        <v>352</v>
      </c>
      <c r="D240" s="45" t="str">
        <f>'6.1Personnel List'!D241</f>
        <v>Medical Specialist III (P.T.)</v>
      </c>
      <c r="E240" s="45" t="str">
        <f>'6.1Personnel List'!H241</f>
        <v>PT</v>
      </c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41"/>
      <c r="BB240" s="41"/>
      <c r="BC240" s="41"/>
      <c r="BD240" s="41"/>
      <c r="BE240" s="41"/>
      <c r="BF240" s="41"/>
      <c r="BG240" s="41"/>
      <c r="BH240" s="41"/>
      <c r="BJ240" s="41"/>
      <c r="BK240" s="41"/>
      <c r="BL240" s="41"/>
      <c r="BM240" s="41"/>
      <c r="BN240" s="41"/>
      <c r="BO240" s="41"/>
      <c r="BP240" s="41"/>
      <c r="BQ240" s="41"/>
      <c r="BR240" s="41"/>
      <c r="BS240" s="41"/>
      <c r="BT240" s="41"/>
      <c r="BU240" s="41"/>
      <c r="BV240" s="41"/>
      <c r="BW240" s="41"/>
      <c r="BX240" s="41"/>
      <c r="BY240" s="41"/>
      <c r="BZ240" s="41"/>
      <c r="CA240" s="41"/>
      <c r="CB240" s="41"/>
      <c r="CC240" s="41"/>
      <c r="CD240" s="41"/>
      <c r="CE240" s="41"/>
      <c r="CF240" s="41"/>
      <c r="CG240" s="41"/>
      <c r="CH240" s="41"/>
      <c r="CI240" s="41"/>
      <c r="CJ240" s="41"/>
      <c r="CK240" s="41"/>
      <c r="CL240" s="41">
        <v>0.3</v>
      </c>
      <c r="CM240" s="41"/>
      <c r="CN240" s="41"/>
      <c r="CO240" s="41"/>
      <c r="CP240" s="41"/>
      <c r="CQ240" s="41"/>
      <c r="CR240" s="41"/>
      <c r="CS240" s="41"/>
      <c r="CT240" s="41">
        <v>0.3</v>
      </c>
      <c r="CU240" s="41">
        <v>0.4</v>
      </c>
      <c r="CV240" s="41"/>
      <c r="CW240" s="41"/>
      <c r="CX240" s="41"/>
      <c r="CY240" s="41"/>
      <c r="CZ240" s="41"/>
      <c r="DA240" s="41"/>
      <c r="DB240" s="41"/>
      <c r="DC240" s="41"/>
      <c r="DD240" s="41"/>
      <c r="DE240" s="41"/>
      <c r="DF240" s="41"/>
      <c r="DG240" s="41"/>
      <c r="DH240" s="41"/>
      <c r="DI240" s="41"/>
      <c r="DJ240" s="41"/>
      <c r="DK240" s="41"/>
      <c r="DL240" s="41"/>
      <c r="DM240" s="41"/>
      <c r="DN240" s="41"/>
      <c r="DO240" s="41"/>
      <c r="DP240" s="41"/>
      <c r="DQ240" s="41"/>
      <c r="DR240" s="41"/>
      <c r="DS240" s="43"/>
      <c r="DT240" s="44">
        <f t="shared" ref="DT240" si="222">SUM(F240:DR240)</f>
        <v>1</v>
      </c>
    </row>
    <row r="241" spans="2:124" s="13" customFormat="1">
      <c r="B241" s="4">
        <f>'6.1Personnel List'!B242</f>
        <v>229</v>
      </c>
      <c r="C241" s="45" t="s">
        <v>353</v>
      </c>
      <c r="D241" s="45" t="str">
        <f>'6.1Personnel List'!D242</f>
        <v>Medical Specialist II (P.T.)</v>
      </c>
      <c r="E241" s="45" t="str">
        <f>'6.1Personnel List'!H242</f>
        <v>PT</v>
      </c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41"/>
      <c r="BB241" s="41"/>
      <c r="BC241" s="41"/>
      <c r="BD241" s="41"/>
      <c r="BE241" s="41"/>
      <c r="BF241" s="41"/>
      <c r="BG241" s="41"/>
      <c r="BH241" s="41"/>
      <c r="BJ241" s="41"/>
      <c r="BK241" s="41"/>
      <c r="BL241" s="41"/>
      <c r="BM241" s="41"/>
      <c r="BN241" s="41"/>
      <c r="BO241" s="41"/>
      <c r="BP241" s="41"/>
      <c r="BQ241" s="41"/>
      <c r="BR241" s="41"/>
      <c r="BS241" s="41"/>
      <c r="BT241" s="41"/>
      <c r="BU241" s="41"/>
      <c r="BV241" s="41"/>
      <c r="BW241" s="41"/>
      <c r="BX241" s="41"/>
      <c r="BY241" s="41"/>
      <c r="BZ241" s="41"/>
      <c r="CA241" s="41"/>
      <c r="CB241" s="41"/>
      <c r="CC241" s="41"/>
      <c r="CD241" s="41"/>
      <c r="CE241" s="41"/>
      <c r="CF241" s="41"/>
      <c r="CG241" s="41"/>
      <c r="CH241" s="41"/>
      <c r="CI241" s="41"/>
      <c r="CJ241" s="41"/>
      <c r="CK241" s="41"/>
      <c r="CL241" s="41">
        <v>0.3</v>
      </c>
      <c r="CM241" s="41"/>
      <c r="CN241" s="41"/>
      <c r="CO241" s="41"/>
      <c r="CP241" s="41"/>
      <c r="CQ241" s="41"/>
      <c r="CR241" s="41"/>
      <c r="CS241" s="41"/>
      <c r="CT241" s="41">
        <v>0.3</v>
      </c>
      <c r="CU241" s="41">
        <v>0.4</v>
      </c>
      <c r="CV241" s="41"/>
      <c r="CW241" s="41"/>
      <c r="CX241" s="41"/>
      <c r="CY241" s="41"/>
      <c r="CZ241" s="41"/>
      <c r="DA241" s="41"/>
      <c r="DB241" s="41"/>
      <c r="DC241" s="41"/>
      <c r="DD241" s="41"/>
      <c r="DE241" s="41"/>
      <c r="DF241" s="41"/>
      <c r="DG241" s="41"/>
      <c r="DH241" s="41"/>
      <c r="DI241" s="41"/>
      <c r="DJ241" s="41"/>
      <c r="DK241" s="41"/>
      <c r="DL241" s="41"/>
      <c r="DM241" s="41"/>
      <c r="DN241" s="41"/>
      <c r="DO241" s="41"/>
      <c r="DP241" s="41"/>
      <c r="DQ241" s="41"/>
      <c r="DR241" s="41"/>
      <c r="DS241" s="43"/>
      <c r="DT241" s="44">
        <f t="shared" ref="DT241" si="223">SUM(F241:DR241)</f>
        <v>1</v>
      </c>
    </row>
    <row r="242" spans="2:124" s="13" customFormat="1">
      <c r="B242" s="4">
        <f>'6.1Personnel List'!B243</f>
        <v>230</v>
      </c>
      <c r="C242" s="45" t="s">
        <v>354</v>
      </c>
      <c r="D242" s="45" t="str">
        <f>'6.1Personnel List'!D243</f>
        <v>Medical Officer IV</v>
      </c>
      <c r="E242" s="45" t="str">
        <f>'6.1Personnel List'!H243</f>
        <v>FT</v>
      </c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41"/>
      <c r="BB242" s="41"/>
      <c r="BC242" s="41"/>
      <c r="BD242" s="41"/>
      <c r="BE242" s="41"/>
      <c r="BF242" s="41"/>
      <c r="BG242" s="41"/>
      <c r="BH242" s="41"/>
      <c r="BJ242" s="41"/>
      <c r="BK242" s="41"/>
      <c r="BL242" s="41"/>
      <c r="BM242" s="41"/>
      <c r="BN242" s="41"/>
      <c r="BO242" s="41"/>
      <c r="BP242" s="41"/>
      <c r="BQ242" s="41"/>
      <c r="BR242" s="41"/>
      <c r="BS242" s="41"/>
      <c r="BT242" s="41"/>
      <c r="BU242" s="41"/>
      <c r="BV242" s="41"/>
      <c r="BW242" s="41"/>
      <c r="BX242" s="41"/>
      <c r="BY242" s="41"/>
      <c r="BZ242" s="41"/>
      <c r="CA242" s="41"/>
      <c r="CB242" s="41"/>
      <c r="CC242" s="41"/>
      <c r="CD242" s="41"/>
      <c r="CE242" s="41"/>
      <c r="CF242" s="41"/>
      <c r="CG242" s="41"/>
      <c r="CH242" s="41"/>
      <c r="CI242" s="41"/>
      <c r="CJ242" s="41"/>
      <c r="CK242" s="41"/>
      <c r="CL242" s="41">
        <v>0.3</v>
      </c>
      <c r="CM242" s="41"/>
      <c r="CN242" s="41"/>
      <c r="CO242" s="41"/>
      <c r="CP242" s="41"/>
      <c r="CQ242" s="41"/>
      <c r="CR242" s="41"/>
      <c r="CS242" s="41"/>
      <c r="CT242" s="41">
        <v>0.3</v>
      </c>
      <c r="CU242" s="41">
        <v>0.4</v>
      </c>
      <c r="CV242" s="41"/>
      <c r="CW242" s="41"/>
      <c r="CX242" s="41"/>
      <c r="CY242" s="41"/>
      <c r="CZ242" s="41"/>
      <c r="DA242" s="41"/>
      <c r="DB242" s="41"/>
      <c r="DC242" s="41"/>
      <c r="DD242" s="41"/>
      <c r="DE242" s="41"/>
      <c r="DF242" s="41"/>
      <c r="DG242" s="41"/>
      <c r="DH242" s="41"/>
      <c r="DI242" s="41"/>
      <c r="DJ242" s="41"/>
      <c r="DK242" s="41"/>
      <c r="DL242" s="41"/>
      <c r="DM242" s="41"/>
      <c r="DN242" s="41"/>
      <c r="DO242" s="41"/>
      <c r="DP242" s="41"/>
      <c r="DQ242" s="41"/>
      <c r="DR242" s="41"/>
      <c r="DS242" s="43"/>
      <c r="DT242" s="44">
        <f t="shared" ref="DT242" si="224">SUM(F242:DR242)</f>
        <v>1</v>
      </c>
    </row>
    <row r="243" spans="2:124" s="13" customFormat="1">
      <c r="B243" s="4">
        <f>'6.1Personnel List'!B244</f>
        <v>231</v>
      </c>
      <c r="C243" s="45" t="s">
        <v>355</v>
      </c>
      <c r="D243" s="45" t="str">
        <f>'6.1Personnel List'!D244</f>
        <v>Medical Officer IV</v>
      </c>
      <c r="E243" s="45" t="str">
        <f>'6.1Personnel List'!H244</f>
        <v>FT</v>
      </c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41"/>
      <c r="BB243" s="41"/>
      <c r="BC243" s="41"/>
      <c r="BD243" s="41"/>
      <c r="BE243" s="41"/>
      <c r="BF243" s="41"/>
      <c r="BG243" s="41"/>
      <c r="BH243" s="41"/>
      <c r="BJ243" s="41"/>
      <c r="BK243" s="41"/>
      <c r="BL243" s="41"/>
      <c r="BM243" s="41"/>
      <c r="BN243" s="41"/>
      <c r="BO243" s="41"/>
      <c r="BP243" s="41"/>
      <c r="BQ243" s="41"/>
      <c r="BR243" s="41"/>
      <c r="BS243" s="41"/>
      <c r="BT243" s="41"/>
      <c r="BU243" s="41"/>
      <c r="BV243" s="41"/>
      <c r="BW243" s="41"/>
      <c r="BX243" s="41"/>
      <c r="BY243" s="41"/>
      <c r="BZ243" s="41"/>
      <c r="CA243" s="41"/>
      <c r="CB243" s="41"/>
      <c r="CC243" s="41"/>
      <c r="CD243" s="41"/>
      <c r="CE243" s="41"/>
      <c r="CF243" s="41"/>
      <c r="CG243" s="41"/>
      <c r="CH243" s="41"/>
      <c r="CI243" s="41"/>
      <c r="CJ243" s="41"/>
      <c r="CK243" s="41"/>
      <c r="CL243" s="41">
        <v>0.3</v>
      </c>
      <c r="CM243" s="41"/>
      <c r="CN243" s="41"/>
      <c r="CO243" s="41"/>
      <c r="CP243" s="41"/>
      <c r="CQ243" s="41"/>
      <c r="CR243" s="41"/>
      <c r="CS243" s="41"/>
      <c r="CT243" s="41">
        <v>0.3</v>
      </c>
      <c r="CU243" s="41">
        <v>0.4</v>
      </c>
      <c r="CV243" s="41"/>
      <c r="CW243" s="41"/>
      <c r="CX243" s="41"/>
      <c r="CY243" s="41"/>
      <c r="CZ243" s="41"/>
      <c r="DA243" s="41"/>
      <c r="DB243" s="41"/>
      <c r="DC243" s="41"/>
      <c r="DD243" s="41"/>
      <c r="DE243" s="41"/>
      <c r="DF243" s="41"/>
      <c r="DG243" s="41"/>
      <c r="DH243" s="41"/>
      <c r="DI243" s="41"/>
      <c r="DJ243" s="41"/>
      <c r="DK243" s="41"/>
      <c r="DL243" s="41"/>
      <c r="DM243" s="41"/>
      <c r="DN243" s="41"/>
      <c r="DO243" s="41"/>
      <c r="DP243" s="41"/>
      <c r="DQ243" s="41"/>
      <c r="DR243" s="41"/>
      <c r="DS243" s="43"/>
      <c r="DT243" s="44">
        <f t="shared" ref="DT243" si="225">SUM(F243:DR243)</f>
        <v>1</v>
      </c>
    </row>
    <row r="244" spans="2:124" s="13" customFormat="1">
      <c r="B244" s="4">
        <f>'6.1Personnel List'!B245</f>
        <v>232</v>
      </c>
      <c r="C244" s="45" t="s">
        <v>356</v>
      </c>
      <c r="D244" s="45" t="str">
        <f>'6.1Personnel List'!D245</f>
        <v>Medical Officer IV</v>
      </c>
      <c r="E244" s="45" t="str">
        <f>'6.1Personnel List'!H245</f>
        <v>FT</v>
      </c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41"/>
      <c r="CB244" s="4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>
        <v>0.3</v>
      </c>
      <c r="CM244" s="41"/>
      <c r="CN244" s="41"/>
      <c r="CO244" s="41"/>
      <c r="CP244" s="41"/>
      <c r="CQ244" s="41"/>
      <c r="CR244" s="41"/>
      <c r="CS244" s="41"/>
      <c r="CT244" s="41">
        <v>0.3</v>
      </c>
      <c r="CU244" s="41">
        <v>0.4</v>
      </c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3"/>
      <c r="DT244" s="44">
        <f t="shared" ref="DT244" si="226">SUM(F244:DR244)</f>
        <v>1</v>
      </c>
    </row>
    <row r="245" spans="2:124" s="13" customFormat="1">
      <c r="B245" s="4">
        <f>'6.1Personnel List'!B246</f>
        <v>233</v>
      </c>
      <c r="C245" s="45" t="s">
        <v>357</v>
      </c>
      <c r="D245" s="45" t="str">
        <f>'6.1Personnel List'!D246</f>
        <v>Medical Officer IV</v>
      </c>
      <c r="E245" s="45" t="str">
        <f>'6.1Personnel List'!H246</f>
        <v>FT</v>
      </c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41"/>
      <c r="CB245" s="4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>
        <v>0.3</v>
      </c>
      <c r="CM245" s="41"/>
      <c r="CN245" s="41"/>
      <c r="CO245" s="41"/>
      <c r="CP245" s="41"/>
      <c r="CQ245" s="41"/>
      <c r="CR245" s="41"/>
      <c r="CS245" s="41"/>
      <c r="CT245" s="41">
        <v>0.3</v>
      </c>
      <c r="CU245" s="41">
        <v>0.4</v>
      </c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3"/>
      <c r="DT245" s="44">
        <f t="shared" ref="DT245" si="227">SUM(F245:DR245)</f>
        <v>1</v>
      </c>
    </row>
    <row r="246" spans="2:124" s="13" customFormat="1">
      <c r="B246" s="4">
        <f>'6.1Personnel List'!B247</f>
        <v>234</v>
      </c>
      <c r="C246" s="45" t="s">
        <v>358</v>
      </c>
      <c r="D246" s="45" t="str">
        <f>'6.1Personnel List'!D247</f>
        <v>Medical Officer III</v>
      </c>
      <c r="E246" s="45" t="str">
        <f>'6.1Personnel List'!H247</f>
        <v>FT</v>
      </c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41"/>
      <c r="CB246" s="4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>
        <v>0.3</v>
      </c>
      <c r="CM246" s="41"/>
      <c r="CN246" s="41"/>
      <c r="CO246" s="41"/>
      <c r="CP246" s="41"/>
      <c r="CQ246" s="41"/>
      <c r="CR246" s="41"/>
      <c r="CS246" s="41"/>
      <c r="CT246" s="41">
        <v>0.3</v>
      </c>
      <c r="CU246" s="41">
        <v>0.4</v>
      </c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3"/>
      <c r="DT246" s="44">
        <f t="shared" ref="DT246" si="228">SUM(F246:DR246)</f>
        <v>1</v>
      </c>
    </row>
    <row r="247" spans="2:124" s="13" customFormat="1">
      <c r="B247" s="4">
        <f>'6.1Personnel List'!B248</f>
        <v>235</v>
      </c>
      <c r="C247" s="45" t="s">
        <v>359</v>
      </c>
      <c r="D247" s="45" t="str">
        <f>'6.1Personnel List'!D248</f>
        <v>Medical Officer III</v>
      </c>
      <c r="E247" s="45" t="str">
        <f>'6.1Personnel List'!H248</f>
        <v>FT</v>
      </c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J247" s="41"/>
      <c r="BK247" s="41"/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41"/>
      <c r="CB247" s="4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>
        <v>0.2</v>
      </c>
      <c r="CM247" s="41"/>
      <c r="CN247" s="41"/>
      <c r="CO247" s="41"/>
      <c r="CP247" s="41"/>
      <c r="CQ247" s="41"/>
      <c r="CR247" s="41"/>
      <c r="CS247" s="41"/>
      <c r="CT247" s="41">
        <v>0.2</v>
      </c>
      <c r="CU247" s="41">
        <v>0.5</v>
      </c>
      <c r="CV247" s="41"/>
      <c r="CW247" s="41"/>
      <c r="CX247" s="41"/>
      <c r="CY247" s="41"/>
      <c r="CZ247" s="41"/>
      <c r="DA247" s="41"/>
      <c r="DB247" s="41"/>
      <c r="DC247" s="41"/>
      <c r="DD247" s="41">
        <v>0.1</v>
      </c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3"/>
      <c r="DT247" s="44">
        <f t="shared" ref="DT247" si="229">SUM(F247:DR247)</f>
        <v>1</v>
      </c>
    </row>
    <row r="248" spans="2:124" s="13" customFormat="1">
      <c r="B248" s="4">
        <f>'6.1Personnel List'!B249</f>
        <v>236</v>
      </c>
      <c r="C248" s="45" t="s">
        <v>360</v>
      </c>
      <c r="D248" s="45" t="str">
        <f>'6.1Personnel List'!D249</f>
        <v>Medical Officer III</v>
      </c>
      <c r="E248" s="45" t="str">
        <f>'6.1Personnel List'!H249</f>
        <v>FT</v>
      </c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41"/>
      <c r="BB248" s="41"/>
      <c r="BC248" s="41"/>
      <c r="BD248" s="41"/>
      <c r="BE248" s="41"/>
      <c r="BF248" s="41"/>
      <c r="BG248" s="41"/>
      <c r="BH248" s="41"/>
      <c r="BJ248" s="41"/>
      <c r="BK248" s="41"/>
      <c r="BL248" s="41"/>
      <c r="BM248" s="41"/>
      <c r="BN248" s="41"/>
      <c r="BO248" s="41"/>
      <c r="BP248" s="41"/>
      <c r="BQ248" s="41"/>
      <c r="BR248" s="41"/>
      <c r="BS248" s="41"/>
      <c r="BT248" s="41"/>
      <c r="BU248" s="41"/>
      <c r="BV248" s="41"/>
      <c r="BW248" s="41"/>
      <c r="BX248" s="41"/>
      <c r="BY248" s="41"/>
      <c r="BZ248" s="41"/>
      <c r="CA248" s="41"/>
      <c r="CB248" s="4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>
        <v>0.2</v>
      </c>
      <c r="CM248" s="41"/>
      <c r="CN248" s="41"/>
      <c r="CO248" s="41"/>
      <c r="CP248" s="41"/>
      <c r="CQ248" s="41"/>
      <c r="CR248" s="41"/>
      <c r="CS248" s="41"/>
      <c r="CT248" s="41">
        <v>0.2</v>
      </c>
      <c r="CU248" s="41">
        <v>0.5</v>
      </c>
      <c r="CV248" s="41"/>
      <c r="CW248" s="41"/>
      <c r="CX248" s="41"/>
      <c r="CY248" s="41"/>
      <c r="CZ248" s="41"/>
      <c r="DA248" s="41"/>
      <c r="DB248" s="41"/>
      <c r="DC248" s="41"/>
      <c r="DD248" s="41">
        <v>0.1</v>
      </c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3"/>
      <c r="DT248" s="44">
        <f t="shared" ref="DT248" si="230">SUM(F248:DR248)</f>
        <v>1</v>
      </c>
    </row>
    <row r="249" spans="2:124" s="13" customFormat="1">
      <c r="B249" s="4">
        <f>'6.1Personnel List'!B250</f>
        <v>237</v>
      </c>
      <c r="C249" s="45" t="s">
        <v>361</v>
      </c>
      <c r="D249" s="45" t="str">
        <f>'6.1Personnel List'!D250</f>
        <v>Medical Officer III</v>
      </c>
      <c r="E249" s="45" t="str">
        <f>'6.1Personnel List'!H250</f>
        <v>FT</v>
      </c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41"/>
      <c r="BB249" s="41"/>
      <c r="BC249" s="41"/>
      <c r="BD249" s="41"/>
      <c r="BE249" s="41"/>
      <c r="BF249" s="41"/>
      <c r="BG249" s="41"/>
      <c r="BH249" s="41"/>
      <c r="BJ249" s="41"/>
      <c r="BK249" s="41"/>
      <c r="BL249" s="41"/>
      <c r="BM249" s="41"/>
      <c r="BN249" s="41"/>
      <c r="BO249" s="41"/>
      <c r="BP249" s="41"/>
      <c r="BQ249" s="41"/>
      <c r="BR249" s="41"/>
      <c r="BS249" s="41"/>
      <c r="BT249" s="41"/>
      <c r="BU249" s="41"/>
      <c r="BV249" s="41"/>
      <c r="BW249" s="41"/>
      <c r="BX249" s="41"/>
      <c r="BY249" s="41"/>
      <c r="BZ249" s="41"/>
      <c r="CA249" s="41"/>
      <c r="CB249" s="4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>
        <v>0.2</v>
      </c>
      <c r="CM249" s="41"/>
      <c r="CN249" s="41"/>
      <c r="CO249" s="41"/>
      <c r="CP249" s="41"/>
      <c r="CQ249" s="41"/>
      <c r="CR249" s="41"/>
      <c r="CS249" s="41"/>
      <c r="CT249" s="41">
        <v>0.2</v>
      </c>
      <c r="CU249" s="41">
        <v>0.5</v>
      </c>
      <c r="CV249" s="41"/>
      <c r="CW249" s="41"/>
      <c r="CX249" s="41"/>
      <c r="CY249" s="41"/>
      <c r="CZ249" s="41"/>
      <c r="DA249" s="41"/>
      <c r="DB249" s="41"/>
      <c r="DC249" s="41"/>
      <c r="DD249" s="41">
        <v>0.1</v>
      </c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3"/>
      <c r="DT249" s="44">
        <f t="shared" ref="DT249" si="231">SUM(F249:DR249)</f>
        <v>1</v>
      </c>
    </row>
    <row r="250" spans="2:124" s="13" customFormat="1">
      <c r="B250" s="4">
        <f>'6.1Personnel List'!B251</f>
        <v>238</v>
      </c>
      <c r="C250" s="45" t="s">
        <v>362</v>
      </c>
      <c r="D250" s="45" t="str">
        <f>'6.1Personnel List'!D251</f>
        <v>Consultant (Job Order)</v>
      </c>
      <c r="E250" s="45" t="str">
        <f>'6.1Personnel List'!H251</f>
        <v>PT</v>
      </c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41"/>
      <c r="CB250" s="4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>
        <v>0.3</v>
      </c>
      <c r="CM250" s="41"/>
      <c r="CN250" s="41"/>
      <c r="CO250" s="41"/>
      <c r="CP250" s="41"/>
      <c r="CQ250" s="41"/>
      <c r="CR250" s="41"/>
      <c r="CS250" s="41"/>
      <c r="CT250" s="41">
        <v>0.3</v>
      </c>
      <c r="CU250" s="41">
        <v>0.4</v>
      </c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3"/>
      <c r="DT250" s="44">
        <f t="shared" ref="DT250" si="232">SUM(F250:DR250)</f>
        <v>1</v>
      </c>
    </row>
    <row r="251" spans="2:124" s="13" customFormat="1">
      <c r="B251" s="4">
        <f>'6.1Personnel List'!B252</f>
        <v>239</v>
      </c>
      <c r="C251" s="45" t="s">
        <v>366</v>
      </c>
      <c r="D251" s="45" t="str">
        <f>'6.1Personnel List'!D252</f>
        <v>Medical Specialist IV - Chairman</v>
      </c>
      <c r="E251" s="45" t="str">
        <f>'6.1Personnel List'!H252</f>
        <v>FT</v>
      </c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41">
        <v>1</v>
      </c>
      <c r="CB251" s="4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3"/>
      <c r="DT251" s="44">
        <f t="shared" ref="DT251" si="233">SUM(F251:DR251)</f>
        <v>1</v>
      </c>
    </row>
    <row r="252" spans="2:124" s="13" customFormat="1">
      <c r="B252" s="4">
        <f>'6.1Personnel List'!B253</f>
        <v>240</v>
      </c>
      <c r="C252" s="45" t="s">
        <v>368</v>
      </c>
      <c r="D252" s="45" t="str">
        <f>'6.1Personnel List'!D253</f>
        <v>Medical Specialist III</v>
      </c>
      <c r="E252" s="45" t="str">
        <f>'6.1Personnel List'!H253</f>
        <v>FT</v>
      </c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41"/>
      <c r="CB252" s="4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>
        <v>0.2</v>
      </c>
      <c r="CU252" s="41">
        <v>0.5</v>
      </c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>
        <v>0.3</v>
      </c>
      <c r="DL252" s="41"/>
      <c r="DM252" s="41"/>
      <c r="DN252" s="41"/>
      <c r="DO252" s="41"/>
      <c r="DP252" s="41"/>
      <c r="DQ252" s="41"/>
      <c r="DR252" s="41"/>
      <c r="DS252" s="43"/>
      <c r="DT252" s="44">
        <f t="shared" ref="DT252" si="234">SUM(F252:DR252)</f>
        <v>1</v>
      </c>
    </row>
    <row r="253" spans="2:124" s="13" customFormat="1">
      <c r="B253" s="4">
        <f>'6.1Personnel List'!B254</f>
        <v>241</v>
      </c>
      <c r="C253" s="45" t="s">
        <v>369</v>
      </c>
      <c r="D253" s="45" t="str">
        <f>'6.1Personnel List'!D254</f>
        <v>Medical Specialist IV (P.T.)</v>
      </c>
      <c r="E253" s="45" t="str">
        <f>'6.1Personnel List'!H254</f>
        <v>PT</v>
      </c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41"/>
      <c r="CB253" s="4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>
        <v>0.2</v>
      </c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>
        <v>0.8</v>
      </c>
      <c r="DL253" s="41"/>
      <c r="DM253" s="41"/>
      <c r="DN253" s="41"/>
      <c r="DO253" s="41"/>
      <c r="DP253" s="41"/>
      <c r="DQ253" s="41"/>
      <c r="DR253" s="41"/>
      <c r="DS253" s="43"/>
      <c r="DT253" s="44">
        <f t="shared" ref="DT253" si="235">SUM(F253:DR253)</f>
        <v>1</v>
      </c>
    </row>
    <row r="254" spans="2:124" s="13" customFormat="1">
      <c r="B254" s="4">
        <f>'6.1Personnel List'!B255</f>
        <v>242</v>
      </c>
      <c r="C254" s="45" t="s">
        <v>370</v>
      </c>
      <c r="D254" s="45" t="str">
        <f>'6.1Personnel List'!D255</f>
        <v>Medical Specialist III (P.T.)</v>
      </c>
      <c r="E254" s="45" t="str">
        <f>'6.1Personnel List'!H255</f>
        <v>PT</v>
      </c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41"/>
      <c r="CB254" s="4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>
        <v>0.7</v>
      </c>
      <c r="CP254" s="41"/>
      <c r="CQ254" s="41"/>
      <c r="CR254" s="41"/>
      <c r="CS254" s="41"/>
      <c r="CT254" s="41">
        <v>0.3</v>
      </c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3"/>
      <c r="DT254" s="44">
        <f t="shared" ref="DT254" si="236">SUM(F254:DR254)</f>
        <v>1</v>
      </c>
    </row>
    <row r="255" spans="2:124" s="13" customFormat="1">
      <c r="B255" s="4">
        <f>'6.1Personnel List'!B256</f>
        <v>243</v>
      </c>
      <c r="C255" s="45" t="s">
        <v>371</v>
      </c>
      <c r="D255" s="45" t="str">
        <f>'6.1Personnel List'!D256</f>
        <v>Medical Specialist III (P.T.)</v>
      </c>
      <c r="E255" s="45" t="str">
        <f>'6.1Personnel List'!H256</f>
        <v>PT</v>
      </c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41"/>
      <c r="CB255" s="4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>
        <v>0.35</v>
      </c>
      <c r="CU255" s="41">
        <v>0.35</v>
      </c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>
        <v>0.3</v>
      </c>
      <c r="DL255" s="41"/>
      <c r="DM255" s="41"/>
      <c r="DN255" s="41"/>
      <c r="DO255" s="41"/>
      <c r="DP255" s="41"/>
      <c r="DQ255" s="41"/>
      <c r="DR255" s="41"/>
      <c r="DS255" s="43"/>
      <c r="DT255" s="44">
        <f t="shared" ref="DT255" si="237">SUM(F255:DR255)</f>
        <v>1</v>
      </c>
    </row>
    <row r="256" spans="2:124" s="13" customFormat="1">
      <c r="B256" s="4">
        <f>'6.1Personnel List'!B257</f>
        <v>244</v>
      </c>
      <c r="C256" s="45" t="s">
        <v>372</v>
      </c>
      <c r="D256" s="45" t="str">
        <f>'6.1Personnel List'!D257</f>
        <v>Medical Specialist III (P.T.)</v>
      </c>
      <c r="E256" s="45" t="str">
        <f>'6.1Personnel List'!H257</f>
        <v>PT</v>
      </c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41"/>
      <c r="CB256" s="4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>
        <v>0.2</v>
      </c>
      <c r="CU256" s="41">
        <v>0.4</v>
      </c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>
        <v>0.4</v>
      </c>
      <c r="DL256" s="41"/>
      <c r="DM256" s="41"/>
      <c r="DN256" s="41"/>
      <c r="DO256" s="41"/>
      <c r="DP256" s="41"/>
      <c r="DQ256" s="41"/>
      <c r="DR256" s="41"/>
      <c r="DS256" s="43"/>
      <c r="DT256" s="44">
        <f t="shared" ref="DT256" si="238">SUM(F256:DR256)</f>
        <v>1</v>
      </c>
    </row>
    <row r="257" spans="2:124" s="13" customFormat="1">
      <c r="B257" s="4">
        <f>'6.1Personnel List'!B258</f>
        <v>245</v>
      </c>
      <c r="C257" s="45" t="s">
        <v>373</v>
      </c>
      <c r="D257" s="45" t="str">
        <f>'6.1Personnel List'!D258</f>
        <v>Medical Specialist III (P.T.)</v>
      </c>
      <c r="E257" s="45" t="str">
        <f>'6.1Personnel List'!H258</f>
        <v>PT</v>
      </c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>
        <v>0.1</v>
      </c>
      <c r="CU257" s="41">
        <v>0.85</v>
      </c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>
        <v>0.05</v>
      </c>
      <c r="DL257" s="41"/>
      <c r="DM257" s="41"/>
      <c r="DN257" s="41"/>
      <c r="DO257" s="41"/>
      <c r="DP257" s="41"/>
      <c r="DQ257" s="41"/>
      <c r="DR257" s="41"/>
      <c r="DS257" s="43"/>
      <c r="DT257" s="44">
        <f t="shared" ref="DT257" si="239">SUM(F257:DR257)</f>
        <v>1</v>
      </c>
    </row>
    <row r="258" spans="2:124" s="13" customFormat="1">
      <c r="B258" s="4">
        <f>'6.1Personnel List'!B259</f>
        <v>246</v>
      </c>
      <c r="C258" s="45" t="s">
        <v>374</v>
      </c>
      <c r="D258" s="45" t="str">
        <f>'6.1Personnel List'!D259</f>
        <v>Medical Specialist III (P.T.)</v>
      </c>
      <c r="E258" s="45" t="str">
        <f>'6.1Personnel List'!H259</f>
        <v>PT</v>
      </c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>
        <v>0.2</v>
      </c>
      <c r="CU258" s="41">
        <v>0.3</v>
      </c>
      <c r="CV258" s="41"/>
      <c r="CW258" s="41"/>
      <c r="CX258" s="41"/>
      <c r="CY258" s="41"/>
      <c r="CZ258" s="41"/>
      <c r="DA258" s="41"/>
      <c r="DB258" s="41"/>
      <c r="DC258" s="41"/>
      <c r="DD258" s="41">
        <v>0.3</v>
      </c>
      <c r="DE258" s="41"/>
      <c r="DF258" s="41"/>
      <c r="DG258" s="41"/>
      <c r="DH258" s="41"/>
      <c r="DI258" s="41"/>
      <c r="DJ258" s="41"/>
      <c r="DK258" s="41">
        <v>0.2</v>
      </c>
      <c r="DL258" s="41"/>
      <c r="DM258" s="41"/>
      <c r="DN258" s="41"/>
      <c r="DO258" s="41"/>
      <c r="DP258" s="41"/>
      <c r="DQ258" s="41"/>
      <c r="DR258" s="41"/>
      <c r="DS258" s="43"/>
      <c r="DT258" s="44">
        <f t="shared" ref="DT258" si="240">SUM(F258:DR258)</f>
        <v>1</v>
      </c>
    </row>
    <row r="259" spans="2:124" s="13" customFormat="1">
      <c r="B259" s="4">
        <f>'6.1Personnel List'!B260</f>
        <v>247</v>
      </c>
      <c r="C259" s="45" t="s">
        <v>375</v>
      </c>
      <c r="D259" s="45" t="str">
        <f>'6.1Personnel List'!D260</f>
        <v>Medical Specialist III (P.T.)</v>
      </c>
      <c r="E259" s="45" t="str">
        <f>'6.1Personnel List'!H260</f>
        <v>PT</v>
      </c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>
        <v>0.2</v>
      </c>
      <c r="CU259" s="41">
        <v>0.4</v>
      </c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>
        <v>0.4</v>
      </c>
      <c r="DL259" s="41"/>
      <c r="DM259" s="41"/>
      <c r="DN259" s="41"/>
      <c r="DO259" s="41"/>
      <c r="DP259" s="41"/>
      <c r="DQ259" s="41"/>
      <c r="DR259" s="41"/>
      <c r="DS259" s="43"/>
      <c r="DT259" s="44">
        <f t="shared" ref="DT259" si="241">SUM(F259:DR259)</f>
        <v>1</v>
      </c>
    </row>
    <row r="260" spans="2:124" s="13" customFormat="1">
      <c r="B260" s="4">
        <f>'6.1Personnel List'!B261</f>
        <v>248</v>
      </c>
      <c r="C260" s="45" t="s">
        <v>376</v>
      </c>
      <c r="D260" s="45" t="str">
        <f>'6.1Personnel List'!D261</f>
        <v>Medical Specialist III (P.T.)</v>
      </c>
      <c r="E260" s="45" t="str">
        <f>'6.1Personnel List'!H261</f>
        <v>PT</v>
      </c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41"/>
      <c r="BB260" s="41"/>
      <c r="BC260" s="41"/>
      <c r="BD260" s="41"/>
      <c r="BE260" s="41"/>
      <c r="BF260" s="41"/>
      <c r="BG260" s="41"/>
      <c r="BH260" s="41"/>
      <c r="BJ260" s="41"/>
      <c r="BK260" s="41"/>
      <c r="BL260" s="41"/>
      <c r="BM260" s="41"/>
      <c r="BN260" s="41"/>
      <c r="BO260" s="41"/>
      <c r="BP260" s="41"/>
      <c r="BQ260" s="41"/>
      <c r="BR260" s="41"/>
      <c r="BS260" s="41"/>
      <c r="BT260" s="41"/>
      <c r="BU260" s="41"/>
      <c r="BV260" s="41"/>
      <c r="BW260" s="41"/>
      <c r="BX260" s="41"/>
      <c r="BY260" s="41"/>
      <c r="BZ260" s="41"/>
      <c r="CA260" s="41"/>
      <c r="CB260" s="4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>
        <v>0.2</v>
      </c>
      <c r="CR260" s="41"/>
      <c r="CS260" s="41"/>
      <c r="CT260" s="41">
        <v>0.3</v>
      </c>
      <c r="CU260" s="41">
        <v>0.25</v>
      </c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>
        <v>0.25</v>
      </c>
      <c r="DL260" s="41"/>
      <c r="DM260" s="41"/>
      <c r="DN260" s="41"/>
      <c r="DO260" s="41"/>
      <c r="DP260" s="41"/>
      <c r="DQ260" s="41"/>
      <c r="DR260" s="41"/>
      <c r="DS260" s="43"/>
      <c r="DT260" s="44">
        <f t="shared" ref="DT260" si="242">SUM(F260:DR260)</f>
        <v>1</v>
      </c>
    </row>
    <row r="261" spans="2:124" s="13" customFormat="1">
      <c r="B261" s="4">
        <f>'6.1Personnel List'!B262</f>
        <v>249</v>
      </c>
      <c r="C261" s="45" t="s">
        <v>377</v>
      </c>
      <c r="D261" s="45" t="str">
        <f>'6.1Personnel List'!D262</f>
        <v>Medical Specialist III (P.T.)</v>
      </c>
      <c r="E261" s="45" t="str">
        <f>'6.1Personnel List'!H262</f>
        <v>PT</v>
      </c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4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>
        <v>0.2</v>
      </c>
      <c r="CU261" s="41">
        <v>0.2</v>
      </c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>
        <v>0.6</v>
      </c>
      <c r="DL261" s="41"/>
      <c r="DM261" s="41"/>
      <c r="DN261" s="41"/>
      <c r="DO261" s="41"/>
      <c r="DP261" s="41"/>
      <c r="DQ261" s="41"/>
      <c r="DR261" s="41"/>
      <c r="DS261" s="43"/>
      <c r="DT261" s="44">
        <f t="shared" ref="DT261" si="243">SUM(F261:DR261)</f>
        <v>1</v>
      </c>
    </row>
    <row r="262" spans="2:124" s="13" customFormat="1">
      <c r="B262" s="4">
        <f>'6.1Personnel List'!B263</f>
        <v>250</v>
      </c>
      <c r="C262" s="45" t="s">
        <v>378</v>
      </c>
      <c r="D262" s="45" t="str">
        <f>'6.1Personnel List'!D263</f>
        <v>Medical Specialist II (P.T.)</v>
      </c>
      <c r="E262" s="45" t="str">
        <f>'6.1Personnel List'!H263</f>
        <v>PT</v>
      </c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41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>
        <v>0.2</v>
      </c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>
        <v>0.8</v>
      </c>
      <c r="DL262" s="41"/>
      <c r="DM262" s="41"/>
      <c r="DN262" s="41"/>
      <c r="DO262" s="41"/>
      <c r="DP262" s="41"/>
      <c r="DQ262" s="41"/>
      <c r="DR262" s="41"/>
      <c r="DS262" s="43"/>
      <c r="DT262" s="44">
        <f t="shared" ref="DT262" si="244">SUM(F262:DR262)</f>
        <v>1</v>
      </c>
    </row>
    <row r="263" spans="2:124" s="13" customFormat="1">
      <c r="B263" s="4">
        <f>'6.1Personnel List'!B264</f>
        <v>251</v>
      </c>
      <c r="C263" s="45" t="s">
        <v>379</v>
      </c>
      <c r="D263" s="45" t="str">
        <f>'6.1Personnel List'!D264</f>
        <v>Medical Specialist II (P.T.)</v>
      </c>
      <c r="E263" s="45" t="str">
        <f>'6.1Personnel List'!H264</f>
        <v>PT</v>
      </c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41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>
        <v>0.2</v>
      </c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>
        <v>0.8</v>
      </c>
      <c r="DL263" s="41"/>
      <c r="DM263" s="41"/>
      <c r="DN263" s="41"/>
      <c r="DO263" s="41"/>
      <c r="DP263" s="41"/>
      <c r="DQ263" s="41"/>
      <c r="DR263" s="41"/>
      <c r="DS263" s="43"/>
      <c r="DT263" s="44">
        <f t="shared" ref="DT263" si="245">SUM(F263:DR263)</f>
        <v>1</v>
      </c>
    </row>
    <row r="264" spans="2:124" s="13" customFormat="1">
      <c r="B264" s="4">
        <f>'6.1Personnel List'!B265</f>
        <v>252</v>
      </c>
      <c r="C264" s="45" t="s">
        <v>380</v>
      </c>
      <c r="D264" s="45" t="str">
        <f>'6.1Personnel List'!D265</f>
        <v>Medical Specialist II (P.T.)</v>
      </c>
      <c r="E264" s="45" t="str">
        <f>'6.1Personnel List'!H265</f>
        <v>PT</v>
      </c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41"/>
      <c r="CB264" s="41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>
        <v>0.8</v>
      </c>
      <c r="CR264" s="41"/>
      <c r="CS264" s="41"/>
      <c r="CT264" s="41">
        <v>0.2</v>
      </c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3"/>
      <c r="DT264" s="44">
        <f t="shared" ref="DT264" si="246">SUM(F264:DR264)</f>
        <v>1</v>
      </c>
    </row>
    <row r="265" spans="2:124" s="13" customFormat="1">
      <c r="B265" s="4">
        <f>'6.1Personnel List'!B266</f>
        <v>253</v>
      </c>
      <c r="C265" s="45" t="s">
        <v>381</v>
      </c>
      <c r="D265" s="45" t="str">
        <f>'6.1Personnel List'!D266</f>
        <v>Medical Specialist II (P.T.)</v>
      </c>
      <c r="E265" s="45" t="str">
        <f>'6.1Personnel List'!H266</f>
        <v>PT</v>
      </c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41"/>
      <c r="CB265" s="4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>
        <v>0.2</v>
      </c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>
        <v>0.8</v>
      </c>
      <c r="DL265" s="41"/>
      <c r="DM265" s="41"/>
      <c r="DN265" s="41"/>
      <c r="DO265" s="41"/>
      <c r="DP265" s="41"/>
      <c r="DQ265" s="41"/>
      <c r="DR265" s="41"/>
      <c r="DS265" s="43"/>
      <c r="DT265" s="44">
        <f t="shared" ref="DT265" si="247">SUM(F265:DR265)</f>
        <v>1</v>
      </c>
    </row>
    <row r="266" spans="2:124" s="13" customFormat="1">
      <c r="B266" s="4">
        <f>'6.1Personnel List'!B267</f>
        <v>254</v>
      </c>
      <c r="C266" s="45" t="s">
        <v>382</v>
      </c>
      <c r="D266" s="45" t="str">
        <f>'6.1Personnel List'!D267</f>
        <v>Medical Officer IV</v>
      </c>
      <c r="E266" s="45" t="str">
        <f>'6.1Personnel List'!H267</f>
        <v>FT</v>
      </c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41"/>
      <c r="CB266" s="4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>
        <v>0.2</v>
      </c>
      <c r="CR266" s="41"/>
      <c r="CS266" s="41"/>
      <c r="CT266" s="41">
        <v>0.2</v>
      </c>
      <c r="CU266" s="41">
        <v>0.2</v>
      </c>
      <c r="CV266" s="41"/>
      <c r="CW266" s="41"/>
      <c r="CX266" s="41"/>
      <c r="CY266" s="41"/>
      <c r="CZ266" s="41"/>
      <c r="DA266" s="41"/>
      <c r="DB266" s="41"/>
      <c r="DC266" s="41"/>
      <c r="DD266" s="41">
        <v>0.2</v>
      </c>
      <c r="DE266" s="41"/>
      <c r="DF266" s="41"/>
      <c r="DG266" s="41"/>
      <c r="DH266" s="41"/>
      <c r="DI266" s="41"/>
      <c r="DJ266" s="41"/>
      <c r="DK266" s="41">
        <v>0.2</v>
      </c>
      <c r="DL266" s="41"/>
      <c r="DM266" s="41"/>
      <c r="DN266" s="41"/>
      <c r="DO266" s="41"/>
      <c r="DP266" s="41"/>
      <c r="DQ266" s="41"/>
      <c r="DR266" s="41"/>
      <c r="DS266" s="43"/>
      <c r="DT266" s="44">
        <f t="shared" ref="DT266" si="248">SUM(F266:DR266)</f>
        <v>1</v>
      </c>
    </row>
    <row r="267" spans="2:124" s="13" customFormat="1">
      <c r="B267" s="4">
        <f>'6.1Personnel List'!B268</f>
        <v>255</v>
      </c>
      <c r="C267" s="45" t="s">
        <v>383</v>
      </c>
      <c r="D267" s="45" t="str">
        <f>'6.1Personnel List'!D268</f>
        <v>Medical Officer IV</v>
      </c>
      <c r="E267" s="45" t="str">
        <f>'6.1Personnel List'!H268</f>
        <v>FT</v>
      </c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4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>
        <v>0.2</v>
      </c>
      <c r="CR267" s="41"/>
      <c r="CS267" s="41"/>
      <c r="CT267" s="41">
        <v>0.2</v>
      </c>
      <c r="CU267" s="41">
        <v>0.2</v>
      </c>
      <c r="CV267" s="41"/>
      <c r="CW267" s="41"/>
      <c r="CX267" s="41"/>
      <c r="CY267" s="41"/>
      <c r="CZ267" s="41"/>
      <c r="DA267" s="41"/>
      <c r="DB267" s="41"/>
      <c r="DC267" s="41"/>
      <c r="DD267" s="41">
        <v>0.2</v>
      </c>
      <c r="DE267" s="41"/>
      <c r="DF267" s="41"/>
      <c r="DG267" s="41"/>
      <c r="DH267" s="41"/>
      <c r="DI267" s="41"/>
      <c r="DJ267" s="41"/>
      <c r="DK267" s="41">
        <v>0.2</v>
      </c>
      <c r="DL267" s="41"/>
      <c r="DM267" s="41"/>
      <c r="DN267" s="41"/>
      <c r="DO267" s="41"/>
      <c r="DP267" s="41"/>
      <c r="DQ267" s="41"/>
      <c r="DR267" s="41"/>
      <c r="DS267" s="43"/>
      <c r="DT267" s="44">
        <f t="shared" ref="DT267" si="249">SUM(F267:DR267)</f>
        <v>1</v>
      </c>
    </row>
    <row r="268" spans="2:124" s="13" customFormat="1">
      <c r="B268" s="4">
        <f>'6.1Personnel List'!B269</f>
        <v>256</v>
      </c>
      <c r="C268" s="45" t="s">
        <v>384</v>
      </c>
      <c r="D268" s="45" t="str">
        <f>'6.1Personnel List'!D269</f>
        <v>Medical Officer IV</v>
      </c>
      <c r="E268" s="45" t="str">
        <f>'6.1Personnel List'!H269</f>
        <v>FT</v>
      </c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4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>
        <v>0.2</v>
      </c>
      <c r="CR268" s="41"/>
      <c r="CS268" s="41"/>
      <c r="CT268" s="41">
        <v>0.2</v>
      </c>
      <c r="CU268" s="41">
        <v>0.2</v>
      </c>
      <c r="CV268" s="41"/>
      <c r="CW268" s="41"/>
      <c r="CX268" s="41"/>
      <c r="CY268" s="41"/>
      <c r="CZ268" s="41"/>
      <c r="DA268" s="41"/>
      <c r="DB268" s="41"/>
      <c r="DC268" s="41"/>
      <c r="DD268" s="41">
        <v>0.2</v>
      </c>
      <c r="DE268" s="41"/>
      <c r="DF268" s="41"/>
      <c r="DG268" s="41"/>
      <c r="DH268" s="41"/>
      <c r="DI268" s="41"/>
      <c r="DJ268" s="41"/>
      <c r="DK268" s="41">
        <v>0.2</v>
      </c>
      <c r="DL268" s="41"/>
      <c r="DM268" s="41"/>
      <c r="DN268" s="41"/>
      <c r="DO268" s="41"/>
      <c r="DP268" s="41"/>
      <c r="DQ268" s="41"/>
      <c r="DR268" s="41"/>
      <c r="DS268" s="43"/>
      <c r="DT268" s="44">
        <f t="shared" ref="DT268" si="250">SUM(F268:DR268)</f>
        <v>1</v>
      </c>
    </row>
    <row r="269" spans="2:124" s="13" customFormat="1">
      <c r="B269" s="4">
        <f>'6.1Personnel List'!B270</f>
        <v>257</v>
      </c>
      <c r="C269" s="45" t="s">
        <v>385</v>
      </c>
      <c r="D269" s="45" t="str">
        <f>'6.1Personnel List'!D270</f>
        <v>Medical Officer IV</v>
      </c>
      <c r="E269" s="45" t="str">
        <f>'6.1Personnel List'!H270</f>
        <v>FT</v>
      </c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4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>
        <v>0.2</v>
      </c>
      <c r="CR269" s="41"/>
      <c r="CS269" s="41"/>
      <c r="CT269" s="41">
        <v>0.2</v>
      </c>
      <c r="CU269" s="41">
        <v>0.2</v>
      </c>
      <c r="CV269" s="41"/>
      <c r="CW269" s="41"/>
      <c r="CX269" s="41"/>
      <c r="CY269" s="41"/>
      <c r="CZ269" s="41"/>
      <c r="DA269" s="41"/>
      <c r="DB269" s="41"/>
      <c r="DC269" s="41"/>
      <c r="DD269" s="41">
        <v>0.2</v>
      </c>
      <c r="DE269" s="41"/>
      <c r="DF269" s="41"/>
      <c r="DG269" s="41"/>
      <c r="DH269" s="41"/>
      <c r="DI269" s="41"/>
      <c r="DJ269" s="41"/>
      <c r="DK269" s="41">
        <v>0.2</v>
      </c>
      <c r="DL269" s="41"/>
      <c r="DM269" s="41"/>
      <c r="DN269" s="41"/>
      <c r="DO269" s="41"/>
      <c r="DP269" s="41"/>
      <c r="DQ269" s="41"/>
      <c r="DR269" s="41"/>
      <c r="DS269" s="43"/>
      <c r="DT269" s="44">
        <f t="shared" ref="DT269" si="251">SUM(F269:DR269)</f>
        <v>1</v>
      </c>
    </row>
    <row r="270" spans="2:124" s="13" customFormat="1">
      <c r="B270" s="4">
        <f>'6.1Personnel List'!B271</f>
        <v>258</v>
      </c>
      <c r="C270" s="45" t="s">
        <v>386</v>
      </c>
      <c r="D270" s="45" t="str">
        <f>'6.1Personnel List'!D271</f>
        <v>Medical Officer IV</v>
      </c>
      <c r="E270" s="45" t="str">
        <f>'6.1Personnel List'!H271</f>
        <v>FT</v>
      </c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4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>
        <v>0.2</v>
      </c>
      <c r="CR270" s="41"/>
      <c r="CS270" s="41"/>
      <c r="CT270" s="41">
        <v>0.2</v>
      </c>
      <c r="CU270" s="41">
        <v>0.2</v>
      </c>
      <c r="CV270" s="41"/>
      <c r="CW270" s="41"/>
      <c r="CX270" s="41"/>
      <c r="CY270" s="41"/>
      <c r="CZ270" s="41"/>
      <c r="DA270" s="41"/>
      <c r="DB270" s="41"/>
      <c r="DC270" s="41"/>
      <c r="DD270" s="41">
        <v>0.2</v>
      </c>
      <c r="DE270" s="41"/>
      <c r="DF270" s="41"/>
      <c r="DG270" s="41"/>
      <c r="DH270" s="41"/>
      <c r="DI270" s="41"/>
      <c r="DJ270" s="41"/>
      <c r="DK270" s="41">
        <v>0.2</v>
      </c>
      <c r="DL270" s="41"/>
      <c r="DM270" s="41"/>
      <c r="DN270" s="41"/>
      <c r="DO270" s="41"/>
      <c r="DP270" s="41"/>
      <c r="DQ270" s="41"/>
      <c r="DR270" s="41"/>
      <c r="DS270" s="43"/>
      <c r="DT270" s="44">
        <f t="shared" ref="DT270" si="252">SUM(F270:DR270)</f>
        <v>1</v>
      </c>
    </row>
    <row r="271" spans="2:124" s="13" customFormat="1">
      <c r="B271" s="4">
        <f>'6.1Personnel List'!B272</f>
        <v>259</v>
      </c>
      <c r="C271" s="45" t="s">
        <v>387</v>
      </c>
      <c r="D271" s="45" t="str">
        <f>'6.1Personnel List'!D272</f>
        <v>Medical Officer IV</v>
      </c>
      <c r="E271" s="45" t="str">
        <f>'6.1Personnel List'!H272</f>
        <v>FT</v>
      </c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4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>
        <v>0.2</v>
      </c>
      <c r="CR271" s="41"/>
      <c r="CS271" s="41"/>
      <c r="CT271" s="41">
        <v>0.2</v>
      </c>
      <c r="CU271" s="41">
        <v>0.2</v>
      </c>
      <c r="CV271" s="41"/>
      <c r="CW271" s="41"/>
      <c r="CX271" s="41"/>
      <c r="CY271" s="41"/>
      <c r="CZ271" s="41"/>
      <c r="DA271" s="41"/>
      <c r="DB271" s="41"/>
      <c r="DC271" s="41"/>
      <c r="DD271" s="41">
        <v>0.2</v>
      </c>
      <c r="DE271" s="41"/>
      <c r="DF271" s="41"/>
      <c r="DG271" s="41"/>
      <c r="DH271" s="41"/>
      <c r="DI271" s="41"/>
      <c r="DJ271" s="41"/>
      <c r="DK271" s="41">
        <v>0.2</v>
      </c>
      <c r="DL271" s="41"/>
      <c r="DM271" s="41"/>
      <c r="DN271" s="41"/>
      <c r="DO271" s="41"/>
      <c r="DP271" s="41"/>
      <c r="DQ271" s="41"/>
      <c r="DR271" s="41"/>
      <c r="DS271" s="43"/>
      <c r="DT271" s="44">
        <f t="shared" ref="DT271" si="253">SUM(F271:DR271)</f>
        <v>1</v>
      </c>
    </row>
    <row r="272" spans="2:124" s="13" customFormat="1">
      <c r="B272" s="4">
        <f>'6.1Personnel List'!B273</f>
        <v>260</v>
      </c>
      <c r="C272" s="45" t="s">
        <v>388</v>
      </c>
      <c r="D272" s="45" t="str">
        <f>'6.1Personnel List'!D273</f>
        <v>Medical Officer IV</v>
      </c>
      <c r="E272" s="45" t="str">
        <f>'6.1Personnel List'!H273</f>
        <v>FT</v>
      </c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4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>
        <v>0.2</v>
      </c>
      <c r="CR272" s="41"/>
      <c r="CS272" s="41"/>
      <c r="CT272" s="41">
        <v>0.2</v>
      </c>
      <c r="CU272" s="41">
        <v>0.2</v>
      </c>
      <c r="CV272" s="41"/>
      <c r="CW272" s="41"/>
      <c r="CX272" s="41"/>
      <c r="CY272" s="41"/>
      <c r="CZ272" s="41"/>
      <c r="DA272" s="41"/>
      <c r="DB272" s="41"/>
      <c r="DC272" s="41"/>
      <c r="DD272" s="41">
        <v>0.2</v>
      </c>
      <c r="DE272" s="41"/>
      <c r="DF272" s="41"/>
      <c r="DG272" s="41"/>
      <c r="DH272" s="41"/>
      <c r="DI272" s="41"/>
      <c r="DJ272" s="41"/>
      <c r="DK272" s="41">
        <v>0.2</v>
      </c>
      <c r="DL272" s="41"/>
      <c r="DM272" s="41"/>
      <c r="DN272" s="41"/>
      <c r="DO272" s="41"/>
      <c r="DP272" s="41"/>
      <c r="DQ272" s="41"/>
      <c r="DR272" s="41"/>
      <c r="DS272" s="43"/>
      <c r="DT272" s="44">
        <f t="shared" ref="DT272" si="254">SUM(F272:DR272)</f>
        <v>1</v>
      </c>
    </row>
    <row r="273" spans="2:124" s="13" customFormat="1">
      <c r="B273" s="4">
        <f>'6.1Personnel List'!B274</f>
        <v>261</v>
      </c>
      <c r="C273" s="45" t="s">
        <v>389</v>
      </c>
      <c r="D273" s="45" t="str">
        <f>'6.1Personnel List'!D274</f>
        <v>Medical Officer IV</v>
      </c>
      <c r="E273" s="45" t="str">
        <f>'6.1Personnel List'!H274</f>
        <v>FT</v>
      </c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4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>
        <v>0.2</v>
      </c>
      <c r="CR273" s="41"/>
      <c r="CS273" s="41"/>
      <c r="CT273" s="41">
        <v>0.2</v>
      </c>
      <c r="CU273" s="41">
        <v>0.2</v>
      </c>
      <c r="CV273" s="41"/>
      <c r="CW273" s="41"/>
      <c r="CX273" s="41"/>
      <c r="CY273" s="41"/>
      <c r="CZ273" s="41"/>
      <c r="DA273" s="41"/>
      <c r="DB273" s="41"/>
      <c r="DC273" s="41"/>
      <c r="DD273" s="41">
        <v>0.2</v>
      </c>
      <c r="DE273" s="41"/>
      <c r="DF273" s="41"/>
      <c r="DG273" s="41"/>
      <c r="DH273" s="41"/>
      <c r="DI273" s="41"/>
      <c r="DJ273" s="41"/>
      <c r="DK273" s="41">
        <v>0.2</v>
      </c>
      <c r="DL273" s="41"/>
      <c r="DM273" s="41"/>
      <c r="DN273" s="41"/>
      <c r="DO273" s="41"/>
      <c r="DP273" s="41"/>
      <c r="DQ273" s="41"/>
      <c r="DR273" s="41"/>
      <c r="DS273" s="43"/>
      <c r="DT273" s="44">
        <f t="shared" ref="DT273" si="255">SUM(F273:DR273)</f>
        <v>1</v>
      </c>
    </row>
    <row r="274" spans="2:124" s="13" customFormat="1">
      <c r="B274" s="4">
        <f>'6.1Personnel List'!B275</f>
        <v>262</v>
      </c>
      <c r="C274" s="45" t="s">
        <v>390</v>
      </c>
      <c r="D274" s="45" t="str">
        <f>'6.1Personnel List'!D275</f>
        <v>Medical Officer III</v>
      </c>
      <c r="E274" s="45" t="str">
        <f>'6.1Personnel List'!H275</f>
        <v>FT</v>
      </c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4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>
        <v>0.6</v>
      </c>
      <c r="CR274" s="41"/>
      <c r="CS274" s="41"/>
      <c r="CT274" s="41">
        <v>0.2</v>
      </c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>
        <v>0.2</v>
      </c>
      <c r="DL274" s="41"/>
      <c r="DM274" s="41"/>
      <c r="DN274" s="41"/>
      <c r="DO274" s="41"/>
      <c r="DP274" s="41"/>
      <c r="DQ274" s="41"/>
      <c r="DR274" s="41"/>
      <c r="DS274" s="43"/>
      <c r="DT274" s="44">
        <f t="shared" ref="DT274" si="256">SUM(F274:DR274)</f>
        <v>1</v>
      </c>
    </row>
    <row r="275" spans="2:124" s="13" customFormat="1">
      <c r="B275" s="4">
        <f>'6.1Personnel List'!B276</f>
        <v>263</v>
      </c>
      <c r="C275" s="45" t="s">
        <v>391</v>
      </c>
      <c r="D275" s="45" t="str">
        <f>'6.1Personnel List'!D276</f>
        <v>Medical Officer III</v>
      </c>
      <c r="E275" s="45" t="str">
        <f>'6.1Personnel List'!H276</f>
        <v>FT</v>
      </c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41"/>
      <c r="CB275" s="4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>
        <v>0.6</v>
      </c>
      <c r="CR275" s="41"/>
      <c r="CS275" s="41"/>
      <c r="CT275" s="41">
        <v>0.2</v>
      </c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>
        <v>0.2</v>
      </c>
      <c r="DL275" s="41"/>
      <c r="DM275" s="41"/>
      <c r="DN275" s="41"/>
      <c r="DO275" s="41"/>
      <c r="DP275" s="41"/>
      <c r="DQ275" s="41"/>
      <c r="DR275" s="41"/>
      <c r="DS275" s="43"/>
      <c r="DT275" s="44">
        <f t="shared" ref="DT275" si="257">SUM(F275:DR275)</f>
        <v>1</v>
      </c>
    </row>
    <row r="276" spans="2:124" s="13" customFormat="1">
      <c r="B276" s="4">
        <f>'6.1Personnel List'!B277</f>
        <v>264</v>
      </c>
      <c r="C276" s="45" t="s">
        <v>392</v>
      </c>
      <c r="D276" s="45" t="str">
        <f>'6.1Personnel List'!D277</f>
        <v>Medical Officer III</v>
      </c>
      <c r="E276" s="45" t="str">
        <f>'6.1Personnel List'!H277</f>
        <v>FT</v>
      </c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41"/>
      <c r="CB276" s="4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>
        <v>0.6</v>
      </c>
      <c r="CR276" s="41"/>
      <c r="CS276" s="41"/>
      <c r="CT276" s="41">
        <v>0.2</v>
      </c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>
        <v>0.2</v>
      </c>
      <c r="DL276" s="41"/>
      <c r="DM276" s="41"/>
      <c r="DN276" s="41"/>
      <c r="DO276" s="41"/>
      <c r="DP276" s="41"/>
      <c r="DQ276" s="41"/>
      <c r="DR276" s="41"/>
      <c r="DS276" s="43"/>
      <c r="DT276" s="44">
        <f t="shared" ref="DT276" si="258">SUM(F276:DR276)</f>
        <v>1</v>
      </c>
    </row>
    <row r="277" spans="2:124" s="13" customFormat="1">
      <c r="B277" s="4">
        <f>'6.1Personnel List'!B278</f>
        <v>265</v>
      </c>
      <c r="C277" s="45" t="s">
        <v>393</v>
      </c>
      <c r="D277" s="45" t="str">
        <f>'6.1Personnel List'!D278</f>
        <v>Medical Officer III</v>
      </c>
      <c r="E277" s="45" t="str">
        <f>'6.1Personnel List'!H278</f>
        <v>FT</v>
      </c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41"/>
      <c r="CB277" s="4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>
        <v>0.2</v>
      </c>
      <c r="CR277" s="41"/>
      <c r="CS277" s="41"/>
      <c r="CT277" s="41">
        <v>0.2</v>
      </c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>
        <v>0.6</v>
      </c>
      <c r="DL277" s="41"/>
      <c r="DM277" s="41"/>
      <c r="DN277" s="41"/>
      <c r="DO277" s="41"/>
      <c r="DP277" s="41"/>
      <c r="DQ277" s="41"/>
      <c r="DR277" s="41"/>
      <c r="DS277" s="43"/>
      <c r="DT277" s="44">
        <f t="shared" ref="DT277" si="259">SUM(F277:DR277)</f>
        <v>1</v>
      </c>
    </row>
    <row r="278" spans="2:124" s="13" customFormat="1">
      <c r="B278" s="4">
        <f>'6.1Personnel List'!B279</f>
        <v>266</v>
      </c>
      <c r="C278" s="45" t="s">
        <v>394</v>
      </c>
      <c r="D278" s="45" t="str">
        <f>'6.1Personnel List'!D279</f>
        <v>Medical Officer III</v>
      </c>
      <c r="E278" s="45" t="str">
        <f>'6.1Personnel List'!H279</f>
        <v>FT</v>
      </c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41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>
        <v>0.2</v>
      </c>
      <c r="CR278" s="41"/>
      <c r="CS278" s="41"/>
      <c r="CT278" s="41">
        <v>0.2</v>
      </c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>
        <v>0.6</v>
      </c>
      <c r="DL278" s="41"/>
      <c r="DM278" s="41"/>
      <c r="DN278" s="41"/>
      <c r="DO278" s="41"/>
      <c r="DP278" s="41"/>
      <c r="DQ278" s="41"/>
      <c r="DR278" s="41"/>
      <c r="DS278" s="43"/>
      <c r="DT278" s="44">
        <f t="shared" ref="DT278" si="260">SUM(F278:DR278)</f>
        <v>1</v>
      </c>
    </row>
    <row r="279" spans="2:124" s="13" customFormat="1">
      <c r="B279" s="4">
        <f>'6.1Personnel List'!B280</f>
        <v>267</v>
      </c>
      <c r="C279" s="45" t="s">
        <v>395</v>
      </c>
      <c r="D279" s="45" t="str">
        <f>'6.1Personnel List'!D280</f>
        <v>Medical Officer III</v>
      </c>
      <c r="E279" s="45" t="str">
        <f>'6.1Personnel List'!H280</f>
        <v>FT</v>
      </c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41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>
        <v>0.2</v>
      </c>
      <c r="CR279" s="41"/>
      <c r="CS279" s="41"/>
      <c r="CT279" s="41">
        <v>0.2</v>
      </c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>
        <v>0.6</v>
      </c>
      <c r="DL279" s="41"/>
      <c r="DM279" s="41"/>
      <c r="DN279" s="41"/>
      <c r="DO279" s="41"/>
      <c r="DP279" s="41"/>
      <c r="DQ279" s="41"/>
      <c r="DR279" s="41"/>
      <c r="DS279" s="43"/>
      <c r="DT279" s="44">
        <f t="shared" ref="DT279" si="261">SUM(F279:DR279)</f>
        <v>1</v>
      </c>
    </row>
    <row r="280" spans="2:124" s="13" customFormat="1">
      <c r="B280" s="4">
        <f>'6.1Personnel List'!B281</f>
        <v>268</v>
      </c>
      <c r="C280" s="45" t="s">
        <v>396</v>
      </c>
      <c r="D280" s="45" t="str">
        <f>'6.1Personnel List'!D281</f>
        <v>Medical Officer III</v>
      </c>
      <c r="E280" s="45" t="str">
        <f>'6.1Personnel List'!H281</f>
        <v>FT</v>
      </c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41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>
        <v>0.2</v>
      </c>
      <c r="CR280" s="41"/>
      <c r="CS280" s="41"/>
      <c r="CT280" s="41">
        <v>0.2</v>
      </c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>
        <v>0.6</v>
      </c>
      <c r="DL280" s="41"/>
      <c r="DM280" s="41"/>
      <c r="DN280" s="41"/>
      <c r="DO280" s="41"/>
      <c r="DP280" s="41"/>
      <c r="DQ280" s="41"/>
      <c r="DR280" s="41"/>
      <c r="DS280" s="43"/>
      <c r="DT280" s="44">
        <f t="shared" ref="DT280" si="262">SUM(F280:DR280)</f>
        <v>1</v>
      </c>
    </row>
    <row r="281" spans="2:124" s="13" customFormat="1">
      <c r="B281" s="4">
        <f>'6.1Personnel List'!B282</f>
        <v>269</v>
      </c>
      <c r="C281" s="45" t="s">
        <v>397</v>
      </c>
      <c r="D281" s="45" t="str">
        <f>'6.1Personnel List'!D282</f>
        <v>Medical Officer III</v>
      </c>
      <c r="E281" s="45" t="str">
        <f>'6.1Personnel List'!H282</f>
        <v>FT</v>
      </c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41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>
        <v>0.6</v>
      </c>
      <c r="CP281" s="41"/>
      <c r="CQ281" s="41">
        <v>0.2</v>
      </c>
      <c r="CR281" s="41"/>
      <c r="CS281" s="41"/>
      <c r="CT281" s="41">
        <v>0.2</v>
      </c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3"/>
      <c r="DT281" s="44">
        <f t="shared" ref="DT281" si="263">SUM(F281:DR281)</f>
        <v>1</v>
      </c>
    </row>
    <row r="282" spans="2:124" s="13" customFormat="1">
      <c r="B282" s="4">
        <f>'6.1Personnel List'!B283</f>
        <v>270</v>
      </c>
      <c r="C282" s="45" t="s">
        <v>398</v>
      </c>
      <c r="D282" s="45" t="str">
        <f>'6.1Personnel List'!D283</f>
        <v>Medical Officer III</v>
      </c>
      <c r="E282" s="45" t="str">
        <f>'6.1Personnel List'!H283</f>
        <v>FT</v>
      </c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41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>
        <v>0.2</v>
      </c>
      <c r="CR282" s="41"/>
      <c r="CS282" s="41"/>
      <c r="CT282" s="41">
        <v>0.2</v>
      </c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>
        <v>0.6</v>
      </c>
      <c r="DL282" s="41"/>
      <c r="DM282" s="41"/>
      <c r="DN282" s="41"/>
      <c r="DO282" s="41"/>
      <c r="DP282" s="41"/>
      <c r="DQ282" s="41"/>
      <c r="DR282" s="41"/>
      <c r="DS282" s="43"/>
      <c r="DT282" s="44">
        <f t="shared" ref="DT282" si="264">SUM(F282:DR282)</f>
        <v>1</v>
      </c>
    </row>
    <row r="283" spans="2:124" s="13" customFormat="1">
      <c r="B283" s="4">
        <f>'6.1Personnel List'!B284</f>
        <v>271</v>
      </c>
      <c r="C283" s="45" t="s">
        <v>399</v>
      </c>
      <c r="D283" s="45" t="str">
        <f>'6.1Personnel List'!D284</f>
        <v>Medical Officer III</v>
      </c>
      <c r="E283" s="45" t="str">
        <f>'6.1Personnel List'!H284</f>
        <v>FT</v>
      </c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4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>
        <v>0.2</v>
      </c>
      <c r="CU283" s="41">
        <v>0.6</v>
      </c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>
        <v>0.2</v>
      </c>
      <c r="DL283" s="41"/>
      <c r="DM283" s="41"/>
      <c r="DN283" s="41"/>
      <c r="DO283" s="41"/>
      <c r="DP283" s="41"/>
      <c r="DQ283" s="41"/>
      <c r="DR283" s="41"/>
      <c r="DS283" s="43"/>
      <c r="DT283" s="44">
        <f t="shared" ref="DT283" si="265">SUM(F283:DR283)</f>
        <v>1</v>
      </c>
    </row>
    <row r="284" spans="2:124" s="13" customFormat="1">
      <c r="B284" s="4">
        <f>'6.1Personnel List'!B285</f>
        <v>272</v>
      </c>
      <c r="C284" s="45" t="s">
        <v>400</v>
      </c>
      <c r="D284" s="45" t="str">
        <f>'6.1Personnel List'!D285</f>
        <v>Medical Officer III</v>
      </c>
      <c r="E284" s="45" t="str">
        <f>'6.1Personnel List'!H285</f>
        <v>FT</v>
      </c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4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>
        <v>0.6</v>
      </c>
      <c r="CP284" s="41"/>
      <c r="CQ284" s="41"/>
      <c r="CR284" s="41"/>
      <c r="CS284" s="41"/>
      <c r="CT284" s="41">
        <v>0.2</v>
      </c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>
        <v>0.2</v>
      </c>
      <c r="DL284" s="41"/>
      <c r="DM284" s="41"/>
      <c r="DN284" s="41"/>
      <c r="DO284" s="41"/>
      <c r="DP284" s="41"/>
      <c r="DQ284" s="41"/>
      <c r="DR284" s="41"/>
      <c r="DS284" s="43"/>
      <c r="DT284" s="44">
        <f t="shared" ref="DT284" si="266">SUM(F284:DR284)</f>
        <v>1</v>
      </c>
    </row>
    <row r="285" spans="2:124" s="13" customFormat="1">
      <c r="B285" s="4">
        <f>'6.1Personnel List'!B286</f>
        <v>273</v>
      </c>
      <c r="C285" s="45" t="s">
        <v>401</v>
      </c>
      <c r="D285" s="45" t="str">
        <f>'6.1Personnel List'!D286</f>
        <v>Medical Officer III</v>
      </c>
      <c r="E285" s="45" t="str">
        <f>'6.1Personnel List'!H286</f>
        <v>FT</v>
      </c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4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>
        <v>0.2</v>
      </c>
      <c r="CU285" s="41"/>
      <c r="CV285" s="41"/>
      <c r="CW285" s="41"/>
      <c r="CX285" s="41"/>
      <c r="CY285" s="41"/>
      <c r="CZ285" s="41"/>
      <c r="DA285" s="41"/>
      <c r="DB285" s="41"/>
      <c r="DC285" s="41"/>
      <c r="DD285" s="41">
        <v>0.6</v>
      </c>
      <c r="DE285" s="41"/>
      <c r="DF285" s="41"/>
      <c r="DG285" s="41"/>
      <c r="DH285" s="41"/>
      <c r="DI285" s="41"/>
      <c r="DJ285" s="41"/>
      <c r="DK285" s="41">
        <v>0.2</v>
      </c>
      <c r="DL285" s="41"/>
      <c r="DM285" s="41"/>
      <c r="DN285" s="41"/>
      <c r="DO285" s="41"/>
      <c r="DP285" s="41"/>
      <c r="DQ285" s="41"/>
      <c r="DR285" s="41"/>
      <c r="DS285" s="43"/>
      <c r="DT285" s="44">
        <f t="shared" ref="DT285" si="267">SUM(F285:DR285)</f>
        <v>1</v>
      </c>
    </row>
    <row r="286" spans="2:124" s="13" customFormat="1">
      <c r="B286" s="4">
        <f>'6.1Personnel List'!B287</f>
        <v>274</v>
      </c>
      <c r="C286" s="45" t="s">
        <v>402</v>
      </c>
      <c r="D286" s="45" t="str">
        <f>'6.1Personnel List'!D287</f>
        <v>Medical Officer III</v>
      </c>
      <c r="E286" s="45" t="str">
        <f>'6.1Personnel List'!H287</f>
        <v>FT</v>
      </c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4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>
        <v>0.2</v>
      </c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>
        <v>0.8</v>
      </c>
      <c r="DL286" s="41"/>
      <c r="DM286" s="41"/>
      <c r="DN286" s="41"/>
      <c r="DO286" s="41"/>
      <c r="DP286" s="41"/>
      <c r="DQ286" s="41"/>
      <c r="DR286" s="41"/>
      <c r="DS286" s="43"/>
      <c r="DT286" s="44">
        <f t="shared" ref="DT286" si="268">SUM(F286:DR286)</f>
        <v>1</v>
      </c>
    </row>
    <row r="287" spans="2:124" s="13" customFormat="1">
      <c r="B287" s="4">
        <f>'6.1Personnel List'!B288</f>
        <v>275</v>
      </c>
      <c r="C287" s="45" t="s">
        <v>403</v>
      </c>
      <c r="D287" s="45" t="str">
        <f>'6.1Personnel List'!D288</f>
        <v>Medical Officer III</v>
      </c>
      <c r="E287" s="45" t="str">
        <f>'6.1Personnel List'!H288</f>
        <v>FT</v>
      </c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4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>
        <v>0.2</v>
      </c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>
        <v>0.8</v>
      </c>
      <c r="DL287" s="41"/>
      <c r="DM287" s="41"/>
      <c r="DN287" s="41"/>
      <c r="DO287" s="41"/>
      <c r="DP287" s="41"/>
      <c r="DQ287" s="41"/>
      <c r="DR287" s="41"/>
      <c r="DS287" s="43"/>
      <c r="DT287" s="44">
        <f t="shared" ref="DT287" si="269">SUM(F287:DR287)</f>
        <v>1</v>
      </c>
    </row>
    <row r="288" spans="2:124" s="13" customFormat="1">
      <c r="B288" s="4">
        <f>'6.1Personnel List'!B289</f>
        <v>276</v>
      </c>
      <c r="C288" s="45" t="s">
        <v>404</v>
      </c>
      <c r="D288" s="45" t="str">
        <f>'6.1Personnel List'!D289</f>
        <v>Medical Officer III</v>
      </c>
      <c r="E288" s="45" t="str">
        <f>'6.1Personnel List'!H289</f>
        <v>FT</v>
      </c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4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>
        <v>0.2</v>
      </c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>
        <v>0.8</v>
      </c>
      <c r="DL288" s="41"/>
      <c r="DM288" s="41"/>
      <c r="DN288" s="41"/>
      <c r="DO288" s="41"/>
      <c r="DP288" s="41"/>
      <c r="DQ288" s="41"/>
      <c r="DR288" s="41"/>
      <c r="DS288" s="43"/>
      <c r="DT288" s="44">
        <f t="shared" ref="DT288" si="270">SUM(F288:DR288)</f>
        <v>1</v>
      </c>
    </row>
    <row r="289" spans="2:124" s="13" customFormat="1">
      <c r="B289" s="4">
        <f>'6.1Personnel List'!B290</f>
        <v>277</v>
      </c>
      <c r="C289" s="45" t="s">
        <v>405</v>
      </c>
      <c r="D289" s="45" t="str">
        <f>'6.1Personnel List'!D290</f>
        <v>Medical Officer III</v>
      </c>
      <c r="E289" s="45" t="str">
        <f>'6.1Personnel List'!H290</f>
        <v>FT</v>
      </c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4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>
        <v>0.2</v>
      </c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>
        <v>0.8</v>
      </c>
      <c r="DL289" s="41"/>
      <c r="DM289" s="41"/>
      <c r="DN289" s="41"/>
      <c r="DO289" s="41"/>
      <c r="DP289" s="41"/>
      <c r="DQ289" s="41"/>
      <c r="DR289" s="41"/>
      <c r="DS289" s="43"/>
      <c r="DT289" s="44">
        <f t="shared" ref="DT289" si="271">SUM(F289:DR289)</f>
        <v>1</v>
      </c>
    </row>
    <row r="290" spans="2:124" s="13" customFormat="1">
      <c r="B290" s="4">
        <f>'6.1Personnel List'!B291</f>
        <v>278</v>
      </c>
      <c r="C290" s="45" t="s">
        <v>406</v>
      </c>
      <c r="D290" s="45" t="str">
        <f>'6.1Personnel List'!D291</f>
        <v>Medical Officer III</v>
      </c>
      <c r="E290" s="45" t="str">
        <f>'6.1Personnel List'!H291</f>
        <v>FT</v>
      </c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4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>
        <v>0.2</v>
      </c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>
        <v>0.8</v>
      </c>
      <c r="DL290" s="41"/>
      <c r="DM290" s="41"/>
      <c r="DN290" s="41"/>
      <c r="DO290" s="41"/>
      <c r="DP290" s="41"/>
      <c r="DQ290" s="41"/>
      <c r="DR290" s="41"/>
      <c r="DS290" s="43"/>
      <c r="DT290" s="44">
        <f t="shared" ref="DT290" si="272">SUM(F290:DR290)</f>
        <v>1</v>
      </c>
    </row>
    <row r="291" spans="2:124" s="13" customFormat="1">
      <c r="B291" s="4">
        <f>'6.1Personnel List'!B292</f>
        <v>279</v>
      </c>
      <c r="C291" s="45" t="s">
        <v>407</v>
      </c>
      <c r="D291" s="45" t="str">
        <f>'6.1Personnel List'!D292</f>
        <v>Medical Officer III</v>
      </c>
      <c r="E291" s="45" t="str">
        <f>'6.1Personnel List'!H292</f>
        <v>FT</v>
      </c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4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>
        <v>0.2</v>
      </c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>
        <v>0.8</v>
      </c>
      <c r="DL291" s="41"/>
      <c r="DM291" s="41"/>
      <c r="DN291" s="41"/>
      <c r="DO291" s="41"/>
      <c r="DP291" s="41"/>
      <c r="DQ291" s="41"/>
      <c r="DR291" s="41"/>
      <c r="DS291" s="43"/>
      <c r="DT291" s="44">
        <f t="shared" ref="DT291" si="273">SUM(F291:DR291)</f>
        <v>1</v>
      </c>
    </row>
    <row r="292" spans="2:124" s="13" customFormat="1">
      <c r="B292" s="4">
        <f>'6.1Personnel List'!B293</f>
        <v>280</v>
      </c>
      <c r="C292" s="45" t="s">
        <v>408</v>
      </c>
      <c r="D292" s="45" t="str">
        <f>'6.1Personnel List'!D293</f>
        <v>Medical Officer III</v>
      </c>
      <c r="E292" s="45" t="str">
        <f>'6.1Personnel List'!H293</f>
        <v>FT</v>
      </c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4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>
        <v>0.2</v>
      </c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>
        <v>0.8</v>
      </c>
      <c r="DL292" s="41"/>
      <c r="DM292" s="41"/>
      <c r="DN292" s="41"/>
      <c r="DO292" s="41"/>
      <c r="DP292" s="41"/>
      <c r="DQ292" s="41"/>
      <c r="DR292" s="41"/>
      <c r="DS292" s="43"/>
      <c r="DT292" s="44">
        <f t="shared" ref="DT292" si="274">SUM(F292:DR292)</f>
        <v>1</v>
      </c>
    </row>
    <row r="293" spans="2:124" s="13" customFormat="1">
      <c r="B293" s="4">
        <f>'6.1Personnel List'!B294</f>
        <v>281</v>
      </c>
      <c r="C293" s="45" t="s">
        <v>409</v>
      </c>
      <c r="D293" s="45" t="str">
        <f>'6.1Personnel List'!D294</f>
        <v>Administrative Assistant I</v>
      </c>
      <c r="E293" s="45" t="str">
        <f>'6.1Personnel List'!H294</f>
        <v>FT</v>
      </c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4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>
        <v>1</v>
      </c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3"/>
      <c r="DT293" s="44">
        <f t="shared" ref="DT293" si="275">SUM(F293:DR293)</f>
        <v>1</v>
      </c>
    </row>
    <row r="294" spans="2:124" s="13" customFormat="1">
      <c r="B294" s="4">
        <f>'6.1Personnel List'!B295</f>
        <v>282</v>
      </c>
      <c r="C294" s="45" t="s">
        <v>411</v>
      </c>
      <c r="D294" s="45" t="str">
        <f>'6.1Personnel List'!D295</f>
        <v>Medical Specialist IV (P.T.) - Chairman</v>
      </c>
      <c r="E294" s="45" t="str">
        <f>'6.1Personnel List'!H295</f>
        <v>PT</v>
      </c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J294" s="41"/>
      <c r="BK294" s="94"/>
      <c r="BL294" s="94"/>
      <c r="BM294" s="94"/>
      <c r="BN294" s="94"/>
      <c r="BO294" s="94"/>
      <c r="BP294" s="94"/>
      <c r="BQ294" s="94"/>
      <c r="BR294" s="94"/>
      <c r="BS294" s="94"/>
      <c r="BT294" s="94"/>
      <c r="BU294" s="94"/>
      <c r="BV294" s="94"/>
      <c r="BW294" s="94"/>
      <c r="BX294" s="94"/>
      <c r="BY294" s="94"/>
      <c r="BZ294" s="94"/>
      <c r="CA294" s="94"/>
      <c r="CB294" s="94"/>
      <c r="CC294" s="94"/>
      <c r="CD294" s="94"/>
      <c r="CE294" s="94"/>
      <c r="CF294" s="94"/>
      <c r="CG294" s="94"/>
      <c r="CH294" s="94"/>
      <c r="CI294" s="94"/>
      <c r="CJ294" s="94"/>
      <c r="CK294" s="94"/>
      <c r="CL294" s="94"/>
      <c r="CM294" s="94"/>
      <c r="CN294" s="94"/>
      <c r="CO294" s="94"/>
      <c r="CP294" s="94"/>
      <c r="CQ294" s="94"/>
      <c r="CR294" s="94"/>
      <c r="CS294" s="94"/>
      <c r="CT294" s="94">
        <v>0.35</v>
      </c>
      <c r="CU294" s="94">
        <v>0.2</v>
      </c>
      <c r="CV294" s="94"/>
      <c r="CW294" s="94"/>
      <c r="CX294" s="94"/>
      <c r="CY294" s="94"/>
      <c r="CZ294" s="94"/>
      <c r="DA294" s="94"/>
      <c r="DB294" s="94">
        <v>0.2</v>
      </c>
      <c r="DC294" s="94">
        <v>0.2</v>
      </c>
      <c r="DD294" s="94"/>
      <c r="DE294" s="94"/>
      <c r="DF294" s="94"/>
      <c r="DG294" s="94"/>
      <c r="DH294" s="94"/>
      <c r="DI294" s="94"/>
      <c r="DJ294" s="94">
        <v>0.05</v>
      </c>
      <c r="DK294" s="41"/>
      <c r="DL294" s="41"/>
      <c r="DM294" s="41"/>
      <c r="DN294" s="41"/>
      <c r="DO294" s="41"/>
      <c r="DP294" s="41"/>
      <c r="DQ294" s="41"/>
      <c r="DR294" s="41"/>
      <c r="DS294" s="43"/>
      <c r="DT294" s="44">
        <f t="shared" ref="DT294" si="276">SUM(F294:DR294)</f>
        <v>1</v>
      </c>
    </row>
    <row r="295" spans="2:124" s="13" customFormat="1">
      <c r="B295" s="4">
        <f>'6.1Personnel List'!B296</f>
        <v>283</v>
      </c>
      <c r="C295" s="45" t="s">
        <v>412</v>
      </c>
      <c r="D295" s="45" t="str">
        <f>'6.1Personnel List'!D296</f>
        <v>Medical Specialist III (P.T.)</v>
      </c>
      <c r="E295" s="45" t="str">
        <f>'6.1Personnel List'!H296</f>
        <v>PT</v>
      </c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J295" s="41"/>
      <c r="BK295" s="94"/>
      <c r="BL295" s="94"/>
      <c r="BM295" s="94"/>
      <c r="BN295" s="94"/>
      <c r="BO295" s="94"/>
      <c r="BP295" s="94"/>
      <c r="BQ295" s="94"/>
      <c r="BR295" s="94"/>
      <c r="BS295" s="94"/>
      <c r="BT295" s="94"/>
      <c r="BU295" s="94"/>
      <c r="BV295" s="94"/>
      <c r="BW295" s="94"/>
      <c r="BX295" s="94"/>
      <c r="BY295" s="94"/>
      <c r="BZ295" s="94"/>
      <c r="CA295" s="94"/>
      <c r="CB295" s="94"/>
      <c r="CC295" s="94"/>
      <c r="CD295" s="94"/>
      <c r="CE295" s="94"/>
      <c r="CF295" s="94"/>
      <c r="CG295" s="94"/>
      <c r="CH295" s="94"/>
      <c r="CI295" s="94"/>
      <c r="CJ295" s="94"/>
      <c r="CK295" s="94"/>
      <c r="CL295" s="94"/>
      <c r="CM295" s="94"/>
      <c r="CN295" s="94"/>
      <c r="CO295" s="94"/>
      <c r="CP295" s="94"/>
      <c r="CQ295" s="94"/>
      <c r="CR295" s="94"/>
      <c r="CS295" s="94"/>
      <c r="CT295" s="94">
        <v>0.35</v>
      </c>
      <c r="CU295" s="94">
        <v>0.2</v>
      </c>
      <c r="CV295" s="94"/>
      <c r="CW295" s="94"/>
      <c r="CX295" s="94"/>
      <c r="CY295" s="94"/>
      <c r="CZ295" s="94"/>
      <c r="DA295" s="94"/>
      <c r="DB295" s="94">
        <v>0.2</v>
      </c>
      <c r="DC295" s="94">
        <v>0.2</v>
      </c>
      <c r="DD295" s="94"/>
      <c r="DE295" s="94"/>
      <c r="DF295" s="94"/>
      <c r="DG295" s="94"/>
      <c r="DH295" s="94"/>
      <c r="DI295" s="94"/>
      <c r="DJ295" s="94">
        <v>0.05</v>
      </c>
      <c r="DK295" s="41"/>
      <c r="DL295" s="41"/>
      <c r="DM295" s="41"/>
      <c r="DN295" s="41"/>
      <c r="DO295" s="41"/>
      <c r="DP295" s="41"/>
      <c r="DQ295" s="41"/>
      <c r="DR295" s="41"/>
      <c r="DS295" s="43"/>
      <c r="DT295" s="44">
        <f t="shared" ref="DT295" si="277">SUM(F295:DR295)</f>
        <v>1</v>
      </c>
    </row>
    <row r="296" spans="2:124" s="13" customFormat="1">
      <c r="B296" s="4">
        <f>'6.1Personnel List'!B297</f>
        <v>284</v>
      </c>
      <c r="C296" s="45" t="s">
        <v>413</v>
      </c>
      <c r="D296" s="45" t="str">
        <f>'6.1Personnel List'!D297</f>
        <v>Medical Specialist III (P.T.)</v>
      </c>
      <c r="E296" s="45" t="str">
        <f>'6.1Personnel List'!H297</f>
        <v>PT</v>
      </c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J296" s="41"/>
      <c r="BK296" s="94"/>
      <c r="BL296" s="94"/>
      <c r="BM296" s="94"/>
      <c r="BN296" s="94"/>
      <c r="BO296" s="94"/>
      <c r="BP296" s="94"/>
      <c r="BQ296" s="94"/>
      <c r="BR296" s="94"/>
      <c r="BS296" s="94"/>
      <c r="BT296" s="94"/>
      <c r="BU296" s="94"/>
      <c r="BV296" s="94"/>
      <c r="BW296" s="94"/>
      <c r="BX296" s="94"/>
      <c r="BY296" s="94"/>
      <c r="BZ296" s="94"/>
      <c r="CA296" s="94"/>
      <c r="CB296" s="94"/>
      <c r="CC296" s="94"/>
      <c r="CD296" s="94"/>
      <c r="CE296" s="94"/>
      <c r="CF296" s="94"/>
      <c r="CG296" s="94"/>
      <c r="CH296" s="94"/>
      <c r="CI296" s="94"/>
      <c r="CJ296" s="94"/>
      <c r="CK296" s="94"/>
      <c r="CL296" s="94"/>
      <c r="CM296" s="94"/>
      <c r="CN296" s="94"/>
      <c r="CO296" s="94"/>
      <c r="CP296" s="94"/>
      <c r="CQ296" s="94"/>
      <c r="CR296" s="94"/>
      <c r="CS296" s="94"/>
      <c r="CT296" s="94">
        <v>0.35</v>
      </c>
      <c r="CU296" s="94">
        <v>0.2</v>
      </c>
      <c r="CV296" s="94"/>
      <c r="CW296" s="94"/>
      <c r="CX296" s="94"/>
      <c r="CY296" s="94"/>
      <c r="CZ296" s="94"/>
      <c r="DA296" s="94"/>
      <c r="DB296" s="94">
        <v>0.2</v>
      </c>
      <c r="DC296" s="94">
        <v>0.2</v>
      </c>
      <c r="DD296" s="94"/>
      <c r="DE296" s="94"/>
      <c r="DF296" s="94"/>
      <c r="DG296" s="94"/>
      <c r="DH296" s="94"/>
      <c r="DI296" s="94"/>
      <c r="DJ296" s="94">
        <v>0.05</v>
      </c>
      <c r="DK296" s="41"/>
      <c r="DL296" s="41"/>
      <c r="DM296" s="41"/>
      <c r="DN296" s="41"/>
      <c r="DO296" s="41"/>
      <c r="DP296" s="41"/>
      <c r="DQ296" s="41"/>
      <c r="DR296" s="41"/>
      <c r="DS296" s="43"/>
      <c r="DT296" s="44">
        <f t="shared" ref="DT296" si="278">SUM(F296:DR296)</f>
        <v>1</v>
      </c>
    </row>
    <row r="297" spans="2:124" s="13" customFormat="1">
      <c r="B297" s="4">
        <f>'6.1Personnel List'!B298</f>
        <v>285</v>
      </c>
      <c r="C297" s="45" t="s">
        <v>414</v>
      </c>
      <c r="D297" s="45" t="str">
        <f>'6.1Personnel List'!D298</f>
        <v>Medical Specialist III (P.T.)</v>
      </c>
      <c r="E297" s="45" t="str">
        <f>'6.1Personnel List'!H298</f>
        <v>PT</v>
      </c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J297" s="41"/>
      <c r="BK297" s="94"/>
      <c r="BL297" s="94"/>
      <c r="BM297" s="94"/>
      <c r="BN297" s="94"/>
      <c r="BO297" s="94"/>
      <c r="BP297" s="94"/>
      <c r="BQ297" s="94"/>
      <c r="BR297" s="94"/>
      <c r="BS297" s="94"/>
      <c r="BT297" s="94"/>
      <c r="BU297" s="94"/>
      <c r="BV297" s="94"/>
      <c r="BW297" s="94"/>
      <c r="BX297" s="94"/>
      <c r="BY297" s="94"/>
      <c r="BZ297" s="94"/>
      <c r="CA297" s="94"/>
      <c r="CB297" s="94"/>
      <c r="CC297" s="94"/>
      <c r="CD297" s="94"/>
      <c r="CE297" s="94"/>
      <c r="CF297" s="94"/>
      <c r="CG297" s="94"/>
      <c r="CH297" s="94"/>
      <c r="CI297" s="94"/>
      <c r="CJ297" s="94"/>
      <c r="CK297" s="94"/>
      <c r="CL297" s="94"/>
      <c r="CM297" s="94"/>
      <c r="CN297" s="94"/>
      <c r="CO297" s="94"/>
      <c r="CP297" s="94"/>
      <c r="CQ297" s="94"/>
      <c r="CR297" s="94"/>
      <c r="CS297" s="94"/>
      <c r="CT297" s="94">
        <v>0.35</v>
      </c>
      <c r="CU297" s="94">
        <v>0.2</v>
      </c>
      <c r="CV297" s="94"/>
      <c r="CW297" s="94"/>
      <c r="CX297" s="94"/>
      <c r="CY297" s="94"/>
      <c r="CZ297" s="94"/>
      <c r="DA297" s="94"/>
      <c r="DB297" s="94">
        <v>0.2</v>
      </c>
      <c r="DC297" s="94">
        <v>0.2</v>
      </c>
      <c r="DD297" s="94"/>
      <c r="DE297" s="94"/>
      <c r="DF297" s="94"/>
      <c r="DG297" s="94"/>
      <c r="DH297" s="94"/>
      <c r="DI297" s="94"/>
      <c r="DJ297" s="94">
        <v>0.05</v>
      </c>
      <c r="DK297" s="41"/>
      <c r="DL297" s="41"/>
      <c r="DM297" s="41"/>
      <c r="DN297" s="41"/>
      <c r="DO297" s="41"/>
      <c r="DP297" s="41"/>
      <c r="DQ297" s="41"/>
      <c r="DR297" s="41"/>
      <c r="DS297" s="43"/>
      <c r="DT297" s="44">
        <f t="shared" ref="DT297" si="279">SUM(F297:DR297)</f>
        <v>1</v>
      </c>
    </row>
    <row r="298" spans="2:124" s="13" customFormat="1">
      <c r="B298" s="4">
        <f>'6.1Personnel List'!B299</f>
        <v>286</v>
      </c>
      <c r="C298" s="45" t="s">
        <v>415</v>
      </c>
      <c r="D298" s="45" t="str">
        <f>'6.1Personnel List'!D299</f>
        <v>Medical Officer IV</v>
      </c>
      <c r="E298" s="45" t="str">
        <f>'6.1Personnel List'!H299</f>
        <v>FT</v>
      </c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J298" s="41"/>
      <c r="BK298" s="94"/>
      <c r="BL298" s="94"/>
      <c r="BM298" s="94"/>
      <c r="BN298" s="94"/>
      <c r="BO298" s="94"/>
      <c r="BP298" s="94"/>
      <c r="BQ298" s="94"/>
      <c r="BR298" s="94"/>
      <c r="BS298" s="94"/>
      <c r="BT298" s="94"/>
      <c r="BU298" s="94"/>
      <c r="BV298" s="94"/>
      <c r="BW298" s="94"/>
      <c r="BX298" s="94"/>
      <c r="BY298" s="94"/>
      <c r="BZ298" s="94"/>
      <c r="CA298" s="94"/>
      <c r="CB298" s="94"/>
      <c r="CC298" s="94"/>
      <c r="CD298" s="94"/>
      <c r="CE298" s="94"/>
      <c r="CF298" s="94"/>
      <c r="CG298" s="94"/>
      <c r="CH298" s="94"/>
      <c r="CI298" s="94"/>
      <c r="CJ298" s="94"/>
      <c r="CK298" s="94"/>
      <c r="CL298" s="94"/>
      <c r="CM298" s="94"/>
      <c r="CN298" s="94"/>
      <c r="CO298" s="94"/>
      <c r="CP298" s="94"/>
      <c r="CQ298" s="94"/>
      <c r="CR298" s="94"/>
      <c r="CS298" s="94"/>
      <c r="CT298" s="94">
        <v>0.35</v>
      </c>
      <c r="CU298" s="94">
        <v>0.2</v>
      </c>
      <c r="CV298" s="94"/>
      <c r="CW298" s="94"/>
      <c r="CX298" s="94"/>
      <c r="CY298" s="94"/>
      <c r="CZ298" s="94"/>
      <c r="DA298" s="94"/>
      <c r="DB298" s="94">
        <v>0.2</v>
      </c>
      <c r="DC298" s="94">
        <v>0.2</v>
      </c>
      <c r="DD298" s="94"/>
      <c r="DE298" s="94"/>
      <c r="DF298" s="94"/>
      <c r="DG298" s="94"/>
      <c r="DH298" s="94"/>
      <c r="DI298" s="94"/>
      <c r="DJ298" s="94">
        <v>0.05</v>
      </c>
      <c r="DK298" s="41"/>
      <c r="DL298" s="41"/>
      <c r="DM298" s="41"/>
      <c r="DN298" s="41"/>
      <c r="DO298" s="41"/>
      <c r="DP298" s="41"/>
      <c r="DQ298" s="41"/>
      <c r="DR298" s="41"/>
      <c r="DS298" s="43"/>
      <c r="DT298" s="44">
        <f t="shared" ref="DT298" si="280">SUM(F298:DR298)</f>
        <v>1</v>
      </c>
    </row>
    <row r="299" spans="2:124" s="13" customFormat="1">
      <c r="B299" s="4">
        <f>'6.1Personnel List'!B300</f>
        <v>287</v>
      </c>
      <c r="C299" s="45" t="s">
        <v>416</v>
      </c>
      <c r="D299" s="45" t="str">
        <f>'6.1Personnel List'!D300</f>
        <v>Medical Officer IV</v>
      </c>
      <c r="E299" s="45" t="str">
        <f>'6.1Personnel List'!H300</f>
        <v>FT</v>
      </c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J299" s="41"/>
      <c r="BK299" s="94"/>
      <c r="BL299" s="94"/>
      <c r="BM299" s="94"/>
      <c r="BN299" s="94"/>
      <c r="BO299" s="94"/>
      <c r="BP299" s="94"/>
      <c r="BQ299" s="94"/>
      <c r="BR299" s="94"/>
      <c r="BS299" s="94"/>
      <c r="BT299" s="94"/>
      <c r="BU299" s="94"/>
      <c r="BV299" s="94"/>
      <c r="BW299" s="94"/>
      <c r="BX299" s="94"/>
      <c r="BY299" s="94"/>
      <c r="BZ299" s="94"/>
      <c r="CA299" s="94"/>
      <c r="CB299" s="94"/>
      <c r="CC299" s="94"/>
      <c r="CD299" s="94"/>
      <c r="CE299" s="94"/>
      <c r="CF299" s="94"/>
      <c r="CG299" s="94"/>
      <c r="CH299" s="94"/>
      <c r="CI299" s="94"/>
      <c r="CJ299" s="94"/>
      <c r="CK299" s="94"/>
      <c r="CL299" s="94"/>
      <c r="CM299" s="94"/>
      <c r="CN299" s="94"/>
      <c r="CO299" s="94"/>
      <c r="CP299" s="94"/>
      <c r="CQ299" s="94"/>
      <c r="CR299" s="94"/>
      <c r="CS299" s="94"/>
      <c r="CT299" s="94">
        <v>0.2</v>
      </c>
      <c r="CU299" s="94">
        <v>0.4</v>
      </c>
      <c r="CV299" s="94"/>
      <c r="CW299" s="94"/>
      <c r="CX299" s="94"/>
      <c r="CY299" s="94"/>
      <c r="CZ299" s="94"/>
      <c r="DA299" s="94"/>
      <c r="DB299" s="94">
        <v>0.1</v>
      </c>
      <c r="DC299" s="94">
        <v>0.1</v>
      </c>
      <c r="DD299" s="94"/>
      <c r="DE299" s="94"/>
      <c r="DF299" s="94"/>
      <c r="DG299" s="94"/>
      <c r="DH299" s="94"/>
      <c r="DI299" s="94"/>
      <c r="DJ299" s="94">
        <v>0.2</v>
      </c>
      <c r="DK299" s="41"/>
      <c r="DL299" s="41"/>
      <c r="DM299" s="41"/>
      <c r="DN299" s="41"/>
      <c r="DO299" s="41"/>
      <c r="DP299" s="41"/>
      <c r="DQ299" s="41"/>
      <c r="DR299" s="41"/>
      <c r="DS299" s="43"/>
      <c r="DT299" s="44">
        <f t="shared" ref="DT299" si="281">SUM(F299:DR299)</f>
        <v>1</v>
      </c>
    </row>
    <row r="300" spans="2:124" s="13" customFormat="1">
      <c r="B300" s="4">
        <f>'6.1Personnel List'!B301</f>
        <v>288</v>
      </c>
      <c r="C300" s="45" t="s">
        <v>417</v>
      </c>
      <c r="D300" s="45" t="str">
        <f>'6.1Personnel List'!D301</f>
        <v>Medical Officer III</v>
      </c>
      <c r="E300" s="45" t="str">
        <f>'6.1Personnel List'!H301</f>
        <v>FT</v>
      </c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J300" s="41"/>
      <c r="BK300" s="94"/>
      <c r="BL300" s="94"/>
      <c r="BM300" s="94"/>
      <c r="BN300" s="94"/>
      <c r="BO300" s="94"/>
      <c r="BP300" s="94"/>
      <c r="BQ300" s="94"/>
      <c r="BR300" s="94"/>
      <c r="BS300" s="94"/>
      <c r="BT300" s="94"/>
      <c r="BU300" s="94"/>
      <c r="BV300" s="94"/>
      <c r="BW300" s="94"/>
      <c r="BX300" s="94"/>
      <c r="BY300" s="94"/>
      <c r="BZ300" s="94"/>
      <c r="CA300" s="94"/>
      <c r="CB300" s="94"/>
      <c r="CC300" s="94"/>
      <c r="CD300" s="94"/>
      <c r="CE300" s="94"/>
      <c r="CF300" s="94"/>
      <c r="CG300" s="94"/>
      <c r="CH300" s="94"/>
      <c r="CI300" s="94"/>
      <c r="CJ300" s="94"/>
      <c r="CK300" s="94"/>
      <c r="CL300" s="94"/>
      <c r="CM300" s="94"/>
      <c r="CN300" s="94"/>
      <c r="CO300" s="94"/>
      <c r="CP300" s="94"/>
      <c r="CQ300" s="94"/>
      <c r="CR300" s="94"/>
      <c r="CS300" s="94"/>
      <c r="CT300" s="94">
        <v>0.2</v>
      </c>
      <c r="CU300" s="94">
        <v>0.4</v>
      </c>
      <c r="CV300" s="94"/>
      <c r="CW300" s="94"/>
      <c r="CX300" s="94"/>
      <c r="CY300" s="94"/>
      <c r="CZ300" s="94"/>
      <c r="DA300" s="94"/>
      <c r="DB300" s="94">
        <v>0.1</v>
      </c>
      <c r="DC300" s="94">
        <v>0.1</v>
      </c>
      <c r="DD300" s="94"/>
      <c r="DE300" s="94"/>
      <c r="DF300" s="94"/>
      <c r="DG300" s="94"/>
      <c r="DH300" s="94"/>
      <c r="DI300" s="94"/>
      <c r="DJ300" s="94">
        <v>0.2</v>
      </c>
      <c r="DK300" s="41"/>
      <c r="DL300" s="41"/>
      <c r="DM300" s="41"/>
      <c r="DN300" s="41"/>
      <c r="DO300" s="41"/>
      <c r="DP300" s="41"/>
      <c r="DQ300" s="41"/>
      <c r="DR300" s="41"/>
      <c r="DS300" s="43"/>
      <c r="DT300" s="44">
        <f t="shared" ref="DT300" si="282">SUM(F300:DR300)</f>
        <v>1</v>
      </c>
    </row>
    <row r="301" spans="2:124" s="13" customFormat="1">
      <c r="B301" s="4">
        <f>'6.1Personnel List'!B302</f>
        <v>289</v>
      </c>
      <c r="C301" s="45" t="s">
        <v>418</v>
      </c>
      <c r="D301" s="45" t="str">
        <f>'6.1Personnel List'!D302</f>
        <v>Medical Officer III</v>
      </c>
      <c r="E301" s="45" t="str">
        <f>'6.1Personnel List'!H302</f>
        <v>FT</v>
      </c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J301" s="41"/>
      <c r="BK301" s="94"/>
      <c r="BL301" s="94"/>
      <c r="BM301" s="94"/>
      <c r="BN301" s="94"/>
      <c r="BO301" s="94"/>
      <c r="BP301" s="94"/>
      <c r="BQ301" s="94"/>
      <c r="BR301" s="94"/>
      <c r="BS301" s="94"/>
      <c r="BT301" s="94"/>
      <c r="BU301" s="94"/>
      <c r="BV301" s="94"/>
      <c r="BW301" s="94"/>
      <c r="BX301" s="94"/>
      <c r="BY301" s="94"/>
      <c r="BZ301" s="94"/>
      <c r="CA301" s="94"/>
      <c r="CB301" s="94"/>
      <c r="CC301" s="94"/>
      <c r="CD301" s="94"/>
      <c r="CE301" s="94"/>
      <c r="CF301" s="94"/>
      <c r="CG301" s="94"/>
      <c r="CH301" s="94"/>
      <c r="CI301" s="94"/>
      <c r="CJ301" s="94"/>
      <c r="CK301" s="94"/>
      <c r="CL301" s="94"/>
      <c r="CM301" s="94"/>
      <c r="CN301" s="94"/>
      <c r="CO301" s="94"/>
      <c r="CP301" s="94"/>
      <c r="CQ301" s="94"/>
      <c r="CR301" s="94"/>
      <c r="CS301" s="94"/>
      <c r="CT301" s="94">
        <v>0.2</v>
      </c>
      <c r="CU301" s="94">
        <v>0.4</v>
      </c>
      <c r="CV301" s="94"/>
      <c r="CW301" s="94"/>
      <c r="CX301" s="94"/>
      <c r="CY301" s="94"/>
      <c r="CZ301" s="94"/>
      <c r="DA301" s="94"/>
      <c r="DB301" s="94">
        <v>0.1</v>
      </c>
      <c r="DC301" s="94">
        <v>0.1</v>
      </c>
      <c r="DD301" s="94"/>
      <c r="DE301" s="94"/>
      <c r="DF301" s="94"/>
      <c r="DG301" s="94"/>
      <c r="DH301" s="94"/>
      <c r="DI301" s="94"/>
      <c r="DJ301" s="94">
        <v>0.2</v>
      </c>
      <c r="DK301" s="41"/>
      <c r="DL301" s="41"/>
      <c r="DM301" s="41"/>
      <c r="DN301" s="41"/>
      <c r="DO301" s="41"/>
      <c r="DP301" s="41"/>
      <c r="DQ301" s="41"/>
      <c r="DR301" s="41"/>
      <c r="DS301" s="43"/>
      <c r="DT301" s="44">
        <f t="shared" ref="DT301" si="283">SUM(F301:DR301)</f>
        <v>1</v>
      </c>
    </row>
    <row r="302" spans="2:124" s="13" customFormat="1">
      <c r="B302" s="4">
        <f>'6.1Personnel List'!B303</f>
        <v>290</v>
      </c>
      <c r="C302" s="45" t="s">
        <v>419</v>
      </c>
      <c r="D302" s="45" t="str">
        <f>'6.1Personnel List'!D303</f>
        <v>Medical Officer III</v>
      </c>
      <c r="E302" s="45" t="str">
        <f>'6.1Personnel List'!H303</f>
        <v>FT</v>
      </c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J302" s="41"/>
      <c r="BK302" s="94"/>
      <c r="BL302" s="94"/>
      <c r="BM302" s="94"/>
      <c r="BN302" s="94"/>
      <c r="BO302" s="94"/>
      <c r="BP302" s="94"/>
      <c r="BQ302" s="94"/>
      <c r="BR302" s="94"/>
      <c r="BS302" s="94"/>
      <c r="BT302" s="94"/>
      <c r="BU302" s="94"/>
      <c r="BV302" s="94"/>
      <c r="BW302" s="94"/>
      <c r="BX302" s="94"/>
      <c r="BY302" s="94"/>
      <c r="BZ302" s="94"/>
      <c r="CA302" s="94"/>
      <c r="CB302" s="94"/>
      <c r="CC302" s="94"/>
      <c r="CD302" s="94"/>
      <c r="CE302" s="94"/>
      <c r="CF302" s="94"/>
      <c r="CG302" s="94"/>
      <c r="CH302" s="94"/>
      <c r="CI302" s="94"/>
      <c r="CJ302" s="94"/>
      <c r="CK302" s="94"/>
      <c r="CL302" s="94"/>
      <c r="CM302" s="94"/>
      <c r="CN302" s="94"/>
      <c r="CO302" s="94"/>
      <c r="CP302" s="94"/>
      <c r="CQ302" s="94"/>
      <c r="CR302" s="94"/>
      <c r="CS302" s="94"/>
      <c r="CT302" s="94">
        <v>0.2</v>
      </c>
      <c r="CU302" s="94">
        <v>0.4</v>
      </c>
      <c r="CV302" s="94"/>
      <c r="CW302" s="94"/>
      <c r="CX302" s="94"/>
      <c r="CY302" s="94"/>
      <c r="CZ302" s="94"/>
      <c r="DA302" s="94"/>
      <c r="DB302" s="94">
        <v>0.1</v>
      </c>
      <c r="DC302" s="94">
        <v>0.1</v>
      </c>
      <c r="DD302" s="94"/>
      <c r="DE302" s="94"/>
      <c r="DF302" s="94"/>
      <c r="DG302" s="94"/>
      <c r="DH302" s="94"/>
      <c r="DI302" s="94"/>
      <c r="DJ302" s="94">
        <v>0.2</v>
      </c>
      <c r="DK302" s="41"/>
      <c r="DL302" s="41"/>
      <c r="DM302" s="41"/>
      <c r="DN302" s="41"/>
      <c r="DO302" s="41"/>
      <c r="DP302" s="41"/>
      <c r="DQ302" s="41"/>
      <c r="DR302" s="41"/>
      <c r="DS302" s="43"/>
      <c r="DT302" s="44">
        <f t="shared" ref="DT302" si="284">SUM(F302:DR302)</f>
        <v>1</v>
      </c>
    </row>
    <row r="303" spans="2:124" s="13" customFormat="1">
      <c r="B303" s="4">
        <f>'6.1Personnel List'!B304</f>
        <v>291</v>
      </c>
      <c r="C303" s="45" t="s">
        <v>420</v>
      </c>
      <c r="D303" s="45" t="str">
        <f>'6.1Personnel List'!D304</f>
        <v>Medical Officer III</v>
      </c>
      <c r="E303" s="45" t="str">
        <f>'6.1Personnel List'!H304</f>
        <v>FT</v>
      </c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J303" s="41"/>
      <c r="BK303" s="94"/>
      <c r="BL303" s="94"/>
      <c r="BM303" s="94"/>
      <c r="BN303" s="94"/>
      <c r="BO303" s="94"/>
      <c r="BP303" s="94"/>
      <c r="BQ303" s="94"/>
      <c r="BR303" s="94"/>
      <c r="BS303" s="94"/>
      <c r="BT303" s="94"/>
      <c r="BU303" s="94"/>
      <c r="BV303" s="94"/>
      <c r="BW303" s="94"/>
      <c r="BX303" s="94"/>
      <c r="BY303" s="94"/>
      <c r="BZ303" s="94"/>
      <c r="CA303" s="94"/>
      <c r="CB303" s="94"/>
      <c r="CC303" s="94"/>
      <c r="CD303" s="94"/>
      <c r="CE303" s="94"/>
      <c r="CF303" s="94"/>
      <c r="CG303" s="94"/>
      <c r="CH303" s="94"/>
      <c r="CI303" s="94"/>
      <c r="CJ303" s="94"/>
      <c r="CK303" s="94"/>
      <c r="CL303" s="94"/>
      <c r="CM303" s="94"/>
      <c r="CN303" s="94"/>
      <c r="CO303" s="94"/>
      <c r="CP303" s="94"/>
      <c r="CQ303" s="94"/>
      <c r="CR303" s="94"/>
      <c r="CS303" s="94"/>
      <c r="CT303" s="94">
        <v>0.2</v>
      </c>
      <c r="CU303" s="94">
        <v>0.4</v>
      </c>
      <c r="CV303" s="94"/>
      <c r="CW303" s="94"/>
      <c r="CX303" s="94"/>
      <c r="CY303" s="94"/>
      <c r="CZ303" s="94"/>
      <c r="DA303" s="94"/>
      <c r="DB303" s="94">
        <v>0.1</v>
      </c>
      <c r="DC303" s="94">
        <v>0.1</v>
      </c>
      <c r="DD303" s="94"/>
      <c r="DE303" s="94"/>
      <c r="DF303" s="94"/>
      <c r="DG303" s="94"/>
      <c r="DH303" s="94"/>
      <c r="DI303" s="94"/>
      <c r="DJ303" s="94">
        <v>0.2</v>
      </c>
      <c r="DK303" s="41"/>
      <c r="DL303" s="41"/>
      <c r="DM303" s="41"/>
      <c r="DN303" s="41"/>
      <c r="DO303" s="41"/>
      <c r="DP303" s="41"/>
      <c r="DQ303" s="41"/>
      <c r="DR303" s="41"/>
      <c r="DS303" s="43"/>
      <c r="DT303" s="44">
        <f t="shared" ref="DT303" si="285">SUM(F303:DR303)</f>
        <v>1</v>
      </c>
    </row>
    <row r="304" spans="2:124" s="13" customFormat="1">
      <c r="B304" s="4">
        <f>'6.1Personnel List'!B305</f>
        <v>292</v>
      </c>
      <c r="C304" s="45" t="s">
        <v>421</v>
      </c>
      <c r="D304" s="45" t="str">
        <f>'6.1Personnel List'!D305</f>
        <v>Medical Officer III</v>
      </c>
      <c r="E304" s="45" t="str">
        <f>'6.1Personnel List'!H305</f>
        <v>FT</v>
      </c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J304" s="41"/>
      <c r="BK304" s="94"/>
      <c r="BL304" s="94"/>
      <c r="BM304" s="94"/>
      <c r="BN304" s="94"/>
      <c r="BO304" s="94"/>
      <c r="BP304" s="94"/>
      <c r="BQ304" s="94"/>
      <c r="BR304" s="94"/>
      <c r="BS304" s="94"/>
      <c r="BT304" s="94"/>
      <c r="BU304" s="94"/>
      <c r="BV304" s="94"/>
      <c r="BW304" s="94"/>
      <c r="BX304" s="94"/>
      <c r="BY304" s="94"/>
      <c r="BZ304" s="94"/>
      <c r="CA304" s="94"/>
      <c r="CB304" s="94"/>
      <c r="CC304" s="94"/>
      <c r="CD304" s="94"/>
      <c r="CE304" s="94"/>
      <c r="CF304" s="94"/>
      <c r="CG304" s="94"/>
      <c r="CH304" s="94"/>
      <c r="CI304" s="94"/>
      <c r="CJ304" s="94"/>
      <c r="CK304" s="94"/>
      <c r="CL304" s="94"/>
      <c r="CM304" s="94"/>
      <c r="CN304" s="94"/>
      <c r="CO304" s="94"/>
      <c r="CP304" s="94"/>
      <c r="CQ304" s="94"/>
      <c r="CR304" s="94"/>
      <c r="CS304" s="94"/>
      <c r="CT304" s="94">
        <v>0.2</v>
      </c>
      <c r="CU304" s="94">
        <v>0.4</v>
      </c>
      <c r="CV304" s="94"/>
      <c r="CW304" s="94"/>
      <c r="CX304" s="94"/>
      <c r="CY304" s="94"/>
      <c r="CZ304" s="94"/>
      <c r="DA304" s="94"/>
      <c r="DB304" s="94">
        <v>0.1</v>
      </c>
      <c r="DC304" s="94">
        <v>0.1</v>
      </c>
      <c r="DD304" s="94"/>
      <c r="DE304" s="94"/>
      <c r="DF304" s="94"/>
      <c r="DG304" s="94"/>
      <c r="DH304" s="94"/>
      <c r="DI304" s="94"/>
      <c r="DJ304" s="94">
        <v>0.2</v>
      </c>
      <c r="DK304" s="41"/>
      <c r="DL304" s="41"/>
      <c r="DM304" s="41"/>
      <c r="DN304" s="41"/>
      <c r="DO304" s="41"/>
      <c r="DP304" s="41"/>
      <c r="DQ304" s="41"/>
      <c r="DR304" s="41"/>
      <c r="DS304" s="43"/>
      <c r="DT304" s="44">
        <f t="shared" ref="DT304" si="286">SUM(F304:DR304)</f>
        <v>1</v>
      </c>
    </row>
    <row r="305" spans="2:124" s="13" customFormat="1">
      <c r="B305" s="4">
        <f>'6.1Personnel List'!B306</f>
        <v>293</v>
      </c>
      <c r="C305" s="45" t="s">
        <v>422</v>
      </c>
      <c r="D305" s="45" t="str">
        <f>'6.1Personnel List'!D306</f>
        <v>Medical Officer III</v>
      </c>
      <c r="E305" s="45" t="str">
        <f>'6.1Personnel List'!H306</f>
        <v>FT</v>
      </c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J305" s="41"/>
      <c r="BK305" s="94"/>
      <c r="BL305" s="94"/>
      <c r="BM305" s="94"/>
      <c r="BN305" s="94"/>
      <c r="BO305" s="94"/>
      <c r="BP305" s="94"/>
      <c r="BQ305" s="94"/>
      <c r="BR305" s="94"/>
      <c r="BS305" s="94"/>
      <c r="BT305" s="94"/>
      <c r="BU305" s="94"/>
      <c r="BV305" s="94"/>
      <c r="BW305" s="94"/>
      <c r="BX305" s="94"/>
      <c r="BY305" s="94"/>
      <c r="BZ305" s="94"/>
      <c r="CA305" s="94"/>
      <c r="CB305" s="94"/>
      <c r="CC305" s="94"/>
      <c r="CD305" s="94"/>
      <c r="CE305" s="94"/>
      <c r="CF305" s="94"/>
      <c r="CG305" s="94"/>
      <c r="CH305" s="94"/>
      <c r="CI305" s="94"/>
      <c r="CJ305" s="94"/>
      <c r="CK305" s="94"/>
      <c r="CL305" s="94"/>
      <c r="CM305" s="94"/>
      <c r="CN305" s="94"/>
      <c r="CO305" s="94"/>
      <c r="CP305" s="94"/>
      <c r="CQ305" s="94"/>
      <c r="CR305" s="94"/>
      <c r="CS305" s="94"/>
      <c r="CT305" s="94">
        <v>0.2</v>
      </c>
      <c r="CU305" s="94">
        <v>0.4</v>
      </c>
      <c r="CV305" s="94"/>
      <c r="CW305" s="94"/>
      <c r="CX305" s="94"/>
      <c r="CY305" s="94"/>
      <c r="CZ305" s="94"/>
      <c r="DA305" s="94"/>
      <c r="DB305" s="94">
        <v>0.1</v>
      </c>
      <c r="DC305" s="94">
        <v>0.1</v>
      </c>
      <c r="DD305" s="94"/>
      <c r="DE305" s="94"/>
      <c r="DF305" s="94"/>
      <c r="DG305" s="94"/>
      <c r="DH305" s="94"/>
      <c r="DI305" s="94"/>
      <c r="DJ305" s="94">
        <v>0.2</v>
      </c>
      <c r="DK305" s="41"/>
      <c r="DL305" s="41"/>
      <c r="DM305" s="41"/>
      <c r="DN305" s="41"/>
      <c r="DO305" s="41"/>
      <c r="DP305" s="41"/>
      <c r="DQ305" s="41"/>
      <c r="DR305" s="41"/>
      <c r="DS305" s="43"/>
      <c r="DT305" s="44">
        <f t="shared" ref="DT305" si="287">SUM(F305:DR305)</f>
        <v>1</v>
      </c>
    </row>
    <row r="306" spans="2:124" s="13" customFormat="1">
      <c r="B306" s="4">
        <f>'6.1Personnel List'!B307</f>
        <v>294</v>
      </c>
      <c r="C306" s="45" t="s">
        <v>423</v>
      </c>
      <c r="D306" s="45" t="str">
        <f>'6.1Personnel List'!D307</f>
        <v>Medical Officer III</v>
      </c>
      <c r="E306" s="45" t="str">
        <f>'6.1Personnel List'!H307</f>
        <v>FT</v>
      </c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J306" s="41"/>
      <c r="BK306" s="94"/>
      <c r="BL306" s="94"/>
      <c r="BM306" s="94"/>
      <c r="BN306" s="94"/>
      <c r="BO306" s="94"/>
      <c r="BP306" s="94"/>
      <c r="BQ306" s="94"/>
      <c r="BR306" s="94"/>
      <c r="BS306" s="94"/>
      <c r="BT306" s="94"/>
      <c r="BU306" s="94"/>
      <c r="BV306" s="94"/>
      <c r="BW306" s="94"/>
      <c r="BX306" s="94"/>
      <c r="BY306" s="94"/>
      <c r="BZ306" s="94"/>
      <c r="CA306" s="94"/>
      <c r="CB306" s="94"/>
      <c r="CC306" s="94"/>
      <c r="CD306" s="94"/>
      <c r="CE306" s="94"/>
      <c r="CF306" s="94"/>
      <c r="CG306" s="94"/>
      <c r="CH306" s="94"/>
      <c r="CI306" s="94"/>
      <c r="CJ306" s="94"/>
      <c r="CK306" s="94"/>
      <c r="CL306" s="94"/>
      <c r="CM306" s="94"/>
      <c r="CN306" s="94"/>
      <c r="CO306" s="94"/>
      <c r="CP306" s="94"/>
      <c r="CQ306" s="94"/>
      <c r="CR306" s="94"/>
      <c r="CS306" s="94"/>
      <c r="CT306" s="94">
        <v>0.2</v>
      </c>
      <c r="CU306" s="94">
        <v>0.4</v>
      </c>
      <c r="CV306" s="94"/>
      <c r="CW306" s="94"/>
      <c r="CX306" s="94"/>
      <c r="CY306" s="94"/>
      <c r="CZ306" s="94"/>
      <c r="DA306" s="94"/>
      <c r="DB306" s="94">
        <v>0.1</v>
      </c>
      <c r="DC306" s="94">
        <v>0.1</v>
      </c>
      <c r="DD306" s="94"/>
      <c r="DE306" s="94"/>
      <c r="DF306" s="94"/>
      <c r="DG306" s="94"/>
      <c r="DH306" s="94"/>
      <c r="DI306" s="94"/>
      <c r="DJ306" s="94">
        <v>0.2</v>
      </c>
      <c r="DK306" s="41"/>
      <c r="DL306" s="41"/>
      <c r="DM306" s="41"/>
      <c r="DN306" s="41"/>
      <c r="DO306" s="41"/>
      <c r="DP306" s="41"/>
      <c r="DQ306" s="41"/>
      <c r="DR306" s="41"/>
      <c r="DS306" s="43"/>
      <c r="DT306" s="44">
        <f t="shared" ref="DT306" si="288">SUM(F306:DR306)</f>
        <v>1</v>
      </c>
    </row>
    <row r="307" spans="2:124" s="13" customFormat="1">
      <c r="B307" s="4">
        <f>'6.1Personnel List'!B308</f>
        <v>295</v>
      </c>
      <c r="C307" s="45" t="s">
        <v>424</v>
      </c>
      <c r="D307" s="45" t="str">
        <f>'6.1Personnel List'!D308</f>
        <v>Medical Officer III</v>
      </c>
      <c r="E307" s="45" t="str">
        <f>'6.1Personnel List'!H308</f>
        <v>FT</v>
      </c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J307" s="41"/>
      <c r="BK307" s="94"/>
      <c r="BL307" s="94"/>
      <c r="BM307" s="94"/>
      <c r="BN307" s="94"/>
      <c r="BO307" s="94"/>
      <c r="BP307" s="94"/>
      <c r="BQ307" s="94"/>
      <c r="BR307" s="94"/>
      <c r="BS307" s="94"/>
      <c r="BT307" s="94"/>
      <c r="BU307" s="94"/>
      <c r="BV307" s="94"/>
      <c r="BW307" s="94"/>
      <c r="BX307" s="94"/>
      <c r="BY307" s="94"/>
      <c r="BZ307" s="94"/>
      <c r="CA307" s="94"/>
      <c r="CB307" s="94"/>
      <c r="CC307" s="94"/>
      <c r="CD307" s="94"/>
      <c r="CE307" s="94"/>
      <c r="CF307" s="94"/>
      <c r="CG307" s="94"/>
      <c r="CH307" s="94"/>
      <c r="CI307" s="94"/>
      <c r="CJ307" s="94"/>
      <c r="CK307" s="94"/>
      <c r="CL307" s="94"/>
      <c r="CM307" s="94"/>
      <c r="CN307" s="94"/>
      <c r="CO307" s="94"/>
      <c r="CP307" s="94"/>
      <c r="CQ307" s="94"/>
      <c r="CR307" s="94"/>
      <c r="CS307" s="94"/>
      <c r="CT307" s="94">
        <v>0.2</v>
      </c>
      <c r="CU307" s="94">
        <v>0.4</v>
      </c>
      <c r="CV307" s="94"/>
      <c r="CW307" s="94"/>
      <c r="CX307" s="94"/>
      <c r="CY307" s="94"/>
      <c r="CZ307" s="94"/>
      <c r="DA307" s="94"/>
      <c r="DB307" s="94">
        <v>0.1</v>
      </c>
      <c r="DC307" s="94">
        <v>0.1</v>
      </c>
      <c r="DD307" s="94"/>
      <c r="DE307" s="94"/>
      <c r="DF307" s="94"/>
      <c r="DG307" s="94"/>
      <c r="DH307" s="94"/>
      <c r="DI307" s="94"/>
      <c r="DJ307" s="94">
        <v>0.2</v>
      </c>
      <c r="DK307" s="41"/>
      <c r="DL307" s="41"/>
      <c r="DM307" s="41"/>
      <c r="DN307" s="41"/>
      <c r="DO307" s="41"/>
      <c r="DP307" s="41"/>
      <c r="DQ307" s="41"/>
      <c r="DR307" s="41"/>
      <c r="DS307" s="43"/>
      <c r="DT307" s="44">
        <f t="shared" ref="DT307" si="289">SUM(F307:DR307)</f>
        <v>1</v>
      </c>
    </row>
    <row r="308" spans="2:124" s="13" customFormat="1">
      <c r="B308" s="4">
        <f>'6.1Personnel List'!B309</f>
        <v>296</v>
      </c>
      <c r="C308" s="45" t="s">
        <v>425</v>
      </c>
      <c r="D308" s="45" t="str">
        <f>'6.1Personnel List'!D309</f>
        <v>Administrative Assistant I</v>
      </c>
      <c r="E308" s="45" t="str">
        <f>'6.1Personnel List'!H309</f>
        <v>FT</v>
      </c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>
        <v>1</v>
      </c>
      <c r="CB308" s="4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3"/>
      <c r="DT308" s="44">
        <f t="shared" ref="DT308" si="290">SUM(F308:DR308)</f>
        <v>1</v>
      </c>
    </row>
    <row r="309" spans="2:124" s="13" customFormat="1">
      <c r="B309" s="4">
        <f>'6.1Personnel List'!B310</f>
        <v>297</v>
      </c>
      <c r="C309" s="45" t="s">
        <v>426</v>
      </c>
      <c r="D309" s="45" t="str">
        <f>'6.1Personnel List'!D310</f>
        <v>Administrative Officer I</v>
      </c>
      <c r="E309" s="45" t="str">
        <f>'6.1Personnel List'!H310</f>
        <v>FT</v>
      </c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J309" s="41">
        <v>1</v>
      </c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4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3"/>
      <c r="DT309" s="44">
        <f t="shared" ref="DT309" si="291">SUM(F309:DR309)</f>
        <v>1</v>
      </c>
    </row>
    <row r="310" spans="2:124" s="13" customFormat="1">
      <c r="B310" s="4">
        <f>'6.1Personnel List'!B311</f>
        <v>298</v>
      </c>
      <c r="C310" s="45" t="s">
        <v>428</v>
      </c>
      <c r="D310" s="45" t="str">
        <f>'6.1Personnel List'!D311</f>
        <v>Administrative Assistant I</v>
      </c>
      <c r="E310" s="45" t="str">
        <f>'6.1Personnel List'!H311</f>
        <v>FT</v>
      </c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J310" s="41">
        <v>1</v>
      </c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4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3"/>
      <c r="DT310" s="44">
        <f t="shared" ref="DT310" si="292">SUM(F310:DR310)</f>
        <v>1</v>
      </c>
    </row>
    <row r="311" spans="2:124" s="13" customFormat="1">
      <c r="B311" s="4">
        <f>'6.1Personnel List'!B312</f>
        <v>299</v>
      </c>
      <c r="C311" s="45" t="s">
        <v>429</v>
      </c>
      <c r="D311" s="45" t="str">
        <f>'6.1Personnel List'!D312</f>
        <v>Administrative Aide III</v>
      </c>
      <c r="E311" s="45" t="str">
        <f>'6.1Personnel List'!H312</f>
        <v>FT</v>
      </c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J311" s="41">
        <v>1</v>
      </c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3"/>
      <c r="DT311" s="44">
        <f t="shared" ref="DT311" si="293">SUM(F311:DR311)</f>
        <v>1</v>
      </c>
    </row>
    <row r="312" spans="2:124" s="13" customFormat="1">
      <c r="B312" s="4">
        <f>'6.1Personnel List'!B313</f>
        <v>300</v>
      </c>
      <c r="C312" s="45" t="s">
        <v>431</v>
      </c>
      <c r="D312" s="45" t="str">
        <f>'6.1Personnel List'!D313</f>
        <v>Attorney IV (P.T.)</v>
      </c>
      <c r="E312" s="45" t="str">
        <f>'6.1Personnel List'!H313</f>
        <v>PT</v>
      </c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>
        <v>1</v>
      </c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3"/>
      <c r="DT312" s="44">
        <f t="shared" ref="DT312" si="294">SUM(F312:DR312)</f>
        <v>1</v>
      </c>
    </row>
    <row r="313" spans="2:124" s="13" customFormat="1">
      <c r="B313" s="4">
        <f>'6.1Personnel List'!B314</f>
        <v>301</v>
      </c>
      <c r="C313" s="45" t="s">
        <v>433</v>
      </c>
      <c r="D313" s="45" t="str">
        <f>'6.1Personnel List'!D314</f>
        <v>Attorney IV (P.T.)</v>
      </c>
      <c r="E313" s="45" t="str">
        <f>'6.1Personnel List'!H314</f>
        <v>PT</v>
      </c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>
        <v>1</v>
      </c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3"/>
      <c r="DT313" s="44">
        <f t="shared" ref="DT313" si="295">SUM(F313:DR313)</f>
        <v>1</v>
      </c>
    </row>
    <row r="314" spans="2:124" s="13" customFormat="1">
      <c r="B314" s="4">
        <f>'6.1Personnel List'!B315</f>
        <v>302</v>
      </c>
      <c r="C314" s="45" t="s">
        <v>434</v>
      </c>
      <c r="D314" s="45" t="str">
        <f>'6.1Personnel List'!D315</f>
        <v>Chief of Medical and Professional Staff II</v>
      </c>
      <c r="E314" s="45" t="str">
        <f>'6.1Personnel List'!H315</f>
        <v>FT</v>
      </c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>
        <v>1</v>
      </c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3"/>
      <c r="DT314" s="44">
        <f t="shared" ref="DT314" si="296">SUM(F314:DR314)</f>
        <v>1</v>
      </c>
    </row>
    <row r="315" spans="2:124" s="13" customFormat="1">
      <c r="B315" s="4">
        <f>'6.1Personnel List'!B316</f>
        <v>303</v>
      </c>
      <c r="C315" s="45" t="s">
        <v>436</v>
      </c>
      <c r="D315" s="45" t="str">
        <f>'6.1Personnel List'!D316</f>
        <v>Administrative Assistant I</v>
      </c>
      <c r="E315" s="45" t="str">
        <f>'6.1Personnel List'!H316</f>
        <v>FT</v>
      </c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>
        <v>1</v>
      </c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3"/>
      <c r="DT315" s="44">
        <f t="shared" ref="DT315" si="297">SUM(F315:DR315)</f>
        <v>1</v>
      </c>
    </row>
    <row r="316" spans="2:124" s="13" customFormat="1">
      <c r="B316" s="4">
        <f>'6.1Personnel List'!B317</f>
        <v>304</v>
      </c>
      <c r="C316" s="45" t="s">
        <v>437</v>
      </c>
      <c r="D316" s="45" t="str">
        <f>'6.1Personnel List'!D317</f>
        <v>Respiratory Therapist I</v>
      </c>
      <c r="E316" s="45" t="str">
        <f>'6.1Personnel List'!H317</f>
        <v>FT</v>
      </c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>
        <v>0.2</v>
      </c>
      <c r="CN316" s="41">
        <v>0.1</v>
      </c>
      <c r="CO316" s="41">
        <v>0.1</v>
      </c>
      <c r="CP316" s="41">
        <v>0.1</v>
      </c>
      <c r="CQ316" s="41">
        <v>0.1</v>
      </c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>
        <v>0.2</v>
      </c>
      <c r="DE316" s="41"/>
      <c r="DF316" s="41"/>
      <c r="DG316" s="41"/>
      <c r="DH316" s="41"/>
      <c r="DI316" s="41"/>
      <c r="DJ316" s="41">
        <v>0.05</v>
      </c>
      <c r="DK316" s="41">
        <v>0.05</v>
      </c>
      <c r="DL316" s="41">
        <v>0.05</v>
      </c>
      <c r="DM316" s="41"/>
      <c r="DN316" s="41"/>
      <c r="DO316" s="41"/>
      <c r="DP316" s="41"/>
      <c r="DQ316" s="41"/>
      <c r="DR316" s="41">
        <v>0.05</v>
      </c>
      <c r="DS316" s="43"/>
      <c r="DT316" s="44">
        <f t="shared" ref="DT316" si="298">SUM(F316:DR316)</f>
        <v>1.0000000000000002</v>
      </c>
    </row>
    <row r="317" spans="2:124" s="13" customFormat="1">
      <c r="B317" s="4">
        <f>'6.1Personnel List'!B318</f>
        <v>305</v>
      </c>
      <c r="C317" s="45" t="s">
        <v>439</v>
      </c>
      <c r="D317" s="45" t="str">
        <f>'6.1Personnel List'!D318</f>
        <v>Respiratory Therapist I</v>
      </c>
      <c r="E317" s="45" t="str">
        <f>'6.1Personnel List'!H318</f>
        <v>FT</v>
      </c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>
        <v>0.2</v>
      </c>
      <c r="CN317" s="41">
        <v>0.1</v>
      </c>
      <c r="CO317" s="41">
        <v>0.1</v>
      </c>
      <c r="CP317" s="41">
        <v>0.1</v>
      </c>
      <c r="CQ317" s="41">
        <v>0.1</v>
      </c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>
        <v>0.2</v>
      </c>
      <c r="DE317" s="41"/>
      <c r="DF317" s="41"/>
      <c r="DG317" s="41"/>
      <c r="DH317" s="41"/>
      <c r="DI317" s="41"/>
      <c r="DJ317" s="41">
        <v>0.05</v>
      </c>
      <c r="DK317" s="41">
        <v>0.05</v>
      </c>
      <c r="DL317" s="41">
        <v>0.05</v>
      </c>
      <c r="DM317" s="41"/>
      <c r="DN317" s="41"/>
      <c r="DO317" s="41"/>
      <c r="DP317" s="41"/>
      <c r="DQ317" s="41"/>
      <c r="DR317" s="41">
        <v>0.05</v>
      </c>
      <c r="DS317" s="43"/>
      <c r="DT317" s="44">
        <f t="shared" ref="DT317" si="299">SUM(F317:DR317)</f>
        <v>1.0000000000000002</v>
      </c>
    </row>
    <row r="318" spans="2:124" s="13" customFormat="1">
      <c r="B318" s="4">
        <f>'6.1Personnel List'!B319</f>
        <v>306</v>
      </c>
      <c r="C318" s="45" t="s">
        <v>440</v>
      </c>
      <c r="D318" s="45" t="str">
        <f>'6.1Personnel List'!D319</f>
        <v>Respiratory Therapist I</v>
      </c>
      <c r="E318" s="45" t="str">
        <f>'6.1Personnel List'!H319</f>
        <v>FT</v>
      </c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>
        <v>0.2</v>
      </c>
      <c r="CN318" s="41">
        <v>0.1</v>
      </c>
      <c r="CO318" s="41">
        <v>0.1</v>
      </c>
      <c r="CP318" s="41">
        <v>0.1</v>
      </c>
      <c r="CQ318" s="41">
        <v>0.1</v>
      </c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>
        <v>0.2</v>
      </c>
      <c r="DE318" s="41"/>
      <c r="DF318" s="41"/>
      <c r="DG318" s="41"/>
      <c r="DH318" s="41"/>
      <c r="DI318" s="41"/>
      <c r="DJ318" s="41">
        <v>0.05</v>
      </c>
      <c r="DK318" s="41">
        <v>0.05</v>
      </c>
      <c r="DL318" s="41">
        <v>0.05</v>
      </c>
      <c r="DM318" s="41"/>
      <c r="DN318" s="41"/>
      <c r="DO318" s="41"/>
      <c r="DP318" s="41"/>
      <c r="DQ318" s="41"/>
      <c r="DR318" s="41">
        <v>0.05</v>
      </c>
      <c r="DS318" s="43"/>
      <c r="DT318" s="44">
        <f t="shared" ref="DT318" si="300">SUM(F318:DR318)</f>
        <v>1.0000000000000002</v>
      </c>
    </row>
    <row r="319" spans="2:124" s="13" customFormat="1">
      <c r="B319" s="4">
        <f>'6.1Personnel List'!B320</f>
        <v>307</v>
      </c>
      <c r="C319" s="45" t="s">
        <v>441</v>
      </c>
      <c r="D319" s="45" t="str">
        <f>'6.1Personnel List'!D320</f>
        <v>Respiratory Therapist I</v>
      </c>
      <c r="E319" s="45" t="str">
        <f>'6.1Personnel List'!H320</f>
        <v>FT</v>
      </c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>
        <v>0.2</v>
      </c>
      <c r="CN319" s="41">
        <v>0.1</v>
      </c>
      <c r="CO319" s="41">
        <v>0.1</v>
      </c>
      <c r="CP319" s="41">
        <v>0.1</v>
      </c>
      <c r="CQ319" s="41">
        <v>0.1</v>
      </c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>
        <v>0.2</v>
      </c>
      <c r="DE319" s="41"/>
      <c r="DF319" s="41"/>
      <c r="DG319" s="41"/>
      <c r="DH319" s="41"/>
      <c r="DI319" s="41"/>
      <c r="DJ319" s="41">
        <v>0.05</v>
      </c>
      <c r="DK319" s="41">
        <v>0.05</v>
      </c>
      <c r="DL319" s="41">
        <v>0.05</v>
      </c>
      <c r="DM319" s="41"/>
      <c r="DN319" s="41"/>
      <c r="DO319" s="41"/>
      <c r="DP319" s="41"/>
      <c r="DQ319" s="41"/>
      <c r="DR319" s="41">
        <v>0.05</v>
      </c>
      <c r="DS319" s="43"/>
      <c r="DT319" s="44">
        <f t="shared" ref="DT319" si="301">SUM(F319:DR319)</f>
        <v>1.0000000000000002</v>
      </c>
    </row>
    <row r="320" spans="2:124" s="13" customFormat="1">
      <c r="B320" s="4">
        <f>'6.1Personnel List'!B321</f>
        <v>308</v>
      </c>
      <c r="C320" s="45" t="s">
        <v>442</v>
      </c>
      <c r="D320" s="45" t="str">
        <f>'6.1Personnel List'!D321</f>
        <v>Respiratory Therapist I</v>
      </c>
      <c r="E320" s="45" t="str">
        <f>'6.1Personnel List'!H321</f>
        <v>FT</v>
      </c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>
        <v>0.2</v>
      </c>
      <c r="CN320" s="41">
        <v>0.1</v>
      </c>
      <c r="CO320" s="41">
        <v>0.1</v>
      </c>
      <c r="CP320" s="41">
        <v>0.1</v>
      </c>
      <c r="CQ320" s="41">
        <v>0.1</v>
      </c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>
        <v>0.2</v>
      </c>
      <c r="DE320" s="41"/>
      <c r="DF320" s="41"/>
      <c r="DG320" s="41"/>
      <c r="DH320" s="41"/>
      <c r="DI320" s="41"/>
      <c r="DJ320" s="41">
        <v>0.05</v>
      </c>
      <c r="DK320" s="41">
        <v>0.05</v>
      </c>
      <c r="DL320" s="41">
        <v>0.05</v>
      </c>
      <c r="DM320" s="41"/>
      <c r="DN320" s="41"/>
      <c r="DO320" s="41"/>
      <c r="DP320" s="41"/>
      <c r="DQ320" s="41"/>
      <c r="DR320" s="41">
        <v>0.05</v>
      </c>
      <c r="DS320" s="43"/>
      <c r="DT320" s="44">
        <f t="shared" ref="DT320" si="302">SUM(F320:DR320)</f>
        <v>1.0000000000000002</v>
      </c>
    </row>
    <row r="321" spans="2:124" s="13" customFormat="1">
      <c r="B321" s="4">
        <f>'6.1Personnel List'!B322</f>
        <v>309</v>
      </c>
      <c r="C321" s="45" t="s">
        <v>443</v>
      </c>
      <c r="D321" s="45" t="str">
        <f>'6.1Personnel List'!D322</f>
        <v>Respiratory Therapist I</v>
      </c>
      <c r="E321" s="45" t="str">
        <f>'6.1Personnel List'!H322</f>
        <v>FT</v>
      </c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>
        <v>0.2</v>
      </c>
      <c r="CN321" s="41">
        <v>0.1</v>
      </c>
      <c r="CO321" s="41">
        <v>0.1</v>
      </c>
      <c r="CP321" s="41">
        <v>0.1</v>
      </c>
      <c r="CQ321" s="41">
        <v>0.1</v>
      </c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>
        <v>0.2</v>
      </c>
      <c r="DE321" s="41"/>
      <c r="DF321" s="41"/>
      <c r="DG321" s="41"/>
      <c r="DH321" s="41"/>
      <c r="DI321" s="41"/>
      <c r="DJ321" s="41">
        <v>0.05</v>
      </c>
      <c r="DK321" s="41">
        <v>0.05</v>
      </c>
      <c r="DL321" s="41">
        <v>0.05</v>
      </c>
      <c r="DM321" s="41"/>
      <c r="DN321" s="41"/>
      <c r="DO321" s="41"/>
      <c r="DP321" s="41"/>
      <c r="DQ321" s="41"/>
      <c r="DR321" s="41">
        <v>0.05</v>
      </c>
      <c r="DS321" s="43"/>
      <c r="DT321" s="44">
        <f t="shared" ref="DT321" si="303">SUM(F321:DR321)</f>
        <v>1.0000000000000002</v>
      </c>
    </row>
    <row r="322" spans="2:124" s="13" customFormat="1">
      <c r="B322" s="4">
        <f>'6.1Personnel List'!B323</f>
        <v>310</v>
      </c>
      <c r="C322" s="45" t="s">
        <v>444</v>
      </c>
      <c r="D322" s="45" t="str">
        <f>'6.1Personnel List'!D323</f>
        <v>Respiratory Therapist I</v>
      </c>
      <c r="E322" s="45" t="str">
        <f>'6.1Personnel List'!H323</f>
        <v>FT</v>
      </c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>
        <v>0.2</v>
      </c>
      <c r="CN322" s="41">
        <v>0.1</v>
      </c>
      <c r="CO322" s="41">
        <v>0.1</v>
      </c>
      <c r="CP322" s="41">
        <v>0.1</v>
      </c>
      <c r="CQ322" s="41">
        <v>0.1</v>
      </c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>
        <v>0.2</v>
      </c>
      <c r="DE322" s="41"/>
      <c r="DF322" s="41"/>
      <c r="DG322" s="41"/>
      <c r="DH322" s="41"/>
      <c r="DI322" s="41"/>
      <c r="DJ322" s="41">
        <v>0.05</v>
      </c>
      <c r="DK322" s="41">
        <v>0.05</v>
      </c>
      <c r="DL322" s="41">
        <v>0.05</v>
      </c>
      <c r="DM322" s="41"/>
      <c r="DN322" s="41"/>
      <c r="DO322" s="41"/>
      <c r="DP322" s="41"/>
      <c r="DQ322" s="41"/>
      <c r="DR322" s="41">
        <v>0.05</v>
      </c>
      <c r="DS322" s="43"/>
      <c r="DT322" s="44">
        <f t="shared" ref="DT322" si="304">SUM(F322:DR322)</f>
        <v>1.0000000000000002</v>
      </c>
    </row>
    <row r="323" spans="2:124" s="13" customFormat="1">
      <c r="B323" s="4">
        <f>'6.1Personnel List'!B324</f>
        <v>311</v>
      </c>
      <c r="C323" s="45" t="s">
        <v>445</v>
      </c>
      <c r="D323" s="45" t="str">
        <f>'6.1Personnel List'!D324</f>
        <v>Respiratory Therapist I</v>
      </c>
      <c r="E323" s="45" t="str">
        <f>'6.1Personnel List'!H324</f>
        <v>FT</v>
      </c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>
        <v>0.2</v>
      </c>
      <c r="CN323" s="41">
        <v>0.1</v>
      </c>
      <c r="CO323" s="41">
        <v>0.1</v>
      </c>
      <c r="CP323" s="41">
        <v>0.1</v>
      </c>
      <c r="CQ323" s="41">
        <v>0.1</v>
      </c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>
        <v>0.2</v>
      </c>
      <c r="DE323" s="41"/>
      <c r="DF323" s="41"/>
      <c r="DG323" s="41"/>
      <c r="DH323" s="41"/>
      <c r="DI323" s="41"/>
      <c r="DJ323" s="41">
        <v>0.05</v>
      </c>
      <c r="DK323" s="41">
        <v>0.05</v>
      </c>
      <c r="DL323" s="41">
        <v>0.05</v>
      </c>
      <c r="DM323" s="41"/>
      <c r="DN323" s="41"/>
      <c r="DO323" s="41"/>
      <c r="DP323" s="41"/>
      <c r="DQ323" s="41"/>
      <c r="DR323" s="41">
        <v>0.05</v>
      </c>
      <c r="DS323" s="43"/>
      <c r="DT323" s="44">
        <f t="shared" ref="DT323" si="305">SUM(F323:DR323)</f>
        <v>1.0000000000000002</v>
      </c>
    </row>
    <row r="324" spans="2:124" s="13" customFormat="1">
      <c r="B324" s="4">
        <f>'6.1Personnel List'!B325</f>
        <v>312</v>
      </c>
      <c r="C324" s="45" t="s">
        <v>448</v>
      </c>
      <c r="D324" s="45" t="str">
        <f>'6.1Personnel List'!D325</f>
        <v>Administrative Officer III</v>
      </c>
      <c r="E324" s="45" t="str">
        <f>'6.1Personnel List'!H325</f>
        <v>FT</v>
      </c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J324" s="41"/>
      <c r="BK324" s="41"/>
      <c r="BL324" s="41">
        <v>1</v>
      </c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3"/>
      <c r="DT324" s="44">
        <f t="shared" ref="DT324" si="306">SUM(F324:DR324)</f>
        <v>1</v>
      </c>
    </row>
    <row r="325" spans="2:124" s="13" customFormat="1">
      <c r="B325" s="4">
        <f>'6.1Personnel List'!B326</f>
        <v>313</v>
      </c>
      <c r="C325" s="45" t="s">
        <v>450</v>
      </c>
      <c r="D325" s="45" t="str">
        <f>'6.1Personnel List'!D326</f>
        <v>Training Officer IV</v>
      </c>
      <c r="E325" s="45" t="str">
        <f>'6.1Personnel List'!H326</f>
        <v>FT</v>
      </c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>
        <v>1</v>
      </c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3"/>
      <c r="DT325" s="44">
        <f t="shared" ref="DT325" si="307">SUM(F325:DR325)</f>
        <v>1</v>
      </c>
    </row>
    <row r="326" spans="2:124" s="13" customFormat="1">
      <c r="B326" s="4">
        <f>'6.1Personnel List'!B327</f>
        <v>314</v>
      </c>
      <c r="C326" s="45" t="s">
        <v>455</v>
      </c>
      <c r="D326" s="45" t="str">
        <f>'6.1Personnel List'!D327</f>
        <v xml:space="preserve">Training Assistant </v>
      </c>
      <c r="E326" s="45" t="str">
        <f>'6.1Personnel List'!H327</f>
        <v>FT</v>
      </c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>
        <v>1</v>
      </c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3"/>
      <c r="DT326" s="44">
        <f t="shared" ref="DT326" si="308">SUM(F326:DR326)</f>
        <v>1</v>
      </c>
    </row>
    <row r="327" spans="2:124" s="13" customFormat="1">
      <c r="B327" s="4">
        <f>'6.1Personnel List'!B328</f>
        <v>315</v>
      </c>
      <c r="C327" s="45" t="s">
        <v>453</v>
      </c>
      <c r="D327" s="45" t="str">
        <f>'6.1Personnel List'!D328</f>
        <v>Training Assistant</v>
      </c>
      <c r="E327" s="45" t="str">
        <f>'6.1Personnel List'!H328</f>
        <v>FT</v>
      </c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>
        <v>1</v>
      </c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3"/>
      <c r="DT327" s="44">
        <f t="shared" ref="DT327" si="309">SUM(F327:DR327)</f>
        <v>1</v>
      </c>
    </row>
    <row r="328" spans="2:124" s="13" customFormat="1">
      <c r="B328" s="4">
        <f>'6.1Personnel List'!B329</f>
        <v>316</v>
      </c>
      <c r="C328" s="45" t="s">
        <v>456</v>
      </c>
      <c r="D328" s="45" t="str">
        <f>'6.1Personnel List'!D329</f>
        <v>Computer Maintenance Technologist II</v>
      </c>
      <c r="E328" s="45" t="str">
        <f>'6.1Personnel List'!H329</f>
        <v>FT</v>
      </c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J328" s="41"/>
      <c r="BK328" s="41">
        <v>0.8</v>
      </c>
      <c r="BL328" s="41"/>
      <c r="BM328" s="41"/>
      <c r="BN328" s="41">
        <v>0.2</v>
      </c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3"/>
      <c r="DT328" s="44">
        <f t="shared" ref="DT328" si="310">SUM(F328:DR328)</f>
        <v>1</v>
      </c>
    </row>
    <row r="329" spans="2:124" s="13" customFormat="1">
      <c r="B329" s="4">
        <f>'6.1Personnel List'!B330</f>
        <v>317</v>
      </c>
      <c r="C329" s="45" t="s">
        <v>458</v>
      </c>
      <c r="D329" s="45" t="str">
        <f>'6.1Personnel List'!D330</f>
        <v>Computer Maintenance Technologist III</v>
      </c>
      <c r="E329" s="45" t="str">
        <f>'6.1Personnel List'!H330</f>
        <v>FT</v>
      </c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J329" s="41"/>
      <c r="BK329" s="41">
        <v>1</v>
      </c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3"/>
      <c r="DT329" s="44">
        <f t="shared" ref="DT329" si="311">SUM(F329:DR329)</f>
        <v>1</v>
      </c>
    </row>
    <row r="330" spans="2:124" s="13" customFormat="1">
      <c r="B330" s="4">
        <f>'6.1Personnel List'!B331</f>
        <v>318</v>
      </c>
      <c r="C330" s="45" t="s">
        <v>460</v>
      </c>
      <c r="D330" s="45" t="str">
        <f>'6.1Personnel List'!D331</f>
        <v>Computer Maintenance Technologist II</v>
      </c>
      <c r="E330" s="45" t="str">
        <f>'6.1Personnel List'!H331</f>
        <v>FT</v>
      </c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J330" s="41"/>
      <c r="BK330" s="41">
        <v>1</v>
      </c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3"/>
      <c r="DT330" s="44">
        <f t="shared" ref="DT330" si="312">SUM(F330:DR330)</f>
        <v>1</v>
      </c>
    </row>
    <row r="331" spans="2:124" s="13" customFormat="1">
      <c r="B331" s="4">
        <f>'6.1Personnel List'!B332</f>
        <v>319</v>
      </c>
      <c r="C331" s="45" t="s">
        <v>461</v>
      </c>
      <c r="D331" s="45" t="str">
        <f>'6.1Personnel List'!D332</f>
        <v>Computer Maintenance Technologist II</v>
      </c>
      <c r="E331" s="45" t="str">
        <f>'6.1Personnel List'!H332</f>
        <v>FT</v>
      </c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J331" s="41"/>
      <c r="BK331" s="41">
        <v>1</v>
      </c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3"/>
      <c r="DT331" s="44">
        <f t="shared" ref="DT331" si="313">SUM(F331:DR331)</f>
        <v>1</v>
      </c>
    </row>
    <row r="332" spans="2:124" s="13" customFormat="1">
      <c r="B332" s="4">
        <f>'6.1Personnel List'!B333</f>
        <v>320</v>
      </c>
      <c r="C332" s="45" t="s">
        <v>462</v>
      </c>
      <c r="D332" s="45" t="str">
        <f>'6.1Personnel List'!D333</f>
        <v>Job Order</v>
      </c>
      <c r="E332" s="45" t="str">
        <f>'6.1Personnel List'!H333</f>
        <v>FT</v>
      </c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J332" s="41"/>
      <c r="BK332" s="41">
        <v>1</v>
      </c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3"/>
      <c r="DT332" s="44">
        <f t="shared" ref="DT332" si="314">SUM(F332:DR332)</f>
        <v>1</v>
      </c>
    </row>
    <row r="333" spans="2:124" s="13" customFormat="1">
      <c r="B333" s="4">
        <f>'6.1Personnel List'!B334</f>
        <v>321</v>
      </c>
      <c r="C333" s="45" t="s">
        <v>463</v>
      </c>
      <c r="D333" s="45" t="str">
        <f>'6.1Personnel List'!D334</f>
        <v>Job Order</v>
      </c>
      <c r="E333" s="45" t="str">
        <f>'6.1Personnel List'!H334</f>
        <v>FT</v>
      </c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J333" s="41"/>
      <c r="BK333" s="41">
        <v>1</v>
      </c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3"/>
      <c r="DT333" s="44">
        <f t="shared" ref="DT333" si="315">SUM(F333:DR333)</f>
        <v>1</v>
      </c>
    </row>
    <row r="334" spans="2:124" s="13" customFormat="1">
      <c r="B334" s="4">
        <f>'6.1Personnel List'!B335</f>
        <v>322</v>
      </c>
      <c r="C334" s="45" t="s">
        <v>464</v>
      </c>
      <c r="D334" s="45" t="str">
        <f>'6.1Personnel List'!D335</f>
        <v>Job Order</v>
      </c>
      <c r="E334" s="45" t="str">
        <f>'6.1Personnel List'!H335</f>
        <v>FT</v>
      </c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J334" s="41"/>
      <c r="BK334" s="41">
        <v>0.8</v>
      </c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>
        <v>0.2</v>
      </c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3"/>
      <c r="DT334" s="44">
        <f t="shared" ref="DT334" si="316">SUM(F334:DR334)</f>
        <v>1</v>
      </c>
    </row>
    <row r="335" spans="2:124" s="13" customFormat="1">
      <c r="B335" s="4">
        <f>'6.1Personnel List'!B336</f>
        <v>323</v>
      </c>
      <c r="C335" s="45" t="s">
        <v>466</v>
      </c>
      <c r="D335" s="45" t="str">
        <f>'6.1Personnel List'!D336</f>
        <v>Dentist V</v>
      </c>
      <c r="E335" s="45" t="str">
        <f>'6.1Personnel List'!H336</f>
        <v>FT</v>
      </c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>
        <v>1</v>
      </c>
      <c r="DJ335" s="41"/>
      <c r="DK335" s="41"/>
      <c r="DL335" s="41"/>
      <c r="DM335" s="41"/>
      <c r="DN335" s="41"/>
      <c r="DO335" s="41"/>
      <c r="DP335" s="41"/>
      <c r="DQ335" s="41"/>
      <c r="DR335" s="41"/>
      <c r="DS335" s="43"/>
      <c r="DT335" s="44">
        <f t="shared" ref="DT335" si="317">SUM(F335:DR335)</f>
        <v>1</v>
      </c>
    </row>
    <row r="336" spans="2:124" s="13" customFormat="1">
      <c r="B336" s="4">
        <f>'6.1Personnel List'!B337</f>
        <v>324</v>
      </c>
      <c r="C336" s="45" t="s">
        <v>468</v>
      </c>
      <c r="D336" s="45" t="str">
        <f>'6.1Personnel List'!D337</f>
        <v>Dentist III</v>
      </c>
      <c r="E336" s="45" t="str">
        <f>'6.1Personnel List'!H337</f>
        <v>FT</v>
      </c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>
        <v>1</v>
      </c>
      <c r="DJ336" s="41"/>
      <c r="DK336" s="41"/>
      <c r="DL336" s="41"/>
      <c r="DM336" s="41"/>
      <c r="DN336" s="41"/>
      <c r="DO336" s="41"/>
      <c r="DP336" s="41"/>
      <c r="DQ336" s="41"/>
      <c r="DR336" s="41"/>
      <c r="DS336" s="43"/>
      <c r="DT336" s="44">
        <f t="shared" ref="DT336" si="318">SUM(F336:DR336)</f>
        <v>1</v>
      </c>
    </row>
    <row r="337" spans="2:124" s="13" customFormat="1">
      <c r="B337" s="4">
        <f>'6.1Personnel List'!B338</f>
        <v>325</v>
      </c>
      <c r="C337" s="45" t="s">
        <v>470</v>
      </c>
      <c r="D337" s="45" t="str">
        <f>'6.1Personnel List'!D338</f>
        <v>Dentist III</v>
      </c>
      <c r="E337" s="45" t="str">
        <f>'6.1Personnel List'!H338</f>
        <v>FT</v>
      </c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>
        <v>1</v>
      </c>
      <c r="DJ337" s="41"/>
      <c r="DK337" s="41"/>
      <c r="DL337" s="41"/>
      <c r="DM337" s="41"/>
      <c r="DN337" s="41"/>
      <c r="DO337" s="41"/>
      <c r="DP337" s="41"/>
      <c r="DQ337" s="41"/>
      <c r="DR337" s="41"/>
      <c r="DS337" s="43"/>
      <c r="DT337" s="44">
        <f t="shared" ref="DT337" si="319">SUM(F337:DR337)</f>
        <v>1</v>
      </c>
    </row>
    <row r="338" spans="2:124" s="13" customFormat="1">
      <c r="B338" s="4">
        <f>'6.1Personnel List'!B339</f>
        <v>326</v>
      </c>
      <c r="C338" s="45" t="s">
        <v>471</v>
      </c>
      <c r="D338" s="45" t="str">
        <f>'6.1Personnel List'!D339</f>
        <v>Dentist II</v>
      </c>
      <c r="E338" s="45" t="str">
        <f>'6.1Personnel List'!H339</f>
        <v>FT</v>
      </c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>
        <v>1</v>
      </c>
      <c r="DJ338" s="41"/>
      <c r="DK338" s="41"/>
      <c r="DL338" s="41"/>
      <c r="DM338" s="41"/>
      <c r="DN338" s="41"/>
      <c r="DO338" s="41"/>
      <c r="DP338" s="41"/>
      <c r="DQ338" s="41"/>
      <c r="DR338" s="41"/>
      <c r="DS338" s="43"/>
      <c r="DT338" s="44">
        <f t="shared" ref="DT338" si="320">SUM(F338:DR338)</f>
        <v>1</v>
      </c>
    </row>
    <row r="339" spans="2:124" s="13" customFormat="1">
      <c r="B339" s="4">
        <f>'6.1Personnel List'!B340</f>
        <v>327</v>
      </c>
      <c r="C339" s="45" t="s">
        <v>473</v>
      </c>
      <c r="D339" s="45" t="str">
        <f>'6.1Personnel List'!D340</f>
        <v>Dentist II</v>
      </c>
      <c r="E339" s="45" t="str">
        <f>'6.1Personnel List'!H340</f>
        <v>FT</v>
      </c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>
        <v>1</v>
      </c>
      <c r="DJ339" s="41"/>
      <c r="DK339" s="41"/>
      <c r="DL339" s="41"/>
      <c r="DM339" s="41"/>
      <c r="DN339" s="41"/>
      <c r="DO339" s="41"/>
      <c r="DP339" s="41"/>
      <c r="DQ339" s="41"/>
      <c r="DR339" s="41"/>
      <c r="DS339" s="43"/>
      <c r="DT339" s="44">
        <f t="shared" ref="DT339" si="321">SUM(F339:DR339)</f>
        <v>1</v>
      </c>
    </row>
    <row r="340" spans="2:124" s="13" customFormat="1">
      <c r="B340" s="4">
        <f>'6.1Personnel List'!B341</f>
        <v>328</v>
      </c>
      <c r="C340" s="45" t="s">
        <v>474</v>
      </c>
      <c r="D340" s="45" t="str">
        <f>'6.1Personnel List'!D341</f>
        <v>Dental Aide</v>
      </c>
      <c r="E340" s="45" t="str">
        <f>'6.1Personnel List'!H341</f>
        <v>FT</v>
      </c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>
        <v>1</v>
      </c>
      <c r="DJ340" s="41"/>
      <c r="DK340" s="41"/>
      <c r="DL340" s="41"/>
      <c r="DM340" s="41"/>
      <c r="DN340" s="41"/>
      <c r="DO340" s="41"/>
      <c r="DP340" s="41"/>
      <c r="DQ340" s="41"/>
      <c r="DR340" s="41"/>
      <c r="DS340" s="43"/>
      <c r="DT340" s="44">
        <f t="shared" ref="DT340" si="322">SUM(F340:DR340)</f>
        <v>1</v>
      </c>
    </row>
    <row r="341" spans="2:124" s="13" customFormat="1">
      <c r="B341" s="4">
        <f>'6.1Personnel List'!B342</f>
        <v>329</v>
      </c>
      <c r="C341" s="45" t="s">
        <v>476</v>
      </c>
      <c r="D341" s="45" t="str">
        <f>'6.1Personnel List'!D342</f>
        <v>Dental Aide</v>
      </c>
      <c r="E341" s="45" t="str">
        <f>'6.1Personnel List'!H342</f>
        <v>FT</v>
      </c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>
        <v>1</v>
      </c>
      <c r="DJ341" s="41"/>
      <c r="DK341" s="41"/>
      <c r="DL341" s="41"/>
      <c r="DM341" s="41"/>
      <c r="DN341" s="41"/>
      <c r="DO341" s="41"/>
      <c r="DP341" s="41"/>
      <c r="DQ341" s="41"/>
      <c r="DR341" s="41"/>
      <c r="DS341" s="43"/>
      <c r="DT341" s="44">
        <f t="shared" ref="DT341" si="323">SUM(F341:DR341)</f>
        <v>1</v>
      </c>
    </row>
    <row r="342" spans="2:124" s="13" customFormat="1">
      <c r="B342" s="4">
        <f>'6.1Personnel List'!B343</f>
        <v>330</v>
      </c>
      <c r="C342" s="45" t="s">
        <v>477</v>
      </c>
      <c r="D342" s="45" t="str">
        <f>'6.1Personnel List'!D343</f>
        <v>Medical Specialist III (P.T.)</v>
      </c>
      <c r="E342" s="45" t="str">
        <f>'6.1Personnel List'!H343</f>
        <v>PT</v>
      </c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>
        <v>0.2</v>
      </c>
      <c r="CK342" s="41"/>
      <c r="CL342" s="41"/>
      <c r="CM342" s="41"/>
      <c r="CN342" s="41"/>
      <c r="CO342" s="41"/>
      <c r="CP342" s="41"/>
      <c r="CQ342" s="41"/>
      <c r="CR342" s="41"/>
      <c r="CS342" s="41"/>
      <c r="CT342" s="41">
        <v>0.2</v>
      </c>
      <c r="CU342" s="41">
        <v>0.4</v>
      </c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>
        <v>0.2</v>
      </c>
      <c r="DQ342" s="41"/>
      <c r="DR342" s="41"/>
      <c r="DS342" s="43"/>
      <c r="DT342" s="44">
        <f t="shared" ref="DT342" si="324">SUM(F342:DR342)</f>
        <v>1</v>
      </c>
    </row>
    <row r="343" spans="2:124" s="13" customFormat="1">
      <c r="B343" s="4">
        <f>'6.1Personnel List'!B344</f>
        <v>331</v>
      </c>
      <c r="C343" s="45" t="s">
        <v>478</v>
      </c>
      <c r="D343" s="45" t="str">
        <f>'6.1Personnel List'!D344</f>
        <v>Medical Specialist II (P.T.)</v>
      </c>
      <c r="E343" s="45" t="str">
        <f>'6.1Personnel List'!H344</f>
        <v>PT</v>
      </c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>
        <v>0.4</v>
      </c>
      <c r="CK343" s="41"/>
      <c r="CL343" s="41"/>
      <c r="CM343" s="41"/>
      <c r="CN343" s="41"/>
      <c r="CO343" s="41"/>
      <c r="CP343" s="41"/>
      <c r="CQ343" s="41"/>
      <c r="CR343" s="41"/>
      <c r="CS343" s="41"/>
      <c r="CT343" s="41">
        <v>0.1</v>
      </c>
      <c r="CU343" s="41">
        <v>0.3</v>
      </c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>
        <v>0.2</v>
      </c>
      <c r="DQ343" s="41"/>
      <c r="DR343" s="41"/>
      <c r="DS343" s="43"/>
      <c r="DT343" s="44">
        <f t="shared" ref="DT343" si="325">SUM(F343:DR343)</f>
        <v>1</v>
      </c>
    </row>
    <row r="344" spans="2:124" s="13" customFormat="1">
      <c r="B344" s="4">
        <f>'6.1Personnel List'!B345</f>
        <v>332</v>
      </c>
      <c r="C344" s="45" t="s">
        <v>479</v>
      </c>
      <c r="D344" s="45" t="str">
        <f>'6.1Personnel List'!D345</f>
        <v>Medical Specialist II (P.T.)</v>
      </c>
      <c r="E344" s="45" t="str">
        <f>'6.1Personnel List'!H345</f>
        <v>PT</v>
      </c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>
        <v>0.4</v>
      </c>
      <c r="CK344" s="41"/>
      <c r="CL344" s="41"/>
      <c r="CM344" s="41"/>
      <c r="CN344" s="41"/>
      <c r="CO344" s="41"/>
      <c r="CP344" s="41"/>
      <c r="CQ344" s="41"/>
      <c r="CR344" s="41"/>
      <c r="CS344" s="41"/>
      <c r="CT344" s="41">
        <v>0.1</v>
      </c>
      <c r="CU344" s="41">
        <v>0.3</v>
      </c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>
        <v>0.2</v>
      </c>
      <c r="DQ344" s="41"/>
      <c r="DR344" s="41"/>
      <c r="DS344" s="43"/>
      <c r="DT344" s="44">
        <f t="shared" ref="DT344" si="326">SUM(F344:DR344)</f>
        <v>1</v>
      </c>
    </row>
    <row r="345" spans="2:124" s="13" customFormat="1">
      <c r="B345" s="4">
        <f>'6.1Personnel List'!B346</f>
        <v>333</v>
      </c>
      <c r="C345" s="45" t="s">
        <v>480</v>
      </c>
      <c r="D345" s="45" t="str">
        <f>'6.1Personnel List'!D346</f>
        <v>Physical Therapist III</v>
      </c>
      <c r="E345" s="45" t="str">
        <f>'6.1Personnel List'!H346</f>
        <v>FT</v>
      </c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>
        <v>0.7</v>
      </c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>
        <v>0.05</v>
      </c>
      <c r="DK345" s="41">
        <v>0.05</v>
      </c>
      <c r="DL345" s="41">
        <v>0.05</v>
      </c>
      <c r="DM345" s="41"/>
      <c r="DN345" s="41"/>
      <c r="DO345" s="41"/>
      <c r="DP345" s="41">
        <v>0.15</v>
      </c>
      <c r="DQ345" s="41"/>
      <c r="DR345" s="41"/>
      <c r="DS345" s="43"/>
      <c r="DT345" s="44">
        <f t="shared" ref="DT345" si="327">SUM(F345:DR345)</f>
        <v>1</v>
      </c>
    </row>
    <row r="346" spans="2:124" s="13" customFormat="1">
      <c r="B346" s="4">
        <f>'6.1Personnel List'!B347</f>
        <v>334</v>
      </c>
      <c r="C346" s="45" t="s">
        <v>482</v>
      </c>
      <c r="D346" s="45" t="str">
        <f>'6.1Personnel List'!D347</f>
        <v>Physical Therapist II</v>
      </c>
      <c r="E346" s="45" t="str">
        <f>'6.1Personnel List'!H347</f>
        <v>FT</v>
      </c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>
        <v>0.7</v>
      </c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>
        <v>0.05</v>
      </c>
      <c r="DK346" s="41">
        <v>0.05</v>
      </c>
      <c r="DL346" s="41">
        <v>0.05</v>
      </c>
      <c r="DM346" s="41"/>
      <c r="DN346" s="41"/>
      <c r="DO346" s="41"/>
      <c r="DP346" s="41">
        <v>0.15</v>
      </c>
      <c r="DQ346" s="41"/>
      <c r="DR346" s="41"/>
      <c r="DS346" s="43"/>
      <c r="DT346" s="44">
        <f t="shared" ref="DT346" si="328">SUM(F346:DR346)</f>
        <v>1</v>
      </c>
    </row>
    <row r="347" spans="2:124" s="13" customFormat="1">
      <c r="B347" s="4">
        <f>'6.1Personnel List'!B348</f>
        <v>335</v>
      </c>
      <c r="C347" s="45" t="s">
        <v>484</v>
      </c>
      <c r="D347" s="45" t="str">
        <f>'6.1Personnel List'!D348</f>
        <v>Physical Therapist II</v>
      </c>
      <c r="E347" s="45" t="str">
        <f>'6.1Personnel List'!H348</f>
        <v>FT</v>
      </c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>
        <v>0.7</v>
      </c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>
        <v>0.05</v>
      </c>
      <c r="DK347" s="41">
        <v>0.05</v>
      </c>
      <c r="DL347" s="41">
        <v>0.05</v>
      </c>
      <c r="DM347" s="41"/>
      <c r="DN347" s="41"/>
      <c r="DO347" s="41"/>
      <c r="DP347" s="41">
        <v>0.15</v>
      </c>
      <c r="DQ347" s="41"/>
      <c r="DR347" s="41"/>
      <c r="DS347" s="43"/>
      <c r="DT347" s="44">
        <f t="shared" ref="DT347" si="329">SUM(F347:DR347)</f>
        <v>1</v>
      </c>
    </row>
    <row r="348" spans="2:124" s="13" customFormat="1">
      <c r="B348" s="4">
        <f>'6.1Personnel List'!B349</f>
        <v>336</v>
      </c>
      <c r="C348" s="45" t="s">
        <v>485</v>
      </c>
      <c r="D348" s="45" t="str">
        <f>'6.1Personnel List'!D349</f>
        <v>Physical Therapist I</v>
      </c>
      <c r="E348" s="45" t="str">
        <f>'6.1Personnel List'!H349</f>
        <v>FT</v>
      </c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>
        <v>0.7</v>
      </c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>
        <v>0.05</v>
      </c>
      <c r="DK348" s="41">
        <v>0.05</v>
      </c>
      <c r="DL348" s="41">
        <v>0.05</v>
      </c>
      <c r="DM348" s="41"/>
      <c r="DN348" s="41"/>
      <c r="DO348" s="41"/>
      <c r="DP348" s="41">
        <v>0.15</v>
      </c>
      <c r="DQ348" s="41"/>
      <c r="DR348" s="41"/>
      <c r="DS348" s="43"/>
      <c r="DT348" s="44">
        <f t="shared" ref="DT348" si="330">SUM(F348:DR348)</f>
        <v>1</v>
      </c>
    </row>
    <row r="349" spans="2:124" s="13" customFormat="1">
      <c r="B349" s="4">
        <f>'6.1Personnel List'!B350</f>
        <v>337</v>
      </c>
      <c r="C349" s="45" t="s">
        <v>487</v>
      </c>
      <c r="D349" s="45" t="str">
        <f>'6.1Personnel List'!D350</f>
        <v>Physical Therapist I</v>
      </c>
      <c r="E349" s="45" t="str">
        <f>'6.1Personnel List'!H350</f>
        <v>FT</v>
      </c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>
        <v>0.7</v>
      </c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>
        <v>0.05</v>
      </c>
      <c r="DK349" s="41">
        <v>0.05</v>
      </c>
      <c r="DL349" s="41">
        <v>0.05</v>
      </c>
      <c r="DM349" s="41"/>
      <c r="DN349" s="41"/>
      <c r="DO349" s="41"/>
      <c r="DP349" s="41">
        <v>0.15</v>
      </c>
      <c r="DQ349" s="41"/>
      <c r="DR349" s="41"/>
      <c r="DS349" s="43"/>
      <c r="DT349" s="44">
        <f t="shared" ref="DT349" si="331">SUM(F349:DR349)</f>
        <v>1</v>
      </c>
    </row>
    <row r="350" spans="2:124" s="13" customFormat="1">
      <c r="B350" s="4">
        <f>'6.1Personnel List'!B351</f>
        <v>338</v>
      </c>
      <c r="C350" s="45" t="s">
        <v>488</v>
      </c>
      <c r="D350" s="45" t="str">
        <f>'6.1Personnel List'!D351</f>
        <v>Physical Therapist I</v>
      </c>
      <c r="E350" s="45" t="str">
        <f>'6.1Personnel List'!H351</f>
        <v>FT</v>
      </c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>
        <v>0.7</v>
      </c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>
        <v>0.05</v>
      </c>
      <c r="DK350" s="41">
        <v>0.05</v>
      </c>
      <c r="DL350" s="41">
        <v>0.05</v>
      </c>
      <c r="DM350" s="41"/>
      <c r="DN350" s="41"/>
      <c r="DO350" s="41"/>
      <c r="DP350" s="41">
        <v>0.15</v>
      </c>
      <c r="DQ350" s="41"/>
      <c r="DR350" s="41"/>
      <c r="DS350" s="43"/>
      <c r="DT350" s="44">
        <f t="shared" ref="DT350" si="332">SUM(F350:DR350)</f>
        <v>1</v>
      </c>
    </row>
    <row r="351" spans="2:124" s="13" customFormat="1">
      <c r="B351" s="4">
        <f>'6.1Personnel List'!B352</f>
        <v>339</v>
      </c>
      <c r="C351" s="45" t="s">
        <v>489</v>
      </c>
      <c r="D351" s="45" t="str">
        <f>'6.1Personnel List'!D352</f>
        <v>Physical Therapist I</v>
      </c>
      <c r="E351" s="45" t="str">
        <f>'6.1Personnel List'!H352</f>
        <v>FT</v>
      </c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>
        <v>0.7</v>
      </c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>
        <v>0.05</v>
      </c>
      <c r="DK351" s="41">
        <v>0.05</v>
      </c>
      <c r="DL351" s="41">
        <v>0.05</v>
      </c>
      <c r="DM351" s="41"/>
      <c r="DN351" s="41"/>
      <c r="DO351" s="41"/>
      <c r="DP351" s="41">
        <v>0.15</v>
      </c>
      <c r="DQ351" s="41"/>
      <c r="DR351" s="41"/>
      <c r="DS351" s="43"/>
      <c r="DT351" s="44">
        <f t="shared" ref="DT351" si="333">SUM(F351:DR351)</f>
        <v>1</v>
      </c>
    </row>
    <row r="352" spans="2:124" s="13" customFormat="1">
      <c r="B352" s="4">
        <f>'6.1Personnel List'!B353</f>
        <v>340</v>
      </c>
      <c r="C352" s="45" t="s">
        <v>490</v>
      </c>
      <c r="D352" s="45" t="str">
        <f>'6.1Personnel List'!D353</f>
        <v>Physical Therapist I</v>
      </c>
      <c r="E352" s="45" t="str">
        <f>'6.1Personnel List'!H353</f>
        <v>FT</v>
      </c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>
        <v>0.7</v>
      </c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>
        <v>0.05</v>
      </c>
      <c r="DK352" s="41">
        <v>0.05</v>
      </c>
      <c r="DL352" s="41">
        <v>0.05</v>
      </c>
      <c r="DM352" s="41"/>
      <c r="DN352" s="41"/>
      <c r="DO352" s="41"/>
      <c r="DP352" s="41">
        <v>0.15</v>
      </c>
      <c r="DQ352" s="41"/>
      <c r="DR352" s="41"/>
      <c r="DS352" s="43"/>
      <c r="DT352" s="44">
        <f t="shared" ref="DT352" si="334">SUM(F352:DR352)</f>
        <v>1</v>
      </c>
    </row>
    <row r="353" spans="2:124" s="13" customFormat="1">
      <c r="B353" s="4">
        <f>'6.1Personnel List'!B354</f>
        <v>341</v>
      </c>
      <c r="C353" s="45" t="s">
        <v>491</v>
      </c>
      <c r="D353" s="45" t="str">
        <f>'6.1Personnel List'!D354</f>
        <v>Physical Therapist I</v>
      </c>
      <c r="E353" s="45" t="str">
        <f>'6.1Personnel List'!H354</f>
        <v>FT</v>
      </c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>
        <v>0.7</v>
      </c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>
        <v>0.05</v>
      </c>
      <c r="DK353" s="41">
        <v>0.05</v>
      </c>
      <c r="DL353" s="41">
        <v>0.05</v>
      </c>
      <c r="DM353" s="41"/>
      <c r="DN353" s="41"/>
      <c r="DO353" s="41"/>
      <c r="DP353" s="41">
        <v>0.15</v>
      </c>
      <c r="DQ353" s="41"/>
      <c r="DR353" s="41"/>
      <c r="DS353" s="43"/>
      <c r="DT353" s="44">
        <f t="shared" ref="DT353" si="335">SUM(F353:DR353)</f>
        <v>1</v>
      </c>
    </row>
    <row r="354" spans="2:124" s="13" customFormat="1">
      <c r="B354" s="4">
        <f>'6.1Personnel List'!B355</f>
        <v>342</v>
      </c>
      <c r="C354" s="45" t="s">
        <v>492</v>
      </c>
      <c r="D354" s="45" t="str">
        <f>'6.1Personnel List'!D355</f>
        <v>Physical Therapist I</v>
      </c>
      <c r="E354" s="45" t="str">
        <f>'6.1Personnel List'!H355</f>
        <v>FT</v>
      </c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>
        <v>0.7</v>
      </c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>
        <v>0.05</v>
      </c>
      <c r="DK354" s="41">
        <v>0.05</v>
      </c>
      <c r="DL354" s="41">
        <v>0.05</v>
      </c>
      <c r="DM354" s="41"/>
      <c r="DN354" s="41"/>
      <c r="DO354" s="41"/>
      <c r="DP354" s="41">
        <v>0.15</v>
      </c>
      <c r="DQ354" s="41"/>
      <c r="DR354" s="41"/>
      <c r="DS354" s="43"/>
      <c r="DT354" s="44">
        <f t="shared" ref="DT354" si="336">SUM(F354:DR354)</f>
        <v>1</v>
      </c>
    </row>
    <row r="355" spans="2:124" s="13" customFormat="1">
      <c r="B355" s="4">
        <f>'6.1Personnel List'!B356</f>
        <v>343</v>
      </c>
      <c r="C355" s="45" t="s">
        <v>493</v>
      </c>
      <c r="D355" s="45" t="str">
        <f>'6.1Personnel List'!D356</f>
        <v>Physical Therapy Technician I</v>
      </c>
      <c r="E355" s="45" t="str">
        <f>'6.1Personnel List'!H356</f>
        <v>FT</v>
      </c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>
        <v>0.7</v>
      </c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>
        <v>0.05</v>
      </c>
      <c r="DK355" s="41">
        <v>0.05</v>
      </c>
      <c r="DL355" s="41">
        <v>0.05</v>
      </c>
      <c r="DM355" s="41"/>
      <c r="DN355" s="41"/>
      <c r="DO355" s="41"/>
      <c r="DP355" s="41">
        <v>0.15</v>
      </c>
      <c r="DQ355" s="41"/>
      <c r="DR355" s="41"/>
      <c r="DS355" s="43"/>
      <c r="DT355" s="44">
        <f t="shared" ref="DT355" si="337">SUM(F355:DR355)</f>
        <v>1</v>
      </c>
    </row>
    <row r="356" spans="2:124" s="13" customFormat="1">
      <c r="B356" s="4">
        <f>'6.1Personnel List'!B357</f>
        <v>344</v>
      </c>
      <c r="C356" s="45" t="s">
        <v>495</v>
      </c>
      <c r="D356" s="45" t="str">
        <f>'6.1Personnel List'!D357</f>
        <v>Physical Therapy Technician I</v>
      </c>
      <c r="E356" s="45" t="str">
        <f>'6.1Personnel List'!H357</f>
        <v>FT</v>
      </c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>
        <v>0.7</v>
      </c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>
        <v>0.05</v>
      </c>
      <c r="DK356" s="41">
        <v>0.05</v>
      </c>
      <c r="DL356" s="41">
        <v>0.05</v>
      </c>
      <c r="DM356" s="41"/>
      <c r="DN356" s="41"/>
      <c r="DO356" s="41"/>
      <c r="DP356" s="41">
        <v>0.15</v>
      </c>
      <c r="DQ356" s="41"/>
      <c r="DR356" s="41"/>
      <c r="DS356" s="43"/>
      <c r="DT356" s="44">
        <f t="shared" ref="DT356" si="338">SUM(F356:DR356)</f>
        <v>1</v>
      </c>
    </row>
    <row r="357" spans="2:124" s="13" customFormat="1">
      <c r="B357" s="4">
        <f>'6.1Personnel List'!B358</f>
        <v>345</v>
      </c>
      <c r="C357" s="45" t="s">
        <v>496</v>
      </c>
      <c r="D357" s="45" t="str">
        <f>'6.1Personnel List'!D358</f>
        <v>Physical Therapy Technician I</v>
      </c>
      <c r="E357" s="45" t="str">
        <f>'6.1Personnel List'!H358</f>
        <v>FT</v>
      </c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>
        <v>0.7</v>
      </c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>
        <v>0.05</v>
      </c>
      <c r="DK357" s="41">
        <v>0.05</v>
      </c>
      <c r="DL357" s="41">
        <v>0.05</v>
      </c>
      <c r="DM357" s="41"/>
      <c r="DN357" s="41"/>
      <c r="DO357" s="41"/>
      <c r="DP357" s="41">
        <v>0.15</v>
      </c>
      <c r="DQ357" s="41"/>
      <c r="DR357" s="41"/>
      <c r="DS357" s="43"/>
      <c r="DT357" s="44">
        <f t="shared" ref="DT357" si="339">SUM(F357:DR357)</f>
        <v>1</v>
      </c>
    </row>
    <row r="358" spans="2:124" s="13" customFormat="1">
      <c r="B358" s="4">
        <f>'6.1Personnel List'!B359</f>
        <v>346</v>
      </c>
      <c r="C358" s="45" t="s">
        <v>497</v>
      </c>
      <c r="D358" s="45" t="str">
        <f>'6.1Personnel List'!D359</f>
        <v>Physical Therapy Technician I</v>
      </c>
      <c r="E358" s="45" t="str">
        <f>'6.1Personnel List'!H359</f>
        <v>FT</v>
      </c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>
        <v>0.7</v>
      </c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>
        <v>0.05</v>
      </c>
      <c r="DK358" s="41">
        <v>0.05</v>
      </c>
      <c r="DL358" s="41">
        <v>0.05</v>
      </c>
      <c r="DM358" s="41"/>
      <c r="DN358" s="41"/>
      <c r="DO358" s="41"/>
      <c r="DP358" s="41">
        <v>0.15</v>
      </c>
      <c r="DQ358" s="41"/>
      <c r="DR358" s="41"/>
      <c r="DS358" s="43"/>
      <c r="DT358" s="44">
        <f t="shared" ref="DT358" si="340">SUM(F358:DR358)</f>
        <v>1</v>
      </c>
    </row>
    <row r="359" spans="2:124" s="13" customFormat="1">
      <c r="B359" s="4">
        <f>'6.1Personnel List'!B360</f>
        <v>347</v>
      </c>
      <c r="C359" s="45" t="s">
        <v>498</v>
      </c>
      <c r="D359" s="45" t="str">
        <f>'6.1Personnel List'!D360</f>
        <v>Physical Therapy Technician I</v>
      </c>
      <c r="E359" s="45" t="str">
        <f>'6.1Personnel List'!H360</f>
        <v>FT</v>
      </c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>
        <v>0.7</v>
      </c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>
        <v>0.05</v>
      </c>
      <c r="DK359" s="41">
        <v>0.05</v>
      </c>
      <c r="DL359" s="41">
        <v>0.05</v>
      </c>
      <c r="DM359" s="41"/>
      <c r="DN359" s="41"/>
      <c r="DO359" s="41"/>
      <c r="DP359" s="41">
        <v>0.15</v>
      </c>
      <c r="DQ359" s="41"/>
      <c r="DR359" s="41"/>
      <c r="DS359" s="43"/>
      <c r="DT359" s="44">
        <f t="shared" ref="DT359" si="341">SUM(F359:DR359)</f>
        <v>1</v>
      </c>
    </row>
    <row r="360" spans="2:124" s="13" customFormat="1">
      <c r="B360" s="4">
        <f>'6.1Personnel List'!B361</f>
        <v>348</v>
      </c>
      <c r="C360" s="45" t="s">
        <v>499</v>
      </c>
      <c r="D360" s="45" t="str">
        <f>'6.1Personnel List'!D361</f>
        <v>Physical Therapy Technician I</v>
      </c>
      <c r="E360" s="45" t="str">
        <f>'6.1Personnel List'!H361</f>
        <v>FT</v>
      </c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>
        <v>0.7</v>
      </c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>
        <v>0.05</v>
      </c>
      <c r="DK360" s="41">
        <v>0.05</v>
      </c>
      <c r="DL360" s="41">
        <v>0.05</v>
      </c>
      <c r="DM360" s="41"/>
      <c r="DN360" s="41"/>
      <c r="DO360" s="41"/>
      <c r="DP360" s="41">
        <v>0.15</v>
      </c>
      <c r="DQ360" s="41"/>
      <c r="DR360" s="41"/>
      <c r="DS360" s="43"/>
      <c r="DT360" s="44">
        <f t="shared" ref="DT360" si="342">SUM(F360:DR360)</f>
        <v>1</v>
      </c>
    </row>
    <row r="361" spans="2:124" s="13" customFormat="1">
      <c r="B361" s="4">
        <f>'6.1Personnel List'!B362</f>
        <v>349</v>
      </c>
      <c r="C361" s="45" t="s">
        <v>502</v>
      </c>
      <c r="D361" s="45" t="str">
        <f>'6.1Personnel List'!D362</f>
        <v>Medical Officer IV</v>
      </c>
      <c r="E361" s="45" t="str">
        <f>'6.1Personnel List'!H362</f>
        <v>FT</v>
      </c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>
        <v>1</v>
      </c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3"/>
      <c r="DT361" s="44">
        <f t="shared" ref="DT361" si="343">SUM(F361:DR361)</f>
        <v>1</v>
      </c>
    </row>
    <row r="362" spans="2:124" s="13" customFormat="1">
      <c r="B362" s="4">
        <f>'6.1Personnel List'!B363</f>
        <v>350</v>
      </c>
      <c r="C362" s="45" t="s">
        <v>503</v>
      </c>
      <c r="D362" s="45" t="str">
        <f>'6.1Personnel List'!D363</f>
        <v>Administrative Officer V</v>
      </c>
      <c r="E362" s="45" t="str">
        <f>'6.1Personnel List'!H363</f>
        <v>FT</v>
      </c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>
        <v>1</v>
      </c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3"/>
      <c r="DT362" s="44">
        <f t="shared" ref="DT362" si="344">SUM(F362:DR362)</f>
        <v>1</v>
      </c>
    </row>
    <row r="363" spans="2:124" s="13" customFormat="1">
      <c r="B363" s="4">
        <f>'6.1Personnel List'!B364</f>
        <v>351</v>
      </c>
      <c r="C363" s="45" t="s">
        <v>505</v>
      </c>
      <c r="D363" s="45" t="str">
        <f>'6.1Personnel List'!D364</f>
        <v>Administrative Assistant II</v>
      </c>
      <c r="E363" s="45" t="str">
        <f>'6.1Personnel List'!H364</f>
        <v>FT</v>
      </c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>
        <v>1</v>
      </c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3"/>
      <c r="DT363" s="44">
        <f t="shared" ref="DT363" si="345">SUM(F363:DR363)</f>
        <v>1</v>
      </c>
    </row>
    <row r="364" spans="2:124" s="13" customFormat="1">
      <c r="B364" s="4">
        <f>'6.1Personnel List'!B365</f>
        <v>352</v>
      </c>
      <c r="C364" s="45" t="s">
        <v>506</v>
      </c>
      <c r="D364" s="45" t="str">
        <f>'6.1Personnel List'!D365</f>
        <v>Dental  Aide</v>
      </c>
      <c r="E364" s="45" t="str">
        <f>'6.1Personnel List'!H365</f>
        <v>FT</v>
      </c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>
        <v>1</v>
      </c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3"/>
      <c r="DT364" s="44">
        <f t="shared" ref="DT364" si="346">SUM(F364:DR364)</f>
        <v>1</v>
      </c>
    </row>
    <row r="365" spans="2:124" s="13" customFormat="1">
      <c r="B365" s="4">
        <f>'6.1Personnel List'!B366</f>
        <v>353</v>
      </c>
      <c r="C365" s="45" t="s">
        <v>508</v>
      </c>
      <c r="D365" s="45" t="str">
        <f>'6.1Personnel List'!D366</f>
        <v>Administrative Officer III</v>
      </c>
      <c r="E365" s="45" t="str">
        <f>'6.1Personnel List'!H366</f>
        <v>FT</v>
      </c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>
        <v>1</v>
      </c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3"/>
      <c r="DT365" s="44">
        <f t="shared" ref="DT365" si="347">SUM(F365:DR365)</f>
        <v>1</v>
      </c>
    </row>
    <row r="366" spans="2:124" s="13" customFormat="1">
      <c r="B366" s="4">
        <f>'6.1Personnel List'!B367</f>
        <v>354</v>
      </c>
      <c r="C366" s="45" t="s">
        <v>509</v>
      </c>
      <c r="D366" s="45" t="str">
        <f>'6.1Personnel List'!D367</f>
        <v>Administrative Officer I</v>
      </c>
      <c r="E366" s="45" t="str">
        <f>'6.1Personnel List'!H367</f>
        <v>FT</v>
      </c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>
        <v>1</v>
      </c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3"/>
      <c r="DT366" s="44">
        <f t="shared" ref="DT366" si="348">SUM(F366:DR366)</f>
        <v>1</v>
      </c>
    </row>
    <row r="367" spans="2:124" s="13" customFormat="1">
      <c r="B367" s="4">
        <f>'6.1Personnel List'!B368</f>
        <v>355</v>
      </c>
      <c r="C367" s="45" t="s">
        <v>510</v>
      </c>
      <c r="D367" s="45" t="str">
        <f>'6.1Personnel List'!D368</f>
        <v>Administrative Officer I</v>
      </c>
      <c r="E367" s="45" t="str">
        <f>'6.1Personnel List'!H368</f>
        <v>FT</v>
      </c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>
        <v>1</v>
      </c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3"/>
      <c r="DT367" s="44">
        <f t="shared" ref="DT367" si="349">SUM(F367:DR367)</f>
        <v>1</v>
      </c>
    </row>
    <row r="368" spans="2:124" s="13" customFormat="1">
      <c r="B368" s="4">
        <f>'6.1Personnel List'!B369</f>
        <v>356</v>
      </c>
      <c r="C368" s="45" t="s">
        <v>511</v>
      </c>
      <c r="D368" s="45" t="str">
        <f>'6.1Personnel List'!D369</f>
        <v>Administrative Officer I</v>
      </c>
      <c r="E368" s="45" t="str">
        <f>'6.1Personnel List'!H369</f>
        <v>FT</v>
      </c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>
        <v>1</v>
      </c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3"/>
      <c r="DT368" s="44">
        <f t="shared" ref="DT368" si="350">SUM(F368:DR368)</f>
        <v>1</v>
      </c>
    </row>
    <row r="369" spans="2:124" s="13" customFormat="1">
      <c r="B369" s="4">
        <f>'6.1Personnel List'!B370</f>
        <v>357</v>
      </c>
      <c r="C369" s="45" t="s">
        <v>512</v>
      </c>
      <c r="D369" s="45" t="str">
        <f>'6.1Personnel List'!D370</f>
        <v>Administrative Officer I</v>
      </c>
      <c r="E369" s="45" t="str">
        <f>'6.1Personnel List'!H370</f>
        <v>FT</v>
      </c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>
        <v>1</v>
      </c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3"/>
      <c r="DT369" s="44">
        <f t="shared" ref="DT369" si="351">SUM(F369:DR369)</f>
        <v>1</v>
      </c>
    </row>
    <row r="370" spans="2:124" s="13" customFormat="1">
      <c r="B370" s="4">
        <f>'6.1Personnel List'!B371</f>
        <v>358</v>
      </c>
      <c r="C370" s="45" t="s">
        <v>513</v>
      </c>
      <c r="D370" s="45" t="str">
        <f>'6.1Personnel List'!D371</f>
        <v>Administrative Asisstant I</v>
      </c>
      <c r="E370" s="45" t="str">
        <f>'6.1Personnel List'!H371</f>
        <v>FT</v>
      </c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>
        <v>1</v>
      </c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3"/>
      <c r="DT370" s="44">
        <f t="shared" ref="DT370" si="352">SUM(F370:DR370)</f>
        <v>1</v>
      </c>
    </row>
    <row r="371" spans="2:124" s="13" customFormat="1">
      <c r="B371" s="4">
        <f>'6.1Personnel List'!B372</f>
        <v>359</v>
      </c>
      <c r="C371" s="45" t="s">
        <v>515</v>
      </c>
      <c r="D371" s="45" t="str">
        <f>'6.1Personnel List'!D372</f>
        <v>Administrative Assistant I</v>
      </c>
      <c r="E371" s="45" t="str">
        <f>'6.1Personnel List'!H372</f>
        <v>FT</v>
      </c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>
        <v>1</v>
      </c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3"/>
      <c r="DT371" s="44">
        <f t="shared" ref="DT371" si="353">SUM(F371:DR371)</f>
        <v>1</v>
      </c>
    </row>
    <row r="372" spans="2:124" s="13" customFormat="1">
      <c r="B372" s="4">
        <f>'6.1Personnel List'!B373</f>
        <v>360</v>
      </c>
      <c r="C372" s="45" t="s">
        <v>516</v>
      </c>
      <c r="D372" s="45" t="str">
        <f>'6.1Personnel List'!D373</f>
        <v>Administrative Assistant I</v>
      </c>
      <c r="E372" s="45" t="str">
        <f>'6.1Personnel List'!H373</f>
        <v>FT</v>
      </c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>
        <v>1</v>
      </c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3"/>
      <c r="DT372" s="44">
        <f t="shared" ref="DT372" si="354">SUM(F372:DR372)</f>
        <v>1</v>
      </c>
    </row>
    <row r="373" spans="2:124" s="13" customFormat="1">
      <c r="B373" s="4">
        <f>'6.1Personnel List'!B374</f>
        <v>361</v>
      </c>
      <c r="C373" s="45" t="s">
        <v>517</v>
      </c>
      <c r="D373" s="45" t="str">
        <f>'6.1Personnel List'!D374</f>
        <v>Administrative Assistant I</v>
      </c>
      <c r="E373" s="45" t="str">
        <f>'6.1Personnel List'!H374</f>
        <v>FT</v>
      </c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>
        <v>1</v>
      </c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3"/>
      <c r="DT373" s="44">
        <f t="shared" ref="DT373" si="355">SUM(F373:DR373)</f>
        <v>1</v>
      </c>
    </row>
    <row r="374" spans="2:124" s="13" customFormat="1">
      <c r="B374" s="4">
        <f>'6.1Personnel List'!B375</f>
        <v>362</v>
      </c>
      <c r="C374" s="45" t="s">
        <v>518</v>
      </c>
      <c r="D374" s="45" t="str">
        <f>'6.1Personnel List'!D375</f>
        <v>Administrative Assistant I</v>
      </c>
      <c r="E374" s="45" t="str">
        <f>'6.1Personnel List'!H375</f>
        <v>FT</v>
      </c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>
        <v>1</v>
      </c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3"/>
      <c r="DT374" s="44">
        <f t="shared" ref="DT374" si="356">SUM(F374:DR374)</f>
        <v>1</v>
      </c>
    </row>
    <row r="375" spans="2:124" s="13" customFormat="1">
      <c r="B375" s="4">
        <f>'6.1Personnel List'!B376</f>
        <v>363</v>
      </c>
      <c r="C375" s="45" t="s">
        <v>519</v>
      </c>
      <c r="D375" s="45" t="str">
        <f>'6.1Personnel List'!D376</f>
        <v>Administrative Assistant I</v>
      </c>
      <c r="E375" s="45" t="str">
        <f>'6.1Personnel List'!H376</f>
        <v>FT</v>
      </c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>
        <v>1</v>
      </c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3"/>
      <c r="DT375" s="44">
        <f t="shared" ref="DT375" si="357">SUM(F375:DR375)</f>
        <v>1</v>
      </c>
    </row>
    <row r="376" spans="2:124" s="13" customFormat="1">
      <c r="B376" s="4">
        <f>'6.1Personnel List'!B377</f>
        <v>364</v>
      </c>
      <c r="C376" s="45" t="s">
        <v>521</v>
      </c>
      <c r="D376" s="45" t="str">
        <f>'6.1Personnel List'!D377</f>
        <v>Supervising Administrative Officer</v>
      </c>
      <c r="E376" s="45" t="str">
        <f>'6.1Personnel List'!H377</f>
        <v>FT</v>
      </c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>
        <v>0.5</v>
      </c>
      <c r="BV376" s="41"/>
      <c r="BW376" s="41"/>
      <c r="BX376" s="41"/>
      <c r="BY376" s="41"/>
      <c r="BZ376" s="41"/>
      <c r="CA376" s="41">
        <v>0.5</v>
      </c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3"/>
      <c r="DT376" s="44">
        <f t="shared" ref="DT376" si="358">SUM(F376:DR376)</f>
        <v>1</v>
      </c>
    </row>
    <row r="377" spans="2:124" s="13" customFormat="1">
      <c r="B377" s="4">
        <f>'6.1Personnel List'!B378</f>
        <v>365</v>
      </c>
      <c r="C377" s="45" t="s">
        <v>523</v>
      </c>
      <c r="D377" s="45" t="str">
        <f>'6.1Personnel List'!D378</f>
        <v>Statistician III</v>
      </c>
      <c r="E377" s="45" t="str">
        <f>'6.1Personnel List'!H378</f>
        <v>FT</v>
      </c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>
        <v>1</v>
      </c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3"/>
      <c r="DT377" s="44">
        <f t="shared" ref="DT377" si="359">SUM(F377:DR377)</f>
        <v>1</v>
      </c>
    </row>
    <row r="378" spans="2:124" s="13" customFormat="1">
      <c r="B378" s="4">
        <f>'6.1Personnel List'!B379</f>
        <v>366</v>
      </c>
      <c r="C378" s="45" t="s">
        <v>525</v>
      </c>
      <c r="D378" s="45" t="str">
        <f>'6.1Personnel List'!D379</f>
        <v>Administrative Officer III</v>
      </c>
      <c r="E378" s="45" t="str">
        <f>'6.1Personnel List'!H379</f>
        <v>FT</v>
      </c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>
        <v>1</v>
      </c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3"/>
      <c r="DT378" s="44">
        <f t="shared" ref="DT378" si="360">SUM(F378:DR378)</f>
        <v>1</v>
      </c>
    </row>
    <row r="379" spans="2:124" s="13" customFormat="1">
      <c r="B379" s="4">
        <f>'6.1Personnel List'!B380</f>
        <v>367</v>
      </c>
      <c r="C379" s="45" t="s">
        <v>526</v>
      </c>
      <c r="D379" s="45" t="str">
        <f>'6.1Personnel List'!D380</f>
        <v>Administrative Officer III</v>
      </c>
      <c r="E379" s="45" t="str">
        <f>'6.1Personnel List'!H380</f>
        <v>FT</v>
      </c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>
        <v>1</v>
      </c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3"/>
      <c r="DT379" s="44">
        <f t="shared" ref="DT379" si="361">SUM(F379:DR379)</f>
        <v>1</v>
      </c>
    </row>
    <row r="380" spans="2:124" s="13" customFormat="1">
      <c r="B380" s="4">
        <f>'6.1Personnel List'!B381</f>
        <v>368</v>
      </c>
      <c r="C380" s="45" t="s">
        <v>527</v>
      </c>
      <c r="D380" s="45" t="str">
        <f>'6.1Personnel List'!D381</f>
        <v>Administrative Officer I</v>
      </c>
      <c r="E380" s="45" t="str">
        <f>'6.1Personnel List'!H381</f>
        <v>FT</v>
      </c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>
        <v>1</v>
      </c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3"/>
      <c r="DT380" s="44">
        <f t="shared" ref="DT380" si="362">SUM(F380:DR380)</f>
        <v>1</v>
      </c>
    </row>
    <row r="381" spans="2:124" s="13" customFormat="1">
      <c r="B381" s="4">
        <f>'6.1Personnel List'!B382</f>
        <v>369</v>
      </c>
      <c r="C381" s="45" t="s">
        <v>528</v>
      </c>
      <c r="D381" s="45" t="str">
        <f>'6.1Personnel List'!D382</f>
        <v>Administrative Asisstant II</v>
      </c>
      <c r="E381" s="45" t="str">
        <f>'6.1Personnel List'!H382</f>
        <v>FT</v>
      </c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>
        <v>1</v>
      </c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3"/>
      <c r="DT381" s="44">
        <f t="shared" ref="DT381" si="363">SUM(F381:DR381)</f>
        <v>1</v>
      </c>
    </row>
    <row r="382" spans="2:124" s="13" customFormat="1">
      <c r="B382" s="4">
        <f>'6.1Personnel List'!B383</f>
        <v>370</v>
      </c>
      <c r="C382" s="45" t="s">
        <v>530</v>
      </c>
      <c r="D382" s="45" t="str">
        <f>'6.1Personnel List'!D383</f>
        <v>Administrative Assistant I</v>
      </c>
      <c r="E382" s="45" t="str">
        <f>'6.1Personnel List'!H383</f>
        <v>FT</v>
      </c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>
        <v>1</v>
      </c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3"/>
      <c r="DT382" s="44">
        <f t="shared" ref="DT382" si="364">SUM(F382:DR382)</f>
        <v>1</v>
      </c>
    </row>
    <row r="383" spans="2:124" s="13" customFormat="1">
      <c r="B383" s="4">
        <f>'6.1Personnel List'!B384</f>
        <v>371</v>
      </c>
      <c r="C383" s="45" t="s">
        <v>531</v>
      </c>
      <c r="D383" s="45" t="str">
        <f>'6.1Personnel List'!D384</f>
        <v>Administrative Assistant I</v>
      </c>
      <c r="E383" s="45" t="str">
        <f>'6.1Personnel List'!H384</f>
        <v>FT</v>
      </c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>
        <v>1</v>
      </c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3"/>
      <c r="DT383" s="44">
        <f t="shared" ref="DT383" si="365">SUM(F383:DR383)</f>
        <v>1</v>
      </c>
    </row>
    <row r="384" spans="2:124" s="13" customFormat="1">
      <c r="B384" s="4">
        <f>'6.1Personnel List'!B385</f>
        <v>372</v>
      </c>
      <c r="C384" s="45" t="s">
        <v>532</v>
      </c>
      <c r="D384" s="45" t="str">
        <f>'6.1Personnel List'!D385</f>
        <v>Administrative Assistant I</v>
      </c>
      <c r="E384" s="45" t="str">
        <f>'6.1Personnel List'!H385</f>
        <v>FT</v>
      </c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>
        <v>1</v>
      </c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3"/>
      <c r="DT384" s="44">
        <f t="shared" ref="DT384" si="366">SUM(F384:DR384)</f>
        <v>1</v>
      </c>
    </row>
    <row r="385" spans="2:124" s="13" customFormat="1">
      <c r="B385" s="4">
        <f>'6.1Personnel List'!B386</f>
        <v>373</v>
      </c>
      <c r="C385" s="45" t="s">
        <v>533</v>
      </c>
      <c r="D385" s="45" t="str">
        <f>'6.1Personnel List'!D386</f>
        <v>Administrative Assistant I</v>
      </c>
      <c r="E385" s="45" t="str">
        <f>'6.1Personnel List'!H386</f>
        <v>FT</v>
      </c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>
        <v>1</v>
      </c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3"/>
      <c r="DT385" s="44">
        <f t="shared" ref="DT385" si="367">SUM(F385:DR385)</f>
        <v>1</v>
      </c>
    </row>
    <row r="386" spans="2:124" s="13" customFormat="1">
      <c r="B386" s="4">
        <f>'6.1Personnel List'!B387</f>
        <v>374</v>
      </c>
      <c r="C386" s="45" t="s">
        <v>534</v>
      </c>
      <c r="D386" s="45" t="str">
        <f>'6.1Personnel List'!D387</f>
        <v>Administrative Assistant I</v>
      </c>
      <c r="E386" s="45" t="str">
        <f>'6.1Personnel List'!H387</f>
        <v>FT</v>
      </c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>
        <v>1</v>
      </c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3"/>
      <c r="DT386" s="44">
        <f t="shared" ref="DT386" si="368">SUM(F386:DR386)</f>
        <v>1</v>
      </c>
    </row>
    <row r="387" spans="2:124" s="13" customFormat="1">
      <c r="B387" s="4">
        <f>'6.1Personnel List'!B388</f>
        <v>375</v>
      </c>
      <c r="C387" s="45" t="s">
        <v>535</v>
      </c>
      <c r="D387" s="45" t="str">
        <f>'6.1Personnel List'!D388</f>
        <v>Medical Specialist IV (P.T.) - Chairman</v>
      </c>
      <c r="E387" s="45" t="str">
        <f>'6.1Personnel List'!H388</f>
        <v>PT</v>
      </c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>
        <v>0.2</v>
      </c>
      <c r="CU387" s="41">
        <v>0.8</v>
      </c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3"/>
      <c r="DT387" s="44">
        <f t="shared" ref="DT387" si="369">SUM(F387:DR387)</f>
        <v>1</v>
      </c>
    </row>
    <row r="388" spans="2:124" s="13" customFormat="1">
      <c r="B388" s="4">
        <f>'6.1Personnel List'!B389</f>
        <v>376</v>
      </c>
      <c r="C388" s="45" t="s">
        <v>536</v>
      </c>
      <c r="D388" s="45" t="str">
        <f>'6.1Personnel List'!D389</f>
        <v>Medical Specialist III (P.T.)</v>
      </c>
      <c r="E388" s="45" t="str">
        <f>'6.1Personnel List'!H389</f>
        <v>PT</v>
      </c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>
        <v>0.1</v>
      </c>
      <c r="CU388" s="41">
        <v>0.9</v>
      </c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3"/>
      <c r="DT388" s="44">
        <f t="shared" ref="DT388" si="370">SUM(F388:DR388)</f>
        <v>1</v>
      </c>
    </row>
    <row r="389" spans="2:124" s="13" customFormat="1">
      <c r="B389" s="4">
        <f>'6.1Personnel List'!B390</f>
        <v>377</v>
      </c>
      <c r="C389" s="45" t="s">
        <v>537</v>
      </c>
      <c r="D389" s="45" t="str">
        <f>'6.1Personnel List'!D390</f>
        <v>Medical Specialist III (P.T.)</v>
      </c>
      <c r="E389" s="45" t="str">
        <f>'6.1Personnel List'!H390</f>
        <v>PT</v>
      </c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>
        <v>0.1</v>
      </c>
      <c r="CU389" s="41">
        <v>0.9</v>
      </c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3"/>
      <c r="DT389" s="44">
        <f t="shared" ref="DT389" si="371">SUM(F389:DR389)</f>
        <v>1</v>
      </c>
    </row>
    <row r="390" spans="2:124" s="13" customFormat="1">
      <c r="B390" s="4">
        <f>'6.1Personnel List'!B391</f>
        <v>378</v>
      </c>
      <c r="C390" s="45" t="s">
        <v>538</v>
      </c>
      <c r="D390" s="45" t="str">
        <f>'6.1Personnel List'!D391</f>
        <v>HEPO III</v>
      </c>
      <c r="E390" s="45" t="str">
        <f>'6.1Personnel List'!H391</f>
        <v>FT</v>
      </c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>
        <v>1</v>
      </c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3"/>
      <c r="DT390" s="44">
        <f t="shared" ref="DT390" si="372">SUM(F390:DR390)</f>
        <v>1</v>
      </c>
    </row>
    <row r="391" spans="2:124" s="13" customFormat="1">
      <c r="B391" s="4">
        <f>'6.1Personnel List'!B392</f>
        <v>379</v>
      </c>
      <c r="C391" s="45" t="s">
        <v>540</v>
      </c>
      <c r="D391" s="45" t="str">
        <f>'6.1Personnel List'!D392</f>
        <v>Psychologist II</v>
      </c>
      <c r="E391" s="45" t="str">
        <f>'6.1Personnel List'!H392</f>
        <v>FT</v>
      </c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>
        <v>1</v>
      </c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3"/>
      <c r="DT391" s="44">
        <f t="shared" ref="DT391" si="373">SUM(F391:DR391)</f>
        <v>1</v>
      </c>
    </row>
    <row r="392" spans="2:124" s="13" customFormat="1">
      <c r="B392" s="4">
        <f>'6.1Personnel List'!B393</f>
        <v>380</v>
      </c>
      <c r="C392" s="45" t="s">
        <v>550</v>
      </c>
      <c r="D392" s="45" t="str">
        <f>'6.1Personnel List'!D393</f>
        <v>Psychologist II</v>
      </c>
      <c r="E392" s="45" t="str">
        <f>'6.1Personnel List'!H393</f>
        <v>FT</v>
      </c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>
        <v>1</v>
      </c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3"/>
      <c r="DT392" s="44">
        <f t="shared" ref="DT392" si="374">SUM(F392:DR392)</f>
        <v>1</v>
      </c>
    </row>
    <row r="393" spans="2:124" s="13" customFormat="1">
      <c r="B393" s="4">
        <f>'6.1Personnel List'!B394</f>
        <v>381</v>
      </c>
      <c r="C393" s="45" t="s">
        <v>542</v>
      </c>
      <c r="D393" s="45" t="str">
        <f>'6.1Personnel List'!D394</f>
        <v>Administrative Officer III</v>
      </c>
      <c r="E393" s="45" t="str">
        <f>'6.1Personnel List'!H394</f>
        <v>FT</v>
      </c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>
        <v>1</v>
      </c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3"/>
      <c r="DT393" s="44">
        <f t="shared" ref="DT393" si="375">SUM(F393:DR393)</f>
        <v>1</v>
      </c>
    </row>
    <row r="394" spans="2:124" s="13" customFormat="1">
      <c r="B394" s="4">
        <f>'6.1Personnel List'!B395</f>
        <v>382</v>
      </c>
      <c r="C394" s="45" t="s">
        <v>543</v>
      </c>
      <c r="D394" s="45" t="str">
        <f>'6.1Personnel List'!D395</f>
        <v>Administrative Officer I</v>
      </c>
      <c r="E394" s="45" t="str">
        <f>'6.1Personnel List'!H395</f>
        <v>FT</v>
      </c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>
        <v>1</v>
      </c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3"/>
      <c r="DT394" s="44">
        <f t="shared" ref="DT394" si="376">SUM(F394:DR394)</f>
        <v>1</v>
      </c>
    </row>
    <row r="395" spans="2:124" s="13" customFormat="1">
      <c r="B395" s="4">
        <f>'6.1Personnel List'!B396</f>
        <v>383</v>
      </c>
      <c r="C395" s="45" t="s">
        <v>544</v>
      </c>
      <c r="D395" s="45" t="str">
        <f>'6.1Personnel List'!D396</f>
        <v>Administrative Asisstant I</v>
      </c>
      <c r="E395" s="45" t="str">
        <f>'6.1Personnel List'!H396</f>
        <v>FT</v>
      </c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>
        <v>1</v>
      </c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3"/>
      <c r="DT395" s="44">
        <f t="shared" ref="DT395" si="377">SUM(F395:DR395)</f>
        <v>1</v>
      </c>
    </row>
    <row r="396" spans="2:124" s="13" customFormat="1">
      <c r="B396" s="4">
        <f>'6.1Personnel List'!B397</f>
        <v>384</v>
      </c>
      <c r="C396" s="45" t="s">
        <v>545</v>
      </c>
      <c r="D396" s="45" t="str">
        <f>'6.1Personnel List'!D397</f>
        <v>Administrative Assistant I</v>
      </c>
      <c r="E396" s="45" t="str">
        <f>'6.1Personnel List'!H397</f>
        <v>FT</v>
      </c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>
        <v>1</v>
      </c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3"/>
      <c r="DT396" s="44">
        <f t="shared" ref="DT396" si="378">SUM(F396:DR396)</f>
        <v>1</v>
      </c>
    </row>
    <row r="397" spans="2:124" s="13" customFormat="1">
      <c r="B397" s="4">
        <f>'6.1Personnel List'!B398</f>
        <v>385</v>
      </c>
      <c r="C397" s="45" t="s">
        <v>546</v>
      </c>
      <c r="D397" s="45" t="str">
        <f>'6.1Personnel List'!D398</f>
        <v>Administrative Assistant I</v>
      </c>
      <c r="E397" s="45" t="str">
        <f>'6.1Personnel List'!H398</f>
        <v>FT</v>
      </c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>
        <v>1</v>
      </c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3"/>
      <c r="DT397" s="44">
        <f t="shared" ref="DT397" si="379">SUM(F397:DR397)</f>
        <v>1</v>
      </c>
    </row>
    <row r="398" spans="2:124" s="13" customFormat="1">
      <c r="B398" s="4">
        <f>'6.1Personnel List'!B399</f>
        <v>386</v>
      </c>
      <c r="C398" s="45" t="s">
        <v>547</v>
      </c>
      <c r="D398" s="45" t="str">
        <f>'6.1Personnel List'!D399</f>
        <v>Administrative Aide I</v>
      </c>
      <c r="E398" s="45" t="str">
        <f>'6.1Personnel List'!H399</f>
        <v>FT</v>
      </c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>
        <v>1</v>
      </c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3"/>
      <c r="DT398" s="44">
        <f t="shared" ref="DT398" si="380">SUM(F398:DR398)</f>
        <v>1</v>
      </c>
    </row>
    <row r="399" spans="2:124" s="13" customFormat="1">
      <c r="B399" s="4">
        <f>'6.1Personnel List'!B400</f>
        <v>387</v>
      </c>
      <c r="C399" s="45" t="s">
        <v>549</v>
      </c>
      <c r="D399" s="45" t="str">
        <f>'6.1Personnel List'!D400</f>
        <v>Job Order</v>
      </c>
      <c r="E399" s="45" t="str">
        <f>'6.1Personnel List'!H400</f>
        <v>FT</v>
      </c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>
        <v>1</v>
      </c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3"/>
      <c r="DT399" s="44">
        <f t="shared" ref="DT399" si="381">SUM(F399:DR399)</f>
        <v>1</v>
      </c>
    </row>
    <row r="400" spans="2:124" s="13" customFormat="1">
      <c r="B400" s="4">
        <f>'6.1Personnel List'!B401</f>
        <v>388</v>
      </c>
      <c r="C400" s="45" t="s">
        <v>551</v>
      </c>
      <c r="D400" s="45" t="str">
        <f>'6.1Personnel List'!D401</f>
        <v>Administrative Officer II</v>
      </c>
      <c r="E400" s="45" t="str">
        <f>'6.1Personnel List'!H401</f>
        <v>FT</v>
      </c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>
        <v>0.5</v>
      </c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>
        <v>0.5</v>
      </c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3"/>
      <c r="DT400" s="44">
        <f t="shared" ref="DT400" si="382">SUM(F400:DR400)</f>
        <v>1</v>
      </c>
    </row>
    <row r="401" spans="2:124" s="13" customFormat="1">
      <c r="B401" s="4">
        <f>'6.1Personnel List'!B402</f>
        <v>389</v>
      </c>
      <c r="C401" s="45" t="s">
        <v>553</v>
      </c>
      <c r="D401" s="45" t="str">
        <f>'6.1Personnel List'!D402</f>
        <v>Administrative Officer I</v>
      </c>
      <c r="E401" s="45" t="str">
        <f>'6.1Personnel List'!H402</f>
        <v>FT</v>
      </c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>
        <v>0.2</v>
      </c>
      <c r="CB401" s="4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>
        <v>0.8</v>
      </c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3"/>
      <c r="DT401" s="44">
        <f t="shared" ref="DT401" si="383">SUM(F401:DR401)</f>
        <v>1</v>
      </c>
    </row>
    <row r="402" spans="2:124" s="13" customFormat="1">
      <c r="B402" s="4">
        <f>'6.1Personnel List'!B403</f>
        <v>390</v>
      </c>
      <c r="C402" s="45" t="s">
        <v>554</v>
      </c>
      <c r="D402" s="45" t="str">
        <f>'6.1Personnel List'!D403</f>
        <v>Administrative Asisstant I</v>
      </c>
      <c r="E402" s="45" t="str">
        <f>'6.1Personnel List'!H403</f>
        <v>FT</v>
      </c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>
        <v>0.5</v>
      </c>
      <c r="CB402" s="4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>
        <v>0.5</v>
      </c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3"/>
      <c r="DT402" s="44">
        <f t="shared" ref="DT402" si="384">SUM(F402:DR402)</f>
        <v>1</v>
      </c>
    </row>
    <row r="403" spans="2:124" s="13" customFormat="1">
      <c r="B403" s="4">
        <f>'6.1Personnel List'!B404</f>
        <v>391</v>
      </c>
      <c r="C403" s="45" t="s">
        <v>555</v>
      </c>
      <c r="D403" s="45" t="str">
        <f>'6.1Personnel List'!D404</f>
        <v>Social Welfare Officer IV</v>
      </c>
      <c r="E403" s="45" t="str">
        <f>'6.1Personnel List'!H404</f>
        <v>FT</v>
      </c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>
        <v>0.8</v>
      </c>
      <c r="BT403" s="41"/>
      <c r="BU403" s="41"/>
      <c r="BV403" s="41"/>
      <c r="BW403" s="41"/>
      <c r="BX403" s="41"/>
      <c r="BY403" s="41"/>
      <c r="BZ403" s="41"/>
      <c r="CA403" s="41">
        <v>0.2</v>
      </c>
      <c r="CB403" s="4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3"/>
      <c r="DT403" s="44">
        <f t="shared" ref="DT403" si="385">SUM(F403:DR403)</f>
        <v>1</v>
      </c>
    </row>
    <row r="404" spans="2:124" s="13" customFormat="1">
      <c r="B404" s="4">
        <f>'6.1Personnel List'!B405</f>
        <v>392</v>
      </c>
      <c r="C404" s="45" t="s">
        <v>557</v>
      </c>
      <c r="D404" s="45" t="str">
        <f>'6.1Personnel List'!D405</f>
        <v>Social Welfare Officer II</v>
      </c>
      <c r="E404" s="45" t="str">
        <f>'6.1Personnel List'!H405</f>
        <v>FT</v>
      </c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41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>
        <v>0.56999999999999995</v>
      </c>
      <c r="BT404" s="41"/>
      <c r="BU404" s="41"/>
      <c r="BV404" s="41"/>
      <c r="BW404" s="41"/>
      <c r="BX404" s="41"/>
      <c r="BY404" s="41"/>
      <c r="BZ404" s="41"/>
      <c r="CA404" s="41"/>
      <c r="CB404" s="4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>
        <v>0.02</v>
      </c>
      <c r="CO404" s="41">
        <v>0.02</v>
      </c>
      <c r="CP404" s="41">
        <v>0.02</v>
      </c>
      <c r="CQ404" s="41">
        <v>0.02</v>
      </c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>
        <v>0.05</v>
      </c>
      <c r="DC404" s="41"/>
      <c r="DD404" s="41"/>
      <c r="DE404" s="41"/>
      <c r="DF404" s="41"/>
      <c r="DG404" s="41"/>
      <c r="DH404" s="41"/>
      <c r="DI404" s="41"/>
      <c r="DJ404" s="41">
        <v>0.05</v>
      </c>
      <c r="DK404" s="41">
        <v>0.05</v>
      </c>
      <c r="DL404" s="41">
        <v>0.05</v>
      </c>
      <c r="DM404" s="41">
        <v>0.05</v>
      </c>
      <c r="DN404" s="41"/>
      <c r="DO404" s="41"/>
      <c r="DP404" s="41">
        <v>0.05</v>
      </c>
      <c r="DQ404" s="41"/>
      <c r="DR404" s="41">
        <v>0.05</v>
      </c>
      <c r="DS404" s="43"/>
      <c r="DT404" s="44">
        <f t="shared" ref="DT404" si="386">SUM(F404:DR404)</f>
        <v>1.0000000000000002</v>
      </c>
    </row>
    <row r="405" spans="2:124" s="13" customFormat="1">
      <c r="B405" s="4">
        <f>'6.1Personnel List'!B406</f>
        <v>393</v>
      </c>
      <c r="C405" s="45" t="s">
        <v>559</v>
      </c>
      <c r="D405" s="45" t="str">
        <f>'6.1Personnel List'!D406</f>
        <v>Social Welfare Officer II</v>
      </c>
      <c r="E405" s="45" t="str">
        <f>'6.1Personnel List'!H406</f>
        <v>FT</v>
      </c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41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>
        <v>0.56999999999999995</v>
      </c>
      <c r="BT405" s="41"/>
      <c r="BU405" s="41"/>
      <c r="BV405" s="41"/>
      <c r="BW405" s="41"/>
      <c r="BX405" s="41"/>
      <c r="BY405" s="41"/>
      <c r="BZ405" s="41"/>
      <c r="CA405" s="41"/>
      <c r="CB405" s="4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>
        <v>0.02</v>
      </c>
      <c r="CO405" s="41">
        <v>0.02</v>
      </c>
      <c r="CP405" s="41">
        <v>0.02</v>
      </c>
      <c r="CQ405" s="41">
        <v>0.02</v>
      </c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>
        <v>0.05</v>
      </c>
      <c r="DC405" s="41"/>
      <c r="DD405" s="41"/>
      <c r="DE405" s="41"/>
      <c r="DF405" s="41"/>
      <c r="DG405" s="41"/>
      <c r="DH405" s="41"/>
      <c r="DI405" s="41"/>
      <c r="DJ405" s="41">
        <v>0.05</v>
      </c>
      <c r="DK405" s="41">
        <v>0.05</v>
      </c>
      <c r="DL405" s="41">
        <v>0.05</v>
      </c>
      <c r="DM405" s="41">
        <v>0.05</v>
      </c>
      <c r="DN405" s="41"/>
      <c r="DO405" s="41"/>
      <c r="DP405" s="41">
        <v>0.05</v>
      </c>
      <c r="DQ405" s="41"/>
      <c r="DR405" s="41">
        <v>0.05</v>
      </c>
      <c r="DS405" s="43"/>
      <c r="DT405" s="44">
        <f t="shared" ref="DT405" si="387">SUM(F405:DR405)</f>
        <v>1.0000000000000002</v>
      </c>
    </row>
    <row r="406" spans="2:124" s="13" customFormat="1">
      <c r="B406" s="4">
        <f>'6.1Personnel List'!B407</f>
        <v>394</v>
      </c>
      <c r="C406" s="45" t="s">
        <v>560</v>
      </c>
      <c r="D406" s="45" t="str">
        <f>'6.1Personnel List'!D407</f>
        <v>Social Welfare Officer II</v>
      </c>
      <c r="E406" s="45" t="str">
        <f>'6.1Personnel List'!H407</f>
        <v>FT</v>
      </c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41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>
        <v>0.56999999999999995</v>
      </c>
      <c r="BT406" s="41"/>
      <c r="BU406" s="41"/>
      <c r="BV406" s="41"/>
      <c r="BW406" s="41"/>
      <c r="BX406" s="41"/>
      <c r="BY406" s="41"/>
      <c r="BZ406" s="41"/>
      <c r="CA406" s="41"/>
      <c r="CB406" s="4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>
        <v>0.02</v>
      </c>
      <c r="CO406" s="41">
        <v>0.02</v>
      </c>
      <c r="CP406" s="41">
        <v>0.02</v>
      </c>
      <c r="CQ406" s="41">
        <v>0.02</v>
      </c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>
        <v>0.05</v>
      </c>
      <c r="DC406" s="41"/>
      <c r="DD406" s="41"/>
      <c r="DE406" s="41"/>
      <c r="DF406" s="41"/>
      <c r="DG406" s="41"/>
      <c r="DH406" s="41"/>
      <c r="DI406" s="41"/>
      <c r="DJ406" s="41">
        <v>0.05</v>
      </c>
      <c r="DK406" s="41">
        <v>0.05</v>
      </c>
      <c r="DL406" s="41">
        <v>0.05</v>
      </c>
      <c r="DM406" s="41">
        <v>0.05</v>
      </c>
      <c r="DN406" s="41"/>
      <c r="DO406" s="41"/>
      <c r="DP406" s="41">
        <v>0.05</v>
      </c>
      <c r="DQ406" s="41"/>
      <c r="DR406" s="41">
        <v>0.05</v>
      </c>
      <c r="DS406" s="43"/>
      <c r="DT406" s="44">
        <f t="shared" ref="DT406" si="388">SUM(F406:DR406)</f>
        <v>1.0000000000000002</v>
      </c>
    </row>
    <row r="407" spans="2:124" s="13" customFormat="1">
      <c r="B407" s="4">
        <f>'6.1Personnel List'!B408</f>
        <v>395</v>
      </c>
      <c r="C407" s="45" t="s">
        <v>561</v>
      </c>
      <c r="D407" s="45" t="str">
        <f>'6.1Personnel List'!D408</f>
        <v>Social Welfare Officer I</v>
      </c>
      <c r="E407" s="45" t="str">
        <f>'6.1Personnel List'!H408</f>
        <v>FT</v>
      </c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41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>
        <v>0.56999999999999995</v>
      </c>
      <c r="BT407" s="41"/>
      <c r="BU407" s="41"/>
      <c r="BV407" s="41"/>
      <c r="BW407" s="41"/>
      <c r="BX407" s="41"/>
      <c r="BY407" s="41"/>
      <c r="BZ407" s="41"/>
      <c r="CA407" s="41"/>
      <c r="CB407" s="4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>
        <v>0.02</v>
      </c>
      <c r="CO407" s="41">
        <v>0.02</v>
      </c>
      <c r="CP407" s="41">
        <v>0.02</v>
      </c>
      <c r="CQ407" s="41">
        <v>0.02</v>
      </c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>
        <v>0.05</v>
      </c>
      <c r="DC407" s="41"/>
      <c r="DD407" s="41"/>
      <c r="DE407" s="41"/>
      <c r="DF407" s="41"/>
      <c r="DG407" s="41"/>
      <c r="DH407" s="41"/>
      <c r="DI407" s="41"/>
      <c r="DJ407" s="41">
        <v>0.05</v>
      </c>
      <c r="DK407" s="41">
        <v>0.05</v>
      </c>
      <c r="DL407" s="41">
        <v>0.05</v>
      </c>
      <c r="DM407" s="41">
        <v>0.05</v>
      </c>
      <c r="DN407" s="41"/>
      <c r="DO407" s="41"/>
      <c r="DP407" s="41">
        <v>0.05</v>
      </c>
      <c r="DQ407" s="41"/>
      <c r="DR407" s="41">
        <v>0.05</v>
      </c>
      <c r="DS407" s="43"/>
      <c r="DT407" s="44">
        <f t="shared" ref="DT407" si="389">SUM(F407:DR407)</f>
        <v>1.0000000000000002</v>
      </c>
    </row>
    <row r="408" spans="2:124" s="13" customFormat="1">
      <c r="B408" s="4">
        <f>'6.1Personnel List'!B409</f>
        <v>396</v>
      </c>
      <c r="C408" s="45" t="s">
        <v>563</v>
      </c>
      <c r="D408" s="45" t="str">
        <f>'6.1Personnel List'!D409</f>
        <v>Social Welfare Officer I</v>
      </c>
      <c r="E408" s="45" t="str">
        <f>'6.1Personnel List'!H409</f>
        <v>FT</v>
      </c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41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>
        <v>0.56999999999999995</v>
      </c>
      <c r="BT408" s="41"/>
      <c r="BU408" s="41"/>
      <c r="BV408" s="41"/>
      <c r="BW408" s="41"/>
      <c r="BX408" s="41"/>
      <c r="BY408" s="41"/>
      <c r="BZ408" s="41"/>
      <c r="CA408" s="41"/>
      <c r="CB408" s="4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>
        <v>0.02</v>
      </c>
      <c r="CO408" s="41">
        <v>0.02</v>
      </c>
      <c r="CP408" s="41">
        <v>0.02</v>
      </c>
      <c r="CQ408" s="41">
        <v>0.02</v>
      </c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>
        <v>0.05</v>
      </c>
      <c r="DC408" s="41"/>
      <c r="DD408" s="41"/>
      <c r="DE408" s="41"/>
      <c r="DF408" s="41"/>
      <c r="DG408" s="41"/>
      <c r="DH408" s="41"/>
      <c r="DI408" s="41"/>
      <c r="DJ408" s="41">
        <v>0.05</v>
      </c>
      <c r="DK408" s="41">
        <v>0.05</v>
      </c>
      <c r="DL408" s="41">
        <v>0.05</v>
      </c>
      <c r="DM408" s="41">
        <v>0.05</v>
      </c>
      <c r="DN408" s="41"/>
      <c r="DO408" s="41"/>
      <c r="DP408" s="41">
        <v>0.05</v>
      </c>
      <c r="DQ408" s="41"/>
      <c r="DR408" s="41">
        <v>0.05</v>
      </c>
      <c r="DS408" s="43"/>
      <c r="DT408" s="44">
        <f t="shared" ref="DT408" si="390">SUM(F408:DR408)</f>
        <v>1.0000000000000002</v>
      </c>
    </row>
    <row r="409" spans="2:124" s="13" customFormat="1">
      <c r="B409" s="4">
        <f>'6.1Personnel List'!B410</f>
        <v>397</v>
      </c>
      <c r="C409" s="45" t="s">
        <v>564</v>
      </c>
      <c r="D409" s="45" t="str">
        <f>'6.1Personnel List'!D410</f>
        <v>Social Welfare Officer I</v>
      </c>
      <c r="E409" s="45" t="str">
        <f>'6.1Personnel List'!H410</f>
        <v>FT</v>
      </c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41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>
        <v>0.56999999999999995</v>
      </c>
      <c r="BT409" s="41"/>
      <c r="BU409" s="41"/>
      <c r="BV409" s="41"/>
      <c r="BW409" s="41"/>
      <c r="BX409" s="41"/>
      <c r="BY409" s="41"/>
      <c r="BZ409" s="41"/>
      <c r="CA409" s="41"/>
      <c r="CB409" s="4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>
        <v>0.02</v>
      </c>
      <c r="CO409" s="41">
        <v>0.02</v>
      </c>
      <c r="CP409" s="41">
        <v>0.02</v>
      </c>
      <c r="CQ409" s="41">
        <v>0.02</v>
      </c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>
        <v>0.05</v>
      </c>
      <c r="DC409" s="41"/>
      <c r="DD409" s="41"/>
      <c r="DE409" s="41"/>
      <c r="DF409" s="41"/>
      <c r="DG409" s="41"/>
      <c r="DH409" s="41"/>
      <c r="DI409" s="41"/>
      <c r="DJ409" s="41">
        <v>0.05</v>
      </c>
      <c r="DK409" s="41">
        <v>0.05</v>
      </c>
      <c r="DL409" s="41">
        <v>0.05</v>
      </c>
      <c r="DM409" s="41">
        <v>0.05</v>
      </c>
      <c r="DN409" s="41"/>
      <c r="DO409" s="41"/>
      <c r="DP409" s="41">
        <v>0.05</v>
      </c>
      <c r="DQ409" s="41"/>
      <c r="DR409" s="41">
        <v>0.05</v>
      </c>
      <c r="DS409" s="43"/>
      <c r="DT409" s="44">
        <f t="shared" ref="DT409" si="391">SUM(F409:DR409)</f>
        <v>1.0000000000000002</v>
      </c>
    </row>
    <row r="410" spans="2:124" s="13" customFormat="1">
      <c r="B410" s="4">
        <f>'6.1Personnel List'!B411</f>
        <v>398</v>
      </c>
      <c r="C410" s="45" t="s">
        <v>565</v>
      </c>
      <c r="D410" s="45" t="str">
        <f>'6.1Personnel List'!D411</f>
        <v>Social Welfare Officer I</v>
      </c>
      <c r="E410" s="45" t="str">
        <f>'6.1Personnel List'!H411</f>
        <v>FT</v>
      </c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41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>
        <v>0.56999999999999995</v>
      </c>
      <c r="BT410" s="41"/>
      <c r="BU410" s="41"/>
      <c r="BV410" s="41"/>
      <c r="BW410" s="41"/>
      <c r="BX410" s="41"/>
      <c r="BY410" s="41"/>
      <c r="BZ410" s="41"/>
      <c r="CA410" s="41"/>
      <c r="CB410" s="4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>
        <v>0.02</v>
      </c>
      <c r="CO410" s="41">
        <v>0.02</v>
      </c>
      <c r="CP410" s="41">
        <v>0.02</v>
      </c>
      <c r="CQ410" s="41">
        <v>0.02</v>
      </c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>
        <v>0.05</v>
      </c>
      <c r="DC410" s="41"/>
      <c r="DD410" s="41"/>
      <c r="DE410" s="41"/>
      <c r="DF410" s="41"/>
      <c r="DG410" s="41"/>
      <c r="DH410" s="41"/>
      <c r="DI410" s="41"/>
      <c r="DJ410" s="41">
        <v>0.05</v>
      </c>
      <c r="DK410" s="41">
        <v>0.05</v>
      </c>
      <c r="DL410" s="41">
        <v>0.05</v>
      </c>
      <c r="DM410" s="41">
        <v>0.05</v>
      </c>
      <c r="DN410" s="41"/>
      <c r="DO410" s="41"/>
      <c r="DP410" s="41">
        <v>0.05</v>
      </c>
      <c r="DQ410" s="41"/>
      <c r="DR410" s="41">
        <v>0.05</v>
      </c>
      <c r="DS410" s="43"/>
      <c r="DT410" s="44">
        <f t="shared" ref="DT410" si="392">SUM(F410:DR410)</f>
        <v>1.0000000000000002</v>
      </c>
    </row>
    <row r="411" spans="2:124" s="13" customFormat="1">
      <c r="B411" s="4">
        <f>'6.1Personnel List'!B412</f>
        <v>399</v>
      </c>
      <c r="C411" s="45" t="s">
        <v>566</v>
      </c>
      <c r="D411" s="45" t="str">
        <f>'6.1Personnel List'!D412</f>
        <v>Social Welfare Officer I</v>
      </c>
      <c r="E411" s="45" t="str">
        <f>'6.1Personnel List'!H412</f>
        <v>FT</v>
      </c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41"/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>
        <v>0.56999999999999995</v>
      </c>
      <c r="BT411" s="41"/>
      <c r="BU411" s="41"/>
      <c r="BV411" s="41"/>
      <c r="BW411" s="41"/>
      <c r="BX411" s="41"/>
      <c r="BY411" s="41"/>
      <c r="BZ411" s="41"/>
      <c r="CA411" s="41"/>
      <c r="CB411" s="4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>
        <v>0.02</v>
      </c>
      <c r="CO411" s="41">
        <v>0.02</v>
      </c>
      <c r="CP411" s="41">
        <v>0.02</v>
      </c>
      <c r="CQ411" s="41">
        <v>0.02</v>
      </c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>
        <v>0.05</v>
      </c>
      <c r="DC411" s="41"/>
      <c r="DD411" s="41"/>
      <c r="DE411" s="41"/>
      <c r="DF411" s="41"/>
      <c r="DG411" s="41"/>
      <c r="DH411" s="41"/>
      <c r="DI411" s="41"/>
      <c r="DJ411" s="41">
        <v>0.05</v>
      </c>
      <c r="DK411" s="41">
        <v>0.05</v>
      </c>
      <c r="DL411" s="41">
        <v>0.05</v>
      </c>
      <c r="DM411" s="41">
        <v>0.05</v>
      </c>
      <c r="DN411" s="41"/>
      <c r="DO411" s="41"/>
      <c r="DP411" s="41">
        <v>0.05</v>
      </c>
      <c r="DQ411" s="41"/>
      <c r="DR411" s="41">
        <v>0.05</v>
      </c>
      <c r="DS411" s="43"/>
      <c r="DT411" s="44">
        <f t="shared" ref="DT411" si="393">SUM(F411:DR411)</f>
        <v>1.0000000000000002</v>
      </c>
    </row>
    <row r="412" spans="2:124" s="13" customFormat="1">
      <c r="B412" s="4">
        <f>'6.1Personnel List'!B413</f>
        <v>400</v>
      </c>
      <c r="C412" s="45" t="s">
        <v>567</v>
      </c>
      <c r="D412" s="45" t="str">
        <f>'6.1Personnel List'!D413</f>
        <v>Social Welfare Officer I</v>
      </c>
      <c r="E412" s="45" t="str">
        <f>'6.1Personnel List'!H413</f>
        <v>FT</v>
      </c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41"/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>
        <v>0.56999999999999995</v>
      </c>
      <c r="BT412" s="41"/>
      <c r="BU412" s="41"/>
      <c r="BV412" s="41"/>
      <c r="BW412" s="41"/>
      <c r="BX412" s="41"/>
      <c r="BY412" s="41"/>
      <c r="BZ412" s="41"/>
      <c r="CA412" s="41"/>
      <c r="CB412" s="4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>
        <v>0.02</v>
      </c>
      <c r="CO412" s="41">
        <v>0.02</v>
      </c>
      <c r="CP412" s="41">
        <v>0.02</v>
      </c>
      <c r="CQ412" s="41">
        <v>0.02</v>
      </c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>
        <v>0.05</v>
      </c>
      <c r="DC412" s="41"/>
      <c r="DD412" s="41"/>
      <c r="DE412" s="41"/>
      <c r="DF412" s="41"/>
      <c r="DG412" s="41"/>
      <c r="DH412" s="41"/>
      <c r="DI412" s="41"/>
      <c r="DJ412" s="41">
        <v>0.05</v>
      </c>
      <c r="DK412" s="41">
        <v>0.05</v>
      </c>
      <c r="DL412" s="41">
        <v>0.05</v>
      </c>
      <c r="DM412" s="41">
        <v>0.05</v>
      </c>
      <c r="DN412" s="41"/>
      <c r="DO412" s="41"/>
      <c r="DP412" s="41">
        <v>0.05</v>
      </c>
      <c r="DQ412" s="41"/>
      <c r="DR412" s="41">
        <v>0.05</v>
      </c>
      <c r="DS412" s="43"/>
      <c r="DT412" s="44">
        <f t="shared" ref="DT412" si="394">SUM(F412:DR412)</f>
        <v>1.0000000000000002</v>
      </c>
    </row>
    <row r="413" spans="2:124" s="13" customFormat="1">
      <c r="B413" s="4">
        <f>'6.1Personnel List'!B414</f>
        <v>401</v>
      </c>
      <c r="C413" s="45" t="s">
        <v>568</v>
      </c>
      <c r="D413" s="45" t="str">
        <f>'6.1Personnel List'!D414</f>
        <v>Social Welfare Officer I</v>
      </c>
      <c r="E413" s="45" t="str">
        <f>'6.1Personnel List'!H414</f>
        <v>FT</v>
      </c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41"/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>
        <v>0.56999999999999995</v>
      </c>
      <c r="BT413" s="41"/>
      <c r="BU413" s="41"/>
      <c r="BV413" s="41"/>
      <c r="BW413" s="41"/>
      <c r="BX413" s="41"/>
      <c r="BY413" s="41"/>
      <c r="BZ413" s="41"/>
      <c r="CA413" s="41"/>
      <c r="CB413" s="4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>
        <v>0.02</v>
      </c>
      <c r="CO413" s="41">
        <v>0.02</v>
      </c>
      <c r="CP413" s="41">
        <v>0.02</v>
      </c>
      <c r="CQ413" s="41">
        <v>0.02</v>
      </c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>
        <v>0.05</v>
      </c>
      <c r="DC413" s="41"/>
      <c r="DD413" s="41"/>
      <c r="DE413" s="41"/>
      <c r="DF413" s="41"/>
      <c r="DG413" s="41"/>
      <c r="DH413" s="41"/>
      <c r="DI413" s="41"/>
      <c r="DJ413" s="41">
        <v>0.05</v>
      </c>
      <c r="DK413" s="41">
        <v>0.05</v>
      </c>
      <c r="DL413" s="41">
        <v>0.05</v>
      </c>
      <c r="DM413" s="41">
        <v>0.05</v>
      </c>
      <c r="DN413" s="41"/>
      <c r="DO413" s="41"/>
      <c r="DP413" s="41">
        <v>0.05</v>
      </c>
      <c r="DQ413" s="41"/>
      <c r="DR413" s="41">
        <v>0.05</v>
      </c>
      <c r="DS413" s="43"/>
      <c r="DT413" s="44">
        <f t="shared" ref="DT413" si="395">SUM(F413:DR413)</f>
        <v>1.0000000000000002</v>
      </c>
    </row>
    <row r="414" spans="2:124" s="13" customFormat="1">
      <c r="B414" s="4">
        <f>'6.1Personnel List'!B415</f>
        <v>402</v>
      </c>
      <c r="C414" s="45" t="s">
        <v>569</v>
      </c>
      <c r="D414" s="45" t="str">
        <f>'6.1Personnel List'!D415</f>
        <v>Social Welfare Officer I</v>
      </c>
      <c r="E414" s="45" t="str">
        <f>'6.1Personnel List'!H415</f>
        <v>FT</v>
      </c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41"/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>
        <v>0.56999999999999995</v>
      </c>
      <c r="BT414" s="41"/>
      <c r="BU414" s="41"/>
      <c r="BV414" s="41"/>
      <c r="BW414" s="41"/>
      <c r="BX414" s="41"/>
      <c r="BY414" s="41"/>
      <c r="BZ414" s="41"/>
      <c r="CA414" s="41"/>
      <c r="CB414" s="4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>
        <v>0.02</v>
      </c>
      <c r="CO414" s="41">
        <v>0.02</v>
      </c>
      <c r="CP414" s="41">
        <v>0.02</v>
      </c>
      <c r="CQ414" s="41">
        <v>0.02</v>
      </c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>
        <v>0.05</v>
      </c>
      <c r="DC414" s="41"/>
      <c r="DD414" s="41"/>
      <c r="DE414" s="41"/>
      <c r="DF414" s="41"/>
      <c r="DG414" s="41"/>
      <c r="DH414" s="41"/>
      <c r="DI414" s="41"/>
      <c r="DJ414" s="41">
        <v>0.05</v>
      </c>
      <c r="DK414" s="41">
        <v>0.05</v>
      </c>
      <c r="DL414" s="41">
        <v>0.05</v>
      </c>
      <c r="DM414" s="41">
        <v>0.05</v>
      </c>
      <c r="DN414" s="41"/>
      <c r="DO414" s="41"/>
      <c r="DP414" s="41">
        <v>0.05</v>
      </c>
      <c r="DQ414" s="41"/>
      <c r="DR414" s="41">
        <v>0.05</v>
      </c>
      <c r="DS414" s="43"/>
      <c r="DT414" s="44">
        <f t="shared" ref="DT414" si="396">SUM(F414:DR414)</f>
        <v>1.0000000000000002</v>
      </c>
    </row>
    <row r="415" spans="2:124" s="13" customFormat="1">
      <c r="B415" s="4">
        <f>'6.1Personnel List'!B416</f>
        <v>403</v>
      </c>
      <c r="C415" s="45" t="s">
        <v>570</v>
      </c>
      <c r="D415" s="45" t="str">
        <f>'6.1Personnel List'!D416</f>
        <v>Social Welfare Assistant</v>
      </c>
      <c r="E415" s="45" t="str">
        <f>'6.1Personnel List'!H416</f>
        <v>FT</v>
      </c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41"/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>
        <v>0.56999999999999995</v>
      </c>
      <c r="BT415" s="41"/>
      <c r="BU415" s="41"/>
      <c r="BV415" s="41"/>
      <c r="BW415" s="41"/>
      <c r="BX415" s="41"/>
      <c r="BY415" s="41"/>
      <c r="BZ415" s="41"/>
      <c r="CA415" s="41"/>
      <c r="CB415" s="4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>
        <v>0.02</v>
      </c>
      <c r="CO415" s="41">
        <v>0.02</v>
      </c>
      <c r="CP415" s="41">
        <v>0.02</v>
      </c>
      <c r="CQ415" s="41">
        <v>0.02</v>
      </c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>
        <v>0.05</v>
      </c>
      <c r="DC415" s="41"/>
      <c r="DD415" s="41"/>
      <c r="DE415" s="41"/>
      <c r="DF415" s="41"/>
      <c r="DG415" s="41"/>
      <c r="DH415" s="41"/>
      <c r="DI415" s="41"/>
      <c r="DJ415" s="41">
        <v>0.05</v>
      </c>
      <c r="DK415" s="41">
        <v>0.05</v>
      </c>
      <c r="DL415" s="41">
        <v>0.05</v>
      </c>
      <c r="DM415" s="41">
        <v>0.05</v>
      </c>
      <c r="DN415" s="41"/>
      <c r="DO415" s="41"/>
      <c r="DP415" s="41">
        <v>0.05</v>
      </c>
      <c r="DQ415" s="41"/>
      <c r="DR415" s="41">
        <v>0.05</v>
      </c>
      <c r="DS415" s="43"/>
      <c r="DT415" s="44">
        <f t="shared" ref="DT415" si="397">SUM(F415:DR415)</f>
        <v>1.0000000000000002</v>
      </c>
    </row>
    <row r="416" spans="2:124" s="13" customFormat="1">
      <c r="B416" s="4">
        <f>'6.1Personnel List'!B417</f>
        <v>404</v>
      </c>
      <c r="C416" s="45" t="s">
        <v>572</v>
      </c>
      <c r="D416" s="45" t="str">
        <f>'6.1Personnel List'!D417</f>
        <v>Social Welfare Assistant</v>
      </c>
      <c r="E416" s="45" t="str">
        <f>'6.1Personnel List'!H417</f>
        <v>FT</v>
      </c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41"/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>
        <v>0.56999999999999995</v>
      </c>
      <c r="BT416" s="41"/>
      <c r="BU416" s="41"/>
      <c r="BV416" s="41"/>
      <c r="BW416" s="41"/>
      <c r="BX416" s="41"/>
      <c r="BY416" s="41"/>
      <c r="BZ416" s="41"/>
      <c r="CA416" s="41"/>
      <c r="CB416" s="4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>
        <v>0.02</v>
      </c>
      <c r="CO416" s="41">
        <v>0.02</v>
      </c>
      <c r="CP416" s="41">
        <v>0.02</v>
      </c>
      <c r="CQ416" s="41">
        <v>0.02</v>
      </c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>
        <v>0.05</v>
      </c>
      <c r="DC416" s="41"/>
      <c r="DD416" s="41"/>
      <c r="DE416" s="41"/>
      <c r="DF416" s="41"/>
      <c r="DG416" s="41"/>
      <c r="DH416" s="41"/>
      <c r="DI416" s="41"/>
      <c r="DJ416" s="41">
        <v>0.05</v>
      </c>
      <c r="DK416" s="41">
        <v>0.05</v>
      </c>
      <c r="DL416" s="41">
        <v>0.05</v>
      </c>
      <c r="DM416" s="41">
        <v>0.05</v>
      </c>
      <c r="DN416" s="41"/>
      <c r="DO416" s="41"/>
      <c r="DP416" s="41">
        <v>0.05</v>
      </c>
      <c r="DQ416" s="41"/>
      <c r="DR416" s="41">
        <v>0.05</v>
      </c>
      <c r="DS416" s="43"/>
      <c r="DT416" s="44">
        <f t="shared" ref="DT416" si="398">SUM(F416:DR416)</f>
        <v>1.0000000000000002</v>
      </c>
    </row>
    <row r="417" spans="2:124" s="13" customFormat="1">
      <c r="B417" s="4">
        <f>'6.1Personnel List'!B418</f>
        <v>405</v>
      </c>
      <c r="C417" s="45" t="s">
        <v>573</v>
      </c>
      <c r="D417" s="45" t="str">
        <f>'6.1Personnel List'!D418</f>
        <v>Social Welfare Assistant</v>
      </c>
      <c r="E417" s="45" t="str">
        <f>'6.1Personnel List'!H418</f>
        <v>FT</v>
      </c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41"/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>
        <v>0.56999999999999995</v>
      </c>
      <c r="BT417" s="41"/>
      <c r="BU417" s="41"/>
      <c r="BV417" s="41"/>
      <c r="BW417" s="41"/>
      <c r="BX417" s="41"/>
      <c r="BY417" s="41"/>
      <c r="BZ417" s="41"/>
      <c r="CA417" s="41"/>
      <c r="CB417" s="4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>
        <v>0.02</v>
      </c>
      <c r="CO417" s="41">
        <v>0.02</v>
      </c>
      <c r="CP417" s="41">
        <v>0.02</v>
      </c>
      <c r="CQ417" s="41">
        <v>0.02</v>
      </c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>
        <v>0.05</v>
      </c>
      <c r="DC417" s="41"/>
      <c r="DD417" s="41"/>
      <c r="DE417" s="41"/>
      <c r="DF417" s="41"/>
      <c r="DG417" s="41"/>
      <c r="DH417" s="41"/>
      <c r="DI417" s="41"/>
      <c r="DJ417" s="41">
        <v>0.05</v>
      </c>
      <c r="DK417" s="41">
        <v>0.05</v>
      </c>
      <c r="DL417" s="41">
        <v>0.05</v>
      </c>
      <c r="DM417" s="41">
        <v>0.05</v>
      </c>
      <c r="DN417" s="41"/>
      <c r="DO417" s="41"/>
      <c r="DP417" s="41">
        <v>0.05</v>
      </c>
      <c r="DQ417" s="41"/>
      <c r="DR417" s="41">
        <v>0.05</v>
      </c>
      <c r="DS417" s="43"/>
      <c r="DT417" s="44">
        <f t="shared" ref="DT417" si="399">SUM(F417:DR417)</f>
        <v>1.0000000000000002</v>
      </c>
    </row>
    <row r="418" spans="2:124" s="13" customFormat="1">
      <c r="B418" s="4">
        <f>'6.1Personnel List'!B419</f>
        <v>406</v>
      </c>
      <c r="C418" s="45" t="s">
        <v>574</v>
      </c>
      <c r="D418" s="45" t="str">
        <f>'6.1Personnel List'!D419</f>
        <v>Social Welfare Assistant</v>
      </c>
      <c r="E418" s="45" t="str">
        <f>'6.1Personnel List'!H419</f>
        <v>FT</v>
      </c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41"/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>
        <v>0.56999999999999995</v>
      </c>
      <c r="BT418" s="41"/>
      <c r="BU418" s="41"/>
      <c r="BV418" s="41"/>
      <c r="BW418" s="41"/>
      <c r="BX418" s="41"/>
      <c r="BY418" s="41"/>
      <c r="BZ418" s="41"/>
      <c r="CA418" s="41"/>
      <c r="CB418" s="4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>
        <v>0.02</v>
      </c>
      <c r="CO418" s="41">
        <v>0.02</v>
      </c>
      <c r="CP418" s="41">
        <v>0.02</v>
      </c>
      <c r="CQ418" s="41">
        <v>0.02</v>
      </c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>
        <v>0.05</v>
      </c>
      <c r="DC418" s="41"/>
      <c r="DD418" s="41"/>
      <c r="DE418" s="41"/>
      <c r="DF418" s="41"/>
      <c r="DG418" s="41"/>
      <c r="DH418" s="41"/>
      <c r="DI418" s="41"/>
      <c r="DJ418" s="41">
        <v>0.05</v>
      </c>
      <c r="DK418" s="41">
        <v>0.05</v>
      </c>
      <c r="DL418" s="41">
        <v>0.05</v>
      </c>
      <c r="DM418" s="41">
        <v>0.05</v>
      </c>
      <c r="DN418" s="41"/>
      <c r="DO418" s="41"/>
      <c r="DP418" s="41">
        <v>0.05</v>
      </c>
      <c r="DQ418" s="41"/>
      <c r="DR418" s="41">
        <v>0.05</v>
      </c>
      <c r="DS418" s="43"/>
      <c r="DT418" s="44">
        <f t="shared" ref="DT418" si="400">SUM(F418:DR418)</f>
        <v>1.0000000000000002</v>
      </c>
    </row>
    <row r="419" spans="2:124" s="13" customFormat="1">
      <c r="B419" s="4">
        <f>'6.1Personnel List'!B420</f>
        <v>407</v>
      </c>
      <c r="C419" s="45" t="s">
        <v>575</v>
      </c>
      <c r="D419" s="45" t="str">
        <f>'6.1Personnel List'!D420</f>
        <v>Social Welfare Assistant</v>
      </c>
      <c r="E419" s="45" t="str">
        <f>'6.1Personnel List'!H420</f>
        <v>FT</v>
      </c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41"/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>
        <v>0.56999999999999995</v>
      </c>
      <c r="BT419" s="41"/>
      <c r="BU419" s="41"/>
      <c r="BV419" s="41"/>
      <c r="BW419" s="41"/>
      <c r="BX419" s="41"/>
      <c r="BY419" s="41"/>
      <c r="BZ419" s="41"/>
      <c r="CA419" s="41"/>
      <c r="CB419" s="4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>
        <v>0.02</v>
      </c>
      <c r="CO419" s="41">
        <v>0.02</v>
      </c>
      <c r="CP419" s="41">
        <v>0.02</v>
      </c>
      <c r="CQ419" s="41">
        <v>0.02</v>
      </c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>
        <v>0.05</v>
      </c>
      <c r="DC419" s="41"/>
      <c r="DD419" s="41"/>
      <c r="DE419" s="41"/>
      <c r="DF419" s="41"/>
      <c r="DG419" s="41"/>
      <c r="DH419" s="41"/>
      <c r="DI419" s="41"/>
      <c r="DJ419" s="41">
        <v>0.05</v>
      </c>
      <c r="DK419" s="41">
        <v>0.05</v>
      </c>
      <c r="DL419" s="41">
        <v>0.05</v>
      </c>
      <c r="DM419" s="41">
        <v>0.05</v>
      </c>
      <c r="DN419" s="41"/>
      <c r="DO419" s="41"/>
      <c r="DP419" s="41">
        <v>0.05</v>
      </c>
      <c r="DQ419" s="41"/>
      <c r="DR419" s="41">
        <v>0.05</v>
      </c>
      <c r="DS419" s="43"/>
      <c r="DT419" s="44">
        <f t="shared" ref="DT419" si="401">SUM(F419:DR419)</f>
        <v>1.0000000000000002</v>
      </c>
    </row>
    <row r="420" spans="2:124" s="13" customFormat="1">
      <c r="B420" s="4">
        <f>'6.1Personnel List'!B421</f>
        <v>408</v>
      </c>
      <c r="C420" s="45" t="s">
        <v>576</v>
      </c>
      <c r="D420" s="45" t="str">
        <f>'6.1Personnel List'!D421</f>
        <v>Social Welfare Assistant</v>
      </c>
      <c r="E420" s="45" t="str">
        <f>'6.1Personnel List'!H421</f>
        <v>FT</v>
      </c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41"/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>
        <v>0.56999999999999995</v>
      </c>
      <c r="BT420" s="41"/>
      <c r="BU420" s="41"/>
      <c r="BV420" s="41"/>
      <c r="BW420" s="41"/>
      <c r="BX420" s="41"/>
      <c r="BY420" s="41"/>
      <c r="BZ420" s="41"/>
      <c r="CA420" s="41"/>
      <c r="CB420" s="4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>
        <v>0.02</v>
      </c>
      <c r="CO420" s="41">
        <v>0.02</v>
      </c>
      <c r="CP420" s="41">
        <v>0.02</v>
      </c>
      <c r="CQ420" s="41">
        <v>0.02</v>
      </c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>
        <v>0.05</v>
      </c>
      <c r="DC420" s="41"/>
      <c r="DD420" s="41"/>
      <c r="DE420" s="41"/>
      <c r="DF420" s="41"/>
      <c r="DG420" s="41"/>
      <c r="DH420" s="41"/>
      <c r="DI420" s="41"/>
      <c r="DJ420" s="41">
        <v>0.05</v>
      </c>
      <c r="DK420" s="41">
        <v>0.05</v>
      </c>
      <c r="DL420" s="41">
        <v>0.05</v>
      </c>
      <c r="DM420" s="41">
        <v>0.05</v>
      </c>
      <c r="DN420" s="41"/>
      <c r="DO420" s="41"/>
      <c r="DP420" s="41">
        <v>0.05</v>
      </c>
      <c r="DQ420" s="41"/>
      <c r="DR420" s="41">
        <v>0.05</v>
      </c>
      <c r="DS420" s="43"/>
      <c r="DT420" s="44">
        <f t="shared" ref="DT420" si="402">SUM(F420:DR420)</f>
        <v>1.0000000000000002</v>
      </c>
    </row>
    <row r="421" spans="2:124" s="13" customFormat="1">
      <c r="B421" s="4">
        <f>'6.1Personnel List'!B422</f>
        <v>409</v>
      </c>
      <c r="C421" s="45" t="s">
        <v>577</v>
      </c>
      <c r="D421" s="45" t="str">
        <f>'6.1Personnel List'!D422</f>
        <v>Social Welfare Assistant</v>
      </c>
      <c r="E421" s="45" t="str">
        <f>'6.1Personnel List'!H422</f>
        <v>FT</v>
      </c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41"/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>
        <v>0.56999999999999995</v>
      </c>
      <c r="BT421" s="41"/>
      <c r="BU421" s="41"/>
      <c r="BV421" s="41"/>
      <c r="BW421" s="41"/>
      <c r="BX421" s="41"/>
      <c r="BY421" s="41"/>
      <c r="BZ421" s="41"/>
      <c r="CA421" s="41"/>
      <c r="CB421" s="4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>
        <v>0.02</v>
      </c>
      <c r="CO421" s="41">
        <v>0.02</v>
      </c>
      <c r="CP421" s="41">
        <v>0.02</v>
      </c>
      <c r="CQ421" s="41">
        <v>0.02</v>
      </c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>
        <v>0.05</v>
      </c>
      <c r="DC421" s="41"/>
      <c r="DD421" s="41"/>
      <c r="DE421" s="41"/>
      <c r="DF421" s="41"/>
      <c r="DG421" s="41"/>
      <c r="DH421" s="41"/>
      <c r="DI421" s="41"/>
      <c r="DJ421" s="41">
        <v>0.05</v>
      </c>
      <c r="DK421" s="41">
        <v>0.05</v>
      </c>
      <c r="DL421" s="41">
        <v>0.05</v>
      </c>
      <c r="DM421" s="41">
        <v>0.05</v>
      </c>
      <c r="DN421" s="41"/>
      <c r="DO421" s="41"/>
      <c r="DP421" s="41">
        <v>0.05</v>
      </c>
      <c r="DQ421" s="41"/>
      <c r="DR421" s="41">
        <v>0.05</v>
      </c>
      <c r="DS421" s="43"/>
      <c r="DT421" s="44">
        <f t="shared" ref="DT421" si="403">SUM(F421:DR421)</f>
        <v>1.0000000000000002</v>
      </c>
    </row>
    <row r="422" spans="2:124" s="13" customFormat="1">
      <c r="B422" s="4">
        <f>'6.1Personnel List'!B423</f>
        <v>410</v>
      </c>
      <c r="C422" s="45" t="s">
        <v>579</v>
      </c>
      <c r="D422" s="45" t="str">
        <f>'6.1Personnel List'!D423</f>
        <v>Medical Specialist IV - Chairman</v>
      </c>
      <c r="E422" s="45" t="str">
        <f>'6.1Personnel List'!H423</f>
        <v>FT</v>
      </c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41"/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41"/>
      <c r="CC422" s="41"/>
      <c r="CD422" s="41"/>
      <c r="CE422" s="41"/>
      <c r="CF422" s="41">
        <v>0.2</v>
      </c>
      <c r="CG422" s="41">
        <v>0.5</v>
      </c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>
        <v>0.2</v>
      </c>
      <c r="CU422" s="41">
        <v>0.1</v>
      </c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3"/>
      <c r="DT422" s="44">
        <f t="shared" ref="DT422" si="404">SUM(F422:DR422)</f>
        <v>0.99999999999999989</v>
      </c>
    </row>
    <row r="423" spans="2:124" s="13" customFormat="1">
      <c r="B423" s="4">
        <f>'6.1Personnel List'!B424</f>
        <v>411</v>
      </c>
      <c r="C423" s="45" t="s">
        <v>580</v>
      </c>
      <c r="D423" s="45" t="str">
        <f>'6.1Personnel List'!D424</f>
        <v>Medical Specialist III (P.T.)</v>
      </c>
      <c r="E423" s="45" t="str">
        <f>'6.1Personnel List'!H424</f>
        <v>PT</v>
      </c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41"/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41"/>
      <c r="CC423" s="41"/>
      <c r="CD423" s="41"/>
      <c r="CE423" s="41"/>
      <c r="CF423" s="41">
        <v>0.2</v>
      </c>
      <c r="CG423" s="41">
        <v>0.6</v>
      </c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>
        <v>0.1</v>
      </c>
      <c r="CU423" s="41">
        <v>0.1</v>
      </c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3"/>
      <c r="DT423" s="44">
        <f t="shared" ref="DT423" si="405">SUM(F423:DR423)</f>
        <v>1</v>
      </c>
    </row>
    <row r="424" spans="2:124" s="13" customFormat="1">
      <c r="B424" s="4">
        <f>'6.1Personnel List'!B425</f>
        <v>412</v>
      </c>
      <c r="C424" s="45" t="s">
        <v>581</v>
      </c>
      <c r="D424" s="45" t="str">
        <f>'6.1Personnel List'!D425</f>
        <v>Medical Specialist III (P.T.)</v>
      </c>
      <c r="E424" s="45" t="str">
        <f>'6.1Personnel List'!H425</f>
        <v>PT</v>
      </c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41"/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41"/>
      <c r="CC424" s="41"/>
      <c r="CD424" s="41"/>
      <c r="CE424" s="41"/>
      <c r="CF424" s="41">
        <v>0.2</v>
      </c>
      <c r="CG424" s="41">
        <v>0.6</v>
      </c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>
        <v>0.1</v>
      </c>
      <c r="CU424" s="41">
        <v>0.1</v>
      </c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3"/>
      <c r="DT424" s="44">
        <f t="shared" ref="DT424" si="406">SUM(F424:DR424)</f>
        <v>1</v>
      </c>
    </row>
    <row r="425" spans="2:124" s="13" customFormat="1">
      <c r="B425" s="4">
        <f>'6.1Personnel List'!B426</f>
        <v>413</v>
      </c>
      <c r="C425" s="45" t="s">
        <v>582</v>
      </c>
      <c r="D425" s="45" t="str">
        <f>'6.1Personnel List'!D426</f>
        <v>Medical Specialist III (P.T.)</v>
      </c>
      <c r="E425" s="45" t="str">
        <f>'6.1Personnel List'!H426</f>
        <v>PT</v>
      </c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41"/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41"/>
      <c r="CC425" s="41"/>
      <c r="CD425" s="41"/>
      <c r="CE425" s="41"/>
      <c r="CF425" s="41">
        <v>0.2</v>
      </c>
      <c r="CG425" s="41">
        <v>0.6</v>
      </c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>
        <v>0.1</v>
      </c>
      <c r="CU425" s="41">
        <v>0.1</v>
      </c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3"/>
      <c r="DT425" s="44">
        <f t="shared" ref="DT425" si="407">SUM(F425:DR425)</f>
        <v>1</v>
      </c>
    </row>
    <row r="426" spans="2:124" s="13" customFormat="1">
      <c r="B426" s="4">
        <f>'6.1Personnel List'!B427</f>
        <v>414</v>
      </c>
      <c r="C426" s="45" t="s">
        <v>583</v>
      </c>
      <c r="D426" s="45" t="str">
        <f>'6.1Personnel List'!D427</f>
        <v>Medical Specialist II (P.T.)</v>
      </c>
      <c r="E426" s="45" t="str">
        <f>'6.1Personnel List'!H427</f>
        <v>PT</v>
      </c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41"/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41"/>
      <c r="CC426" s="41"/>
      <c r="CD426" s="41"/>
      <c r="CE426" s="41"/>
      <c r="CF426" s="41">
        <v>0.2</v>
      </c>
      <c r="CG426" s="41">
        <v>0.6</v>
      </c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>
        <v>0.1</v>
      </c>
      <c r="CU426" s="41">
        <v>0.1</v>
      </c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3"/>
      <c r="DT426" s="44">
        <f t="shared" ref="DT426" si="408">SUM(F426:DR426)</f>
        <v>1</v>
      </c>
    </row>
    <row r="427" spans="2:124" s="13" customFormat="1">
      <c r="B427" s="4">
        <f>'6.1Personnel List'!B428</f>
        <v>415</v>
      </c>
      <c r="C427" s="45" t="s">
        <v>584</v>
      </c>
      <c r="D427" s="45" t="str">
        <f>'6.1Personnel List'!D428</f>
        <v>Medical Specialist II (P.T.)</v>
      </c>
      <c r="E427" s="45" t="str">
        <f>'6.1Personnel List'!H428</f>
        <v>PT</v>
      </c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41"/>
      <c r="AT427" s="41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41"/>
      <c r="CC427" s="41"/>
      <c r="CD427" s="41"/>
      <c r="CE427" s="41"/>
      <c r="CF427" s="41">
        <v>0.2</v>
      </c>
      <c r="CG427" s="41">
        <v>0.6</v>
      </c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>
        <v>0.1</v>
      </c>
      <c r="CU427" s="41">
        <v>0.1</v>
      </c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3"/>
      <c r="DT427" s="44">
        <f t="shared" ref="DT427" si="409">SUM(F427:DR427)</f>
        <v>1</v>
      </c>
    </row>
    <row r="428" spans="2:124" s="13" customFormat="1">
      <c r="B428" s="4">
        <f>'6.1Personnel List'!B429</f>
        <v>416</v>
      </c>
      <c r="C428" s="45" t="s">
        <v>585</v>
      </c>
      <c r="D428" s="45" t="str">
        <f>'6.1Personnel List'!D429</f>
        <v>Medical Specialist II (P.T.)</v>
      </c>
      <c r="E428" s="45" t="str">
        <f>'6.1Personnel List'!H429</f>
        <v>PT</v>
      </c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41"/>
      <c r="AT428" s="41"/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41"/>
      <c r="CC428" s="41"/>
      <c r="CD428" s="41"/>
      <c r="CE428" s="41"/>
      <c r="CF428" s="41">
        <v>0.2</v>
      </c>
      <c r="CG428" s="41">
        <v>0.6</v>
      </c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>
        <v>0.1</v>
      </c>
      <c r="CU428" s="41">
        <v>0.1</v>
      </c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3"/>
      <c r="DT428" s="44">
        <f t="shared" ref="DT428" si="410">SUM(F428:DR428)</f>
        <v>1</v>
      </c>
    </row>
    <row r="429" spans="2:124" s="13" customFormat="1">
      <c r="B429" s="4">
        <f>'6.1Personnel List'!B430</f>
        <v>417</v>
      </c>
      <c r="C429" s="45" t="s">
        <v>586</v>
      </c>
      <c r="D429" s="45" t="str">
        <f>'6.1Personnel List'!D430</f>
        <v>Medical Officer IV</v>
      </c>
      <c r="E429" s="45" t="str">
        <f>'6.1Personnel List'!H430</f>
        <v>FT</v>
      </c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41"/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41"/>
      <c r="CC429" s="41"/>
      <c r="CD429" s="41"/>
      <c r="CE429" s="41"/>
      <c r="CF429" s="41">
        <v>0.2</v>
      </c>
      <c r="CG429" s="41">
        <v>0.6</v>
      </c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>
        <v>0.1</v>
      </c>
      <c r="CU429" s="41">
        <v>0.1</v>
      </c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3"/>
      <c r="DT429" s="44">
        <f t="shared" ref="DT429" si="411">SUM(F429:DR429)</f>
        <v>1</v>
      </c>
    </row>
    <row r="430" spans="2:124" s="13" customFormat="1">
      <c r="B430" s="4">
        <f>'6.1Personnel List'!B431</f>
        <v>418</v>
      </c>
      <c r="C430" s="45" t="s">
        <v>587</v>
      </c>
      <c r="D430" s="45" t="str">
        <f>'6.1Personnel List'!D431</f>
        <v>Medical Officer IV</v>
      </c>
      <c r="E430" s="45" t="str">
        <f>'6.1Personnel List'!H431</f>
        <v>FT</v>
      </c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41"/>
      <c r="AS430" s="41"/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41"/>
      <c r="CC430" s="41"/>
      <c r="CD430" s="41"/>
      <c r="CE430" s="41"/>
      <c r="CF430" s="41">
        <v>0.2</v>
      </c>
      <c r="CG430" s="41">
        <v>0.6</v>
      </c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>
        <v>0.1</v>
      </c>
      <c r="CU430" s="41">
        <v>0.1</v>
      </c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3"/>
      <c r="DT430" s="44">
        <f t="shared" ref="DT430" si="412">SUM(F430:DR430)</f>
        <v>1</v>
      </c>
    </row>
    <row r="431" spans="2:124" s="13" customFormat="1">
      <c r="B431" s="4">
        <f>'6.1Personnel List'!B432</f>
        <v>419</v>
      </c>
      <c r="C431" s="45" t="s">
        <v>588</v>
      </c>
      <c r="D431" s="45" t="str">
        <f>'6.1Personnel List'!D432</f>
        <v>Medical Officer IV</v>
      </c>
      <c r="E431" s="45" t="str">
        <f>'6.1Personnel List'!H432</f>
        <v>FT</v>
      </c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41"/>
      <c r="AS431" s="41"/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41"/>
      <c r="CC431" s="41"/>
      <c r="CD431" s="41"/>
      <c r="CE431" s="41"/>
      <c r="CF431" s="41">
        <v>0.2</v>
      </c>
      <c r="CG431" s="41">
        <v>0.6</v>
      </c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>
        <v>0.1</v>
      </c>
      <c r="CU431" s="41">
        <v>0.1</v>
      </c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3"/>
      <c r="DT431" s="44">
        <f t="shared" ref="DT431" si="413">SUM(F431:DR431)</f>
        <v>1</v>
      </c>
    </row>
    <row r="432" spans="2:124" s="13" customFormat="1">
      <c r="B432" s="4">
        <f>'6.1Personnel List'!B433</f>
        <v>420</v>
      </c>
      <c r="C432" s="45" t="s">
        <v>589</v>
      </c>
      <c r="D432" s="45" t="str">
        <f>'6.1Personnel List'!D433</f>
        <v>Medical Technologist V</v>
      </c>
      <c r="E432" s="45" t="str">
        <f>'6.1Personnel List'!H433</f>
        <v>FT</v>
      </c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41"/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>
        <v>0.3</v>
      </c>
      <c r="CB432" s="41"/>
      <c r="CC432" s="41"/>
      <c r="CD432" s="41"/>
      <c r="CE432" s="41"/>
      <c r="CF432" s="41"/>
      <c r="CG432" s="41">
        <v>0.7</v>
      </c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3"/>
      <c r="DT432" s="44">
        <f t="shared" ref="DT432" si="414">SUM(F432:DR432)</f>
        <v>1</v>
      </c>
    </row>
    <row r="433" spans="2:124" s="13" customFormat="1">
      <c r="B433" s="4">
        <f>'6.1Personnel List'!B434</f>
        <v>421</v>
      </c>
      <c r="C433" s="45" t="s">
        <v>591</v>
      </c>
      <c r="D433" s="45" t="str">
        <f>'6.1Personnel List'!D434</f>
        <v>Medical Technologist IV</v>
      </c>
      <c r="E433" s="45" t="str">
        <f>'6.1Personnel List'!H434</f>
        <v>FT</v>
      </c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41"/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>
        <v>0.2</v>
      </c>
      <c r="CB433" s="41"/>
      <c r="CC433" s="41"/>
      <c r="CD433" s="41"/>
      <c r="CE433" s="41"/>
      <c r="CF433" s="41"/>
      <c r="CG433" s="41">
        <v>0.8</v>
      </c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3"/>
      <c r="DT433" s="44">
        <f t="shared" ref="DT433" si="415">SUM(F433:DR433)</f>
        <v>1</v>
      </c>
    </row>
    <row r="434" spans="2:124" s="13" customFormat="1">
      <c r="B434" s="4">
        <f>'6.1Personnel List'!B435</f>
        <v>422</v>
      </c>
      <c r="C434" s="45" t="s">
        <v>593</v>
      </c>
      <c r="D434" s="45" t="str">
        <f>'6.1Personnel List'!D435</f>
        <v>Medical Technologist IV</v>
      </c>
      <c r="E434" s="45" t="str">
        <f>'6.1Personnel List'!H435</f>
        <v>FT</v>
      </c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41"/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>
        <v>0.2</v>
      </c>
      <c r="CB434" s="41"/>
      <c r="CC434" s="41"/>
      <c r="CD434" s="41"/>
      <c r="CE434" s="41"/>
      <c r="CF434" s="41"/>
      <c r="CG434" s="41">
        <v>0.8</v>
      </c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3"/>
      <c r="DT434" s="44">
        <f t="shared" ref="DT434" si="416">SUM(F434:DR434)</f>
        <v>1</v>
      </c>
    </row>
    <row r="435" spans="2:124" s="13" customFormat="1">
      <c r="B435" s="4">
        <f>'6.1Personnel List'!B436</f>
        <v>423</v>
      </c>
      <c r="C435" s="45" t="s">
        <v>594</v>
      </c>
      <c r="D435" s="45" t="str">
        <f>'6.1Personnel List'!D436</f>
        <v>Chemist III</v>
      </c>
      <c r="E435" s="45" t="str">
        <f>'6.1Personnel List'!H436</f>
        <v>FT</v>
      </c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41"/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41"/>
      <c r="CC435" s="41"/>
      <c r="CD435" s="41"/>
      <c r="CE435" s="41"/>
      <c r="CF435" s="41"/>
      <c r="CG435" s="41">
        <v>1</v>
      </c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3"/>
      <c r="DT435" s="44">
        <f t="shared" ref="DT435" si="417">SUM(F435:DR435)</f>
        <v>1</v>
      </c>
    </row>
    <row r="436" spans="2:124" s="13" customFormat="1">
      <c r="B436" s="4">
        <f>'6.1Personnel List'!B437</f>
        <v>424</v>
      </c>
      <c r="C436" s="45" t="s">
        <v>596</v>
      </c>
      <c r="D436" s="45" t="str">
        <f>'6.1Personnel List'!D437</f>
        <v>Medical Technologist III</v>
      </c>
      <c r="E436" s="45" t="str">
        <f>'6.1Personnel List'!H437</f>
        <v>FT</v>
      </c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41"/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41"/>
      <c r="CC436" s="41"/>
      <c r="CD436" s="41"/>
      <c r="CE436" s="41"/>
      <c r="CF436" s="41">
        <v>1</v>
      </c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3"/>
      <c r="DT436" s="44">
        <f t="shared" ref="DT436" si="418">SUM(F436:DR436)</f>
        <v>1</v>
      </c>
    </row>
    <row r="437" spans="2:124" s="13" customFormat="1">
      <c r="B437" s="4">
        <f>'6.1Personnel List'!B438</f>
        <v>425</v>
      </c>
      <c r="C437" s="45" t="s">
        <v>598</v>
      </c>
      <c r="D437" s="45" t="str">
        <f>'6.1Personnel List'!D438</f>
        <v>Medical Technologist III</v>
      </c>
      <c r="E437" s="45" t="str">
        <f>'6.1Personnel List'!H438</f>
        <v>FT</v>
      </c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41"/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41"/>
      <c r="CC437" s="41"/>
      <c r="CD437" s="41"/>
      <c r="CE437" s="41"/>
      <c r="CF437" s="41"/>
      <c r="CG437" s="41">
        <v>1</v>
      </c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3"/>
      <c r="DT437" s="44">
        <f t="shared" ref="DT437" si="419">SUM(F437:DR437)</f>
        <v>1</v>
      </c>
    </row>
    <row r="438" spans="2:124" s="13" customFormat="1">
      <c r="B438" s="4">
        <f>'6.1Personnel List'!B439</f>
        <v>426</v>
      </c>
      <c r="C438" s="45" t="s">
        <v>599</v>
      </c>
      <c r="D438" s="45" t="str">
        <f>'6.1Personnel List'!D439</f>
        <v>Medical Technologist III</v>
      </c>
      <c r="E438" s="45" t="str">
        <f>'6.1Personnel List'!H439</f>
        <v>FT</v>
      </c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41"/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41"/>
      <c r="CC438" s="41"/>
      <c r="CD438" s="41"/>
      <c r="CE438" s="41"/>
      <c r="CF438" s="41"/>
      <c r="CG438" s="41">
        <v>1</v>
      </c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3"/>
      <c r="DT438" s="44">
        <f t="shared" ref="DT438" si="420">SUM(F438:DR438)</f>
        <v>1</v>
      </c>
    </row>
    <row r="439" spans="2:124" s="13" customFormat="1">
      <c r="B439" s="4">
        <f>'6.1Personnel List'!B440</f>
        <v>427</v>
      </c>
      <c r="C439" s="45" t="s">
        <v>600</v>
      </c>
      <c r="D439" s="45" t="str">
        <f>'6.1Personnel List'!D440</f>
        <v>Medical Technologist III</v>
      </c>
      <c r="E439" s="45" t="str">
        <f>'6.1Personnel List'!H440</f>
        <v>FT</v>
      </c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41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41"/>
      <c r="CC439" s="41"/>
      <c r="CD439" s="41"/>
      <c r="CE439" s="41"/>
      <c r="CF439" s="41"/>
      <c r="CG439" s="41">
        <v>1</v>
      </c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3"/>
      <c r="DT439" s="44">
        <f t="shared" ref="DT439" si="421">SUM(F439:DR439)</f>
        <v>1</v>
      </c>
    </row>
    <row r="440" spans="2:124" s="13" customFormat="1">
      <c r="B440" s="4">
        <f>'6.1Personnel List'!B441</f>
        <v>428</v>
      </c>
      <c r="C440" s="45" t="s">
        <v>601</v>
      </c>
      <c r="D440" s="45" t="str">
        <f>'6.1Personnel List'!D441</f>
        <v>Medical Technologist III</v>
      </c>
      <c r="E440" s="45" t="str">
        <f>'6.1Personnel List'!H441</f>
        <v>FT</v>
      </c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41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41"/>
      <c r="CC440" s="41"/>
      <c r="CD440" s="41"/>
      <c r="CE440" s="41"/>
      <c r="CF440" s="41"/>
      <c r="CG440" s="41">
        <v>1</v>
      </c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3"/>
      <c r="DT440" s="44">
        <f t="shared" ref="DT440" si="422">SUM(F440:DR440)</f>
        <v>1</v>
      </c>
    </row>
    <row r="441" spans="2:124" s="13" customFormat="1">
      <c r="B441" s="4">
        <f>'6.1Personnel List'!B442</f>
        <v>429</v>
      </c>
      <c r="C441" s="45" t="s">
        <v>602</v>
      </c>
      <c r="D441" s="45" t="str">
        <f>'6.1Personnel List'!D442</f>
        <v>Medical Technologist III</v>
      </c>
      <c r="E441" s="45" t="str">
        <f>'6.1Personnel List'!H442</f>
        <v>FT</v>
      </c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41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41"/>
      <c r="CC441" s="41"/>
      <c r="CD441" s="41"/>
      <c r="CE441" s="41"/>
      <c r="CF441" s="41"/>
      <c r="CG441" s="41">
        <v>1</v>
      </c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3"/>
      <c r="DT441" s="44">
        <f t="shared" ref="DT441" si="423">SUM(F441:DR441)</f>
        <v>1</v>
      </c>
    </row>
    <row r="442" spans="2:124" s="13" customFormat="1">
      <c r="B442" s="4">
        <f>'6.1Personnel List'!B443</f>
        <v>430</v>
      </c>
      <c r="C442" s="45" t="s">
        <v>603</v>
      </c>
      <c r="D442" s="45" t="str">
        <f>'6.1Personnel List'!D443</f>
        <v>Entomologist II (CTI)</v>
      </c>
      <c r="E442" s="45" t="str">
        <f>'6.1Personnel List'!H443</f>
        <v>FT</v>
      </c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41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41"/>
      <c r="CC442" s="41"/>
      <c r="CD442" s="41"/>
      <c r="CE442" s="41"/>
      <c r="CF442" s="41"/>
      <c r="CG442" s="41">
        <v>1</v>
      </c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3"/>
      <c r="DT442" s="44">
        <f t="shared" ref="DT442" si="424">SUM(F442:DR442)</f>
        <v>1</v>
      </c>
    </row>
    <row r="443" spans="2:124" s="13" customFormat="1">
      <c r="B443" s="4">
        <f>'6.1Personnel List'!B444</f>
        <v>431</v>
      </c>
      <c r="C443" s="45" t="s">
        <v>605</v>
      </c>
      <c r="D443" s="45" t="str">
        <f>'6.1Personnel List'!D444</f>
        <v>Medical Technologist II</v>
      </c>
      <c r="E443" s="45" t="str">
        <f>'6.1Personnel List'!H444</f>
        <v>FT</v>
      </c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41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41"/>
      <c r="CC443" s="41"/>
      <c r="CD443" s="41"/>
      <c r="CE443" s="41"/>
      <c r="CF443" s="41"/>
      <c r="CG443" s="41">
        <v>1</v>
      </c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3"/>
      <c r="DT443" s="44">
        <f t="shared" ref="DT443" si="425">SUM(F443:DR443)</f>
        <v>1</v>
      </c>
    </row>
    <row r="444" spans="2:124" s="13" customFormat="1">
      <c r="B444" s="4">
        <f>'6.1Personnel List'!B445</f>
        <v>432</v>
      </c>
      <c r="C444" s="45" t="s">
        <v>607</v>
      </c>
      <c r="D444" s="45" t="str">
        <f>'6.1Personnel List'!D445</f>
        <v>Medical Technologist II</v>
      </c>
      <c r="E444" s="45" t="str">
        <f>'6.1Personnel List'!H445</f>
        <v>FT</v>
      </c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41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41"/>
      <c r="CC444" s="41"/>
      <c r="CD444" s="41"/>
      <c r="CE444" s="41"/>
      <c r="CF444" s="41"/>
      <c r="CG444" s="41">
        <v>1</v>
      </c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3"/>
      <c r="DT444" s="44">
        <f t="shared" ref="DT444" si="426">SUM(F444:DR444)</f>
        <v>1</v>
      </c>
    </row>
    <row r="445" spans="2:124" s="13" customFormat="1">
      <c r="B445" s="4">
        <f>'6.1Personnel List'!B446</f>
        <v>433</v>
      </c>
      <c r="C445" s="45" t="s">
        <v>608</v>
      </c>
      <c r="D445" s="45" t="str">
        <f>'6.1Personnel List'!D446</f>
        <v>Medical Technologist II</v>
      </c>
      <c r="E445" s="45" t="str">
        <f>'6.1Personnel List'!H446</f>
        <v>FT</v>
      </c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41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41"/>
      <c r="CC445" s="41"/>
      <c r="CD445" s="41"/>
      <c r="CE445" s="41"/>
      <c r="CF445" s="41"/>
      <c r="CG445" s="41">
        <v>0.45</v>
      </c>
      <c r="CH445" s="41"/>
      <c r="CI445" s="41"/>
      <c r="CJ445" s="41"/>
      <c r="CK445" s="41"/>
      <c r="CL445" s="41"/>
      <c r="CM445" s="41">
        <v>0.05</v>
      </c>
      <c r="CN445" s="41">
        <v>0.05</v>
      </c>
      <c r="CO445" s="41"/>
      <c r="CP445" s="41">
        <v>0.05</v>
      </c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>
        <v>0.1</v>
      </c>
      <c r="DE445" s="41"/>
      <c r="DF445" s="41"/>
      <c r="DG445" s="41"/>
      <c r="DH445" s="41"/>
      <c r="DI445" s="41"/>
      <c r="DJ445" s="41">
        <v>0.05</v>
      </c>
      <c r="DK445" s="41">
        <v>0.05</v>
      </c>
      <c r="DL445" s="41">
        <v>0.05</v>
      </c>
      <c r="DM445" s="41">
        <v>0.05</v>
      </c>
      <c r="DN445" s="41"/>
      <c r="DO445" s="41"/>
      <c r="DP445" s="41">
        <v>0.05</v>
      </c>
      <c r="DQ445" s="41"/>
      <c r="DR445" s="41">
        <v>0.05</v>
      </c>
      <c r="DS445" s="43"/>
      <c r="DT445" s="44">
        <f t="shared" ref="DT445" si="427">SUM(F445:DR445)</f>
        <v>1.0000000000000002</v>
      </c>
    </row>
    <row r="446" spans="2:124" s="13" customFormat="1">
      <c r="B446" s="4">
        <f>'6.1Personnel List'!B447</f>
        <v>434</v>
      </c>
      <c r="C446" s="45" t="s">
        <v>609</v>
      </c>
      <c r="D446" s="45" t="str">
        <f>'6.1Personnel List'!D447</f>
        <v>Medical Technologist II</v>
      </c>
      <c r="E446" s="45" t="str">
        <f>'6.1Personnel List'!H447</f>
        <v>FT</v>
      </c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41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41"/>
      <c r="CC446" s="41"/>
      <c r="CD446" s="41"/>
      <c r="CE446" s="41"/>
      <c r="CF446" s="41"/>
      <c r="CG446" s="41">
        <v>0.45</v>
      </c>
      <c r="CH446" s="41"/>
      <c r="CI446" s="41"/>
      <c r="CJ446" s="41"/>
      <c r="CK446" s="41"/>
      <c r="CL446" s="41"/>
      <c r="CM446" s="41">
        <v>0.05</v>
      </c>
      <c r="CN446" s="41">
        <v>0.05</v>
      </c>
      <c r="CO446" s="41"/>
      <c r="CP446" s="41">
        <v>0.05</v>
      </c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>
        <v>0.1</v>
      </c>
      <c r="DE446" s="41"/>
      <c r="DF446" s="41"/>
      <c r="DG446" s="41"/>
      <c r="DH446" s="41"/>
      <c r="DI446" s="41"/>
      <c r="DJ446" s="41">
        <v>0.05</v>
      </c>
      <c r="DK446" s="41">
        <v>0.05</v>
      </c>
      <c r="DL446" s="41">
        <v>0.05</v>
      </c>
      <c r="DM446" s="41">
        <v>0.05</v>
      </c>
      <c r="DN446" s="41"/>
      <c r="DO446" s="41"/>
      <c r="DP446" s="41">
        <v>0.05</v>
      </c>
      <c r="DQ446" s="41"/>
      <c r="DR446" s="41">
        <v>0.05</v>
      </c>
      <c r="DS446" s="43"/>
      <c r="DT446" s="44">
        <f t="shared" ref="DT446" si="428">SUM(F446:DR446)</f>
        <v>1.0000000000000002</v>
      </c>
    </row>
    <row r="447" spans="2:124" s="13" customFormat="1">
      <c r="B447" s="4">
        <f>'6.1Personnel List'!B448</f>
        <v>435</v>
      </c>
      <c r="C447" s="45" t="s">
        <v>610</v>
      </c>
      <c r="D447" s="45" t="str">
        <f>'6.1Personnel List'!D448</f>
        <v>Medical Technologist II</v>
      </c>
      <c r="E447" s="45" t="str">
        <f>'6.1Personnel List'!H448</f>
        <v>FT</v>
      </c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41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41"/>
      <c r="CC447" s="41"/>
      <c r="CD447" s="41"/>
      <c r="CE447" s="41"/>
      <c r="CF447" s="41"/>
      <c r="CG447" s="41">
        <v>0.45</v>
      </c>
      <c r="CH447" s="41"/>
      <c r="CI447" s="41"/>
      <c r="CJ447" s="41"/>
      <c r="CK447" s="41"/>
      <c r="CL447" s="41"/>
      <c r="CM447" s="41">
        <v>0.05</v>
      </c>
      <c r="CN447" s="41">
        <v>0.05</v>
      </c>
      <c r="CO447" s="41"/>
      <c r="CP447" s="41">
        <v>0.05</v>
      </c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>
        <v>0.1</v>
      </c>
      <c r="DE447" s="41"/>
      <c r="DF447" s="41"/>
      <c r="DG447" s="41"/>
      <c r="DH447" s="41"/>
      <c r="DI447" s="41"/>
      <c r="DJ447" s="41">
        <v>0.05</v>
      </c>
      <c r="DK447" s="41">
        <v>0.05</v>
      </c>
      <c r="DL447" s="41">
        <v>0.05</v>
      </c>
      <c r="DM447" s="41">
        <v>0.05</v>
      </c>
      <c r="DN447" s="41"/>
      <c r="DO447" s="41"/>
      <c r="DP447" s="41">
        <v>0.05</v>
      </c>
      <c r="DQ447" s="41"/>
      <c r="DR447" s="41">
        <v>0.05</v>
      </c>
      <c r="DS447" s="43"/>
      <c r="DT447" s="44">
        <f t="shared" ref="DT447" si="429">SUM(F447:DR447)</f>
        <v>1.0000000000000002</v>
      </c>
    </row>
    <row r="448" spans="2:124" s="13" customFormat="1">
      <c r="B448" s="4">
        <f>'6.1Personnel List'!B449</f>
        <v>436</v>
      </c>
      <c r="C448" s="45" t="s">
        <v>611</v>
      </c>
      <c r="D448" s="45" t="str">
        <f>'6.1Personnel List'!D449</f>
        <v>Medical Technologist II</v>
      </c>
      <c r="E448" s="45" t="str">
        <f>'6.1Personnel List'!H449</f>
        <v>FT</v>
      </c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41"/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41"/>
      <c r="CC448" s="41"/>
      <c r="CD448" s="41"/>
      <c r="CE448" s="41"/>
      <c r="CF448" s="41"/>
      <c r="CG448" s="41">
        <v>0.45</v>
      </c>
      <c r="CH448" s="41"/>
      <c r="CI448" s="41"/>
      <c r="CJ448" s="41"/>
      <c r="CK448" s="41"/>
      <c r="CL448" s="41"/>
      <c r="CM448" s="41">
        <v>0.05</v>
      </c>
      <c r="CN448" s="41">
        <v>0.05</v>
      </c>
      <c r="CO448" s="41"/>
      <c r="CP448" s="41">
        <v>0.05</v>
      </c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>
        <v>0.1</v>
      </c>
      <c r="DE448" s="41"/>
      <c r="DF448" s="41"/>
      <c r="DG448" s="41"/>
      <c r="DH448" s="41"/>
      <c r="DI448" s="41"/>
      <c r="DJ448" s="41">
        <v>0.05</v>
      </c>
      <c r="DK448" s="41">
        <v>0.05</v>
      </c>
      <c r="DL448" s="41">
        <v>0.05</v>
      </c>
      <c r="DM448" s="41">
        <v>0.05</v>
      </c>
      <c r="DN448" s="41"/>
      <c r="DO448" s="41"/>
      <c r="DP448" s="41">
        <v>0.05</v>
      </c>
      <c r="DQ448" s="41"/>
      <c r="DR448" s="41">
        <v>0.05</v>
      </c>
      <c r="DS448" s="43"/>
      <c r="DT448" s="44">
        <f t="shared" ref="DT448" si="430">SUM(F448:DR448)</f>
        <v>1.0000000000000002</v>
      </c>
    </row>
    <row r="449" spans="2:124" s="13" customFormat="1">
      <c r="B449" s="4">
        <f>'6.1Personnel List'!B450</f>
        <v>437</v>
      </c>
      <c r="C449" s="45" t="s">
        <v>612</v>
      </c>
      <c r="D449" s="45" t="str">
        <f>'6.1Personnel List'!D450</f>
        <v>Medical Technologist II</v>
      </c>
      <c r="E449" s="45" t="str">
        <f>'6.1Personnel List'!H450</f>
        <v>FT</v>
      </c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41"/>
      <c r="AU449" s="41"/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41"/>
      <c r="CC449" s="41"/>
      <c r="CD449" s="41"/>
      <c r="CE449" s="41"/>
      <c r="CF449" s="41"/>
      <c r="CG449" s="41">
        <v>0.45</v>
      </c>
      <c r="CH449" s="41"/>
      <c r="CI449" s="41"/>
      <c r="CJ449" s="41"/>
      <c r="CK449" s="41"/>
      <c r="CL449" s="41"/>
      <c r="CM449" s="41">
        <v>0.05</v>
      </c>
      <c r="CN449" s="41">
        <v>0.05</v>
      </c>
      <c r="CO449" s="41"/>
      <c r="CP449" s="41">
        <v>0.05</v>
      </c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>
        <v>0.1</v>
      </c>
      <c r="DE449" s="41"/>
      <c r="DF449" s="41"/>
      <c r="DG449" s="41"/>
      <c r="DH449" s="41"/>
      <c r="DI449" s="41"/>
      <c r="DJ449" s="41">
        <v>0.05</v>
      </c>
      <c r="DK449" s="41">
        <v>0.05</v>
      </c>
      <c r="DL449" s="41">
        <v>0.05</v>
      </c>
      <c r="DM449" s="41">
        <v>0.05</v>
      </c>
      <c r="DN449" s="41"/>
      <c r="DO449" s="41"/>
      <c r="DP449" s="41">
        <v>0.05</v>
      </c>
      <c r="DQ449" s="41"/>
      <c r="DR449" s="41">
        <v>0.05</v>
      </c>
      <c r="DS449" s="43"/>
      <c r="DT449" s="44">
        <f t="shared" ref="DT449" si="431">SUM(F449:DR449)</f>
        <v>1.0000000000000002</v>
      </c>
    </row>
    <row r="450" spans="2:124" s="13" customFormat="1">
      <c r="B450" s="4">
        <f>'6.1Personnel List'!B451</f>
        <v>438</v>
      </c>
      <c r="C450" s="45" t="s">
        <v>613</v>
      </c>
      <c r="D450" s="45" t="str">
        <f>'6.1Personnel List'!D451</f>
        <v>Medical Technologist II</v>
      </c>
      <c r="E450" s="45" t="str">
        <f>'6.1Personnel List'!H451</f>
        <v>FT</v>
      </c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41"/>
      <c r="AU450" s="41"/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41"/>
      <c r="CC450" s="41"/>
      <c r="CD450" s="41"/>
      <c r="CE450" s="41"/>
      <c r="CF450" s="41"/>
      <c r="CG450" s="41">
        <v>0.45</v>
      </c>
      <c r="CH450" s="41"/>
      <c r="CI450" s="41"/>
      <c r="CJ450" s="41"/>
      <c r="CK450" s="41"/>
      <c r="CL450" s="41"/>
      <c r="CM450" s="41">
        <v>0.05</v>
      </c>
      <c r="CN450" s="41">
        <v>0.05</v>
      </c>
      <c r="CO450" s="41"/>
      <c r="CP450" s="41">
        <v>0.05</v>
      </c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>
        <v>0.1</v>
      </c>
      <c r="DE450" s="41"/>
      <c r="DF450" s="41"/>
      <c r="DG450" s="41"/>
      <c r="DH450" s="41"/>
      <c r="DI450" s="41"/>
      <c r="DJ450" s="41">
        <v>0.05</v>
      </c>
      <c r="DK450" s="41">
        <v>0.05</v>
      </c>
      <c r="DL450" s="41">
        <v>0.05</v>
      </c>
      <c r="DM450" s="41">
        <v>0.05</v>
      </c>
      <c r="DN450" s="41"/>
      <c r="DO450" s="41"/>
      <c r="DP450" s="41">
        <v>0.05</v>
      </c>
      <c r="DQ450" s="41"/>
      <c r="DR450" s="41">
        <v>0.05</v>
      </c>
      <c r="DS450" s="43"/>
      <c r="DT450" s="44">
        <f t="shared" ref="DT450" si="432">SUM(F450:DR450)</f>
        <v>1.0000000000000002</v>
      </c>
    </row>
    <row r="451" spans="2:124" s="13" customFormat="1">
      <c r="B451" s="4">
        <f>'6.1Personnel List'!B452</f>
        <v>439</v>
      </c>
      <c r="C451" s="45" t="s">
        <v>614</v>
      </c>
      <c r="D451" s="45" t="str">
        <f>'6.1Personnel List'!D452</f>
        <v>Medical Technologist II</v>
      </c>
      <c r="E451" s="45" t="str">
        <f>'6.1Personnel List'!H452</f>
        <v>FT</v>
      </c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41"/>
      <c r="AU451" s="41"/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41"/>
      <c r="CC451" s="41"/>
      <c r="CD451" s="41"/>
      <c r="CE451" s="41"/>
      <c r="CF451" s="41"/>
      <c r="CG451" s="41">
        <v>0.45</v>
      </c>
      <c r="CH451" s="41"/>
      <c r="CI451" s="41"/>
      <c r="CJ451" s="41"/>
      <c r="CK451" s="41"/>
      <c r="CL451" s="41"/>
      <c r="CM451" s="41">
        <v>0.05</v>
      </c>
      <c r="CN451" s="41">
        <v>0.05</v>
      </c>
      <c r="CO451" s="41"/>
      <c r="CP451" s="41">
        <v>0.05</v>
      </c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>
        <v>0.1</v>
      </c>
      <c r="DE451" s="41"/>
      <c r="DF451" s="41"/>
      <c r="DG451" s="41"/>
      <c r="DH451" s="41"/>
      <c r="DI451" s="41"/>
      <c r="DJ451" s="41">
        <v>0.05</v>
      </c>
      <c r="DK451" s="41">
        <v>0.05</v>
      </c>
      <c r="DL451" s="41">
        <v>0.05</v>
      </c>
      <c r="DM451" s="41">
        <v>0.05</v>
      </c>
      <c r="DN451" s="41"/>
      <c r="DO451" s="41"/>
      <c r="DP451" s="41">
        <v>0.05</v>
      </c>
      <c r="DQ451" s="41"/>
      <c r="DR451" s="41">
        <v>0.05</v>
      </c>
      <c r="DS451" s="43"/>
      <c r="DT451" s="44">
        <f t="shared" ref="DT451" si="433">SUM(F451:DR451)</f>
        <v>1.0000000000000002</v>
      </c>
    </row>
    <row r="452" spans="2:124" s="13" customFormat="1">
      <c r="B452" s="4">
        <f>'6.1Personnel List'!B453</f>
        <v>440</v>
      </c>
      <c r="C452" s="45" t="s">
        <v>615</v>
      </c>
      <c r="D452" s="45" t="str">
        <f>'6.1Personnel List'!D453</f>
        <v>Medical Technologist II</v>
      </c>
      <c r="E452" s="45" t="str">
        <f>'6.1Personnel List'!H453</f>
        <v>FT</v>
      </c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41"/>
      <c r="AU452" s="41"/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41"/>
      <c r="CC452" s="41"/>
      <c r="CD452" s="41"/>
      <c r="CE452" s="41"/>
      <c r="CF452" s="41"/>
      <c r="CG452" s="41">
        <v>0.45</v>
      </c>
      <c r="CH452" s="41"/>
      <c r="CI452" s="41"/>
      <c r="CJ452" s="41"/>
      <c r="CK452" s="41"/>
      <c r="CL452" s="41"/>
      <c r="CM452" s="41">
        <v>0.05</v>
      </c>
      <c r="CN452" s="41">
        <v>0.05</v>
      </c>
      <c r="CO452" s="41"/>
      <c r="CP452" s="41">
        <v>0.05</v>
      </c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>
        <v>0.1</v>
      </c>
      <c r="DE452" s="41"/>
      <c r="DF452" s="41"/>
      <c r="DG452" s="41"/>
      <c r="DH452" s="41"/>
      <c r="DI452" s="41"/>
      <c r="DJ452" s="41">
        <v>0.05</v>
      </c>
      <c r="DK452" s="41">
        <v>0.05</v>
      </c>
      <c r="DL452" s="41">
        <v>0.05</v>
      </c>
      <c r="DM452" s="41">
        <v>0.05</v>
      </c>
      <c r="DN452" s="41"/>
      <c r="DO452" s="41"/>
      <c r="DP452" s="41">
        <v>0.05</v>
      </c>
      <c r="DQ452" s="41"/>
      <c r="DR452" s="41">
        <v>0.05</v>
      </c>
      <c r="DS452" s="43"/>
      <c r="DT452" s="44">
        <f t="shared" ref="DT452" si="434">SUM(F452:DR452)</f>
        <v>1.0000000000000002</v>
      </c>
    </row>
    <row r="453" spans="2:124" s="13" customFormat="1">
      <c r="B453" s="4">
        <f>'6.1Personnel List'!B454</f>
        <v>441</v>
      </c>
      <c r="C453" s="45" t="s">
        <v>616</v>
      </c>
      <c r="D453" s="45" t="str">
        <f>'6.1Personnel List'!D454</f>
        <v>Medical Technologist II</v>
      </c>
      <c r="E453" s="45" t="str">
        <f>'6.1Personnel List'!H454</f>
        <v>FT</v>
      </c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41"/>
      <c r="AU453" s="41"/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41"/>
      <c r="CC453" s="41"/>
      <c r="CD453" s="41"/>
      <c r="CE453" s="41"/>
      <c r="CF453" s="41"/>
      <c r="CG453" s="41">
        <v>0.45</v>
      </c>
      <c r="CH453" s="41"/>
      <c r="CI453" s="41"/>
      <c r="CJ453" s="41"/>
      <c r="CK453" s="41"/>
      <c r="CL453" s="41"/>
      <c r="CM453" s="41">
        <v>0.05</v>
      </c>
      <c r="CN453" s="41">
        <v>0.05</v>
      </c>
      <c r="CO453" s="41"/>
      <c r="CP453" s="41">
        <v>0.05</v>
      </c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>
        <v>0.1</v>
      </c>
      <c r="DE453" s="41"/>
      <c r="DF453" s="41"/>
      <c r="DG453" s="41"/>
      <c r="DH453" s="41"/>
      <c r="DI453" s="41"/>
      <c r="DJ453" s="41">
        <v>0.05</v>
      </c>
      <c r="DK453" s="41">
        <v>0.05</v>
      </c>
      <c r="DL453" s="41">
        <v>0.05</v>
      </c>
      <c r="DM453" s="41">
        <v>0.05</v>
      </c>
      <c r="DN453" s="41"/>
      <c r="DO453" s="41"/>
      <c r="DP453" s="41">
        <v>0.05</v>
      </c>
      <c r="DQ453" s="41"/>
      <c r="DR453" s="41">
        <v>0.05</v>
      </c>
      <c r="DS453" s="43"/>
      <c r="DT453" s="44">
        <f t="shared" ref="DT453" si="435">SUM(F453:DR453)</f>
        <v>1.0000000000000002</v>
      </c>
    </row>
    <row r="454" spans="2:124" s="13" customFormat="1">
      <c r="B454" s="4">
        <f>'6.1Personnel List'!B455</f>
        <v>442</v>
      </c>
      <c r="C454" s="45" t="s">
        <v>617</v>
      </c>
      <c r="D454" s="45" t="str">
        <f>'6.1Personnel List'!D455</f>
        <v>Medical Technologist II</v>
      </c>
      <c r="E454" s="45" t="str">
        <f>'6.1Personnel List'!H455</f>
        <v>FT</v>
      </c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41"/>
      <c r="AU454" s="41"/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41"/>
      <c r="CC454" s="41"/>
      <c r="CD454" s="41"/>
      <c r="CE454" s="41"/>
      <c r="CF454" s="41"/>
      <c r="CG454" s="41">
        <v>0.45</v>
      </c>
      <c r="CH454" s="41"/>
      <c r="CI454" s="41"/>
      <c r="CJ454" s="41"/>
      <c r="CK454" s="41"/>
      <c r="CL454" s="41"/>
      <c r="CM454" s="41">
        <v>0.05</v>
      </c>
      <c r="CN454" s="41">
        <v>0.05</v>
      </c>
      <c r="CO454" s="41"/>
      <c r="CP454" s="41">
        <v>0.05</v>
      </c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>
        <v>0.1</v>
      </c>
      <c r="DE454" s="41"/>
      <c r="DF454" s="41"/>
      <c r="DG454" s="41"/>
      <c r="DH454" s="41"/>
      <c r="DI454" s="41"/>
      <c r="DJ454" s="41">
        <v>0.05</v>
      </c>
      <c r="DK454" s="41">
        <v>0.05</v>
      </c>
      <c r="DL454" s="41">
        <v>0.05</v>
      </c>
      <c r="DM454" s="41">
        <v>0.05</v>
      </c>
      <c r="DN454" s="41"/>
      <c r="DO454" s="41"/>
      <c r="DP454" s="41">
        <v>0.05</v>
      </c>
      <c r="DQ454" s="41"/>
      <c r="DR454" s="41">
        <v>0.05</v>
      </c>
      <c r="DS454" s="43"/>
      <c r="DT454" s="44">
        <f t="shared" ref="DT454" si="436">SUM(F454:DR454)</f>
        <v>1.0000000000000002</v>
      </c>
    </row>
    <row r="455" spans="2:124" s="13" customFormat="1">
      <c r="B455" s="4">
        <f>'6.1Personnel List'!B456</f>
        <v>443</v>
      </c>
      <c r="C455" s="45" t="s">
        <v>618</v>
      </c>
      <c r="D455" s="45" t="str">
        <f>'6.1Personnel List'!D456</f>
        <v>Medical Technologist II</v>
      </c>
      <c r="E455" s="45" t="str">
        <f>'6.1Personnel List'!H456</f>
        <v>FT</v>
      </c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41"/>
      <c r="AU455" s="41"/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41"/>
      <c r="CC455" s="41"/>
      <c r="CD455" s="41"/>
      <c r="CE455" s="41"/>
      <c r="CF455" s="41"/>
      <c r="CG455" s="41">
        <v>0.45</v>
      </c>
      <c r="CH455" s="41"/>
      <c r="CI455" s="41"/>
      <c r="CJ455" s="41"/>
      <c r="CK455" s="41"/>
      <c r="CL455" s="41"/>
      <c r="CM455" s="41">
        <v>0.05</v>
      </c>
      <c r="CN455" s="41">
        <v>0.05</v>
      </c>
      <c r="CO455" s="41"/>
      <c r="CP455" s="41">
        <v>0.05</v>
      </c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>
        <v>0.1</v>
      </c>
      <c r="DE455" s="41"/>
      <c r="DF455" s="41"/>
      <c r="DG455" s="41"/>
      <c r="DH455" s="41"/>
      <c r="DI455" s="41"/>
      <c r="DJ455" s="41">
        <v>0.05</v>
      </c>
      <c r="DK455" s="41">
        <v>0.05</v>
      </c>
      <c r="DL455" s="41">
        <v>0.05</v>
      </c>
      <c r="DM455" s="41">
        <v>0.05</v>
      </c>
      <c r="DN455" s="41"/>
      <c r="DO455" s="41"/>
      <c r="DP455" s="41">
        <v>0.05</v>
      </c>
      <c r="DQ455" s="41"/>
      <c r="DR455" s="41">
        <v>0.05</v>
      </c>
      <c r="DS455" s="43"/>
      <c r="DT455" s="44">
        <f t="shared" ref="DT455" si="437">SUM(F455:DR455)</f>
        <v>1.0000000000000002</v>
      </c>
    </row>
    <row r="456" spans="2:124" s="13" customFormat="1">
      <c r="B456" s="4">
        <f>'6.1Personnel List'!B457</f>
        <v>444</v>
      </c>
      <c r="C456" s="45" t="s">
        <v>619</v>
      </c>
      <c r="D456" s="45" t="str">
        <f>'6.1Personnel List'!D457</f>
        <v>Medical Technologist II</v>
      </c>
      <c r="E456" s="45" t="str">
        <f>'6.1Personnel List'!H457</f>
        <v>FT</v>
      </c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41"/>
      <c r="AU456" s="41"/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41"/>
      <c r="CC456" s="41"/>
      <c r="CD456" s="41"/>
      <c r="CE456" s="41"/>
      <c r="CF456" s="41"/>
      <c r="CG456" s="41">
        <v>0.45</v>
      </c>
      <c r="CH456" s="41"/>
      <c r="CI456" s="41"/>
      <c r="CJ456" s="41"/>
      <c r="CK456" s="41"/>
      <c r="CL456" s="41"/>
      <c r="CM456" s="41">
        <v>0.05</v>
      </c>
      <c r="CN456" s="41">
        <v>0.05</v>
      </c>
      <c r="CO456" s="41"/>
      <c r="CP456" s="41">
        <v>0.05</v>
      </c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>
        <v>0.1</v>
      </c>
      <c r="DE456" s="41"/>
      <c r="DF456" s="41"/>
      <c r="DG456" s="41"/>
      <c r="DH456" s="41"/>
      <c r="DI456" s="41"/>
      <c r="DJ456" s="41">
        <v>0.05</v>
      </c>
      <c r="DK456" s="41">
        <v>0.05</v>
      </c>
      <c r="DL456" s="41">
        <v>0.05</v>
      </c>
      <c r="DM456" s="41">
        <v>0.05</v>
      </c>
      <c r="DN456" s="41"/>
      <c r="DO456" s="41"/>
      <c r="DP456" s="41">
        <v>0.05</v>
      </c>
      <c r="DQ456" s="41"/>
      <c r="DR456" s="41">
        <v>0.05</v>
      </c>
      <c r="DS456" s="43"/>
      <c r="DT456" s="44">
        <f t="shared" ref="DT456" si="438">SUM(F456:DR456)</f>
        <v>1.0000000000000002</v>
      </c>
    </row>
    <row r="457" spans="2:124" s="13" customFormat="1">
      <c r="B457" s="4">
        <f>'6.1Personnel List'!B458</f>
        <v>445</v>
      </c>
      <c r="C457" s="45" t="s">
        <v>620</v>
      </c>
      <c r="D457" s="45" t="str">
        <f>'6.1Personnel List'!D458</f>
        <v>Medical Technologist II</v>
      </c>
      <c r="E457" s="45" t="str">
        <f>'6.1Personnel List'!H458</f>
        <v>FT</v>
      </c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41"/>
      <c r="AU457" s="41"/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41"/>
      <c r="CC457" s="41"/>
      <c r="CD457" s="41"/>
      <c r="CE457" s="41"/>
      <c r="CF457" s="41"/>
      <c r="CG457" s="41">
        <v>0.45</v>
      </c>
      <c r="CH457" s="41"/>
      <c r="CI457" s="41"/>
      <c r="CJ457" s="41"/>
      <c r="CK457" s="41"/>
      <c r="CL457" s="41"/>
      <c r="CM457" s="41">
        <v>0.05</v>
      </c>
      <c r="CN457" s="41">
        <v>0.05</v>
      </c>
      <c r="CO457" s="41"/>
      <c r="CP457" s="41">
        <v>0.05</v>
      </c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>
        <v>0.1</v>
      </c>
      <c r="DE457" s="41"/>
      <c r="DF457" s="41"/>
      <c r="DG457" s="41"/>
      <c r="DH457" s="41"/>
      <c r="DI457" s="41"/>
      <c r="DJ457" s="41">
        <v>0.05</v>
      </c>
      <c r="DK457" s="41">
        <v>0.05</v>
      </c>
      <c r="DL457" s="41">
        <v>0.05</v>
      </c>
      <c r="DM457" s="41">
        <v>0.05</v>
      </c>
      <c r="DN457" s="41"/>
      <c r="DO457" s="41"/>
      <c r="DP457" s="41">
        <v>0.05</v>
      </c>
      <c r="DQ457" s="41"/>
      <c r="DR457" s="41">
        <v>0.05</v>
      </c>
      <c r="DS457" s="43"/>
      <c r="DT457" s="44">
        <f t="shared" ref="DT457" si="439">SUM(F457:DR457)</f>
        <v>1.0000000000000002</v>
      </c>
    </row>
    <row r="458" spans="2:124" s="13" customFormat="1">
      <c r="B458" s="4">
        <f>'6.1Personnel List'!B459</f>
        <v>446</v>
      </c>
      <c r="C458" s="45" t="s">
        <v>621</v>
      </c>
      <c r="D458" s="45" t="str">
        <f>'6.1Personnel List'!D459</f>
        <v>Medical Technologist II</v>
      </c>
      <c r="E458" s="45" t="str">
        <f>'6.1Personnel List'!H459</f>
        <v>FT</v>
      </c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41"/>
      <c r="AT458" s="41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41"/>
      <c r="CC458" s="41"/>
      <c r="CD458" s="41"/>
      <c r="CE458" s="41"/>
      <c r="CF458" s="41"/>
      <c r="CG458" s="41">
        <v>0.45</v>
      </c>
      <c r="CH458" s="41"/>
      <c r="CI458" s="41"/>
      <c r="CJ458" s="41"/>
      <c r="CK458" s="41"/>
      <c r="CL458" s="41"/>
      <c r="CM458" s="41">
        <v>0.05</v>
      </c>
      <c r="CN458" s="41">
        <v>0.05</v>
      </c>
      <c r="CO458" s="41"/>
      <c r="CP458" s="41">
        <v>0.05</v>
      </c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>
        <v>0.1</v>
      </c>
      <c r="DE458" s="41"/>
      <c r="DF458" s="41"/>
      <c r="DG458" s="41"/>
      <c r="DH458" s="41"/>
      <c r="DI458" s="41"/>
      <c r="DJ458" s="41">
        <v>0.05</v>
      </c>
      <c r="DK458" s="41">
        <v>0.05</v>
      </c>
      <c r="DL458" s="41">
        <v>0.05</v>
      </c>
      <c r="DM458" s="41">
        <v>0.05</v>
      </c>
      <c r="DN458" s="41"/>
      <c r="DO458" s="41"/>
      <c r="DP458" s="41">
        <v>0.05</v>
      </c>
      <c r="DQ458" s="41"/>
      <c r="DR458" s="41">
        <v>0.05</v>
      </c>
      <c r="DS458" s="43"/>
      <c r="DT458" s="44">
        <f t="shared" ref="DT458" si="440">SUM(F458:DR458)</f>
        <v>1.0000000000000002</v>
      </c>
    </row>
    <row r="459" spans="2:124" s="13" customFormat="1">
      <c r="B459" s="4">
        <f>'6.1Personnel List'!B460</f>
        <v>447</v>
      </c>
      <c r="C459" s="45" t="s">
        <v>622</v>
      </c>
      <c r="D459" s="45" t="str">
        <f>'6.1Personnel List'!D460</f>
        <v>Medical Technologist II</v>
      </c>
      <c r="E459" s="45" t="str">
        <f>'6.1Personnel List'!H460</f>
        <v>FT</v>
      </c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41"/>
      <c r="AT459" s="41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41"/>
      <c r="CC459" s="41"/>
      <c r="CD459" s="41"/>
      <c r="CE459" s="41"/>
      <c r="CF459" s="41"/>
      <c r="CG459" s="41">
        <v>0.45</v>
      </c>
      <c r="CH459" s="41"/>
      <c r="CI459" s="41"/>
      <c r="CJ459" s="41"/>
      <c r="CK459" s="41"/>
      <c r="CL459" s="41"/>
      <c r="CM459" s="41">
        <v>0.05</v>
      </c>
      <c r="CN459" s="41">
        <v>0.05</v>
      </c>
      <c r="CO459" s="41"/>
      <c r="CP459" s="41">
        <v>0.05</v>
      </c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>
        <v>0.1</v>
      </c>
      <c r="DE459" s="41"/>
      <c r="DF459" s="41"/>
      <c r="DG459" s="41"/>
      <c r="DH459" s="41"/>
      <c r="DI459" s="41"/>
      <c r="DJ459" s="41">
        <v>0.05</v>
      </c>
      <c r="DK459" s="41">
        <v>0.05</v>
      </c>
      <c r="DL459" s="41">
        <v>0.05</v>
      </c>
      <c r="DM459" s="41">
        <v>0.05</v>
      </c>
      <c r="DN459" s="41"/>
      <c r="DO459" s="41"/>
      <c r="DP459" s="41">
        <v>0.05</v>
      </c>
      <c r="DQ459" s="41"/>
      <c r="DR459" s="41">
        <v>0.05</v>
      </c>
      <c r="DS459" s="43"/>
      <c r="DT459" s="44">
        <f t="shared" ref="DT459" si="441">SUM(F459:DR459)</f>
        <v>1.0000000000000002</v>
      </c>
    </row>
    <row r="460" spans="2:124" s="13" customFormat="1">
      <c r="B460" s="4">
        <f>'6.1Personnel List'!B461</f>
        <v>448</v>
      </c>
      <c r="C460" s="45" t="s">
        <v>623</v>
      </c>
      <c r="D460" s="45" t="str">
        <f>'6.1Personnel List'!D461</f>
        <v>Medical Technologist II</v>
      </c>
      <c r="E460" s="45" t="str">
        <f>'6.1Personnel List'!H461</f>
        <v>FT</v>
      </c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  <c r="AA460" s="41"/>
      <c r="AB460" s="41"/>
      <c r="AC460" s="41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1"/>
      <c r="AP460" s="41"/>
      <c r="AQ460" s="41"/>
      <c r="AR460" s="41"/>
      <c r="AS460" s="41"/>
      <c r="AT460" s="41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41"/>
      <c r="CC460" s="41"/>
      <c r="CD460" s="41"/>
      <c r="CE460" s="41"/>
      <c r="CF460" s="41"/>
      <c r="CG460" s="41">
        <v>0.45</v>
      </c>
      <c r="CH460" s="41"/>
      <c r="CI460" s="41"/>
      <c r="CJ460" s="41"/>
      <c r="CK460" s="41"/>
      <c r="CL460" s="41"/>
      <c r="CM460" s="41">
        <v>0.05</v>
      </c>
      <c r="CN460" s="41">
        <v>0.05</v>
      </c>
      <c r="CO460" s="41"/>
      <c r="CP460" s="41">
        <v>0.05</v>
      </c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>
        <v>0.1</v>
      </c>
      <c r="DE460" s="41"/>
      <c r="DF460" s="41"/>
      <c r="DG460" s="41"/>
      <c r="DH460" s="41"/>
      <c r="DI460" s="41"/>
      <c r="DJ460" s="41">
        <v>0.05</v>
      </c>
      <c r="DK460" s="41">
        <v>0.05</v>
      </c>
      <c r="DL460" s="41">
        <v>0.05</v>
      </c>
      <c r="DM460" s="41">
        <v>0.05</v>
      </c>
      <c r="DN460" s="41"/>
      <c r="DO460" s="41"/>
      <c r="DP460" s="41">
        <v>0.05</v>
      </c>
      <c r="DQ460" s="41"/>
      <c r="DR460" s="41">
        <v>0.05</v>
      </c>
      <c r="DS460" s="43"/>
      <c r="DT460" s="44">
        <f t="shared" ref="DT460" si="442">SUM(F460:DR460)</f>
        <v>1.0000000000000002</v>
      </c>
    </row>
    <row r="461" spans="2:124" s="13" customFormat="1">
      <c r="B461" s="4">
        <f>'6.1Personnel List'!B462</f>
        <v>449</v>
      </c>
      <c r="C461" s="45" t="s">
        <v>624</v>
      </c>
      <c r="D461" s="45" t="str">
        <f>'6.1Personnel List'!D462</f>
        <v>Medical Technologist II</v>
      </c>
      <c r="E461" s="45" t="str">
        <f>'6.1Personnel List'!H462</f>
        <v>FT</v>
      </c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  <c r="AA461" s="41"/>
      <c r="AB461" s="41"/>
      <c r="AC461" s="41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1"/>
      <c r="AP461" s="41"/>
      <c r="AQ461" s="41"/>
      <c r="AR461" s="41"/>
      <c r="AS461" s="41"/>
      <c r="AT461" s="41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41"/>
      <c r="CC461" s="41"/>
      <c r="CD461" s="41"/>
      <c r="CE461" s="41"/>
      <c r="CF461" s="41"/>
      <c r="CG461" s="41">
        <v>0.45</v>
      </c>
      <c r="CH461" s="41"/>
      <c r="CI461" s="41"/>
      <c r="CJ461" s="41"/>
      <c r="CK461" s="41"/>
      <c r="CL461" s="41"/>
      <c r="CM461" s="41">
        <v>0.05</v>
      </c>
      <c r="CN461" s="41">
        <v>0.05</v>
      </c>
      <c r="CO461" s="41"/>
      <c r="CP461" s="41">
        <v>0.05</v>
      </c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>
        <v>0.1</v>
      </c>
      <c r="DE461" s="41"/>
      <c r="DF461" s="41"/>
      <c r="DG461" s="41"/>
      <c r="DH461" s="41"/>
      <c r="DI461" s="41"/>
      <c r="DJ461" s="41">
        <v>0.05</v>
      </c>
      <c r="DK461" s="41">
        <v>0.05</v>
      </c>
      <c r="DL461" s="41">
        <v>0.05</v>
      </c>
      <c r="DM461" s="41">
        <v>0.05</v>
      </c>
      <c r="DN461" s="41"/>
      <c r="DO461" s="41"/>
      <c r="DP461" s="41">
        <v>0.05</v>
      </c>
      <c r="DQ461" s="41"/>
      <c r="DR461" s="41">
        <v>0.05</v>
      </c>
      <c r="DS461" s="43"/>
      <c r="DT461" s="44">
        <f t="shared" ref="DT461" si="443">SUM(F461:DR461)</f>
        <v>1.0000000000000002</v>
      </c>
    </row>
    <row r="462" spans="2:124" s="13" customFormat="1">
      <c r="B462" s="4">
        <f>'6.1Personnel List'!B463</f>
        <v>450</v>
      </c>
      <c r="C462" s="45" t="s">
        <v>625</v>
      </c>
      <c r="D462" s="45" t="str">
        <f>'6.1Personnel List'!D463</f>
        <v>Medical Technologist II</v>
      </c>
      <c r="E462" s="45" t="str">
        <f>'6.1Personnel List'!H463</f>
        <v>FT</v>
      </c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  <c r="AA462" s="41"/>
      <c r="AB462" s="41"/>
      <c r="AC462" s="4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1"/>
      <c r="AP462" s="41"/>
      <c r="AQ462" s="41"/>
      <c r="AR462" s="41"/>
      <c r="AS462" s="41"/>
      <c r="AT462" s="41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41"/>
      <c r="CC462" s="41"/>
      <c r="CD462" s="41"/>
      <c r="CE462" s="41"/>
      <c r="CF462" s="41"/>
      <c r="CG462" s="41">
        <v>0.45</v>
      </c>
      <c r="CH462" s="41"/>
      <c r="CI462" s="41"/>
      <c r="CJ462" s="41"/>
      <c r="CK462" s="41"/>
      <c r="CL462" s="41"/>
      <c r="CM462" s="41">
        <v>0.05</v>
      </c>
      <c r="CN462" s="41">
        <v>0.05</v>
      </c>
      <c r="CO462" s="41"/>
      <c r="CP462" s="41">
        <v>0.05</v>
      </c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>
        <v>0.1</v>
      </c>
      <c r="DE462" s="41"/>
      <c r="DF462" s="41"/>
      <c r="DG462" s="41"/>
      <c r="DH462" s="41"/>
      <c r="DI462" s="41"/>
      <c r="DJ462" s="41">
        <v>0.05</v>
      </c>
      <c r="DK462" s="41">
        <v>0.05</v>
      </c>
      <c r="DL462" s="41">
        <v>0.05</v>
      </c>
      <c r="DM462" s="41">
        <v>0.05</v>
      </c>
      <c r="DN462" s="41"/>
      <c r="DO462" s="41"/>
      <c r="DP462" s="41">
        <v>0.05</v>
      </c>
      <c r="DQ462" s="41"/>
      <c r="DR462" s="41">
        <v>0.05</v>
      </c>
      <c r="DS462" s="43"/>
      <c r="DT462" s="44">
        <f t="shared" ref="DT462" si="444">SUM(F462:DR462)</f>
        <v>1.0000000000000002</v>
      </c>
    </row>
    <row r="463" spans="2:124" s="13" customFormat="1">
      <c r="B463" s="4">
        <f>'6.1Personnel List'!B464</f>
        <v>451</v>
      </c>
      <c r="C463" s="45" t="s">
        <v>626</v>
      </c>
      <c r="D463" s="45" t="str">
        <f>'6.1Personnel List'!D464</f>
        <v>Nurse II</v>
      </c>
      <c r="E463" s="45" t="str">
        <f>'6.1Personnel List'!H464</f>
        <v>FT</v>
      </c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  <c r="AA463" s="41"/>
      <c r="AB463" s="41"/>
      <c r="AC463" s="4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1"/>
      <c r="AP463" s="41"/>
      <c r="AQ463" s="41"/>
      <c r="AR463" s="41"/>
      <c r="AS463" s="41"/>
      <c r="AT463" s="41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41"/>
      <c r="CC463" s="41"/>
      <c r="CD463" s="41"/>
      <c r="CE463" s="41"/>
      <c r="CF463" s="41">
        <v>1</v>
      </c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3"/>
      <c r="DT463" s="44">
        <f t="shared" ref="DT463" si="445">SUM(F463:DR463)</f>
        <v>1</v>
      </c>
    </row>
    <row r="464" spans="2:124" s="13" customFormat="1">
      <c r="B464" s="4">
        <f>'6.1Personnel List'!B465</f>
        <v>452</v>
      </c>
      <c r="C464" s="45" t="s">
        <v>628</v>
      </c>
      <c r="D464" s="45" t="str">
        <f>'6.1Personnel List'!D465</f>
        <v>Nurse II</v>
      </c>
      <c r="E464" s="45" t="str">
        <f>'6.1Personnel List'!H465</f>
        <v>FT</v>
      </c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  <c r="AA464" s="41"/>
      <c r="AB464" s="41"/>
      <c r="AC464" s="41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1"/>
      <c r="AP464" s="41"/>
      <c r="AQ464" s="41"/>
      <c r="AR464" s="41"/>
      <c r="AS464" s="41"/>
      <c r="AT464" s="41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41"/>
      <c r="CC464" s="41"/>
      <c r="CD464" s="41"/>
      <c r="CE464" s="41"/>
      <c r="CF464" s="41">
        <v>1</v>
      </c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3"/>
      <c r="DT464" s="44">
        <f t="shared" ref="DT464" si="446">SUM(F464:DR464)</f>
        <v>1</v>
      </c>
    </row>
    <row r="465" spans="2:124" s="13" customFormat="1">
      <c r="B465" s="4">
        <f>'6.1Personnel List'!B466</f>
        <v>453</v>
      </c>
      <c r="C465" s="45" t="s">
        <v>629</v>
      </c>
      <c r="D465" s="45" t="str">
        <f>'6.1Personnel List'!D466</f>
        <v>Nurse II</v>
      </c>
      <c r="E465" s="45" t="str">
        <f>'6.1Personnel List'!H466</f>
        <v>FT</v>
      </c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41"/>
      <c r="AT465" s="41"/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41"/>
      <c r="CC465" s="41"/>
      <c r="CD465" s="41"/>
      <c r="CE465" s="41"/>
      <c r="CF465" s="41">
        <v>1</v>
      </c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3"/>
      <c r="DT465" s="44">
        <f t="shared" ref="DT465" si="447">SUM(F465:DR465)</f>
        <v>1</v>
      </c>
    </row>
    <row r="466" spans="2:124" s="13" customFormat="1">
      <c r="B466" s="4">
        <f>'6.1Personnel List'!B467</f>
        <v>454</v>
      </c>
      <c r="C466" s="45" t="s">
        <v>630</v>
      </c>
      <c r="D466" s="45" t="str">
        <f>'6.1Personnel List'!D467</f>
        <v>Nurse II</v>
      </c>
      <c r="E466" s="45" t="str">
        <f>'6.1Personnel List'!H467</f>
        <v>FT</v>
      </c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  <c r="AA466" s="41"/>
      <c r="AB466" s="41"/>
      <c r="AC466" s="41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1"/>
      <c r="AP466" s="41"/>
      <c r="AQ466" s="41"/>
      <c r="AR466" s="41"/>
      <c r="AS466" s="41"/>
      <c r="AT466" s="41"/>
      <c r="AU466" s="41"/>
      <c r="AV466" s="41"/>
      <c r="AW466" s="41"/>
      <c r="AX466" s="41"/>
      <c r="AY466" s="41"/>
      <c r="AZ466" s="41"/>
      <c r="BA466" s="41"/>
      <c r="BB466" s="41"/>
      <c r="BC466" s="41"/>
      <c r="BD466" s="41"/>
      <c r="BE466" s="41"/>
      <c r="BF466" s="41"/>
      <c r="BG466" s="41"/>
      <c r="BH466" s="41"/>
      <c r="BJ466" s="41"/>
      <c r="BK466" s="41"/>
      <c r="BL466" s="41"/>
      <c r="BM466" s="41"/>
      <c r="BN466" s="41"/>
      <c r="BO466" s="41"/>
      <c r="BP466" s="41"/>
      <c r="BQ466" s="41"/>
      <c r="BR466" s="41"/>
      <c r="BS466" s="41"/>
      <c r="BT466" s="41"/>
      <c r="BU466" s="41"/>
      <c r="BV466" s="41"/>
      <c r="BW466" s="41"/>
      <c r="BX466" s="41"/>
      <c r="BY466" s="41"/>
      <c r="BZ466" s="41"/>
      <c r="CA466" s="41"/>
      <c r="CB466" s="41"/>
      <c r="CC466" s="41"/>
      <c r="CD466" s="41"/>
      <c r="CE466" s="41"/>
      <c r="CF466" s="41">
        <v>1</v>
      </c>
      <c r="CG466" s="41"/>
      <c r="CH466" s="41"/>
      <c r="CI466" s="41"/>
      <c r="CJ466" s="41"/>
      <c r="CK466" s="41"/>
      <c r="CL466" s="41"/>
      <c r="CM466" s="41"/>
      <c r="CN466" s="41"/>
      <c r="CO466" s="41"/>
      <c r="CP466" s="41"/>
      <c r="CQ466" s="41"/>
      <c r="CR466" s="41"/>
      <c r="CS466" s="41"/>
      <c r="CT466" s="41"/>
      <c r="CU466" s="41"/>
      <c r="CV466" s="41"/>
      <c r="CW466" s="41"/>
      <c r="CX466" s="41"/>
      <c r="CY466" s="41"/>
      <c r="CZ466" s="41"/>
      <c r="DA466" s="41"/>
      <c r="DB466" s="41"/>
      <c r="DC466" s="41"/>
      <c r="DD466" s="41"/>
      <c r="DE466" s="41"/>
      <c r="DF466" s="41"/>
      <c r="DG466" s="41"/>
      <c r="DH466" s="41"/>
      <c r="DI466" s="41"/>
      <c r="DJ466" s="41"/>
      <c r="DK466" s="41"/>
      <c r="DL466" s="41"/>
      <c r="DM466" s="41"/>
      <c r="DN466" s="41"/>
      <c r="DO466" s="41"/>
      <c r="DP466" s="41"/>
      <c r="DQ466" s="41"/>
      <c r="DR466" s="41"/>
      <c r="DS466" s="43"/>
      <c r="DT466" s="44">
        <f t="shared" ref="DT466" si="448">SUM(F466:DR466)</f>
        <v>1</v>
      </c>
    </row>
    <row r="467" spans="2:124" s="13" customFormat="1">
      <c r="B467" s="4">
        <f>'6.1Personnel List'!B468</f>
        <v>455</v>
      </c>
      <c r="C467" s="45" t="s">
        <v>631</v>
      </c>
      <c r="D467" s="45" t="str">
        <f>'6.1Personnel List'!D468</f>
        <v>Nurse II</v>
      </c>
      <c r="E467" s="45" t="str">
        <f>'6.1Personnel List'!H468</f>
        <v>FT</v>
      </c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  <c r="AA467" s="41"/>
      <c r="AB467" s="41"/>
      <c r="AC467" s="41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1"/>
      <c r="AP467" s="41"/>
      <c r="AQ467" s="41"/>
      <c r="AR467" s="41"/>
      <c r="AS467" s="41"/>
      <c r="AT467" s="41"/>
      <c r="AU467" s="41"/>
      <c r="AV467" s="41"/>
      <c r="AW467" s="41"/>
      <c r="AX467" s="41"/>
      <c r="AY467" s="41"/>
      <c r="AZ467" s="41"/>
      <c r="BA467" s="41"/>
      <c r="BB467" s="41"/>
      <c r="BC467" s="41"/>
      <c r="BD467" s="41"/>
      <c r="BE467" s="41"/>
      <c r="BF467" s="41"/>
      <c r="BG467" s="41"/>
      <c r="BH467" s="41"/>
      <c r="BJ467" s="41"/>
      <c r="BK467" s="41"/>
      <c r="BL467" s="41"/>
      <c r="BM467" s="41"/>
      <c r="BN467" s="41"/>
      <c r="BO467" s="41"/>
      <c r="BP467" s="41"/>
      <c r="BQ467" s="41"/>
      <c r="BR467" s="41"/>
      <c r="BS467" s="41"/>
      <c r="BT467" s="41"/>
      <c r="BU467" s="41"/>
      <c r="BV467" s="41"/>
      <c r="BW467" s="41"/>
      <c r="BX467" s="41"/>
      <c r="BY467" s="41"/>
      <c r="BZ467" s="41"/>
      <c r="CA467" s="41"/>
      <c r="CB467" s="41"/>
      <c r="CC467" s="41"/>
      <c r="CD467" s="41"/>
      <c r="CE467" s="41"/>
      <c r="CF467" s="41">
        <v>1</v>
      </c>
      <c r="CG467" s="41"/>
      <c r="CH467" s="41"/>
      <c r="CI467" s="41"/>
      <c r="CJ467" s="41"/>
      <c r="CK467" s="41"/>
      <c r="CL467" s="41"/>
      <c r="CM467" s="41"/>
      <c r="CN467" s="41"/>
      <c r="CO467" s="41"/>
      <c r="CP467" s="41"/>
      <c r="CQ467" s="41"/>
      <c r="CR467" s="41"/>
      <c r="CS467" s="41"/>
      <c r="CT467" s="41"/>
      <c r="CU467" s="41"/>
      <c r="CV467" s="41"/>
      <c r="CW467" s="41"/>
      <c r="CX467" s="41"/>
      <c r="CY467" s="41"/>
      <c r="CZ467" s="41"/>
      <c r="DA467" s="41"/>
      <c r="DB467" s="41"/>
      <c r="DC467" s="41"/>
      <c r="DD467" s="41"/>
      <c r="DE467" s="41"/>
      <c r="DF467" s="41"/>
      <c r="DG467" s="41"/>
      <c r="DH467" s="41"/>
      <c r="DI467" s="41"/>
      <c r="DJ467" s="41"/>
      <c r="DK467" s="41"/>
      <c r="DL467" s="41"/>
      <c r="DM467" s="41"/>
      <c r="DN467" s="41"/>
      <c r="DO467" s="41"/>
      <c r="DP467" s="41"/>
      <c r="DQ467" s="41"/>
      <c r="DR467" s="41"/>
      <c r="DS467" s="43"/>
      <c r="DT467" s="44">
        <f t="shared" ref="DT467" si="449">SUM(F467:DR467)</f>
        <v>1</v>
      </c>
    </row>
    <row r="468" spans="2:124" s="13" customFormat="1">
      <c r="B468" s="4">
        <f>'6.1Personnel List'!B469</f>
        <v>456</v>
      </c>
      <c r="C468" s="45" t="s">
        <v>632</v>
      </c>
      <c r="D468" s="45" t="str">
        <f>'6.1Personnel List'!D469</f>
        <v>Nurse II</v>
      </c>
      <c r="E468" s="45" t="str">
        <f>'6.1Personnel List'!H469</f>
        <v>FT</v>
      </c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  <c r="AA468" s="41"/>
      <c r="AB468" s="41"/>
      <c r="AC468" s="41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1"/>
      <c r="AP468" s="41"/>
      <c r="AQ468" s="41"/>
      <c r="AR468" s="41"/>
      <c r="AS468" s="41"/>
      <c r="AT468" s="41"/>
      <c r="AU468" s="41"/>
      <c r="AV468" s="41"/>
      <c r="AW468" s="41"/>
      <c r="AX468" s="41"/>
      <c r="AY468" s="41"/>
      <c r="AZ468" s="41"/>
      <c r="BA468" s="41"/>
      <c r="BB468" s="41"/>
      <c r="BC468" s="41"/>
      <c r="BD468" s="41"/>
      <c r="BE468" s="41"/>
      <c r="BF468" s="41"/>
      <c r="BG468" s="41"/>
      <c r="BH468" s="41"/>
      <c r="BJ468" s="41"/>
      <c r="BK468" s="41"/>
      <c r="BL468" s="41"/>
      <c r="BM468" s="41"/>
      <c r="BN468" s="41"/>
      <c r="BO468" s="41"/>
      <c r="BP468" s="41"/>
      <c r="BQ468" s="41"/>
      <c r="BR468" s="41"/>
      <c r="BS468" s="41"/>
      <c r="BT468" s="41"/>
      <c r="BU468" s="41"/>
      <c r="BV468" s="41"/>
      <c r="BW468" s="41"/>
      <c r="BX468" s="41"/>
      <c r="BY468" s="41"/>
      <c r="BZ468" s="41"/>
      <c r="CA468" s="41"/>
      <c r="CB468" s="41"/>
      <c r="CC468" s="41"/>
      <c r="CD468" s="41"/>
      <c r="CE468" s="41"/>
      <c r="CF468" s="41">
        <v>1</v>
      </c>
      <c r="CG468" s="41"/>
      <c r="CH468" s="41"/>
      <c r="CI468" s="41"/>
      <c r="CJ468" s="41"/>
      <c r="CK468" s="41"/>
      <c r="CL468" s="41"/>
      <c r="CM468" s="41"/>
      <c r="CN468" s="41"/>
      <c r="CO468" s="41"/>
      <c r="CP468" s="41"/>
      <c r="CQ468" s="41"/>
      <c r="CR468" s="41"/>
      <c r="CS468" s="41"/>
      <c r="CT468" s="41"/>
      <c r="CU468" s="41"/>
      <c r="CV468" s="41"/>
      <c r="CW468" s="41"/>
      <c r="CX468" s="41"/>
      <c r="CY468" s="41"/>
      <c r="CZ468" s="41"/>
      <c r="DA468" s="41"/>
      <c r="DB468" s="41"/>
      <c r="DC468" s="41"/>
      <c r="DD468" s="41"/>
      <c r="DE468" s="41"/>
      <c r="DF468" s="41"/>
      <c r="DG468" s="41"/>
      <c r="DH468" s="41"/>
      <c r="DI468" s="41"/>
      <c r="DJ468" s="41"/>
      <c r="DK468" s="41"/>
      <c r="DL468" s="41"/>
      <c r="DM468" s="41"/>
      <c r="DN468" s="41"/>
      <c r="DO468" s="41"/>
      <c r="DP468" s="41"/>
      <c r="DQ468" s="41"/>
      <c r="DR468" s="41"/>
      <c r="DS468" s="43"/>
      <c r="DT468" s="44">
        <f t="shared" ref="DT468" si="450">SUM(F468:DR468)</f>
        <v>1</v>
      </c>
    </row>
    <row r="469" spans="2:124" s="13" customFormat="1">
      <c r="B469" s="4">
        <f>'6.1Personnel List'!B470</f>
        <v>457</v>
      </c>
      <c r="C469" s="45" t="s">
        <v>633</v>
      </c>
      <c r="D469" s="45" t="str">
        <f>'6.1Personnel List'!D470</f>
        <v>Medical Technologist I</v>
      </c>
      <c r="E469" s="45" t="str">
        <f>'6.1Personnel List'!H470</f>
        <v>FT</v>
      </c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  <c r="AA469" s="41"/>
      <c r="AB469" s="41"/>
      <c r="AC469" s="4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1"/>
      <c r="AP469" s="41"/>
      <c r="AQ469" s="41"/>
      <c r="AR469" s="41"/>
      <c r="AS469" s="41"/>
      <c r="AT469" s="41"/>
      <c r="AU469" s="41"/>
      <c r="AV469" s="41"/>
      <c r="AW469" s="41"/>
      <c r="AX469" s="41"/>
      <c r="AY469" s="41"/>
      <c r="AZ469" s="41"/>
      <c r="BA469" s="41"/>
      <c r="BB469" s="41"/>
      <c r="BC469" s="41"/>
      <c r="BD469" s="41"/>
      <c r="BE469" s="41"/>
      <c r="BF469" s="41"/>
      <c r="BG469" s="41"/>
      <c r="BH469" s="41"/>
      <c r="BJ469" s="41"/>
      <c r="BK469" s="41"/>
      <c r="BL469" s="41"/>
      <c r="BM469" s="41"/>
      <c r="BN469" s="41"/>
      <c r="BO469" s="41"/>
      <c r="BP469" s="41"/>
      <c r="BQ469" s="41"/>
      <c r="BR469" s="41"/>
      <c r="BS469" s="41"/>
      <c r="BT469" s="41"/>
      <c r="BU469" s="41"/>
      <c r="BV469" s="41"/>
      <c r="BW469" s="41"/>
      <c r="BX469" s="41"/>
      <c r="BY469" s="41"/>
      <c r="BZ469" s="41"/>
      <c r="CA469" s="41"/>
      <c r="CB469" s="41"/>
      <c r="CC469" s="41"/>
      <c r="CD469" s="41"/>
      <c r="CE469" s="41"/>
      <c r="CF469" s="41"/>
      <c r="CG469" s="41">
        <v>0.45</v>
      </c>
      <c r="CH469" s="41"/>
      <c r="CI469" s="41"/>
      <c r="CJ469" s="41"/>
      <c r="CK469" s="41"/>
      <c r="CL469" s="41"/>
      <c r="CM469" s="41">
        <v>0.05</v>
      </c>
      <c r="CN469" s="41">
        <v>0.05</v>
      </c>
      <c r="CO469" s="41"/>
      <c r="CP469" s="41">
        <v>0.05</v>
      </c>
      <c r="CQ469" s="41"/>
      <c r="CR469" s="41"/>
      <c r="CS469" s="41"/>
      <c r="CT469" s="41"/>
      <c r="CU469" s="41"/>
      <c r="CV469" s="41"/>
      <c r="CW469" s="41"/>
      <c r="CX469" s="41"/>
      <c r="CY469" s="41"/>
      <c r="CZ469" s="41"/>
      <c r="DA469" s="41"/>
      <c r="DB469" s="41"/>
      <c r="DC469" s="41"/>
      <c r="DD469" s="41">
        <v>0.1</v>
      </c>
      <c r="DE469" s="41"/>
      <c r="DF469" s="41"/>
      <c r="DG469" s="41"/>
      <c r="DH469" s="41"/>
      <c r="DI469" s="41"/>
      <c r="DJ469" s="41">
        <v>0.05</v>
      </c>
      <c r="DK469" s="41">
        <v>0.05</v>
      </c>
      <c r="DL469" s="41">
        <v>0.05</v>
      </c>
      <c r="DM469" s="41">
        <v>0.05</v>
      </c>
      <c r="DN469" s="41"/>
      <c r="DO469" s="41"/>
      <c r="DP469" s="41">
        <v>0.05</v>
      </c>
      <c r="DQ469" s="41"/>
      <c r="DR469" s="41">
        <v>0.05</v>
      </c>
      <c r="DS469" s="43"/>
      <c r="DT469" s="44">
        <f t="shared" ref="DT469" si="451">SUM(F469:DR469)</f>
        <v>1.0000000000000002</v>
      </c>
    </row>
    <row r="470" spans="2:124" s="13" customFormat="1">
      <c r="B470" s="4">
        <f>'6.1Personnel List'!B471</f>
        <v>458</v>
      </c>
      <c r="C470" s="45" t="s">
        <v>669</v>
      </c>
      <c r="D470" s="45" t="str">
        <f>'6.1Personnel List'!D471</f>
        <v>Medical Technologist I</v>
      </c>
      <c r="E470" s="45" t="str">
        <f>'6.1Personnel List'!H471</f>
        <v>FT</v>
      </c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  <c r="AA470" s="41"/>
      <c r="AB470" s="41"/>
      <c r="AC470" s="4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1"/>
      <c r="AP470" s="41"/>
      <c r="AQ470" s="41"/>
      <c r="AR470" s="41"/>
      <c r="AS470" s="41"/>
      <c r="AT470" s="41"/>
      <c r="AU470" s="41"/>
      <c r="AV470" s="41"/>
      <c r="AW470" s="41"/>
      <c r="AX470" s="41"/>
      <c r="AY470" s="41"/>
      <c r="AZ470" s="41"/>
      <c r="BA470" s="41"/>
      <c r="BB470" s="41"/>
      <c r="BC470" s="41"/>
      <c r="BD470" s="41"/>
      <c r="BE470" s="41"/>
      <c r="BF470" s="41"/>
      <c r="BG470" s="41"/>
      <c r="BH470" s="41"/>
      <c r="BJ470" s="41"/>
      <c r="BK470" s="41"/>
      <c r="BL470" s="41"/>
      <c r="BM470" s="41"/>
      <c r="BN470" s="41"/>
      <c r="BO470" s="41"/>
      <c r="BP470" s="41"/>
      <c r="BQ470" s="41"/>
      <c r="BR470" s="41"/>
      <c r="BS470" s="41"/>
      <c r="BT470" s="41"/>
      <c r="BU470" s="41"/>
      <c r="BV470" s="41"/>
      <c r="BW470" s="41"/>
      <c r="BX470" s="41"/>
      <c r="BY470" s="41"/>
      <c r="BZ470" s="41"/>
      <c r="CA470" s="41"/>
      <c r="CB470" s="41"/>
      <c r="CC470" s="41"/>
      <c r="CD470" s="41"/>
      <c r="CE470" s="41"/>
      <c r="CF470" s="41"/>
      <c r="CG470" s="41">
        <v>0.45</v>
      </c>
      <c r="CH470" s="41"/>
      <c r="CI470" s="41"/>
      <c r="CJ470" s="41"/>
      <c r="CK470" s="41"/>
      <c r="CL470" s="41"/>
      <c r="CM470" s="41">
        <v>0.05</v>
      </c>
      <c r="CN470" s="41">
        <v>0.05</v>
      </c>
      <c r="CO470" s="41"/>
      <c r="CP470" s="41">
        <v>0.05</v>
      </c>
      <c r="CQ470" s="41"/>
      <c r="CR470" s="41"/>
      <c r="CS470" s="41"/>
      <c r="CT470" s="41"/>
      <c r="CU470" s="41"/>
      <c r="CV470" s="41"/>
      <c r="CW470" s="41"/>
      <c r="CX470" s="41"/>
      <c r="CY470" s="41"/>
      <c r="CZ470" s="41"/>
      <c r="DA470" s="41"/>
      <c r="DB470" s="41"/>
      <c r="DC470" s="41"/>
      <c r="DD470" s="41">
        <v>0.1</v>
      </c>
      <c r="DE470" s="41"/>
      <c r="DF470" s="41"/>
      <c r="DG470" s="41"/>
      <c r="DH470" s="41"/>
      <c r="DI470" s="41"/>
      <c r="DJ470" s="41">
        <v>0.05</v>
      </c>
      <c r="DK470" s="41">
        <v>0.05</v>
      </c>
      <c r="DL470" s="41">
        <v>0.05</v>
      </c>
      <c r="DM470" s="41">
        <v>0.05</v>
      </c>
      <c r="DN470" s="41"/>
      <c r="DO470" s="41"/>
      <c r="DP470" s="41">
        <v>0.05</v>
      </c>
      <c r="DQ470" s="41"/>
      <c r="DR470" s="41">
        <v>0.05</v>
      </c>
      <c r="DS470" s="43"/>
      <c r="DT470" s="44">
        <f t="shared" ref="DT470" si="452">SUM(F470:DR470)</f>
        <v>1.0000000000000002</v>
      </c>
    </row>
    <row r="471" spans="2:124" s="13" customFormat="1">
      <c r="B471" s="4">
        <f>'6.1Personnel List'!B472</f>
        <v>459</v>
      </c>
      <c r="C471" s="45" t="s">
        <v>635</v>
      </c>
      <c r="D471" s="45" t="str">
        <f>'6.1Personnel List'!D472</f>
        <v>Medical Technologist I</v>
      </c>
      <c r="E471" s="45" t="str">
        <f>'6.1Personnel List'!H472</f>
        <v>FT</v>
      </c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  <c r="AA471" s="41"/>
      <c r="AB471" s="41"/>
      <c r="AC471" s="4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1"/>
      <c r="AP471" s="41"/>
      <c r="AQ471" s="41"/>
      <c r="AR471" s="41"/>
      <c r="AS471" s="41"/>
      <c r="AT471" s="41"/>
      <c r="AU471" s="41"/>
      <c r="AV471" s="41"/>
      <c r="AW471" s="41"/>
      <c r="AX471" s="41"/>
      <c r="AY471" s="41"/>
      <c r="AZ471" s="41"/>
      <c r="BA471" s="41"/>
      <c r="BB471" s="41"/>
      <c r="BC471" s="41"/>
      <c r="BD471" s="41"/>
      <c r="BE471" s="41"/>
      <c r="BF471" s="41"/>
      <c r="BG471" s="41"/>
      <c r="BH471" s="41"/>
      <c r="BJ471" s="41"/>
      <c r="BK471" s="41"/>
      <c r="BL471" s="41"/>
      <c r="BM471" s="41"/>
      <c r="BN471" s="41"/>
      <c r="BO471" s="41"/>
      <c r="BP471" s="41"/>
      <c r="BQ471" s="41"/>
      <c r="BR471" s="41"/>
      <c r="BS471" s="41"/>
      <c r="BT471" s="41"/>
      <c r="BU471" s="41"/>
      <c r="BV471" s="41"/>
      <c r="BW471" s="41"/>
      <c r="BX471" s="41"/>
      <c r="BY471" s="41"/>
      <c r="BZ471" s="41"/>
      <c r="CA471" s="41"/>
      <c r="CB471" s="41"/>
      <c r="CC471" s="41"/>
      <c r="CD471" s="41"/>
      <c r="CE471" s="41"/>
      <c r="CF471" s="41"/>
      <c r="CG471" s="41">
        <v>0.45</v>
      </c>
      <c r="CH471" s="41"/>
      <c r="CI471" s="41"/>
      <c r="CJ471" s="41"/>
      <c r="CK471" s="41"/>
      <c r="CL471" s="41"/>
      <c r="CM471" s="41">
        <v>0.05</v>
      </c>
      <c r="CN471" s="41">
        <v>0.05</v>
      </c>
      <c r="CO471" s="41"/>
      <c r="CP471" s="41">
        <v>0.05</v>
      </c>
      <c r="CQ471" s="41"/>
      <c r="CR471" s="41"/>
      <c r="CS471" s="41"/>
      <c r="CT471" s="41"/>
      <c r="CU471" s="41"/>
      <c r="CV471" s="41"/>
      <c r="CW471" s="41"/>
      <c r="CX471" s="41"/>
      <c r="CY471" s="41"/>
      <c r="CZ471" s="41"/>
      <c r="DA471" s="41"/>
      <c r="DB471" s="41"/>
      <c r="DC471" s="41"/>
      <c r="DD471" s="41">
        <v>0.1</v>
      </c>
      <c r="DE471" s="41"/>
      <c r="DF471" s="41"/>
      <c r="DG471" s="41"/>
      <c r="DH471" s="41"/>
      <c r="DI471" s="41"/>
      <c r="DJ471" s="41">
        <v>0.05</v>
      </c>
      <c r="DK471" s="41">
        <v>0.05</v>
      </c>
      <c r="DL471" s="41">
        <v>0.05</v>
      </c>
      <c r="DM471" s="41">
        <v>0.05</v>
      </c>
      <c r="DN471" s="41"/>
      <c r="DO471" s="41"/>
      <c r="DP471" s="41">
        <v>0.05</v>
      </c>
      <c r="DQ471" s="41"/>
      <c r="DR471" s="41">
        <v>0.05</v>
      </c>
      <c r="DS471" s="43"/>
      <c r="DT471" s="44">
        <f t="shared" ref="DT471" si="453">SUM(F471:DR471)</f>
        <v>1.0000000000000002</v>
      </c>
    </row>
    <row r="472" spans="2:124" s="13" customFormat="1">
      <c r="B472" s="4">
        <f>'6.1Personnel List'!B473</f>
        <v>460</v>
      </c>
      <c r="C472" s="45" t="s">
        <v>636</v>
      </c>
      <c r="D472" s="45" t="str">
        <f>'6.1Personnel List'!D473</f>
        <v>Medical Technologist I</v>
      </c>
      <c r="E472" s="45" t="str">
        <f>'6.1Personnel List'!H473</f>
        <v>FT</v>
      </c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  <c r="AA472" s="41"/>
      <c r="AB472" s="41"/>
      <c r="AC472" s="41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1"/>
      <c r="AP472" s="41"/>
      <c r="AQ472" s="41"/>
      <c r="AR472" s="41"/>
      <c r="AS472" s="41"/>
      <c r="AT472" s="41"/>
      <c r="AU472" s="41"/>
      <c r="AV472" s="41"/>
      <c r="AW472" s="41"/>
      <c r="AX472" s="41"/>
      <c r="AY472" s="41"/>
      <c r="AZ472" s="41"/>
      <c r="BA472" s="41"/>
      <c r="BB472" s="41"/>
      <c r="BC472" s="41"/>
      <c r="BD472" s="41"/>
      <c r="BE472" s="41"/>
      <c r="BF472" s="41"/>
      <c r="BG472" s="41"/>
      <c r="BH472" s="41"/>
      <c r="BJ472" s="41"/>
      <c r="BK472" s="41"/>
      <c r="BL472" s="41"/>
      <c r="BM472" s="41"/>
      <c r="BN472" s="41"/>
      <c r="BO472" s="41"/>
      <c r="BP472" s="41"/>
      <c r="BQ472" s="41"/>
      <c r="BR472" s="41"/>
      <c r="BS472" s="41"/>
      <c r="BT472" s="41"/>
      <c r="BU472" s="41"/>
      <c r="BV472" s="41"/>
      <c r="BW472" s="41"/>
      <c r="BX472" s="41"/>
      <c r="BY472" s="41"/>
      <c r="BZ472" s="41"/>
      <c r="CA472" s="41"/>
      <c r="CB472" s="41"/>
      <c r="CC472" s="41"/>
      <c r="CD472" s="41"/>
      <c r="CE472" s="41"/>
      <c r="CF472" s="41"/>
      <c r="CG472" s="41">
        <v>0.45</v>
      </c>
      <c r="CH472" s="41"/>
      <c r="CI472" s="41"/>
      <c r="CJ472" s="41"/>
      <c r="CK472" s="41"/>
      <c r="CL472" s="41"/>
      <c r="CM472" s="41">
        <v>0.05</v>
      </c>
      <c r="CN472" s="41">
        <v>0.05</v>
      </c>
      <c r="CO472" s="41"/>
      <c r="CP472" s="41">
        <v>0.05</v>
      </c>
      <c r="CQ472" s="41"/>
      <c r="CR472" s="41"/>
      <c r="CS472" s="41"/>
      <c r="CT472" s="41"/>
      <c r="CU472" s="41"/>
      <c r="CV472" s="41"/>
      <c r="CW472" s="41"/>
      <c r="CX472" s="41"/>
      <c r="CY472" s="41"/>
      <c r="CZ472" s="41"/>
      <c r="DA472" s="41"/>
      <c r="DB472" s="41"/>
      <c r="DC472" s="41"/>
      <c r="DD472" s="41">
        <v>0.1</v>
      </c>
      <c r="DE472" s="41"/>
      <c r="DF472" s="41"/>
      <c r="DG472" s="41"/>
      <c r="DH472" s="41"/>
      <c r="DI472" s="41"/>
      <c r="DJ472" s="41">
        <v>0.05</v>
      </c>
      <c r="DK472" s="41">
        <v>0.05</v>
      </c>
      <c r="DL472" s="41">
        <v>0.05</v>
      </c>
      <c r="DM472" s="41">
        <v>0.05</v>
      </c>
      <c r="DN472" s="41"/>
      <c r="DO472" s="41"/>
      <c r="DP472" s="41">
        <v>0.05</v>
      </c>
      <c r="DQ472" s="41"/>
      <c r="DR472" s="41">
        <v>0.05</v>
      </c>
      <c r="DS472" s="43"/>
      <c r="DT472" s="44">
        <f t="shared" ref="DT472" si="454">SUM(F472:DR472)</f>
        <v>1.0000000000000002</v>
      </c>
    </row>
    <row r="473" spans="2:124" s="13" customFormat="1">
      <c r="B473" s="4">
        <f>'6.1Personnel List'!B474</f>
        <v>461</v>
      </c>
      <c r="C473" s="45" t="s">
        <v>637</v>
      </c>
      <c r="D473" s="45" t="str">
        <f>'6.1Personnel List'!D474</f>
        <v>Medical Technologist I</v>
      </c>
      <c r="E473" s="45" t="str">
        <f>'6.1Personnel List'!H474</f>
        <v>FT</v>
      </c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  <c r="AA473" s="41"/>
      <c r="AB473" s="41"/>
      <c r="AC473" s="41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1"/>
      <c r="AP473" s="41"/>
      <c r="AQ473" s="41"/>
      <c r="AR473" s="41"/>
      <c r="AS473" s="41"/>
      <c r="AT473" s="41"/>
      <c r="AU473" s="41"/>
      <c r="AV473" s="41"/>
      <c r="AW473" s="41"/>
      <c r="AX473" s="41"/>
      <c r="AY473" s="41"/>
      <c r="AZ473" s="41"/>
      <c r="BA473" s="41"/>
      <c r="BB473" s="41"/>
      <c r="BC473" s="41"/>
      <c r="BD473" s="41"/>
      <c r="BE473" s="41"/>
      <c r="BF473" s="41"/>
      <c r="BG473" s="41"/>
      <c r="BH473" s="41"/>
      <c r="BJ473" s="41"/>
      <c r="BK473" s="41"/>
      <c r="BL473" s="41"/>
      <c r="BM473" s="41"/>
      <c r="BN473" s="41"/>
      <c r="BO473" s="41"/>
      <c r="BP473" s="41"/>
      <c r="BQ473" s="41"/>
      <c r="BR473" s="41"/>
      <c r="BS473" s="41"/>
      <c r="BT473" s="41"/>
      <c r="BU473" s="41"/>
      <c r="BV473" s="41"/>
      <c r="BW473" s="41"/>
      <c r="BX473" s="41"/>
      <c r="BY473" s="41"/>
      <c r="BZ473" s="41"/>
      <c r="CA473" s="41"/>
      <c r="CB473" s="41"/>
      <c r="CC473" s="41"/>
      <c r="CD473" s="41"/>
      <c r="CE473" s="41"/>
      <c r="CF473" s="41"/>
      <c r="CG473" s="41">
        <v>0.45</v>
      </c>
      <c r="CH473" s="41"/>
      <c r="CI473" s="41"/>
      <c r="CJ473" s="41"/>
      <c r="CK473" s="41"/>
      <c r="CL473" s="41"/>
      <c r="CM473" s="41">
        <v>0.05</v>
      </c>
      <c r="CN473" s="41">
        <v>0.05</v>
      </c>
      <c r="CO473" s="41"/>
      <c r="CP473" s="41">
        <v>0.05</v>
      </c>
      <c r="CQ473" s="41"/>
      <c r="CR473" s="41"/>
      <c r="CS473" s="41"/>
      <c r="CT473" s="41"/>
      <c r="CU473" s="41"/>
      <c r="CV473" s="41"/>
      <c r="CW473" s="41"/>
      <c r="CX473" s="41"/>
      <c r="CY473" s="41"/>
      <c r="CZ473" s="41"/>
      <c r="DA473" s="41"/>
      <c r="DB473" s="41"/>
      <c r="DC473" s="41"/>
      <c r="DD473" s="41">
        <v>0.1</v>
      </c>
      <c r="DE473" s="41"/>
      <c r="DF473" s="41"/>
      <c r="DG473" s="41"/>
      <c r="DH473" s="41"/>
      <c r="DI473" s="41"/>
      <c r="DJ473" s="41">
        <v>0.05</v>
      </c>
      <c r="DK473" s="41">
        <v>0.05</v>
      </c>
      <c r="DL473" s="41">
        <v>0.05</v>
      </c>
      <c r="DM473" s="41">
        <v>0.05</v>
      </c>
      <c r="DN473" s="41"/>
      <c r="DO473" s="41"/>
      <c r="DP473" s="41">
        <v>0.05</v>
      </c>
      <c r="DQ473" s="41"/>
      <c r="DR473" s="41">
        <v>0.05</v>
      </c>
      <c r="DS473" s="43"/>
      <c r="DT473" s="44">
        <f t="shared" ref="DT473" si="455">SUM(F473:DR473)</f>
        <v>1.0000000000000002</v>
      </c>
    </row>
    <row r="474" spans="2:124" s="13" customFormat="1">
      <c r="B474" s="4">
        <f>'6.1Personnel List'!B475</f>
        <v>462</v>
      </c>
      <c r="C474" s="45" t="s">
        <v>638</v>
      </c>
      <c r="D474" s="45" t="str">
        <f>'6.1Personnel List'!D475</f>
        <v>Medical Technologist I</v>
      </c>
      <c r="E474" s="45" t="str">
        <f>'6.1Personnel List'!H475</f>
        <v>FT</v>
      </c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  <c r="AA474" s="41"/>
      <c r="AB474" s="41"/>
      <c r="AC474" s="41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1"/>
      <c r="AP474" s="41"/>
      <c r="AQ474" s="41"/>
      <c r="AR474" s="41"/>
      <c r="AS474" s="41"/>
      <c r="AT474" s="41"/>
      <c r="AU474" s="41"/>
      <c r="AV474" s="41"/>
      <c r="AW474" s="41"/>
      <c r="AX474" s="41"/>
      <c r="AY474" s="41"/>
      <c r="AZ474" s="41"/>
      <c r="BA474" s="41"/>
      <c r="BB474" s="41"/>
      <c r="BC474" s="41"/>
      <c r="BD474" s="41"/>
      <c r="BE474" s="41"/>
      <c r="BF474" s="41"/>
      <c r="BG474" s="41"/>
      <c r="BH474" s="41"/>
      <c r="BJ474" s="41"/>
      <c r="BK474" s="41"/>
      <c r="BL474" s="41"/>
      <c r="BM474" s="41"/>
      <c r="BN474" s="41"/>
      <c r="BO474" s="41"/>
      <c r="BP474" s="41"/>
      <c r="BQ474" s="41"/>
      <c r="BR474" s="41"/>
      <c r="BS474" s="41"/>
      <c r="BT474" s="41"/>
      <c r="BU474" s="41"/>
      <c r="BV474" s="41"/>
      <c r="BW474" s="41"/>
      <c r="BX474" s="41"/>
      <c r="BY474" s="41"/>
      <c r="BZ474" s="41"/>
      <c r="CA474" s="41"/>
      <c r="CB474" s="41"/>
      <c r="CC474" s="41"/>
      <c r="CD474" s="41"/>
      <c r="CE474" s="41"/>
      <c r="CF474" s="41"/>
      <c r="CG474" s="41">
        <v>0.45</v>
      </c>
      <c r="CH474" s="41"/>
      <c r="CI474" s="41"/>
      <c r="CJ474" s="41"/>
      <c r="CK474" s="41"/>
      <c r="CL474" s="41"/>
      <c r="CM474" s="41">
        <v>0.05</v>
      </c>
      <c r="CN474" s="41">
        <v>0.05</v>
      </c>
      <c r="CO474" s="41"/>
      <c r="CP474" s="41">
        <v>0.05</v>
      </c>
      <c r="CQ474" s="41"/>
      <c r="CR474" s="41"/>
      <c r="CS474" s="41"/>
      <c r="CT474" s="41"/>
      <c r="CU474" s="41"/>
      <c r="CV474" s="41"/>
      <c r="CW474" s="41"/>
      <c r="CX474" s="41"/>
      <c r="CY474" s="41"/>
      <c r="CZ474" s="41"/>
      <c r="DA474" s="41"/>
      <c r="DB474" s="41"/>
      <c r="DC474" s="41"/>
      <c r="DD474" s="41">
        <v>0.1</v>
      </c>
      <c r="DE474" s="41"/>
      <c r="DF474" s="41"/>
      <c r="DG474" s="41"/>
      <c r="DH474" s="41"/>
      <c r="DI474" s="41"/>
      <c r="DJ474" s="41">
        <v>0.05</v>
      </c>
      <c r="DK474" s="41">
        <v>0.05</v>
      </c>
      <c r="DL474" s="41">
        <v>0.05</v>
      </c>
      <c r="DM474" s="41">
        <v>0.05</v>
      </c>
      <c r="DN474" s="41"/>
      <c r="DO474" s="41"/>
      <c r="DP474" s="41">
        <v>0.05</v>
      </c>
      <c r="DQ474" s="41"/>
      <c r="DR474" s="41">
        <v>0.05</v>
      </c>
      <c r="DS474" s="43"/>
      <c r="DT474" s="44">
        <f t="shared" ref="DT474" si="456">SUM(F474:DR474)</f>
        <v>1.0000000000000002</v>
      </c>
    </row>
    <row r="475" spans="2:124" s="13" customFormat="1">
      <c r="B475" s="4">
        <f>'6.1Personnel List'!B476</f>
        <v>463</v>
      </c>
      <c r="C475" s="45" t="s">
        <v>639</v>
      </c>
      <c r="D475" s="45" t="str">
        <f>'6.1Personnel List'!D476</f>
        <v>Medical Technologist I</v>
      </c>
      <c r="E475" s="45" t="str">
        <f>'6.1Personnel List'!H476</f>
        <v>FT</v>
      </c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  <c r="AA475" s="41"/>
      <c r="AB475" s="41"/>
      <c r="AC475" s="41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1"/>
      <c r="AP475" s="41"/>
      <c r="AQ475" s="41"/>
      <c r="AR475" s="41"/>
      <c r="AS475" s="41"/>
      <c r="AT475" s="41"/>
      <c r="AU475" s="41"/>
      <c r="AV475" s="41"/>
      <c r="AW475" s="41"/>
      <c r="AX475" s="41"/>
      <c r="AY475" s="41"/>
      <c r="AZ475" s="41"/>
      <c r="BA475" s="41"/>
      <c r="BB475" s="41"/>
      <c r="BC475" s="41"/>
      <c r="BD475" s="41"/>
      <c r="BE475" s="41"/>
      <c r="BF475" s="41"/>
      <c r="BG475" s="41"/>
      <c r="BH475" s="41"/>
      <c r="BJ475" s="41"/>
      <c r="BK475" s="41"/>
      <c r="BL475" s="41"/>
      <c r="BM475" s="41"/>
      <c r="BN475" s="41"/>
      <c r="BO475" s="41"/>
      <c r="BP475" s="41"/>
      <c r="BQ475" s="41"/>
      <c r="BR475" s="41"/>
      <c r="BS475" s="41"/>
      <c r="BT475" s="41"/>
      <c r="BU475" s="41"/>
      <c r="BV475" s="41"/>
      <c r="BW475" s="41"/>
      <c r="BX475" s="41"/>
      <c r="BY475" s="41"/>
      <c r="BZ475" s="41"/>
      <c r="CA475" s="41"/>
      <c r="CB475" s="41"/>
      <c r="CC475" s="41"/>
      <c r="CD475" s="41"/>
      <c r="CE475" s="41"/>
      <c r="CF475" s="41"/>
      <c r="CG475" s="41">
        <v>0.45</v>
      </c>
      <c r="CH475" s="41"/>
      <c r="CI475" s="41"/>
      <c r="CJ475" s="41"/>
      <c r="CK475" s="41"/>
      <c r="CL475" s="41"/>
      <c r="CM475" s="41">
        <v>0.05</v>
      </c>
      <c r="CN475" s="41">
        <v>0.05</v>
      </c>
      <c r="CO475" s="41"/>
      <c r="CP475" s="41">
        <v>0.05</v>
      </c>
      <c r="CQ475" s="41"/>
      <c r="CR475" s="41"/>
      <c r="CS475" s="41"/>
      <c r="CT475" s="41"/>
      <c r="CU475" s="41"/>
      <c r="CV475" s="41"/>
      <c r="CW475" s="41"/>
      <c r="CX475" s="41"/>
      <c r="CY475" s="41"/>
      <c r="CZ475" s="41"/>
      <c r="DA475" s="41"/>
      <c r="DB475" s="41"/>
      <c r="DC475" s="41"/>
      <c r="DD475" s="41">
        <v>0.1</v>
      </c>
      <c r="DE475" s="41"/>
      <c r="DF475" s="41"/>
      <c r="DG475" s="41"/>
      <c r="DH475" s="41"/>
      <c r="DI475" s="41"/>
      <c r="DJ475" s="41">
        <v>0.05</v>
      </c>
      <c r="DK475" s="41">
        <v>0.05</v>
      </c>
      <c r="DL475" s="41">
        <v>0.05</v>
      </c>
      <c r="DM475" s="41">
        <v>0.05</v>
      </c>
      <c r="DN475" s="41"/>
      <c r="DO475" s="41"/>
      <c r="DP475" s="41">
        <v>0.05</v>
      </c>
      <c r="DQ475" s="41"/>
      <c r="DR475" s="41">
        <v>0.05</v>
      </c>
      <c r="DS475" s="43"/>
      <c r="DT475" s="44">
        <f t="shared" ref="DT475" si="457">SUM(F475:DR475)</f>
        <v>1.0000000000000002</v>
      </c>
    </row>
    <row r="476" spans="2:124" s="13" customFormat="1">
      <c r="B476" s="4">
        <f>'6.1Personnel List'!B477</f>
        <v>464</v>
      </c>
      <c r="C476" s="45" t="s">
        <v>640</v>
      </c>
      <c r="D476" s="45" t="str">
        <f>'6.1Personnel List'!D477</f>
        <v>Medical Technologist I</v>
      </c>
      <c r="E476" s="45" t="str">
        <f>'6.1Personnel List'!H477</f>
        <v>FT</v>
      </c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  <c r="AA476" s="41"/>
      <c r="AB476" s="41"/>
      <c r="AC476" s="41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1"/>
      <c r="AP476" s="41"/>
      <c r="AQ476" s="41"/>
      <c r="AR476" s="41"/>
      <c r="AS476" s="41"/>
      <c r="AT476" s="41"/>
      <c r="AU476" s="41"/>
      <c r="AV476" s="41"/>
      <c r="AW476" s="41"/>
      <c r="AX476" s="41"/>
      <c r="AY476" s="41"/>
      <c r="AZ476" s="41"/>
      <c r="BA476" s="41"/>
      <c r="BB476" s="41"/>
      <c r="BC476" s="41"/>
      <c r="BD476" s="41"/>
      <c r="BE476" s="41"/>
      <c r="BF476" s="41"/>
      <c r="BG476" s="41"/>
      <c r="BH476" s="41"/>
      <c r="BJ476" s="41"/>
      <c r="BK476" s="41"/>
      <c r="BL476" s="41"/>
      <c r="BM476" s="41"/>
      <c r="BN476" s="41"/>
      <c r="BO476" s="41"/>
      <c r="BP476" s="41"/>
      <c r="BQ476" s="41"/>
      <c r="BR476" s="41"/>
      <c r="BS476" s="41"/>
      <c r="BT476" s="41"/>
      <c r="BU476" s="41"/>
      <c r="BV476" s="41"/>
      <c r="BW476" s="41"/>
      <c r="BX476" s="41"/>
      <c r="BY476" s="41"/>
      <c r="BZ476" s="41"/>
      <c r="CA476" s="41"/>
      <c r="CB476" s="41"/>
      <c r="CC476" s="41"/>
      <c r="CD476" s="41"/>
      <c r="CE476" s="41"/>
      <c r="CF476" s="41"/>
      <c r="CG476" s="41">
        <v>0.45</v>
      </c>
      <c r="CH476" s="41"/>
      <c r="CI476" s="41"/>
      <c r="CJ476" s="41"/>
      <c r="CK476" s="41"/>
      <c r="CL476" s="41"/>
      <c r="CM476" s="41">
        <v>0.05</v>
      </c>
      <c r="CN476" s="41">
        <v>0.05</v>
      </c>
      <c r="CO476" s="41"/>
      <c r="CP476" s="41">
        <v>0.05</v>
      </c>
      <c r="CQ476" s="41"/>
      <c r="CR476" s="41"/>
      <c r="CS476" s="41"/>
      <c r="CT476" s="41"/>
      <c r="CU476" s="41"/>
      <c r="CV476" s="41"/>
      <c r="CW476" s="41"/>
      <c r="CX476" s="41"/>
      <c r="CY476" s="41"/>
      <c r="CZ476" s="41"/>
      <c r="DA476" s="41"/>
      <c r="DB476" s="41"/>
      <c r="DC476" s="41"/>
      <c r="DD476" s="41">
        <v>0.1</v>
      </c>
      <c r="DE476" s="41"/>
      <c r="DF476" s="41"/>
      <c r="DG476" s="41"/>
      <c r="DH476" s="41"/>
      <c r="DI476" s="41"/>
      <c r="DJ476" s="41">
        <v>0.05</v>
      </c>
      <c r="DK476" s="41">
        <v>0.05</v>
      </c>
      <c r="DL476" s="41">
        <v>0.05</v>
      </c>
      <c r="DM476" s="41">
        <v>0.05</v>
      </c>
      <c r="DN476" s="41"/>
      <c r="DO476" s="41"/>
      <c r="DP476" s="41">
        <v>0.05</v>
      </c>
      <c r="DQ476" s="41"/>
      <c r="DR476" s="41">
        <v>0.05</v>
      </c>
      <c r="DS476" s="43"/>
      <c r="DT476" s="44">
        <f t="shared" ref="DT476" si="458">SUM(F476:DR476)</f>
        <v>1.0000000000000002</v>
      </c>
    </row>
    <row r="477" spans="2:124" s="13" customFormat="1">
      <c r="B477" s="4">
        <f>'6.1Personnel List'!B478</f>
        <v>465</v>
      </c>
      <c r="C477" s="45" t="s">
        <v>641</v>
      </c>
      <c r="D477" s="45" t="str">
        <f>'6.1Personnel List'!D478</f>
        <v>Medical Technologist I</v>
      </c>
      <c r="E477" s="45" t="str">
        <f>'6.1Personnel List'!H478</f>
        <v>FT</v>
      </c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  <c r="AA477" s="41"/>
      <c r="AB477" s="41"/>
      <c r="AC477" s="41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1"/>
      <c r="AP477" s="41"/>
      <c r="AQ477" s="41"/>
      <c r="AR477" s="41"/>
      <c r="AS477" s="41"/>
      <c r="AT477" s="41"/>
      <c r="AU477" s="41"/>
      <c r="AV477" s="41"/>
      <c r="AW477" s="41"/>
      <c r="AX477" s="41"/>
      <c r="AY477" s="41"/>
      <c r="AZ477" s="41"/>
      <c r="BA477" s="41"/>
      <c r="BB477" s="41"/>
      <c r="BC477" s="41"/>
      <c r="BD477" s="41"/>
      <c r="BE477" s="41"/>
      <c r="BF477" s="41"/>
      <c r="BG477" s="41"/>
      <c r="BH477" s="41"/>
      <c r="BJ477" s="41"/>
      <c r="BK477" s="41"/>
      <c r="BL477" s="41"/>
      <c r="BM477" s="41"/>
      <c r="BN477" s="41"/>
      <c r="BO477" s="41"/>
      <c r="BP477" s="41"/>
      <c r="BQ477" s="41"/>
      <c r="BR477" s="41"/>
      <c r="BS477" s="41"/>
      <c r="BT477" s="41"/>
      <c r="BU477" s="41"/>
      <c r="BV477" s="41"/>
      <c r="BW477" s="41"/>
      <c r="BX477" s="41"/>
      <c r="BY477" s="41"/>
      <c r="BZ477" s="41"/>
      <c r="CA477" s="41"/>
      <c r="CB477" s="41"/>
      <c r="CC477" s="41"/>
      <c r="CD477" s="41"/>
      <c r="CE477" s="41"/>
      <c r="CF477" s="41"/>
      <c r="CG477" s="41">
        <v>0.45</v>
      </c>
      <c r="CH477" s="41"/>
      <c r="CI477" s="41"/>
      <c r="CJ477" s="41"/>
      <c r="CK477" s="41"/>
      <c r="CL477" s="41"/>
      <c r="CM477" s="41">
        <v>0.05</v>
      </c>
      <c r="CN477" s="41">
        <v>0.05</v>
      </c>
      <c r="CO477" s="41"/>
      <c r="CP477" s="41">
        <v>0.05</v>
      </c>
      <c r="CQ477" s="41"/>
      <c r="CR477" s="41"/>
      <c r="CS477" s="41"/>
      <c r="CT477" s="41"/>
      <c r="CU477" s="41"/>
      <c r="CV477" s="41"/>
      <c r="CW477" s="41"/>
      <c r="CX477" s="41"/>
      <c r="CY477" s="41"/>
      <c r="CZ477" s="41"/>
      <c r="DA477" s="41"/>
      <c r="DB477" s="41"/>
      <c r="DC477" s="41"/>
      <c r="DD477" s="41">
        <v>0.1</v>
      </c>
      <c r="DE477" s="41"/>
      <c r="DF477" s="41"/>
      <c r="DG477" s="41"/>
      <c r="DH477" s="41"/>
      <c r="DI477" s="41"/>
      <c r="DJ477" s="41">
        <v>0.05</v>
      </c>
      <c r="DK477" s="41">
        <v>0.05</v>
      </c>
      <c r="DL477" s="41">
        <v>0.05</v>
      </c>
      <c r="DM477" s="41">
        <v>0.05</v>
      </c>
      <c r="DN477" s="41"/>
      <c r="DO477" s="41"/>
      <c r="DP477" s="41">
        <v>0.05</v>
      </c>
      <c r="DQ477" s="41"/>
      <c r="DR477" s="41">
        <v>0.05</v>
      </c>
      <c r="DS477" s="43"/>
      <c r="DT477" s="44">
        <f t="shared" ref="DT477" si="459">SUM(F477:DR477)</f>
        <v>1.0000000000000002</v>
      </c>
    </row>
    <row r="478" spans="2:124" s="13" customFormat="1">
      <c r="B478" s="4">
        <f>'6.1Personnel List'!B479</f>
        <v>466</v>
      </c>
      <c r="C478" s="45" t="s">
        <v>642</v>
      </c>
      <c r="D478" s="45" t="str">
        <f>'6.1Personnel List'!D479</f>
        <v>Medical Technologist I</v>
      </c>
      <c r="E478" s="45" t="str">
        <f>'6.1Personnel List'!H479</f>
        <v>FT</v>
      </c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  <c r="AA478" s="41"/>
      <c r="AB478" s="41"/>
      <c r="AC478" s="41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1"/>
      <c r="AP478" s="41"/>
      <c r="AQ478" s="41"/>
      <c r="AR478" s="41"/>
      <c r="AS478" s="41"/>
      <c r="AT478" s="41"/>
      <c r="AU478" s="41"/>
      <c r="AV478" s="41"/>
      <c r="AW478" s="41"/>
      <c r="AX478" s="41"/>
      <c r="AY478" s="41"/>
      <c r="AZ478" s="41"/>
      <c r="BA478" s="41"/>
      <c r="BB478" s="41"/>
      <c r="BC478" s="41"/>
      <c r="BD478" s="41"/>
      <c r="BE478" s="41"/>
      <c r="BF478" s="41"/>
      <c r="BG478" s="41"/>
      <c r="BH478" s="41"/>
      <c r="BJ478" s="41"/>
      <c r="BK478" s="41"/>
      <c r="BL478" s="41"/>
      <c r="BM478" s="41"/>
      <c r="BN478" s="41"/>
      <c r="BO478" s="41"/>
      <c r="BP478" s="41"/>
      <c r="BQ478" s="41"/>
      <c r="BR478" s="41"/>
      <c r="BS478" s="41"/>
      <c r="BT478" s="41"/>
      <c r="BU478" s="41"/>
      <c r="BV478" s="41"/>
      <c r="BW478" s="41"/>
      <c r="BX478" s="41"/>
      <c r="BY478" s="41"/>
      <c r="BZ478" s="41"/>
      <c r="CA478" s="41"/>
      <c r="CB478" s="41"/>
      <c r="CC478" s="41"/>
      <c r="CD478" s="41"/>
      <c r="CE478" s="41"/>
      <c r="CF478" s="41"/>
      <c r="CG478" s="41">
        <v>0.45</v>
      </c>
      <c r="CH478" s="41"/>
      <c r="CI478" s="41"/>
      <c r="CJ478" s="41"/>
      <c r="CK478" s="41"/>
      <c r="CL478" s="41"/>
      <c r="CM478" s="41">
        <v>0.05</v>
      </c>
      <c r="CN478" s="41">
        <v>0.05</v>
      </c>
      <c r="CO478" s="41"/>
      <c r="CP478" s="41">
        <v>0.05</v>
      </c>
      <c r="CQ478" s="41"/>
      <c r="CR478" s="41"/>
      <c r="CS478" s="41"/>
      <c r="CT478" s="41"/>
      <c r="CU478" s="41"/>
      <c r="CV478" s="41"/>
      <c r="CW478" s="41"/>
      <c r="CX478" s="41"/>
      <c r="CY478" s="41"/>
      <c r="CZ478" s="41"/>
      <c r="DA478" s="41"/>
      <c r="DB478" s="41"/>
      <c r="DC478" s="41"/>
      <c r="DD478" s="41">
        <v>0.1</v>
      </c>
      <c r="DE478" s="41"/>
      <c r="DF478" s="41"/>
      <c r="DG478" s="41"/>
      <c r="DH478" s="41"/>
      <c r="DI478" s="41"/>
      <c r="DJ478" s="41">
        <v>0.05</v>
      </c>
      <c r="DK478" s="41">
        <v>0.05</v>
      </c>
      <c r="DL478" s="41">
        <v>0.05</v>
      </c>
      <c r="DM478" s="41">
        <v>0.05</v>
      </c>
      <c r="DN478" s="41"/>
      <c r="DO478" s="41"/>
      <c r="DP478" s="41">
        <v>0.05</v>
      </c>
      <c r="DQ478" s="41"/>
      <c r="DR478" s="41">
        <v>0.05</v>
      </c>
      <c r="DS478" s="43"/>
      <c r="DT478" s="44">
        <f t="shared" ref="DT478" si="460">SUM(F478:DR478)</f>
        <v>1.0000000000000002</v>
      </c>
    </row>
    <row r="479" spans="2:124" s="13" customFormat="1">
      <c r="B479" s="4">
        <f>'6.1Personnel List'!B480</f>
        <v>467</v>
      </c>
      <c r="C479" s="45" t="s">
        <v>643</v>
      </c>
      <c r="D479" s="45" t="str">
        <f>'6.1Personnel List'!D480</f>
        <v>Medical Technologist I</v>
      </c>
      <c r="E479" s="45" t="str">
        <f>'6.1Personnel List'!H480</f>
        <v>FT</v>
      </c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  <c r="AA479" s="41"/>
      <c r="AB479" s="41"/>
      <c r="AC479" s="41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1"/>
      <c r="AP479" s="41"/>
      <c r="AQ479" s="41"/>
      <c r="AR479" s="41"/>
      <c r="AS479" s="41"/>
      <c r="AT479" s="41"/>
      <c r="AU479" s="41"/>
      <c r="AV479" s="41"/>
      <c r="AW479" s="41"/>
      <c r="AX479" s="41"/>
      <c r="AY479" s="41"/>
      <c r="AZ479" s="41"/>
      <c r="BA479" s="41"/>
      <c r="BB479" s="41"/>
      <c r="BC479" s="41"/>
      <c r="BD479" s="41"/>
      <c r="BE479" s="41"/>
      <c r="BF479" s="41"/>
      <c r="BG479" s="41"/>
      <c r="BH479" s="41"/>
      <c r="BJ479" s="41"/>
      <c r="BK479" s="41"/>
      <c r="BL479" s="41"/>
      <c r="BM479" s="41"/>
      <c r="BN479" s="41"/>
      <c r="BO479" s="41"/>
      <c r="BP479" s="41"/>
      <c r="BQ479" s="41"/>
      <c r="BR479" s="41"/>
      <c r="BS479" s="41"/>
      <c r="BT479" s="41"/>
      <c r="BU479" s="41"/>
      <c r="BV479" s="41"/>
      <c r="BW479" s="41"/>
      <c r="BX479" s="41"/>
      <c r="BY479" s="41"/>
      <c r="BZ479" s="41"/>
      <c r="CA479" s="41"/>
      <c r="CB479" s="41"/>
      <c r="CC479" s="41"/>
      <c r="CD479" s="41"/>
      <c r="CE479" s="41"/>
      <c r="CF479" s="41"/>
      <c r="CG479" s="41">
        <v>0.45</v>
      </c>
      <c r="CH479" s="41"/>
      <c r="CI479" s="41"/>
      <c r="CJ479" s="41"/>
      <c r="CK479" s="41"/>
      <c r="CL479" s="41"/>
      <c r="CM479" s="41">
        <v>0.05</v>
      </c>
      <c r="CN479" s="41">
        <v>0.05</v>
      </c>
      <c r="CO479" s="41"/>
      <c r="CP479" s="41">
        <v>0.05</v>
      </c>
      <c r="CQ479" s="41"/>
      <c r="CR479" s="41"/>
      <c r="CS479" s="41"/>
      <c r="CT479" s="41"/>
      <c r="CU479" s="41"/>
      <c r="CV479" s="41"/>
      <c r="CW479" s="41"/>
      <c r="CX479" s="41"/>
      <c r="CY479" s="41"/>
      <c r="CZ479" s="41"/>
      <c r="DA479" s="41"/>
      <c r="DB479" s="41"/>
      <c r="DC479" s="41"/>
      <c r="DD479" s="41">
        <v>0.1</v>
      </c>
      <c r="DE479" s="41"/>
      <c r="DF479" s="41"/>
      <c r="DG479" s="41"/>
      <c r="DH479" s="41"/>
      <c r="DI479" s="41"/>
      <c r="DJ479" s="41">
        <v>0.05</v>
      </c>
      <c r="DK479" s="41">
        <v>0.05</v>
      </c>
      <c r="DL479" s="41">
        <v>0.05</v>
      </c>
      <c r="DM479" s="41">
        <v>0.05</v>
      </c>
      <c r="DN479" s="41"/>
      <c r="DO479" s="41"/>
      <c r="DP479" s="41">
        <v>0.05</v>
      </c>
      <c r="DQ479" s="41"/>
      <c r="DR479" s="41">
        <v>0.05</v>
      </c>
      <c r="DS479" s="43"/>
      <c r="DT479" s="44">
        <f t="shared" ref="DT479" si="461">SUM(F479:DR479)</f>
        <v>1.0000000000000002</v>
      </c>
    </row>
    <row r="480" spans="2:124" s="13" customFormat="1">
      <c r="B480" s="4">
        <f>'6.1Personnel List'!B481</f>
        <v>468</v>
      </c>
      <c r="C480" s="45" t="s">
        <v>644</v>
      </c>
      <c r="D480" s="45" t="str">
        <f>'6.1Personnel List'!D481</f>
        <v>Medical Laboratory Technician III</v>
      </c>
      <c r="E480" s="45" t="str">
        <f>'6.1Personnel List'!H481</f>
        <v>FT</v>
      </c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  <c r="AA480" s="41"/>
      <c r="AB480" s="41"/>
      <c r="AC480" s="41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1"/>
      <c r="AP480" s="41"/>
      <c r="AQ480" s="41"/>
      <c r="AR480" s="41"/>
      <c r="AS480" s="41"/>
      <c r="AT480" s="41"/>
      <c r="AU480" s="41"/>
      <c r="AV480" s="41"/>
      <c r="AW480" s="41"/>
      <c r="AX480" s="41"/>
      <c r="AY480" s="41"/>
      <c r="AZ480" s="41"/>
      <c r="BA480" s="41"/>
      <c r="BB480" s="41"/>
      <c r="BC480" s="41"/>
      <c r="BD480" s="41"/>
      <c r="BE480" s="41"/>
      <c r="BF480" s="41"/>
      <c r="BG480" s="41"/>
      <c r="BH480" s="41"/>
      <c r="BJ480" s="41"/>
      <c r="BK480" s="41"/>
      <c r="BL480" s="41"/>
      <c r="BM480" s="41"/>
      <c r="BN480" s="41"/>
      <c r="BO480" s="41"/>
      <c r="BP480" s="41"/>
      <c r="BQ480" s="41"/>
      <c r="BR480" s="41"/>
      <c r="BS480" s="41"/>
      <c r="BT480" s="41"/>
      <c r="BU480" s="41"/>
      <c r="BV480" s="41"/>
      <c r="BW480" s="41"/>
      <c r="BX480" s="41"/>
      <c r="BY480" s="41"/>
      <c r="BZ480" s="41"/>
      <c r="CA480" s="41"/>
      <c r="CB480" s="41"/>
      <c r="CC480" s="41"/>
      <c r="CD480" s="41"/>
      <c r="CE480" s="41"/>
      <c r="CF480" s="41"/>
      <c r="CG480" s="41">
        <v>0.45</v>
      </c>
      <c r="CH480" s="41"/>
      <c r="CI480" s="41"/>
      <c r="CJ480" s="41"/>
      <c r="CK480" s="41"/>
      <c r="CL480" s="41"/>
      <c r="CM480" s="41">
        <v>0.05</v>
      </c>
      <c r="CN480" s="41">
        <v>0.05</v>
      </c>
      <c r="CO480" s="41"/>
      <c r="CP480" s="41">
        <v>0.05</v>
      </c>
      <c r="CQ480" s="41"/>
      <c r="CR480" s="41"/>
      <c r="CS480" s="41"/>
      <c r="CT480" s="41"/>
      <c r="CU480" s="41"/>
      <c r="CV480" s="41"/>
      <c r="CW480" s="41"/>
      <c r="CX480" s="41"/>
      <c r="CY480" s="41"/>
      <c r="CZ480" s="41"/>
      <c r="DA480" s="41"/>
      <c r="DB480" s="41"/>
      <c r="DC480" s="41"/>
      <c r="DD480" s="41">
        <v>0.1</v>
      </c>
      <c r="DE480" s="41"/>
      <c r="DF480" s="41"/>
      <c r="DG480" s="41"/>
      <c r="DH480" s="41"/>
      <c r="DI480" s="41"/>
      <c r="DJ480" s="41">
        <v>0.05</v>
      </c>
      <c r="DK480" s="41">
        <v>0.05</v>
      </c>
      <c r="DL480" s="41">
        <v>0.05</v>
      </c>
      <c r="DM480" s="41">
        <v>0.05</v>
      </c>
      <c r="DN480" s="41"/>
      <c r="DO480" s="41"/>
      <c r="DP480" s="41">
        <v>0.05</v>
      </c>
      <c r="DQ480" s="41"/>
      <c r="DR480" s="41">
        <v>0.05</v>
      </c>
      <c r="DS480" s="43"/>
      <c r="DT480" s="44">
        <f t="shared" ref="DT480" si="462">SUM(F480:DR480)</f>
        <v>1.0000000000000002</v>
      </c>
    </row>
    <row r="481" spans="2:124" s="13" customFormat="1">
      <c r="B481" s="4">
        <f>'6.1Personnel List'!B482</f>
        <v>469</v>
      </c>
      <c r="C481" s="45" t="s">
        <v>646</v>
      </c>
      <c r="D481" s="45" t="str">
        <f>'6.1Personnel List'!D482</f>
        <v>Medical Laboratory Technician III</v>
      </c>
      <c r="E481" s="45" t="str">
        <f>'6.1Personnel List'!H482</f>
        <v>FT</v>
      </c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  <c r="AA481" s="41"/>
      <c r="AB481" s="41"/>
      <c r="AC481" s="41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1"/>
      <c r="AP481" s="41"/>
      <c r="AQ481" s="41"/>
      <c r="AR481" s="41"/>
      <c r="AS481" s="41"/>
      <c r="AT481" s="41"/>
      <c r="AU481" s="41"/>
      <c r="AV481" s="41"/>
      <c r="AW481" s="41"/>
      <c r="AX481" s="41"/>
      <c r="AY481" s="41"/>
      <c r="AZ481" s="41"/>
      <c r="BA481" s="41"/>
      <c r="BB481" s="41"/>
      <c r="BC481" s="41"/>
      <c r="BD481" s="41"/>
      <c r="BE481" s="41"/>
      <c r="BF481" s="41"/>
      <c r="BG481" s="41"/>
      <c r="BH481" s="41"/>
      <c r="BJ481" s="41"/>
      <c r="BK481" s="41"/>
      <c r="BL481" s="41"/>
      <c r="BM481" s="41"/>
      <c r="BN481" s="41"/>
      <c r="BO481" s="41"/>
      <c r="BP481" s="41"/>
      <c r="BQ481" s="41"/>
      <c r="BR481" s="41"/>
      <c r="BS481" s="41"/>
      <c r="BT481" s="41"/>
      <c r="BU481" s="41"/>
      <c r="BV481" s="41"/>
      <c r="BW481" s="41"/>
      <c r="BX481" s="41"/>
      <c r="BY481" s="41"/>
      <c r="BZ481" s="41"/>
      <c r="CA481" s="41"/>
      <c r="CB481" s="41"/>
      <c r="CC481" s="41"/>
      <c r="CD481" s="41"/>
      <c r="CE481" s="41"/>
      <c r="CF481" s="41"/>
      <c r="CG481" s="41">
        <v>0.45</v>
      </c>
      <c r="CH481" s="41"/>
      <c r="CI481" s="41"/>
      <c r="CJ481" s="41"/>
      <c r="CK481" s="41"/>
      <c r="CL481" s="41"/>
      <c r="CM481" s="41">
        <v>0.05</v>
      </c>
      <c r="CN481" s="41">
        <v>0.05</v>
      </c>
      <c r="CO481" s="41"/>
      <c r="CP481" s="41">
        <v>0.05</v>
      </c>
      <c r="CQ481" s="41"/>
      <c r="CR481" s="41"/>
      <c r="CS481" s="41"/>
      <c r="CT481" s="41"/>
      <c r="CU481" s="41"/>
      <c r="CV481" s="41"/>
      <c r="CW481" s="41"/>
      <c r="CX481" s="41"/>
      <c r="CY481" s="41"/>
      <c r="CZ481" s="41"/>
      <c r="DA481" s="41"/>
      <c r="DB481" s="41"/>
      <c r="DC481" s="41"/>
      <c r="DD481" s="41">
        <v>0.1</v>
      </c>
      <c r="DE481" s="41"/>
      <c r="DF481" s="41"/>
      <c r="DG481" s="41"/>
      <c r="DH481" s="41"/>
      <c r="DI481" s="41"/>
      <c r="DJ481" s="41">
        <v>0.05</v>
      </c>
      <c r="DK481" s="41">
        <v>0.05</v>
      </c>
      <c r="DL481" s="41">
        <v>0.05</v>
      </c>
      <c r="DM481" s="41">
        <v>0.05</v>
      </c>
      <c r="DN481" s="41"/>
      <c r="DO481" s="41"/>
      <c r="DP481" s="41">
        <v>0.05</v>
      </c>
      <c r="DQ481" s="41"/>
      <c r="DR481" s="41">
        <v>0.05</v>
      </c>
      <c r="DS481" s="43"/>
      <c r="DT481" s="44">
        <f t="shared" ref="DT481" si="463">SUM(F481:DR481)</f>
        <v>1.0000000000000002</v>
      </c>
    </row>
    <row r="482" spans="2:124" s="13" customFormat="1">
      <c r="B482" s="4">
        <f>'6.1Personnel List'!B483</f>
        <v>470</v>
      </c>
      <c r="C482" s="45" t="s">
        <v>647</v>
      </c>
      <c r="D482" s="45" t="str">
        <f>'6.1Personnel List'!D483</f>
        <v>Medical Laboratory Technician III</v>
      </c>
      <c r="E482" s="45" t="str">
        <f>'6.1Personnel List'!H483</f>
        <v>FT</v>
      </c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  <c r="AA482" s="41"/>
      <c r="AB482" s="41"/>
      <c r="AC482" s="41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1"/>
      <c r="AP482" s="41"/>
      <c r="AQ482" s="41"/>
      <c r="AR482" s="41"/>
      <c r="AS482" s="41"/>
      <c r="AT482" s="41"/>
      <c r="AU482" s="41"/>
      <c r="AV482" s="41"/>
      <c r="AW482" s="41"/>
      <c r="AX482" s="41"/>
      <c r="AY482" s="41"/>
      <c r="AZ482" s="41"/>
      <c r="BA482" s="41"/>
      <c r="BB482" s="41"/>
      <c r="BC482" s="41"/>
      <c r="BD482" s="41"/>
      <c r="BE482" s="41"/>
      <c r="BF482" s="41"/>
      <c r="BG482" s="41"/>
      <c r="BH482" s="41"/>
      <c r="BJ482" s="41"/>
      <c r="BK482" s="41"/>
      <c r="BL482" s="41"/>
      <c r="BM482" s="41"/>
      <c r="BN482" s="41"/>
      <c r="BO482" s="41"/>
      <c r="BP482" s="41"/>
      <c r="BQ482" s="41"/>
      <c r="BR482" s="41"/>
      <c r="BS482" s="41"/>
      <c r="BT482" s="41"/>
      <c r="BU482" s="41"/>
      <c r="BV482" s="41"/>
      <c r="BW482" s="41"/>
      <c r="BX482" s="41"/>
      <c r="BY482" s="41"/>
      <c r="BZ482" s="41"/>
      <c r="CA482" s="41"/>
      <c r="CB482" s="41"/>
      <c r="CC482" s="41"/>
      <c r="CD482" s="41"/>
      <c r="CE482" s="41"/>
      <c r="CF482" s="41"/>
      <c r="CG482" s="41">
        <v>0.45</v>
      </c>
      <c r="CH482" s="41"/>
      <c r="CI482" s="41"/>
      <c r="CJ482" s="41"/>
      <c r="CK482" s="41"/>
      <c r="CL482" s="41"/>
      <c r="CM482" s="41">
        <v>0.05</v>
      </c>
      <c r="CN482" s="41">
        <v>0.05</v>
      </c>
      <c r="CO482" s="41"/>
      <c r="CP482" s="41">
        <v>0.05</v>
      </c>
      <c r="CQ482" s="41"/>
      <c r="CR482" s="41"/>
      <c r="CS482" s="41"/>
      <c r="CT482" s="41"/>
      <c r="CU482" s="41"/>
      <c r="CV482" s="41"/>
      <c r="CW482" s="41"/>
      <c r="CX482" s="41"/>
      <c r="CY482" s="41"/>
      <c r="CZ482" s="41"/>
      <c r="DA482" s="41"/>
      <c r="DB482" s="41"/>
      <c r="DC482" s="41"/>
      <c r="DD482" s="41">
        <v>0.1</v>
      </c>
      <c r="DE482" s="41"/>
      <c r="DF482" s="41"/>
      <c r="DG482" s="41"/>
      <c r="DH482" s="41"/>
      <c r="DI482" s="41"/>
      <c r="DJ482" s="41">
        <v>0.05</v>
      </c>
      <c r="DK482" s="41">
        <v>0.05</v>
      </c>
      <c r="DL482" s="41">
        <v>0.05</v>
      </c>
      <c r="DM482" s="41">
        <v>0.05</v>
      </c>
      <c r="DN482" s="41"/>
      <c r="DO482" s="41"/>
      <c r="DP482" s="41">
        <v>0.05</v>
      </c>
      <c r="DQ482" s="41"/>
      <c r="DR482" s="41">
        <v>0.05</v>
      </c>
      <c r="DS482" s="43"/>
      <c r="DT482" s="44">
        <f t="shared" ref="DT482" si="464">SUM(F482:DR482)</f>
        <v>1.0000000000000002</v>
      </c>
    </row>
    <row r="483" spans="2:124" s="13" customFormat="1">
      <c r="B483" s="4">
        <f>'6.1Personnel List'!B484</f>
        <v>471</v>
      </c>
      <c r="C483" s="45" t="s">
        <v>648</v>
      </c>
      <c r="D483" s="45" t="str">
        <f>'6.1Personnel List'!D484</f>
        <v>Medical Laboratory Technician III</v>
      </c>
      <c r="E483" s="45" t="str">
        <f>'6.1Personnel List'!H484</f>
        <v>FT</v>
      </c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  <c r="AA483" s="41"/>
      <c r="AB483" s="41"/>
      <c r="AC483" s="41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1"/>
      <c r="AP483" s="41"/>
      <c r="AQ483" s="41"/>
      <c r="AR483" s="41"/>
      <c r="AS483" s="41"/>
      <c r="AT483" s="41"/>
      <c r="AU483" s="41"/>
      <c r="AV483" s="41"/>
      <c r="AW483" s="41"/>
      <c r="AX483" s="41"/>
      <c r="AY483" s="41"/>
      <c r="AZ483" s="41"/>
      <c r="BA483" s="41"/>
      <c r="BB483" s="41"/>
      <c r="BC483" s="41"/>
      <c r="BD483" s="41"/>
      <c r="BE483" s="41"/>
      <c r="BF483" s="41"/>
      <c r="BG483" s="41"/>
      <c r="BH483" s="41"/>
      <c r="BJ483" s="41"/>
      <c r="BK483" s="41"/>
      <c r="BL483" s="41"/>
      <c r="BM483" s="41"/>
      <c r="BN483" s="41"/>
      <c r="BO483" s="41"/>
      <c r="BP483" s="41"/>
      <c r="BQ483" s="41"/>
      <c r="BR483" s="41"/>
      <c r="BS483" s="41"/>
      <c r="BT483" s="41"/>
      <c r="BU483" s="41"/>
      <c r="BV483" s="41"/>
      <c r="BW483" s="41"/>
      <c r="BX483" s="41"/>
      <c r="BY483" s="41"/>
      <c r="BZ483" s="41"/>
      <c r="CA483" s="41"/>
      <c r="CB483" s="41"/>
      <c r="CC483" s="41"/>
      <c r="CD483" s="41"/>
      <c r="CE483" s="41"/>
      <c r="CF483" s="41"/>
      <c r="CG483" s="41">
        <v>0.45</v>
      </c>
      <c r="CH483" s="41"/>
      <c r="CI483" s="41"/>
      <c r="CJ483" s="41"/>
      <c r="CK483" s="41"/>
      <c r="CL483" s="41"/>
      <c r="CM483" s="41">
        <v>0.05</v>
      </c>
      <c r="CN483" s="41">
        <v>0.05</v>
      </c>
      <c r="CO483" s="41"/>
      <c r="CP483" s="41">
        <v>0.05</v>
      </c>
      <c r="CQ483" s="41"/>
      <c r="CR483" s="41"/>
      <c r="CS483" s="41"/>
      <c r="CT483" s="41"/>
      <c r="CU483" s="41"/>
      <c r="CV483" s="41"/>
      <c r="CW483" s="41"/>
      <c r="CX483" s="41"/>
      <c r="CY483" s="41"/>
      <c r="CZ483" s="41"/>
      <c r="DA483" s="41"/>
      <c r="DB483" s="41"/>
      <c r="DC483" s="41"/>
      <c r="DD483" s="41">
        <v>0.1</v>
      </c>
      <c r="DE483" s="41"/>
      <c r="DF483" s="41"/>
      <c r="DG483" s="41"/>
      <c r="DH483" s="41"/>
      <c r="DI483" s="41"/>
      <c r="DJ483" s="41">
        <v>0.05</v>
      </c>
      <c r="DK483" s="41">
        <v>0.05</v>
      </c>
      <c r="DL483" s="41">
        <v>0.05</v>
      </c>
      <c r="DM483" s="41">
        <v>0.05</v>
      </c>
      <c r="DN483" s="41"/>
      <c r="DO483" s="41"/>
      <c r="DP483" s="41">
        <v>0.05</v>
      </c>
      <c r="DQ483" s="41"/>
      <c r="DR483" s="41">
        <v>0.05</v>
      </c>
      <c r="DS483" s="43"/>
      <c r="DT483" s="44">
        <f t="shared" ref="DT483" si="465">SUM(F483:DR483)</f>
        <v>1.0000000000000002</v>
      </c>
    </row>
    <row r="484" spans="2:124" s="13" customFormat="1">
      <c r="B484" s="4">
        <f>'6.1Personnel List'!B485</f>
        <v>472</v>
      </c>
      <c r="C484" s="45" t="s">
        <v>649</v>
      </c>
      <c r="D484" s="45" t="str">
        <f>'6.1Personnel List'!D485</f>
        <v>Medical Laboratory Technician III</v>
      </c>
      <c r="E484" s="45" t="str">
        <f>'6.1Personnel List'!H485</f>
        <v>FT</v>
      </c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  <c r="AA484" s="41"/>
      <c r="AB484" s="41"/>
      <c r="AC484" s="41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1"/>
      <c r="AP484" s="41"/>
      <c r="AQ484" s="41"/>
      <c r="AR484" s="41"/>
      <c r="AS484" s="41"/>
      <c r="AT484" s="41"/>
      <c r="AU484" s="41"/>
      <c r="AV484" s="41"/>
      <c r="AW484" s="41"/>
      <c r="AX484" s="41"/>
      <c r="AY484" s="41"/>
      <c r="AZ484" s="41"/>
      <c r="BA484" s="41"/>
      <c r="BB484" s="41"/>
      <c r="BC484" s="41"/>
      <c r="BD484" s="41"/>
      <c r="BE484" s="41"/>
      <c r="BF484" s="41"/>
      <c r="BG484" s="41"/>
      <c r="BH484" s="41"/>
      <c r="BJ484" s="41"/>
      <c r="BK484" s="41"/>
      <c r="BL484" s="41"/>
      <c r="BM484" s="41"/>
      <c r="BN484" s="41"/>
      <c r="BO484" s="41"/>
      <c r="BP484" s="41"/>
      <c r="BQ484" s="41"/>
      <c r="BR484" s="41"/>
      <c r="BS484" s="41"/>
      <c r="BT484" s="41"/>
      <c r="BU484" s="41"/>
      <c r="BV484" s="41"/>
      <c r="BW484" s="41"/>
      <c r="BX484" s="41"/>
      <c r="BY484" s="41"/>
      <c r="BZ484" s="41"/>
      <c r="CA484" s="41"/>
      <c r="CB484" s="41"/>
      <c r="CC484" s="41"/>
      <c r="CD484" s="41"/>
      <c r="CE484" s="41"/>
      <c r="CF484" s="41"/>
      <c r="CG484" s="41">
        <v>0.45</v>
      </c>
      <c r="CH484" s="41"/>
      <c r="CI484" s="41"/>
      <c r="CJ484" s="41"/>
      <c r="CK484" s="41"/>
      <c r="CL484" s="41"/>
      <c r="CM484" s="41">
        <v>0.05</v>
      </c>
      <c r="CN484" s="41">
        <v>0.05</v>
      </c>
      <c r="CO484" s="41"/>
      <c r="CP484" s="41">
        <v>0.05</v>
      </c>
      <c r="CQ484" s="41"/>
      <c r="CR484" s="41"/>
      <c r="CS484" s="41"/>
      <c r="CT484" s="41"/>
      <c r="CU484" s="41"/>
      <c r="CV484" s="41"/>
      <c r="CW484" s="41"/>
      <c r="CX484" s="41"/>
      <c r="CY484" s="41"/>
      <c r="CZ484" s="41"/>
      <c r="DA484" s="41"/>
      <c r="DB484" s="41"/>
      <c r="DC484" s="41"/>
      <c r="DD484" s="41">
        <v>0.1</v>
      </c>
      <c r="DE484" s="41"/>
      <c r="DF484" s="41"/>
      <c r="DG484" s="41"/>
      <c r="DH484" s="41"/>
      <c r="DI484" s="41"/>
      <c r="DJ484" s="41">
        <v>0.05</v>
      </c>
      <c r="DK484" s="41">
        <v>0.05</v>
      </c>
      <c r="DL484" s="41">
        <v>0.05</v>
      </c>
      <c r="DM484" s="41">
        <v>0.05</v>
      </c>
      <c r="DN484" s="41"/>
      <c r="DO484" s="41"/>
      <c r="DP484" s="41">
        <v>0.05</v>
      </c>
      <c r="DQ484" s="41"/>
      <c r="DR484" s="41">
        <v>0.05</v>
      </c>
      <c r="DS484" s="43"/>
      <c r="DT484" s="44">
        <f t="shared" ref="DT484" si="466">SUM(F484:DR484)</f>
        <v>1.0000000000000002</v>
      </c>
    </row>
    <row r="485" spans="2:124" s="13" customFormat="1">
      <c r="B485" s="4">
        <f>'6.1Personnel List'!B486</f>
        <v>473</v>
      </c>
      <c r="C485" s="45" t="s">
        <v>650</v>
      </c>
      <c r="D485" s="45" t="str">
        <f>'6.1Personnel List'!D486</f>
        <v>Medical Laboratory Technician III</v>
      </c>
      <c r="E485" s="45" t="str">
        <f>'6.1Personnel List'!H486</f>
        <v>FT</v>
      </c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  <c r="AA485" s="41"/>
      <c r="AB485" s="41"/>
      <c r="AC485" s="41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1"/>
      <c r="AP485" s="41"/>
      <c r="AQ485" s="41"/>
      <c r="AR485" s="41"/>
      <c r="AS485" s="41"/>
      <c r="AT485" s="41"/>
      <c r="AU485" s="41"/>
      <c r="AV485" s="41"/>
      <c r="AW485" s="41"/>
      <c r="AX485" s="41"/>
      <c r="AY485" s="41"/>
      <c r="AZ485" s="41"/>
      <c r="BA485" s="41"/>
      <c r="BB485" s="41"/>
      <c r="BC485" s="41"/>
      <c r="BD485" s="41"/>
      <c r="BE485" s="41"/>
      <c r="BF485" s="41"/>
      <c r="BG485" s="41"/>
      <c r="BH485" s="41"/>
      <c r="BJ485" s="41"/>
      <c r="BK485" s="41"/>
      <c r="BL485" s="41"/>
      <c r="BM485" s="41"/>
      <c r="BN485" s="41"/>
      <c r="BO485" s="41"/>
      <c r="BP485" s="41"/>
      <c r="BQ485" s="41"/>
      <c r="BR485" s="41"/>
      <c r="BS485" s="41"/>
      <c r="BT485" s="41"/>
      <c r="BU485" s="41"/>
      <c r="BV485" s="41"/>
      <c r="BW485" s="41"/>
      <c r="BX485" s="41"/>
      <c r="BY485" s="41"/>
      <c r="BZ485" s="41"/>
      <c r="CA485" s="41"/>
      <c r="CB485" s="41"/>
      <c r="CC485" s="41"/>
      <c r="CD485" s="41"/>
      <c r="CE485" s="41"/>
      <c r="CF485" s="41"/>
      <c r="CG485" s="41">
        <v>0.45</v>
      </c>
      <c r="CH485" s="41"/>
      <c r="CI485" s="41"/>
      <c r="CJ485" s="41"/>
      <c r="CK485" s="41"/>
      <c r="CL485" s="41"/>
      <c r="CM485" s="41">
        <v>0.05</v>
      </c>
      <c r="CN485" s="41">
        <v>0.05</v>
      </c>
      <c r="CO485" s="41"/>
      <c r="CP485" s="41">
        <v>0.05</v>
      </c>
      <c r="CQ485" s="41"/>
      <c r="CR485" s="41"/>
      <c r="CS485" s="41"/>
      <c r="CT485" s="41"/>
      <c r="CU485" s="41"/>
      <c r="CV485" s="41"/>
      <c r="CW485" s="41"/>
      <c r="CX485" s="41"/>
      <c r="CY485" s="41"/>
      <c r="CZ485" s="41"/>
      <c r="DA485" s="41"/>
      <c r="DB485" s="41"/>
      <c r="DC485" s="41"/>
      <c r="DD485" s="41">
        <v>0.1</v>
      </c>
      <c r="DE485" s="41"/>
      <c r="DF485" s="41"/>
      <c r="DG485" s="41"/>
      <c r="DH485" s="41"/>
      <c r="DI485" s="41"/>
      <c r="DJ485" s="41">
        <v>0.05</v>
      </c>
      <c r="DK485" s="41">
        <v>0.05</v>
      </c>
      <c r="DL485" s="41">
        <v>0.05</v>
      </c>
      <c r="DM485" s="41">
        <v>0.05</v>
      </c>
      <c r="DN485" s="41"/>
      <c r="DO485" s="41"/>
      <c r="DP485" s="41">
        <v>0.05</v>
      </c>
      <c r="DQ485" s="41"/>
      <c r="DR485" s="41">
        <v>0.05</v>
      </c>
      <c r="DS485" s="43"/>
      <c r="DT485" s="44">
        <f t="shared" ref="DT485" si="467">SUM(F485:DR485)</f>
        <v>1.0000000000000002</v>
      </c>
    </row>
    <row r="486" spans="2:124" s="13" customFormat="1">
      <c r="B486" s="4">
        <f>'6.1Personnel List'!B487</f>
        <v>474</v>
      </c>
      <c r="C486" s="45" t="s">
        <v>651</v>
      </c>
      <c r="D486" s="45" t="str">
        <f>'6.1Personnel List'!D487</f>
        <v>Medical Laboratory Technician III</v>
      </c>
      <c r="E486" s="45" t="str">
        <f>'6.1Personnel List'!H487</f>
        <v>FT</v>
      </c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  <c r="AA486" s="41"/>
      <c r="AB486" s="41"/>
      <c r="AC486" s="41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1"/>
      <c r="AP486" s="41"/>
      <c r="AQ486" s="41"/>
      <c r="AR486" s="41"/>
      <c r="AS486" s="41"/>
      <c r="AT486" s="41"/>
      <c r="AU486" s="41"/>
      <c r="AV486" s="41"/>
      <c r="AW486" s="41"/>
      <c r="AX486" s="41"/>
      <c r="AY486" s="41"/>
      <c r="AZ486" s="41"/>
      <c r="BA486" s="41"/>
      <c r="BB486" s="41"/>
      <c r="BC486" s="41"/>
      <c r="BD486" s="41"/>
      <c r="BE486" s="41"/>
      <c r="BF486" s="41"/>
      <c r="BG486" s="41"/>
      <c r="BH486" s="41"/>
      <c r="BJ486" s="41"/>
      <c r="BK486" s="41"/>
      <c r="BL486" s="41"/>
      <c r="BM486" s="41"/>
      <c r="BN486" s="41"/>
      <c r="BO486" s="41"/>
      <c r="BP486" s="41"/>
      <c r="BQ486" s="41"/>
      <c r="BR486" s="41"/>
      <c r="BS486" s="41"/>
      <c r="BT486" s="41"/>
      <c r="BU486" s="41"/>
      <c r="BV486" s="41"/>
      <c r="BW486" s="41"/>
      <c r="BX486" s="41"/>
      <c r="BY486" s="41"/>
      <c r="BZ486" s="41"/>
      <c r="CA486" s="41"/>
      <c r="CB486" s="41"/>
      <c r="CC486" s="41"/>
      <c r="CD486" s="41"/>
      <c r="CE486" s="41"/>
      <c r="CF486" s="41"/>
      <c r="CG486" s="41">
        <v>0.45</v>
      </c>
      <c r="CH486" s="41"/>
      <c r="CI486" s="41"/>
      <c r="CJ486" s="41"/>
      <c r="CK486" s="41"/>
      <c r="CL486" s="41"/>
      <c r="CM486" s="41">
        <v>0.05</v>
      </c>
      <c r="CN486" s="41">
        <v>0.05</v>
      </c>
      <c r="CO486" s="41"/>
      <c r="CP486" s="41">
        <v>0.05</v>
      </c>
      <c r="CQ486" s="41"/>
      <c r="CR486" s="41"/>
      <c r="CS486" s="41"/>
      <c r="CT486" s="41"/>
      <c r="CU486" s="41"/>
      <c r="CV486" s="41"/>
      <c r="CW486" s="41"/>
      <c r="CX486" s="41"/>
      <c r="CY486" s="41"/>
      <c r="CZ486" s="41"/>
      <c r="DA486" s="41"/>
      <c r="DB486" s="41"/>
      <c r="DC486" s="41"/>
      <c r="DD486" s="41">
        <v>0.1</v>
      </c>
      <c r="DE486" s="41"/>
      <c r="DF486" s="41"/>
      <c r="DG486" s="41"/>
      <c r="DH486" s="41"/>
      <c r="DI486" s="41"/>
      <c r="DJ486" s="41">
        <v>0.05</v>
      </c>
      <c r="DK486" s="41">
        <v>0.05</v>
      </c>
      <c r="DL486" s="41">
        <v>0.05</v>
      </c>
      <c r="DM486" s="41">
        <v>0.05</v>
      </c>
      <c r="DN486" s="41"/>
      <c r="DO486" s="41"/>
      <c r="DP486" s="41">
        <v>0.05</v>
      </c>
      <c r="DQ486" s="41"/>
      <c r="DR486" s="41">
        <v>0.05</v>
      </c>
      <c r="DS486" s="43"/>
      <c r="DT486" s="44">
        <f t="shared" ref="DT486" si="468">SUM(F486:DR486)</f>
        <v>1.0000000000000002</v>
      </c>
    </row>
    <row r="487" spans="2:124" s="13" customFormat="1">
      <c r="B487" s="4">
        <f>'6.1Personnel List'!B488</f>
        <v>475</v>
      </c>
      <c r="C487" s="45" t="s">
        <v>652</v>
      </c>
      <c r="D487" s="45" t="str">
        <f>'6.1Personnel List'!D488</f>
        <v>Medical Laboratory Technician III</v>
      </c>
      <c r="E487" s="45" t="str">
        <f>'6.1Personnel List'!H488</f>
        <v>FT</v>
      </c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  <c r="AA487" s="41"/>
      <c r="AB487" s="41"/>
      <c r="AC487" s="41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1"/>
      <c r="AP487" s="41"/>
      <c r="AQ487" s="41"/>
      <c r="AR487" s="41"/>
      <c r="AS487" s="41"/>
      <c r="AT487" s="41"/>
      <c r="AU487" s="41"/>
      <c r="AV487" s="41"/>
      <c r="AW487" s="41"/>
      <c r="AX487" s="41"/>
      <c r="AY487" s="41"/>
      <c r="AZ487" s="41"/>
      <c r="BA487" s="41"/>
      <c r="BB487" s="41"/>
      <c r="BC487" s="41"/>
      <c r="BD487" s="41"/>
      <c r="BE487" s="41"/>
      <c r="BF487" s="41"/>
      <c r="BG487" s="41"/>
      <c r="BH487" s="41"/>
      <c r="BJ487" s="41"/>
      <c r="BK487" s="41"/>
      <c r="BL487" s="41"/>
      <c r="BM487" s="41"/>
      <c r="BN487" s="41"/>
      <c r="BO487" s="41"/>
      <c r="BP487" s="41"/>
      <c r="BQ487" s="41"/>
      <c r="BR487" s="41"/>
      <c r="BS487" s="41"/>
      <c r="BT487" s="41"/>
      <c r="BU487" s="41"/>
      <c r="BV487" s="41"/>
      <c r="BW487" s="41"/>
      <c r="BX487" s="41"/>
      <c r="BY487" s="41"/>
      <c r="BZ487" s="41"/>
      <c r="CA487" s="41"/>
      <c r="CB487" s="41"/>
      <c r="CC487" s="41"/>
      <c r="CD487" s="41"/>
      <c r="CE487" s="41"/>
      <c r="CF487" s="41"/>
      <c r="CG487" s="41">
        <v>0.45</v>
      </c>
      <c r="CH487" s="41"/>
      <c r="CI487" s="41"/>
      <c r="CJ487" s="41"/>
      <c r="CK487" s="41"/>
      <c r="CL487" s="41"/>
      <c r="CM487" s="41">
        <v>0.05</v>
      </c>
      <c r="CN487" s="41">
        <v>0.05</v>
      </c>
      <c r="CO487" s="41"/>
      <c r="CP487" s="41">
        <v>0.05</v>
      </c>
      <c r="CQ487" s="41"/>
      <c r="CR487" s="41"/>
      <c r="CS487" s="41"/>
      <c r="CT487" s="41"/>
      <c r="CU487" s="41"/>
      <c r="CV487" s="41"/>
      <c r="CW487" s="41"/>
      <c r="CX487" s="41"/>
      <c r="CY487" s="41"/>
      <c r="CZ487" s="41"/>
      <c r="DA487" s="41"/>
      <c r="DB487" s="41"/>
      <c r="DC487" s="41"/>
      <c r="DD487" s="41">
        <v>0.1</v>
      </c>
      <c r="DE487" s="41"/>
      <c r="DF487" s="41"/>
      <c r="DG487" s="41"/>
      <c r="DH487" s="41"/>
      <c r="DI487" s="41"/>
      <c r="DJ487" s="41">
        <v>0.05</v>
      </c>
      <c r="DK487" s="41">
        <v>0.05</v>
      </c>
      <c r="DL487" s="41">
        <v>0.05</v>
      </c>
      <c r="DM487" s="41">
        <v>0.05</v>
      </c>
      <c r="DN487" s="41"/>
      <c r="DO487" s="41"/>
      <c r="DP487" s="41">
        <v>0.05</v>
      </c>
      <c r="DQ487" s="41"/>
      <c r="DR487" s="41">
        <v>0.05</v>
      </c>
      <c r="DS487" s="43"/>
      <c r="DT487" s="44">
        <f t="shared" ref="DT487" si="469">SUM(F487:DR487)</f>
        <v>1.0000000000000002</v>
      </c>
    </row>
    <row r="488" spans="2:124" s="13" customFormat="1">
      <c r="B488" s="4">
        <f>'6.1Personnel List'!B489</f>
        <v>476</v>
      </c>
      <c r="C488" s="45" t="s">
        <v>653</v>
      </c>
      <c r="D488" s="45" t="str">
        <f>'6.1Personnel List'!D489</f>
        <v>Medical Laboratory Technician III</v>
      </c>
      <c r="E488" s="45" t="str">
        <f>'6.1Personnel List'!H489</f>
        <v>FT</v>
      </c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  <c r="AA488" s="41"/>
      <c r="AB488" s="41"/>
      <c r="AC488" s="41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1"/>
      <c r="AP488" s="41"/>
      <c r="AQ488" s="41"/>
      <c r="AR488" s="41"/>
      <c r="AS488" s="41"/>
      <c r="AT488" s="41"/>
      <c r="AU488" s="41"/>
      <c r="AV488" s="41"/>
      <c r="AW488" s="41"/>
      <c r="AX488" s="41"/>
      <c r="AY488" s="41"/>
      <c r="AZ488" s="41"/>
      <c r="BA488" s="41"/>
      <c r="BB488" s="41"/>
      <c r="BC488" s="41"/>
      <c r="BD488" s="41"/>
      <c r="BE488" s="41"/>
      <c r="BF488" s="41"/>
      <c r="BG488" s="41"/>
      <c r="BH488" s="41"/>
      <c r="BJ488" s="41"/>
      <c r="BK488" s="41"/>
      <c r="BL488" s="41"/>
      <c r="BM488" s="41"/>
      <c r="BN488" s="41"/>
      <c r="BO488" s="41"/>
      <c r="BP488" s="41"/>
      <c r="BQ488" s="41"/>
      <c r="BR488" s="41"/>
      <c r="BS488" s="41"/>
      <c r="BT488" s="41"/>
      <c r="BU488" s="41"/>
      <c r="BV488" s="41"/>
      <c r="BW488" s="41"/>
      <c r="BX488" s="41"/>
      <c r="BY488" s="41"/>
      <c r="BZ488" s="41"/>
      <c r="CA488" s="41"/>
      <c r="CB488" s="41"/>
      <c r="CC488" s="41"/>
      <c r="CD488" s="41"/>
      <c r="CE488" s="41"/>
      <c r="CF488" s="41"/>
      <c r="CG488" s="41">
        <v>0.45</v>
      </c>
      <c r="CH488" s="41"/>
      <c r="CI488" s="41"/>
      <c r="CJ488" s="41"/>
      <c r="CK488" s="41"/>
      <c r="CL488" s="41"/>
      <c r="CM488" s="41">
        <v>0.05</v>
      </c>
      <c r="CN488" s="41">
        <v>0.05</v>
      </c>
      <c r="CO488" s="41"/>
      <c r="CP488" s="41">
        <v>0.05</v>
      </c>
      <c r="CQ488" s="41"/>
      <c r="CR488" s="41"/>
      <c r="CS488" s="41"/>
      <c r="CT488" s="41"/>
      <c r="CU488" s="41"/>
      <c r="CV488" s="41"/>
      <c r="CW488" s="41"/>
      <c r="CX488" s="41"/>
      <c r="CY488" s="41"/>
      <c r="CZ488" s="41"/>
      <c r="DA488" s="41"/>
      <c r="DB488" s="41"/>
      <c r="DC488" s="41"/>
      <c r="DD488" s="41">
        <v>0.1</v>
      </c>
      <c r="DE488" s="41"/>
      <c r="DF488" s="41"/>
      <c r="DG488" s="41"/>
      <c r="DH488" s="41"/>
      <c r="DI488" s="41"/>
      <c r="DJ488" s="41">
        <v>0.05</v>
      </c>
      <c r="DK488" s="41">
        <v>0.05</v>
      </c>
      <c r="DL488" s="41">
        <v>0.05</v>
      </c>
      <c r="DM488" s="41">
        <v>0.05</v>
      </c>
      <c r="DN488" s="41"/>
      <c r="DO488" s="41"/>
      <c r="DP488" s="41">
        <v>0.05</v>
      </c>
      <c r="DQ488" s="41"/>
      <c r="DR488" s="41">
        <v>0.05</v>
      </c>
      <c r="DS488" s="43"/>
      <c r="DT488" s="44">
        <f t="shared" ref="DT488" si="470">SUM(F488:DR488)</f>
        <v>1.0000000000000002</v>
      </c>
    </row>
    <row r="489" spans="2:124" s="13" customFormat="1">
      <c r="B489" s="4">
        <f>'6.1Personnel List'!B490</f>
        <v>477</v>
      </c>
      <c r="C489" s="45" t="s">
        <v>654</v>
      </c>
      <c r="D489" s="45" t="str">
        <f>'6.1Personnel List'!D490</f>
        <v>Medical Laboratory Technician III</v>
      </c>
      <c r="E489" s="45" t="str">
        <f>'6.1Personnel List'!H490</f>
        <v>FT</v>
      </c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  <c r="AA489" s="41"/>
      <c r="AB489" s="41"/>
      <c r="AC489" s="41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1"/>
      <c r="AP489" s="41"/>
      <c r="AQ489" s="41"/>
      <c r="AR489" s="41"/>
      <c r="AS489" s="41"/>
      <c r="AT489" s="41"/>
      <c r="AU489" s="41"/>
      <c r="AV489" s="41"/>
      <c r="AW489" s="41"/>
      <c r="AX489" s="41"/>
      <c r="AY489" s="41"/>
      <c r="AZ489" s="41"/>
      <c r="BA489" s="41"/>
      <c r="BB489" s="41"/>
      <c r="BC489" s="41"/>
      <c r="BD489" s="41"/>
      <c r="BE489" s="41"/>
      <c r="BF489" s="41"/>
      <c r="BG489" s="41"/>
      <c r="BH489" s="41"/>
      <c r="BJ489" s="41"/>
      <c r="BK489" s="41"/>
      <c r="BL489" s="41"/>
      <c r="BM489" s="41"/>
      <c r="BN489" s="41"/>
      <c r="BO489" s="41"/>
      <c r="BP489" s="41"/>
      <c r="BQ489" s="41"/>
      <c r="BR489" s="41"/>
      <c r="BS489" s="41"/>
      <c r="BT489" s="41"/>
      <c r="BU489" s="41"/>
      <c r="BV489" s="41"/>
      <c r="BW489" s="41"/>
      <c r="BX489" s="41"/>
      <c r="BY489" s="41"/>
      <c r="BZ489" s="41"/>
      <c r="CA489" s="41"/>
      <c r="CB489" s="41"/>
      <c r="CC489" s="41"/>
      <c r="CD489" s="41"/>
      <c r="CE489" s="41"/>
      <c r="CF489" s="41"/>
      <c r="CG489" s="41">
        <v>0.45</v>
      </c>
      <c r="CH489" s="41"/>
      <c r="CI489" s="41"/>
      <c r="CJ489" s="41"/>
      <c r="CK489" s="41"/>
      <c r="CL489" s="41"/>
      <c r="CM489" s="41">
        <v>0.05</v>
      </c>
      <c r="CN489" s="41">
        <v>0.05</v>
      </c>
      <c r="CO489" s="41"/>
      <c r="CP489" s="41">
        <v>0.05</v>
      </c>
      <c r="CQ489" s="41"/>
      <c r="CR489" s="41"/>
      <c r="CS489" s="41"/>
      <c r="CT489" s="41"/>
      <c r="CU489" s="41"/>
      <c r="CV489" s="41"/>
      <c r="CW489" s="41"/>
      <c r="CX489" s="41"/>
      <c r="CY489" s="41"/>
      <c r="CZ489" s="41"/>
      <c r="DA489" s="41"/>
      <c r="DB489" s="41"/>
      <c r="DC489" s="41"/>
      <c r="DD489" s="41">
        <v>0.1</v>
      </c>
      <c r="DE489" s="41"/>
      <c r="DF489" s="41"/>
      <c r="DG489" s="41"/>
      <c r="DH489" s="41"/>
      <c r="DI489" s="41"/>
      <c r="DJ489" s="41">
        <v>0.05</v>
      </c>
      <c r="DK489" s="41">
        <v>0.05</v>
      </c>
      <c r="DL489" s="41">
        <v>0.05</v>
      </c>
      <c r="DM489" s="41">
        <v>0.05</v>
      </c>
      <c r="DN489" s="41"/>
      <c r="DO489" s="41"/>
      <c r="DP489" s="41">
        <v>0.05</v>
      </c>
      <c r="DQ489" s="41"/>
      <c r="DR489" s="41">
        <v>0.05</v>
      </c>
      <c r="DS489" s="43"/>
      <c r="DT489" s="44">
        <f t="shared" ref="DT489" si="471">SUM(F489:DR489)</f>
        <v>1.0000000000000002</v>
      </c>
    </row>
    <row r="490" spans="2:124" s="13" customFormat="1">
      <c r="B490" s="4">
        <f>'6.1Personnel List'!B491</f>
        <v>478</v>
      </c>
      <c r="C490" s="45" t="s">
        <v>655</v>
      </c>
      <c r="D490" s="45" t="str">
        <f>'6.1Personnel List'!D491</f>
        <v>Medical Laboratory Technician III</v>
      </c>
      <c r="E490" s="45" t="str">
        <f>'6.1Personnel List'!H491</f>
        <v>FT</v>
      </c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  <c r="AA490" s="41"/>
      <c r="AB490" s="41"/>
      <c r="AC490" s="41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1"/>
      <c r="AP490" s="41"/>
      <c r="AQ490" s="41"/>
      <c r="AR490" s="41"/>
      <c r="AS490" s="41"/>
      <c r="AT490" s="41"/>
      <c r="AU490" s="41"/>
      <c r="AV490" s="41"/>
      <c r="AW490" s="41"/>
      <c r="AX490" s="41"/>
      <c r="AY490" s="41"/>
      <c r="AZ490" s="41"/>
      <c r="BA490" s="41"/>
      <c r="BB490" s="41"/>
      <c r="BC490" s="41"/>
      <c r="BD490" s="41"/>
      <c r="BE490" s="41"/>
      <c r="BF490" s="41"/>
      <c r="BG490" s="41"/>
      <c r="BH490" s="41"/>
      <c r="BJ490" s="41"/>
      <c r="BK490" s="41"/>
      <c r="BL490" s="41"/>
      <c r="BM490" s="41"/>
      <c r="BN490" s="41"/>
      <c r="BO490" s="41"/>
      <c r="BP490" s="41"/>
      <c r="BQ490" s="41"/>
      <c r="BR490" s="41"/>
      <c r="BS490" s="41"/>
      <c r="BT490" s="41"/>
      <c r="BU490" s="41"/>
      <c r="BV490" s="41"/>
      <c r="BW490" s="41"/>
      <c r="BX490" s="41"/>
      <c r="BY490" s="41"/>
      <c r="BZ490" s="41"/>
      <c r="CA490" s="41"/>
      <c r="CB490" s="41"/>
      <c r="CC490" s="41"/>
      <c r="CD490" s="41"/>
      <c r="CE490" s="41"/>
      <c r="CF490" s="41"/>
      <c r="CG490" s="41">
        <v>0.45</v>
      </c>
      <c r="CH490" s="41"/>
      <c r="CI490" s="41"/>
      <c r="CJ490" s="41"/>
      <c r="CK490" s="41"/>
      <c r="CL490" s="41"/>
      <c r="CM490" s="41">
        <v>0.05</v>
      </c>
      <c r="CN490" s="41">
        <v>0.05</v>
      </c>
      <c r="CO490" s="41"/>
      <c r="CP490" s="41">
        <v>0.05</v>
      </c>
      <c r="CQ490" s="41"/>
      <c r="CR490" s="41"/>
      <c r="CS490" s="41"/>
      <c r="CT490" s="41"/>
      <c r="CU490" s="41"/>
      <c r="CV490" s="41"/>
      <c r="CW490" s="41"/>
      <c r="CX490" s="41"/>
      <c r="CY490" s="41"/>
      <c r="CZ490" s="41"/>
      <c r="DA490" s="41"/>
      <c r="DB490" s="41"/>
      <c r="DC490" s="41"/>
      <c r="DD490" s="41">
        <v>0.1</v>
      </c>
      <c r="DE490" s="41"/>
      <c r="DF490" s="41"/>
      <c r="DG490" s="41"/>
      <c r="DH490" s="41"/>
      <c r="DI490" s="41"/>
      <c r="DJ490" s="41">
        <v>0.05</v>
      </c>
      <c r="DK490" s="41">
        <v>0.05</v>
      </c>
      <c r="DL490" s="41">
        <v>0.05</v>
      </c>
      <c r="DM490" s="41">
        <v>0.05</v>
      </c>
      <c r="DN490" s="41"/>
      <c r="DO490" s="41"/>
      <c r="DP490" s="41">
        <v>0.05</v>
      </c>
      <c r="DQ490" s="41"/>
      <c r="DR490" s="41">
        <v>0.05</v>
      </c>
      <c r="DS490" s="43"/>
      <c r="DT490" s="44">
        <f t="shared" ref="DT490" si="472">SUM(F490:DR490)</f>
        <v>1.0000000000000002</v>
      </c>
    </row>
    <row r="491" spans="2:124" s="13" customFormat="1">
      <c r="B491" s="4">
        <f>'6.1Personnel List'!B492</f>
        <v>479</v>
      </c>
      <c r="C491" s="45" t="s">
        <v>656</v>
      </c>
      <c r="D491" s="45" t="str">
        <f>'6.1Personnel List'!D492</f>
        <v>Laboratory Technician I</v>
      </c>
      <c r="E491" s="45" t="str">
        <f>'6.1Personnel List'!H492</f>
        <v>FT</v>
      </c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  <c r="AA491" s="41"/>
      <c r="AB491" s="41"/>
      <c r="AC491" s="41"/>
      <c r="AD491" s="41"/>
      <c r="AE491" s="41"/>
      <c r="AF491" s="41"/>
      <c r="AG491" s="41"/>
      <c r="AH491" s="41"/>
      <c r="AI491" s="41"/>
      <c r="AJ491" s="41"/>
      <c r="AK491" s="41"/>
      <c r="AL491" s="41"/>
      <c r="AM491" s="41"/>
      <c r="AN491" s="41"/>
      <c r="AO491" s="41"/>
      <c r="AP491" s="41"/>
      <c r="AQ491" s="41"/>
      <c r="AR491" s="41"/>
      <c r="AS491" s="41"/>
      <c r="AT491" s="41"/>
      <c r="AU491" s="41"/>
      <c r="AV491" s="41"/>
      <c r="AW491" s="41"/>
      <c r="AX491" s="41"/>
      <c r="AY491" s="41"/>
      <c r="AZ491" s="41"/>
      <c r="BA491" s="41"/>
      <c r="BB491" s="41"/>
      <c r="BC491" s="41"/>
      <c r="BD491" s="41"/>
      <c r="BE491" s="41"/>
      <c r="BF491" s="41"/>
      <c r="BG491" s="41"/>
      <c r="BH491" s="41"/>
      <c r="BJ491" s="41"/>
      <c r="BK491" s="41"/>
      <c r="BL491" s="41"/>
      <c r="BM491" s="41"/>
      <c r="BN491" s="41"/>
      <c r="BO491" s="41"/>
      <c r="BP491" s="41"/>
      <c r="BQ491" s="41"/>
      <c r="BR491" s="41"/>
      <c r="BS491" s="41"/>
      <c r="BT491" s="41"/>
      <c r="BU491" s="41"/>
      <c r="BV491" s="41"/>
      <c r="BW491" s="41"/>
      <c r="BX491" s="41"/>
      <c r="BY491" s="41"/>
      <c r="BZ491" s="41"/>
      <c r="CA491" s="41"/>
      <c r="CB491" s="41"/>
      <c r="CC491" s="41"/>
      <c r="CD491" s="41"/>
      <c r="CE491" s="41"/>
      <c r="CF491" s="41">
        <v>0.5</v>
      </c>
      <c r="CG491" s="41">
        <v>0.5</v>
      </c>
      <c r="CH491" s="41"/>
      <c r="CI491" s="41"/>
      <c r="CJ491" s="41"/>
      <c r="CK491" s="41"/>
      <c r="CL491" s="41"/>
      <c r="CM491" s="41"/>
      <c r="CN491" s="41"/>
      <c r="CO491" s="41"/>
      <c r="CP491" s="41"/>
      <c r="CQ491" s="41"/>
      <c r="CR491" s="41"/>
      <c r="CS491" s="41"/>
      <c r="CT491" s="41"/>
      <c r="CU491" s="41"/>
      <c r="CV491" s="41"/>
      <c r="CW491" s="41"/>
      <c r="CX491" s="41"/>
      <c r="CY491" s="41"/>
      <c r="CZ491" s="41"/>
      <c r="DA491" s="41"/>
      <c r="DB491" s="41"/>
      <c r="DC491" s="41"/>
      <c r="DD491" s="41"/>
      <c r="DE491" s="41"/>
      <c r="DF491" s="41"/>
      <c r="DG491" s="41"/>
      <c r="DH491" s="41"/>
      <c r="DI491" s="41"/>
      <c r="DJ491" s="41"/>
      <c r="DK491" s="41"/>
      <c r="DL491" s="41"/>
      <c r="DM491" s="41"/>
      <c r="DN491" s="41"/>
      <c r="DO491" s="41"/>
      <c r="DP491" s="41"/>
      <c r="DQ491" s="41"/>
      <c r="DR491" s="41"/>
      <c r="DS491" s="43"/>
      <c r="DT491" s="44">
        <f t="shared" ref="DT491" si="473">SUM(F491:DR491)</f>
        <v>1</v>
      </c>
    </row>
    <row r="492" spans="2:124" s="13" customFormat="1">
      <c r="B492" s="4">
        <f>'6.1Personnel List'!B493</f>
        <v>480</v>
      </c>
      <c r="C492" s="45" t="s">
        <v>658</v>
      </c>
      <c r="D492" s="45" t="str">
        <f>'6.1Personnel List'!D493</f>
        <v>Laboratory Aide II</v>
      </c>
      <c r="E492" s="45" t="str">
        <f>'6.1Personnel List'!H493</f>
        <v>FT</v>
      </c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  <c r="AA492" s="41"/>
      <c r="AB492" s="41"/>
      <c r="AC492" s="41"/>
      <c r="AD492" s="41"/>
      <c r="AE492" s="41"/>
      <c r="AF492" s="41"/>
      <c r="AG492" s="41"/>
      <c r="AH492" s="41"/>
      <c r="AI492" s="41"/>
      <c r="AJ492" s="41"/>
      <c r="AK492" s="41"/>
      <c r="AL492" s="41"/>
      <c r="AM492" s="41"/>
      <c r="AN492" s="41"/>
      <c r="AO492" s="41"/>
      <c r="AP492" s="41"/>
      <c r="AQ492" s="41"/>
      <c r="AR492" s="41"/>
      <c r="AS492" s="41"/>
      <c r="AT492" s="41"/>
      <c r="AU492" s="41"/>
      <c r="AV492" s="41"/>
      <c r="AW492" s="41"/>
      <c r="AX492" s="41"/>
      <c r="AY492" s="41"/>
      <c r="AZ492" s="41"/>
      <c r="BA492" s="41"/>
      <c r="BB492" s="41"/>
      <c r="BC492" s="41"/>
      <c r="BD492" s="41"/>
      <c r="BE492" s="41"/>
      <c r="BF492" s="41"/>
      <c r="BG492" s="41"/>
      <c r="BH492" s="41"/>
      <c r="BJ492" s="41"/>
      <c r="BK492" s="41"/>
      <c r="BL492" s="41"/>
      <c r="BM492" s="41"/>
      <c r="BN492" s="41"/>
      <c r="BO492" s="41"/>
      <c r="BP492" s="41"/>
      <c r="BQ492" s="41"/>
      <c r="BR492" s="41"/>
      <c r="BS492" s="41"/>
      <c r="BT492" s="41"/>
      <c r="BU492" s="41"/>
      <c r="BV492" s="41"/>
      <c r="BW492" s="41"/>
      <c r="BX492" s="41"/>
      <c r="BY492" s="41"/>
      <c r="BZ492" s="41"/>
      <c r="CA492" s="41"/>
      <c r="CB492" s="41"/>
      <c r="CC492" s="41"/>
      <c r="CD492" s="41"/>
      <c r="CE492" s="41"/>
      <c r="CF492" s="41">
        <v>0.5</v>
      </c>
      <c r="CG492" s="41">
        <v>0.5</v>
      </c>
      <c r="CH492" s="41"/>
      <c r="CI492" s="41"/>
      <c r="CJ492" s="41"/>
      <c r="CK492" s="41"/>
      <c r="CL492" s="41"/>
      <c r="CM492" s="41"/>
      <c r="CN492" s="41"/>
      <c r="CO492" s="41"/>
      <c r="CP492" s="41"/>
      <c r="CQ492" s="41"/>
      <c r="CR492" s="41"/>
      <c r="CS492" s="41"/>
      <c r="CT492" s="41"/>
      <c r="CU492" s="41"/>
      <c r="CV492" s="41"/>
      <c r="CW492" s="41"/>
      <c r="CX492" s="41"/>
      <c r="CY492" s="41"/>
      <c r="CZ492" s="41"/>
      <c r="DA492" s="41"/>
      <c r="DB492" s="41"/>
      <c r="DC492" s="41"/>
      <c r="DD492" s="41"/>
      <c r="DE492" s="41"/>
      <c r="DF492" s="41"/>
      <c r="DG492" s="41"/>
      <c r="DH492" s="41"/>
      <c r="DI492" s="41"/>
      <c r="DJ492" s="41"/>
      <c r="DK492" s="41"/>
      <c r="DL492" s="41"/>
      <c r="DM492" s="41"/>
      <c r="DN492" s="41"/>
      <c r="DO492" s="41"/>
      <c r="DP492" s="41"/>
      <c r="DQ492" s="41"/>
      <c r="DR492" s="41"/>
      <c r="DS492" s="43"/>
      <c r="DT492" s="44">
        <f t="shared" ref="DT492" si="474">SUM(F492:DR492)</f>
        <v>1</v>
      </c>
    </row>
    <row r="493" spans="2:124" s="13" customFormat="1">
      <c r="B493" s="4">
        <f>'6.1Personnel List'!B494</f>
        <v>481</v>
      </c>
      <c r="C493" s="45" t="s">
        <v>660</v>
      </c>
      <c r="D493" s="45" t="str">
        <f>'6.1Personnel List'!D494</f>
        <v>Laboratory Aide II</v>
      </c>
      <c r="E493" s="45" t="str">
        <f>'6.1Personnel List'!H494</f>
        <v>FT</v>
      </c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  <c r="AA493" s="41"/>
      <c r="AB493" s="41"/>
      <c r="AC493" s="41"/>
      <c r="AD493" s="41"/>
      <c r="AE493" s="41"/>
      <c r="AF493" s="41"/>
      <c r="AG493" s="41"/>
      <c r="AH493" s="41"/>
      <c r="AI493" s="41"/>
      <c r="AJ493" s="41"/>
      <c r="AK493" s="41"/>
      <c r="AL493" s="41"/>
      <c r="AM493" s="41"/>
      <c r="AN493" s="41"/>
      <c r="AO493" s="41"/>
      <c r="AP493" s="41"/>
      <c r="AQ493" s="41"/>
      <c r="AR493" s="41"/>
      <c r="AS493" s="41"/>
      <c r="AT493" s="41"/>
      <c r="AU493" s="41"/>
      <c r="AV493" s="41"/>
      <c r="AW493" s="41"/>
      <c r="AX493" s="41"/>
      <c r="AY493" s="41"/>
      <c r="AZ493" s="41"/>
      <c r="BA493" s="41"/>
      <c r="BB493" s="41"/>
      <c r="BC493" s="41"/>
      <c r="BD493" s="41"/>
      <c r="BE493" s="41"/>
      <c r="BF493" s="41"/>
      <c r="BG493" s="41"/>
      <c r="BH493" s="41"/>
      <c r="BJ493" s="41"/>
      <c r="BK493" s="41"/>
      <c r="BL493" s="41"/>
      <c r="BM493" s="41"/>
      <c r="BN493" s="41"/>
      <c r="BO493" s="41"/>
      <c r="BP493" s="41"/>
      <c r="BQ493" s="41"/>
      <c r="BR493" s="41"/>
      <c r="BS493" s="41"/>
      <c r="BT493" s="41"/>
      <c r="BU493" s="41"/>
      <c r="BV493" s="41"/>
      <c r="BW493" s="41"/>
      <c r="BX493" s="41"/>
      <c r="BY493" s="41"/>
      <c r="BZ493" s="41"/>
      <c r="CA493" s="41"/>
      <c r="CB493" s="41"/>
      <c r="CC493" s="41"/>
      <c r="CD493" s="41"/>
      <c r="CE493" s="41"/>
      <c r="CF493" s="41">
        <v>0.5</v>
      </c>
      <c r="CG493" s="41">
        <v>0.5</v>
      </c>
      <c r="CH493" s="41"/>
      <c r="CI493" s="41"/>
      <c r="CJ493" s="41"/>
      <c r="CK493" s="41"/>
      <c r="CL493" s="41"/>
      <c r="CM493" s="41"/>
      <c r="CN493" s="41"/>
      <c r="CO493" s="41"/>
      <c r="CP493" s="41"/>
      <c r="CQ493" s="41"/>
      <c r="CR493" s="41"/>
      <c r="CS493" s="41"/>
      <c r="CT493" s="41"/>
      <c r="CU493" s="41"/>
      <c r="CV493" s="41"/>
      <c r="CW493" s="41"/>
      <c r="CX493" s="41"/>
      <c r="CY493" s="41"/>
      <c r="CZ493" s="41"/>
      <c r="DA493" s="41"/>
      <c r="DB493" s="41"/>
      <c r="DC493" s="41"/>
      <c r="DD493" s="41"/>
      <c r="DE493" s="41"/>
      <c r="DF493" s="41"/>
      <c r="DG493" s="41"/>
      <c r="DH493" s="41"/>
      <c r="DI493" s="41"/>
      <c r="DJ493" s="41"/>
      <c r="DK493" s="41"/>
      <c r="DL493" s="41"/>
      <c r="DM493" s="41"/>
      <c r="DN493" s="41"/>
      <c r="DO493" s="41"/>
      <c r="DP493" s="41"/>
      <c r="DQ493" s="41"/>
      <c r="DR493" s="41"/>
      <c r="DS493" s="43"/>
      <c r="DT493" s="44">
        <f t="shared" ref="DT493" si="475">SUM(F493:DR493)</f>
        <v>1</v>
      </c>
    </row>
    <row r="494" spans="2:124" s="13" customFormat="1">
      <c r="B494" s="4">
        <f>'6.1Personnel List'!B495</f>
        <v>482</v>
      </c>
      <c r="C494" s="45" t="s">
        <v>661</v>
      </c>
      <c r="D494" s="45" t="str">
        <f>'6.1Personnel List'!D495</f>
        <v>Laboratory Aide II</v>
      </c>
      <c r="E494" s="45" t="str">
        <f>'6.1Personnel List'!H495</f>
        <v>FT</v>
      </c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  <c r="AA494" s="41"/>
      <c r="AB494" s="41"/>
      <c r="AC494" s="41"/>
      <c r="AD494" s="41"/>
      <c r="AE494" s="41"/>
      <c r="AF494" s="41"/>
      <c r="AG494" s="41"/>
      <c r="AH494" s="41"/>
      <c r="AI494" s="41"/>
      <c r="AJ494" s="41"/>
      <c r="AK494" s="41"/>
      <c r="AL494" s="41"/>
      <c r="AM494" s="41"/>
      <c r="AN494" s="41"/>
      <c r="AO494" s="41"/>
      <c r="AP494" s="41"/>
      <c r="AQ494" s="41"/>
      <c r="AR494" s="41"/>
      <c r="AS494" s="41"/>
      <c r="AT494" s="41"/>
      <c r="AU494" s="41"/>
      <c r="AV494" s="41"/>
      <c r="AW494" s="41"/>
      <c r="AX494" s="41"/>
      <c r="AY494" s="41"/>
      <c r="AZ494" s="41"/>
      <c r="BA494" s="41"/>
      <c r="BB494" s="41"/>
      <c r="BC494" s="41"/>
      <c r="BD494" s="41"/>
      <c r="BE494" s="41"/>
      <c r="BF494" s="41"/>
      <c r="BG494" s="41"/>
      <c r="BH494" s="41"/>
      <c r="BJ494" s="41"/>
      <c r="BK494" s="41"/>
      <c r="BL494" s="41"/>
      <c r="BM494" s="41"/>
      <c r="BN494" s="41"/>
      <c r="BO494" s="41"/>
      <c r="BP494" s="41"/>
      <c r="BQ494" s="41"/>
      <c r="BR494" s="41"/>
      <c r="BS494" s="41"/>
      <c r="BT494" s="41"/>
      <c r="BU494" s="41"/>
      <c r="BV494" s="41"/>
      <c r="BW494" s="41"/>
      <c r="BX494" s="41"/>
      <c r="BY494" s="41"/>
      <c r="BZ494" s="41"/>
      <c r="CA494" s="41"/>
      <c r="CB494" s="41"/>
      <c r="CC494" s="41"/>
      <c r="CD494" s="41"/>
      <c r="CE494" s="41"/>
      <c r="CF494" s="41">
        <v>0.5</v>
      </c>
      <c r="CG494" s="41">
        <v>0.5</v>
      </c>
      <c r="CH494" s="41"/>
      <c r="CI494" s="41"/>
      <c r="CJ494" s="41"/>
      <c r="CK494" s="41"/>
      <c r="CL494" s="41"/>
      <c r="CM494" s="41"/>
      <c r="CN494" s="41"/>
      <c r="CO494" s="41"/>
      <c r="CP494" s="41"/>
      <c r="CQ494" s="41"/>
      <c r="CR494" s="41"/>
      <c r="CS494" s="41"/>
      <c r="CT494" s="41"/>
      <c r="CU494" s="41"/>
      <c r="CV494" s="41"/>
      <c r="CW494" s="41"/>
      <c r="CX494" s="41"/>
      <c r="CY494" s="41"/>
      <c r="CZ494" s="41"/>
      <c r="DA494" s="41"/>
      <c r="DB494" s="41"/>
      <c r="DC494" s="41"/>
      <c r="DD494" s="41"/>
      <c r="DE494" s="41"/>
      <c r="DF494" s="41"/>
      <c r="DG494" s="41"/>
      <c r="DH494" s="41"/>
      <c r="DI494" s="41"/>
      <c r="DJ494" s="41"/>
      <c r="DK494" s="41"/>
      <c r="DL494" s="41"/>
      <c r="DM494" s="41"/>
      <c r="DN494" s="41"/>
      <c r="DO494" s="41"/>
      <c r="DP494" s="41"/>
      <c r="DQ494" s="41"/>
      <c r="DR494" s="41"/>
      <c r="DS494" s="43"/>
      <c r="DT494" s="44">
        <f t="shared" ref="DT494" si="476">SUM(F494:DR494)</f>
        <v>1</v>
      </c>
    </row>
    <row r="495" spans="2:124" s="13" customFormat="1">
      <c r="B495" s="4">
        <f>'6.1Personnel List'!B496</f>
        <v>483</v>
      </c>
      <c r="C495" s="45" t="s">
        <v>1545</v>
      </c>
      <c r="D495" s="45" t="str">
        <f>'6.1Personnel List'!D496</f>
        <v>Laboratory Aide II</v>
      </c>
      <c r="E495" s="45" t="str">
        <f>'6.1Personnel List'!H496</f>
        <v>FT</v>
      </c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  <c r="AA495" s="41"/>
      <c r="AB495" s="41"/>
      <c r="AC495" s="41"/>
      <c r="AD495" s="41"/>
      <c r="AE495" s="41"/>
      <c r="AF495" s="41"/>
      <c r="AG495" s="41"/>
      <c r="AH495" s="41"/>
      <c r="AI495" s="41"/>
      <c r="AJ495" s="41"/>
      <c r="AK495" s="41"/>
      <c r="AL495" s="41"/>
      <c r="AM495" s="41"/>
      <c r="AN495" s="41"/>
      <c r="AO495" s="41"/>
      <c r="AP495" s="41"/>
      <c r="AQ495" s="41"/>
      <c r="AR495" s="41"/>
      <c r="AS495" s="41"/>
      <c r="AT495" s="41"/>
      <c r="AU495" s="41"/>
      <c r="AV495" s="41"/>
      <c r="AW495" s="41"/>
      <c r="AX495" s="41"/>
      <c r="AY495" s="41"/>
      <c r="AZ495" s="41"/>
      <c r="BA495" s="41"/>
      <c r="BB495" s="41"/>
      <c r="BC495" s="41"/>
      <c r="BD495" s="41"/>
      <c r="BE495" s="41"/>
      <c r="BF495" s="41"/>
      <c r="BG495" s="41"/>
      <c r="BH495" s="41"/>
      <c r="BJ495" s="41"/>
      <c r="BK495" s="41"/>
      <c r="BL495" s="41"/>
      <c r="BM495" s="41"/>
      <c r="BN495" s="41"/>
      <c r="BO495" s="41"/>
      <c r="BP495" s="41"/>
      <c r="BQ495" s="41"/>
      <c r="BR495" s="41"/>
      <c r="BS495" s="41"/>
      <c r="BT495" s="41"/>
      <c r="BU495" s="41"/>
      <c r="BV495" s="41"/>
      <c r="BW495" s="41"/>
      <c r="BX495" s="41"/>
      <c r="BY495" s="41"/>
      <c r="BZ495" s="41"/>
      <c r="CA495" s="41"/>
      <c r="CB495" s="41"/>
      <c r="CC495" s="41"/>
      <c r="CD495" s="41"/>
      <c r="CE495" s="41"/>
      <c r="CF495" s="41">
        <v>0.5</v>
      </c>
      <c r="CG495" s="41">
        <v>0.5</v>
      </c>
      <c r="CH495" s="41"/>
      <c r="CI495" s="41"/>
      <c r="CJ495" s="41"/>
      <c r="CK495" s="41"/>
      <c r="CL495" s="41"/>
      <c r="CM495" s="41"/>
      <c r="CN495" s="41"/>
      <c r="CO495" s="41"/>
      <c r="CP495" s="41"/>
      <c r="CQ495" s="41"/>
      <c r="CR495" s="41"/>
      <c r="CS495" s="41"/>
      <c r="CT495" s="41"/>
      <c r="CU495" s="41"/>
      <c r="CV495" s="41"/>
      <c r="CW495" s="41"/>
      <c r="CX495" s="41"/>
      <c r="CY495" s="41"/>
      <c r="CZ495" s="41"/>
      <c r="DA495" s="41"/>
      <c r="DB495" s="41"/>
      <c r="DC495" s="41"/>
      <c r="DD495" s="41"/>
      <c r="DE495" s="41"/>
      <c r="DF495" s="41"/>
      <c r="DG495" s="41"/>
      <c r="DH495" s="41"/>
      <c r="DI495" s="41"/>
      <c r="DJ495" s="41"/>
      <c r="DK495" s="41"/>
      <c r="DL495" s="41"/>
      <c r="DM495" s="41"/>
      <c r="DN495" s="41"/>
      <c r="DO495" s="41"/>
      <c r="DP495" s="41"/>
      <c r="DQ495" s="41"/>
      <c r="DR495" s="41"/>
      <c r="DS495" s="43"/>
      <c r="DT495" s="44">
        <f t="shared" ref="DT495" si="477">SUM(F495:DR495)</f>
        <v>1</v>
      </c>
    </row>
    <row r="496" spans="2:124" s="13" customFormat="1">
      <c r="B496" s="4">
        <f>'6.1Personnel List'!B497</f>
        <v>484</v>
      </c>
      <c r="C496" s="45" t="s">
        <v>662</v>
      </c>
      <c r="D496" s="45" t="str">
        <f>'6.1Personnel List'!D497</f>
        <v>Laboratory Aide II</v>
      </c>
      <c r="E496" s="45" t="str">
        <f>'6.1Personnel List'!H497</f>
        <v>FT</v>
      </c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  <c r="AA496" s="41"/>
      <c r="AB496" s="41"/>
      <c r="AC496" s="41"/>
      <c r="AD496" s="41"/>
      <c r="AE496" s="41"/>
      <c r="AF496" s="41"/>
      <c r="AG496" s="41"/>
      <c r="AH496" s="41"/>
      <c r="AI496" s="41"/>
      <c r="AJ496" s="41"/>
      <c r="AK496" s="41"/>
      <c r="AL496" s="41"/>
      <c r="AM496" s="41"/>
      <c r="AN496" s="41"/>
      <c r="AO496" s="41"/>
      <c r="AP496" s="41"/>
      <c r="AQ496" s="41"/>
      <c r="AR496" s="41"/>
      <c r="AS496" s="41"/>
      <c r="AT496" s="41"/>
      <c r="AU496" s="41"/>
      <c r="AV496" s="41"/>
      <c r="AW496" s="41"/>
      <c r="AX496" s="41"/>
      <c r="AY496" s="41"/>
      <c r="AZ496" s="41"/>
      <c r="BA496" s="41"/>
      <c r="BB496" s="41"/>
      <c r="BC496" s="41"/>
      <c r="BD496" s="41"/>
      <c r="BE496" s="41"/>
      <c r="BF496" s="41"/>
      <c r="BG496" s="41"/>
      <c r="BH496" s="41"/>
      <c r="BJ496" s="41"/>
      <c r="BK496" s="41"/>
      <c r="BL496" s="41"/>
      <c r="BM496" s="41"/>
      <c r="BN496" s="41"/>
      <c r="BO496" s="41"/>
      <c r="BP496" s="41"/>
      <c r="BQ496" s="41"/>
      <c r="BR496" s="41"/>
      <c r="BS496" s="41"/>
      <c r="BT496" s="41"/>
      <c r="BU496" s="41"/>
      <c r="BV496" s="41"/>
      <c r="BW496" s="41"/>
      <c r="BX496" s="41"/>
      <c r="BY496" s="41"/>
      <c r="BZ496" s="41"/>
      <c r="CA496" s="41"/>
      <c r="CB496" s="41"/>
      <c r="CC496" s="41"/>
      <c r="CD496" s="41"/>
      <c r="CE496" s="41"/>
      <c r="CF496" s="41">
        <v>0.5</v>
      </c>
      <c r="CG496" s="41">
        <v>0.5</v>
      </c>
      <c r="CH496" s="41"/>
      <c r="CI496" s="41"/>
      <c r="CJ496" s="41"/>
      <c r="CK496" s="41"/>
      <c r="CL496" s="41"/>
      <c r="CM496" s="41"/>
      <c r="CN496" s="41"/>
      <c r="CO496" s="41"/>
      <c r="CP496" s="41"/>
      <c r="CQ496" s="41"/>
      <c r="CR496" s="41"/>
      <c r="CS496" s="41"/>
      <c r="CT496" s="41"/>
      <c r="CU496" s="41"/>
      <c r="CV496" s="41"/>
      <c r="CW496" s="41"/>
      <c r="CX496" s="41"/>
      <c r="CY496" s="41"/>
      <c r="CZ496" s="41"/>
      <c r="DA496" s="41"/>
      <c r="DB496" s="41"/>
      <c r="DC496" s="41"/>
      <c r="DD496" s="41"/>
      <c r="DE496" s="41"/>
      <c r="DF496" s="41"/>
      <c r="DG496" s="41"/>
      <c r="DH496" s="41"/>
      <c r="DI496" s="41"/>
      <c r="DJ496" s="41"/>
      <c r="DK496" s="41"/>
      <c r="DL496" s="41"/>
      <c r="DM496" s="41"/>
      <c r="DN496" s="41"/>
      <c r="DO496" s="41"/>
      <c r="DP496" s="41"/>
      <c r="DQ496" s="41"/>
      <c r="DR496" s="41"/>
      <c r="DS496" s="43"/>
      <c r="DT496" s="44">
        <f t="shared" ref="DT496" si="478">SUM(F496:DR496)</f>
        <v>1</v>
      </c>
    </row>
    <row r="497" spans="2:124" s="13" customFormat="1">
      <c r="B497" s="4">
        <f>'6.1Personnel List'!B498</f>
        <v>485</v>
      </c>
      <c r="C497" s="45" t="s">
        <v>663</v>
      </c>
      <c r="D497" s="45" t="str">
        <f>'6.1Personnel List'!D498</f>
        <v>Laboratory Aide II</v>
      </c>
      <c r="E497" s="45" t="str">
        <f>'6.1Personnel List'!H498</f>
        <v>FT</v>
      </c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  <c r="AA497" s="41"/>
      <c r="AB497" s="41"/>
      <c r="AC497" s="41"/>
      <c r="AD497" s="41"/>
      <c r="AE497" s="41"/>
      <c r="AF497" s="41"/>
      <c r="AG497" s="41"/>
      <c r="AH497" s="41"/>
      <c r="AI497" s="41"/>
      <c r="AJ497" s="41"/>
      <c r="AK497" s="41"/>
      <c r="AL497" s="41"/>
      <c r="AM497" s="41"/>
      <c r="AN497" s="41"/>
      <c r="AO497" s="41"/>
      <c r="AP497" s="41"/>
      <c r="AQ497" s="41"/>
      <c r="AR497" s="41"/>
      <c r="AS497" s="41"/>
      <c r="AT497" s="41"/>
      <c r="AU497" s="41"/>
      <c r="AV497" s="41"/>
      <c r="AW497" s="41"/>
      <c r="AX497" s="41"/>
      <c r="AY497" s="41"/>
      <c r="AZ497" s="41"/>
      <c r="BA497" s="41"/>
      <c r="BB497" s="41"/>
      <c r="BC497" s="41"/>
      <c r="BD497" s="41"/>
      <c r="BE497" s="41"/>
      <c r="BF497" s="41"/>
      <c r="BG497" s="41"/>
      <c r="BH497" s="41"/>
      <c r="BJ497" s="41"/>
      <c r="BK497" s="41"/>
      <c r="BL497" s="41"/>
      <c r="BM497" s="41"/>
      <c r="BN497" s="41"/>
      <c r="BO497" s="41"/>
      <c r="BP497" s="41"/>
      <c r="BQ497" s="41"/>
      <c r="BR497" s="41"/>
      <c r="BS497" s="41"/>
      <c r="BT497" s="41"/>
      <c r="BU497" s="41"/>
      <c r="BV497" s="41"/>
      <c r="BW497" s="41"/>
      <c r="BX497" s="41"/>
      <c r="BY497" s="41"/>
      <c r="BZ497" s="41"/>
      <c r="CA497" s="41"/>
      <c r="CB497" s="41"/>
      <c r="CC497" s="41"/>
      <c r="CD497" s="41"/>
      <c r="CE497" s="41"/>
      <c r="CF497" s="41">
        <v>0.5</v>
      </c>
      <c r="CG497" s="41">
        <v>0.5</v>
      </c>
      <c r="CH497" s="41"/>
      <c r="CI497" s="41"/>
      <c r="CJ497" s="41"/>
      <c r="CK497" s="41"/>
      <c r="CL497" s="41"/>
      <c r="CM497" s="41"/>
      <c r="CN497" s="41"/>
      <c r="CO497" s="41"/>
      <c r="CP497" s="41"/>
      <c r="CQ497" s="41"/>
      <c r="CR497" s="41"/>
      <c r="CS497" s="41"/>
      <c r="CT497" s="41"/>
      <c r="CU497" s="41"/>
      <c r="CV497" s="41"/>
      <c r="CW497" s="41"/>
      <c r="CX497" s="41"/>
      <c r="CY497" s="41"/>
      <c r="CZ497" s="41"/>
      <c r="DA497" s="41"/>
      <c r="DB497" s="41"/>
      <c r="DC497" s="41"/>
      <c r="DD497" s="41"/>
      <c r="DE497" s="41"/>
      <c r="DF497" s="41"/>
      <c r="DG497" s="41"/>
      <c r="DH497" s="41"/>
      <c r="DI497" s="41"/>
      <c r="DJ497" s="41"/>
      <c r="DK497" s="41"/>
      <c r="DL497" s="41"/>
      <c r="DM497" s="41"/>
      <c r="DN497" s="41"/>
      <c r="DO497" s="41"/>
      <c r="DP497" s="41"/>
      <c r="DQ497" s="41"/>
      <c r="DR497" s="41"/>
      <c r="DS497" s="43"/>
      <c r="DT497" s="44">
        <f t="shared" ref="DT497" si="479">SUM(F497:DR497)</f>
        <v>1</v>
      </c>
    </row>
    <row r="498" spans="2:124" s="13" customFormat="1">
      <c r="B498" s="4">
        <f>'6.1Personnel List'!B499</f>
        <v>486</v>
      </c>
      <c r="C498" s="45" t="s">
        <v>664</v>
      </c>
      <c r="D498" s="45" t="str">
        <f>'6.1Personnel List'!D499</f>
        <v>Laboratory Aide II</v>
      </c>
      <c r="E498" s="45" t="str">
        <f>'6.1Personnel List'!H499</f>
        <v>FT</v>
      </c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  <c r="AA498" s="41"/>
      <c r="AB498" s="41"/>
      <c r="AC498" s="41"/>
      <c r="AD498" s="41"/>
      <c r="AE498" s="41"/>
      <c r="AF498" s="41"/>
      <c r="AG498" s="41"/>
      <c r="AH498" s="41"/>
      <c r="AI498" s="41"/>
      <c r="AJ498" s="41"/>
      <c r="AK498" s="41"/>
      <c r="AL498" s="41"/>
      <c r="AM498" s="41"/>
      <c r="AN498" s="41"/>
      <c r="AO498" s="41"/>
      <c r="AP498" s="41"/>
      <c r="AQ498" s="41"/>
      <c r="AR498" s="41"/>
      <c r="AS498" s="41"/>
      <c r="AT498" s="41"/>
      <c r="AU498" s="41"/>
      <c r="AV498" s="41"/>
      <c r="AW498" s="41"/>
      <c r="AX498" s="41"/>
      <c r="AY498" s="41"/>
      <c r="AZ498" s="41"/>
      <c r="BA498" s="41"/>
      <c r="BB498" s="41"/>
      <c r="BC498" s="41"/>
      <c r="BD498" s="41"/>
      <c r="BE498" s="41"/>
      <c r="BF498" s="41"/>
      <c r="BG498" s="41"/>
      <c r="BH498" s="41"/>
      <c r="BJ498" s="41"/>
      <c r="BK498" s="41"/>
      <c r="BL498" s="41"/>
      <c r="BM498" s="41"/>
      <c r="BN498" s="41"/>
      <c r="BO498" s="41"/>
      <c r="BP498" s="41"/>
      <c r="BQ498" s="41"/>
      <c r="BR498" s="41"/>
      <c r="BS498" s="41"/>
      <c r="BT498" s="41"/>
      <c r="BU498" s="41"/>
      <c r="BV498" s="41"/>
      <c r="BW498" s="41"/>
      <c r="BX498" s="41"/>
      <c r="BY498" s="41"/>
      <c r="BZ498" s="41"/>
      <c r="CA498" s="41"/>
      <c r="CB498" s="41"/>
      <c r="CC498" s="41"/>
      <c r="CD498" s="41"/>
      <c r="CE498" s="41"/>
      <c r="CF498" s="41">
        <v>0.5</v>
      </c>
      <c r="CG498" s="41">
        <v>0.5</v>
      </c>
      <c r="CH498" s="41"/>
      <c r="CI498" s="41"/>
      <c r="CJ498" s="41"/>
      <c r="CK498" s="41"/>
      <c r="CL498" s="41"/>
      <c r="CM498" s="41"/>
      <c r="CN498" s="41"/>
      <c r="CO498" s="41"/>
      <c r="CP498" s="41"/>
      <c r="CQ498" s="41"/>
      <c r="CR498" s="41"/>
      <c r="CS498" s="41"/>
      <c r="CT498" s="41"/>
      <c r="CU498" s="41"/>
      <c r="CV498" s="41"/>
      <c r="CW498" s="41"/>
      <c r="CX498" s="41"/>
      <c r="CY498" s="41"/>
      <c r="CZ498" s="41"/>
      <c r="DA498" s="41"/>
      <c r="DB498" s="41"/>
      <c r="DC498" s="41"/>
      <c r="DD498" s="41"/>
      <c r="DE498" s="41"/>
      <c r="DF498" s="41"/>
      <c r="DG498" s="41"/>
      <c r="DH498" s="41"/>
      <c r="DI498" s="41"/>
      <c r="DJ498" s="41"/>
      <c r="DK498" s="41"/>
      <c r="DL498" s="41"/>
      <c r="DM498" s="41"/>
      <c r="DN498" s="41"/>
      <c r="DO498" s="41"/>
      <c r="DP498" s="41"/>
      <c r="DQ498" s="41"/>
      <c r="DR498" s="41"/>
      <c r="DS498" s="43"/>
      <c r="DT498" s="44">
        <f t="shared" ref="DT498" si="480">SUM(F498:DR498)</f>
        <v>1</v>
      </c>
    </row>
    <row r="499" spans="2:124" s="13" customFormat="1">
      <c r="B499" s="4">
        <f>'6.1Personnel List'!B500</f>
        <v>487</v>
      </c>
      <c r="C499" s="45" t="s">
        <v>665</v>
      </c>
      <c r="D499" s="45" t="str">
        <f>'6.1Personnel List'!D500</f>
        <v>Administrative Assistant I</v>
      </c>
      <c r="E499" s="45" t="str">
        <f>'6.1Personnel List'!H500</f>
        <v>FT</v>
      </c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  <c r="AA499" s="41"/>
      <c r="AB499" s="41"/>
      <c r="AC499" s="41"/>
      <c r="AD499" s="41"/>
      <c r="AE499" s="41"/>
      <c r="AF499" s="41"/>
      <c r="AG499" s="41"/>
      <c r="AH499" s="41"/>
      <c r="AI499" s="41"/>
      <c r="AJ499" s="41"/>
      <c r="AK499" s="41"/>
      <c r="AL499" s="41"/>
      <c r="AM499" s="41"/>
      <c r="AN499" s="41"/>
      <c r="AO499" s="41"/>
      <c r="AP499" s="41"/>
      <c r="AQ499" s="41"/>
      <c r="AR499" s="41"/>
      <c r="AS499" s="41"/>
      <c r="AT499" s="41"/>
      <c r="AU499" s="41"/>
      <c r="AV499" s="41"/>
      <c r="AW499" s="41"/>
      <c r="AX499" s="41"/>
      <c r="AY499" s="41"/>
      <c r="AZ499" s="41"/>
      <c r="BA499" s="41"/>
      <c r="BB499" s="41"/>
      <c r="BC499" s="41"/>
      <c r="BD499" s="41"/>
      <c r="BE499" s="41"/>
      <c r="BF499" s="41"/>
      <c r="BG499" s="41"/>
      <c r="BH499" s="41"/>
      <c r="BJ499" s="41"/>
      <c r="BK499" s="41"/>
      <c r="BL499" s="41"/>
      <c r="BM499" s="41"/>
      <c r="BN499" s="41"/>
      <c r="BO499" s="41"/>
      <c r="BP499" s="41"/>
      <c r="BQ499" s="41"/>
      <c r="BR499" s="41"/>
      <c r="BS499" s="41"/>
      <c r="BT499" s="41"/>
      <c r="BU499" s="41"/>
      <c r="BV499" s="41"/>
      <c r="BW499" s="41"/>
      <c r="BX499" s="41"/>
      <c r="BY499" s="41"/>
      <c r="BZ499" s="41"/>
      <c r="CA499" s="41">
        <v>0.5</v>
      </c>
      <c r="CB499" s="41"/>
      <c r="CC499" s="41"/>
      <c r="CD499" s="41"/>
      <c r="CE499" s="41"/>
      <c r="CF499" s="41"/>
      <c r="CG499" s="41">
        <v>0.5</v>
      </c>
      <c r="CH499" s="41"/>
      <c r="CI499" s="41"/>
      <c r="CJ499" s="41"/>
      <c r="CK499" s="41"/>
      <c r="CL499" s="41"/>
      <c r="CM499" s="41"/>
      <c r="CN499" s="41"/>
      <c r="CO499" s="41"/>
      <c r="CP499" s="41"/>
      <c r="CQ499" s="41"/>
      <c r="CR499" s="41"/>
      <c r="CS499" s="41"/>
      <c r="CT499" s="41"/>
      <c r="CU499" s="41"/>
      <c r="CV499" s="41"/>
      <c r="CW499" s="41"/>
      <c r="CX499" s="41"/>
      <c r="CY499" s="41"/>
      <c r="CZ499" s="41"/>
      <c r="DA499" s="41"/>
      <c r="DB499" s="41"/>
      <c r="DC499" s="41"/>
      <c r="DD499" s="41"/>
      <c r="DE499" s="41"/>
      <c r="DF499" s="41"/>
      <c r="DG499" s="41"/>
      <c r="DH499" s="41"/>
      <c r="DI499" s="41"/>
      <c r="DJ499" s="41"/>
      <c r="DK499" s="41"/>
      <c r="DL499" s="41"/>
      <c r="DM499" s="41"/>
      <c r="DN499" s="41"/>
      <c r="DO499" s="41"/>
      <c r="DP499" s="41"/>
      <c r="DQ499" s="41"/>
      <c r="DR499" s="41"/>
      <c r="DS499" s="43"/>
      <c r="DT499" s="44">
        <f t="shared" ref="DT499" si="481">SUM(F499:DR499)</f>
        <v>1</v>
      </c>
    </row>
    <row r="500" spans="2:124" s="13" customFormat="1">
      <c r="B500" s="4">
        <f>'6.1Personnel List'!B501</f>
        <v>488</v>
      </c>
      <c r="C500" s="45" t="s">
        <v>666</v>
      </c>
      <c r="D500" s="45" t="str">
        <f>'6.1Personnel List'!D501</f>
        <v>Job Order</v>
      </c>
      <c r="E500" s="45" t="str">
        <f>'6.1Personnel List'!H501</f>
        <v>FT</v>
      </c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  <c r="AA500" s="41"/>
      <c r="AB500" s="41"/>
      <c r="AC500" s="41"/>
      <c r="AD500" s="41"/>
      <c r="AE500" s="41"/>
      <c r="AF500" s="41"/>
      <c r="AG500" s="41"/>
      <c r="AH500" s="41"/>
      <c r="AI500" s="41"/>
      <c r="AJ500" s="41"/>
      <c r="AK500" s="41"/>
      <c r="AL500" s="41"/>
      <c r="AM500" s="41"/>
      <c r="AN500" s="41"/>
      <c r="AO500" s="41"/>
      <c r="AP500" s="41"/>
      <c r="AQ500" s="41"/>
      <c r="AR500" s="41"/>
      <c r="AS500" s="41"/>
      <c r="AT500" s="41"/>
      <c r="AU500" s="41"/>
      <c r="AV500" s="41"/>
      <c r="AW500" s="41"/>
      <c r="AX500" s="41"/>
      <c r="AY500" s="41"/>
      <c r="AZ500" s="41"/>
      <c r="BA500" s="41"/>
      <c r="BB500" s="41"/>
      <c r="BC500" s="41"/>
      <c r="BD500" s="41"/>
      <c r="BE500" s="41"/>
      <c r="BF500" s="41"/>
      <c r="BG500" s="41"/>
      <c r="BH500" s="41"/>
      <c r="BJ500" s="41"/>
      <c r="BK500" s="41"/>
      <c r="BL500" s="41"/>
      <c r="BM500" s="41"/>
      <c r="BN500" s="41"/>
      <c r="BO500" s="41"/>
      <c r="BP500" s="41"/>
      <c r="BQ500" s="41"/>
      <c r="BR500" s="41"/>
      <c r="BS500" s="41"/>
      <c r="BT500" s="41"/>
      <c r="BU500" s="41"/>
      <c r="BV500" s="41"/>
      <c r="BW500" s="41"/>
      <c r="BX500" s="41"/>
      <c r="BY500" s="41"/>
      <c r="BZ500" s="41"/>
      <c r="CA500" s="41"/>
      <c r="CB500" s="41"/>
      <c r="CC500" s="41"/>
      <c r="CD500" s="41"/>
      <c r="CE500" s="41"/>
      <c r="CF500" s="41">
        <v>1</v>
      </c>
      <c r="CG500" s="41"/>
      <c r="CH500" s="41"/>
      <c r="CI500" s="41"/>
      <c r="CJ500" s="41"/>
      <c r="CK500" s="41"/>
      <c r="CL500" s="41"/>
      <c r="CM500" s="41"/>
      <c r="CN500" s="41"/>
      <c r="CO500" s="41"/>
      <c r="CP500" s="41"/>
      <c r="CQ500" s="41"/>
      <c r="CR500" s="41"/>
      <c r="CS500" s="41"/>
      <c r="CT500" s="41"/>
      <c r="CU500" s="41"/>
      <c r="CV500" s="41"/>
      <c r="CW500" s="41"/>
      <c r="CX500" s="41"/>
      <c r="CY500" s="41"/>
      <c r="CZ500" s="41"/>
      <c r="DA500" s="41"/>
      <c r="DB500" s="41"/>
      <c r="DC500" s="41"/>
      <c r="DD500" s="41"/>
      <c r="DE500" s="41"/>
      <c r="DF500" s="41"/>
      <c r="DG500" s="41"/>
      <c r="DH500" s="41"/>
      <c r="DI500" s="41"/>
      <c r="DJ500" s="41"/>
      <c r="DK500" s="41"/>
      <c r="DL500" s="41"/>
      <c r="DM500" s="41"/>
      <c r="DN500" s="41"/>
      <c r="DO500" s="41"/>
      <c r="DP500" s="41"/>
      <c r="DQ500" s="41"/>
      <c r="DR500" s="41"/>
      <c r="DS500" s="43"/>
      <c r="DT500" s="44">
        <f t="shared" ref="DT500" si="482">SUM(F500:DR500)</f>
        <v>1</v>
      </c>
    </row>
    <row r="501" spans="2:124" s="13" customFormat="1">
      <c r="B501" s="4">
        <f>'6.1Personnel List'!B502</f>
        <v>489</v>
      </c>
      <c r="C501" s="45" t="s">
        <v>667</v>
      </c>
      <c r="D501" s="45" t="str">
        <f>'6.1Personnel List'!D502</f>
        <v>Job Order</v>
      </c>
      <c r="E501" s="45" t="str">
        <f>'6.1Personnel List'!H502</f>
        <v>FT</v>
      </c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  <c r="AA501" s="41"/>
      <c r="AB501" s="41"/>
      <c r="AC501" s="41"/>
      <c r="AD501" s="41"/>
      <c r="AE501" s="41"/>
      <c r="AF501" s="41"/>
      <c r="AG501" s="41"/>
      <c r="AH501" s="41"/>
      <c r="AI501" s="41"/>
      <c r="AJ501" s="41"/>
      <c r="AK501" s="41"/>
      <c r="AL501" s="41"/>
      <c r="AM501" s="41"/>
      <c r="AN501" s="41"/>
      <c r="AO501" s="41"/>
      <c r="AP501" s="41"/>
      <c r="AQ501" s="41"/>
      <c r="AR501" s="41"/>
      <c r="AS501" s="41"/>
      <c r="AT501" s="41"/>
      <c r="AU501" s="41"/>
      <c r="AV501" s="41"/>
      <c r="AW501" s="41"/>
      <c r="AX501" s="41"/>
      <c r="AY501" s="41"/>
      <c r="AZ501" s="41"/>
      <c r="BA501" s="41"/>
      <c r="BB501" s="41"/>
      <c r="BC501" s="41"/>
      <c r="BD501" s="41"/>
      <c r="BE501" s="41"/>
      <c r="BF501" s="41"/>
      <c r="BG501" s="41"/>
      <c r="BH501" s="41"/>
      <c r="BJ501" s="41"/>
      <c r="BK501" s="41"/>
      <c r="BL501" s="41"/>
      <c r="BM501" s="41"/>
      <c r="BN501" s="41"/>
      <c r="BO501" s="41"/>
      <c r="BP501" s="41"/>
      <c r="BQ501" s="41"/>
      <c r="BR501" s="41"/>
      <c r="BS501" s="41"/>
      <c r="BT501" s="41"/>
      <c r="BU501" s="41"/>
      <c r="BV501" s="41"/>
      <c r="BW501" s="41"/>
      <c r="BX501" s="41"/>
      <c r="BY501" s="41"/>
      <c r="BZ501" s="41"/>
      <c r="CA501" s="41"/>
      <c r="CB501" s="41"/>
      <c r="CC501" s="41"/>
      <c r="CD501" s="41"/>
      <c r="CE501" s="41"/>
      <c r="CF501" s="41">
        <v>1</v>
      </c>
      <c r="CG501" s="41"/>
      <c r="CH501" s="41"/>
      <c r="CI501" s="41"/>
      <c r="CJ501" s="41"/>
      <c r="CK501" s="41"/>
      <c r="CL501" s="41"/>
      <c r="CM501" s="41"/>
      <c r="CN501" s="41"/>
      <c r="CO501" s="41"/>
      <c r="CP501" s="41"/>
      <c r="CQ501" s="41"/>
      <c r="CR501" s="41"/>
      <c r="CS501" s="41"/>
      <c r="CT501" s="41"/>
      <c r="CU501" s="41"/>
      <c r="CV501" s="41"/>
      <c r="CW501" s="41"/>
      <c r="CX501" s="41"/>
      <c r="CY501" s="41"/>
      <c r="CZ501" s="41"/>
      <c r="DA501" s="41"/>
      <c r="DB501" s="41"/>
      <c r="DC501" s="41"/>
      <c r="DD501" s="41"/>
      <c r="DE501" s="41"/>
      <c r="DF501" s="41"/>
      <c r="DG501" s="41"/>
      <c r="DH501" s="41"/>
      <c r="DI501" s="41"/>
      <c r="DJ501" s="41"/>
      <c r="DK501" s="41"/>
      <c r="DL501" s="41"/>
      <c r="DM501" s="41"/>
      <c r="DN501" s="41"/>
      <c r="DO501" s="41"/>
      <c r="DP501" s="41"/>
      <c r="DQ501" s="41"/>
      <c r="DR501" s="41"/>
      <c r="DS501" s="43"/>
      <c r="DT501" s="44">
        <f t="shared" ref="DT501" si="483">SUM(F501:DR501)</f>
        <v>1</v>
      </c>
    </row>
    <row r="502" spans="2:124" s="13" customFormat="1">
      <c r="B502" s="4">
        <f>'6.1Personnel List'!B503</f>
        <v>490</v>
      </c>
      <c r="C502" s="45" t="s">
        <v>670</v>
      </c>
      <c r="D502" s="45" t="str">
        <f>'6.1Personnel List'!D503</f>
        <v>Medical Specialist IV (P.T.) - Chairman</v>
      </c>
      <c r="E502" s="45" t="str">
        <f>'6.1Personnel List'!H503</f>
        <v>PT</v>
      </c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  <c r="AA502" s="41"/>
      <c r="AB502" s="41"/>
      <c r="AC502" s="41"/>
      <c r="AD502" s="41"/>
      <c r="AE502" s="41"/>
      <c r="AF502" s="41"/>
      <c r="AG502" s="41"/>
      <c r="AH502" s="41"/>
      <c r="AI502" s="41"/>
      <c r="AJ502" s="41"/>
      <c r="AK502" s="41"/>
      <c r="AL502" s="41"/>
      <c r="AM502" s="41"/>
      <c r="AN502" s="41"/>
      <c r="AO502" s="41"/>
      <c r="AP502" s="41"/>
      <c r="AQ502" s="41"/>
      <c r="AR502" s="41"/>
      <c r="AS502" s="41"/>
      <c r="AT502" s="41"/>
      <c r="AU502" s="41"/>
      <c r="AV502" s="41"/>
      <c r="AW502" s="41"/>
      <c r="AX502" s="41"/>
      <c r="AY502" s="41"/>
      <c r="AZ502" s="41"/>
      <c r="BA502" s="41"/>
      <c r="BB502" s="41"/>
      <c r="BC502" s="41"/>
      <c r="BD502" s="41"/>
      <c r="BE502" s="41"/>
      <c r="BF502" s="41"/>
      <c r="BG502" s="41"/>
      <c r="BH502" s="41"/>
      <c r="BJ502" s="41"/>
      <c r="BK502" s="41"/>
      <c r="BL502" s="41"/>
      <c r="BM502" s="41"/>
      <c r="BN502" s="41"/>
      <c r="BO502" s="41"/>
      <c r="BP502" s="41"/>
      <c r="BQ502" s="41"/>
      <c r="BR502" s="41"/>
      <c r="BS502" s="41"/>
      <c r="BT502" s="41"/>
      <c r="BU502" s="41"/>
      <c r="BV502" s="41"/>
      <c r="BW502" s="41"/>
      <c r="BX502" s="41"/>
      <c r="BY502" s="41"/>
      <c r="BZ502" s="41"/>
      <c r="CA502" s="41">
        <v>0.2</v>
      </c>
      <c r="CB502" s="41"/>
      <c r="CC502" s="41"/>
      <c r="CD502" s="41"/>
      <c r="CE502" s="41"/>
      <c r="CF502" s="41"/>
      <c r="CG502" s="41"/>
      <c r="CH502" s="41">
        <v>0.8</v>
      </c>
      <c r="CI502" s="41"/>
      <c r="CJ502" s="41"/>
      <c r="CK502" s="41"/>
      <c r="CL502" s="41"/>
      <c r="CM502" s="41"/>
      <c r="CN502" s="41"/>
      <c r="CO502" s="41"/>
      <c r="CP502" s="41"/>
      <c r="CQ502" s="41"/>
      <c r="CR502" s="41"/>
      <c r="CS502" s="41"/>
      <c r="CT502" s="41"/>
      <c r="CU502" s="41"/>
      <c r="CV502" s="41"/>
      <c r="CW502" s="41"/>
      <c r="CX502" s="41"/>
      <c r="CY502" s="41"/>
      <c r="CZ502" s="41"/>
      <c r="DA502" s="41"/>
      <c r="DB502" s="41"/>
      <c r="DC502" s="41"/>
      <c r="DD502" s="41"/>
      <c r="DE502" s="41"/>
      <c r="DF502" s="41"/>
      <c r="DG502" s="41"/>
      <c r="DH502" s="41"/>
      <c r="DI502" s="41"/>
      <c r="DJ502" s="41"/>
      <c r="DK502" s="41"/>
      <c r="DL502" s="41"/>
      <c r="DM502" s="41"/>
      <c r="DN502" s="41"/>
      <c r="DO502" s="41"/>
      <c r="DP502" s="41"/>
      <c r="DQ502" s="41"/>
      <c r="DR502" s="41"/>
      <c r="DS502" s="43"/>
      <c r="DT502" s="44">
        <f t="shared" ref="DT502" si="484">SUM(F502:DR502)</f>
        <v>1</v>
      </c>
    </row>
    <row r="503" spans="2:124" s="13" customFormat="1">
      <c r="B503" s="4">
        <f>'6.1Personnel List'!B504</f>
        <v>491</v>
      </c>
      <c r="C503" s="45" t="s">
        <v>671</v>
      </c>
      <c r="D503" s="45" t="str">
        <f>'6.1Personnel List'!D504</f>
        <v>Medical Specialist III (P.T.)</v>
      </c>
      <c r="E503" s="45" t="str">
        <f>'6.1Personnel List'!H504</f>
        <v>PT</v>
      </c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  <c r="AA503" s="41"/>
      <c r="AB503" s="41"/>
      <c r="AC503" s="41"/>
      <c r="AD503" s="41"/>
      <c r="AE503" s="41"/>
      <c r="AF503" s="41"/>
      <c r="AG503" s="41"/>
      <c r="AH503" s="41"/>
      <c r="AI503" s="41"/>
      <c r="AJ503" s="41"/>
      <c r="AK503" s="41"/>
      <c r="AL503" s="41"/>
      <c r="AM503" s="41"/>
      <c r="AN503" s="41"/>
      <c r="AO503" s="41"/>
      <c r="AP503" s="41"/>
      <c r="AQ503" s="41"/>
      <c r="AR503" s="41"/>
      <c r="AS503" s="41"/>
      <c r="AT503" s="41"/>
      <c r="AU503" s="41"/>
      <c r="AV503" s="41"/>
      <c r="AW503" s="41"/>
      <c r="AX503" s="41"/>
      <c r="AY503" s="41"/>
      <c r="AZ503" s="41"/>
      <c r="BA503" s="41"/>
      <c r="BB503" s="41"/>
      <c r="BC503" s="41"/>
      <c r="BD503" s="41"/>
      <c r="BE503" s="41"/>
      <c r="BF503" s="41"/>
      <c r="BG503" s="41"/>
      <c r="BH503" s="41"/>
      <c r="BJ503" s="41"/>
      <c r="BK503" s="41"/>
      <c r="BL503" s="41"/>
      <c r="BM503" s="41"/>
      <c r="BN503" s="41"/>
      <c r="BO503" s="41"/>
      <c r="BP503" s="41"/>
      <c r="BQ503" s="41"/>
      <c r="BR503" s="41"/>
      <c r="BS503" s="41"/>
      <c r="BT503" s="41"/>
      <c r="BU503" s="41"/>
      <c r="BV503" s="41"/>
      <c r="BW503" s="41"/>
      <c r="BX503" s="41"/>
      <c r="BY503" s="41"/>
      <c r="BZ503" s="41"/>
      <c r="CA503" s="41"/>
      <c r="CB503" s="41"/>
      <c r="CC503" s="41"/>
      <c r="CD503" s="41"/>
      <c r="CE503" s="41"/>
      <c r="CF503" s="41"/>
      <c r="CG503" s="41"/>
      <c r="CH503" s="41">
        <v>1</v>
      </c>
      <c r="CI503" s="41"/>
      <c r="CJ503" s="41"/>
      <c r="CK503" s="41"/>
      <c r="CL503" s="41"/>
      <c r="CM503" s="41"/>
      <c r="CN503" s="41"/>
      <c r="CO503" s="41"/>
      <c r="CP503" s="41"/>
      <c r="CQ503" s="41"/>
      <c r="CR503" s="41"/>
      <c r="CS503" s="41"/>
      <c r="CT503" s="41"/>
      <c r="CU503" s="41"/>
      <c r="CV503" s="41"/>
      <c r="CW503" s="41"/>
      <c r="CX503" s="41"/>
      <c r="CY503" s="41"/>
      <c r="CZ503" s="41"/>
      <c r="DA503" s="41"/>
      <c r="DB503" s="41"/>
      <c r="DC503" s="41"/>
      <c r="DD503" s="41"/>
      <c r="DE503" s="41"/>
      <c r="DF503" s="41"/>
      <c r="DG503" s="41"/>
      <c r="DH503" s="41"/>
      <c r="DI503" s="41"/>
      <c r="DJ503" s="41"/>
      <c r="DK503" s="41"/>
      <c r="DL503" s="41"/>
      <c r="DM503" s="41"/>
      <c r="DN503" s="41"/>
      <c r="DO503" s="41"/>
      <c r="DP503" s="41"/>
      <c r="DQ503" s="41"/>
      <c r="DR503" s="41"/>
      <c r="DS503" s="43"/>
      <c r="DT503" s="44">
        <f t="shared" ref="DT503" si="485">SUM(F503:DR503)</f>
        <v>1</v>
      </c>
    </row>
    <row r="504" spans="2:124" s="13" customFormat="1">
      <c r="B504" s="4">
        <f>'6.1Personnel List'!B505</f>
        <v>492</v>
      </c>
      <c r="C504" s="45" t="s">
        <v>672</v>
      </c>
      <c r="D504" s="45" t="str">
        <f>'6.1Personnel List'!D505</f>
        <v>Medical Specialist III (P.T.)</v>
      </c>
      <c r="E504" s="45" t="str">
        <f>'6.1Personnel List'!H505</f>
        <v>PT</v>
      </c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  <c r="AA504" s="41"/>
      <c r="AB504" s="41"/>
      <c r="AC504" s="41"/>
      <c r="AD504" s="41"/>
      <c r="AE504" s="41"/>
      <c r="AF504" s="41"/>
      <c r="AG504" s="41"/>
      <c r="AH504" s="41"/>
      <c r="AI504" s="41"/>
      <c r="AJ504" s="41"/>
      <c r="AK504" s="41"/>
      <c r="AL504" s="41"/>
      <c r="AM504" s="41"/>
      <c r="AN504" s="41"/>
      <c r="AO504" s="41"/>
      <c r="AP504" s="41"/>
      <c r="AQ504" s="41"/>
      <c r="AR504" s="41"/>
      <c r="AS504" s="41"/>
      <c r="AT504" s="41"/>
      <c r="AU504" s="41"/>
      <c r="AV504" s="41"/>
      <c r="AW504" s="41"/>
      <c r="AX504" s="41"/>
      <c r="AY504" s="41"/>
      <c r="AZ504" s="41"/>
      <c r="BA504" s="41"/>
      <c r="BB504" s="41"/>
      <c r="BC504" s="41"/>
      <c r="BD504" s="41"/>
      <c r="BE504" s="41"/>
      <c r="BF504" s="41"/>
      <c r="BG504" s="41"/>
      <c r="BH504" s="41"/>
      <c r="BJ504" s="41"/>
      <c r="BK504" s="41"/>
      <c r="BL504" s="41"/>
      <c r="BM504" s="41"/>
      <c r="BN504" s="41"/>
      <c r="BO504" s="41"/>
      <c r="BP504" s="41"/>
      <c r="BQ504" s="41"/>
      <c r="BR504" s="41"/>
      <c r="BS504" s="41"/>
      <c r="BT504" s="41"/>
      <c r="BU504" s="41"/>
      <c r="BV504" s="41"/>
      <c r="BW504" s="41"/>
      <c r="BX504" s="41"/>
      <c r="BY504" s="41"/>
      <c r="BZ504" s="41"/>
      <c r="CA504" s="41"/>
      <c r="CB504" s="41"/>
      <c r="CC504" s="41"/>
      <c r="CD504" s="41"/>
      <c r="CE504" s="41"/>
      <c r="CF504" s="41"/>
      <c r="CG504" s="41"/>
      <c r="CH504" s="41">
        <v>1</v>
      </c>
      <c r="CI504" s="41"/>
      <c r="CJ504" s="41"/>
      <c r="CK504" s="41"/>
      <c r="CL504" s="41"/>
      <c r="CM504" s="41"/>
      <c r="CN504" s="41"/>
      <c r="CO504" s="41"/>
      <c r="CP504" s="41"/>
      <c r="CQ504" s="41"/>
      <c r="CR504" s="41"/>
      <c r="CS504" s="41"/>
      <c r="CT504" s="41"/>
      <c r="CU504" s="41"/>
      <c r="CV504" s="41"/>
      <c r="CW504" s="41"/>
      <c r="CX504" s="41"/>
      <c r="CY504" s="41"/>
      <c r="CZ504" s="41"/>
      <c r="DA504" s="41"/>
      <c r="DB504" s="41"/>
      <c r="DC504" s="41"/>
      <c r="DD504" s="41"/>
      <c r="DE504" s="41"/>
      <c r="DF504" s="41"/>
      <c r="DG504" s="41"/>
      <c r="DH504" s="41"/>
      <c r="DI504" s="41"/>
      <c r="DJ504" s="41"/>
      <c r="DK504" s="41"/>
      <c r="DL504" s="41"/>
      <c r="DM504" s="41"/>
      <c r="DN504" s="41"/>
      <c r="DO504" s="41"/>
      <c r="DP504" s="41"/>
      <c r="DQ504" s="41"/>
      <c r="DR504" s="41"/>
      <c r="DS504" s="43"/>
      <c r="DT504" s="44">
        <f t="shared" ref="DT504" si="486">SUM(F504:DR504)</f>
        <v>1</v>
      </c>
    </row>
    <row r="505" spans="2:124" s="13" customFormat="1">
      <c r="B505" s="4">
        <f>'6.1Personnel List'!B506</f>
        <v>493</v>
      </c>
      <c r="C505" s="45" t="s">
        <v>673</v>
      </c>
      <c r="D505" s="45" t="str">
        <f>'6.1Personnel List'!D506</f>
        <v>Medical Specialist II</v>
      </c>
      <c r="E505" s="45" t="str">
        <f>'6.1Personnel List'!H506</f>
        <v>FT</v>
      </c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  <c r="AA505" s="41"/>
      <c r="AB505" s="41"/>
      <c r="AC505" s="41"/>
      <c r="AD505" s="41"/>
      <c r="AE505" s="41"/>
      <c r="AF505" s="41"/>
      <c r="AG505" s="41"/>
      <c r="AH505" s="41"/>
      <c r="AI505" s="41"/>
      <c r="AJ505" s="41"/>
      <c r="AK505" s="41"/>
      <c r="AL505" s="41"/>
      <c r="AM505" s="41"/>
      <c r="AN505" s="41"/>
      <c r="AO505" s="41"/>
      <c r="AP505" s="41"/>
      <c r="AQ505" s="41"/>
      <c r="AR505" s="41"/>
      <c r="AS505" s="41"/>
      <c r="AT505" s="41"/>
      <c r="AU505" s="41"/>
      <c r="AV505" s="41"/>
      <c r="AW505" s="41"/>
      <c r="AX505" s="41"/>
      <c r="AY505" s="41"/>
      <c r="AZ505" s="41"/>
      <c r="BA505" s="41"/>
      <c r="BB505" s="41"/>
      <c r="BC505" s="41"/>
      <c r="BD505" s="41"/>
      <c r="BE505" s="41"/>
      <c r="BF505" s="41"/>
      <c r="BG505" s="41"/>
      <c r="BH505" s="41"/>
      <c r="BJ505" s="41"/>
      <c r="BK505" s="41"/>
      <c r="BL505" s="41"/>
      <c r="BM505" s="41"/>
      <c r="BN505" s="41"/>
      <c r="BO505" s="41"/>
      <c r="BP505" s="41"/>
      <c r="BQ505" s="41"/>
      <c r="BR505" s="41"/>
      <c r="BS505" s="41"/>
      <c r="BT505" s="41"/>
      <c r="BU505" s="41"/>
      <c r="BV505" s="41"/>
      <c r="BW505" s="41"/>
      <c r="BX505" s="41"/>
      <c r="BY505" s="41"/>
      <c r="BZ505" s="41"/>
      <c r="CA505" s="41"/>
      <c r="CB505" s="41"/>
      <c r="CC505" s="41"/>
      <c r="CD505" s="41"/>
      <c r="CE505" s="41"/>
      <c r="CF505" s="41"/>
      <c r="CG505" s="41"/>
      <c r="CH505" s="41">
        <v>1</v>
      </c>
      <c r="CI505" s="41"/>
      <c r="CJ505" s="41"/>
      <c r="CK505" s="41"/>
      <c r="CL505" s="41"/>
      <c r="CM505" s="41"/>
      <c r="CN505" s="41"/>
      <c r="CO505" s="41"/>
      <c r="CP505" s="41"/>
      <c r="CQ505" s="41"/>
      <c r="CR505" s="41"/>
      <c r="CS505" s="41"/>
      <c r="CT505" s="41"/>
      <c r="CU505" s="41"/>
      <c r="CV505" s="41"/>
      <c r="CW505" s="41"/>
      <c r="CX505" s="41"/>
      <c r="CY505" s="41"/>
      <c r="CZ505" s="41"/>
      <c r="DA505" s="41"/>
      <c r="DB505" s="41"/>
      <c r="DC505" s="41"/>
      <c r="DD505" s="41"/>
      <c r="DE505" s="41"/>
      <c r="DF505" s="41"/>
      <c r="DG505" s="41"/>
      <c r="DH505" s="41"/>
      <c r="DI505" s="41"/>
      <c r="DJ505" s="41"/>
      <c r="DK505" s="41"/>
      <c r="DL505" s="41"/>
      <c r="DM505" s="41"/>
      <c r="DN505" s="41"/>
      <c r="DO505" s="41"/>
      <c r="DP505" s="41"/>
      <c r="DQ505" s="41"/>
      <c r="DR505" s="41"/>
      <c r="DS505" s="43"/>
      <c r="DT505" s="44">
        <f t="shared" ref="DT505" si="487">SUM(F505:DR505)</f>
        <v>1</v>
      </c>
    </row>
    <row r="506" spans="2:124" s="13" customFormat="1">
      <c r="B506" s="4">
        <f>'6.1Personnel List'!B507</f>
        <v>494</v>
      </c>
      <c r="C506" s="45" t="s">
        <v>674</v>
      </c>
      <c r="D506" s="45" t="str">
        <f>'6.1Personnel List'!D507</f>
        <v>Medical Specialist II (P.T.)</v>
      </c>
      <c r="E506" s="45" t="str">
        <f>'6.1Personnel List'!H507</f>
        <v>PT</v>
      </c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  <c r="AA506" s="41"/>
      <c r="AB506" s="41"/>
      <c r="AC506" s="41"/>
      <c r="AD506" s="41"/>
      <c r="AE506" s="41"/>
      <c r="AF506" s="41"/>
      <c r="AG506" s="41"/>
      <c r="AH506" s="41"/>
      <c r="AI506" s="41"/>
      <c r="AJ506" s="41"/>
      <c r="AK506" s="41"/>
      <c r="AL506" s="41"/>
      <c r="AM506" s="41"/>
      <c r="AN506" s="41"/>
      <c r="AO506" s="41"/>
      <c r="AP506" s="41"/>
      <c r="AQ506" s="41"/>
      <c r="AR506" s="41"/>
      <c r="AS506" s="41"/>
      <c r="AT506" s="41"/>
      <c r="AU506" s="41"/>
      <c r="AV506" s="41"/>
      <c r="AW506" s="41"/>
      <c r="AX506" s="41"/>
      <c r="AY506" s="41"/>
      <c r="AZ506" s="41"/>
      <c r="BA506" s="41"/>
      <c r="BB506" s="41"/>
      <c r="BC506" s="41"/>
      <c r="BD506" s="41"/>
      <c r="BE506" s="41"/>
      <c r="BF506" s="41"/>
      <c r="BG506" s="41"/>
      <c r="BH506" s="41"/>
      <c r="BJ506" s="41"/>
      <c r="BK506" s="41"/>
      <c r="BL506" s="41"/>
      <c r="BM506" s="41"/>
      <c r="BN506" s="41"/>
      <c r="BO506" s="41"/>
      <c r="BP506" s="41"/>
      <c r="BQ506" s="41"/>
      <c r="BR506" s="41"/>
      <c r="BS506" s="41"/>
      <c r="BT506" s="41"/>
      <c r="BU506" s="41"/>
      <c r="BV506" s="41"/>
      <c r="BW506" s="41"/>
      <c r="BX506" s="41"/>
      <c r="BY506" s="41"/>
      <c r="BZ506" s="41"/>
      <c r="CA506" s="41"/>
      <c r="CB506" s="41"/>
      <c r="CC506" s="41"/>
      <c r="CD506" s="41"/>
      <c r="CE506" s="41"/>
      <c r="CF506" s="41"/>
      <c r="CG506" s="41"/>
      <c r="CH506" s="41">
        <v>1</v>
      </c>
      <c r="CI506" s="41"/>
      <c r="CJ506" s="41"/>
      <c r="CK506" s="41"/>
      <c r="CL506" s="41"/>
      <c r="CM506" s="41"/>
      <c r="CN506" s="41"/>
      <c r="CO506" s="41"/>
      <c r="CP506" s="41"/>
      <c r="CQ506" s="41"/>
      <c r="CR506" s="41"/>
      <c r="CS506" s="41"/>
      <c r="CT506" s="41"/>
      <c r="CU506" s="41"/>
      <c r="CV506" s="41"/>
      <c r="CW506" s="41"/>
      <c r="CX506" s="41"/>
      <c r="CY506" s="41"/>
      <c r="CZ506" s="41"/>
      <c r="DA506" s="41"/>
      <c r="DB506" s="41"/>
      <c r="DC506" s="41"/>
      <c r="DD506" s="41"/>
      <c r="DE506" s="41"/>
      <c r="DF506" s="41"/>
      <c r="DG506" s="41"/>
      <c r="DH506" s="41"/>
      <c r="DI506" s="41"/>
      <c r="DJ506" s="41"/>
      <c r="DK506" s="41"/>
      <c r="DL506" s="41"/>
      <c r="DM506" s="41"/>
      <c r="DN506" s="41"/>
      <c r="DO506" s="41"/>
      <c r="DP506" s="41"/>
      <c r="DQ506" s="41"/>
      <c r="DR506" s="41"/>
      <c r="DS506" s="43"/>
      <c r="DT506" s="44">
        <f t="shared" ref="DT506" si="488">SUM(F506:DR506)</f>
        <v>1</v>
      </c>
    </row>
    <row r="507" spans="2:124" s="13" customFormat="1">
      <c r="B507" s="4">
        <f>'6.1Personnel List'!B508</f>
        <v>495</v>
      </c>
      <c r="C507" s="45" t="s">
        <v>675</v>
      </c>
      <c r="D507" s="45" t="str">
        <f>'6.1Personnel List'!D508</f>
        <v>Medical Specialist II (P.T.)</v>
      </c>
      <c r="E507" s="45" t="str">
        <f>'6.1Personnel List'!H508</f>
        <v>PT</v>
      </c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  <c r="AA507" s="41"/>
      <c r="AB507" s="41"/>
      <c r="AC507" s="41"/>
      <c r="AD507" s="41"/>
      <c r="AE507" s="41"/>
      <c r="AF507" s="41"/>
      <c r="AG507" s="41"/>
      <c r="AH507" s="41"/>
      <c r="AI507" s="41"/>
      <c r="AJ507" s="41"/>
      <c r="AK507" s="41"/>
      <c r="AL507" s="41"/>
      <c r="AM507" s="41"/>
      <c r="AN507" s="41"/>
      <c r="AO507" s="41"/>
      <c r="AP507" s="41"/>
      <c r="AQ507" s="41"/>
      <c r="AR507" s="41"/>
      <c r="AS507" s="41"/>
      <c r="AT507" s="41"/>
      <c r="AU507" s="41"/>
      <c r="AV507" s="41"/>
      <c r="AW507" s="41"/>
      <c r="AX507" s="41"/>
      <c r="AY507" s="41"/>
      <c r="AZ507" s="41"/>
      <c r="BA507" s="41"/>
      <c r="BB507" s="41"/>
      <c r="BC507" s="41"/>
      <c r="BD507" s="41"/>
      <c r="BE507" s="41"/>
      <c r="BF507" s="41"/>
      <c r="BG507" s="41"/>
      <c r="BH507" s="41"/>
      <c r="BJ507" s="41"/>
      <c r="BK507" s="41"/>
      <c r="BL507" s="41"/>
      <c r="BM507" s="41"/>
      <c r="BN507" s="41"/>
      <c r="BO507" s="41"/>
      <c r="BP507" s="41"/>
      <c r="BQ507" s="41"/>
      <c r="BR507" s="41"/>
      <c r="BS507" s="41"/>
      <c r="BT507" s="41"/>
      <c r="BU507" s="41"/>
      <c r="BV507" s="41"/>
      <c r="BW507" s="41"/>
      <c r="BX507" s="41"/>
      <c r="BY507" s="41"/>
      <c r="BZ507" s="41"/>
      <c r="CA507" s="41"/>
      <c r="CB507" s="41"/>
      <c r="CC507" s="41"/>
      <c r="CD507" s="41"/>
      <c r="CE507" s="41"/>
      <c r="CF507" s="41"/>
      <c r="CG507" s="41"/>
      <c r="CH507" s="41">
        <v>1</v>
      </c>
      <c r="CI507" s="41"/>
      <c r="CJ507" s="41"/>
      <c r="CK507" s="41"/>
      <c r="CL507" s="41"/>
      <c r="CM507" s="41"/>
      <c r="CN507" s="41"/>
      <c r="CO507" s="41"/>
      <c r="CP507" s="41"/>
      <c r="CQ507" s="41"/>
      <c r="CR507" s="41"/>
      <c r="CS507" s="41"/>
      <c r="CT507" s="41"/>
      <c r="CU507" s="41"/>
      <c r="CV507" s="41"/>
      <c r="CW507" s="41"/>
      <c r="CX507" s="41"/>
      <c r="CY507" s="41"/>
      <c r="CZ507" s="41"/>
      <c r="DA507" s="41"/>
      <c r="DB507" s="41"/>
      <c r="DC507" s="41"/>
      <c r="DD507" s="41"/>
      <c r="DE507" s="41"/>
      <c r="DF507" s="41"/>
      <c r="DG507" s="41"/>
      <c r="DH507" s="41"/>
      <c r="DI507" s="41"/>
      <c r="DJ507" s="41"/>
      <c r="DK507" s="41"/>
      <c r="DL507" s="41"/>
      <c r="DM507" s="41"/>
      <c r="DN507" s="41"/>
      <c r="DO507" s="41"/>
      <c r="DP507" s="41"/>
      <c r="DQ507" s="41"/>
      <c r="DR507" s="41"/>
      <c r="DS507" s="43"/>
      <c r="DT507" s="44">
        <f t="shared" ref="DT507" si="489">SUM(F507:DR507)</f>
        <v>1</v>
      </c>
    </row>
    <row r="508" spans="2:124" s="13" customFormat="1">
      <c r="B508" s="4">
        <f>'6.1Personnel List'!B509</f>
        <v>496</v>
      </c>
      <c r="C508" s="45" t="s">
        <v>676</v>
      </c>
      <c r="D508" s="45" t="str">
        <f>'6.1Personnel List'!D509</f>
        <v>Medical Specialist II (P.T.)</v>
      </c>
      <c r="E508" s="45" t="str">
        <f>'6.1Personnel List'!H509</f>
        <v>PT</v>
      </c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  <c r="AA508" s="41"/>
      <c r="AB508" s="41"/>
      <c r="AC508" s="41"/>
      <c r="AD508" s="41"/>
      <c r="AE508" s="41"/>
      <c r="AF508" s="41"/>
      <c r="AG508" s="41"/>
      <c r="AH508" s="41"/>
      <c r="AI508" s="41"/>
      <c r="AJ508" s="41"/>
      <c r="AK508" s="41"/>
      <c r="AL508" s="41"/>
      <c r="AM508" s="41"/>
      <c r="AN508" s="41"/>
      <c r="AO508" s="41"/>
      <c r="AP508" s="41"/>
      <c r="AQ508" s="41"/>
      <c r="AR508" s="41"/>
      <c r="AS508" s="41"/>
      <c r="AT508" s="41"/>
      <c r="AU508" s="41"/>
      <c r="AV508" s="41"/>
      <c r="AW508" s="41"/>
      <c r="AX508" s="41"/>
      <c r="AY508" s="41"/>
      <c r="AZ508" s="41"/>
      <c r="BA508" s="41"/>
      <c r="BB508" s="41"/>
      <c r="BC508" s="41"/>
      <c r="BD508" s="41"/>
      <c r="BE508" s="41"/>
      <c r="BF508" s="41"/>
      <c r="BG508" s="41"/>
      <c r="BH508" s="41"/>
      <c r="BJ508" s="41"/>
      <c r="BK508" s="41"/>
      <c r="BL508" s="41"/>
      <c r="BM508" s="41"/>
      <c r="BN508" s="41"/>
      <c r="BO508" s="41"/>
      <c r="BP508" s="41"/>
      <c r="BQ508" s="41"/>
      <c r="BR508" s="41"/>
      <c r="BS508" s="41"/>
      <c r="BT508" s="41"/>
      <c r="BU508" s="41"/>
      <c r="BV508" s="41"/>
      <c r="BW508" s="41"/>
      <c r="BX508" s="41"/>
      <c r="BY508" s="41"/>
      <c r="BZ508" s="41"/>
      <c r="CA508" s="41"/>
      <c r="CB508" s="41"/>
      <c r="CC508" s="41"/>
      <c r="CD508" s="41"/>
      <c r="CE508" s="41"/>
      <c r="CF508" s="41"/>
      <c r="CG508" s="41"/>
      <c r="CH508" s="41">
        <v>1</v>
      </c>
      <c r="CI508" s="41"/>
      <c r="CJ508" s="41"/>
      <c r="CK508" s="41"/>
      <c r="CL508" s="41"/>
      <c r="CM508" s="41"/>
      <c r="CN508" s="41"/>
      <c r="CO508" s="41"/>
      <c r="CP508" s="41"/>
      <c r="CQ508" s="41"/>
      <c r="CR508" s="41"/>
      <c r="CS508" s="41"/>
      <c r="CT508" s="41"/>
      <c r="CU508" s="41"/>
      <c r="CV508" s="41"/>
      <c r="CW508" s="41"/>
      <c r="CX508" s="41"/>
      <c r="CY508" s="41"/>
      <c r="CZ508" s="41"/>
      <c r="DA508" s="41"/>
      <c r="DB508" s="41"/>
      <c r="DC508" s="41"/>
      <c r="DD508" s="41"/>
      <c r="DE508" s="41"/>
      <c r="DF508" s="41"/>
      <c r="DG508" s="41"/>
      <c r="DH508" s="41"/>
      <c r="DI508" s="41"/>
      <c r="DJ508" s="41"/>
      <c r="DK508" s="41"/>
      <c r="DL508" s="41"/>
      <c r="DM508" s="41"/>
      <c r="DN508" s="41"/>
      <c r="DO508" s="41"/>
      <c r="DP508" s="41"/>
      <c r="DQ508" s="41"/>
      <c r="DR508" s="41"/>
      <c r="DS508" s="43"/>
      <c r="DT508" s="44">
        <f t="shared" ref="DT508" si="490">SUM(F508:DR508)</f>
        <v>1</v>
      </c>
    </row>
    <row r="509" spans="2:124" s="13" customFormat="1">
      <c r="B509" s="4">
        <f>'6.1Personnel List'!B510</f>
        <v>497</v>
      </c>
      <c r="C509" s="45" t="s">
        <v>677</v>
      </c>
      <c r="D509" s="45" t="str">
        <f>'6.1Personnel List'!D510</f>
        <v>Medical Officer IV</v>
      </c>
      <c r="E509" s="45" t="str">
        <f>'6.1Personnel List'!H510</f>
        <v>FT</v>
      </c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  <c r="AA509" s="41"/>
      <c r="AB509" s="41"/>
      <c r="AC509" s="41"/>
      <c r="AD509" s="41"/>
      <c r="AE509" s="41"/>
      <c r="AF509" s="41"/>
      <c r="AG509" s="41"/>
      <c r="AH509" s="41"/>
      <c r="AI509" s="41"/>
      <c r="AJ509" s="41"/>
      <c r="AK509" s="41"/>
      <c r="AL509" s="41"/>
      <c r="AM509" s="41"/>
      <c r="AN509" s="41"/>
      <c r="AO509" s="41"/>
      <c r="AP509" s="41"/>
      <c r="AQ509" s="41"/>
      <c r="AR509" s="41"/>
      <c r="AS509" s="41"/>
      <c r="AT509" s="41"/>
      <c r="AU509" s="41"/>
      <c r="AV509" s="41"/>
      <c r="AW509" s="41"/>
      <c r="AX509" s="41"/>
      <c r="AY509" s="41"/>
      <c r="AZ509" s="41"/>
      <c r="BA509" s="41"/>
      <c r="BB509" s="41"/>
      <c r="BC509" s="41"/>
      <c r="BD509" s="41"/>
      <c r="BE509" s="41"/>
      <c r="BF509" s="41"/>
      <c r="BG509" s="41"/>
      <c r="BH509" s="41"/>
      <c r="BJ509" s="41"/>
      <c r="BK509" s="41"/>
      <c r="BL509" s="41"/>
      <c r="BM509" s="41"/>
      <c r="BN509" s="41"/>
      <c r="BO509" s="41"/>
      <c r="BP509" s="41"/>
      <c r="BQ509" s="41"/>
      <c r="BR509" s="41"/>
      <c r="BS509" s="41"/>
      <c r="BT509" s="41"/>
      <c r="BU509" s="41"/>
      <c r="BV509" s="41"/>
      <c r="BW509" s="41"/>
      <c r="BX509" s="41"/>
      <c r="BY509" s="41"/>
      <c r="BZ509" s="41"/>
      <c r="CA509" s="41"/>
      <c r="CB509" s="41"/>
      <c r="CC509" s="41"/>
      <c r="CD509" s="41"/>
      <c r="CE509" s="41"/>
      <c r="CF509" s="41"/>
      <c r="CG509" s="41"/>
      <c r="CH509" s="41">
        <v>1</v>
      </c>
      <c r="CI509" s="41"/>
      <c r="CJ509" s="41"/>
      <c r="CK509" s="41"/>
      <c r="CL509" s="41"/>
      <c r="CM509" s="41"/>
      <c r="CN509" s="41"/>
      <c r="CO509" s="41"/>
      <c r="CP509" s="41"/>
      <c r="CQ509" s="41"/>
      <c r="CR509" s="41"/>
      <c r="CS509" s="41"/>
      <c r="CT509" s="41"/>
      <c r="CU509" s="41"/>
      <c r="CV509" s="41"/>
      <c r="CW509" s="41"/>
      <c r="CX509" s="41"/>
      <c r="CY509" s="41"/>
      <c r="CZ509" s="41"/>
      <c r="DA509" s="41"/>
      <c r="DB509" s="41"/>
      <c r="DC509" s="41"/>
      <c r="DD509" s="41"/>
      <c r="DE509" s="41"/>
      <c r="DF509" s="41"/>
      <c r="DG509" s="41"/>
      <c r="DH509" s="41"/>
      <c r="DI509" s="41"/>
      <c r="DJ509" s="41"/>
      <c r="DK509" s="41"/>
      <c r="DL509" s="41"/>
      <c r="DM509" s="41"/>
      <c r="DN509" s="41"/>
      <c r="DO509" s="41"/>
      <c r="DP509" s="41"/>
      <c r="DQ509" s="41"/>
      <c r="DR509" s="41"/>
      <c r="DS509" s="43"/>
      <c r="DT509" s="44">
        <f t="shared" ref="DT509" si="491">SUM(F509:DR509)</f>
        <v>1</v>
      </c>
    </row>
    <row r="510" spans="2:124" s="13" customFormat="1">
      <c r="B510" s="4">
        <f>'6.1Personnel List'!B511</f>
        <v>498</v>
      </c>
      <c r="C510" s="45" t="s">
        <v>678</v>
      </c>
      <c r="D510" s="45" t="str">
        <f>'6.1Personnel List'!D511</f>
        <v>Medical Officer IV</v>
      </c>
      <c r="E510" s="45" t="str">
        <f>'6.1Personnel List'!H511</f>
        <v>FT</v>
      </c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  <c r="AA510" s="41"/>
      <c r="AB510" s="41"/>
      <c r="AC510" s="41"/>
      <c r="AD510" s="41"/>
      <c r="AE510" s="41"/>
      <c r="AF510" s="41"/>
      <c r="AG510" s="41"/>
      <c r="AH510" s="41"/>
      <c r="AI510" s="41"/>
      <c r="AJ510" s="41"/>
      <c r="AK510" s="41"/>
      <c r="AL510" s="41"/>
      <c r="AM510" s="41"/>
      <c r="AN510" s="41"/>
      <c r="AO510" s="41"/>
      <c r="AP510" s="41"/>
      <c r="AQ510" s="41"/>
      <c r="AR510" s="41"/>
      <c r="AS510" s="41"/>
      <c r="AT510" s="41"/>
      <c r="AU510" s="41"/>
      <c r="AV510" s="41"/>
      <c r="AW510" s="41"/>
      <c r="AX510" s="41"/>
      <c r="AY510" s="41"/>
      <c r="AZ510" s="41"/>
      <c r="BA510" s="41"/>
      <c r="BB510" s="41"/>
      <c r="BC510" s="41"/>
      <c r="BD510" s="41"/>
      <c r="BE510" s="41"/>
      <c r="BF510" s="41"/>
      <c r="BG510" s="41"/>
      <c r="BH510" s="41"/>
      <c r="BJ510" s="41"/>
      <c r="BK510" s="41"/>
      <c r="BL510" s="41"/>
      <c r="BM510" s="41"/>
      <c r="BN510" s="41"/>
      <c r="BO510" s="41"/>
      <c r="BP510" s="41"/>
      <c r="BQ510" s="41"/>
      <c r="BR510" s="41"/>
      <c r="BS510" s="41"/>
      <c r="BT510" s="41"/>
      <c r="BU510" s="41"/>
      <c r="BV510" s="41"/>
      <c r="BW510" s="41"/>
      <c r="BX510" s="41"/>
      <c r="BY510" s="41"/>
      <c r="BZ510" s="41"/>
      <c r="CA510" s="41"/>
      <c r="CB510" s="41"/>
      <c r="CC510" s="41"/>
      <c r="CD510" s="41"/>
      <c r="CE510" s="41"/>
      <c r="CF510" s="41"/>
      <c r="CG510" s="41"/>
      <c r="CH510" s="41">
        <v>1</v>
      </c>
      <c r="CI510" s="41"/>
      <c r="CJ510" s="41"/>
      <c r="CK510" s="41"/>
      <c r="CL510" s="41"/>
      <c r="CM510" s="41"/>
      <c r="CN510" s="41"/>
      <c r="CO510" s="41"/>
      <c r="CP510" s="41"/>
      <c r="CQ510" s="41"/>
      <c r="CR510" s="41"/>
      <c r="CS510" s="41"/>
      <c r="CT510" s="41"/>
      <c r="CU510" s="41"/>
      <c r="CV510" s="41"/>
      <c r="CW510" s="41"/>
      <c r="CX510" s="41"/>
      <c r="CY510" s="41"/>
      <c r="CZ510" s="41"/>
      <c r="DA510" s="41"/>
      <c r="DB510" s="41"/>
      <c r="DC510" s="41"/>
      <c r="DD510" s="41"/>
      <c r="DE510" s="41"/>
      <c r="DF510" s="41"/>
      <c r="DG510" s="41"/>
      <c r="DH510" s="41"/>
      <c r="DI510" s="41"/>
      <c r="DJ510" s="41"/>
      <c r="DK510" s="41"/>
      <c r="DL510" s="41"/>
      <c r="DM510" s="41"/>
      <c r="DN510" s="41"/>
      <c r="DO510" s="41"/>
      <c r="DP510" s="41"/>
      <c r="DQ510" s="41"/>
      <c r="DR510" s="41"/>
      <c r="DS510" s="43"/>
      <c r="DT510" s="44">
        <f t="shared" ref="DT510" si="492">SUM(F510:DR510)</f>
        <v>1</v>
      </c>
    </row>
    <row r="511" spans="2:124" s="13" customFormat="1">
      <c r="B511" s="4">
        <f>'6.1Personnel List'!B512</f>
        <v>499</v>
      </c>
      <c r="C511" s="45" t="s">
        <v>679</v>
      </c>
      <c r="D511" s="45" t="str">
        <f>'6.1Personnel List'!D512</f>
        <v>Medical Officer IV</v>
      </c>
      <c r="E511" s="45" t="str">
        <f>'6.1Personnel List'!H512</f>
        <v>FT</v>
      </c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  <c r="AA511" s="41"/>
      <c r="AB511" s="41"/>
      <c r="AC511" s="41"/>
      <c r="AD511" s="41"/>
      <c r="AE511" s="41"/>
      <c r="AF511" s="41"/>
      <c r="AG511" s="41"/>
      <c r="AH511" s="41"/>
      <c r="AI511" s="41"/>
      <c r="AJ511" s="41"/>
      <c r="AK511" s="41"/>
      <c r="AL511" s="41"/>
      <c r="AM511" s="41"/>
      <c r="AN511" s="41"/>
      <c r="AO511" s="41"/>
      <c r="AP511" s="41"/>
      <c r="AQ511" s="41"/>
      <c r="AR511" s="41"/>
      <c r="AS511" s="41"/>
      <c r="AT511" s="41"/>
      <c r="AU511" s="41"/>
      <c r="AV511" s="41"/>
      <c r="AW511" s="41"/>
      <c r="AX511" s="41"/>
      <c r="AY511" s="41"/>
      <c r="AZ511" s="41"/>
      <c r="BA511" s="41"/>
      <c r="BB511" s="41"/>
      <c r="BC511" s="41"/>
      <c r="BD511" s="41"/>
      <c r="BE511" s="41"/>
      <c r="BF511" s="41"/>
      <c r="BG511" s="41"/>
      <c r="BH511" s="41"/>
      <c r="BJ511" s="41"/>
      <c r="BK511" s="41"/>
      <c r="BL511" s="41"/>
      <c r="BM511" s="41"/>
      <c r="BN511" s="41"/>
      <c r="BO511" s="41"/>
      <c r="BP511" s="41"/>
      <c r="BQ511" s="41"/>
      <c r="BR511" s="41"/>
      <c r="BS511" s="41"/>
      <c r="BT511" s="41"/>
      <c r="BU511" s="41"/>
      <c r="BV511" s="41"/>
      <c r="BW511" s="41"/>
      <c r="BX511" s="41"/>
      <c r="BY511" s="41"/>
      <c r="BZ511" s="41"/>
      <c r="CA511" s="41"/>
      <c r="CB511" s="41"/>
      <c r="CC511" s="41"/>
      <c r="CD511" s="41"/>
      <c r="CE511" s="41"/>
      <c r="CF511" s="41"/>
      <c r="CG511" s="41"/>
      <c r="CH511" s="41">
        <v>1</v>
      </c>
      <c r="CI511" s="41"/>
      <c r="CJ511" s="41"/>
      <c r="CK511" s="41"/>
      <c r="CL511" s="41"/>
      <c r="CM511" s="41"/>
      <c r="CN511" s="41"/>
      <c r="CO511" s="41"/>
      <c r="CP511" s="41"/>
      <c r="CQ511" s="41"/>
      <c r="CR511" s="41"/>
      <c r="CS511" s="41"/>
      <c r="CT511" s="41"/>
      <c r="CU511" s="41"/>
      <c r="CV511" s="41"/>
      <c r="CW511" s="41"/>
      <c r="CX511" s="41"/>
      <c r="CY511" s="41"/>
      <c r="CZ511" s="41"/>
      <c r="DA511" s="41"/>
      <c r="DB511" s="41"/>
      <c r="DC511" s="41"/>
      <c r="DD511" s="41"/>
      <c r="DE511" s="41"/>
      <c r="DF511" s="41"/>
      <c r="DG511" s="41"/>
      <c r="DH511" s="41"/>
      <c r="DI511" s="41"/>
      <c r="DJ511" s="41"/>
      <c r="DK511" s="41"/>
      <c r="DL511" s="41"/>
      <c r="DM511" s="41"/>
      <c r="DN511" s="41"/>
      <c r="DO511" s="41"/>
      <c r="DP511" s="41"/>
      <c r="DQ511" s="41"/>
      <c r="DR511" s="41"/>
      <c r="DS511" s="43"/>
      <c r="DT511" s="44">
        <f t="shared" ref="DT511" si="493">SUM(F511:DR511)</f>
        <v>1</v>
      </c>
    </row>
    <row r="512" spans="2:124" s="13" customFormat="1">
      <c r="B512" s="4">
        <f>'6.1Personnel List'!B513</f>
        <v>500</v>
      </c>
      <c r="C512" s="45" t="s">
        <v>680</v>
      </c>
      <c r="D512" s="45" t="str">
        <f>'6.1Personnel List'!D513</f>
        <v>Medical Officer IV</v>
      </c>
      <c r="E512" s="45" t="str">
        <f>'6.1Personnel List'!H513</f>
        <v>FT</v>
      </c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  <c r="AA512" s="41"/>
      <c r="AB512" s="41"/>
      <c r="AC512" s="41"/>
      <c r="AD512" s="41"/>
      <c r="AE512" s="41"/>
      <c r="AF512" s="41"/>
      <c r="AG512" s="41"/>
      <c r="AH512" s="41"/>
      <c r="AI512" s="41"/>
      <c r="AJ512" s="41"/>
      <c r="AK512" s="41"/>
      <c r="AL512" s="41"/>
      <c r="AM512" s="41"/>
      <c r="AN512" s="41"/>
      <c r="AO512" s="41"/>
      <c r="AP512" s="41"/>
      <c r="AQ512" s="41"/>
      <c r="AR512" s="41"/>
      <c r="AS512" s="41"/>
      <c r="AT512" s="41"/>
      <c r="AU512" s="41"/>
      <c r="AV512" s="41"/>
      <c r="AW512" s="41"/>
      <c r="AX512" s="41"/>
      <c r="AY512" s="41"/>
      <c r="AZ512" s="41"/>
      <c r="BA512" s="41"/>
      <c r="BB512" s="41"/>
      <c r="BC512" s="41"/>
      <c r="BD512" s="41"/>
      <c r="BE512" s="41"/>
      <c r="BF512" s="41"/>
      <c r="BG512" s="41"/>
      <c r="BH512" s="41"/>
      <c r="BJ512" s="41"/>
      <c r="BK512" s="41"/>
      <c r="BL512" s="41"/>
      <c r="BM512" s="41"/>
      <c r="BN512" s="41"/>
      <c r="BO512" s="41"/>
      <c r="BP512" s="41"/>
      <c r="BQ512" s="41"/>
      <c r="BR512" s="41"/>
      <c r="BS512" s="41"/>
      <c r="BT512" s="41"/>
      <c r="BU512" s="41"/>
      <c r="BV512" s="41"/>
      <c r="BW512" s="41"/>
      <c r="BX512" s="41"/>
      <c r="BY512" s="41"/>
      <c r="BZ512" s="41"/>
      <c r="CA512" s="41"/>
      <c r="CB512" s="41"/>
      <c r="CC512" s="41"/>
      <c r="CD512" s="41"/>
      <c r="CE512" s="41"/>
      <c r="CF512" s="41"/>
      <c r="CG512" s="41"/>
      <c r="CH512" s="41">
        <v>1</v>
      </c>
      <c r="CI512" s="41"/>
      <c r="CJ512" s="41"/>
      <c r="CK512" s="41"/>
      <c r="CL512" s="41"/>
      <c r="CM512" s="41"/>
      <c r="CN512" s="41"/>
      <c r="CO512" s="41"/>
      <c r="CP512" s="41"/>
      <c r="CQ512" s="41"/>
      <c r="CR512" s="41"/>
      <c r="CS512" s="41"/>
      <c r="CT512" s="41"/>
      <c r="CU512" s="41"/>
      <c r="CV512" s="41"/>
      <c r="CW512" s="41"/>
      <c r="CX512" s="41"/>
      <c r="CY512" s="41"/>
      <c r="CZ512" s="41"/>
      <c r="DA512" s="41"/>
      <c r="DB512" s="41"/>
      <c r="DC512" s="41"/>
      <c r="DD512" s="41"/>
      <c r="DE512" s="41"/>
      <c r="DF512" s="41"/>
      <c r="DG512" s="41"/>
      <c r="DH512" s="41"/>
      <c r="DI512" s="41"/>
      <c r="DJ512" s="41"/>
      <c r="DK512" s="41"/>
      <c r="DL512" s="41"/>
      <c r="DM512" s="41"/>
      <c r="DN512" s="41"/>
      <c r="DO512" s="41"/>
      <c r="DP512" s="41"/>
      <c r="DQ512" s="41"/>
      <c r="DR512" s="41"/>
      <c r="DS512" s="43"/>
      <c r="DT512" s="44">
        <f t="shared" ref="DT512" si="494">SUM(F512:DR512)</f>
        <v>1</v>
      </c>
    </row>
    <row r="513" spans="2:124" s="13" customFormat="1">
      <c r="B513" s="4">
        <f>'6.1Personnel List'!B514</f>
        <v>501</v>
      </c>
      <c r="C513" s="45" t="s">
        <v>681</v>
      </c>
      <c r="D513" s="45" t="str">
        <f>'6.1Personnel List'!D514</f>
        <v>Medical Officer IV</v>
      </c>
      <c r="E513" s="45" t="str">
        <f>'6.1Personnel List'!H514</f>
        <v>FT</v>
      </c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  <c r="AA513" s="41"/>
      <c r="AB513" s="41"/>
      <c r="AC513" s="41"/>
      <c r="AD513" s="41"/>
      <c r="AE513" s="41"/>
      <c r="AF513" s="41"/>
      <c r="AG513" s="41"/>
      <c r="AH513" s="41"/>
      <c r="AI513" s="41"/>
      <c r="AJ513" s="41"/>
      <c r="AK513" s="41"/>
      <c r="AL513" s="41"/>
      <c r="AM513" s="41"/>
      <c r="AN513" s="41"/>
      <c r="AO513" s="41"/>
      <c r="AP513" s="41"/>
      <c r="AQ513" s="41"/>
      <c r="AR513" s="41"/>
      <c r="AS513" s="41"/>
      <c r="AT513" s="41"/>
      <c r="AU513" s="41"/>
      <c r="AV513" s="41"/>
      <c r="AW513" s="41"/>
      <c r="AX513" s="41"/>
      <c r="AY513" s="41"/>
      <c r="AZ513" s="41"/>
      <c r="BA513" s="41"/>
      <c r="BB513" s="41"/>
      <c r="BC513" s="41"/>
      <c r="BD513" s="41"/>
      <c r="BE513" s="41"/>
      <c r="BF513" s="41"/>
      <c r="BG513" s="41"/>
      <c r="BH513" s="41"/>
      <c r="BJ513" s="41"/>
      <c r="BK513" s="41"/>
      <c r="BL513" s="41"/>
      <c r="BM513" s="41"/>
      <c r="BN513" s="41"/>
      <c r="BO513" s="41"/>
      <c r="BP513" s="41"/>
      <c r="BQ513" s="41"/>
      <c r="BR513" s="41"/>
      <c r="BS513" s="41"/>
      <c r="BT513" s="41"/>
      <c r="BU513" s="41"/>
      <c r="BV513" s="41"/>
      <c r="BW513" s="41"/>
      <c r="BX513" s="41"/>
      <c r="BY513" s="41"/>
      <c r="BZ513" s="41"/>
      <c r="CA513" s="41"/>
      <c r="CB513" s="41"/>
      <c r="CC513" s="41"/>
      <c r="CD513" s="41"/>
      <c r="CE513" s="41"/>
      <c r="CF513" s="41"/>
      <c r="CG513" s="41"/>
      <c r="CH513" s="41">
        <v>1</v>
      </c>
      <c r="CI513" s="41"/>
      <c r="CJ513" s="41"/>
      <c r="CK513" s="41"/>
      <c r="CL513" s="41"/>
      <c r="CM513" s="41"/>
      <c r="CN513" s="41"/>
      <c r="CO513" s="41"/>
      <c r="CP513" s="41"/>
      <c r="CQ513" s="41"/>
      <c r="CR513" s="41"/>
      <c r="CS513" s="41"/>
      <c r="CT513" s="41"/>
      <c r="CU513" s="41"/>
      <c r="CV513" s="41"/>
      <c r="CW513" s="41"/>
      <c r="CX513" s="41"/>
      <c r="CY513" s="41"/>
      <c r="CZ513" s="41"/>
      <c r="DA513" s="41"/>
      <c r="DB513" s="41"/>
      <c r="DC513" s="41"/>
      <c r="DD513" s="41"/>
      <c r="DE513" s="41"/>
      <c r="DF513" s="41"/>
      <c r="DG513" s="41"/>
      <c r="DH513" s="41"/>
      <c r="DI513" s="41"/>
      <c r="DJ513" s="41"/>
      <c r="DK513" s="41"/>
      <c r="DL513" s="41"/>
      <c r="DM513" s="41"/>
      <c r="DN513" s="41"/>
      <c r="DO513" s="41"/>
      <c r="DP513" s="41"/>
      <c r="DQ513" s="41"/>
      <c r="DR513" s="41"/>
      <c r="DS513" s="43"/>
      <c r="DT513" s="44">
        <f t="shared" ref="DT513" si="495">SUM(F513:DR513)</f>
        <v>1</v>
      </c>
    </row>
    <row r="514" spans="2:124" s="13" customFormat="1">
      <c r="B514" s="4">
        <f>'6.1Personnel List'!B515</f>
        <v>502</v>
      </c>
      <c r="C514" s="45" t="s">
        <v>682</v>
      </c>
      <c r="D514" s="45" t="str">
        <f>'6.1Personnel List'!D515</f>
        <v>Medical Officer IV</v>
      </c>
      <c r="E514" s="45" t="str">
        <f>'6.1Personnel List'!H515</f>
        <v>FT</v>
      </c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  <c r="AA514" s="41"/>
      <c r="AB514" s="41"/>
      <c r="AC514" s="41"/>
      <c r="AD514" s="41"/>
      <c r="AE514" s="41"/>
      <c r="AF514" s="41"/>
      <c r="AG514" s="41"/>
      <c r="AH514" s="41"/>
      <c r="AI514" s="41"/>
      <c r="AJ514" s="41"/>
      <c r="AK514" s="41"/>
      <c r="AL514" s="41"/>
      <c r="AM514" s="41"/>
      <c r="AN514" s="41"/>
      <c r="AO514" s="41"/>
      <c r="AP514" s="41"/>
      <c r="AQ514" s="41"/>
      <c r="AR514" s="41"/>
      <c r="AS514" s="41"/>
      <c r="AT514" s="41"/>
      <c r="AU514" s="41"/>
      <c r="AV514" s="41"/>
      <c r="AW514" s="41"/>
      <c r="AX514" s="41"/>
      <c r="AY514" s="41"/>
      <c r="AZ514" s="41"/>
      <c r="BA514" s="41"/>
      <c r="BB514" s="41"/>
      <c r="BC514" s="41"/>
      <c r="BD514" s="41"/>
      <c r="BE514" s="41"/>
      <c r="BF514" s="41"/>
      <c r="BG514" s="41"/>
      <c r="BH514" s="41"/>
      <c r="BJ514" s="41"/>
      <c r="BK514" s="41"/>
      <c r="BL514" s="41"/>
      <c r="BM514" s="41"/>
      <c r="BN514" s="41"/>
      <c r="BO514" s="41"/>
      <c r="BP514" s="41"/>
      <c r="BQ514" s="41"/>
      <c r="BR514" s="41"/>
      <c r="BS514" s="41"/>
      <c r="BT514" s="41"/>
      <c r="BU514" s="41"/>
      <c r="BV514" s="41"/>
      <c r="BW514" s="41"/>
      <c r="BX514" s="41"/>
      <c r="BY514" s="41"/>
      <c r="BZ514" s="41"/>
      <c r="CA514" s="41"/>
      <c r="CB514" s="41"/>
      <c r="CC514" s="41"/>
      <c r="CD514" s="41"/>
      <c r="CE514" s="41"/>
      <c r="CF514" s="41"/>
      <c r="CG514" s="41"/>
      <c r="CH514" s="41">
        <v>1</v>
      </c>
      <c r="CI514" s="41"/>
      <c r="CJ514" s="41"/>
      <c r="CK514" s="41"/>
      <c r="CL514" s="41"/>
      <c r="CM514" s="41"/>
      <c r="CN514" s="41"/>
      <c r="CO514" s="41"/>
      <c r="CP514" s="41"/>
      <c r="CQ514" s="41"/>
      <c r="CR514" s="41"/>
      <c r="CS514" s="41"/>
      <c r="CT514" s="41"/>
      <c r="CU514" s="41"/>
      <c r="CV514" s="41"/>
      <c r="CW514" s="41"/>
      <c r="CX514" s="41"/>
      <c r="CY514" s="41"/>
      <c r="CZ514" s="41"/>
      <c r="DA514" s="41"/>
      <c r="DB514" s="41"/>
      <c r="DC514" s="41"/>
      <c r="DD514" s="41"/>
      <c r="DE514" s="41"/>
      <c r="DF514" s="41"/>
      <c r="DG514" s="41"/>
      <c r="DH514" s="41"/>
      <c r="DI514" s="41"/>
      <c r="DJ514" s="41"/>
      <c r="DK514" s="41"/>
      <c r="DL514" s="41"/>
      <c r="DM514" s="41"/>
      <c r="DN514" s="41"/>
      <c r="DO514" s="41"/>
      <c r="DP514" s="41"/>
      <c r="DQ514" s="41"/>
      <c r="DR514" s="41"/>
      <c r="DS514" s="43"/>
      <c r="DT514" s="44">
        <f t="shared" ref="DT514" si="496">SUM(F514:DR514)</f>
        <v>1</v>
      </c>
    </row>
    <row r="515" spans="2:124" s="13" customFormat="1">
      <c r="B515" s="4">
        <f>'6.1Personnel List'!B516</f>
        <v>503</v>
      </c>
      <c r="C515" s="45" t="s">
        <v>683</v>
      </c>
      <c r="D515" s="45" t="str">
        <f>'6.1Personnel List'!D516</f>
        <v>Health Physicist III</v>
      </c>
      <c r="E515" s="45" t="str">
        <f>'6.1Personnel List'!H516</f>
        <v>FT</v>
      </c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  <c r="AA515" s="41"/>
      <c r="AB515" s="41"/>
      <c r="AC515" s="41"/>
      <c r="AD515" s="41"/>
      <c r="AE515" s="41"/>
      <c r="AF515" s="41"/>
      <c r="AG515" s="41"/>
      <c r="AH515" s="41"/>
      <c r="AI515" s="41"/>
      <c r="AJ515" s="41"/>
      <c r="AK515" s="41"/>
      <c r="AL515" s="41"/>
      <c r="AM515" s="41"/>
      <c r="AN515" s="41"/>
      <c r="AO515" s="41"/>
      <c r="AP515" s="41"/>
      <c r="AQ515" s="41"/>
      <c r="AR515" s="41"/>
      <c r="AS515" s="41"/>
      <c r="AT515" s="41"/>
      <c r="AU515" s="41"/>
      <c r="AV515" s="41"/>
      <c r="AW515" s="41"/>
      <c r="AX515" s="41"/>
      <c r="AY515" s="41"/>
      <c r="AZ515" s="41"/>
      <c r="BA515" s="41"/>
      <c r="BB515" s="41"/>
      <c r="BC515" s="41"/>
      <c r="BD515" s="41"/>
      <c r="BE515" s="41"/>
      <c r="BF515" s="41"/>
      <c r="BG515" s="41"/>
      <c r="BH515" s="41"/>
      <c r="BJ515" s="41"/>
      <c r="BK515" s="41"/>
      <c r="BL515" s="41"/>
      <c r="BM515" s="41"/>
      <c r="BN515" s="41"/>
      <c r="BO515" s="41"/>
      <c r="BP515" s="41"/>
      <c r="BQ515" s="41"/>
      <c r="BR515" s="41"/>
      <c r="BS515" s="41"/>
      <c r="BT515" s="41"/>
      <c r="BU515" s="41"/>
      <c r="BV515" s="41"/>
      <c r="BW515" s="41"/>
      <c r="BX515" s="41"/>
      <c r="BY515" s="41"/>
      <c r="BZ515" s="41"/>
      <c r="CA515" s="41">
        <v>0.2</v>
      </c>
      <c r="CB515" s="41"/>
      <c r="CC515" s="41"/>
      <c r="CD515" s="41"/>
      <c r="CE515" s="41"/>
      <c r="CF515" s="41"/>
      <c r="CG515" s="41"/>
      <c r="CH515" s="41">
        <v>0.8</v>
      </c>
      <c r="CI515" s="41"/>
      <c r="CJ515" s="41"/>
      <c r="CK515" s="41"/>
      <c r="CL515" s="41"/>
      <c r="CM515" s="41"/>
      <c r="CN515" s="41"/>
      <c r="CO515" s="41"/>
      <c r="CP515" s="41"/>
      <c r="CQ515" s="41"/>
      <c r="CR515" s="41"/>
      <c r="CS515" s="41"/>
      <c r="CT515" s="41"/>
      <c r="CU515" s="41"/>
      <c r="CV515" s="41"/>
      <c r="CW515" s="41"/>
      <c r="CX515" s="41"/>
      <c r="CY515" s="41"/>
      <c r="CZ515" s="41"/>
      <c r="DA515" s="41"/>
      <c r="DB515" s="41"/>
      <c r="DC515" s="41"/>
      <c r="DD515" s="41"/>
      <c r="DE515" s="41"/>
      <c r="DF515" s="41"/>
      <c r="DG515" s="41"/>
      <c r="DH515" s="41"/>
      <c r="DI515" s="41"/>
      <c r="DJ515" s="41"/>
      <c r="DK515" s="41"/>
      <c r="DL515" s="41"/>
      <c r="DM515" s="41"/>
      <c r="DN515" s="41"/>
      <c r="DO515" s="41"/>
      <c r="DP515" s="41"/>
      <c r="DQ515" s="41"/>
      <c r="DR515" s="41"/>
      <c r="DS515" s="43"/>
      <c r="DT515" s="44">
        <f t="shared" ref="DT515" si="497">SUM(F515:DR515)</f>
        <v>1</v>
      </c>
    </row>
    <row r="516" spans="2:124" s="13" customFormat="1">
      <c r="B516" s="4">
        <f>'6.1Personnel List'!B517</f>
        <v>504</v>
      </c>
      <c r="C516" s="45" t="s">
        <v>685</v>
      </c>
      <c r="D516" s="45" t="str">
        <f>'6.1Personnel List'!D517</f>
        <v>Radiologic Technologist IV</v>
      </c>
      <c r="E516" s="45" t="str">
        <f>'6.1Personnel List'!H517</f>
        <v>FT</v>
      </c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  <c r="AA516" s="41"/>
      <c r="AB516" s="41"/>
      <c r="AC516" s="41"/>
      <c r="AD516" s="41"/>
      <c r="AE516" s="41"/>
      <c r="AF516" s="41"/>
      <c r="AG516" s="41"/>
      <c r="AH516" s="41"/>
      <c r="AI516" s="41"/>
      <c r="AJ516" s="41"/>
      <c r="AK516" s="41"/>
      <c r="AL516" s="41"/>
      <c r="AM516" s="41"/>
      <c r="AN516" s="41"/>
      <c r="AO516" s="41"/>
      <c r="AP516" s="41"/>
      <c r="AQ516" s="41"/>
      <c r="AR516" s="41"/>
      <c r="AS516" s="41"/>
      <c r="AT516" s="41"/>
      <c r="AU516" s="41"/>
      <c r="AV516" s="41"/>
      <c r="AW516" s="41"/>
      <c r="AX516" s="41"/>
      <c r="AY516" s="41"/>
      <c r="AZ516" s="41"/>
      <c r="BA516" s="41"/>
      <c r="BB516" s="41"/>
      <c r="BC516" s="41"/>
      <c r="BD516" s="41"/>
      <c r="BE516" s="41"/>
      <c r="BF516" s="41"/>
      <c r="BG516" s="41"/>
      <c r="BH516" s="41"/>
      <c r="BJ516" s="41"/>
      <c r="BK516" s="41"/>
      <c r="BL516" s="41"/>
      <c r="BM516" s="41"/>
      <c r="BN516" s="41"/>
      <c r="BO516" s="41"/>
      <c r="BP516" s="41"/>
      <c r="BQ516" s="41"/>
      <c r="BR516" s="41"/>
      <c r="BS516" s="41"/>
      <c r="BT516" s="41"/>
      <c r="BU516" s="41"/>
      <c r="BV516" s="41"/>
      <c r="BW516" s="41"/>
      <c r="BX516" s="41"/>
      <c r="BY516" s="41"/>
      <c r="BZ516" s="41"/>
      <c r="CA516" s="41"/>
      <c r="CB516" s="41"/>
      <c r="CC516" s="41"/>
      <c r="CD516" s="41"/>
      <c r="CE516" s="41"/>
      <c r="CF516" s="41"/>
      <c r="CG516" s="41"/>
      <c r="CH516" s="41">
        <v>1</v>
      </c>
      <c r="CI516" s="41"/>
      <c r="CJ516" s="41"/>
      <c r="CK516" s="41"/>
      <c r="CL516" s="41"/>
      <c r="CM516" s="41"/>
      <c r="CN516" s="41"/>
      <c r="CO516" s="41"/>
      <c r="CP516" s="41"/>
      <c r="CQ516" s="41"/>
      <c r="CR516" s="41"/>
      <c r="CS516" s="41"/>
      <c r="CT516" s="41"/>
      <c r="CU516" s="41"/>
      <c r="CV516" s="41"/>
      <c r="CW516" s="41"/>
      <c r="CX516" s="41"/>
      <c r="CY516" s="41"/>
      <c r="CZ516" s="41"/>
      <c r="DA516" s="41"/>
      <c r="DB516" s="41"/>
      <c r="DC516" s="41"/>
      <c r="DD516" s="41"/>
      <c r="DE516" s="41"/>
      <c r="DF516" s="41"/>
      <c r="DG516" s="41"/>
      <c r="DH516" s="41"/>
      <c r="DI516" s="41"/>
      <c r="DJ516" s="41"/>
      <c r="DK516" s="41"/>
      <c r="DL516" s="41"/>
      <c r="DM516" s="41"/>
      <c r="DN516" s="41"/>
      <c r="DO516" s="41"/>
      <c r="DP516" s="41"/>
      <c r="DQ516" s="41"/>
      <c r="DR516" s="41"/>
      <c r="DS516" s="43"/>
      <c r="DT516" s="44">
        <f t="shared" ref="DT516" si="498">SUM(F516:DR516)</f>
        <v>1</v>
      </c>
    </row>
    <row r="517" spans="2:124" s="13" customFormat="1">
      <c r="B517" s="4">
        <f>'6.1Personnel List'!B518</f>
        <v>505</v>
      </c>
      <c r="C517" s="45" t="s">
        <v>687</v>
      </c>
      <c r="D517" s="45" t="str">
        <f>'6.1Personnel List'!D518</f>
        <v>Radiologic Technologist IV</v>
      </c>
      <c r="E517" s="45" t="str">
        <f>'6.1Personnel List'!H518</f>
        <v>FT</v>
      </c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  <c r="AA517" s="41"/>
      <c r="AB517" s="41"/>
      <c r="AC517" s="41"/>
      <c r="AD517" s="41"/>
      <c r="AE517" s="41"/>
      <c r="AF517" s="41"/>
      <c r="AG517" s="41"/>
      <c r="AH517" s="41"/>
      <c r="AI517" s="41"/>
      <c r="AJ517" s="41"/>
      <c r="AK517" s="41"/>
      <c r="AL517" s="41"/>
      <c r="AM517" s="41"/>
      <c r="AN517" s="41"/>
      <c r="AO517" s="41"/>
      <c r="AP517" s="41"/>
      <c r="AQ517" s="41"/>
      <c r="AR517" s="41"/>
      <c r="AS517" s="41"/>
      <c r="AT517" s="41"/>
      <c r="AU517" s="41"/>
      <c r="AV517" s="41"/>
      <c r="AW517" s="41"/>
      <c r="AX517" s="41"/>
      <c r="AY517" s="41"/>
      <c r="AZ517" s="41"/>
      <c r="BA517" s="41"/>
      <c r="BB517" s="41"/>
      <c r="BC517" s="41"/>
      <c r="BD517" s="41"/>
      <c r="BE517" s="41"/>
      <c r="BF517" s="41"/>
      <c r="BG517" s="41"/>
      <c r="BH517" s="41"/>
      <c r="BJ517" s="41"/>
      <c r="BK517" s="41"/>
      <c r="BL517" s="41"/>
      <c r="BM517" s="41"/>
      <c r="BN517" s="41"/>
      <c r="BO517" s="41"/>
      <c r="BP517" s="41"/>
      <c r="BQ517" s="41"/>
      <c r="BR517" s="41"/>
      <c r="BS517" s="41"/>
      <c r="BT517" s="41"/>
      <c r="BU517" s="41"/>
      <c r="BV517" s="41"/>
      <c r="BW517" s="41"/>
      <c r="BX517" s="41"/>
      <c r="BY517" s="41"/>
      <c r="BZ517" s="41"/>
      <c r="CA517" s="41"/>
      <c r="CB517" s="41"/>
      <c r="CC517" s="41"/>
      <c r="CD517" s="41"/>
      <c r="CE517" s="41"/>
      <c r="CF517" s="41"/>
      <c r="CG517" s="41"/>
      <c r="CH517" s="41">
        <v>1</v>
      </c>
      <c r="CI517" s="41"/>
      <c r="CJ517" s="41"/>
      <c r="CK517" s="41"/>
      <c r="CL517" s="41"/>
      <c r="CM517" s="41"/>
      <c r="CN517" s="41"/>
      <c r="CO517" s="41"/>
      <c r="CP517" s="41"/>
      <c r="CQ517" s="41"/>
      <c r="CR517" s="41"/>
      <c r="CS517" s="41"/>
      <c r="CT517" s="41"/>
      <c r="CU517" s="41"/>
      <c r="CV517" s="41"/>
      <c r="CW517" s="41"/>
      <c r="CX517" s="41"/>
      <c r="CY517" s="41"/>
      <c r="CZ517" s="41"/>
      <c r="DA517" s="41"/>
      <c r="DB517" s="41"/>
      <c r="DC517" s="41"/>
      <c r="DD517" s="41"/>
      <c r="DE517" s="41"/>
      <c r="DF517" s="41"/>
      <c r="DG517" s="41"/>
      <c r="DH517" s="41"/>
      <c r="DI517" s="41"/>
      <c r="DJ517" s="41"/>
      <c r="DK517" s="41"/>
      <c r="DL517" s="41"/>
      <c r="DM517" s="41"/>
      <c r="DN517" s="41"/>
      <c r="DO517" s="41"/>
      <c r="DP517" s="41"/>
      <c r="DQ517" s="41"/>
      <c r="DR517" s="41"/>
      <c r="DS517" s="43"/>
      <c r="DT517" s="44">
        <f t="shared" ref="DT517" si="499">SUM(F517:DR517)</f>
        <v>1</v>
      </c>
    </row>
    <row r="518" spans="2:124" s="13" customFormat="1">
      <c r="B518" s="4">
        <f>'6.1Personnel List'!B519</f>
        <v>506</v>
      </c>
      <c r="C518" s="45" t="s">
        <v>688</v>
      </c>
      <c r="D518" s="45" t="str">
        <f>'6.1Personnel List'!D519</f>
        <v>Radiologic Technologist III</v>
      </c>
      <c r="E518" s="45" t="str">
        <f>'6.1Personnel List'!H519</f>
        <v>FT</v>
      </c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  <c r="AA518" s="41"/>
      <c r="AB518" s="41"/>
      <c r="AC518" s="41"/>
      <c r="AD518" s="41"/>
      <c r="AE518" s="41"/>
      <c r="AF518" s="41"/>
      <c r="AG518" s="41"/>
      <c r="AH518" s="41"/>
      <c r="AI518" s="41"/>
      <c r="AJ518" s="41"/>
      <c r="AK518" s="41"/>
      <c r="AL518" s="41"/>
      <c r="AM518" s="41"/>
      <c r="AN518" s="41"/>
      <c r="AO518" s="41"/>
      <c r="AP518" s="41"/>
      <c r="AQ518" s="41"/>
      <c r="AR518" s="41"/>
      <c r="AS518" s="41"/>
      <c r="AT518" s="41"/>
      <c r="AU518" s="41"/>
      <c r="AV518" s="41"/>
      <c r="AW518" s="41"/>
      <c r="AX518" s="41"/>
      <c r="AY518" s="41"/>
      <c r="AZ518" s="41"/>
      <c r="BA518" s="41"/>
      <c r="BB518" s="41"/>
      <c r="BC518" s="41"/>
      <c r="BD518" s="41"/>
      <c r="BE518" s="41"/>
      <c r="BF518" s="41"/>
      <c r="BG518" s="41"/>
      <c r="BH518" s="41"/>
      <c r="BJ518" s="41"/>
      <c r="BK518" s="41"/>
      <c r="BL518" s="41"/>
      <c r="BM518" s="41"/>
      <c r="BN518" s="41"/>
      <c r="BO518" s="41"/>
      <c r="BP518" s="41"/>
      <c r="BQ518" s="41"/>
      <c r="BR518" s="41"/>
      <c r="BS518" s="41"/>
      <c r="BT518" s="41"/>
      <c r="BU518" s="41"/>
      <c r="BV518" s="41"/>
      <c r="BW518" s="41"/>
      <c r="BX518" s="41"/>
      <c r="BY518" s="41"/>
      <c r="BZ518" s="41"/>
      <c r="CA518" s="41"/>
      <c r="CB518" s="41"/>
      <c r="CC518" s="41"/>
      <c r="CD518" s="41"/>
      <c r="CE518" s="41"/>
      <c r="CF518" s="41"/>
      <c r="CG518" s="41"/>
      <c r="CH518" s="41">
        <v>1</v>
      </c>
      <c r="CI518" s="41"/>
      <c r="CJ518" s="41"/>
      <c r="CK518" s="41"/>
      <c r="CL518" s="41"/>
      <c r="CM518" s="41"/>
      <c r="CN518" s="41"/>
      <c r="CO518" s="41"/>
      <c r="CP518" s="41"/>
      <c r="CQ518" s="41"/>
      <c r="CR518" s="41"/>
      <c r="CS518" s="41"/>
      <c r="CT518" s="41"/>
      <c r="CU518" s="41"/>
      <c r="CV518" s="41"/>
      <c r="CW518" s="41"/>
      <c r="CX518" s="41"/>
      <c r="CY518" s="41"/>
      <c r="CZ518" s="41"/>
      <c r="DA518" s="41"/>
      <c r="DB518" s="41"/>
      <c r="DC518" s="41"/>
      <c r="DD518" s="41"/>
      <c r="DE518" s="41"/>
      <c r="DF518" s="41"/>
      <c r="DG518" s="41"/>
      <c r="DH518" s="41"/>
      <c r="DI518" s="41"/>
      <c r="DJ518" s="41"/>
      <c r="DK518" s="41"/>
      <c r="DL518" s="41"/>
      <c r="DM518" s="41"/>
      <c r="DN518" s="41"/>
      <c r="DO518" s="41"/>
      <c r="DP518" s="41"/>
      <c r="DQ518" s="41"/>
      <c r="DR518" s="41"/>
      <c r="DS518" s="43"/>
      <c r="DT518" s="44">
        <f t="shared" ref="DT518" si="500">SUM(F518:DR518)</f>
        <v>1</v>
      </c>
    </row>
    <row r="519" spans="2:124" s="13" customFormat="1">
      <c r="B519" s="4">
        <f>'6.1Personnel List'!B520</f>
        <v>507</v>
      </c>
      <c r="C519" s="45" t="s">
        <v>690</v>
      </c>
      <c r="D519" s="45" t="str">
        <f>'6.1Personnel List'!D520</f>
        <v>Radiologic Technologist III</v>
      </c>
      <c r="E519" s="45" t="str">
        <f>'6.1Personnel List'!H520</f>
        <v>FT</v>
      </c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  <c r="AA519" s="41"/>
      <c r="AB519" s="41"/>
      <c r="AC519" s="41"/>
      <c r="AD519" s="41"/>
      <c r="AE519" s="41"/>
      <c r="AF519" s="41"/>
      <c r="AG519" s="41"/>
      <c r="AH519" s="41"/>
      <c r="AI519" s="41"/>
      <c r="AJ519" s="41"/>
      <c r="AK519" s="41"/>
      <c r="AL519" s="41"/>
      <c r="AM519" s="41"/>
      <c r="AN519" s="41"/>
      <c r="AO519" s="41"/>
      <c r="AP519" s="41"/>
      <c r="AQ519" s="41"/>
      <c r="AR519" s="41"/>
      <c r="AS519" s="41"/>
      <c r="AT519" s="41"/>
      <c r="AU519" s="41"/>
      <c r="AV519" s="41"/>
      <c r="AW519" s="41"/>
      <c r="AX519" s="41"/>
      <c r="AY519" s="41"/>
      <c r="AZ519" s="41"/>
      <c r="BA519" s="41"/>
      <c r="BB519" s="41"/>
      <c r="BC519" s="41"/>
      <c r="BD519" s="41"/>
      <c r="BE519" s="41"/>
      <c r="BF519" s="41"/>
      <c r="BG519" s="41"/>
      <c r="BH519" s="41"/>
      <c r="BJ519" s="41"/>
      <c r="BK519" s="41"/>
      <c r="BL519" s="41"/>
      <c r="BM519" s="41"/>
      <c r="BN519" s="41"/>
      <c r="BO519" s="41"/>
      <c r="BP519" s="41"/>
      <c r="BQ519" s="41"/>
      <c r="BR519" s="41"/>
      <c r="BS519" s="41"/>
      <c r="BT519" s="41"/>
      <c r="BU519" s="41"/>
      <c r="BV519" s="41"/>
      <c r="BW519" s="41"/>
      <c r="BX519" s="41"/>
      <c r="BY519" s="41"/>
      <c r="BZ519" s="41"/>
      <c r="CA519" s="41"/>
      <c r="CB519" s="41"/>
      <c r="CC519" s="41"/>
      <c r="CD519" s="41"/>
      <c r="CE519" s="41"/>
      <c r="CF519" s="41"/>
      <c r="CG519" s="41"/>
      <c r="CH519" s="41">
        <v>1</v>
      </c>
      <c r="CI519" s="41"/>
      <c r="CJ519" s="41"/>
      <c r="CK519" s="41"/>
      <c r="CL519" s="41"/>
      <c r="CM519" s="41"/>
      <c r="CN519" s="41"/>
      <c r="CO519" s="41"/>
      <c r="CP519" s="41"/>
      <c r="CQ519" s="41"/>
      <c r="CR519" s="41"/>
      <c r="CS519" s="41"/>
      <c r="CT519" s="41"/>
      <c r="CU519" s="41"/>
      <c r="CV519" s="41"/>
      <c r="CW519" s="41"/>
      <c r="CX519" s="41"/>
      <c r="CY519" s="41"/>
      <c r="CZ519" s="41"/>
      <c r="DA519" s="41"/>
      <c r="DB519" s="41"/>
      <c r="DC519" s="41"/>
      <c r="DD519" s="41"/>
      <c r="DE519" s="41"/>
      <c r="DF519" s="41"/>
      <c r="DG519" s="41"/>
      <c r="DH519" s="41"/>
      <c r="DI519" s="41"/>
      <c r="DJ519" s="41"/>
      <c r="DK519" s="41"/>
      <c r="DL519" s="41"/>
      <c r="DM519" s="41"/>
      <c r="DN519" s="41"/>
      <c r="DO519" s="41"/>
      <c r="DP519" s="41"/>
      <c r="DQ519" s="41"/>
      <c r="DR519" s="41"/>
      <c r="DS519" s="43"/>
      <c r="DT519" s="44">
        <f t="shared" ref="DT519" si="501">SUM(F519:DR519)</f>
        <v>1</v>
      </c>
    </row>
    <row r="520" spans="2:124" s="13" customFormat="1">
      <c r="B520" s="4">
        <f>'6.1Personnel List'!B521</f>
        <v>508</v>
      </c>
      <c r="C520" s="45" t="s">
        <v>691</v>
      </c>
      <c r="D520" s="45" t="str">
        <f>'6.1Personnel List'!D521</f>
        <v>Radiologic Technologist III</v>
      </c>
      <c r="E520" s="45" t="str">
        <f>'6.1Personnel List'!H521</f>
        <v>FT</v>
      </c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  <c r="AA520" s="41"/>
      <c r="AB520" s="41"/>
      <c r="AC520" s="41"/>
      <c r="AD520" s="41"/>
      <c r="AE520" s="41"/>
      <c r="AF520" s="41"/>
      <c r="AG520" s="41"/>
      <c r="AH520" s="41"/>
      <c r="AI520" s="41"/>
      <c r="AJ520" s="41"/>
      <c r="AK520" s="41"/>
      <c r="AL520" s="41"/>
      <c r="AM520" s="41"/>
      <c r="AN520" s="41"/>
      <c r="AO520" s="41"/>
      <c r="AP520" s="41"/>
      <c r="AQ520" s="41"/>
      <c r="AR520" s="41"/>
      <c r="AS520" s="41"/>
      <c r="AT520" s="41"/>
      <c r="AU520" s="41"/>
      <c r="AV520" s="41"/>
      <c r="AW520" s="41"/>
      <c r="AX520" s="41"/>
      <c r="AY520" s="41"/>
      <c r="AZ520" s="41"/>
      <c r="BA520" s="41"/>
      <c r="BB520" s="41"/>
      <c r="BC520" s="41"/>
      <c r="BD520" s="41"/>
      <c r="BE520" s="41"/>
      <c r="BF520" s="41"/>
      <c r="BG520" s="41"/>
      <c r="BH520" s="41"/>
      <c r="BJ520" s="41"/>
      <c r="BK520" s="41"/>
      <c r="BL520" s="41"/>
      <c r="BM520" s="41"/>
      <c r="BN520" s="41"/>
      <c r="BO520" s="41"/>
      <c r="BP520" s="41"/>
      <c r="BQ520" s="41"/>
      <c r="BR520" s="41"/>
      <c r="BS520" s="41"/>
      <c r="BT520" s="41"/>
      <c r="BU520" s="41"/>
      <c r="BV520" s="41"/>
      <c r="BW520" s="41"/>
      <c r="BX520" s="41"/>
      <c r="BY520" s="41"/>
      <c r="BZ520" s="41"/>
      <c r="CA520" s="41"/>
      <c r="CB520" s="41"/>
      <c r="CC520" s="41"/>
      <c r="CD520" s="41"/>
      <c r="CE520" s="41"/>
      <c r="CF520" s="41"/>
      <c r="CG520" s="41"/>
      <c r="CH520" s="41">
        <v>1</v>
      </c>
      <c r="CI520" s="41"/>
      <c r="CJ520" s="41"/>
      <c r="CK520" s="41"/>
      <c r="CL520" s="41"/>
      <c r="CM520" s="41"/>
      <c r="CN520" s="41"/>
      <c r="CO520" s="41"/>
      <c r="CP520" s="41"/>
      <c r="CQ520" s="41"/>
      <c r="CR520" s="41"/>
      <c r="CS520" s="41"/>
      <c r="CT520" s="41"/>
      <c r="CU520" s="41"/>
      <c r="CV520" s="41"/>
      <c r="CW520" s="41"/>
      <c r="CX520" s="41"/>
      <c r="CY520" s="41"/>
      <c r="CZ520" s="41"/>
      <c r="DA520" s="41"/>
      <c r="DB520" s="41"/>
      <c r="DC520" s="41"/>
      <c r="DD520" s="41"/>
      <c r="DE520" s="41"/>
      <c r="DF520" s="41"/>
      <c r="DG520" s="41"/>
      <c r="DH520" s="41"/>
      <c r="DI520" s="41"/>
      <c r="DJ520" s="41"/>
      <c r="DK520" s="41"/>
      <c r="DL520" s="41"/>
      <c r="DM520" s="41"/>
      <c r="DN520" s="41"/>
      <c r="DO520" s="41"/>
      <c r="DP520" s="41"/>
      <c r="DQ520" s="41"/>
      <c r="DR520" s="41"/>
      <c r="DS520" s="43"/>
      <c r="DT520" s="44">
        <f t="shared" ref="DT520" si="502">SUM(F520:DR520)</f>
        <v>1</v>
      </c>
    </row>
    <row r="521" spans="2:124" s="13" customFormat="1">
      <c r="B521" s="4">
        <f>'6.1Personnel List'!B522</f>
        <v>509</v>
      </c>
      <c r="C521" s="45" t="s">
        <v>692</v>
      </c>
      <c r="D521" s="45" t="str">
        <f>'6.1Personnel List'!D522</f>
        <v>Radiologic Technologist II</v>
      </c>
      <c r="E521" s="45" t="str">
        <f>'6.1Personnel List'!H522</f>
        <v>FT</v>
      </c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  <c r="AA521" s="41"/>
      <c r="AB521" s="41"/>
      <c r="AC521" s="41"/>
      <c r="AD521" s="41"/>
      <c r="AE521" s="41"/>
      <c r="AF521" s="41"/>
      <c r="AG521" s="41"/>
      <c r="AH521" s="41"/>
      <c r="AI521" s="41"/>
      <c r="AJ521" s="41"/>
      <c r="AK521" s="41"/>
      <c r="AL521" s="41"/>
      <c r="AM521" s="41"/>
      <c r="AN521" s="41"/>
      <c r="AO521" s="41"/>
      <c r="AP521" s="41"/>
      <c r="AQ521" s="41"/>
      <c r="AR521" s="41"/>
      <c r="AS521" s="41"/>
      <c r="AT521" s="41"/>
      <c r="AU521" s="41"/>
      <c r="AV521" s="41"/>
      <c r="AW521" s="41"/>
      <c r="AX521" s="41"/>
      <c r="AY521" s="41"/>
      <c r="AZ521" s="41"/>
      <c r="BA521" s="41"/>
      <c r="BB521" s="41"/>
      <c r="BC521" s="41"/>
      <c r="BD521" s="41"/>
      <c r="BE521" s="41"/>
      <c r="BF521" s="41"/>
      <c r="BG521" s="41"/>
      <c r="BH521" s="41"/>
      <c r="BJ521" s="41"/>
      <c r="BK521" s="41"/>
      <c r="BL521" s="41"/>
      <c r="BM521" s="41"/>
      <c r="BN521" s="41"/>
      <c r="BO521" s="41"/>
      <c r="BP521" s="41"/>
      <c r="BQ521" s="41"/>
      <c r="BR521" s="41"/>
      <c r="BS521" s="41"/>
      <c r="BT521" s="41"/>
      <c r="BU521" s="41"/>
      <c r="BV521" s="41"/>
      <c r="BW521" s="41"/>
      <c r="BX521" s="41"/>
      <c r="BY521" s="41"/>
      <c r="BZ521" s="41"/>
      <c r="CA521" s="41"/>
      <c r="CB521" s="41"/>
      <c r="CC521" s="41"/>
      <c r="CD521" s="41"/>
      <c r="CE521" s="41"/>
      <c r="CF521" s="41"/>
      <c r="CG521" s="41"/>
      <c r="CH521" s="41">
        <v>0.65</v>
      </c>
      <c r="CI521" s="41"/>
      <c r="CJ521" s="41"/>
      <c r="CK521" s="41"/>
      <c r="CL521" s="41">
        <v>0.2</v>
      </c>
      <c r="CM521" s="41"/>
      <c r="CN521" s="41">
        <v>0.05</v>
      </c>
      <c r="CO521" s="41"/>
      <c r="CP521" s="41">
        <v>0.05</v>
      </c>
      <c r="CQ521" s="41">
        <v>0.05</v>
      </c>
      <c r="CR521" s="41"/>
      <c r="CS521" s="41"/>
      <c r="CT521" s="41"/>
      <c r="CU521" s="41"/>
      <c r="CV521" s="41"/>
      <c r="CW521" s="41"/>
      <c r="CX521" s="41"/>
      <c r="CY521" s="41"/>
      <c r="CZ521" s="41"/>
      <c r="DA521" s="41"/>
      <c r="DB521" s="41"/>
      <c r="DC521" s="41"/>
      <c r="DD521" s="41"/>
      <c r="DE521" s="41"/>
      <c r="DF521" s="41"/>
      <c r="DG521" s="41"/>
      <c r="DH521" s="41"/>
      <c r="DI521" s="41"/>
      <c r="DJ521" s="41"/>
      <c r="DK521" s="41"/>
      <c r="DL521" s="41"/>
      <c r="DM521" s="41"/>
      <c r="DN521" s="41"/>
      <c r="DO521" s="41"/>
      <c r="DP521" s="41"/>
      <c r="DQ521" s="41"/>
      <c r="DR521" s="41"/>
      <c r="DS521" s="43"/>
      <c r="DT521" s="44">
        <f t="shared" ref="DT521" si="503">SUM(F521:DR521)</f>
        <v>1.0000000000000002</v>
      </c>
    </row>
    <row r="522" spans="2:124" s="13" customFormat="1">
      <c r="B522" s="4">
        <f>'6.1Personnel List'!B523</f>
        <v>510</v>
      </c>
      <c r="C522" s="45" t="s">
        <v>694</v>
      </c>
      <c r="D522" s="45" t="str">
        <f>'6.1Personnel List'!D523</f>
        <v>Radiologic Technologist II</v>
      </c>
      <c r="E522" s="45" t="str">
        <f>'6.1Personnel List'!H523</f>
        <v>FT</v>
      </c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  <c r="AA522" s="41"/>
      <c r="AB522" s="41"/>
      <c r="AC522" s="41"/>
      <c r="AD522" s="41"/>
      <c r="AE522" s="41"/>
      <c r="AF522" s="41"/>
      <c r="AG522" s="41"/>
      <c r="AH522" s="41"/>
      <c r="AI522" s="41"/>
      <c r="AJ522" s="41"/>
      <c r="AK522" s="41"/>
      <c r="AL522" s="41"/>
      <c r="AM522" s="41"/>
      <c r="AN522" s="41"/>
      <c r="AO522" s="41"/>
      <c r="AP522" s="41"/>
      <c r="AQ522" s="41"/>
      <c r="AR522" s="41"/>
      <c r="AS522" s="41"/>
      <c r="AT522" s="41"/>
      <c r="AU522" s="41"/>
      <c r="AV522" s="41"/>
      <c r="AW522" s="41"/>
      <c r="AX522" s="41"/>
      <c r="AY522" s="41"/>
      <c r="AZ522" s="41"/>
      <c r="BA522" s="41"/>
      <c r="BB522" s="41"/>
      <c r="BC522" s="41"/>
      <c r="BD522" s="41"/>
      <c r="BE522" s="41"/>
      <c r="BF522" s="41"/>
      <c r="BG522" s="41"/>
      <c r="BH522" s="41"/>
      <c r="BJ522" s="41"/>
      <c r="BK522" s="41"/>
      <c r="BL522" s="41"/>
      <c r="BM522" s="41"/>
      <c r="BN522" s="41"/>
      <c r="BO522" s="41"/>
      <c r="BP522" s="41"/>
      <c r="BQ522" s="41"/>
      <c r="BR522" s="41"/>
      <c r="BS522" s="41"/>
      <c r="BT522" s="41"/>
      <c r="BU522" s="41"/>
      <c r="BV522" s="41"/>
      <c r="BW522" s="41"/>
      <c r="BX522" s="41"/>
      <c r="BY522" s="41"/>
      <c r="BZ522" s="41"/>
      <c r="CA522" s="41"/>
      <c r="CB522" s="41"/>
      <c r="CC522" s="41"/>
      <c r="CD522" s="41"/>
      <c r="CE522" s="41"/>
      <c r="CF522" s="41"/>
      <c r="CG522" s="41"/>
      <c r="CH522" s="41">
        <v>0.65</v>
      </c>
      <c r="CI522" s="41"/>
      <c r="CJ522" s="41"/>
      <c r="CK522" s="41"/>
      <c r="CL522" s="41">
        <v>0.2</v>
      </c>
      <c r="CM522" s="41"/>
      <c r="CN522" s="41">
        <v>0.05</v>
      </c>
      <c r="CO522" s="41"/>
      <c r="CP522" s="41">
        <v>0.05</v>
      </c>
      <c r="CQ522" s="41">
        <v>0.05</v>
      </c>
      <c r="CR522" s="41"/>
      <c r="CS522" s="41"/>
      <c r="CT522" s="41"/>
      <c r="CU522" s="41"/>
      <c r="CV522" s="41"/>
      <c r="CW522" s="41"/>
      <c r="CX522" s="41"/>
      <c r="CY522" s="41"/>
      <c r="CZ522" s="41"/>
      <c r="DA522" s="41"/>
      <c r="DB522" s="41"/>
      <c r="DC522" s="41"/>
      <c r="DD522" s="41"/>
      <c r="DE522" s="41"/>
      <c r="DF522" s="41"/>
      <c r="DG522" s="41"/>
      <c r="DH522" s="41"/>
      <c r="DI522" s="41"/>
      <c r="DJ522" s="41"/>
      <c r="DK522" s="41"/>
      <c r="DL522" s="41"/>
      <c r="DM522" s="41"/>
      <c r="DN522" s="41"/>
      <c r="DO522" s="41"/>
      <c r="DP522" s="41"/>
      <c r="DQ522" s="41"/>
      <c r="DR522" s="41"/>
      <c r="DS522" s="43"/>
      <c r="DT522" s="44">
        <f t="shared" ref="DT522" si="504">SUM(F522:DR522)</f>
        <v>1.0000000000000002</v>
      </c>
    </row>
    <row r="523" spans="2:124" s="13" customFormat="1">
      <c r="B523" s="4">
        <f>'6.1Personnel List'!B524</f>
        <v>511</v>
      </c>
      <c r="C523" s="45" t="s">
        <v>695</v>
      </c>
      <c r="D523" s="45" t="str">
        <f>'6.1Personnel List'!D524</f>
        <v>Radiologic Technologist II</v>
      </c>
      <c r="E523" s="45" t="str">
        <f>'6.1Personnel List'!H524</f>
        <v>FT</v>
      </c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  <c r="AA523" s="41"/>
      <c r="AB523" s="41"/>
      <c r="AC523" s="41"/>
      <c r="AD523" s="41"/>
      <c r="AE523" s="41"/>
      <c r="AF523" s="41"/>
      <c r="AG523" s="41"/>
      <c r="AH523" s="41"/>
      <c r="AI523" s="41"/>
      <c r="AJ523" s="41"/>
      <c r="AK523" s="41"/>
      <c r="AL523" s="41"/>
      <c r="AM523" s="41"/>
      <c r="AN523" s="41"/>
      <c r="AO523" s="41"/>
      <c r="AP523" s="41"/>
      <c r="AQ523" s="41"/>
      <c r="AR523" s="41"/>
      <c r="AS523" s="41"/>
      <c r="AT523" s="41"/>
      <c r="AU523" s="41"/>
      <c r="AV523" s="41"/>
      <c r="AW523" s="41"/>
      <c r="AX523" s="41"/>
      <c r="AY523" s="41"/>
      <c r="AZ523" s="41"/>
      <c r="BA523" s="41"/>
      <c r="BB523" s="41"/>
      <c r="BC523" s="41"/>
      <c r="BD523" s="41"/>
      <c r="BE523" s="41"/>
      <c r="BF523" s="41"/>
      <c r="BG523" s="41"/>
      <c r="BH523" s="41"/>
      <c r="BJ523" s="41"/>
      <c r="BK523" s="41"/>
      <c r="BL523" s="41"/>
      <c r="BM523" s="41"/>
      <c r="BN523" s="41"/>
      <c r="BO523" s="41"/>
      <c r="BP523" s="41"/>
      <c r="BQ523" s="41"/>
      <c r="BR523" s="41"/>
      <c r="BS523" s="41"/>
      <c r="BT523" s="41"/>
      <c r="BU523" s="41"/>
      <c r="BV523" s="41"/>
      <c r="BW523" s="41"/>
      <c r="BX523" s="41"/>
      <c r="BY523" s="41"/>
      <c r="BZ523" s="41"/>
      <c r="CA523" s="41"/>
      <c r="CB523" s="41"/>
      <c r="CC523" s="41"/>
      <c r="CD523" s="41"/>
      <c r="CE523" s="41"/>
      <c r="CF523" s="41"/>
      <c r="CG523" s="41"/>
      <c r="CH523" s="41">
        <v>0.65</v>
      </c>
      <c r="CI523" s="41"/>
      <c r="CJ523" s="41"/>
      <c r="CK523" s="41"/>
      <c r="CL523" s="41">
        <v>0.2</v>
      </c>
      <c r="CM523" s="41"/>
      <c r="CN523" s="41">
        <v>0.05</v>
      </c>
      <c r="CO523" s="41"/>
      <c r="CP523" s="41">
        <v>0.05</v>
      </c>
      <c r="CQ523" s="41">
        <v>0.05</v>
      </c>
      <c r="CR523" s="41"/>
      <c r="CS523" s="41"/>
      <c r="CT523" s="41"/>
      <c r="CU523" s="41"/>
      <c r="CV523" s="41"/>
      <c r="CW523" s="41"/>
      <c r="CX523" s="41"/>
      <c r="CY523" s="41"/>
      <c r="CZ523" s="41"/>
      <c r="DA523" s="41"/>
      <c r="DB523" s="41"/>
      <c r="DC523" s="41"/>
      <c r="DD523" s="41"/>
      <c r="DE523" s="41"/>
      <c r="DF523" s="41"/>
      <c r="DG523" s="41"/>
      <c r="DH523" s="41"/>
      <c r="DI523" s="41"/>
      <c r="DJ523" s="41"/>
      <c r="DK523" s="41"/>
      <c r="DL523" s="41"/>
      <c r="DM523" s="41"/>
      <c r="DN523" s="41"/>
      <c r="DO523" s="41"/>
      <c r="DP523" s="41"/>
      <c r="DQ523" s="41"/>
      <c r="DR523" s="41"/>
      <c r="DS523" s="43"/>
      <c r="DT523" s="44">
        <f t="shared" ref="DT523" si="505">SUM(F523:DR523)</f>
        <v>1.0000000000000002</v>
      </c>
    </row>
    <row r="524" spans="2:124" s="13" customFormat="1">
      <c r="B524" s="4">
        <f>'6.1Personnel List'!B525</f>
        <v>512</v>
      </c>
      <c r="C524" s="45" t="s">
        <v>696</v>
      </c>
      <c r="D524" s="45" t="str">
        <f>'6.1Personnel List'!D525</f>
        <v>Radiologic Technologist II</v>
      </c>
      <c r="E524" s="45" t="str">
        <f>'6.1Personnel List'!H525</f>
        <v>FT</v>
      </c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  <c r="AA524" s="41"/>
      <c r="AB524" s="41"/>
      <c r="AC524" s="41"/>
      <c r="AD524" s="41"/>
      <c r="AE524" s="41"/>
      <c r="AF524" s="41"/>
      <c r="AG524" s="41"/>
      <c r="AH524" s="41"/>
      <c r="AI524" s="41"/>
      <c r="AJ524" s="41"/>
      <c r="AK524" s="41"/>
      <c r="AL524" s="41"/>
      <c r="AM524" s="41"/>
      <c r="AN524" s="41"/>
      <c r="AO524" s="41"/>
      <c r="AP524" s="41"/>
      <c r="AQ524" s="41"/>
      <c r="AR524" s="41"/>
      <c r="AS524" s="41"/>
      <c r="AT524" s="41"/>
      <c r="AU524" s="41"/>
      <c r="AV524" s="41"/>
      <c r="AW524" s="41"/>
      <c r="AX524" s="41"/>
      <c r="AY524" s="41"/>
      <c r="AZ524" s="41"/>
      <c r="BA524" s="41"/>
      <c r="BB524" s="41"/>
      <c r="BC524" s="41"/>
      <c r="BD524" s="41"/>
      <c r="BE524" s="41"/>
      <c r="BF524" s="41"/>
      <c r="BG524" s="41"/>
      <c r="BH524" s="41"/>
      <c r="BJ524" s="41"/>
      <c r="BK524" s="41"/>
      <c r="BL524" s="41"/>
      <c r="BM524" s="41"/>
      <c r="BN524" s="41"/>
      <c r="BO524" s="41"/>
      <c r="BP524" s="41"/>
      <c r="BQ524" s="41"/>
      <c r="BR524" s="41"/>
      <c r="BS524" s="41"/>
      <c r="BT524" s="41"/>
      <c r="BU524" s="41"/>
      <c r="BV524" s="41"/>
      <c r="BW524" s="41"/>
      <c r="BX524" s="41"/>
      <c r="BY524" s="41"/>
      <c r="BZ524" s="41"/>
      <c r="CA524" s="41"/>
      <c r="CB524" s="41"/>
      <c r="CC524" s="41"/>
      <c r="CD524" s="41"/>
      <c r="CE524" s="41"/>
      <c r="CF524" s="41"/>
      <c r="CG524" s="41"/>
      <c r="CH524" s="41">
        <v>0.65</v>
      </c>
      <c r="CI524" s="41"/>
      <c r="CJ524" s="41"/>
      <c r="CK524" s="41"/>
      <c r="CL524" s="41">
        <v>0.2</v>
      </c>
      <c r="CM524" s="41"/>
      <c r="CN524" s="41">
        <v>0.05</v>
      </c>
      <c r="CO524" s="41"/>
      <c r="CP524" s="41">
        <v>0.05</v>
      </c>
      <c r="CQ524" s="41">
        <v>0.05</v>
      </c>
      <c r="CR524" s="41"/>
      <c r="CS524" s="41"/>
      <c r="CT524" s="41"/>
      <c r="CU524" s="41"/>
      <c r="CV524" s="41"/>
      <c r="CW524" s="41"/>
      <c r="CX524" s="41"/>
      <c r="CY524" s="41"/>
      <c r="CZ524" s="41"/>
      <c r="DA524" s="41"/>
      <c r="DB524" s="41"/>
      <c r="DC524" s="41"/>
      <c r="DD524" s="41"/>
      <c r="DE524" s="41"/>
      <c r="DF524" s="41"/>
      <c r="DG524" s="41"/>
      <c r="DH524" s="41"/>
      <c r="DI524" s="41"/>
      <c r="DJ524" s="41"/>
      <c r="DK524" s="41"/>
      <c r="DL524" s="41"/>
      <c r="DM524" s="41"/>
      <c r="DN524" s="41"/>
      <c r="DO524" s="41"/>
      <c r="DP524" s="41"/>
      <c r="DQ524" s="41"/>
      <c r="DR524" s="41"/>
      <c r="DS524" s="43"/>
      <c r="DT524" s="44">
        <f t="shared" ref="DT524" si="506">SUM(F524:DR524)</f>
        <v>1.0000000000000002</v>
      </c>
    </row>
    <row r="525" spans="2:124" s="13" customFormat="1">
      <c r="B525" s="4">
        <f>'6.1Personnel List'!B526</f>
        <v>513</v>
      </c>
      <c r="C525" s="45" t="s">
        <v>697</v>
      </c>
      <c r="D525" s="45" t="str">
        <f>'6.1Personnel List'!D526</f>
        <v>Radiologic Technologist II</v>
      </c>
      <c r="E525" s="45" t="str">
        <f>'6.1Personnel List'!H526</f>
        <v>FT</v>
      </c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  <c r="AA525" s="41"/>
      <c r="AB525" s="41"/>
      <c r="AC525" s="41"/>
      <c r="AD525" s="41"/>
      <c r="AE525" s="41"/>
      <c r="AF525" s="41"/>
      <c r="AG525" s="41"/>
      <c r="AH525" s="41"/>
      <c r="AI525" s="41"/>
      <c r="AJ525" s="41"/>
      <c r="AK525" s="41"/>
      <c r="AL525" s="41"/>
      <c r="AM525" s="41"/>
      <c r="AN525" s="41"/>
      <c r="AO525" s="41"/>
      <c r="AP525" s="41"/>
      <c r="AQ525" s="41"/>
      <c r="AR525" s="41"/>
      <c r="AS525" s="41"/>
      <c r="AT525" s="41"/>
      <c r="AU525" s="41"/>
      <c r="AV525" s="41"/>
      <c r="AW525" s="41"/>
      <c r="AX525" s="41"/>
      <c r="AY525" s="41"/>
      <c r="AZ525" s="41"/>
      <c r="BA525" s="41"/>
      <c r="BB525" s="41"/>
      <c r="BC525" s="41"/>
      <c r="BD525" s="41"/>
      <c r="BE525" s="41"/>
      <c r="BF525" s="41"/>
      <c r="BG525" s="41"/>
      <c r="BH525" s="41"/>
      <c r="BJ525" s="41"/>
      <c r="BK525" s="41"/>
      <c r="BL525" s="41"/>
      <c r="BM525" s="41"/>
      <c r="BN525" s="41"/>
      <c r="BO525" s="41"/>
      <c r="BP525" s="41"/>
      <c r="BQ525" s="41"/>
      <c r="BR525" s="41"/>
      <c r="BS525" s="41"/>
      <c r="BT525" s="41"/>
      <c r="BU525" s="41"/>
      <c r="BV525" s="41"/>
      <c r="BW525" s="41"/>
      <c r="BX525" s="41"/>
      <c r="BY525" s="41"/>
      <c r="BZ525" s="41"/>
      <c r="CA525" s="41"/>
      <c r="CB525" s="41"/>
      <c r="CC525" s="41"/>
      <c r="CD525" s="41"/>
      <c r="CE525" s="41"/>
      <c r="CF525" s="41"/>
      <c r="CG525" s="41"/>
      <c r="CH525" s="41">
        <v>0.65</v>
      </c>
      <c r="CI525" s="41"/>
      <c r="CJ525" s="41"/>
      <c r="CK525" s="41"/>
      <c r="CL525" s="41">
        <v>0.2</v>
      </c>
      <c r="CM525" s="41"/>
      <c r="CN525" s="41">
        <v>0.05</v>
      </c>
      <c r="CO525" s="41"/>
      <c r="CP525" s="41">
        <v>0.05</v>
      </c>
      <c r="CQ525" s="41">
        <v>0.05</v>
      </c>
      <c r="CR525" s="41"/>
      <c r="CS525" s="41"/>
      <c r="CT525" s="41"/>
      <c r="CU525" s="41"/>
      <c r="CV525" s="41"/>
      <c r="CW525" s="41"/>
      <c r="CX525" s="41"/>
      <c r="CY525" s="41"/>
      <c r="CZ525" s="41"/>
      <c r="DA525" s="41"/>
      <c r="DB525" s="41"/>
      <c r="DC525" s="41"/>
      <c r="DD525" s="41"/>
      <c r="DE525" s="41"/>
      <c r="DF525" s="41"/>
      <c r="DG525" s="41"/>
      <c r="DH525" s="41"/>
      <c r="DI525" s="41"/>
      <c r="DJ525" s="41"/>
      <c r="DK525" s="41"/>
      <c r="DL525" s="41"/>
      <c r="DM525" s="41"/>
      <c r="DN525" s="41"/>
      <c r="DO525" s="41"/>
      <c r="DP525" s="41"/>
      <c r="DQ525" s="41"/>
      <c r="DR525" s="41"/>
      <c r="DS525" s="43"/>
      <c r="DT525" s="44">
        <f t="shared" ref="DT525" si="507">SUM(F525:DR525)</f>
        <v>1.0000000000000002</v>
      </c>
    </row>
    <row r="526" spans="2:124" s="13" customFormat="1">
      <c r="B526" s="4">
        <f>'6.1Personnel List'!B527</f>
        <v>514</v>
      </c>
      <c r="C526" s="45" t="s">
        <v>698</v>
      </c>
      <c r="D526" s="45" t="str">
        <f>'6.1Personnel List'!D527</f>
        <v>Radiologic Technologist II</v>
      </c>
      <c r="E526" s="45" t="str">
        <f>'6.1Personnel List'!H527</f>
        <v>FT</v>
      </c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  <c r="AA526" s="41"/>
      <c r="AB526" s="41"/>
      <c r="AC526" s="41"/>
      <c r="AD526" s="41"/>
      <c r="AE526" s="41"/>
      <c r="AF526" s="41"/>
      <c r="AG526" s="41"/>
      <c r="AH526" s="41"/>
      <c r="AI526" s="41"/>
      <c r="AJ526" s="41"/>
      <c r="AK526" s="41"/>
      <c r="AL526" s="41"/>
      <c r="AM526" s="41"/>
      <c r="AN526" s="41"/>
      <c r="AO526" s="41"/>
      <c r="AP526" s="41"/>
      <c r="AQ526" s="41"/>
      <c r="AR526" s="41"/>
      <c r="AS526" s="41"/>
      <c r="AT526" s="41"/>
      <c r="AU526" s="41"/>
      <c r="AV526" s="41"/>
      <c r="AW526" s="41"/>
      <c r="AX526" s="41"/>
      <c r="AY526" s="41"/>
      <c r="AZ526" s="41"/>
      <c r="BA526" s="41"/>
      <c r="BB526" s="41"/>
      <c r="BC526" s="41"/>
      <c r="BD526" s="41"/>
      <c r="BE526" s="41"/>
      <c r="BF526" s="41"/>
      <c r="BG526" s="41"/>
      <c r="BH526" s="41"/>
      <c r="BJ526" s="41"/>
      <c r="BK526" s="41"/>
      <c r="BL526" s="41"/>
      <c r="BM526" s="41"/>
      <c r="BN526" s="41"/>
      <c r="BO526" s="41"/>
      <c r="BP526" s="41"/>
      <c r="BQ526" s="41"/>
      <c r="BR526" s="41"/>
      <c r="BS526" s="41"/>
      <c r="BT526" s="41"/>
      <c r="BU526" s="41"/>
      <c r="BV526" s="41"/>
      <c r="BW526" s="41"/>
      <c r="BX526" s="41"/>
      <c r="BY526" s="41"/>
      <c r="BZ526" s="41"/>
      <c r="CA526" s="41"/>
      <c r="CB526" s="41"/>
      <c r="CC526" s="41"/>
      <c r="CD526" s="41"/>
      <c r="CE526" s="41"/>
      <c r="CF526" s="41"/>
      <c r="CG526" s="41"/>
      <c r="CH526" s="41">
        <v>0.65</v>
      </c>
      <c r="CI526" s="41"/>
      <c r="CJ526" s="41"/>
      <c r="CK526" s="41"/>
      <c r="CL526" s="41">
        <v>0.2</v>
      </c>
      <c r="CM526" s="41"/>
      <c r="CN526" s="41">
        <v>0.05</v>
      </c>
      <c r="CO526" s="41"/>
      <c r="CP526" s="41">
        <v>0.05</v>
      </c>
      <c r="CQ526" s="41">
        <v>0.05</v>
      </c>
      <c r="CR526" s="41"/>
      <c r="CS526" s="41"/>
      <c r="CT526" s="41"/>
      <c r="CU526" s="41"/>
      <c r="CV526" s="41"/>
      <c r="CW526" s="41"/>
      <c r="CX526" s="41"/>
      <c r="CY526" s="41"/>
      <c r="CZ526" s="41"/>
      <c r="DA526" s="41"/>
      <c r="DB526" s="41"/>
      <c r="DC526" s="41"/>
      <c r="DD526" s="41"/>
      <c r="DE526" s="41"/>
      <c r="DF526" s="41"/>
      <c r="DG526" s="41"/>
      <c r="DH526" s="41"/>
      <c r="DI526" s="41"/>
      <c r="DJ526" s="41"/>
      <c r="DK526" s="41"/>
      <c r="DL526" s="41"/>
      <c r="DM526" s="41"/>
      <c r="DN526" s="41"/>
      <c r="DO526" s="41"/>
      <c r="DP526" s="41"/>
      <c r="DQ526" s="41"/>
      <c r="DR526" s="41"/>
      <c r="DS526" s="43"/>
      <c r="DT526" s="44">
        <f t="shared" ref="DT526" si="508">SUM(F526:DR526)</f>
        <v>1.0000000000000002</v>
      </c>
    </row>
    <row r="527" spans="2:124" s="13" customFormat="1">
      <c r="B527" s="4">
        <f>'6.1Personnel List'!B528</f>
        <v>515</v>
      </c>
      <c r="C527" s="45" t="s">
        <v>699</v>
      </c>
      <c r="D527" s="45" t="str">
        <f>'6.1Personnel List'!D528</f>
        <v>Radiologic Technologist I</v>
      </c>
      <c r="E527" s="45" t="str">
        <f>'6.1Personnel List'!H528</f>
        <v>FT</v>
      </c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  <c r="AA527" s="41"/>
      <c r="AB527" s="41"/>
      <c r="AC527" s="41"/>
      <c r="AD527" s="41"/>
      <c r="AE527" s="41"/>
      <c r="AF527" s="41"/>
      <c r="AG527" s="41"/>
      <c r="AH527" s="41"/>
      <c r="AI527" s="41"/>
      <c r="AJ527" s="41"/>
      <c r="AK527" s="41"/>
      <c r="AL527" s="41"/>
      <c r="AM527" s="41"/>
      <c r="AN527" s="41"/>
      <c r="AO527" s="41"/>
      <c r="AP527" s="41"/>
      <c r="AQ527" s="41"/>
      <c r="AR527" s="41"/>
      <c r="AS527" s="41"/>
      <c r="AT527" s="41"/>
      <c r="AU527" s="41"/>
      <c r="AV527" s="41"/>
      <c r="AW527" s="41"/>
      <c r="AX527" s="41"/>
      <c r="AY527" s="41"/>
      <c r="AZ527" s="41"/>
      <c r="BA527" s="41"/>
      <c r="BB527" s="41"/>
      <c r="BC527" s="41"/>
      <c r="BD527" s="41"/>
      <c r="BE527" s="41"/>
      <c r="BF527" s="41"/>
      <c r="BG527" s="41"/>
      <c r="BH527" s="41"/>
      <c r="BJ527" s="41"/>
      <c r="BK527" s="41"/>
      <c r="BL527" s="41"/>
      <c r="BM527" s="41"/>
      <c r="BN527" s="41"/>
      <c r="BO527" s="41"/>
      <c r="BP527" s="41"/>
      <c r="BQ527" s="41"/>
      <c r="BR527" s="41"/>
      <c r="BS527" s="41"/>
      <c r="BT527" s="41"/>
      <c r="BU527" s="41"/>
      <c r="BV527" s="41"/>
      <c r="BW527" s="41"/>
      <c r="BX527" s="41"/>
      <c r="BY527" s="41"/>
      <c r="BZ527" s="41"/>
      <c r="CA527" s="41"/>
      <c r="CB527" s="41"/>
      <c r="CC527" s="41"/>
      <c r="CD527" s="41"/>
      <c r="CE527" s="41"/>
      <c r="CF527" s="41"/>
      <c r="CG527" s="41"/>
      <c r="CH527" s="41">
        <v>0.65</v>
      </c>
      <c r="CI527" s="41"/>
      <c r="CJ527" s="41"/>
      <c r="CK527" s="41"/>
      <c r="CL527" s="41">
        <v>0.2</v>
      </c>
      <c r="CM527" s="41"/>
      <c r="CN527" s="41">
        <v>0.05</v>
      </c>
      <c r="CO527" s="41"/>
      <c r="CP527" s="41">
        <v>0.05</v>
      </c>
      <c r="CQ527" s="41">
        <v>0.05</v>
      </c>
      <c r="CR527" s="41"/>
      <c r="CS527" s="41"/>
      <c r="CT527" s="41"/>
      <c r="CU527" s="41"/>
      <c r="CV527" s="41"/>
      <c r="CW527" s="41"/>
      <c r="CX527" s="41"/>
      <c r="CY527" s="41"/>
      <c r="CZ527" s="41"/>
      <c r="DA527" s="41"/>
      <c r="DB527" s="41"/>
      <c r="DC527" s="41"/>
      <c r="DD527" s="41"/>
      <c r="DE527" s="41"/>
      <c r="DF527" s="41"/>
      <c r="DG527" s="41"/>
      <c r="DH527" s="41"/>
      <c r="DI527" s="41"/>
      <c r="DJ527" s="41"/>
      <c r="DK527" s="41"/>
      <c r="DL527" s="41"/>
      <c r="DM527" s="41"/>
      <c r="DN527" s="41"/>
      <c r="DO527" s="41"/>
      <c r="DP527" s="41"/>
      <c r="DQ527" s="41"/>
      <c r="DR527" s="41"/>
      <c r="DS527" s="43"/>
      <c r="DT527" s="44">
        <f t="shared" ref="DT527" si="509">SUM(F527:DR527)</f>
        <v>1.0000000000000002</v>
      </c>
    </row>
    <row r="528" spans="2:124" s="13" customFormat="1">
      <c r="B528" s="4">
        <f>'6.1Personnel List'!B529</f>
        <v>516</v>
      </c>
      <c r="C528" s="45" t="s">
        <v>701</v>
      </c>
      <c r="D528" s="45" t="str">
        <f>'6.1Personnel List'!D529</f>
        <v>Radiologic Technologist I</v>
      </c>
      <c r="E528" s="45" t="str">
        <f>'6.1Personnel List'!H529</f>
        <v>FT</v>
      </c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  <c r="AA528" s="41"/>
      <c r="AB528" s="41"/>
      <c r="AC528" s="41"/>
      <c r="AD528" s="41"/>
      <c r="AE528" s="41"/>
      <c r="AF528" s="41"/>
      <c r="AG528" s="41"/>
      <c r="AH528" s="41"/>
      <c r="AI528" s="41"/>
      <c r="AJ528" s="41"/>
      <c r="AK528" s="41"/>
      <c r="AL528" s="41"/>
      <c r="AM528" s="41"/>
      <c r="AN528" s="41"/>
      <c r="AO528" s="41"/>
      <c r="AP528" s="41"/>
      <c r="AQ528" s="41"/>
      <c r="AR528" s="41"/>
      <c r="AS528" s="41"/>
      <c r="AT528" s="41"/>
      <c r="AU528" s="41"/>
      <c r="AV528" s="41"/>
      <c r="AW528" s="41"/>
      <c r="AX528" s="41"/>
      <c r="AY528" s="41"/>
      <c r="AZ528" s="41"/>
      <c r="BA528" s="41"/>
      <c r="BB528" s="41"/>
      <c r="BC528" s="41"/>
      <c r="BD528" s="41"/>
      <c r="BE528" s="41"/>
      <c r="BF528" s="41"/>
      <c r="BG528" s="41"/>
      <c r="BH528" s="41"/>
      <c r="BJ528" s="41"/>
      <c r="BK528" s="41"/>
      <c r="BL528" s="41"/>
      <c r="BM528" s="41"/>
      <c r="BN528" s="41"/>
      <c r="BO528" s="41"/>
      <c r="BP528" s="41"/>
      <c r="BQ528" s="41"/>
      <c r="BR528" s="41"/>
      <c r="BS528" s="41"/>
      <c r="BT528" s="41"/>
      <c r="BU528" s="41"/>
      <c r="BV528" s="41"/>
      <c r="BW528" s="41"/>
      <c r="BX528" s="41"/>
      <c r="BY528" s="41"/>
      <c r="BZ528" s="41"/>
      <c r="CA528" s="41"/>
      <c r="CB528" s="41"/>
      <c r="CC528" s="41"/>
      <c r="CD528" s="41"/>
      <c r="CE528" s="41"/>
      <c r="CF528" s="41"/>
      <c r="CG528" s="41"/>
      <c r="CH528" s="41">
        <v>0.65</v>
      </c>
      <c r="CI528" s="41"/>
      <c r="CJ528" s="41"/>
      <c r="CK528" s="41"/>
      <c r="CL528" s="41">
        <v>0.2</v>
      </c>
      <c r="CM528" s="41"/>
      <c r="CN528" s="41">
        <v>0.05</v>
      </c>
      <c r="CO528" s="41"/>
      <c r="CP528" s="41">
        <v>0.05</v>
      </c>
      <c r="CQ528" s="41">
        <v>0.05</v>
      </c>
      <c r="CR528" s="41"/>
      <c r="CS528" s="41"/>
      <c r="CT528" s="41"/>
      <c r="CU528" s="41"/>
      <c r="CV528" s="41"/>
      <c r="CW528" s="41"/>
      <c r="CX528" s="41"/>
      <c r="CY528" s="41"/>
      <c r="CZ528" s="41"/>
      <c r="DA528" s="41"/>
      <c r="DB528" s="41"/>
      <c r="DC528" s="41"/>
      <c r="DD528" s="41"/>
      <c r="DE528" s="41"/>
      <c r="DF528" s="41"/>
      <c r="DG528" s="41"/>
      <c r="DH528" s="41"/>
      <c r="DI528" s="41"/>
      <c r="DJ528" s="41"/>
      <c r="DK528" s="41"/>
      <c r="DL528" s="41"/>
      <c r="DM528" s="41"/>
      <c r="DN528" s="41"/>
      <c r="DO528" s="41"/>
      <c r="DP528" s="41"/>
      <c r="DQ528" s="41"/>
      <c r="DR528" s="41"/>
      <c r="DS528" s="43"/>
      <c r="DT528" s="44">
        <f t="shared" ref="DT528" si="510">SUM(F528:DR528)</f>
        <v>1.0000000000000002</v>
      </c>
    </row>
    <row r="529" spans="2:124" s="13" customFormat="1">
      <c r="B529" s="4">
        <f>'6.1Personnel List'!B530</f>
        <v>517</v>
      </c>
      <c r="C529" s="45" t="s">
        <v>702</v>
      </c>
      <c r="D529" s="45" t="str">
        <f>'6.1Personnel List'!D530</f>
        <v>Radiologic Technologist I</v>
      </c>
      <c r="E529" s="45" t="str">
        <f>'6.1Personnel List'!H530</f>
        <v>FT</v>
      </c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  <c r="AA529" s="41"/>
      <c r="AB529" s="41"/>
      <c r="AC529" s="41"/>
      <c r="AD529" s="41"/>
      <c r="AE529" s="41"/>
      <c r="AF529" s="41"/>
      <c r="AG529" s="41"/>
      <c r="AH529" s="41"/>
      <c r="AI529" s="41"/>
      <c r="AJ529" s="41"/>
      <c r="AK529" s="41"/>
      <c r="AL529" s="41"/>
      <c r="AM529" s="41"/>
      <c r="AN529" s="41"/>
      <c r="AO529" s="41"/>
      <c r="AP529" s="41"/>
      <c r="AQ529" s="41"/>
      <c r="AR529" s="41"/>
      <c r="AS529" s="41"/>
      <c r="AT529" s="41"/>
      <c r="AU529" s="41"/>
      <c r="AV529" s="41"/>
      <c r="AW529" s="41"/>
      <c r="AX529" s="41"/>
      <c r="AY529" s="41"/>
      <c r="AZ529" s="41"/>
      <c r="BA529" s="41"/>
      <c r="BB529" s="41"/>
      <c r="BC529" s="41"/>
      <c r="BD529" s="41"/>
      <c r="BE529" s="41"/>
      <c r="BF529" s="41"/>
      <c r="BG529" s="41"/>
      <c r="BH529" s="41"/>
      <c r="BJ529" s="41"/>
      <c r="BK529" s="41"/>
      <c r="BL529" s="41"/>
      <c r="BM529" s="41"/>
      <c r="BN529" s="41"/>
      <c r="BO529" s="41"/>
      <c r="BP529" s="41"/>
      <c r="BQ529" s="41"/>
      <c r="BR529" s="41"/>
      <c r="BS529" s="41"/>
      <c r="BT529" s="41"/>
      <c r="BU529" s="41"/>
      <c r="BV529" s="41"/>
      <c r="BW529" s="41"/>
      <c r="BX529" s="41"/>
      <c r="BY529" s="41"/>
      <c r="BZ529" s="41"/>
      <c r="CA529" s="41"/>
      <c r="CB529" s="41"/>
      <c r="CC529" s="41"/>
      <c r="CD529" s="41"/>
      <c r="CE529" s="41"/>
      <c r="CF529" s="41"/>
      <c r="CG529" s="41"/>
      <c r="CH529" s="41">
        <v>0.65</v>
      </c>
      <c r="CI529" s="41"/>
      <c r="CJ529" s="41"/>
      <c r="CK529" s="41"/>
      <c r="CL529" s="41">
        <v>0.2</v>
      </c>
      <c r="CM529" s="41"/>
      <c r="CN529" s="41">
        <v>0.05</v>
      </c>
      <c r="CO529" s="41"/>
      <c r="CP529" s="41">
        <v>0.05</v>
      </c>
      <c r="CQ529" s="41">
        <v>0.05</v>
      </c>
      <c r="CR529" s="41"/>
      <c r="CS529" s="41"/>
      <c r="CT529" s="41"/>
      <c r="CU529" s="41"/>
      <c r="CV529" s="41"/>
      <c r="CW529" s="41"/>
      <c r="CX529" s="41"/>
      <c r="CY529" s="41"/>
      <c r="CZ529" s="41"/>
      <c r="DA529" s="41"/>
      <c r="DB529" s="41"/>
      <c r="DC529" s="41"/>
      <c r="DD529" s="41"/>
      <c r="DE529" s="41"/>
      <c r="DF529" s="41"/>
      <c r="DG529" s="41"/>
      <c r="DH529" s="41"/>
      <c r="DI529" s="41"/>
      <c r="DJ529" s="41"/>
      <c r="DK529" s="41"/>
      <c r="DL529" s="41"/>
      <c r="DM529" s="41"/>
      <c r="DN529" s="41"/>
      <c r="DO529" s="41"/>
      <c r="DP529" s="41"/>
      <c r="DQ529" s="41"/>
      <c r="DR529" s="41"/>
      <c r="DS529" s="43"/>
      <c r="DT529" s="44">
        <f t="shared" ref="DT529" si="511">SUM(F529:DR529)</f>
        <v>1.0000000000000002</v>
      </c>
    </row>
    <row r="530" spans="2:124" s="13" customFormat="1">
      <c r="B530" s="4">
        <f>'6.1Personnel List'!B531</f>
        <v>518</v>
      </c>
      <c r="C530" s="45" t="s">
        <v>703</v>
      </c>
      <c r="D530" s="45" t="str">
        <f>'6.1Personnel List'!D531</f>
        <v>Radiologic Technologist I</v>
      </c>
      <c r="E530" s="45" t="str">
        <f>'6.1Personnel List'!H531</f>
        <v>FT</v>
      </c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  <c r="AA530" s="41"/>
      <c r="AB530" s="41"/>
      <c r="AC530" s="41"/>
      <c r="AD530" s="41"/>
      <c r="AE530" s="41"/>
      <c r="AF530" s="41"/>
      <c r="AG530" s="41"/>
      <c r="AH530" s="41"/>
      <c r="AI530" s="41"/>
      <c r="AJ530" s="41"/>
      <c r="AK530" s="41"/>
      <c r="AL530" s="41"/>
      <c r="AM530" s="41"/>
      <c r="AN530" s="41"/>
      <c r="AO530" s="41"/>
      <c r="AP530" s="41"/>
      <c r="AQ530" s="41"/>
      <c r="AR530" s="41"/>
      <c r="AS530" s="41"/>
      <c r="AT530" s="41"/>
      <c r="AU530" s="41"/>
      <c r="AV530" s="41"/>
      <c r="AW530" s="41"/>
      <c r="AX530" s="41"/>
      <c r="AY530" s="41"/>
      <c r="AZ530" s="41"/>
      <c r="BA530" s="41"/>
      <c r="BB530" s="41"/>
      <c r="BC530" s="41"/>
      <c r="BD530" s="41"/>
      <c r="BE530" s="41"/>
      <c r="BF530" s="41"/>
      <c r="BG530" s="41"/>
      <c r="BH530" s="41"/>
      <c r="BJ530" s="41"/>
      <c r="BK530" s="41"/>
      <c r="BL530" s="41"/>
      <c r="BM530" s="41"/>
      <c r="BN530" s="41"/>
      <c r="BO530" s="41"/>
      <c r="BP530" s="41"/>
      <c r="BQ530" s="41"/>
      <c r="BR530" s="41"/>
      <c r="BS530" s="41"/>
      <c r="BT530" s="41"/>
      <c r="BU530" s="41"/>
      <c r="BV530" s="41"/>
      <c r="BW530" s="41"/>
      <c r="BX530" s="41"/>
      <c r="BY530" s="41"/>
      <c r="BZ530" s="41"/>
      <c r="CA530" s="41"/>
      <c r="CB530" s="41"/>
      <c r="CC530" s="41"/>
      <c r="CD530" s="41"/>
      <c r="CE530" s="41"/>
      <c r="CF530" s="41"/>
      <c r="CG530" s="41"/>
      <c r="CH530" s="41">
        <v>0.65</v>
      </c>
      <c r="CI530" s="41"/>
      <c r="CJ530" s="41"/>
      <c r="CK530" s="41"/>
      <c r="CL530" s="41">
        <v>0.2</v>
      </c>
      <c r="CM530" s="41"/>
      <c r="CN530" s="41">
        <v>0.05</v>
      </c>
      <c r="CO530" s="41"/>
      <c r="CP530" s="41">
        <v>0.05</v>
      </c>
      <c r="CQ530" s="41">
        <v>0.05</v>
      </c>
      <c r="CR530" s="41"/>
      <c r="CS530" s="41"/>
      <c r="CT530" s="41"/>
      <c r="CU530" s="41"/>
      <c r="CV530" s="41"/>
      <c r="CW530" s="41"/>
      <c r="CX530" s="41"/>
      <c r="CY530" s="41"/>
      <c r="CZ530" s="41"/>
      <c r="DA530" s="41"/>
      <c r="DB530" s="41"/>
      <c r="DC530" s="41"/>
      <c r="DD530" s="41"/>
      <c r="DE530" s="41"/>
      <c r="DF530" s="41"/>
      <c r="DG530" s="41"/>
      <c r="DH530" s="41"/>
      <c r="DI530" s="41"/>
      <c r="DJ530" s="41"/>
      <c r="DK530" s="41"/>
      <c r="DL530" s="41"/>
      <c r="DM530" s="41"/>
      <c r="DN530" s="41"/>
      <c r="DO530" s="41"/>
      <c r="DP530" s="41"/>
      <c r="DQ530" s="41"/>
      <c r="DR530" s="41"/>
      <c r="DS530" s="43"/>
      <c r="DT530" s="44">
        <f t="shared" ref="DT530" si="512">SUM(F530:DR530)</f>
        <v>1.0000000000000002</v>
      </c>
    </row>
    <row r="531" spans="2:124" s="13" customFormat="1">
      <c r="B531" s="4">
        <f>'6.1Personnel List'!B532</f>
        <v>519</v>
      </c>
      <c r="C531" s="45" t="s">
        <v>704</v>
      </c>
      <c r="D531" s="45" t="str">
        <f>'6.1Personnel List'!D532</f>
        <v>Radiologic Technologist I</v>
      </c>
      <c r="E531" s="45" t="str">
        <f>'6.1Personnel List'!H532</f>
        <v>FT</v>
      </c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  <c r="AA531" s="41"/>
      <c r="AB531" s="41"/>
      <c r="AC531" s="41"/>
      <c r="AD531" s="41"/>
      <c r="AE531" s="41"/>
      <c r="AF531" s="41"/>
      <c r="AG531" s="41"/>
      <c r="AH531" s="41"/>
      <c r="AI531" s="41"/>
      <c r="AJ531" s="41"/>
      <c r="AK531" s="41"/>
      <c r="AL531" s="41"/>
      <c r="AM531" s="41"/>
      <c r="AN531" s="41"/>
      <c r="AO531" s="41"/>
      <c r="AP531" s="41"/>
      <c r="AQ531" s="41"/>
      <c r="AR531" s="41"/>
      <c r="AS531" s="41"/>
      <c r="AT531" s="41"/>
      <c r="AU531" s="41"/>
      <c r="AV531" s="41"/>
      <c r="AW531" s="41"/>
      <c r="AX531" s="41"/>
      <c r="AY531" s="41"/>
      <c r="AZ531" s="41"/>
      <c r="BA531" s="41"/>
      <c r="BB531" s="41"/>
      <c r="BC531" s="41"/>
      <c r="BD531" s="41"/>
      <c r="BE531" s="41"/>
      <c r="BF531" s="41"/>
      <c r="BG531" s="41"/>
      <c r="BH531" s="41"/>
      <c r="BJ531" s="41"/>
      <c r="BK531" s="41"/>
      <c r="BL531" s="41"/>
      <c r="BM531" s="41"/>
      <c r="BN531" s="41"/>
      <c r="BO531" s="41"/>
      <c r="BP531" s="41"/>
      <c r="BQ531" s="41"/>
      <c r="BR531" s="41"/>
      <c r="BS531" s="41"/>
      <c r="BT531" s="41"/>
      <c r="BU531" s="41"/>
      <c r="BV531" s="41"/>
      <c r="BW531" s="41"/>
      <c r="BX531" s="41"/>
      <c r="BY531" s="41"/>
      <c r="BZ531" s="41"/>
      <c r="CA531" s="41"/>
      <c r="CB531" s="41"/>
      <c r="CC531" s="41"/>
      <c r="CD531" s="41"/>
      <c r="CE531" s="41"/>
      <c r="CF531" s="41"/>
      <c r="CG531" s="41"/>
      <c r="CH531" s="41">
        <v>0.65</v>
      </c>
      <c r="CI531" s="41"/>
      <c r="CJ531" s="41"/>
      <c r="CK531" s="41"/>
      <c r="CL531" s="41">
        <v>0.2</v>
      </c>
      <c r="CM531" s="41"/>
      <c r="CN531" s="41">
        <v>0.05</v>
      </c>
      <c r="CO531" s="41"/>
      <c r="CP531" s="41">
        <v>0.05</v>
      </c>
      <c r="CQ531" s="41">
        <v>0.05</v>
      </c>
      <c r="CR531" s="41"/>
      <c r="CS531" s="41"/>
      <c r="CT531" s="41"/>
      <c r="CU531" s="41"/>
      <c r="CV531" s="41"/>
      <c r="CW531" s="41"/>
      <c r="CX531" s="41"/>
      <c r="CY531" s="41"/>
      <c r="CZ531" s="41"/>
      <c r="DA531" s="41"/>
      <c r="DB531" s="41"/>
      <c r="DC531" s="41"/>
      <c r="DD531" s="41"/>
      <c r="DE531" s="41"/>
      <c r="DF531" s="41"/>
      <c r="DG531" s="41"/>
      <c r="DH531" s="41"/>
      <c r="DI531" s="41"/>
      <c r="DJ531" s="41"/>
      <c r="DK531" s="41"/>
      <c r="DL531" s="41"/>
      <c r="DM531" s="41"/>
      <c r="DN531" s="41"/>
      <c r="DO531" s="41"/>
      <c r="DP531" s="41"/>
      <c r="DQ531" s="41"/>
      <c r="DR531" s="41"/>
      <c r="DS531" s="43"/>
      <c r="DT531" s="44">
        <f t="shared" ref="DT531" si="513">SUM(F531:DR531)</f>
        <v>1.0000000000000002</v>
      </c>
    </row>
    <row r="532" spans="2:124" s="13" customFormat="1">
      <c r="B532" s="4">
        <f>'6.1Personnel List'!B533</f>
        <v>520</v>
      </c>
      <c r="C532" s="45" t="s">
        <v>705</v>
      </c>
      <c r="D532" s="45" t="str">
        <f>'6.1Personnel List'!D533</f>
        <v>Radiologic Technologist I</v>
      </c>
      <c r="E532" s="45" t="str">
        <f>'6.1Personnel List'!H533</f>
        <v>FT</v>
      </c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  <c r="AA532" s="41"/>
      <c r="AB532" s="41"/>
      <c r="AC532" s="41"/>
      <c r="AD532" s="41"/>
      <c r="AE532" s="41"/>
      <c r="AF532" s="41"/>
      <c r="AG532" s="41"/>
      <c r="AH532" s="41"/>
      <c r="AI532" s="41"/>
      <c r="AJ532" s="41"/>
      <c r="AK532" s="41"/>
      <c r="AL532" s="41"/>
      <c r="AM532" s="41"/>
      <c r="AN532" s="41"/>
      <c r="AO532" s="41"/>
      <c r="AP532" s="41"/>
      <c r="AQ532" s="41"/>
      <c r="AR532" s="41"/>
      <c r="AS532" s="41"/>
      <c r="AT532" s="41"/>
      <c r="AU532" s="41"/>
      <c r="AV532" s="41"/>
      <c r="AW532" s="41"/>
      <c r="AX532" s="41"/>
      <c r="AY532" s="41"/>
      <c r="AZ532" s="41"/>
      <c r="BA532" s="41"/>
      <c r="BB532" s="41"/>
      <c r="BC532" s="41"/>
      <c r="BD532" s="41"/>
      <c r="BE532" s="41"/>
      <c r="BF532" s="41"/>
      <c r="BG532" s="41"/>
      <c r="BH532" s="41"/>
      <c r="BJ532" s="41"/>
      <c r="BK532" s="41"/>
      <c r="BL532" s="41"/>
      <c r="BM532" s="41"/>
      <c r="BN532" s="41"/>
      <c r="BO532" s="41"/>
      <c r="BP532" s="41"/>
      <c r="BQ532" s="41"/>
      <c r="BR532" s="41"/>
      <c r="BS532" s="41"/>
      <c r="BT532" s="41"/>
      <c r="BU532" s="41"/>
      <c r="BV532" s="41"/>
      <c r="BW532" s="41"/>
      <c r="BX532" s="41"/>
      <c r="BY532" s="41"/>
      <c r="BZ532" s="41"/>
      <c r="CA532" s="41"/>
      <c r="CB532" s="41"/>
      <c r="CC532" s="41"/>
      <c r="CD532" s="41"/>
      <c r="CE532" s="41"/>
      <c r="CF532" s="41"/>
      <c r="CG532" s="41"/>
      <c r="CH532" s="41">
        <v>0.65</v>
      </c>
      <c r="CI532" s="41"/>
      <c r="CJ532" s="41"/>
      <c r="CK532" s="41"/>
      <c r="CL532" s="41">
        <v>0.2</v>
      </c>
      <c r="CM532" s="41"/>
      <c r="CN532" s="41">
        <v>0.05</v>
      </c>
      <c r="CO532" s="41"/>
      <c r="CP532" s="41">
        <v>0.05</v>
      </c>
      <c r="CQ532" s="41">
        <v>0.05</v>
      </c>
      <c r="CR532" s="41"/>
      <c r="CS532" s="41"/>
      <c r="CT532" s="41"/>
      <c r="CU532" s="41"/>
      <c r="CV532" s="41"/>
      <c r="CW532" s="41"/>
      <c r="CX532" s="41"/>
      <c r="CY532" s="41"/>
      <c r="CZ532" s="41"/>
      <c r="DA532" s="41"/>
      <c r="DB532" s="41"/>
      <c r="DC532" s="41"/>
      <c r="DD532" s="41"/>
      <c r="DE532" s="41"/>
      <c r="DF532" s="41"/>
      <c r="DG532" s="41"/>
      <c r="DH532" s="41"/>
      <c r="DI532" s="41"/>
      <c r="DJ532" s="41"/>
      <c r="DK532" s="41"/>
      <c r="DL532" s="41"/>
      <c r="DM532" s="41"/>
      <c r="DN532" s="41"/>
      <c r="DO532" s="41"/>
      <c r="DP532" s="41"/>
      <c r="DQ532" s="41"/>
      <c r="DR532" s="41"/>
      <c r="DS532" s="43"/>
      <c r="DT532" s="44">
        <f t="shared" ref="DT532" si="514">SUM(F532:DR532)</f>
        <v>1.0000000000000002</v>
      </c>
    </row>
    <row r="533" spans="2:124" s="13" customFormat="1">
      <c r="B533" s="4">
        <f>'6.1Personnel List'!B534</f>
        <v>521</v>
      </c>
      <c r="C533" s="45" t="s">
        <v>706</v>
      </c>
      <c r="D533" s="45" t="str">
        <f>'6.1Personnel List'!D534</f>
        <v>Consultant (Job Order)</v>
      </c>
      <c r="E533" s="45" t="str">
        <f>'6.1Personnel List'!H534</f>
        <v>PT</v>
      </c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  <c r="AA533" s="41"/>
      <c r="AB533" s="41"/>
      <c r="AC533" s="41"/>
      <c r="AD533" s="41"/>
      <c r="AE533" s="41"/>
      <c r="AF533" s="41"/>
      <c r="AG533" s="41"/>
      <c r="AH533" s="41"/>
      <c r="AI533" s="41"/>
      <c r="AJ533" s="41"/>
      <c r="AK533" s="41"/>
      <c r="AL533" s="41"/>
      <c r="AM533" s="41"/>
      <c r="AN533" s="41"/>
      <c r="AO533" s="41"/>
      <c r="AP533" s="41"/>
      <c r="AQ533" s="41"/>
      <c r="AR533" s="41"/>
      <c r="AS533" s="41"/>
      <c r="AT533" s="41"/>
      <c r="AU533" s="41"/>
      <c r="AV533" s="41"/>
      <c r="AW533" s="41"/>
      <c r="AX533" s="41"/>
      <c r="AY533" s="41"/>
      <c r="AZ533" s="41"/>
      <c r="BA533" s="41"/>
      <c r="BB533" s="41"/>
      <c r="BC533" s="41"/>
      <c r="BD533" s="41"/>
      <c r="BE533" s="41"/>
      <c r="BF533" s="41"/>
      <c r="BG533" s="41"/>
      <c r="BH533" s="41"/>
      <c r="BJ533" s="41"/>
      <c r="BK533" s="41"/>
      <c r="BL533" s="41"/>
      <c r="BM533" s="41"/>
      <c r="BN533" s="41"/>
      <c r="BO533" s="41"/>
      <c r="BP533" s="41"/>
      <c r="BQ533" s="41"/>
      <c r="BR533" s="41"/>
      <c r="BS533" s="41"/>
      <c r="BT533" s="41"/>
      <c r="BU533" s="41"/>
      <c r="BV533" s="41"/>
      <c r="BW533" s="41"/>
      <c r="BX533" s="41"/>
      <c r="BY533" s="41"/>
      <c r="BZ533" s="41"/>
      <c r="CA533" s="41"/>
      <c r="CB533" s="41"/>
      <c r="CC533" s="41"/>
      <c r="CD533" s="41"/>
      <c r="CE533" s="41"/>
      <c r="CF533" s="41"/>
      <c r="CG533" s="41"/>
      <c r="CH533" s="41">
        <v>1</v>
      </c>
      <c r="CI533" s="41"/>
      <c r="CJ533" s="41"/>
      <c r="CK533" s="41"/>
      <c r="CL533" s="41"/>
      <c r="CM533" s="41"/>
      <c r="CN533" s="41"/>
      <c r="CO533" s="41"/>
      <c r="CP533" s="41"/>
      <c r="CQ533" s="41"/>
      <c r="CR533" s="41"/>
      <c r="CS533" s="41"/>
      <c r="CT533" s="41"/>
      <c r="CU533" s="41"/>
      <c r="CV533" s="41"/>
      <c r="CW533" s="41"/>
      <c r="CX533" s="41"/>
      <c r="CY533" s="41"/>
      <c r="CZ533" s="41"/>
      <c r="DA533" s="41"/>
      <c r="DB533" s="41"/>
      <c r="DC533" s="41"/>
      <c r="DD533" s="41"/>
      <c r="DE533" s="41"/>
      <c r="DF533" s="41"/>
      <c r="DG533" s="41"/>
      <c r="DH533" s="41"/>
      <c r="DI533" s="41"/>
      <c r="DJ533" s="41"/>
      <c r="DK533" s="41"/>
      <c r="DL533" s="41"/>
      <c r="DM533" s="41"/>
      <c r="DN533" s="41"/>
      <c r="DO533" s="41"/>
      <c r="DP533" s="41"/>
      <c r="DQ533" s="41"/>
      <c r="DR533" s="41"/>
      <c r="DS533" s="43"/>
      <c r="DT533" s="44">
        <f t="shared" ref="DT533" si="515">SUM(F533:DR533)</f>
        <v>1</v>
      </c>
    </row>
    <row r="534" spans="2:124" s="13" customFormat="1">
      <c r="B534" s="4">
        <f>'6.1Personnel List'!B535</f>
        <v>522</v>
      </c>
      <c r="C534" s="45" t="s">
        <v>707</v>
      </c>
      <c r="D534" s="45" t="str">
        <f>'6.1Personnel List'!D535</f>
        <v>Consultant (Job Order)</v>
      </c>
      <c r="E534" s="45" t="str">
        <f>'6.1Personnel List'!H535</f>
        <v>PT</v>
      </c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  <c r="AA534" s="41"/>
      <c r="AB534" s="41"/>
      <c r="AC534" s="41"/>
      <c r="AD534" s="41"/>
      <c r="AE534" s="41"/>
      <c r="AF534" s="41"/>
      <c r="AG534" s="41"/>
      <c r="AH534" s="41"/>
      <c r="AI534" s="41"/>
      <c r="AJ534" s="41"/>
      <c r="AK534" s="41"/>
      <c r="AL534" s="41"/>
      <c r="AM534" s="41"/>
      <c r="AN534" s="41"/>
      <c r="AO534" s="41"/>
      <c r="AP534" s="41"/>
      <c r="AQ534" s="41"/>
      <c r="AR534" s="41"/>
      <c r="AS534" s="41"/>
      <c r="AT534" s="41"/>
      <c r="AU534" s="41"/>
      <c r="AV534" s="41"/>
      <c r="AW534" s="41"/>
      <c r="AX534" s="41"/>
      <c r="AY534" s="41"/>
      <c r="AZ534" s="41"/>
      <c r="BA534" s="41"/>
      <c r="BB534" s="41"/>
      <c r="BC534" s="41"/>
      <c r="BD534" s="41"/>
      <c r="BE534" s="41"/>
      <c r="BF534" s="41"/>
      <c r="BG534" s="41"/>
      <c r="BH534" s="41"/>
      <c r="BJ534" s="41"/>
      <c r="BK534" s="41"/>
      <c r="BL534" s="41"/>
      <c r="BM534" s="41"/>
      <c r="BN534" s="41"/>
      <c r="BO534" s="41"/>
      <c r="BP534" s="41"/>
      <c r="BQ534" s="41"/>
      <c r="BR534" s="41"/>
      <c r="BS534" s="41"/>
      <c r="BT534" s="41"/>
      <c r="BU534" s="41"/>
      <c r="BV534" s="41"/>
      <c r="BW534" s="41"/>
      <c r="BX534" s="41"/>
      <c r="BY534" s="41"/>
      <c r="BZ534" s="41"/>
      <c r="CA534" s="41"/>
      <c r="CB534" s="41"/>
      <c r="CC534" s="41"/>
      <c r="CD534" s="41"/>
      <c r="CE534" s="41"/>
      <c r="CF534" s="41"/>
      <c r="CG534" s="41"/>
      <c r="CH534" s="41">
        <v>1</v>
      </c>
      <c r="CI534" s="41"/>
      <c r="CJ534" s="41"/>
      <c r="CK534" s="41"/>
      <c r="CL534" s="41"/>
      <c r="CM534" s="41"/>
      <c r="CN534" s="41"/>
      <c r="CO534" s="41"/>
      <c r="CP534" s="41"/>
      <c r="CQ534" s="41"/>
      <c r="CR534" s="41"/>
      <c r="CS534" s="41"/>
      <c r="CT534" s="41"/>
      <c r="CU534" s="41"/>
      <c r="CV534" s="41"/>
      <c r="CW534" s="41"/>
      <c r="CX534" s="41"/>
      <c r="CY534" s="41"/>
      <c r="CZ534" s="41"/>
      <c r="DA534" s="41"/>
      <c r="DB534" s="41"/>
      <c r="DC534" s="41"/>
      <c r="DD534" s="41"/>
      <c r="DE534" s="41"/>
      <c r="DF534" s="41"/>
      <c r="DG534" s="41"/>
      <c r="DH534" s="41"/>
      <c r="DI534" s="41"/>
      <c r="DJ534" s="41"/>
      <c r="DK534" s="41"/>
      <c r="DL534" s="41"/>
      <c r="DM534" s="41"/>
      <c r="DN534" s="41"/>
      <c r="DO534" s="41"/>
      <c r="DP534" s="41"/>
      <c r="DQ534" s="41"/>
      <c r="DR534" s="41"/>
      <c r="DS534" s="43"/>
      <c r="DT534" s="44">
        <f t="shared" ref="DT534" si="516">SUM(F534:DR534)</f>
        <v>1</v>
      </c>
    </row>
    <row r="535" spans="2:124" s="13" customFormat="1">
      <c r="B535" s="4">
        <f>'6.1Personnel List'!B536</f>
        <v>523</v>
      </c>
      <c r="C535" s="45" t="s">
        <v>708</v>
      </c>
      <c r="D535" s="45" t="str">
        <f>'6.1Personnel List'!D536</f>
        <v>Consultant (Job Order)</v>
      </c>
      <c r="E535" s="45" t="str">
        <f>'6.1Personnel List'!H536</f>
        <v>PT</v>
      </c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  <c r="AA535" s="41"/>
      <c r="AB535" s="41"/>
      <c r="AC535" s="41"/>
      <c r="AD535" s="41"/>
      <c r="AE535" s="41"/>
      <c r="AF535" s="41"/>
      <c r="AG535" s="41"/>
      <c r="AH535" s="41"/>
      <c r="AI535" s="41"/>
      <c r="AJ535" s="41"/>
      <c r="AK535" s="41"/>
      <c r="AL535" s="41"/>
      <c r="AM535" s="41"/>
      <c r="AN535" s="41"/>
      <c r="AO535" s="41"/>
      <c r="AP535" s="41"/>
      <c r="AQ535" s="41"/>
      <c r="AR535" s="41"/>
      <c r="AS535" s="41"/>
      <c r="AT535" s="41"/>
      <c r="AU535" s="41"/>
      <c r="AV535" s="41"/>
      <c r="AW535" s="41"/>
      <c r="AX535" s="41"/>
      <c r="AY535" s="41"/>
      <c r="AZ535" s="41"/>
      <c r="BA535" s="41"/>
      <c r="BB535" s="41"/>
      <c r="BC535" s="41"/>
      <c r="BD535" s="41"/>
      <c r="BE535" s="41"/>
      <c r="BF535" s="41"/>
      <c r="BG535" s="41"/>
      <c r="BH535" s="41"/>
      <c r="BJ535" s="41"/>
      <c r="BK535" s="41"/>
      <c r="BL535" s="41"/>
      <c r="BM535" s="41"/>
      <c r="BN535" s="41"/>
      <c r="BO535" s="41"/>
      <c r="BP535" s="41"/>
      <c r="BQ535" s="41"/>
      <c r="BR535" s="41"/>
      <c r="BS535" s="41"/>
      <c r="BT535" s="41"/>
      <c r="BU535" s="41"/>
      <c r="BV535" s="41"/>
      <c r="BW535" s="41"/>
      <c r="BX535" s="41"/>
      <c r="BY535" s="41"/>
      <c r="BZ535" s="41"/>
      <c r="CA535" s="41"/>
      <c r="CB535" s="41"/>
      <c r="CC535" s="41"/>
      <c r="CD535" s="41"/>
      <c r="CE535" s="41"/>
      <c r="CF535" s="41"/>
      <c r="CG535" s="41"/>
      <c r="CH535" s="41">
        <v>1</v>
      </c>
      <c r="CI535" s="41"/>
      <c r="CJ535" s="41"/>
      <c r="CK535" s="41"/>
      <c r="CL535" s="41"/>
      <c r="CM535" s="41"/>
      <c r="CN535" s="41"/>
      <c r="CO535" s="41"/>
      <c r="CP535" s="41"/>
      <c r="CQ535" s="41"/>
      <c r="CR535" s="41"/>
      <c r="CS535" s="41"/>
      <c r="CT535" s="41"/>
      <c r="CU535" s="41"/>
      <c r="CV535" s="41"/>
      <c r="CW535" s="41"/>
      <c r="CX535" s="41"/>
      <c r="CY535" s="41"/>
      <c r="CZ535" s="41"/>
      <c r="DA535" s="41"/>
      <c r="DB535" s="41"/>
      <c r="DC535" s="41"/>
      <c r="DD535" s="41"/>
      <c r="DE535" s="41"/>
      <c r="DF535" s="41"/>
      <c r="DG535" s="41"/>
      <c r="DH535" s="41"/>
      <c r="DI535" s="41"/>
      <c r="DJ535" s="41"/>
      <c r="DK535" s="41"/>
      <c r="DL535" s="41"/>
      <c r="DM535" s="41"/>
      <c r="DN535" s="41"/>
      <c r="DO535" s="41"/>
      <c r="DP535" s="41"/>
      <c r="DQ535" s="41"/>
      <c r="DR535" s="41"/>
      <c r="DS535" s="43"/>
      <c r="DT535" s="44">
        <f t="shared" ref="DT535" si="517">SUM(F535:DR535)</f>
        <v>1</v>
      </c>
    </row>
    <row r="536" spans="2:124" s="13" customFormat="1">
      <c r="B536" s="4">
        <f>'6.1Personnel List'!B537</f>
        <v>524</v>
      </c>
      <c r="C536" s="45" t="s">
        <v>709</v>
      </c>
      <c r="D536" s="45" t="str">
        <f>'6.1Personnel List'!D537</f>
        <v>Job Order</v>
      </c>
      <c r="E536" s="45" t="str">
        <f>'6.1Personnel List'!H537</f>
        <v>FT</v>
      </c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  <c r="AA536" s="41"/>
      <c r="AB536" s="41"/>
      <c r="AC536" s="41"/>
      <c r="AD536" s="41"/>
      <c r="AE536" s="41"/>
      <c r="AF536" s="41"/>
      <c r="AG536" s="41"/>
      <c r="AH536" s="41"/>
      <c r="AI536" s="41"/>
      <c r="AJ536" s="41"/>
      <c r="AK536" s="41"/>
      <c r="AL536" s="41"/>
      <c r="AM536" s="41"/>
      <c r="AN536" s="41"/>
      <c r="AO536" s="41"/>
      <c r="AP536" s="41"/>
      <c r="AQ536" s="41"/>
      <c r="AR536" s="41"/>
      <c r="AS536" s="41"/>
      <c r="AT536" s="41"/>
      <c r="AU536" s="41"/>
      <c r="AV536" s="41"/>
      <c r="AW536" s="41"/>
      <c r="AX536" s="41"/>
      <c r="AY536" s="41"/>
      <c r="AZ536" s="41"/>
      <c r="BA536" s="41"/>
      <c r="BB536" s="41"/>
      <c r="BC536" s="41"/>
      <c r="BD536" s="41"/>
      <c r="BE536" s="41"/>
      <c r="BF536" s="41"/>
      <c r="BG536" s="41"/>
      <c r="BH536" s="41"/>
      <c r="BJ536" s="41"/>
      <c r="BK536" s="41"/>
      <c r="BL536" s="41"/>
      <c r="BM536" s="41"/>
      <c r="BN536" s="41"/>
      <c r="BO536" s="41"/>
      <c r="BP536" s="41"/>
      <c r="BQ536" s="41"/>
      <c r="BR536" s="41"/>
      <c r="BS536" s="41"/>
      <c r="BT536" s="41"/>
      <c r="BU536" s="41"/>
      <c r="BV536" s="41"/>
      <c r="BW536" s="41"/>
      <c r="BX536" s="41"/>
      <c r="BY536" s="41"/>
      <c r="BZ536" s="41"/>
      <c r="CA536" s="41"/>
      <c r="CB536" s="41"/>
      <c r="CC536" s="41"/>
      <c r="CD536" s="41"/>
      <c r="CE536" s="41"/>
      <c r="CF536" s="41"/>
      <c r="CG536" s="41"/>
      <c r="CH536" s="41">
        <v>1</v>
      </c>
      <c r="CI536" s="41"/>
      <c r="CJ536" s="41"/>
      <c r="CK536" s="41"/>
      <c r="CL536" s="41"/>
      <c r="CM536" s="41"/>
      <c r="CN536" s="41"/>
      <c r="CO536" s="41"/>
      <c r="CP536" s="41"/>
      <c r="CQ536" s="41"/>
      <c r="CR536" s="41"/>
      <c r="CS536" s="41"/>
      <c r="CT536" s="41"/>
      <c r="CU536" s="41"/>
      <c r="CV536" s="41"/>
      <c r="CW536" s="41"/>
      <c r="CX536" s="41"/>
      <c r="CY536" s="41"/>
      <c r="CZ536" s="41"/>
      <c r="DA536" s="41"/>
      <c r="DB536" s="41"/>
      <c r="DC536" s="41"/>
      <c r="DD536" s="41"/>
      <c r="DE536" s="41"/>
      <c r="DF536" s="41"/>
      <c r="DG536" s="41"/>
      <c r="DH536" s="41"/>
      <c r="DI536" s="41"/>
      <c r="DJ536" s="41"/>
      <c r="DK536" s="41"/>
      <c r="DL536" s="41"/>
      <c r="DM536" s="41"/>
      <c r="DN536" s="41"/>
      <c r="DO536" s="41"/>
      <c r="DP536" s="41"/>
      <c r="DQ536" s="41"/>
      <c r="DR536" s="41"/>
      <c r="DS536" s="43"/>
      <c r="DT536" s="44">
        <f t="shared" ref="DT536" si="518">SUM(F536:DR536)</f>
        <v>1</v>
      </c>
    </row>
    <row r="537" spans="2:124" s="13" customFormat="1">
      <c r="B537" s="4">
        <f>'6.1Personnel List'!B538</f>
        <v>525</v>
      </c>
      <c r="C537" s="45" t="s">
        <v>711</v>
      </c>
      <c r="D537" s="45" t="str">
        <f>'6.1Personnel List'!D538</f>
        <v>Nutritionist Dietitian V</v>
      </c>
      <c r="E537" s="45" t="str">
        <f>'6.1Personnel List'!H538</f>
        <v>FT</v>
      </c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1"/>
      <c r="AK537" s="41"/>
      <c r="AL537" s="41"/>
      <c r="AM537" s="41"/>
      <c r="AN537" s="41"/>
      <c r="AO537" s="41"/>
      <c r="AP537" s="41"/>
      <c r="AQ537" s="41"/>
      <c r="AR537" s="41"/>
      <c r="AS537" s="41"/>
      <c r="AT537" s="41"/>
      <c r="AU537" s="41"/>
      <c r="AV537" s="41"/>
      <c r="AW537" s="41"/>
      <c r="AX537" s="41"/>
      <c r="AY537" s="41"/>
      <c r="AZ537" s="41"/>
      <c r="BA537" s="41"/>
      <c r="BB537" s="41"/>
      <c r="BC537" s="41"/>
      <c r="BD537" s="41"/>
      <c r="BE537" s="41"/>
      <c r="BF537" s="41"/>
      <c r="BG537" s="41"/>
      <c r="BH537" s="41"/>
      <c r="BJ537" s="41"/>
      <c r="BK537" s="41"/>
      <c r="BL537" s="41"/>
      <c r="BM537" s="41"/>
      <c r="BN537" s="41"/>
      <c r="BO537" s="41"/>
      <c r="BP537" s="41"/>
      <c r="BQ537" s="41"/>
      <c r="BR537" s="41"/>
      <c r="BS537" s="41"/>
      <c r="BT537" s="41"/>
      <c r="BU537" s="41"/>
      <c r="BV537" s="41"/>
      <c r="BW537" s="41"/>
      <c r="BX537" s="41"/>
      <c r="BY537" s="41"/>
      <c r="BZ537" s="41"/>
      <c r="CA537" s="41">
        <v>0.1</v>
      </c>
      <c r="CB537" s="41"/>
      <c r="CC537" s="41">
        <v>0.9</v>
      </c>
      <c r="CD537" s="41"/>
      <c r="CE537" s="41"/>
      <c r="CF537" s="41"/>
      <c r="CG537" s="41"/>
      <c r="CH537" s="41"/>
      <c r="CI537" s="41"/>
      <c r="CJ537" s="41"/>
      <c r="CK537" s="41"/>
      <c r="CL537" s="41"/>
      <c r="CM537" s="41"/>
      <c r="CN537" s="41"/>
      <c r="CO537" s="41"/>
      <c r="CP537" s="41"/>
      <c r="CQ537" s="41"/>
      <c r="CR537" s="41"/>
      <c r="CS537" s="41"/>
      <c r="CT537" s="41"/>
      <c r="CU537" s="41"/>
      <c r="CV537" s="41"/>
      <c r="CW537" s="41"/>
      <c r="CX537" s="41"/>
      <c r="CY537" s="41"/>
      <c r="CZ537" s="41"/>
      <c r="DA537" s="41"/>
      <c r="DB537" s="41"/>
      <c r="DC537" s="41"/>
      <c r="DD537" s="41"/>
      <c r="DE537" s="41"/>
      <c r="DF537" s="41"/>
      <c r="DG537" s="41"/>
      <c r="DH537" s="41"/>
      <c r="DI537" s="41"/>
      <c r="DJ537" s="41"/>
      <c r="DK537" s="41"/>
      <c r="DL537" s="41"/>
      <c r="DM537" s="41"/>
      <c r="DN537" s="41"/>
      <c r="DO537" s="41"/>
      <c r="DP537" s="41"/>
      <c r="DQ537" s="41"/>
      <c r="DR537" s="41"/>
      <c r="DS537" s="43"/>
      <c r="DT537" s="44">
        <f t="shared" ref="DT537" si="519">SUM(F537:DR537)</f>
        <v>1</v>
      </c>
    </row>
    <row r="538" spans="2:124" s="13" customFormat="1">
      <c r="B538" s="4">
        <f>'6.1Personnel List'!B539</f>
        <v>526</v>
      </c>
      <c r="C538" s="45" t="s">
        <v>713</v>
      </c>
      <c r="D538" s="45" t="str">
        <f>'6.1Personnel List'!D539</f>
        <v>Nutritionist Dietitian IV</v>
      </c>
      <c r="E538" s="45" t="str">
        <f>'6.1Personnel List'!H539</f>
        <v>FT</v>
      </c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1"/>
      <c r="AK538" s="41"/>
      <c r="AL538" s="41"/>
      <c r="AM538" s="41"/>
      <c r="AN538" s="41"/>
      <c r="AO538" s="41"/>
      <c r="AP538" s="41"/>
      <c r="AQ538" s="41"/>
      <c r="AR538" s="41"/>
      <c r="AS538" s="41"/>
      <c r="AT538" s="41"/>
      <c r="AU538" s="41"/>
      <c r="AV538" s="41"/>
      <c r="AW538" s="41"/>
      <c r="AX538" s="41"/>
      <c r="AY538" s="41"/>
      <c r="AZ538" s="41"/>
      <c r="BA538" s="41"/>
      <c r="BB538" s="41"/>
      <c r="BC538" s="41"/>
      <c r="BD538" s="41"/>
      <c r="BE538" s="41"/>
      <c r="BF538" s="41"/>
      <c r="BG538" s="41"/>
      <c r="BH538" s="41"/>
      <c r="BJ538" s="41"/>
      <c r="BK538" s="41"/>
      <c r="BL538" s="41"/>
      <c r="BM538" s="41"/>
      <c r="BN538" s="41"/>
      <c r="BO538" s="41"/>
      <c r="BP538" s="41"/>
      <c r="BQ538" s="41"/>
      <c r="BR538" s="41"/>
      <c r="BS538" s="41"/>
      <c r="BT538" s="41"/>
      <c r="BU538" s="41"/>
      <c r="BV538" s="41"/>
      <c r="BW538" s="41"/>
      <c r="BX538" s="41"/>
      <c r="BY538" s="41"/>
      <c r="BZ538" s="41"/>
      <c r="CA538" s="41">
        <v>0.1</v>
      </c>
      <c r="CB538" s="41"/>
      <c r="CC538" s="41">
        <v>0.9</v>
      </c>
      <c r="CD538" s="41"/>
      <c r="CE538" s="41"/>
      <c r="CF538" s="41"/>
      <c r="CG538" s="41"/>
      <c r="CH538" s="41"/>
      <c r="CI538" s="41"/>
      <c r="CJ538" s="41"/>
      <c r="CK538" s="41"/>
      <c r="CL538" s="41"/>
      <c r="CM538" s="41"/>
      <c r="CN538" s="41"/>
      <c r="CO538" s="41"/>
      <c r="CP538" s="41"/>
      <c r="CQ538" s="41"/>
      <c r="CR538" s="41"/>
      <c r="CS538" s="41"/>
      <c r="CT538" s="41"/>
      <c r="CU538" s="41"/>
      <c r="CV538" s="41"/>
      <c r="CW538" s="41"/>
      <c r="CX538" s="41"/>
      <c r="CY538" s="41"/>
      <c r="CZ538" s="41"/>
      <c r="DA538" s="41"/>
      <c r="DB538" s="41"/>
      <c r="DC538" s="41"/>
      <c r="DD538" s="41"/>
      <c r="DE538" s="41"/>
      <c r="DF538" s="41"/>
      <c r="DG538" s="41"/>
      <c r="DH538" s="41"/>
      <c r="DI538" s="41"/>
      <c r="DJ538" s="41"/>
      <c r="DK538" s="41"/>
      <c r="DL538" s="41"/>
      <c r="DM538" s="41"/>
      <c r="DN538" s="41"/>
      <c r="DO538" s="41"/>
      <c r="DP538" s="41"/>
      <c r="DQ538" s="41"/>
      <c r="DR538" s="41"/>
      <c r="DS538" s="43"/>
      <c r="DT538" s="44">
        <f t="shared" ref="DT538" si="520">SUM(F538:DR538)</f>
        <v>1</v>
      </c>
    </row>
    <row r="539" spans="2:124" s="13" customFormat="1">
      <c r="B539" s="4">
        <f>'6.1Personnel List'!B540</f>
        <v>527</v>
      </c>
      <c r="C539" s="45" t="s">
        <v>715</v>
      </c>
      <c r="D539" s="45" t="str">
        <f>'6.1Personnel List'!D540</f>
        <v>Nutritionist Dietitian II</v>
      </c>
      <c r="E539" s="45" t="str">
        <f>'6.1Personnel List'!H540</f>
        <v>FT</v>
      </c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1"/>
      <c r="AK539" s="41"/>
      <c r="AL539" s="41"/>
      <c r="AM539" s="41"/>
      <c r="AN539" s="41"/>
      <c r="AO539" s="41"/>
      <c r="AP539" s="41"/>
      <c r="AQ539" s="41"/>
      <c r="AR539" s="41"/>
      <c r="AS539" s="41"/>
      <c r="AT539" s="41"/>
      <c r="AU539" s="41"/>
      <c r="AV539" s="41"/>
      <c r="AW539" s="41"/>
      <c r="AX539" s="41"/>
      <c r="AY539" s="41"/>
      <c r="AZ539" s="41"/>
      <c r="BA539" s="41"/>
      <c r="BB539" s="41"/>
      <c r="BC539" s="41"/>
      <c r="BD539" s="41"/>
      <c r="BE539" s="41"/>
      <c r="BF539" s="41"/>
      <c r="BG539" s="41"/>
      <c r="BH539" s="41"/>
      <c r="BJ539" s="41"/>
      <c r="BK539" s="41"/>
      <c r="BL539" s="41"/>
      <c r="BM539" s="41"/>
      <c r="BN539" s="41"/>
      <c r="BO539" s="41"/>
      <c r="BP539" s="41"/>
      <c r="BQ539" s="41"/>
      <c r="BR539" s="41"/>
      <c r="BS539" s="41"/>
      <c r="BT539" s="41"/>
      <c r="BU539" s="41"/>
      <c r="BV539" s="41"/>
      <c r="BW539" s="41"/>
      <c r="BX539" s="41"/>
      <c r="BY539" s="41"/>
      <c r="BZ539" s="41"/>
      <c r="CA539" s="41"/>
      <c r="CB539" s="41"/>
      <c r="CC539" s="41">
        <v>0.52</v>
      </c>
      <c r="CD539" s="41"/>
      <c r="CE539" s="41"/>
      <c r="CF539" s="41"/>
      <c r="CG539" s="41"/>
      <c r="CH539" s="41"/>
      <c r="CI539" s="41"/>
      <c r="CJ539" s="41"/>
      <c r="CK539" s="41"/>
      <c r="CL539" s="41"/>
      <c r="CM539" s="41"/>
      <c r="CN539" s="41">
        <v>0.03</v>
      </c>
      <c r="CO539" s="41">
        <v>0.03</v>
      </c>
      <c r="CP539" s="41">
        <v>0.03</v>
      </c>
      <c r="CQ539" s="41">
        <v>0.03</v>
      </c>
      <c r="CR539" s="41"/>
      <c r="CS539" s="41"/>
      <c r="CT539" s="41"/>
      <c r="CU539" s="41">
        <v>0.15</v>
      </c>
      <c r="CV539" s="41"/>
      <c r="CW539" s="41"/>
      <c r="CX539" s="41"/>
      <c r="CY539" s="41"/>
      <c r="CZ539" s="41"/>
      <c r="DA539" s="41"/>
      <c r="DB539" s="41"/>
      <c r="DC539" s="41"/>
      <c r="DD539" s="41"/>
      <c r="DE539" s="41"/>
      <c r="DF539" s="41"/>
      <c r="DG539" s="41"/>
      <c r="DH539" s="41"/>
      <c r="DI539" s="41"/>
      <c r="DJ539" s="41">
        <v>0.03</v>
      </c>
      <c r="DK539" s="41">
        <v>0.03</v>
      </c>
      <c r="DL539" s="41">
        <v>0.03</v>
      </c>
      <c r="DM539" s="41">
        <v>0.03</v>
      </c>
      <c r="DN539" s="41"/>
      <c r="DO539" s="41">
        <v>0.03</v>
      </c>
      <c r="DP539" s="41">
        <v>0.03</v>
      </c>
      <c r="DQ539" s="41"/>
      <c r="DR539" s="41">
        <v>0.03</v>
      </c>
      <c r="DS539" s="43"/>
      <c r="DT539" s="44">
        <f t="shared" ref="DT539" si="521">SUM(F539:DR539)</f>
        <v>1.0000000000000002</v>
      </c>
    </row>
    <row r="540" spans="2:124" s="13" customFormat="1">
      <c r="B540" s="4">
        <f>'6.1Personnel List'!B541</f>
        <v>528</v>
      </c>
      <c r="C540" s="45" t="s">
        <v>717</v>
      </c>
      <c r="D540" s="45" t="str">
        <f>'6.1Personnel List'!D541</f>
        <v>Nutritionist Dietitian II</v>
      </c>
      <c r="E540" s="45" t="str">
        <f>'6.1Personnel List'!H541</f>
        <v>FT</v>
      </c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1"/>
      <c r="AK540" s="41"/>
      <c r="AL540" s="41"/>
      <c r="AM540" s="41"/>
      <c r="AN540" s="41"/>
      <c r="AO540" s="41"/>
      <c r="AP540" s="41"/>
      <c r="AQ540" s="41"/>
      <c r="AR540" s="41"/>
      <c r="AS540" s="41"/>
      <c r="AT540" s="41"/>
      <c r="AU540" s="41"/>
      <c r="AV540" s="41"/>
      <c r="AW540" s="41"/>
      <c r="AX540" s="41"/>
      <c r="AY540" s="41"/>
      <c r="AZ540" s="41"/>
      <c r="BA540" s="41"/>
      <c r="BB540" s="41"/>
      <c r="BC540" s="41"/>
      <c r="BD540" s="41"/>
      <c r="BE540" s="41"/>
      <c r="BF540" s="41"/>
      <c r="BG540" s="41"/>
      <c r="BH540" s="41"/>
      <c r="BJ540" s="41"/>
      <c r="BK540" s="41"/>
      <c r="BL540" s="41"/>
      <c r="BM540" s="41"/>
      <c r="BN540" s="41"/>
      <c r="BO540" s="41"/>
      <c r="BP540" s="41"/>
      <c r="BQ540" s="41"/>
      <c r="BR540" s="41"/>
      <c r="BS540" s="41"/>
      <c r="BT540" s="41"/>
      <c r="BU540" s="41"/>
      <c r="BV540" s="41"/>
      <c r="BW540" s="41"/>
      <c r="BX540" s="41"/>
      <c r="BY540" s="41"/>
      <c r="BZ540" s="41"/>
      <c r="CA540" s="41"/>
      <c r="CB540" s="41"/>
      <c r="CC540" s="41">
        <v>0.52</v>
      </c>
      <c r="CD540" s="41"/>
      <c r="CE540" s="41"/>
      <c r="CF540" s="41"/>
      <c r="CG540" s="41"/>
      <c r="CH540" s="41"/>
      <c r="CI540" s="41"/>
      <c r="CJ540" s="41"/>
      <c r="CK540" s="41"/>
      <c r="CL540" s="41"/>
      <c r="CM540" s="41"/>
      <c r="CN540" s="41">
        <v>0.03</v>
      </c>
      <c r="CO540" s="41">
        <v>0.03</v>
      </c>
      <c r="CP540" s="41">
        <v>0.03</v>
      </c>
      <c r="CQ540" s="41">
        <v>0.03</v>
      </c>
      <c r="CR540" s="41"/>
      <c r="CS540" s="41"/>
      <c r="CT540" s="41"/>
      <c r="CU540" s="41">
        <v>0.15</v>
      </c>
      <c r="CV540" s="41"/>
      <c r="CW540" s="41"/>
      <c r="CX540" s="41"/>
      <c r="CY540" s="41"/>
      <c r="CZ540" s="41"/>
      <c r="DA540" s="41"/>
      <c r="DB540" s="41"/>
      <c r="DC540" s="41"/>
      <c r="DD540" s="41"/>
      <c r="DE540" s="41"/>
      <c r="DF540" s="41"/>
      <c r="DG540" s="41"/>
      <c r="DH540" s="41"/>
      <c r="DI540" s="41"/>
      <c r="DJ540" s="41">
        <v>0.03</v>
      </c>
      <c r="DK540" s="41">
        <v>0.03</v>
      </c>
      <c r="DL540" s="41">
        <v>0.03</v>
      </c>
      <c r="DM540" s="41">
        <v>0.03</v>
      </c>
      <c r="DN540" s="41"/>
      <c r="DO540" s="41">
        <v>0.03</v>
      </c>
      <c r="DP540" s="41">
        <v>0.03</v>
      </c>
      <c r="DQ540" s="41"/>
      <c r="DR540" s="41">
        <v>0.03</v>
      </c>
      <c r="DS540" s="43"/>
      <c r="DT540" s="44">
        <f t="shared" ref="DT540" si="522">SUM(F540:DR540)</f>
        <v>1.0000000000000002</v>
      </c>
    </row>
    <row r="541" spans="2:124" s="13" customFormat="1">
      <c r="B541" s="4">
        <f>'6.1Personnel List'!B542</f>
        <v>529</v>
      </c>
      <c r="C541" s="45" t="s">
        <v>718</v>
      </c>
      <c r="D541" s="45" t="str">
        <f>'6.1Personnel List'!D542</f>
        <v>Nutritionist Dietitian II</v>
      </c>
      <c r="E541" s="45" t="str">
        <f>'6.1Personnel List'!H542</f>
        <v>FT</v>
      </c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1"/>
      <c r="AK541" s="41"/>
      <c r="AL541" s="41"/>
      <c r="AM541" s="41"/>
      <c r="AN541" s="41"/>
      <c r="AO541" s="41"/>
      <c r="AP541" s="41"/>
      <c r="AQ541" s="41"/>
      <c r="AR541" s="41"/>
      <c r="AS541" s="41"/>
      <c r="AT541" s="41"/>
      <c r="AU541" s="41"/>
      <c r="AV541" s="41"/>
      <c r="AW541" s="41"/>
      <c r="AX541" s="41"/>
      <c r="AY541" s="41"/>
      <c r="AZ541" s="41"/>
      <c r="BA541" s="41"/>
      <c r="BB541" s="41"/>
      <c r="BC541" s="41"/>
      <c r="BD541" s="41"/>
      <c r="BE541" s="41"/>
      <c r="BF541" s="41"/>
      <c r="BG541" s="41"/>
      <c r="BH541" s="41"/>
      <c r="BJ541" s="41"/>
      <c r="BK541" s="41"/>
      <c r="BL541" s="41"/>
      <c r="BM541" s="41"/>
      <c r="BN541" s="41"/>
      <c r="BO541" s="41"/>
      <c r="BP541" s="41"/>
      <c r="BQ541" s="41"/>
      <c r="BR541" s="41"/>
      <c r="BS541" s="41"/>
      <c r="BT541" s="41"/>
      <c r="BU541" s="41"/>
      <c r="BV541" s="41"/>
      <c r="BW541" s="41"/>
      <c r="BX541" s="41"/>
      <c r="BY541" s="41"/>
      <c r="BZ541" s="41"/>
      <c r="CA541" s="41"/>
      <c r="CB541" s="41"/>
      <c r="CC541" s="41">
        <v>0.52</v>
      </c>
      <c r="CD541" s="41"/>
      <c r="CE541" s="41"/>
      <c r="CF541" s="41"/>
      <c r="CG541" s="41"/>
      <c r="CH541" s="41"/>
      <c r="CI541" s="41"/>
      <c r="CJ541" s="41"/>
      <c r="CK541" s="41"/>
      <c r="CL541" s="41"/>
      <c r="CM541" s="41"/>
      <c r="CN541" s="41">
        <v>0.03</v>
      </c>
      <c r="CO541" s="41">
        <v>0.03</v>
      </c>
      <c r="CP541" s="41">
        <v>0.03</v>
      </c>
      <c r="CQ541" s="41">
        <v>0.03</v>
      </c>
      <c r="CR541" s="41"/>
      <c r="CS541" s="41"/>
      <c r="CT541" s="41"/>
      <c r="CU541" s="41">
        <v>0.15</v>
      </c>
      <c r="CV541" s="41"/>
      <c r="CW541" s="41"/>
      <c r="CX541" s="41"/>
      <c r="CY541" s="41"/>
      <c r="CZ541" s="41"/>
      <c r="DA541" s="41"/>
      <c r="DB541" s="41"/>
      <c r="DC541" s="41"/>
      <c r="DD541" s="41"/>
      <c r="DE541" s="41"/>
      <c r="DF541" s="41"/>
      <c r="DG541" s="41"/>
      <c r="DH541" s="41"/>
      <c r="DI541" s="41"/>
      <c r="DJ541" s="41">
        <v>0.03</v>
      </c>
      <c r="DK541" s="41">
        <v>0.03</v>
      </c>
      <c r="DL541" s="41">
        <v>0.03</v>
      </c>
      <c r="DM541" s="41">
        <v>0.03</v>
      </c>
      <c r="DN541" s="41"/>
      <c r="DO541" s="41">
        <v>0.03</v>
      </c>
      <c r="DP541" s="41">
        <v>0.03</v>
      </c>
      <c r="DQ541" s="41"/>
      <c r="DR541" s="41">
        <v>0.03</v>
      </c>
      <c r="DS541" s="43"/>
      <c r="DT541" s="44">
        <f t="shared" ref="DT541" si="523">SUM(F541:DR541)</f>
        <v>1.0000000000000002</v>
      </c>
    </row>
    <row r="542" spans="2:124" s="13" customFormat="1">
      <c r="B542" s="4">
        <f>'6.1Personnel List'!B543</f>
        <v>530</v>
      </c>
      <c r="C542" s="45" t="s">
        <v>719</v>
      </c>
      <c r="D542" s="45" t="str">
        <f>'6.1Personnel List'!D543</f>
        <v>Nutritionist Dietitian II</v>
      </c>
      <c r="E542" s="45" t="str">
        <f>'6.1Personnel List'!H543</f>
        <v>FT</v>
      </c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1"/>
      <c r="AK542" s="41"/>
      <c r="AL542" s="41"/>
      <c r="AM542" s="41"/>
      <c r="AN542" s="41"/>
      <c r="AO542" s="41"/>
      <c r="AP542" s="41"/>
      <c r="AQ542" s="41"/>
      <c r="AR542" s="41"/>
      <c r="AS542" s="41"/>
      <c r="AT542" s="41"/>
      <c r="AU542" s="41"/>
      <c r="AV542" s="41"/>
      <c r="AW542" s="41"/>
      <c r="AX542" s="41"/>
      <c r="AY542" s="41"/>
      <c r="AZ542" s="41"/>
      <c r="BA542" s="41"/>
      <c r="BB542" s="41"/>
      <c r="BC542" s="41"/>
      <c r="BD542" s="41"/>
      <c r="BE542" s="41"/>
      <c r="BF542" s="41"/>
      <c r="BG542" s="41"/>
      <c r="BH542" s="41"/>
      <c r="BJ542" s="41"/>
      <c r="BK542" s="41"/>
      <c r="BL542" s="41"/>
      <c r="BM542" s="41"/>
      <c r="BN542" s="41"/>
      <c r="BO542" s="41"/>
      <c r="BP542" s="41"/>
      <c r="BQ542" s="41"/>
      <c r="BR542" s="41"/>
      <c r="BS542" s="41"/>
      <c r="BT542" s="41"/>
      <c r="BU542" s="41"/>
      <c r="BV542" s="41"/>
      <c r="BW542" s="41"/>
      <c r="BX542" s="41"/>
      <c r="BY542" s="41"/>
      <c r="BZ542" s="41"/>
      <c r="CA542" s="41"/>
      <c r="CB542" s="41"/>
      <c r="CC542" s="41">
        <v>0.52</v>
      </c>
      <c r="CD542" s="41"/>
      <c r="CE542" s="41"/>
      <c r="CF542" s="41"/>
      <c r="CG542" s="41"/>
      <c r="CH542" s="41"/>
      <c r="CI542" s="41"/>
      <c r="CJ542" s="41"/>
      <c r="CK542" s="41"/>
      <c r="CL542" s="41"/>
      <c r="CM542" s="41"/>
      <c r="CN542" s="41">
        <v>0.03</v>
      </c>
      <c r="CO542" s="41">
        <v>0.03</v>
      </c>
      <c r="CP542" s="41">
        <v>0.03</v>
      </c>
      <c r="CQ542" s="41">
        <v>0.03</v>
      </c>
      <c r="CR542" s="41"/>
      <c r="CS542" s="41"/>
      <c r="CT542" s="41"/>
      <c r="CU542" s="41">
        <v>0.15</v>
      </c>
      <c r="CV542" s="41"/>
      <c r="CW542" s="41"/>
      <c r="CX542" s="41"/>
      <c r="CY542" s="41"/>
      <c r="CZ542" s="41"/>
      <c r="DA542" s="41"/>
      <c r="DB542" s="41"/>
      <c r="DC542" s="41"/>
      <c r="DD542" s="41"/>
      <c r="DE542" s="41"/>
      <c r="DF542" s="41"/>
      <c r="DG542" s="41"/>
      <c r="DH542" s="41"/>
      <c r="DI542" s="41"/>
      <c r="DJ542" s="41">
        <v>0.03</v>
      </c>
      <c r="DK542" s="41">
        <v>0.03</v>
      </c>
      <c r="DL542" s="41">
        <v>0.03</v>
      </c>
      <c r="DM542" s="41">
        <v>0.03</v>
      </c>
      <c r="DN542" s="41"/>
      <c r="DO542" s="41">
        <v>0.03</v>
      </c>
      <c r="DP542" s="41">
        <v>0.03</v>
      </c>
      <c r="DQ542" s="41"/>
      <c r="DR542" s="41">
        <v>0.03</v>
      </c>
      <c r="DS542" s="43"/>
      <c r="DT542" s="44">
        <f t="shared" ref="DT542" si="524">SUM(F542:DR542)</f>
        <v>1.0000000000000002</v>
      </c>
    </row>
    <row r="543" spans="2:124" s="13" customFormat="1">
      <c r="B543" s="4">
        <f>'6.1Personnel List'!B544</f>
        <v>531</v>
      </c>
      <c r="C543" s="45" t="s">
        <v>720</v>
      </c>
      <c r="D543" s="45" t="str">
        <f>'6.1Personnel List'!D544</f>
        <v>Nutritionist Dietitian II</v>
      </c>
      <c r="E543" s="45" t="str">
        <f>'6.1Personnel List'!H544</f>
        <v>FT</v>
      </c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1"/>
      <c r="AK543" s="41"/>
      <c r="AL543" s="41"/>
      <c r="AM543" s="41"/>
      <c r="AN543" s="41"/>
      <c r="AO543" s="41"/>
      <c r="AP543" s="41"/>
      <c r="AQ543" s="41"/>
      <c r="AR543" s="41"/>
      <c r="AS543" s="41"/>
      <c r="AT543" s="41"/>
      <c r="AU543" s="41"/>
      <c r="AV543" s="41"/>
      <c r="AW543" s="41"/>
      <c r="AX543" s="41"/>
      <c r="AY543" s="41"/>
      <c r="AZ543" s="41"/>
      <c r="BA543" s="41"/>
      <c r="BB543" s="41"/>
      <c r="BC543" s="41"/>
      <c r="BD543" s="41"/>
      <c r="BE543" s="41"/>
      <c r="BF543" s="41"/>
      <c r="BG543" s="41"/>
      <c r="BH543" s="41"/>
      <c r="BJ543" s="41"/>
      <c r="BK543" s="41"/>
      <c r="BL543" s="41"/>
      <c r="BM543" s="41"/>
      <c r="BN543" s="41"/>
      <c r="BO543" s="41"/>
      <c r="BP543" s="41"/>
      <c r="BQ543" s="41"/>
      <c r="BR543" s="41"/>
      <c r="BS543" s="41"/>
      <c r="BT543" s="41"/>
      <c r="BU543" s="41"/>
      <c r="BV543" s="41"/>
      <c r="BW543" s="41"/>
      <c r="BX543" s="41"/>
      <c r="BY543" s="41"/>
      <c r="BZ543" s="41"/>
      <c r="CA543" s="41"/>
      <c r="CB543" s="41"/>
      <c r="CC543" s="41">
        <v>0.52</v>
      </c>
      <c r="CD543" s="41"/>
      <c r="CE543" s="41"/>
      <c r="CF543" s="41"/>
      <c r="CG543" s="41"/>
      <c r="CH543" s="41"/>
      <c r="CI543" s="41"/>
      <c r="CJ543" s="41"/>
      <c r="CK543" s="41"/>
      <c r="CL543" s="41"/>
      <c r="CM543" s="41"/>
      <c r="CN543" s="41">
        <v>0.03</v>
      </c>
      <c r="CO543" s="41">
        <v>0.03</v>
      </c>
      <c r="CP543" s="41">
        <v>0.03</v>
      </c>
      <c r="CQ543" s="41">
        <v>0.03</v>
      </c>
      <c r="CR543" s="41"/>
      <c r="CS543" s="41"/>
      <c r="CT543" s="41"/>
      <c r="CU543" s="41">
        <v>0.15</v>
      </c>
      <c r="CV543" s="41"/>
      <c r="CW543" s="41"/>
      <c r="CX543" s="41"/>
      <c r="CY543" s="41"/>
      <c r="CZ543" s="41"/>
      <c r="DA543" s="41"/>
      <c r="DB543" s="41"/>
      <c r="DC543" s="41"/>
      <c r="DD543" s="41"/>
      <c r="DE543" s="41"/>
      <c r="DF543" s="41"/>
      <c r="DG543" s="41"/>
      <c r="DH543" s="41"/>
      <c r="DI543" s="41"/>
      <c r="DJ543" s="41">
        <v>0.03</v>
      </c>
      <c r="DK543" s="41">
        <v>0.03</v>
      </c>
      <c r="DL543" s="41">
        <v>0.03</v>
      </c>
      <c r="DM543" s="41">
        <v>0.03</v>
      </c>
      <c r="DN543" s="41"/>
      <c r="DO543" s="41">
        <v>0.03</v>
      </c>
      <c r="DP543" s="41">
        <v>0.03</v>
      </c>
      <c r="DQ543" s="41"/>
      <c r="DR543" s="41">
        <v>0.03</v>
      </c>
      <c r="DS543" s="43"/>
      <c r="DT543" s="44">
        <f t="shared" ref="DT543" si="525">SUM(F543:DR543)</f>
        <v>1.0000000000000002</v>
      </c>
    </row>
    <row r="544" spans="2:124" s="13" customFormat="1">
      <c r="B544" s="4">
        <f>'6.1Personnel List'!B545</f>
        <v>532</v>
      </c>
      <c r="C544" s="45" t="s">
        <v>721</v>
      </c>
      <c r="D544" s="45" t="str">
        <f>'6.1Personnel List'!D545</f>
        <v>Nutritionist Dietitian II</v>
      </c>
      <c r="E544" s="45" t="str">
        <f>'6.1Personnel List'!H545</f>
        <v>FT</v>
      </c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  <c r="AA544" s="41"/>
      <c r="AB544" s="41"/>
      <c r="AC544" s="41"/>
      <c r="AD544" s="41"/>
      <c r="AE544" s="41"/>
      <c r="AF544" s="41"/>
      <c r="AG544" s="41"/>
      <c r="AH544" s="41"/>
      <c r="AI544" s="41"/>
      <c r="AJ544" s="41"/>
      <c r="AK544" s="41"/>
      <c r="AL544" s="41"/>
      <c r="AM544" s="41"/>
      <c r="AN544" s="41"/>
      <c r="AO544" s="41"/>
      <c r="AP544" s="41"/>
      <c r="AQ544" s="41"/>
      <c r="AR544" s="41"/>
      <c r="AS544" s="41"/>
      <c r="AT544" s="41"/>
      <c r="AU544" s="41"/>
      <c r="AV544" s="41"/>
      <c r="AW544" s="41"/>
      <c r="AX544" s="41"/>
      <c r="AY544" s="41"/>
      <c r="AZ544" s="41"/>
      <c r="BA544" s="41"/>
      <c r="BB544" s="41"/>
      <c r="BC544" s="41"/>
      <c r="BD544" s="41"/>
      <c r="BE544" s="41"/>
      <c r="BF544" s="41"/>
      <c r="BG544" s="41"/>
      <c r="BH544" s="41"/>
      <c r="BJ544" s="41"/>
      <c r="BK544" s="41"/>
      <c r="BL544" s="41"/>
      <c r="BM544" s="41"/>
      <c r="BN544" s="41"/>
      <c r="BO544" s="41"/>
      <c r="BP544" s="41"/>
      <c r="BQ544" s="41"/>
      <c r="BR544" s="41"/>
      <c r="BS544" s="41"/>
      <c r="BT544" s="41"/>
      <c r="BU544" s="41"/>
      <c r="BV544" s="41"/>
      <c r="BW544" s="41"/>
      <c r="BX544" s="41"/>
      <c r="BY544" s="41"/>
      <c r="BZ544" s="41"/>
      <c r="CA544" s="41"/>
      <c r="CB544" s="41"/>
      <c r="CC544" s="41">
        <v>0.52</v>
      </c>
      <c r="CD544" s="41"/>
      <c r="CE544" s="41"/>
      <c r="CF544" s="41"/>
      <c r="CG544" s="41"/>
      <c r="CH544" s="41"/>
      <c r="CI544" s="41"/>
      <c r="CJ544" s="41"/>
      <c r="CK544" s="41"/>
      <c r="CL544" s="41"/>
      <c r="CM544" s="41"/>
      <c r="CN544" s="41">
        <v>0.03</v>
      </c>
      <c r="CO544" s="41">
        <v>0.03</v>
      </c>
      <c r="CP544" s="41">
        <v>0.03</v>
      </c>
      <c r="CQ544" s="41">
        <v>0.03</v>
      </c>
      <c r="CR544" s="41"/>
      <c r="CS544" s="41"/>
      <c r="CT544" s="41"/>
      <c r="CU544" s="41">
        <v>0.15</v>
      </c>
      <c r="CV544" s="41"/>
      <c r="CW544" s="41"/>
      <c r="CX544" s="41"/>
      <c r="CY544" s="41"/>
      <c r="CZ544" s="41"/>
      <c r="DA544" s="41"/>
      <c r="DB544" s="41"/>
      <c r="DC544" s="41"/>
      <c r="DD544" s="41"/>
      <c r="DE544" s="41"/>
      <c r="DF544" s="41"/>
      <c r="DG544" s="41"/>
      <c r="DH544" s="41"/>
      <c r="DI544" s="41"/>
      <c r="DJ544" s="41">
        <v>0.03</v>
      </c>
      <c r="DK544" s="41">
        <v>0.03</v>
      </c>
      <c r="DL544" s="41">
        <v>0.03</v>
      </c>
      <c r="DM544" s="41">
        <v>0.03</v>
      </c>
      <c r="DN544" s="41"/>
      <c r="DO544" s="41">
        <v>0.03</v>
      </c>
      <c r="DP544" s="41">
        <v>0.03</v>
      </c>
      <c r="DQ544" s="41"/>
      <c r="DR544" s="41">
        <v>0.03</v>
      </c>
      <c r="DS544" s="43"/>
      <c r="DT544" s="44">
        <f t="shared" ref="DT544" si="526">SUM(F544:DR544)</f>
        <v>1.0000000000000002</v>
      </c>
    </row>
    <row r="545" spans="2:124" s="13" customFormat="1">
      <c r="B545" s="4">
        <f>'6.1Personnel List'!B546</f>
        <v>533</v>
      </c>
      <c r="C545" s="45" t="s">
        <v>722</v>
      </c>
      <c r="D545" s="45" t="str">
        <f>'6.1Personnel List'!D546</f>
        <v>Administrative Aide VI</v>
      </c>
      <c r="E545" s="45" t="str">
        <f>'6.1Personnel List'!H546</f>
        <v>FT</v>
      </c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  <c r="AA545" s="41"/>
      <c r="AB545" s="41"/>
      <c r="AC545" s="41"/>
      <c r="AD545" s="41"/>
      <c r="AE545" s="41"/>
      <c r="AF545" s="41"/>
      <c r="AG545" s="41"/>
      <c r="AH545" s="41"/>
      <c r="AI545" s="41"/>
      <c r="AJ545" s="41"/>
      <c r="AK545" s="41"/>
      <c r="AL545" s="41"/>
      <c r="AM545" s="41"/>
      <c r="AN545" s="41"/>
      <c r="AO545" s="41"/>
      <c r="AP545" s="41"/>
      <c r="AQ545" s="41"/>
      <c r="AR545" s="41"/>
      <c r="AS545" s="41"/>
      <c r="AT545" s="41"/>
      <c r="AU545" s="41"/>
      <c r="AV545" s="41"/>
      <c r="AW545" s="41"/>
      <c r="AX545" s="41"/>
      <c r="AY545" s="41"/>
      <c r="AZ545" s="41"/>
      <c r="BA545" s="41"/>
      <c r="BB545" s="41"/>
      <c r="BC545" s="41"/>
      <c r="BD545" s="41"/>
      <c r="BE545" s="41"/>
      <c r="BF545" s="41"/>
      <c r="BG545" s="41"/>
      <c r="BH545" s="41"/>
      <c r="BJ545" s="41"/>
      <c r="BK545" s="41"/>
      <c r="BL545" s="41"/>
      <c r="BM545" s="41"/>
      <c r="BN545" s="41"/>
      <c r="BO545" s="41"/>
      <c r="BP545" s="41"/>
      <c r="BQ545" s="41"/>
      <c r="BR545" s="41"/>
      <c r="BS545" s="41"/>
      <c r="BT545" s="41"/>
      <c r="BU545" s="41"/>
      <c r="BV545" s="41"/>
      <c r="BW545" s="41"/>
      <c r="BX545" s="41"/>
      <c r="BY545" s="41"/>
      <c r="BZ545" s="41"/>
      <c r="CA545" s="41"/>
      <c r="CB545" s="41"/>
      <c r="CC545" s="41">
        <v>0.67</v>
      </c>
      <c r="CD545" s="41"/>
      <c r="CE545" s="41"/>
      <c r="CF545" s="41"/>
      <c r="CG545" s="41"/>
      <c r="CH545" s="41"/>
      <c r="CI545" s="41"/>
      <c r="CJ545" s="41"/>
      <c r="CK545" s="41"/>
      <c r="CL545" s="41"/>
      <c r="CM545" s="41"/>
      <c r="CN545" s="41">
        <v>0.03</v>
      </c>
      <c r="CO545" s="41">
        <v>0.03</v>
      </c>
      <c r="CP545" s="41">
        <v>0.03</v>
      </c>
      <c r="CQ545" s="41">
        <v>0.03</v>
      </c>
      <c r="CR545" s="41"/>
      <c r="CS545" s="41"/>
      <c r="CT545" s="41"/>
      <c r="CU545" s="41"/>
      <c r="CV545" s="41"/>
      <c r="CW545" s="41"/>
      <c r="CX545" s="41"/>
      <c r="CY545" s="41"/>
      <c r="CZ545" s="41"/>
      <c r="DA545" s="41"/>
      <c r="DB545" s="41"/>
      <c r="DC545" s="41"/>
      <c r="DD545" s="41"/>
      <c r="DE545" s="41"/>
      <c r="DF545" s="41"/>
      <c r="DG545" s="41"/>
      <c r="DH545" s="41"/>
      <c r="DI545" s="41"/>
      <c r="DJ545" s="41">
        <v>0.03</v>
      </c>
      <c r="DK545" s="41">
        <v>0.03</v>
      </c>
      <c r="DL545" s="41">
        <v>0.03</v>
      </c>
      <c r="DM545" s="41">
        <v>0.03</v>
      </c>
      <c r="DN545" s="41"/>
      <c r="DO545" s="41">
        <v>0.03</v>
      </c>
      <c r="DP545" s="41">
        <v>0.03</v>
      </c>
      <c r="DQ545" s="41"/>
      <c r="DR545" s="41">
        <v>0.03</v>
      </c>
      <c r="DS545" s="43"/>
      <c r="DT545" s="44">
        <f t="shared" ref="DT545" si="527">SUM(F545:DR545)</f>
        <v>1.0000000000000002</v>
      </c>
    </row>
    <row r="546" spans="2:124" s="13" customFormat="1">
      <c r="B546" s="4">
        <f>'6.1Personnel List'!B547</f>
        <v>534</v>
      </c>
      <c r="C546" s="45" t="s">
        <v>724</v>
      </c>
      <c r="D546" s="45" t="str">
        <f>'6.1Personnel List'!D547</f>
        <v>Cook II</v>
      </c>
      <c r="E546" s="45" t="str">
        <f>'6.1Personnel List'!H547</f>
        <v>FT</v>
      </c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  <c r="AA546" s="41"/>
      <c r="AB546" s="41"/>
      <c r="AC546" s="41"/>
      <c r="AD546" s="41"/>
      <c r="AE546" s="41"/>
      <c r="AF546" s="41"/>
      <c r="AG546" s="41"/>
      <c r="AH546" s="41"/>
      <c r="AI546" s="41"/>
      <c r="AJ546" s="41"/>
      <c r="AK546" s="41"/>
      <c r="AL546" s="41"/>
      <c r="AM546" s="41"/>
      <c r="AN546" s="41"/>
      <c r="AO546" s="41"/>
      <c r="AP546" s="41"/>
      <c r="AQ546" s="41"/>
      <c r="AR546" s="41"/>
      <c r="AS546" s="41"/>
      <c r="AT546" s="41"/>
      <c r="AU546" s="41"/>
      <c r="AV546" s="41"/>
      <c r="AW546" s="41"/>
      <c r="AX546" s="41"/>
      <c r="AY546" s="41"/>
      <c r="AZ546" s="41"/>
      <c r="BA546" s="41"/>
      <c r="BB546" s="41"/>
      <c r="BC546" s="41"/>
      <c r="BD546" s="41"/>
      <c r="BE546" s="41"/>
      <c r="BF546" s="41"/>
      <c r="BG546" s="41"/>
      <c r="BH546" s="41"/>
      <c r="BJ546" s="41"/>
      <c r="BK546" s="41"/>
      <c r="BL546" s="41"/>
      <c r="BM546" s="41"/>
      <c r="BN546" s="41"/>
      <c r="BO546" s="41"/>
      <c r="BP546" s="41"/>
      <c r="BQ546" s="41"/>
      <c r="BR546" s="41"/>
      <c r="BS546" s="41"/>
      <c r="BT546" s="41"/>
      <c r="BU546" s="41"/>
      <c r="BV546" s="41"/>
      <c r="BW546" s="41"/>
      <c r="BX546" s="41"/>
      <c r="BY546" s="41"/>
      <c r="BZ546" s="41"/>
      <c r="CA546" s="41"/>
      <c r="CB546" s="41"/>
      <c r="CC546" s="41">
        <v>0.67</v>
      </c>
      <c r="CD546" s="41"/>
      <c r="CE546" s="41"/>
      <c r="CF546" s="41"/>
      <c r="CG546" s="41"/>
      <c r="CH546" s="41"/>
      <c r="CI546" s="41"/>
      <c r="CJ546" s="41"/>
      <c r="CK546" s="41"/>
      <c r="CL546" s="41"/>
      <c r="CM546" s="41"/>
      <c r="CN546" s="41">
        <v>0.03</v>
      </c>
      <c r="CO546" s="41">
        <v>0.03</v>
      </c>
      <c r="CP546" s="41">
        <v>0.03</v>
      </c>
      <c r="CQ546" s="41">
        <v>0.03</v>
      </c>
      <c r="CR546" s="41"/>
      <c r="CS546" s="41"/>
      <c r="CT546" s="41"/>
      <c r="CU546" s="41"/>
      <c r="CV546" s="41"/>
      <c r="CW546" s="41"/>
      <c r="CX546" s="41"/>
      <c r="CY546" s="41"/>
      <c r="CZ546" s="41"/>
      <c r="DA546" s="41"/>
      <c r="DB546" s="41"/>
      <c r="DC546" s="41"/>
      <c r="DD546" s="41"/>
      <c r="DE546" s="41"/>
      <c r="DF546" s="41"/>
      <c r="DG546" s="41"/>
      <c r="DH546" s="41"/>
      <c r="DI546" s="41"/>
      <c r="DJ546" s="41">
        <v>0.03</v>
      </c>
      <c r="DK546" s="41">
        <v>0.03</v>
      </c>
      <c r="DL546" s="41">
        <v>0.03</v>
      </c>
      <c r="DM546" s="41">
        <v>0.03</v>
      </c>
      <c r="DN546" s="41"/>
      <c r="DO546" s="41">
        <v>0.03</v>
      </c>
      <c r="DP546" s="41">
        <v>0.03</v>
      </c>
      <c r="DQ546" s="41"/>
      <c r="DR546" s="41">
        <v>0.03</v>
      </c>
      <c r="DS546" s="43"/>
      <c r="DT546" s="44">
        <f t="shared" ref="DT546" si="528">SUM(F546:DR546)</f>
        <v>1.0000000000000002</v>
      </c>
    </row>
    <row r="547" spans="2:124" s="13" customFormat="1">
      <c r="B547" s="4">
        <f>'6.1Personnel List'!B548</f>
        <v>535</v>
      </c>
      <c r="C547" s="45" t="s">
        <v>726</v>
      </c>
      <c r="D547" s="45" t="str">
        <f>'6.1Personnel List'!D548</f>
        <v>Cook II</v>
      </c>
      <c r="E547" s="45" t="str">
        <f>'6.1Personnel List'!H548</f>
        <v>FT</v>
      </c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  <c r="AA547" s="41"/>
      <c r="AB547" s="41"/>
      <c r="AC547" s="41"/>
      <c r="AD547" s="41"/>
      <c r="AE547" s="41"/>
      <c r="AF547" s="41"/>
      <c r="AG547" s="41"/>
      <c r="AH547" s="41"/>
      <c r="AI547" s="41"/>
      <c r="AJ547" s="41"/>
      <c r="AK547" s="41"/>
      <c r="AL547" s="41"/>
      <c r="AM547" s="41"/>
      <c r="AN547" s="41"/>
      <c r="AO547" s="41"/>
      <c r="AP547" s="41"/>
      <c r="AQ547" s="41"/>
      <c r="AR547" s="41"/>
      <c r="AS547" s="41"/>
      <c r="AT547" s="41"/>
      <c r="AU547" s="41"/>
      <c r="AV547" s="41"/>
      <c r="AW547" s="41"/>
      <c r="AX547" s="41"/>
      <c r="AY547" s="41"/>
      <c r="AZ547" s="41"/>
      <c r="BA547" s="41"/>
      <c r="BB547" s="41"/>
      <c r="BC547" s="41"/>
      <c r="BD547" s="41"/>
      <c r="BE547" s="41"/>
      <c r="BF547" s="41"/>
      <c r="BG547" s="41"/>
      <c r="BH547" s="41"/>
      <c r="BJ547" s="41"/>
      <c r="BK547" s="41"/>
      <c r="BL547" s="41"/>
      <c r="BM547" s="41"/>
      <c r="BN547" s="41"/>
      <c r="BO547" s="41"/>
      <c r="BP547" s="41"/>
      <c r="BQ547" s="41"/>
      <c r="BR547" s="41"/>
      <c r="BS547" s="41"/>
      <c r="BT547" s="41"/>
      <c r="BU547" s="41"/>
      <c r="BV547" s="41"/>
      <c r="BW547" s="41"/>
      <c r="BX547" s="41"/>
      <c r="BY547" s="41"/>
      <c r="BZ547" s="41"/>
      <c r="CA547" s="41"/>
      <c r="CB547" s="41"/>
      <c r="CC547" s="41">
        <v>0.67</v>
      </c>
      <c r="CD547" s="41"/>
      <c r="CE547" s="41"/>
      <c r="CF547" s="41"/>
      <c r="CG547" s="41"/>
      <c r="CH547" s="41"/>
      <c r="CI547" s="41"/>
      <c r="CJ547" s="41"/>
      <c r="CK547" s="41"/>
      <c r="CL547" s="41"/>
      <c r="CM547" s="41"/>
      <c r="CN547" s="41">
        <v>0.03</v>
      </c>
      <c r="CO547" s="41">
        <v>0.03</v>
      </c>
      <c r="CP547" s="41">
        <v>0.03</v>
      </c>
      <c r="CQ547" s="41">
        <v>0.03</v>
      </c>
      <c r="CR547" s="41"/>
      <c r="CS547" s="41"/>
      <c r="CT547" s="41"/>
      <c r="CU547" s="41"/>
      <c r="CV547" s="41"/>
      <c r="CW547" s="41"/>
      <c r="CX547" s="41"/>
      <c r="CY547" s="41"/>
      <c r="CZ547" s="41"/>
      <c r="DA547" s="41"/>
      <c r="DB547" s="41"/>
      <c r="DC547" s="41"/>
      <c r="DD547" s="41"/>
      <c r="DE547" s="41"/>
      <c r="DF547" s="41"/>
      <c r="DG547" s="41"/>
      <c r="DH547" s="41"/>
      <c r="DI547" s="41"/>
      <c r="DJ547" s="41">
        <v>0.03</v>
      </c>
      <c r="DK547" s="41">
        <v>0.03</v>
      </c>
      <c r="DL547" s="41">
        <v>0.03</v>
      </c>
      <c r="DM547" s="41">
        <v>0.03</v>
      </c>
      <c r="DN547" s="41"/>
      <c r="DO547" s="41">
        <v>0.03</v>
      </c>
      <c r="DP547" s="41">
        <v>0.03</v>
      </c>
      <c r="DQ547" s="41"/>
      <c r="DR547" s="41">
        <v>0.03</v>
      </c>
      <c r="DS547" s="43"/>
      <c r="DT547" s="44">
        <f t="shared" ref="DT547" si="529">SUM(F547:DR547)</f>
        <v>1.0000000000000002</v>
      </c>
    </row>
    <row r="548" spans="2:124" s="13" customFormat="1">
      <c r="B548" s="4">
        <f>'6.1Personnel List'!B549</f>
        <v>536</v>
      </c>
      <c r="C548" s="45" t="s">
        <v>727</v>
      </c>
      <c r="D548" s="45" t="str">
        <f>'6.1Personnel List'!D549</f>
        <v>Cook II</v>
      </c>
      <c r="E548" s="45" t="str">
        <f>'6.1Personnel List'!H549</f>
        <v>FT</v>
      </c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  <c r="AA548" s="41"/>
      <c r="AB548" s="41"/>
      <c r="AC548" s="41"/>
      <c r="AD548" s="41"/>
      <c r="AE548" s="41"/>
      <c r="AF548" s="41"/>
      <c r="AG548" s="41"/>
      <c r="AH548" s="41"/>
      <c r="AI548" s="41"/>
      <c r="AJ548" s="41"/>
      <c r="AK548" s="41"/>
      <c r="AL548" s="41"/>
      <c r="AM548" s="41"/>
      <c r="AN548" s="41"/>
      <c r="AO548" s="41"/>
      <c r="AP548" s="41"/>
      <c r="AQ548" s="41"/>
      <c r="AR548" s="41"/>
      <c r="AS548" s="41"/>
      <c r="AT548" s="41"/>
      <c r="AU548" s="41"/>
      <c r="AV548" s="41"/>
      <c r="AW548" s="41"/>
      <c r="AX548" s="41"/>
      <c r="AY548" s="41"/>
      <c r="AZ548" s="41"/>
      <c r="BA548" s="41"/>
      <c r="BB548" s="41"/>
      <c r="BC548" s="41"/>
      <c r="BD548" s="41"/>
      <c r="BE548" s="41"/>
      <c r="BF548" s="41"/>
      <c r="BG548" s="41"/>
      <c r="BH548" s="41"/>
      <c r="BJ548" s="41"/>
      <c r="BK548" s="41"/>
      <c r="BL548" s="41"/>
      <c r="BM548" s="41"/>
      <c r="BN548" s="41"/>
      <c r="BO548" s="41"/>
      <c r="BP548" s="41"/>
      <c r="BQ548" s="41"/>
      <c r="BR548" s="41"/>
      <c r="BS548" s="41"/>
      <c r="BT548" s="41"/>
      <c r="BU548" s="41"/>
      <c r="BV548" s="41"/>
      <c r="BW548" s="41"/>
      <c r="BX548" s="41"/>
      <c r="BY548" s="41"/>
      <c r="BZ548" s="41"/>
      <c r="CA548" s="41"/>
      <c r="CB548" s="41"/>
      <c r="CC548" s="41">
        <v>0.67</v>
      </c>
      <c r="CD548" s="41"/>
      <c r="CE548" s="41"/>
      <c r="CF548" s="41"/>
      <c r="CG548" s="41"/>
      <c r="CH548" s="41"/>
      <c r="CI548" s="41"/>
      <c r="CJ548" s="41"/>
      <c r="CK548" s="41"/>
      <c r="CL548" s="41"/>
      <c r="CM548" s="41"/>
      <c r="CN548" s="41">
        <v>0.03</v>
      </c>
      <c r="CO548" s="41">
        <v>0.03</v>
      </c>
      <c r="CP548" s="41">
        <v>0.03</v>
      </c>
      <c r="CQ548" s="41">
        <v>0.03</v>
      </c>
      <c r="CR548" s="41"/>
      <c r="CS548" s="41"/>
      <c r="CT548" s="41"/>
      <c r="CU548" s="41"/>
      <c r="CV548" s="41"/>
      <c r="CW548" s="41"/>
      <c r="CX548" s="41"/>
      <c r="CY548" s="41"/>
      <c r="CZ548" s="41"/>
      <c r="DA548" s="41"/>
      <c r="DB548" s="41"/>
      <c r="DC548" s="41"/>
      <c r="DD548" s="41"/>
      <c r="DE548" s="41"/>
      <c r="DF548" s="41"/>
      <c r="DG548" s="41"/>
      <c r="DH548" s="41"/>
      <c r="DI548" s="41"/>
      <c r="DJ548" s="41">
        <v>0.03</v>
      </c>
      <c r="DK548" s="41">
        <v>0.03</v>
      </c>
      <c r="DL548" s="41">
        <v>0.03</v>
      </c>
      <c r="DM548" s="41">
        <v>0.03</v>
      </c>
      <c r="DN548" s="41"/>
      <c r="DO548" s="41">
        <v>0.03</v>
      </c>
      <c r="DP548" s="41">
        <v>0.03</v>
      </c>
      <c r="DQ548" s="41"/>
      <c r="DR548" s="41">
        <v>0.03</v>
      </c>
      <c r="DS548" s="43"/>
      <c r="DT548" s="44">
        <f t="shared" ref="DT548" si="530">SUM(F548:DR548)</f>
        <v>1.0000000000000002</v>
      </c>
    </row>
    <row r="549" spans="2:124" s="13" customFormat="1">
      <c r="B549" s="4">
        <f>'6.1Personnel List'!B550</f>
        <v>537</v>
      </c>
      <c r="C549" s="45" t="s">
        <v>728</v>
      </c>
      <c r="D549" s="45" t="str">
        <f>'6.1Personnel List'!D550</f>
        <v>Cook II</v>
      </c>
      <c r="E549" s="45" t="str">
        <f>'6.1Personnel List'!H550</f>
        <v>FT</v>
      </c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1"/>
      <c r="AK549" s="41"/>
      <c r="AL549" s="41"/>
      <c r="AM549" s="41"/>
      <c r="AN549" s="41"/>
      <c r="AO549" s="41"/>
      <c r="AP549" s="41"/>
      <c r="AQ549" s="41"/>
      <c r="AR549" s="41"/>
      <c r="AS549" s="41"/>
      <c r="AT549" s="41"/>
      <c r="AU549" s="41"/>
      <c r="AV549" s="41"/>
      <c r="AW549" s="41"/>
      <c r="AX549" s="41"/>
      <c r="AY549" s="41"/>
      <c r="AZ549" s="41"/>
      <c r="BA549" s="41"/>
      <c r="BB549" s="41"/>
      <c r="BC549" s="41"/>
      <c r="BD549" s="41"/>
      <c r="BE549" s="41"/>
      <c r="BF549" s="41"/>
      <c r="BG549" s="41"/>
      <c r="BH549" s="41"/>
      <c r="BJ549" s="41"/>
      <c r="BK549" s="41"/>
      <c r="BL549" s="41"/>
      <c r="BM549" s="41"/>
      <c r="BN549" s="41"/>
      <c r="BO549" s="41"/>
      <c r="BP549" s="41"/>
      <c r="BQ549" s="41"/>
      <c r="BR549" s="41"/>
      <c r="BS549" s="41"/>
      <c r="BT549" s="41"/>
      <c r="BU549" s="41"/>
      <c r="BV549" s="41"/>
      <c r="BW549" s="41"/>
      <c r="BX549" s="41"/>
      <c r="BY549" s="41"/>
      <c r="BZ549" s="41"/>
      <c r="CA549" s="41"/>
      <c r="CB549" s="41"/>
      <c r="CC549" s="41">
        <v>0.67</v>
      </c>
      <c r="CD549" s="41"/>
      <c r="CE549" s="41"/>
      <c r="CF549" s="41"/>
      <c r="CG549" s="41"/>
      <c r="CH549" s="41"/>
      <c r="CI549" s="41"/>
      <c r="CJ549" s="41"/>
      <c r="CK549" s="41"/>
      <c r="CL549" s="41"/>
      <c r="CM549" s="41"/>
      <c r="CN549" s="41">
        <v>0.03</v>
      </c>
      <c r="CO549" s="41">
        <v>0.03</v>
      </c>
      <c r="CP549" s="41">
        <v>0.03</v>
      </c>
      <c r="CQ549" s="41">
        <v>0.03</v>
      </c>
      <c r="CR549" s="41"/>
      <c r="CS549" s="41"/>
      <c r="CT549" s="41"/>
      <c r="CU549" s="41"/>
      <c r="CV549" s="41"/>
      <c r="CW549" s="41"/>
      <c r="CX549" s="41"/>
      <c r="CY549" s="41"/>
      <c r="CZ549" s="41"/>
      <c r="DA549" s="41"/>
      <c r="DB549" s="41"/>
      <c r="DC549" s="41"/>
      <c r="DD549" s="41"/>
      <c r="DE549" s="41"/>
      <c r="DF549" s="41"/>
      <c r="DG549" s="41"/>
      <c r="DH549" s="41"/>
      <c r="DI549" s="41"/>
      <c r="DJ549" s="41">
        <v>0.03</v>
      </c>
      <c r="DK549" s="41">
        <v>0.03</v>
      </c>
      <c r="DL549" s="41">
        <v>0.03</v>
      </c>
      <c r="DM549" s="41">
        <v>0.03</v>
      </c>
      <c r="DN549" s="41"/>
      <c r="DO549" s="41">
        <v>0.03</v>
      </c>
      <c r="DP549" s="41">
        <v>0.03</v>
      </c>
      <c r="DQ549" s="41"/>
      <c r="DR549" s="41">
        <v>0.03</v>
      </c>
      <c r="DS549" s="43"/>
      <c r="DT549" s="44">
        <f t="shared" ref="DT549" si="531">SUM(F549:DR549)</f>
        <v>1.0000000000000002</v>
      </c>
    </row>
    <row r="550" spans="2:124" s="13" customFormat="1">
      <c r="B550" s="4">
        <f>'6.1Personnel List'!B551</f>
        <v>538</v>
      </c>
      <c r="C550" s="45" t="s">
        <v>729</v>
      </c>
      <c r="D550" s="45" t="str">
        <f>'6.1Personnel List'!D551</f>
        <v>Cook II</v>
      </c>
      <c r="E550" s="45" t="str">
        <f>'6.1Personnel List'!H551</f>
        <v>FT</v>
      </c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1"/>
      <c r="AK550" s="41"/>
      <c r="AL550" s="41"/>
      <c r="AM550" s="41"/>
      <c r="AN550" s="41"/>
      <c r="AO550" s="41"/>
      <c r="AP550" s="41"/>
      <c r="AQ550" s="41"/>
      <c r="AR550" s="41"/>
      <c r="AS550" s="41"/>
      <c r="AT550" s="41"/>
      <c r="AU550" s="41"/>
      <c r="AV550" s="41"/>
      <c r="AW550" s="41"/>
      <c r="AX550" s="41"/>
      <c r="AY550" s="41"/>
      <c r="AZ550" s="41"/>
      <c r="BA550" s="41"/>
      <c r="BB550" s="41"/>
      <c r="BC550" s="41"/>
      <c r="BD550" s="41"/>
      <c r="BE550" s="41"/>
      <c r="BF550" s="41"/>
      <c r="BG550" s="41"/>
      <c r="BH550" s="41"/>
      <c r="BJ550" s="41"/>
      <c r="BK550" s="41"/>
      <c r="BL550" s="41"/>
      <c r="BM550" s="41"/>
      <c r="BN550" s="41"/>
      <c r="BO550" s="41"/>
      <c r="BP550" s="41"/>
      <c r="BQ550" s="41"/>
      <c r="BR550" s="41"/>
      <c r="BS550" s="41"/>
      <c r="BT550" s="41"/>
      <c r="BU550" s="41"/>
      <c r="BV550" s="41"/>
      <c r="BW550" s="41"/>
      <c r="BX550" s="41"/>
      <c r="BY550" s="41"/>
      <c r="BZ550" s="41"/>
      <c r="CA550" s="41"/>
      <c r="CB550" s="41"/>
      <c r="CC550" s="41">
        <v>0.67</v>
      </c>
      <c r="CD550" s="41"/>
      <c r="CE550" s="41"/>
      <c r="CF550" s="41"/>
      <c r="CG550" s="41"/>
      <c r="CH550" s="41"/>
      <c r="CI550" s="41"/>
      <c r="CJ550" s="41"/>
      <c r="CK550" s="41"/>
      <c r="CL550" s="41"/>
      <c r="CM550" s="41"/>
      <c r="CN550" s="41">
        <v>0.03</v>
      </c>
      <c r="CO550" s="41">
        <v>0.03</v>
      </c>
      <c r="CP550" s="41">
        <v>0.03</v>
      </c>
      <c r="CQ550" s="41">
        <v>0.03</v>
      </c>
      <c r="CR550" s="41"/>
      <c r="CS550" s="41"/>
      <c r="CT550" s="41"/>
      <c r="CU550" s="41"/>
      <c r="CV550" s="41"/>
      <c r="CW550" s="41"/>
      <c r="CX550" s="41"/>
      <c r="CY550" s="41"/>
      <c r="CZ550" s="41"/>
      <c r="DA550" s="41"/>
      <c r="DB550" s="41"/>
      <c r="DC550" s="41"/>
      <c r="DD550" s="41"/>
      <c r="DE550" s="41"/>
      <c r="DF550" s="41"/>
      <c r="DG550" s="41"/>
      <c r="DH550" s="41"/>
      <c r="DI550" s="41"/>
      <c r="DJ550" s="41">
        <v>0.03</v>
      </c>
      <c r="DK550" s="41">
        <v>0.03</v>
      </c>
      <c r="DL550" s="41">
        <v>0.03</v>
      </c>
      <c r="DM550" s="41">
        <v>0.03</v>
      </c>
      <c r="DN550" s="41"/>
      <c r="DO550" s="41">
        <v>0.03</v>
      </c>
      <c r="DP550" s="41">
        <v>0.03</v>
      </c>
      <c r="DQ550" s="41"/>
      <c r="DR550" s="41">
        <v>0.03</v>
      </c>
      <c r="DS550" s="43"/>
      <c r="DT550" s="44">
        <f t="shared" ref="DT550" si="532">SUM(F550:DR550)</f>
        <v>1.0000000000000002</v>
      </c>
    </row>
    <row r="551" spans="2:124" s="13" customFormat="1">
      <c r="B551" s="4">
        <f>'6.1Personnel List'!B552</f>
        <v>539</v>
      </c>
      <c r="C551" s="45" t="s">
        <v>730</v>
      </c>
      <c r="D551" s="45" t="str">
        <f>'6.1Personnel List'!D552</f>
        <v>Cook II</v>
      </c>
      <c r="E551" s="45" t="str">
        <f>'6.1Personnel List'!H552</f>
        <v>FT</v>
      </c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1"/>
      <c r="AK551" s="41"/>
      <c r="AL551" s="41"/>
      <c r="AM551" s="41"/>
      <c r="AN551" s="41"/>
      <c r="AO551" s="41"/>
      <c r="AP551" s="41"/>
      <c r="AQ551" s="41"/>
      <c r="AR551" s="41"/>
      <c r="AS551" s="41"/>
      <c r="AT551" s="41"/>
      <c r="AU551" s="41"/>
      <c r="AV551" s="41"/>
      <c r="AW551" s="41"/>
      <c r="AX551" s="41"/>
      <c r="AY551" s="41"/>
      <c r="AZ551" s="41"/>
      <c r="BA551" s="41"/>
      <c r="BB551" s="41"/>
      <c r="BC551" s="41"/>
      <c r="BD551" s="41"/>
      <c r="BE551" s="41"/>
      <c r="BF551" s="41"/>
      <c r="BG551" s="41"/>
      <c r="BH551" s="41"/>
      <c r="BJ551" s="41"/>
      <c r="BK551" s="41"/>
      <c r="BL551" s="41"/>
      <c r="BM551" s="41"/>
      <c r="BN551" s="41"/>
      <c r="BO551" s="41"/>
      <c r="BP551" s="41"/>
      <c r="BQ551" s="41"/>
      <c r="BR551" s="41"/>
      <c r="BS551" s="41"/>
      <c r="BT551" s="41"/>
      <c r="BU551" s="41"/>
      <c r="BV551" s="41"/>
      <c r="BW551" s="41"/>
      <c r="BX551" s="41"/>
      <c r="BY551" s="41"/>
      <c r="BZ551" s="41"/>
      <c r="CA551" s="41"/>
      <c r="CB551" s="41"/>
      <c r="CC551" s="41">
        <v>0.67</v>
      </c>
      <c r="CD551" s="41"/>
      <c r="CE551" s="41"/>
      <c r="CF551" s="41"/>
      <c r="CG551" s="41"/>
      <c r="CH551" s="41"/>
      <c r="CI551" s="41"/>
      <c r="CJ551" s="41"/>
      <c r="CK551" s="41"/>
      <c r="CL551" s="41"/>
      <c r="CM551" s="41"/>
      <c r="CN551" s="41">
        <v>0.03</v>
      </c>
      <c r="CO551" s="41">
        <v>0.03</v>
      </c>
      <c r="CP551" s="41">
        <v>0.03</v>
      </c>
      <c r="CQ551" s="41">
        <v>0.03</v>
      </c>
      <c r="CR551" s="41"/>
      <c r="CS551" s="41"/>
      <c r="CT551" s="41"/>
      <c r="CU551" s="41"/>
      <c r="CV551" s="41"/>
      <c r="CW551" s="41"/>
      <c r="CX551" s="41"/>
      <c r="CY551" s="41"/>
      <c r="CZ551" s="41"/>
      <c r="DA551" s="41"/>
      <c r="DB551" s="41"/>
      <c r="DC551" s="41"/>
      <c r="DD551" s="41"/>
      <c r="DE551" s="41"/>
      <c r="DF551" s="41"/>
      <c r="DG551" s="41"/>
      <c r="DH551" s="41"/>
      <c r="DI551" s="41"/>
      <c r="DJ551" s="41">
        <v>0.03</v>
      </c>
      <c r="DK551" s="41">
        <v>0.03</v>
      </c>
      <c r="DL551" s="41">
        <v>0.03</v>
      </c>
      <c r="DM551" s="41">
        <v>0.03</v>
      </c>
      <c r="DN551" s="41"/>
      <c r="DO551" s="41">
        <v>0.03</v>
      </c>
      <c r="DP551" s="41">
        <v>0.03</v>
      </c>
      <c r="DQ551" s="41"/>
      <c r="DR551" s="41">
        <v>0.03</v>
      </c>
      <c r="DS551" s="43"/>
      <c r="DT551" s="44">
        <f t="shared" ref="DT551" si="533">SUM(F551:DR551)</f>
        <v>1.0000000000000002</v>
      </c>
    </row>
    <row r="552" spans="2:124" s="13" customFormat="1">
      <c r="B552" s="4">
        <f>'6.1Personnel List'!B553</f>
        <v>540</v>
      </c>
      <c r="C552" s="45" t="s">
        <v>731</v>
      </c>
      <c r="D552" s="45" t="str">
        <f>'6.1Personnel List'!D553</f>
        <v>Cook II</v>
      </c>
      <c r="E552" s="45" t="str">
        <f>'6.1Personnel List'!H553</f>
        <v>FT</v>
      </c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1"/>
      <c r="AK552" s="41"/>
      <c r="AL552" s="41"/>
      <c r="AM552" s="41"/>
      <c r="AN552" s="41"/>
      <c r="AO552" s="41"/>
      <c r="AP552" s="41"/>
      <c r="AQ552" s="41"/>
      <c r="AR552" s="41"/>
      <c r="AS552" s="41"/>
      <c r="AT552" s="41"/>
      <c r="AU552" s="41"/>
      <c r="AV552" s="41"/>
      <c r="AW552" s="41"/>
      <c r="AX552" s="41"/>
      <c r="AY552" s="41"/>
      <c r="AZ552" s="41"/>
      <c r="BA552" s="41"/>
      <c r="BB552" s="41"/>
      <c r="BC552" s="41"/>
      <c r="BD552" s="41"/>
      <c r="BE552" s="41"/>
      <c r="BF552" s="41"/>
      <c r="BG552" s="41"/>
      <c r="BH552" s="41"/>
      <c r="BJ552" s="41"/>
      <c r="BK552" s="41"/>
      <c r="BL552" s="41"/>
      <c r="BM552" s="41"/>
      <c r="BN552" s="41"/>
      <c r="BO552" s="41"/>
      <c r="BP552" s="41"/>
      <c r="BQ552" s="41"/>
      <c r="BR552" s="41"/>
      <c r="BS552" s="41"/>
      <c r="BT552" s="41"/>
      <c r="BU552" s="41"/>
      <c r="BV552" s="41"/>
      <c r="BW552" s="41"/>
      <c r="BX552" s="41"/>
      <c r="BY552" s="41"/>
      <c r="BZ552" s="41"/>
      <c r="CA552" s="41"/>
      <c r="CB552" s="41"/>
      <c r="CC552" s="41">
        <v>0.67</v>
      </c>
      <c r="CD552" s="41"/>
      <c r="CE552" s="41"/>
      <c r="CF552" s="41"/>
      <c r="CG552" s="41"/>
      <c r="CH552" s="41"/>
      <c r="CI552" s="41"/>
      <c r="CJ552" s="41"/>
      <c r="CK552" s="41"/>
      <c r="CL552" s="41"/>
      <c r="CM552" s="41"/>
      <c r="CN552" s="41">
        <v>0.03</v>
      </c>
      <c r="CO552" s="41">
        <v>0.03</v>
      </c>
      <c r="CP552" s="41">
        <v>0.03</v>
      </c>
      <c r="CQ552" s="41">
        <v>0.03</v>
      </c>
      <c r="CR552" s="41"/>
      <c r="CS552" s="41"/>
      <c r="CT552" s="41"/>
      <c r="CU552" s="41"/>
      <c r="CV552" s="41"/>
      <c r="CW552" s="41"/>
      <c r="CX552" s="41"/>
      <c r="CY552" s="41"/>
      <c r="CZ552" s="41"/>
      <c r="DA552" s="41"/>
      <c r="DB552" s="41"/>
      <c r="DC552" s="41"/>
      <c r="DD552" s="41"/>
      <c r="DE552" s="41"/>
      <c r="DF552" s="41"/>
      <c r="DG552" s="41"/>
      <c r="DH552" s="41"/>
      <c r="DI552" s="41"/>
      <c r="DJ552" s="41">
        <v>0.03</v>
      </c>
      <c r="DK552" s="41">
        <v>0.03</v>
      </c>
      <c r="DL552" s="41">
        <v>0.03</v>
      </c>
      <c r="DM552" s="41">
        <v>0.03</v>
      </c>
      <c r="DN552" s="41"/>
      <c r="DO552" s="41">
        <v>0.03</v>
      </c>
      <c r="DP552" s="41">
        <v>0.03</v>
      </c>
      <c r="DQ552" s="41"/>
      <c r="DR552" s="41">
        <v>0.03</v>
      </c>
      <c r="DS552" s="43"/>
      <c r="DT552" s="44">
        <f t="shared" ref="DT552" si="534">SUM(F552:DR552)</f>
        <v>1.0000000000000002</v>
      </c>
    </row>
    <row r="553" spans="2:124" s="13" customFormat="1">
      <c r="B553" s="4">
        <f>'6.1Personnel List'!B554</f>
        <v>541</v>
      </c>
      <c r="C553" s="45" t="s">
        <v>732</v>
      </c>
      <c r="D553" s="45" t="str">
        <f>'6.1Personnel List'!D554</f>
        <v>Cook II</v>
      </c>
      <c r="E553" s="45" t="str">
        <f>'6.1Personnel List'!H554</f>
        <v>FT</v>
      </c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1"/>
      <c r="AK553" s="41"/>
      <c r="AL553" s="41"/>
      <c r="AM553" s="41"/>
      <c r="AN553" s="41"/>
      <c r="AO553" s="41"/>
      <c r="AP553" s="41"/>
      <c r="AQ553" s="41"/>
      <c r="AR553" s="41"/>
      <c r="AS553" s="41"/>
      <c r="AT553" s="41"/>
      <c r="AU553" s="41"/>
      <c r="AV553" s="41"/>
      <c r="AW553" s="41"/>
      <c r="AX553" s="41"/>
      <c r="AY553" s="41"/>
      <c r="AZ553" s="41"/>
      <c r="BA553" s="41"/>
      <c r="BB553" s="41"/>
      <c r="BC553" s="41"/>
      <c r="BD553" s="41"/>
      <c r="BE553" s="41"/>
      <c r="BF553" s="41"/>
      <c r="BG553" s="41"/>
      <c r="BH553" s="41"/>
      <c r="BJ553" s="41"/>
      <c r="BK553" s="41"/>
      <c r="BL553" s="41"/>
      <c r="BM553" s="41"/>
      <c r="BN553" s="41"/>
      <c r="BO553" s="41"/>
      <c r="BP553" s="41"/>
      <c r="BQ553" s="41"/>
      <c r="BR553" s="41"/>
      <c r="BS553" s="41"/>
      <c r="BT553" s="41"/>
      <c r="BU553" s="41"/>
      <c r="BV553" s="41"/>
      <c r="BW553" s="41"/>
      <c r="BX553" s="41"/>
      <c r="BY553" s="41"/>
      <c r="BZ553" s="41"/>
      <c r="CA553" s="41"/>
      <c r="CB553" s="41"/>
      <c r="CC553" s="41">
        <v>0.67</v>
      </c>
      <c r="CD553" s="41"/>
      <c r="CE553" s="41"/>
      <c r="CF553" s="41"/>
      <c r="CG553" s="41"/>
      <c r="CH553" s="41"/>
      <c r="CI553" s="41"/>
      <c r="CJ553" s="41"/>
      <c r="CK553" s="41"/>
      <c r="CL553" s="41"/>
      <c r="CM553" s="41"/>
      <c r="CN553" s="41">
        <v>0.03</v>
      </c>
      <c r="CO553" s="41">
        <v>0.03</v>
      </c>
      <c r="CP553" s="41">
        <v>0.03</v>
      </c>
      <c r="CQ553" s="41">
        <v>0.03</v>
      </c>
      <c r="CR553" s="41"/>
      <c r="CS553" s="41"/>
      <c r="CT553" s="41"/>
      <c r="CU553" s="41"/>
      <c r="CV553" s="41"/>
      <c r="CW553" s="41"/>
      <c r="CX553" s="41"/>
      <c r="CY553" s="41"/>
      <c r="CZ553" s="41"/>
      <c r="DA553" s="41"/>
      <c r="DB553" s="41"/>
      <c r="DC553" s="41"/>
      <c r="DD553" s="41"/>
      <c r="DE553" s="41"/>
      <c r="DF553" s="41"/>
      <c r="DG553" s="41"/>
      <c r="DH553" s="41"/>
      <c r="DI553" s="41"/>
      <c r="DJ553" s="41">
        <v>0.03</v>
      </c>
      <c r="DK553" s="41">
        <v>0.03</v>
      </c>
      <c r="DL553" s="41">
        <v>0.03</v>
      </c>
      <c r="DM553" s="41">
        <v>0.03</v>
      </c>
      <c r="DN553" s="41"/>
      <c r="DO553" s="41">
        <v>0.03</v>
      </c>
      <c r="DP553" s="41">
        <v>0.03</v>
      </c>
      <c r="DQ553" s="41"/>
      <c r="DR553" s="41">
        <v>0.03</v>
      </c>
      <c r="DS553" s="43"/>
      <c r="DT553" s="44">
        <f t="shared" ref="DT553" si="535">SUM(F553:DR553)</f>
        <v>1.0000000000000002</v>
      </c>
    </row>
    <row r="554" spans="2:124" s="13" customFormat="1">
      <c r="B554" s="4">
        <f>'6.1Personnel List'!B555</f>
        <v>542</v>
      </c>
      <c r="C554" s="45" t="s">
        <v>733</v>
      </c>
      <c r="D554" s="45" t="str">
        <f>'6.1Personnel List'!D555</f>
        <v>Cook II</v>
      </c>
      <c r="E554" s="45" t="str">
        <f>'6.1Personnel List'!H555</f>
        <v>FT</v>
      </c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1"/>
      <c r="AK554" s="41"/>
      <c r="AL554" s="41"/>
      <c r="AM554" s="41"/>
      <c r="AN554" s="41"/>
      <c r="AO554" s="41"/>
      <c r="AP554" s="41"/>
      <c r="AQ554" s="41"/>
      <c r="AR554" s="41"/>
      <c r="AS554" s="41"/>
      <c r="AT554" s="41"/>
      <c r="AU554" s="41"/>
      <c r="AV554" s="41"/>
      <c r="AW554" s="41"/>
      <c r="AX554" s="41"/>
      <c r="AY554" s="41"/>
      <c r="AZ554" s="41"/>
      <c r="BA554" s="41"/>
      <c r="BB554" s="41"/>
      <c r="BC554" s="41"/>
      <c r="BD554" s="41"/>
      <c r="BE554" s="41"/>
      <c r="BF554" s="41"/>
      <c r="BG554" s="41"/>
      <c r="BH554" s="41"/>
      <c r="BJ554" s="41"/>
      <c r="BK554" s="41"/>
      <c r="BL554" s="41"/>
      <c r="BM554" s="41"/>
      <c r="BN554" s="41"/>
      <c r="BO554" s="41"/>
      <c r="BP554" s="41"/>
      <c r="BQ554" s="41"/>
      <c r="BR554" s="41"/>
      <c r="BS554" s="41"/>
      <c r="BT554" s="41"/>
      <c r="BU554" s="41"/>
      <c r="BV554" s="41"/>
      <c r="BW554" s="41"/>
      <c r="BX554" s="41"/>
      <c r="BY554" s="41"/>
      <c r="BZ554" s="41"/>
      <c r="CA554" s="41"/>
      <c r="CB554" s="41"/>
      <c r="CC554" s="41">
        <v>0.67</v>
      </c>
      <c r="CD554" s="41"/>
      <c r="CE554" s="41"/>
      <c r="CF554" s="41"/>
      <c r="CG554" s="41"/>
      <c r="CH554" s="41"/>
      <c r="CI554" s="41"/>
      <c r="CJ554" s="41"/>
      <c r="CK554" s="41"/>
      <c r="CL554" s="41"/>
      <c r="CM554" s="41"/>
      <c r="CN554" s="41">
        <v>0.03</v>
      </c>
      <c r="CO554" s="41">
        <v>0.03</v>
      </c>
      <c r="CP554" s="41">
        <v>0.03</v>
      </c>
      <c r="CQ554" s="41">
        <v>0.03</v>
      </c>
      <c r="CR554" s="41"/>
      <c r="CS554" s="41"/>
      <c r="CT554" s="41"/>
      <c r="CU554" s="41"/>
      <c r="CV554" s="41"/>
      <c r="CW554" s="41"/>
      <c r="CX554" s="41"/>
      <c r="CY554" s="41"/>
      <c r="CZ554" s="41"/>
      <c r="DA554" s="41"/>
      <c r="DB554" s="41"/>
      <c r="DC554" s="41"/>
      <c r="DD554" s="41"/>
      <c r="DE554" s="41"/>
      <c r="DF554" s="41"/>
      <c r="DG554" s="41"/>
      <c r="DH554" s="41"/>
      <c r="DI554" s="41"/>
      <c r="DJ554" s="41">
        <v>0.03</v>
      </c>
      <c r="DK554" s="41">
        <v>0.03</v>
      </c>
      <c r="DL554" s="41">
        <v>0.03</v>
      </c>
      <c r="DM554" s="41">
        <v>0.03</v>
      </c>
      <c r="DN554" s="41"/>
      <c r="DO554" s="41">
        <v>0.03</v>
      </c>
      <c r="DP554" s="41">
        <v>0.03</v>
      </c>
      <c r="DQ554" s="41"/>
      <c r="DR554" s="41">
        <v>0.03</v>
      </c>
      <c r="DS554" s="43"/>
      <c r="DT554" s="44">
        <f t="shared" ref="DT554" si="536">SUM(F554:DR554)</f>
        <v>1.0000000000000002</v>
      </c>
    </row>
    <row r="555" spans="2:124" s="13" customFormat="1">
      <c r="B555" s="4">
        <f>'6.1Personnel List'!B556</f>
        <v>543</v>
      </c>
      <c r="C555" s="45" t="s">
        <v>734</v>
      </c>
      <c r="D555" s="45" t="str">
        <f>'6.1Personnel List'!D556</f>
        <v>Cook II</v>
      </c>
      <c r="E555" s="45" t="str">
        <f>'6.1Personnel List'!H556</f>
        <v>FT</v>
      </c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1"/>
      <c r="AK555" s="41"/>
      <c r="AL555" s="41"/>
      <c r="AM555" s="41"/>
      <c r="AN555" s="41"/>
      <c r="AO555" s="41"/>
      <c r="AP555" s="41"/>
      <c r="AQ555" s="41"/>
      <c r="AR555" s="41"/>
      <c r="AS555" s="41"/>
      <c r="AT555" s="41"/>
      <c r="AU555" s="41"/>
      <c r="AV555" s="41"/>
      <c r="AW555" s="41"/>
      <c r="AX555" s="41"/>
      <c r="AY555" s="41"/>
      <c r="AZ555" s="41"/>
      <c r="BA555" s="41"/>
      <c r="BB555" s="41"/>
      <c r="BC555" s="41"/>
      <c r="BD555" s="41"/>
      <c r="BE555" s="41"/>
      <c r="BF555" s="41"/>
      <c r="BG555" s="41"/>
      <c r="BH555" s="41"/>
      <c r="BJ555" s="41"/>
      <c r="BK555" s="41"/>
      <c r="BL555" s="41"/>
      <c r="BM555" s="41"/>
      <c r="BN555" s="41"/>
      <c r="BO555" s="41"/>
      <c r="BP555" s="41"/>
      <c r="BQ555" s="41"/>
      <c r="BR555" s="41"/>
      <c r="BS555" s="41"/>
      <c r="BT555" s="41"/>
      <c r="BU555" s="41"/>
      <c r="BV555" s="41"/>
      <c r="BW555" s="41"/>
      <c r="BX555" s="41"/>
      <c r="BY555" s="41"/>
      <c r="BZ555" s="41"/>
      <c r="CA555" s="41"/>
      <c r="CB555" s="41"/>
      <c r="CC555" s="41">
        <v>0.67</v>
      </c>
      <c r="CD555" s="41"/>
      <c r="CE555" s="41"/>
      <c r="CF555" s="41"/>
      <c r="CG555" s="41"/>
      <c r="CH555" s="41"/>
      <c r="CI555" s="41"/>
      <c r="CJ555" s="41"/>
      <c r="CK555" s="41"/>
      <c r="CL555" s="41"/>
      <c r="CM555" s="41"/>
      <c r="CN555" s="41">
        <v>0.03</v>
      </c>
      <c r="CO555" s="41">
        <v>0.03</v>
      </c>
      <c r="CP555" s="41">
        <v>0.03</v>
      </c>
      <c r="CQ555" s="41">
        <v>0.03</v>
      </c>
      <c r="CR555" s="41"/>
      <c r="CS555" s="41"/>
      <c r="CT555" s="41"/>
      <c r="CU555" s="41"/>
      <c r="CV555" s="41"/>
      <c r="CW555" s="41"/>
      <c r="CX555" s="41"/>
      <c r="CY555" s="41"/>
      <c r="CZ555" s="41"/>
      <c r="DA555" s="41"/>
      <c r="DB555" s="41"/>
      <c r="DC555" s="41"/>
      <c r="DD555" s="41"/>
      <c r="DE555" s="41"/>
      <c r="DF555" s="41"/>
      <c r="DG555" s="41"/>
      <c r="DH555" s="41"/>
      <c r="DI555" s="41"/>
      <c r="DJ555" s="41">
        <v>0.03</v>
      </c>
      <c r="DK555" s="41">
        <v>0.03</v>
      </c>
      <c r="DL555" s="41">
        <v>0.03</v>
      </c>
      <c r="DM555" s="41">
        <v>0.03</v>
      </c>
      <c r="DN555" s="41"/>
      <c r="DO555" s="41">
        <v>0.03</v>
      </c>
      <c r="DP555" s="41">
        <v>0.03</v>
      </c>
      <c r="DQ555" s="41"/>
      <c r="DR555" s="41">
        <v>0.03</v>
      </c>
      <c r="DS555" s="43"/>
      <c r="DT555" s="44">
        <f t="shared" ref="DT555" si="537">SUM(F555:DR555)</f>
        <v>1.0000000000000002</v>
      </c>
    </row>
    <row r="556" spans="2:124" s="13" customFormat="1">
      <c r="B556" s="4">
        <f>'6.1Personnel List'!B557</f>
        <v>544</v>
      </c>
      <c r="C556" s="45" t="s">
        <v>735</v>
      </c>
      <c r="D556" s="45" t="str">
        <f>'6.1Personnel List'!D557</f>
        <v>Administrative Aide III</v>
      </c>
      <c r="E556" s="45" t="str">
        <f>'6.1Personnel List'!H557</f>
        <v>FT</v>
      </c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1"/>
      <c r="AK556" s="41"/>
      <c r="AL556" s="41"/>
      <c r="AM556" s="41"/>
      <c r="AN556" s="41"/>
      <c r="AO556" s="41"/>
      <c r="AP556" s="41"/>
      <c r="AQ556" s="41"/>
      <c r="AR556" s="41"/>
      <c r="AS556" s="41"/>
      <c r="AT556" s="41"/>
      <c r="AU556" s="41"/>
      <c r="AV556" s="41"/>
      <c r="AW556" s="41"/>
      <c r="AX556" s="41"/>
      <c r="AY556" s="41"/>
      <c r="AZ556" s="41"/>
      <c r="BA556" s="41"/>
      <c r="BB556" s="41"/>
      <c r="BC556" s="41"/>
      <c r="BD556" s="41"/>
      <c r="BE556" s="41"/>
      <c r="BF556" s="41"/>
      <c r="BG556" s="41"/>
      <c r="BH556" s="41"/>
      <c r="BJ556" s="41"/>
      <c r="BK556" s="41"/>
      <c r="BL556" s="41"/>
      <c r="BM556" s="41"/>
      <c r="BN556" s="41"/>
      <c r="BO556" s="41"/>
      <c r="BP556" s="41"/>
      <c r="BQ556" s="41"/>
      <c r="BR556" s="41"/>
      <c r="BS556" s="41"/>
      <c r="BT556" s="41"/>
      <c r="BU556" s="41"/>
      <c r="BV556" s="41"/>
      <c r="BW556" s="41"/>
      <c r="BX556" s="41"/>
      <c r="BY556" s="41"/>
      <c r="BZ556" s="41"/>
      <c r="CA556" s="41"/>
      <c r="CB556" s="41"/>
      <c r="CC556" s="41">
        <v>0.34</v>
      </c>
      <c r="CD556" s="41"/>
      <c r="CE556" s="41"/>
      <c r="CF556" s="41"/>
      <c r="CG556" s="41"/>
      <c r="CH556" s="41"/>
      <c r="CI556" s="41"/>
      <c r="CJ556" s="41"/>
      <c r="CK556" s="41"/>
      <c r="CL556" s="41"/>
      <c r="CM556" s="41"/>
      <c r="CN556" s="41">
        <v>0.06</v>
      </c>
      <c r="CO556" s="41">
        <v>0.06</v>
      </c>
      <c r="CP556" s="41">
        <v>0.06</v>
      </c>
      <c r="CQ556" s="41">
        <v>0.06</v>
      </c>
      <c r="CR556" s="41"/>
      <c r="CS556" s="41"/>
      <c r="CT556" s="41"/>
      <c r="CU556" s="41"/>
      <c r="CV556" s="41"/>
      <c r="CW556" s="41"/>
      <c r="CX556" s="41"/>
      <c r="CY556" s="41"/>
      <c r="CZ556" s="41"/>
      <c r="DA556" s="41"/>
      <c r="DB556" s="41"/>
      <c r="DC556" s="41"/>
      <c r="DD556" s="41"/>
      <c r="DE556" s="41"/>
      <c r="DF556" s="41"/>
      <c r="DG556" s="41"/>
      <c r="DH556" s="41"/>
      <c r="DI556" s="41"/>
      <c r="DJ556" s="41">
        <v>0.06</v>
      </c>
      <c r="DK556" s="41">
        <v>0.06</v>
      </c>
      <c r="DL556" s="41">
        <v>0.06</v>
      </c>
      <c r="DM556" s="41">
        <v>0.06</v>
      </c>
      <c r="DN556" s="41"/>
      <c r="DO556" s="41">
        <v>0.06</v>
      </c>
      <c r="DP556" s="41">
        <v>0.06</v>
      </c>
      <c r="DQ556" s="41"/>
      <c r="DR556" s="41">
        <v>0.06</v>
      </c>
      <c r="DS556" s="43"/>
      <c r="DT556" s="44">
        <f t="shared" ref="DT556" si="538">SUM(F556:DR556)</f>
        <v>1.0000000000000004</v>
      </c>
    </row>
    <row r="557" spans="2:124" s="13" customFormat="1">
      <c r="B557" s="4">
        <f>'6.1Personnel List'!B558</f>
        <v>545</v>
      </c>
      <c r="C557" s="45" t="s">
        <v>736</v>
      </c>
      <c r="D557" s="45" t="str">
        <f>'6.1Personnel List'!D558</f>
        <v>Administrative Aide III</v>
      </c>
      <c r="E557" s="45" t="str">
        <f>'6.1Personnel List'!H558</f>
        <v>FT</v>
      </c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  <c r="AA557" s="41"/>
      <c r="AB557" s="41"/>
      <c r="AC557" s="41"/>
      <c r="AD557" s="41"/>
      <c r="AE557" s="41"/>
      <c r="AF557" s="41"/>
      <c r="AG557" s="41"/>
      <c r="AH557" s="41"/>
      <c r="AI557" s="41"/>
      <c r="AJ557" s="41"/>
      <c r="AK557" s="41"/>
      <c r="AL557" s="41"/>
      <c r="AM557" s="41"/>
      <c r="AN557" s="41"/>
      <c r="AO557" s="41"/>
      <c r="AP557" s="41"/>
      <c r="AQ557" s="41"/>
      <c r="AR557" s="41"/>
      <c r="AS557" s="41"/>
      <c r="AT557" s="41"/>
      <c r="AU557" s="41"/>
      <c r="AV557" s="41"/>
      <c r="AW557" s="41"/>
      <c r="AX557" s="41"/>
      <c r="AY557" s="41"/>
      <c r="AZ557" s="41"/>
      <c r="BA557" s="41"/>
      <c r="BB557" s="41"/>
      <c r="BC557" s="41"/>
      <c r="BD557" s="41"/>
      <c r="BE557" s="41"/>
      <c r="BF557" s="41"/>
      <c r="BG557" s="41"/>
      <c r="BH557" s="41"/>
      <c r="BJ557" s="41"/>
      <c r="BK557" s="41"/>
      <c r="BL557" s="41"/>
      <c r="BM557" s="41"/>
      <c r="BN557" s="41"/>
      <c r="BO557" s="41"/>
      <c r="BP557" s="41"/>
      <c r="BQ557" s="41"/>
      <c r="BR557" s="41"/>
      <c r="BS557" s="41"/>
      <c r="BT557" s="41"/>
      <c r="BU557" s="41"/>
      <c r="BV557" s="41"/>
      <c r="BW557" s="41"/>
      <c r="BX557" s="41"/>
      <c r="BY557" s="41"/>
      <c r="BZ557" s="41"/>
      <c r="CA557" s="41"/>
      <c r="CB557" s="41"/>
      <c r="CC557" s="41">
        <v>0.34</v>
      </c>
      <c r="CD557" s="41"/>
      <c r="CE557" s="41"/>
      <c r="CF557" s="41"/>
      <c r="CG557" s="41"/>
      <c r="CH557" s="41"/>
      <c r="CI557" s="41"/>
      <c r="CJ557" s="41"/>
      <c r="CK557" s="41"/>
      <c r="CL557" s="41"/>
      <c r="CM557" s="41"/>
      <c r="CN557" s="41">
        <v>0.06</v>
      </c>
      <c r="CO557" s="41">
        <v>0.06</v>
      </c>
      <c r="CP557" s="41">
        <v>0.06</v>
      </c>
      <c r="CQ557" s="41">
        <v>0.06</v>
      </c>
      <c r="CR557" s="41"/>
      <c r="CS557" s="41"/>
      <c r="CT557" s="41"/>
      <c r="CU557" s="41"/>
      <c r="CV557" s="41"/>
      <c r="CW557" s="41"/>
      <c r="CX557" s="41"/>
      <c r="CY557" s="41"/>
      <c r="CZ557" s="41"/>
      <c r="DA557" s="41"/>
      <c r="DB557" s="41"/>
      <c r="DC557" s="41"/>
      <c r="DD557" s="41"/>
      <c r="DE557" s="41"/>
      <c r="DF557" s="41"/>
      <c r="DG557" s="41"/>
      <c r="DH557" s="41"/>
      <c r="DI557" s="41"/>
      <c r="DJ557" s="41">
        <v>0.06</v>
      </c>
      <c r="DK557" s="41">
        <v>0.06</v>
      </c>
      <c r="DL557" s="41">
        <v>0.06</v>
      </c>
      <c r="DM557" s="41">
        <v>0.06</v>
      </c>
      <c r="DN557" s="41"/>
      <c r="DO557" s="41">
        <v>0.06</v>
      </c>
      <c r="DP557" s="41">
        <v>0.06</v>
      </c>
      <c r="DQ557" s="41"/>
      <c r="DR557" s="41">
        <v>0.06</v>
      </c>
      <c r="DS557" s="43"/>
      <c r="DT557" s="44">
        <f t="shared" ref="DT557" si="539">SUM(F557:DR557)</f>
        <v>1.0000000000000004</v>
      </c>
    </row>
    <row r="558" spans="2:124" s="13" customFormat="1">
      <c r="B558" s="4">
        <f>'6.1Personnel List'!B559</f>
        <v>546</v>
      </c>
      <c r="C558" s="45" t="s">
        <v>737</v>
      </c>
      <c r="D558" s="45" t="str">
        <f>'6.1Personnel List'!D559</f>
        <v>Administrative Aide III</v>
      </c>
      <c r="E558" s="45" t="str">
        <f>'6.1Personnel List'!H559</f>
        <v>FT</v>
      </c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  <c r="AA558" s="41"/>
      <c r="AB558" s="41"/>
      <c r="AC558" s="41"/>
      <c r="AD558" s="41"/>
      <c r="AE558" s="41"/>
      <c r="AF558" s="41"/>
      <c r="AG558" s="41"/>
      <c r="AH558" s="41"/>
      <c r="AI558" s="41"/>
      <c r="AJ558" s="41"/>
      <c r="AK558" s="41"/>
      <c r="AL558" s="41"/>
      <c r="AM558" s="41"/>
      <c r="AN558" s="41"/>
      <c r="AO558" s="41"/>
      <c r="AP558" s="41"/>
      <c r="AQ558" s="41"/>
      <c r="AR558" s="41"/>
      <c r="AS558" s="41"/>
      <c r="AT558" s="41"/>
      <c r="AU558" s="41"/>
      <c r="AV558" s="41"/>
      <c r="AW558" s="41"/>
      <c r="AX558" s="41"/>
      <c r="AY558" s="41"/>
      <c r="AZ558" s="41"/>
      <c r="BA558" s="41"/>
      <c r="BB558" s="41"/>
      <c r="BC558" s="41"/>
      <c r="BD558" s="41"/>
      <c r="BE558" s="41"/>
      <c r="BF558" s="41"/>
      <c r="BG558" s="41"/>
      <c r="BH558" s="41"/>
      <c r="BJ558" s="41"/>
      <c r="BK558" s="41"/>
      <c r="BL558" s="41"/>
      <c r="BM558" s="41"/>
      <c r="BN558" s="41"/>
      <c r="BO558" s="41"/>
      <c r="BP558" s="41"/>
      <c r="BQ558" s="41"/>
      <c r="BR558" s="41"/>
      <c r="BS558" s="41"/>
      <c r="BT558" s="41"/>
      <c r="BU558" s="41"/>
      <c r="BV558" s="41"/>
      <c r="BW558" s="41"/>
      <c r="BX558" s="41"/>
      <c r="BY558" s="41"/>
      <c r="BZ558" s="41"/>
      <c r="CA558" s="41"/>
      <c r="CB558" s="41"/>
      <c r="CC558" s="41">
        <v>0.34</v>
      </c>
      <c r="CD558" s="41"/>
      <c r="CE558" s="41"/>
      <c r="CF558" s="41"/>
      <c r="CG558" s="41"/>
      <c r="CH558" s="41"/>
      <c r="CI558" s="41"/>
      <c r="CJ558" s="41"/>
      <c r="CK558" s="41"/>
      <c r="CL558" s="41"/>
      <c r="CM558" s="41"/>
      <c r="CN558" s="41">
        <v>0.06</v>
      </c>
      <c r="CO558" s="41">
        <v>0.06</v>
      </c>
      <c r="CP558" s="41">
        <v>0.06</v>
      </c>
      <c r="CQ558" s="41">
        <v>0.06</v>
      </c>
      <c r="CR558" s="41"/>
      <c r="CS558" s="41"/>
      <c r="CT558" s="41"/>
      <c r="CU558" s="41"/>
      <c r="CV558" s="41"/>
      <c r="CW558" s="41"/>
      <c r="CX558" s="41"/>
      <c r="CY558" s="41"/>
      <c r="CZ558" s="41"/>
      <c r="DA558" s="41"/>
      <c r="DB558" s="41"/>
      <c r="DC558" s="41"/>
      <c r="DD558" s="41"/>
      <c r="DE558" s="41"/>
      <c r="DF558" s="41"/>
      <c r="DG558" s="41"/>
      <c r="DH558" s="41"/>
      <c r="DI558" s="41"/>
      <c r="DJ558" s="41">
        <v>0.06</v>
      </c>
      <c r="DK558" s="41">
        <v>0.06</v>
      </c>
      <c r="DL558" s="41">
        <v>0.06</v>
      </c>
      <c r="DM558" s="41">
        <v>0.06</v>
      </c>
      <c r="DN558" s="41"/>
      <c r="DO558" s="41">
        <v>0.06</v>
      </c>
      <c r="DP558" s="41">
        <v>0.06</v>
      </c>
      <c r="DQ558" s="41"/>
      <c r="DR558" s="41">
        <v>0.06</v>
      </c>
      <c r="DS558" s="43"/>
      <c r="DT558" s="44">
        <f t="shared" ref="DT558" si="540">SUM(F558:DR558)</f>
        <v>1.0000000000000004</v>
      </c>
    </row>
    <row r="559" spans="2:124" s="13" customFormat="1">
      <c r="B559" s="4">
        <f>'6.1Personnel List'!B560</f>
        <v>547</v>
      </c>
      <c r="C559" s="45" t="s">
        <v>738</v>
      </c>
      <c r="D559" s="45" t="str">
        <f>'6.1Personnel List'!D560</f>
        <v>Administrative Aide III</v>
      </c>
      <c r="E559" s="45" t="str">
        <f>'6.1Personnel List'!H560</f>
        <v>FT</v>
      </c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  <c r="AA559" s="41"/>
      <c r="AB559" s="41"/>
      <c r="AC559" s="41"/>
      <c r="AD559" s="41"/>
      <c r="AE559" s="41"/>
      <c r="AF559" s="41"/>
      <c r="AG559" s="41"/>
      <c r="AH559" s="41"/>
      <c r="AI559" s="41"/>
      <c r="AJ559" s="41"/>
      <c r="AK559" s="41"/>
      <c r="AL559" s="41"/>
      <c r="AM559" s="41"/>
      <c r="AN559" s="41"/>
      <c r="AO559" s="41"/>
      <c r="AP559" s="41"/>
      <c r="AQ559" s="41"/>
      <c r="AR559" s="41"/>
      <c r="AS559" s="41"/>
      <c r="AT559" s="41"/>
      <c r="AU559" s="41"/>
      <c r="AV559" s="41"/>
      <c r="AW559" s="41"/>
      <c r="AX559" s="41"/>
      <c r="AY559" s="41"/>
      <c r="AZ559" s="41"/>
      <c r="BA559" s="41"/>
      <c r="BB559" s="41"/>
      <c r="BC559" s="41"/>
      <c r="BD559" s="41"/>
      <c r="BE559" s="41"/>
      <c r="BF559" s="41"/>
      <c r="BG559" s="41"/>
      <c r="BH559" s="41"/>
      <c r="BJ559" s="41"/>
      <c r="BK559" s="41"/>
      <c r="BL559" s="41"/>
      <c r="BM559" s="41"/>
      <c r="BN559" s="41"/>
      <c r="BO559" s="41"/>
      <c r="BP559" s="41"/>
      <c r="BQ559" s="41"/>
      <c r="BR559" s="41"/>
      <c r="BS559" s="41"/>
      <c r="BT559" s="41"/>
      <c r="BU559" s="41"/>
      <c r="BV559" s="41"/>
      <c r="BW559" s="41"/>
      <c r="BX559" s="41"/>
      <c r="BY559" s="41"/>
      <c r="BZ559" s="41"/>
      <c r="CA559" s="41"/>
      <c r="CB559" s="41"/>
      <c r="CC559" s="41">
        <v>0.34</v>
      </c>
      <c r="CD559" s="41"/>
      <c r="CE559" s="41"/>
      <c r="CF559" s="41"/>
      <c r="CG559" s="41"/>
      <c r="CH559" s="41"/>
      <c r="CI559" s="41"/>
      <c r="CJ559" s="41"/>
      <c r="CK559" s="41"/>
      <c r="CL559" s="41"/>
      <c r="CM559" s="41"/>
      <c r="CN559" s="41">
        <v>0.06</v>
      </c>
      <c r="CO559" s="41">
        <v>0.06</v>
      </c>
      <c r="CP559" s="41">
        <v>0.06</v>
      </c>
      <c r="CQ559" s="41">
        <v>0.06</v>
      </c>
      <c r="CR559" s="41"/>
      <c r="CS559" s="41"/>
      <c r="CT559" s="41"/>
      <c r="CU559" s="41"/>
      <c r="CV559" s="41"/>
      <c r="CW559" s="41"/>
      <c r="CX559" s="41"/>
      <c r="CY559" s="41"/>
      <c r="CZ559" s="41"/>
      <c r="DA559" s="41"/>
      <c r="DB559" s="41"/>
      <c r="DC559" s="41"/>
      <c r="DD559" s="41"/>
      <c r="DE559" s="41"/>
      <c r="DF559" s="41"/>
      <c r="DG559" s="41"/>
      <c r="DH559" s="41"/>
      <c r="DI559" s="41"/>
      <c r="DJ559" s="41">
        <v>0.06</v>
      </c>
      <c r="DK559" s="41">
        <v>0.06</v>
      </c>
      <c r="DL559" s="41">
        <v>0.06</v>
      </c>
      <c r="DM559" s="41">
        <v>0.06</v>
      </c>
      <c r="DN559" s="41"/>
      <c r="DO559" s="41">
        <v>0.06</v>
      </c>
      <c r="DP559" s="41">
        <v>0.06</v>
      </c>
      <c r="DQ559" s="41"/>
      <c r="DR559" s="41">
        <v>0.06</v>
      </c>
      <c r="DS559" s="43"/>
      <c r="DT559" s="44">
        <f t="shared" ref="DT559" si="541">SUM(F559:DR559)</f>
        <v>1.0000000000000004</v>
      </c>
    </row>
    <row r="560" spans="2:124" s="13" customFormat="1">
      <c r="B560" s="4">
        <f>'6.1Personnel List'!B561</f>
        <v>548</v>
      </c>
      <c r="C560" s="45" t="s">
        <v>739</v>
      </c>
      <c r="D560" s="45" t="str">
        <f>'6.1Personnel List'!D561</f>
        <v>Administrative Aide III</v>
      </c>
      <c r="E560" s="45" t="str">
        <f>'6.1Personnel List'!H561</f>
        <v>FT</v>
      </c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  <c r="AA560" s="41"/>
      <c r="AB560" s="41"/>
      <c r="AC560" s="41"/>
      <c r="AD560" s="41"/>
      <c r="AE560" s="41"/>
      <c r="AF560" s="41"/>
      <c r="AG560" s="41"/>
      <c r="AH560" s="41"/>
      <c r="AI560" s="41"/>
      <c r="AJ560" s="41"/>
      <c r="AK560" s="41"/>
      <c r="AL560" s="41"/>
      <c r="AM560" s="41"/>
      <c r="AN560" s="41"/>
      <c r="AO560" s="41"/>
      <c r="AP560" s="41"/>
      <c r="AQ560" s="41"/>
      <c r="AR560" s="41"/>
      <c r="AS560" s="41"/>
      <c r="AT560" s="41"/>
      <c r="AU560" s="41"/>
      <c r="AV560" s="41"/>
      <c r="AW560" s="41"/>
      <c r="AX560" s="41"/>
      <c r="AY560" s="41"/>
      <c r="AZ560" s="41"/>
      <c r="BA560" s="41"/>
      <c r="BB560" s="41"/>
      <c r="BC560" s="41"/>
      <c r="BD560" s="41"/>
      <c r="BE560" s="41"/>
      <c r="BF560" s="41"/>
      <c r="BG560" s="41"/>
      <c r="BH560" s="41"/>
      <c r="BJ560" s="41"/>
      <c r="BK560" s="41"/>
      <c r="BL560" s="41"/>
      <c r="BM560" s="41"/>
      <c r="BN560" s="41"/>
      <c r="BO560" s="41"/>
      <c r="BP560" s="41"/>
      <c r="BQ560" s="41"/>
      <c r="BR560" s="41"/>
      <c r="BS560" s="41"/>
      <c r="BT560" s="41"/>
      <c r="BU560" s="41"/>
      <c r="BV560" s="41"/>
      <c r="BW560" s="41"/>
      <c r="BX560" s="41"/>
      <c r="BY560" s="41"/>
      <c r="BZ560" s="41"/>
      <c r="CA560" s="41"/>
      <c r="CB560" s="41"/>
      <c r="CC560" s="41">
        <v>0.34</v>
      </c>
      <c r="CD560" s="41"/>
      <c r="CE560" s="41"/>
      <c r="CF560" s="41"/>
      <c r="CG560" s="41"/>
      <c r="CH560" s="41"/>
      <c r="CI560" s="41"/>
      <c r="CJ560" s="41"/>
      <c r="CK560" s="41"/>
      <c r="CL560" s="41"/>
      <c r="CM560" s="41"/>
      <c r="CN560" s="41">
        <v>0.06</v>
      </c>
      <c r="CO560" s="41">
        <v>0.06</v>
      </c>
      <c r="CP560" s="41">
        <v>0.06</v>
      </c>
      <c r="CQ560" s="41">
        <v>0.06</v>
      </c>
      <c r="CR560" s="41"/>
      <c r="CS560" s="41"/>
      <c r="CT560" s="41"/>
      <c r="CU560" s="41"/>
      <c r="CV560" s="41"/>
      <c r="CW560" s="41"/>
      <c r="CX560" s="41"/>
      <c r="CY560" s="41"/>
      <c r="CZ560" s="41"/>
      <c r="DA560" s="41"/>
      <c r="DB560" s="41"/>
      <c r="DC560" s="41"/>
      <c r="DD560" s="41"/>
      <c r="DE560" s="41"/>
      <c r="DF560" s="41"/>
      <c r="DG560" s="41"/>
      <c r="DH560" s="41"/>
      <c r="DI560" s="41"/>
      <c r="DJ560" s="41">
        <v>0.06</v>
      </c>
      <c r="DK560" s="41">
        <v>0.06</v>
      </c>
      <c r="DL560" s="41">
        <v>0.06</v>
      </c>
      <c r="DM560" s="41">
        <v>0.06</v>
      </c>
      <c r="DN560" s="41"/>
      <c r="DO560" s="41">
        <v>0.06</v>
      </c>
      <c r="DP560" s="41">
        <v>0.06</v>
      </c>
      <c r="DQ560" s="41"/>
      <c r="DR560" s="41">
        <v>0.06</v>
      </c>
      <c r="DS560" s="43"/>
      <c r="DT560" s="44">
        <f t="shared" ref="DT560" si="542">SUM(F560:DR560)</f>
        <v>1.0000000000000004</v>
      </c>
    </row>
    <row r="561" spans="2:124" s="13" customFormat="1">
      <c r="B561" s="4">
        <f>'6.1Personnel List'!B562</f>
        <v>549</v>
      </c>
      <c r="C561" s="45" t="s">
        <v>740</v>
      </c>
      <c r="D561" s="45" t="str">
        <f>'6.1Personnel List'!D562</f>
        <v>Administrative Aide III</v>
      </c>
      <c r="E561" s="45" t="str">
        <f>'6.1Personnel List'!H562</f>
        <v>FT</v>
      </c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1"/>
      <c r="AH561" s="41"/>
      <c r="AI561" s="41"/>
      <c r="AJ561" s="41"/>
      <c r="AK561" s="41"/>
      <c r="AL561" s="41"/>
      <c r="AM561" s="41"/>
      <c r="AN561" s="41"/>
      <c r="AO561" s="41"/>
      <c r="AP561" s="41"/>
      <c r="AQ561" s="41"/>
      <c r="AR561" s="41"/>
      <c r="AS561" s="41"/>
      <c r="AT561" s="41"/>
      <c r="AU561" s="41"/>
      <c r="AV561" s="41"/>
      <c r="AW561" s="41"/>
      <c r="AX561" s="41"/>
      <c r="AY561" s="41"/>
      <c r="AZ561" s="41"/>
      <c r="BA561" s="41"/>
      <c r="BB561" s="41"/>
      <c r="BC561" s="41"/>
      <c r="BD561" s="41"/>
      <c r="BE561" s="41"/>
      <c r="BF561" s="41"/>
      <c r="BG561" s="41"/>
      <c r="BH561" s="41"/>
      <c r="BJ561" s="41"/>
      <c r="BK561" s="41"/>
      <c r="BL561" s="41"/>
      <c r="BM561" s="41"/>
      <c r="BN561" s="41"/>
      <c r="BO561" s="41"/>
      <c r="BP561" s="41"/>
      <c r="BQ561" s="41"/>
      <c r="BR561" s="41"/>
      <c r="BS561" s="41"/>
      <c r="BT561" s="41"/>
      <c r="BU561" s="41"/>
      <c r="BV561" s="41"/>
      <c r="BW561" s="41"/>
      <c r="BX561" s="41"/>
      <c r="BY561" s="41"/>
      <c r="BZ561" s="41"/>
      <c r="CA561" s="41"/>
      <c r="CB561" s="41"/>
      <c r="CC561" s="41">
        <v>0.34</v>
      </c>
      <c r="CD561" s="41"/>
      <c r="CE561" s="41"/>
      <c r="CF561" s="41"/>
      <c r="CG561" s="41"/>
      <c r="CH561" s="41"/>
      <c r="CI561" s="41"/>
      <c r="CJ561" s="41"/>
      <c r="CK561" s="41"/>
      <c r="CL561" s="41"/>
      <c r="CM561" s="41"/>
      <c r="CN561" s="41">
        <v>0.06</v>
      </c>
      <c r="CO561" s="41">
        <v>0.06</v>
      </c>
      <c r="CP561" s="41">
        <v>0.06</v>
      </c>
      <c r="CQ561" s="41">
        <v>0.06</v>
      </c>
      <c r="CR561" s="41"/>
      <c r="CS561" s="41"/>
      <c r="CT561" s="41"/>
      <c r="CU561" s="41"/>
      <c r="CV561" s="41"/>
      <c r="CW561" s="41"/>
      <c r="CX561" s="41"/>
      <c r="CY561" s="41"/>
      <c r="CZ561" s="41"/>
      <c r="DA561" s="41"/>
      <c r="DB561" s="41"/>
      <c r="DC561" s="41"/>
      <c r="DD561" s="41"/>
      <c r="DE561" s="41"/>
      <c r="DF561" s="41"/>
      <c r="DG561" s="41"/>
      <c r="DH561" s="41"/>
      <c r="DI561" s="41"/>
      <c r="DJ561" s="41">
        <v>0.06</v>
      </c>
      <c r="DK561" s="41">
        <v>0.06</v>
      </c>
      <c r="DL561" s="41">
        <v>0.06</v>
      </c>
      <c r="DM561" s="41">
        <v>0.06</v>
      </c>
      <c r="DN561" s="41"/>
      <c r="DO561" s="41">
        <v>0.06</v>
      </c>
      <c r="DP561" s="41">
        <v>0.06</v>
      </c>
      <c r="DQ561" s="41"/>
      <c r="DR561" s="41">
        <v>0.06</v>
      </c>
      <c r="DS561" s="43"/>
      <c r="DT561" s="44">
        <f t="shared" ref="DT561" si="543">SUM(F561:DR561)</f>
        <v>1.0000000000000004</v>
      </c>
    </row>
    <row r="562" spans="2:124" s="13" customFormat="1">
      <c r="B562" s="4">
        <f>'6.1Personnel List'!B563</f>
        <v>550</v>
      </c>
      <c r="C562" s="45" t="s">
        <v>741</v>
      </c>
      <c r="D562" s="45" t="str">
        <f>'6.1Personnel List'!D563</f>
        <v>Administrative Aide III</v>
      </c>
      <c r="E562" s="45" t="str">
        <f>'6.1Personnel List'!H563</f>
        <v>FT</v>
      </c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1"/>
      <c r="AJ562" s="41"/>
      <c r="AK562" s="41"/>
      <c r="AL562" s="41"/>
      <c r="AM562" s="41"/>
      <c r="AN562" s="41"/>
      <c r="AO562" s="41"/>
      <c r="AP562" s="41"/>
      <c r="AQ562" s="41"/>
      <c r="AR562" s="41"/>
      <c r="AS562" s="41"/>
      <c r="AT562" s="41"/>
      <c r="AU562" s="41"/>
      <c r="AV562" s="41"/>
      <c r="AW562" s="41"/>
      <c r="AX562" s="41"/>
      <c r="AY562" s="41"/>
      <c r="AZ562" s="41"/>
      <c r="BA562" s="41"/>
      <c r="BB562" s="41"/>
      <c r="BC562" s="41"/>
      <c r="BD562" s="41"/>
      <c r="BE562" s="41"/>
      <c r="BF562" s="41"/>
      <c r="BG562" s="41"/>
      <c r="BH562" s="41"/>
      <c r="BJ562" s="41"/>
      <c r="BK562" s="41"/>
      <c r="BL562" s="41"/>
      <c r="BM562" s="41"/>
      <c r="BN562" s="41"/>
      <c r="BO562" s="41"/>
      <c r="BP562" s="41"/>
      <c r="BQ562" s="41"/>
      <c r="BR562" s="41"/>
      <c r="BS562" s="41"/>
      <c r="BT562" s="41"/>
      <c r="BU562" s="41"/>
      <c r="BV562" s="41"/>
      <c r="BW562" s="41"/>
      <c r="BX562" s="41"/>
      <c r="BY562" s="41"/>
      <c r="BZ562" s="41"/>
      <c r="CA562" s="41"/>
      <c r="CB562" s="41"/>
      <c r="CC562" s="41">
        <v>0.34</v>
      </c>
      <c r="CD562" s="41"/>
      <c r="CE562" s="41"/>
      <c r="CF562" s="41"/>
      <c r="CG562" s="41"/>
      <c r="CH562" s="41"/>
      <c r="CI562" s="41"/>
      <c r="CJ562" s="41"/>
      <c r="CK562" s="41"/>
      <c r="CL562" s="41"/>
      <c r="CM562" s="41"/>
      <c r="CN562" s="41">
        <v>0.06</v>
      </c>
      <c r="CO562" s="41">
        <v>0.06</v>
      </c>
      <c r="CP562" s="41">
        <v>0.06</v>
      </c>
      <c r="CQ562" s="41">
        <v>0.06</v>
      </c>
      <c r="CR562" s="41"/>
      <c r="CS562" s="41"/>
      <c r="CT562" s="41"/>
      <c r="CU562" s="41"/>
      <c r="CV562" s="41"/>
      <c r="CW562" s="41"/>
      <c r="CX562" s="41"/>
      <c r="CY562" s="41"/>
      <c r="CZ562" s="41"/>
      <c r="DA562" s="41"/>
      <c r="DB562" s="41"/>
      <c r="DC562" s="41"/>
      <c r="DD562" s="41"/>
      <c r="DE562" s="41"/>
      <c r="DF562" s="41"/>
      <c r="DG562" s="41"/>
      <c r="DH562" s="41"/>
      <c r="DI562" s="41"/>
      <c r="DJ562" s="41">
        <v>0.06</v>
      </c>
      <c r="DK562" s="41">
        <v>0.06</v>
      </c>
      <c r="DL562" s="41">
        <v>0.06</v>
      </c>
      <c r="DM562" s="41">
        <v>0.06</v>
      </c>
      <c r="DN562" s="41"/>
      <c r="DO562" s="41">
        <v>0.06</v>
      </c>
      <c r="DP562" s="41">
        <v>0.06</v>
      </c>
      <c r="DQ562" s="41"/>
      <c r="DR562" s="41">
        <v>0.06</v>
      </c>
      <c r="DS562" s="43"/>
      <c r="DT562" s="44">
        <f t="shared" ref="DT562" si="544">SUM(F562:DR562)</f>
        <v>1.0000000000000004</v>
      </c>
    </row>
    <row r="563" spans="2:124" s="13" customFormat="1">
      <c r="B563" s="4">
        <f>'6.1Personnel List'!B564</f>
        <v>551</v>
      </c>
      <c r="C563" s="45" t="s">
        <v>742</v>
      </c>
      <c r="D563" s="45" t="str">
        <f>'6.1Personnel List'!D564</f>
        <v>Administrative Aide III</v>
      </c>
      <c r="E563" s="45" t="str">
        <f>'6.1Personnel List'!H564</f>
        <v>FT</v>
      </c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1"/>
      <c r="AJ563" s="41"/>
      <c r="AK563" s="41"/>
      <c r="AL563" s="41"/>
      <c r="AM563" s="41"/>
      <c r="AN563" s="41"/>
      <c r="AO563" s="41"/>
      <c r="AP563" s="41"/>
      <c r="AQ563" s="41"/>
      <c r="AR563" s="41"/>
      <c r="AS563" s="41"/>
      <c r="AT563" s="41"/>
      <c r="AU563" s="41"/>
      <c r="AV563" s="41"/>
      <c r="AW563" s="41"/>
      <c r="AX563" s="41"/>
      <c r="AY563" s="41"/>
      <c r="AZ563" s="41"/>
      <c r="BA563" s="41"/>
      <c r="BB563" s="41"/>
      <c r="BC563" s="41"/>
      <c r="BD563" s="41"/>
      <c r="BE563" s="41"/>
      <c r="BF563" s="41"/>
      <c r="BG563" s="41"/>
      <c r="BH563" s="41"/>
      <c r="BJ563" s="41"/>
      <c r="BK563" s="41"/>
      <c r="BL563" s="41"/>
      <c r="BM563" s="41"/>
      <c r="BN563" s="41"/>
      <c r="BO563" s="41"/>
      <c r="BP563" s="41"/>
      <c r="BQ563" s="41"/>
      <c r="BR563" s="41"/>
      <c r="BS563" s="41"/>
      <c r="BT563" s="41"/>
      <c r="BU563" s="41"/>
      <c r="BV563" s="41"/>
      <c r="BW563" s="41"/>
      <c r="BX563" s="41"/>
      <c r="BY563" s="41"/>
      <c r="BZ563" s="41"/>
      <c r="CA563" s="41"/>
      <c r="CB563" s="41"/>
      <c r="CC563" s="41">
        <v>0.34</v>
      </c>
      <c r="CD563" s="41"/>
      <c r="CE563" s="41"/>
      <c r="CF563" s="41"/>
      <c r="CG563" s="41"/>
      <c r="CH563" s="41"/>
      <c r="CI563" s="41"/>
      <c r="CJ563" s="41"/>
      <c r="CK563" s="41"/>
      <c r="CL563" s="41"/>
      <c r="CM563" s="41"/>
      <c r="CN563" s="41">
        <v>0.06</v>
      </c>
      <c r="CO563" s="41">
        <v>0.06</v>
      </c>
      <c r="CP563" s="41">
        <v>0.06</v>
      </c>
      <c r="CQ563" s="41">
        <v>0.06</v>
      </c>
      <c r="CR563" s="41"/>
      <c r="CS563" s="41"/>
      <c r="CT563" s="41"/>
      <c r="CU563" s="41"/>
      <c r="CV563" s="41"/>
      <c r="CW563" s="41"/>
      <c r="CX563" s="41"/>
      <c r="CY563" s="41"/>
      <c r="CZ563" s="41"/>
      <c r="DA563" s="41"/>
      <c r="DB563" s="41"/>
      <c r="DC563" s="41"/>
      <c r="DD563" s="41"/>
      <c r="DE563" s="41"/>
      <c r="DF563" s="41"/>
      <c r="DG563" s="41"/>
      <c r="DH563" s="41"/>
      <c r="DI563" s="41"/>
      <c r="DJ563" s="41">
        <v>0.06</v>
      </c>
      <c r="DK563" s="41">
        <v>0.06</v>
      </c>
      <c r="DL563" s="41">
        <v>0.06</v>
      </c>
      <c r="DM563" s="41">
        <v>0.06</v>
      </c>
      <c r="DN563" s="41"/>
      <c r="DO563" s="41">
        <v>0.06</v>
      </c>
      <c r="DP563" s="41">
        <v>0.06</v>
      </c>
      <c r="DQ563" s="41"/>
      <c r="DR563" s="41">
        <v>0.06</v>
      </c>
      <c r="DS563" s="43"/>
      <c r="DT563" s="44">
        <f t="shared" ref="DT563" si="545">SUM(F563:DR563)</f>
        <v>1.0000000000000004</v>
      </c>
    </row>
    <row r="564" spans="2:124" s="13" customFormat="1">
      <c r="B564" s="4">
        <f>'6.1Personnel List'!B565</f>
        <v>552</v>
      </c>
      <c r="C564" s="45" t="s">
        <v>743</v>
      </c>
      <c r="D564" s="45" t="str">
        <f>'6.1Personnel List'!D565</f>
        <v>Job Order</v>
      </c>
      <c r="E564" s="45" t="str">
        <f>'6.1Personnel List'!H565</f>
        <v>FT</v>
      </c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1"/>
      <c r="AH564" s="41"/>
      <c r="AI564" s="41"/>
      <c r="AJ564" s="41"/>
      <c r="AK564" s="41"/>
      <c r="AL564" s="41"/>
      <c r="AM564" s="41"/>
      <c r="AN564" s="41"/>
      <c r="AO564" s="41"/>
      <c r="AP564" s="41"/>
      <c r="AQ564" s="41"/>
      <c r="AR564" s="41"/>
      <c r="AS564" s="41"/>
      <c r="AT564" s="41"/>
      <c r="AU564" s="41"/>
      <c r="AV564" s="41"/>
      <c r="AW564" s="41"/>
      <c r="AX564" s="41"/>
      <c r="AY564" s="41"/>
      <c r="AZ564" s="41"/>
      <c r="BA564" s="41"/>
      <c r="BB564" s="41"/>
      <c r="BC564" s="41"/>
      <c r="BD564" s="41"/>
      <c r="BE564" s="41"/>
      <c r="BF564" s="41"/>
      <c r="BG564" s="41"/>
      <c r="BH564" s="41"/>
      <c r="BJ564" s="41"/>
      <c r="BK564" s="41"/>
      <c r="BL564" s="41"/>
      <c r="BM564" s="41"/>
      <c r="BN564" s="41"/>
      <c r="BO564" s="41"/>
      <c r="BP564" s="41"/>
      <c r="BQ564" s="41"/>
      <c r="BR564" s="41"/>
      <c r="BS564" s="41"/>
      <c r="BT564" s="41"/>
      <c r="BU564" s="41"/>
      <c r="BV564" s="41"/>
      <c r="BW564" s="41"/>
      <c r="BX564" s="41"/>
      <c r="BY564" s="41"/>
      <c r="BZ564" s="41"/>
      <c r="CA564" s="41"/>
      <c r="CB564" s="41"/>
      <c r="CC564" s="41">
        <v>0.34</v>
      </c>
      <c r="CD564" s="41"/>
      <c r="CE564" s="41"/>
      <c r="CF564" s="41"/>
      <c r="CG564" s="41"/>
      <c r="CH564" s="41"/>
      <c r="CI564" s="41"/>
      <c r="CJ564" s="41"/>
      <c r="CK564" s="41"/>
      <c r="CL564" s="41"/>
      <c r="CM564" s="41"/>
      <c r="CN564" s="41">
        <v>0.06</v>
      </c>
      <c r="CO564" s="41">
        <v>0.06</v>
      </c>
      <c r="CP564" s="41">
        <v>0.06</v>
      </c>
      <c r="CQ564" s="41">
        <v>0.06</v>
      </c>
      <c r="CR564" s="41"/>
      <c r="CS564" s="41"/>
      <c r="CT564" s="41"/>
      <c r="CU564" s="41"/>
      <c r="CV564" s="41"/>
      <c r="CW564" s="41"/>
      <c r="CX564" s="41"/>
      <c r="CY564" s="41"/>
      <c r="CZ564" s="41"/>
      <c r="DA564" s="41"/>
      <c r="DB564" s="41"/>
      <c r="DC564" s="41"/>
      <c r="DD564" s="41"/>
      <c r="DE564" s="41"/>
      <c r="DF564" s="41"/>
      <c r="DG564" s="41"/>
      <c r="DH564" s="41"/>
      <c r="DI564" s="41"/>
      <c r="DJ564" s="41">
        <v>0.06</v>
      </c>
      <c r="DK564" s="41">
        <v>0.06</v>
      </c>
      <c r="DL564" s="41">
        <v>0.06</v>
      </c>
      <c r="DM564" s="41">
        <v>0.06</v>
      </c>
      <c r="DN564" s="41"/>
      <c r="DO564" s="41">
        <v>0.06</v>
      </c>
      <c r="DP564" s="41">
        <v>0.06</v>
      </c>
      <c r="DQ564" s="41"/>
      <c r="DR564" s="41">
        <v>0.06</v>
      </c>
      <c r="DS564" s="43"/>
      <c r="DT564" s="44">
        <f t="shared" ref="DT564" si="546">SUM(F564:DR564)</f>
        <v>1.0000000000000004</v>
      </c>
    </row>
    <row r="565" spans="2:124" s="13" customFormat="1">
      <c r="B565" s="4">
        <f>'6.1Personnel List'!B566</f>
        <v>553</v>
      </c>
      <c r="C565" s="45" t="s">
        <v>744</v>
      </c>
      <c r="D565" s="45" t="str">
        <f>'6.1Personnel List'!D566</f>
        <v>Job Order</v>
      </c>
      <c r="E565" s="45" t="str">
        <f>'6.1Personnel List'!H566</f>
        <v>FT</v>
      </c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1"/>
      <c r="AK565" s="41"/>
      <c r="AL565" s="41"/>
      <c r="AM565" s="41"/>
      <c r="AN565" s="41"/>
      <c r="AO565" s="41"/>
      <c r="AP565" s="41"/>
      <c r="AQ565" s="41"/>
      <c r="AR565" s="41"/>
      <c r="AS565" s="41"/>
      <c r="AT565" s="41"/>
      <c r="AU565" s="41"/>
      <c r="AV565" s="41"/>
      <c r="AW565" s="41"/>
      <c r="AX565" s="41"/>
      <c r="AY565" s="41"/>
      <c r="AZ565" s="41"/>
      <c r="BA565" s="41"/>
      <c r="BB565" s="41"/>
      <c r="BC565" s="41"/>
      <c r="BD565" s="41"/>
      <c r="BE565" s="41"/>
      <c r="BF565" s="41"/>
      <c r="BG565" s="41"/>
      <c r="BH565" s="41"/>
      <c r="BJ565" s="41"/>
      <c r="BK565" s="41"/>
      <c r="BL565" s="41"/>
      <c r="BM565" s="41"/>
      <c r="BN565" s="41"/>
      <c r="BO565" s="41"/>
      <c r="BP565" s="41"/>
      <c r="BQ565" s="41"/>
      <c r="BR565" s="41"/>
      <c r="BS565" s="41"/>
      <c r="BT565" s="41"/>
      <c r="BU565" s="41"/>
      <c r="BV565" s="41"/>
      <c r="BW565" s="41"/>
      <c r="BX565" s="41"/>
      <c r="BY565" s="41"/>
      <c r="BZ565" s="41"/>
      <c r="CA565" s="41"/>
      <c r="CB565" s="41"/>
      <c r="CC565" s="41">
        <v>0.34</v>
      </c>
      <c r="CD565" s="41"/>
      <c r="CE565" s="41"/>
      <c r="CF565" s="41"/>
      <c r="CG565" s="41"/>
      <c r="CH565" s="41"/>
      <c r="CI565" s="41"/>
      <c r="CJ565" s="41"/>
      <c r="CK565" s="41"/>
      <c r="CL565" s="41"/>
      <c r="CM565" s="41"/>
      <c r="CN565" s="41">
        <v>0.06</v>
      </c>
      <c r="CO565" s="41">
        <v>0.06</v>
      </c>
      <c r="CP565" s="41">
        <v>0.06</v>
      </c>
      <c r="CQ565" s="41">
        <v>0.06</v>
      </c>
      <c r="CR565" s="41"/>
      <c r="CS565" s="41"/>
      <c r="CT565" s="41"/>
      <c r="CU565" s="41"/>
      <c r="CV565" s="41"/>
      <c r="CW565" s="41"/>
      <c r="CX565" s="41"/>
      <c r="CY565" s="41"/>
      <c r="CZ565" s="41"/>
      <c r="DA565" s="41"/>
      <c r="DB565" s="41"/>
      <c r="DC565" s="41"/>
      <c r="DD565" s="41"/>
      <c r="DE565" s="41"/>
      <c r="DF565" s="41"/>
      <c r="DG565" s="41"/>
      <c r="DH565" s="41"/>
      <c r="DI565" s="41"/>
      <c r="DJ565" s="41">
        <v>0.06</v>
      </c>
      <c r="DK565" s="41">
        <v>0.06</v>
      </c>
      <c r="DL565" s="41">
        <v>0.06</v>
      </c>
      <c r="DM565" s="41">
        <v>0.06</v>
      </c>
      <c r="DN565" s="41"/>
      <c r="DO565" s="41">
        <v>0.06</v>
      </c>
      <c r="DP565" s="41">
        <v>0.06</v>
      </c>
      <c r="DQ565" s="41"/>
      <c r="DR565" s="41">
        <v>0.06</v>
      </c>
      <c r="DS565" s="43"/>
      <c r="DT565" s="44">
        <f t="shared" ref="DT565" si="547">SUM(F565:DR565)</f>
        <v>1.0000000000000004</v>
      </c>
    </row>
    <row r="566" spans="2:124" s="13" customFormat="1">
      <c r="B566" s="4">
        <f>'6.1Personnel List'!B567</f>
        <v>554</v>
      </c>
      <c r="C566" s="45" t="s">
        <v>745</v>
      </c>
      <c r="D566" s="45" t="str">
        <f>'6.1Personnel List'!D567</f>
        <v>Job Order</v>
      </c>
      <c r="E566" s="45" t="str">
        <f>'6.1Personnel List'!H567</f>
        <v>FT</v>
      </c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1"/>
      <c r="AK566" s="41"/>
      <c r="AL566" s="41"/>
      <c r="AM566" s="41"/>
      <c r="AN566" s="41"/>
      <c r="AO566" s="41"/>
      <c r="AP566" s="41"/>
      <c r="AQ566" s="41"/>
      <c r="AR566" s="41"/>
      <c r="AS566" s="41"/>
      <c r="AT566" s="41"/>
      <c r="AU566" s="41"/>
      <c r="AV566" s="41"/>
      <c r="AW566" s="41"/>
      <c r="AX566" s="41"/>
      <c r="AY566" s="41"/>
      <c r="AZ566" s="41"/>
      <c r="BA566" s="41"/>
      <c r="BB566" s="41"/>
      <c r="BC566" s="41"/>
      <c r="BD566" s="41"/>
      <c r="BE566" s="41"/>
      <c r="BF566" s="41"/>
      <c r="BG566" s="41"/>
      <c r="BH566" s="41"/>
      <c r="BJ566" s="41"/>
      <c r="BK566" s="41"/>
      <c r="BL566" s="41"/>
      <c r="BM566" s="41"/>
      <c r="BN566" s="41"/>
      <c r="BO566" s="41"/>
      <c r="BP566" s="41"/>
      <c r="BQ566" s="41"/>
      <c r="BR566" s="41"/>
      <c r="BS566" s="41"/>
      <c r="BT566" s="41"/>
      <c r="BU566" s="41"/>
      <c r="BV566" s="41"/>
      <c r="BW566" s="41"/>
      <c r="BX566" s="41"/>
      <c r="BY566" s="41"/>
      <c r="BZ566" s="41"/>
      <c r="CA566" s="41"/>
      <c r="CB566" s="41"/>
      <c r="CC566" s="41">
        <v>0.34</v>
      </c>
      <c r="CD566" s="41"/>
      <c r="CE566" s="41"/>
      <c r="CF566" s="41"/>
      <c r="CG566" s="41"/>
      <c r="CH566" s="41"/>
      <c r="CI566" s="41"/>
      <c r="CJ566" s="41"/>
      <c r="CK566" s="41"/>
      <c r="CL566" s="41"/>
      <c r="CM566" s="41"/>
      <c r="CN566" s="41">
        <v>0.06</v>
      </c>
      <c r="CO566" s="41">
        <v>0.06</v>
      </c>
      <c r="CP566" s="41">
        <v>0.06</v>
      </c>
      <c r="CQ566" s="41">
        <v>0.06</v>
      </c>
      <c r="CR566" s="41"/>
      <c r="CS566" s="41"/>
      <c r="CT566" s="41"/>
      <c r="CU566" s="41"/>
      <c r="CV566" s="41"/>
      <c r="CW566" s="41"/>
      <c r="CX566" s="41"/>
      <c r="CY566" s="41"/>
      <c r="CZ566" s="41"/>
      <c r="DA566" s="41"/>
      <c r="DB566" s="41"/>
      <c r="DC566" s="41"/>
      <c r="DD566" s="41"/>
      <c r="DE566" s="41"/>
      <c r="DF566" s="41"/>
      <c r="DG566" s="41"/>
      <c r="DH566" s="41"/>
      <c r="DI566" s="41"/>
      <c r="DJ566" s="41">
        <v>0.06</v>
      </c>
      <c r="DK566" s="41">
        <v>0.06</v>
      </c>
      <c r="DL566" s="41">
        <v>0.06</v>
      </c>
      <c r="DM566" s="41">
        <v>0.06</v>
      </c>
      <c r="DN566" s="41"/>
      <c r="DO566" s="41">
        <v>0.06</v>
      </c>
      <c r="DP566" s="41">
        <v>0.06</v>
      </c>
      <c r="DQ566" s="41"/>
      <c r="DR566" s="41">
        <v>0.06</v>
      </c>
      <c r="DS566" s="43"/>
      <c r="DT566" s="44">
        <f t="shared" ref="DT566" si="548">SUM(F566:DR566)</f>
        <v>1.0000000000000004</v>
      </c>
    </row>
    <row r="567" spans="2:124" s="13" customFormat="1">
      <c r="B567" s="4">
        <f>'6.1Personnel List'!B568</f>
        <v>555</v>
      </c>
      <c r="C567" s="45" t="s">
        <v>746</v>
      </c>
      <c r="D567" s="45" t="str">
        <f>'6.1Personnel List'!D568</f>
        <v>Job Order</v>
      </c>
      <c r="E567" s="45" t="str">
        <f>'6.1Personnel List'!H568</f>
        <v>FT</v>
      </c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1"/>
      <c r="AK567" s="41"/>
      <c r="AL567" s="41"/>
      <c r="AM567" s="41"/>
      <c r="AN567" s="41"/>
      <c r="AO567" s="41"/>
      <c r="AP567" s="41"/>
      <c r="AQ567" s="41"/>
      <c r="AR567" s="41"/>
      <c r="AS567" s="41"/>
      <c r="AT567" s="41"/>
      <c r="AU567" s="41"/>
      <c r="AV567" s="41"/>
      <c r="AW567" s="41"/>
      <c r="AX567" s="41"/>
      <c r="AY567" s="41"/>
      <c r="AZ567" s="41"/>
      <c r="BA567" s="41"/>
      <c r="BB567" s="41"/>
      <c r="BC567" s="41"/>
      <c r="BD567" s="41"/>
      <c r="BE567" s="41"/>
      <c r="BF567" s="41"/>
      <c r="BG567" s="41"/>
      <c r="BH567" s="41"/>
      <c r="BJ567" s="41"/>
      <c r="BK567" s="41"/>
      <c r="BL567" s="41"/>
      <c r="BM567" s="41"/>
      <c r="BN567" s="41"/>
      <c r="BO567" s="41"/>
      <c r="BP567" s="41"/>
      <c r="BQ567" s="41"/>
      <c r="BR567" s="41"/>
      <c r="BS567" s="41"/>
      <c r="BT567" s="41"/>
      <c r="BU567" s="41"/>
      <c r="BV567" s="41"/>
      <c r="BW567" s="41"/>
      <c r="BX567" s="41"/>
      <c r="BY567" s="41"/>
      <c r="BZ567" s="41"/>
      <c r="CA567" s="41"/>
      <c r="CB567" s="41"/>
      <c r="CC567" s="41">
        <v>0.34</v>
      </c>
      <c r="CD567" s="41"/>
      <c r="CE567" s="41"/>
      <c r="CF567" s="41"/>
      <c r="CG567" s="41"/>
      <c r="CH567" s="41"/>
      <c r="CI567" s="41"/>
      <c r="CJ567" s="41"/>
      <c r="CK567" s="41"/>
      <c r="CL567" s="41"/>
      <c r="CM567" s="41"/>
      <c r="CN567" s="41">
        <v>0.06</v>
      </c>
      <c r="CO567" s="41">
        <v>0.06</v>
      </c>
      <c r="CP567" s="41">
        <v>0.06</v>
      </c>
      <c r="CQ567" s="41">
        <v>0.06</v>
      </c>
      <c r="CR567" s="41"/>
      <c r="CS567" s="41"/>
      <c r="CT567" s="41"/>
      <c r="CU567" s="41"/>
      <c r="CV567" s="41"/>
      <c r="CW567" s="41"/>
      <c r="CX567" s="41"/>
      <c r="CY567" s="41"/>
      <c r="CZ567" s="41"/>
      <c r="DA567" s="41"/>
      <c r="DB567" s="41"/>
      <c r="DC567" s="41"/>
      <c r="DD567" s="41"/>
      <c r="DE567" s="41"/>
      <c r="DF567" s="41"/>
      <c r="DG567" s="41"/>
      <c r="DH567" s="41"/>
      <c r="DI567" s="41"/>
      <c r="DJ567" s="41">
        <v>0.06</v>
      </c>
      <c r="DK567" s="41">
        <v>0.06</v>
      </c>
      <c r="DL567" s="41">
        <v>0.06</v>
      </c>
      <c r="DM567" s="41">
        <v>0.06</v>
      </c>
      <c r="DN567" s="41"/>
      <c r="DO567" s="41">
        <v>0.06</v>
      </c>
      <c r="DP567" s="41">
        <v>0.06</v>
      </c>
      <c r="DQ567" s="41"/>
      <c r="DR567" s="41">
        <v>0.06</v>
      </c>
      <c r="DS567" s="43"/>
      <c r="DT567" s="44">
        <f t="shared" ref="DT567" si="549">SUM(F567:DR567)</f>
        <v>1.0000000000000004</v>
      </c>
    </row>
    <row r="568" spans="2:124" s="13" customFormat="1">
      <c r="B568" s="4">
        <f>'6.1Personnel List'!B569</f>
        <v>556</v>
      </c>
      <c r="C568" s="45" t="s">
        <v>747</v>
      </c>
      <c r="D568" s="45" t="str">
        <f>'6.1Personnel List'!D569</f>
        <v>Job Order</v>
      </c>
      <c r="E568" s="45" t="str">
        <f>'6.1Personnel List'!H569</f>
        <v>FT</v>
      </c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1"/>
      <c r="AK568" s="41"/>
      <c r="AL568" s="41"/>
      <c r="AM568" s="41"/>
      <c r="AN568" s="41"/>
      <c r="AO568" s="41"/>
      <c r="AP568" s="41"/>
      <c r="AQ568" s="41"/>
      <c r="AR568" s="41"/>
      <c r="AS568" s="41"/>
      <c r="AT568" s="41"/>
      <c r="AU568" s="41"/>
      <c r="AV568" s="41"/>
      <c r="AW568" s="41"/>
      <c r="AX568" s="41"/>
      <c r="AY568" s="41"/>
      <c r="AZ568" s="41"/>
      <c r="BA568" s="41"/>
      <c r="BB568" s="41"/>
      <c r="BC568" s="41"/>
      <c r="BD568" s="41"/>
      <c r="BE568" s="41"/>
      <c r="BF568" s="41"/>
      <c r="BG568" s="41"/>
      <c r="BH568" s="41"/>
      <c r="BJ568" s="41"/>
      <c r="BK568" s="41"/>
      <c r="BL568" s="41"/>
      <c r="BM568" s="41"/>
      <c r="BN568" s="41"/>
      <c r="BO568" s="41"/>
      <c r="BP568" s="41"/>
      <c r="BQ568" s="41"/>
      <c r="BR568" s="41"/>
      <c r="BS568" s="41"/>
      <c r="BT568" s="41"/>
      <c r="BU568" s="41"/>
      <c r="BV568" s="41"/>
      <c r="BW568" s="41"/>
      <c r="BX568" s="41"/>
      <c r="BY568" s="41"/>
      <c r="BZ568" s="41"/>
      <c r="CA568" s="41"/>
      <c r="CB568" s="41"/>
      <c r="CC568" s="41">
        <v>0.34</v>
      </c>
      <c r="CD568" s="41"/>
      <c r="CE568" s="41"/>
      <c r="CF568" s="41"/>
      <c r="CG568" s="41"/>
      <c r="CH568" s="41"/>
      <c r="CI568" s="41"/>
      <c r="CJ568" s="41"/>
      <c r="CK568" s="41"/>
      <c r="CL568" s="41"/>
      <c r="CM568" s="41"/>
      <c r="CN568" s="41">
        <v>0.06</v>
      </c>
      <c r="CO568" s="41">
        <v>0.06</v>
      </c>
      <c r="CP568" s="41">
        <v>0.06</v>
      </c>
      <c r="CQ568" s="41">
        <v>0.06</v>
      </c>
      <c r="CR568" s="41"/>
      <c r="CS568" s="41"/>
      <c r="CT568" s="41"/>
      <c r="CU568" s="41"/>
      <c r="CV568" s="41"/>
      <c r="CW568" s="41"/>
      <c r="CX568" s="41"/>
      <c r="CY568" s="41"/>
      <c r="CZ568" s="41"/>
      <c r="DA568" s="41"/>
      <c r="DB568" s="41"/>
      <c r="DC568" s="41"/>
      <c r="DD568" s="41"/>
      <c r="DE568" s="41"/>
      <c r="DF568" s="41"/>
      <c r="DG568" s="41"/>
      <c r="DH568" s="41"/>
      <c r="DI568" s="41"/>
      <c r="DJ568" s="41">
        <v>0.06</v>
      </c>
      <c r="DK568" s="41">
        <v>0.06</v>
      </c>
      <c r="DL568" s="41">
        <v>0.06</v>
      </c>
      <c r="DM568" s="41">
        <v>0.06</v>
      </c>
      <c r="DN568" s="41"/>
      <c r="DO568" s="41">
        <v>0.06</v>
      </c>
      <c r="DP568" s="41">
        <v>0.06</v>
      </c>
      <c r="DQ568" s="41"/>
      <c r="DR568" s="41">
        <v>0.06</v>
      </c>
      <c r="DS568" s="43"/>
      <c r="DT568" s="44">
        <f t="shared" ref="DT568" si="550">SUM(F568:DR568)</f>
        <v>1.0000000000000004</v>
      </c>
    </row>
    <row r="569" spans="2:124" s="13" customFormat="1">
      <c r="B569" s="4">
        <f>'6.1Personnel List'!B570</f>
        <v>557</v>
      </c>
      <c r="C569" s="45" t="s">
        <v>749</v>
      </c>
      <c r="D569" s="45" t="str">
        <f>'6.1Personnel List'!D570</f>
        <v>Pharmacist V</v>
      </c>
      <c r="E569" s="45" t="str">
        <f>'6.1Personnel List'!H570</f>
        <v>FT</v>
      </c>
      <c r="G569" s="4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  <c r="AA569" s="41"/>
      <c r="AB569" s="41"/>
      <c r="AC569" s="41"/>
      <c r="AD569" s="41"/>
      <c r="AE569" s="41"/>
      <c r="AF569" s="41"/>
      <c r="AG569" s="41"/>
      <c r="AH569" s="41"/>
      <c r="AI569" s="41"/>
      <c r="AJ569" s="41"/>
      <c r="AK569" s="41"/>
      <c r="AL569" s="41"/>
      <c r="AM569" s="41"/>
      <c r="AN569" s="41"/>
      <c r="AO569" s="41"/>
      <c r="AP569" s="41"/>
      <c r="AQ569" s="41"/>
      <c r="AR569" s="41"/>
      <c r="AS569" s="41"/>
      <c r="AT569" s="41"/>
      <c r="AU569" s="41"/>
      <c r="AV569" s="41"/>
      <c r="AW569" s="41"/>
      <c r="AX569" s="41"/>
      <c r="AY569" s="41"/>
      <c r="AZ569" s="41"/>
      <c r="BA569" s="41"/>
      <c r="BB569" s="41"/>
      <c r="BC569" s="41"/>
      <c r="BD569" s="41"/>
      <c r="BE569" s="41"/>
      <c r="BF569" s="41"/>
      <c r="BG569" s="41"/>
      <c r="BH569" s="41"/>
      <c r="BJ569" s="41"/>
      <c r="BK569" s="41"/>
      <c r="BL569" s="41"/>
      <c r="BM569" s="41"/>
      <c r="BN569" s="41"/>
      <c r="BO569" s="41"/>
      <c r="BP569" s="41"/>
      <c r="BQ569" s="41"/>
      <c r="BR569" s="41"/>
      <c r="BS569" s="41"/>
      <c r="BT569" s="41"/>
      <c r="BU569" s="41"/>
      <c r="BV569" s="41"/>
      <c r="BW569" s="41"/>
      <c r="BX569" s="41"/>
      <c r="BY569" s="41"/>
      <c r="BZ569" s="41"/>
      <c r="CA569" s="41">
        <v>0.5</v>
      </c>
      <c r="CB569" s="41"/>
      <c r="CC569" s="41"/>
      <c r="CD569" s="41"/>
      <c r="CE569" s="41">
        <v>0.5</v>
      </c>
      <c r="CF569" s="41"/>
      <c r="CG569" s="41"/>
      <c r="CH569" s="41"/>
      <c r="CI569" s="41"/>
      <c r="CJ569" s="41"/>
      <c r="CK569" s="41"/>
      <c r="CL569" s="41"/>
      <c r="CM569" s="41"/>
      <c r="CN569" s="41"/>
      <c r="CO569" s="41"/>
      <c r="CP569" s="41"/>
      <c r="CQ569" s="41"/>
      <c r="CR569" s="41"/>
      <c r="CS569" s="41"/>
      <c r="CT569" s="41"/>
      <c r="CU569" s="41"/>
      <c r="CV569" s="41"/>
      <c r="CW569" s="41"/>
      <c r="CX569" s="41"/>
      <c r="CY569" s="41"/>
      <c r="CZ569" s="41"/>
      <c r="DA569" s="41"/>
      <c r="DB569" s="41"/>
      <c r="DC569" s="41"/>
      <c r="DD569" s="41"/>
      <c r="DE569" s="41"/>
      <c r="DF569" s="41"/>
      <c r="DG569" s="41"/>
      <c r="DH569" s="41"/>
      <c r="DI569" s="41"/>
      <c r="DJ569" s="41"/>
      <c r="DK569" s="41"/>
      <c r="DL569" s="41"/>
      <c r="DM569" s="41"/>
      <c r="DN569" s="41"/>
      <c r="DO569" s="41"/>
      <c r="DP569" s="41"/>
      <c r="DQ569" s="41"/>
      <c r="DR569" s="41"/>
      <c r="DS569" s="43"/>
      <c r="DT569" s="44">
        <f t="shared" ref="DT569" si="551">SUM(F569:DR569)</f>
        <v>1</v>
      </c>
    </row>
    <row r="570" spans="2:124" s="13" customFormat="1">
      <c r="B570" s="4">
        <f>'6.1Personnel List'!B571</f>
        <v>558</v>
      </c>
      <c r="C570" s="45" t="s">
        <v>751</v>
      </c>
      <c r="D570" s="45" t="str">
        <f>'6.1Personnel List'!D571</f>
        <v>Pharmacist IV</v>
      </c>
      <c r="E570" s="45" t="str">
        <f>'6.1Personnel List'!H571</f>
        <v>FT</v>
      </c>
      <c r="G570" s="4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  <c r="AA570" s="41"/>
      <c r="AB570" s="41"/>
      <c r="AC570" s="41"/>
      <c r="AD570" s="41"/>
      <c r="AE570" s="41"/>
      <c r="AF570" s="41"/>
      <c r="AG570" s="41"/>
      <c r="AH570" s="41"/>
      <c r="AI570" s="41"/>
      <c r="AJ570" s="41"/>
      <c r="AK570" s="41"/>
      <c r="AL570" s="41"/>
      <c r="AM570" s="41"/>
      <c r="AN570" s="41"/>
      <c r="AO570" s="41"/>
      <c r="AP570" s="41"/>
      <c r="AQ570" s="41"/>
      <c r="AR570" s="41"/>
      <c r="AS570" s="41"/>
      <c r="AT570" s="41"/>
      <c r="AU570" s="41"/>
      <c r="AV570" s="41"/>
      <c r="AW570" s="41"/>
      <c r="AX570" s="41"/>
      <c r="AY570" s="41"/>
      <c r="AZ570" s="41"/>
      <c r="BA570" s="41"/>
      <c r="BB570" s="41"/>
      <c r="BC570" s="41"/>
      <c r="BD570" s="41"/>
      <c r="BE570" s="41"/>
      <c r="BF570" s="41"/>
      <c r="BG570" s="41"/>
      <c r="BH570" s="41"/>
      <c r="BJ570" s="41"/>
      <c r="BK570" s="41"/>
      <c r="BL570" s="41"/>
      <c r="BM570" s="41"/>
      <c r="BN570" s="41"/>
      <c r="BO570" s="41"/>
      <c r="BP570" s="41"/>
      <c r="BQ570" s="41"/>
      <c r="BR570" s="41"/>
      <c r="BS570" s="41"/>
      <c r="BT570" s="41"/>
      <c r="BU570" s="41"/>
      <c r="BV570" s="41"/>
      <c r="BW570" s="41"/>
      <c r="BX570" s="41"/>
      <c r="BY570" s="41"/>
      <c r="BZ570" s="41"/>
      <c r="CA570" s="41">
        <v>0.2</v>
      </c>
      <c r="CB570" s="41"/>
      <c r="CC570" s="41"/>
      <c r="CD570" s="41"/>
      <c r="CE570" s="41">
        <v>0.8</v>
      </c>
      <c r="CF570" s="41"/>
      <c r="CG570" s="41"/>
      <c r="CH570" s="41"/>
      <c r="CI570" s="41"/>
      <c r="CJ570" s="41"/>
      <c r="CK570" s="41"/>
      <c r="CL570" s="41"/>
      <c r="CM570" s="41"/>
      <c r="CN570" s="41"/>
      <c r="CO570" s="41"/>
      <c r="CP570" s="41"/>
      <c r="CQ570" s="41"/>
      <c r="CR570" s="41"/>
      <c r="CS570" s="41"/>
      <c r="CT570" s="41"/>
      <c r="CU570" s="41"/>
      <c r="CV570" s="41"/>
      <c r="CW570" s="41"/>
      <c r="CX570" s="41"/>
      <c r="CY570" s="41"/>
      <c r="CZ570" s="41"/>
      <c r="DA570" s="41"/>
      <c r="DB570" s="41"/>
      <c r="DC570" s="41"/>
      <c r="DD570" s="41"/>
      <c r="DE570" s="41"/>
      <c r="DF570" s="41"/>
      <c r="DG570" s="41"/>
      <c r="DH570" s="41"/>
      <c r="DI570" s="41"/>
      <c r="DJ570" s="41"/>
      <c r="DK570" s="41"/>
      <c r="DL570" s="41"/>
      <c r="DM570" s="41"/>
      <c r="DN570" s="41"/>
      <c r="DO570" s="41"/>
      <c r="DP570" s="41"/>
      <c r="DQ570" s="41"/>
      <c r="DR570" s="41"/>
      <c r="DS570" s="43"/>
      <c r="DT570" s="44">
        <f t="shared" ref="DT570" si="552">SUM(F570:DR570)</f>
        <v>1</v>
      </c>
    </row>
    <row r="571" spans="2:124" s="13" customFormat="1">
      <c r="B571" s="4">
        <f>'6.1Personnel List'!B572</f>
        <v>559</v>
      </c>
      <c r="C571" s="45" t="s">
        <v>753</v>
      </c>
      <c r="D571" s="45" t="str">
        <f>'6.1Personnel List'!D572</f>
        <v>Pharmacist IV</v>
      </c>
      <c r="E571" s="45" t="str">
        <f>'6.1Personnel List'!H572</f>
        <v>FT</v>
      </c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  <c r="AA571" s="41"/>
      <c r="AB571" s="41"/>
      <c r="AC571" s="41"/>
      <c r="AD571" s="41"/>
      <c r="AE571" s="41"/>
      <c r="AF571" s="41"/>
      <c r="AG571" s="41"/>
      <c r="AH571" s="41"/>
      <c r="AI571" s="41"/>
      <c r="AJ571" s="41"/>
      <c r="AK571" s="41"/>
      <c r="AL571" s="41"/>
      <c r="AM571" s="41"/>
      <c r="AN571" s="41"/>
      <c r="AO571" s="41"/>
      <c r="AP571" s="41"/>
      <c r="AQ571" s="41"/>
      <c r="AR571" s="41"/>
      <c r="AS571" s="41"/>
      <c r="AT571" s="41"/>
      <c r="AU571" s="41"/>
      <c r="AV571" s="41"/>
      <c r="AW571" s="41"/>
      <c r="AX571" s="41"/>
      <c r="AY571" s="41"/>
      <c r="AZ571" s="41"/>
      <c r="BA571" s="41"/>
      <c r="BB571" s="41"/>
      <c r="BC571" s="41"/>
      <c r="BD571" s="41"/>
      <c r="BE571" s="41"/>
      <c r="BF571" s="41"/>
      <c r="BG571" s="41"/>
      <c r="BH571" s="41"/>
      <c r="BJ571" s="41"/>
      <c r="BK571" s="41"/>
      <c r="BL571" s="41"/>
      <c r="BM571" s="41"/>
      <c r="BN571" s="41"/>
      <c r="BO571" s="41"/>
      <c r="BP571" s="41"/>
      <c r="BQ571" s="41"/>
      <c r="BR571" s="41"/>
      <c r="BS571" s="41"/>
      <c r="BT571" s="41"/>
      <c r="BU571" s="41"/>
      <c r="BV571" s="41"/>
      <c r="BW571" s="41"/>
      <c r="BX571" s="41"/>
      <c r="BY571" s="41"/>
      <c r="BZ571" s="41"/>
      <c r="CA571" s="41">
        <v>0.2</v>
      </c>
      <c r="CB571" s="41"/>
      <c r="CC571" s="41"/>
      <c r="CD571" s="41"/>
      <c r="CE571" s="41">
        <v>0.8</v>
      </c>
      <c r="CF571" s="41"/>
      <c r="CG571" s="41"/>
      <c r="CH571" s="41"/>
      <c r="CI571" s="41"/>
      <c r="CJ571" s="41"/>
      <c r="CK571" s="41"/>
      <c r="CL571" s="41"/>
      <c r="CM571" s="41"/>
      <c r="CN571" s="41"/>
      <c r="CO571" s="41"/>
      <c r="CP571" s="41"/>
      <c r="CQ571" s="41"/>
      <c r="CR571" s="41"/>
      <c r="CS571" s="41"/>
      <c r="CT571" s="41"/>
      <c r="CU571" s="41"/>
      <c r="CV571" s="41"/>
      <c r="CW571" s="41"/>
      <c r="CX571" s="41"/>
      <c r="CY571" s="41"/>
      <c r="CZ571" s="41"/>
      <c r="DA571" s="41"/>
      <c r="DB571" s="41"/>
      <c r="DC571" s="41"/>
      <c r="DD571" s="41"/>
      <c r="DE571" s="41"/>
      <c r="DF571" s="41"/>
      <c r="DG571" s="41"/>
      <c r="DH571" s="41"/>
      <c r="DI571" s="41"/>
      <c r="DJ571" s="41"/>
      <c r="DK571" s="41"/>
      <c r="DL571" s="41"/>
      <c r="DM571" s="41"/>
      <c r="DN571" s="41"/>
      <c r="DO571" s="41"/>
      <c r="DP571" s="41"/>
      <c r="DQ571" s="41"/>
      <c r="DR571" s="41"/>
      <c r="DS571" s="43"/>
      <c r="DT571" s="44">
        <f t="shared" ref="DT571" si="553">SUM(F571:DR571)</f>
        <v>1</v>
      </c>
    </row>
    <row r="572" spans="2:124" s="13" customFormat="1">
      <c r="B572" s="4">
        <f>'6.1Personnel List'!B573</f>
        <v>560</v>
      </c>
      <c r="C572" s="45" t="s">
        <v>754</v>
      </c>
      <c r="D572" s="45" t="str">
        <f>'6.1Personnel List'!D573</f>
        <v>Pharmacist II</v>
      </c>
      <c r="E572" s="45" t="str">
        <f>'6.1Personnel List'!H573</f>
        <v>FT</v>
      </c>
      <c r="G572" s="4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  <c r="AA572" s="41"/>
      <c r="AB572" s="41"/>
      <c r="AC572" s="41"/>
      <c r="AD572" s="41"/>
      <c r="AE572" s="41"/>
      <c r="AF572" s="41"/>
      <c r="AG572" s="41"/>
      <c r="AH572" s="41"/>
      <c r="AI572" s="41"/>
      <c r="AJ572" s="41"/>
      <c r="AK572" s="41"/>
      <c r="AL572" s="41"/>
      <c r="AM572" s="41"/>
      <c r="AN572" s="41"/>
      <c r="AO572" s="41"/>
      <c r="AP572" s="41"/>
      <c r="AQ572" s="41"/>
      <c r="AR572" s="41"/>
      <c r="AS572" s="41"/>
      <c r="AT572" s="41"/>
      <c r="AU572" s="41"/>
      <c r="AV572" s="41"/>
      <c r="AW572" s="41"/>
      <c r="AX572" s="41"/>
      <c r="AY572" s="41"/>
      <c r="AZ572" s="41"/>
      <c r="BA572" s="41"/>
      <c r="BB572" s="41"/>
      <c r="BC572" s="41"/>
      <c r="BD572" s="41"/>
      <c r="BE572" s="41"/>
      <c r="BF572" s="41"/>
      <c r="BG572" s="41"/>
      <c r="BH572" s="41"/>
      <c r="BJ572" s="41"/>
      <c r="BK572" s="41"/>
      <c r="BL572" s="41"/>
      <c r="BM572" s="41"/>
      <c r="BN572" s="41"/>
      <c r="BO572" s="41"/>
      <c r="BP572" s="41"/>
      <c r="BQ572" s="41"/>
      <c r="BR572" s="41"/>
      <c r="BS572" s="41"/>
      <c r="BT572" s="41"/>
      <c r="BU572" s="41"/>
      <c r="BV572" s="41"/>
      <c r="BW572" s="41"/>
      <c r="BX572" s="41"/>
      <c r="BY572" s="41"/>
      <c r="BZ572" s="41"/>
      <c r="CA572" s="41"/>
      <c r="CB572" s="41"/>
      <c r="CC572" s="41"/>
      <c r="CD572" s="41"/>
      <c r="CE572" s="41">
        <v>0.52</v>
      </c>
      <c r="CF572" s="41"/>
      <c r="CG572" s="41"/>
      <c r="CH572" s="41"/>
      <c r="CI572" s="41"/>
      <c r="CJ572" s="41"/>
      <c r="CK572" s="41"/>
      <c r="CL572" s="41"/>
      <c r="CM572" s="41">
        <v>0.03</v>
      </c>
      <c r="CN572" s="41">
        <v>0.03</v>
      </c>
      <c r="CO572" s="41">
        <v>0.03</v>
      </c>
      <c r="CP572" s="41">
        <v>0.03</v>
      </c>
      <c r="CQ572" s="41">
        <v>0.03</v>
      </c>
      <c r="CR572" s="41"/>
      <c r="CS572" s="41"/>
      <c r="CT572" s="41"/>
      <c r="CU572" s="41"/>
      <c r="CV572" s="41"/>
      <c r="CW572" s="41"/>
      <c r="CX572" s="41"/>
      <c r="CY572" s="41"/>
      <c r="CZ572" s="41"/>
      <c r="DA572" s="41"/>
      <c r="DB572" s="41">
        <v>0.03</v>
      </c>
      <c r="DC572" s="41">
        <v>0.03</v>
      </c>
      <c r="DD572" s="41">
        <v>0.03</v>
      </c>
      <c r="DE572" s="41">
        <v>0.03</v>
      </c>
      <c r="DF572" s="41"/>
      <c r="DG572" s="41"/>
      <c r="DH572" s="41"/>
      <c r="DI572" s="41"/>
      <c r="DJ572" s="41">
        <v>0.03</v>
      </c>
      <c r="DK572" s="41">
        <v>0.03</v>
      </c>
      <c r="DL572" s="41">
        <v>0.03</v>
      </c>
      <c r="DM572" s="41">
        <v>0.03</v>
      </c>
      <c r="DN572" s="41"/>
      <c r="DO572" s="41">
        <v>0.03</v>
      </c>
      <c r="DP572" s="41">
        <v>0.03</v>
      </c>
      <c r="DQ572" s="41"/>
      <c r="DR572" s="41">
        <v>0.03</v>
      </c>
      <c r="DS572" s="43"/>
      <c r="DT572" s="44">
        <f t="shared" ref="DT572" si="554">SUM(F572:DR572)</f>
        <v>1.0000000000000004</v>
      </c>
    </row>
    <row r="573" spans="2:124" s="13" customFormat="1">
      <c r="B573" s="4">
        <f>'6.1Personnel List'!B574</f>
        <v>561</v>
      </c>
      <c r="C573" s="45" t="s">
        <v>756</v>
      </c>
      <c r="D573" s="45" t="str">
        <f>'6.1Personnel List'!D574</f>
        <v>Pharmacist II</v>
      </c>
      <c r="E573" s="45" t="str">
        <f>'6.1Personnel List'!H574</f>
        <v>FT</v>
      </c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1"/>
      <c r="AH573" s="41"/>
      <c r="AI573" s="41"/>
      <c r="AJ573" s="41"/>
      <c r="AK573" s="41"/>
      <c r="AL573" s="41"/>
      <c r="AM573" s="41"/>
      <c r="AN573" s="41"/>
      <c r="AO573" s="41"/>
      <c r="AP573" s="41"/>
      <c r="AQ573" s="41"/>
      <c r="AR573" s="41"/>
      <c r="AS573" s="41"/>
      <c r="AT573" s="41"/>
      <c r="AU573" s="41"/>
      <c r="AV573" s="41"/>
      <c r="AW573" s="41"/>
      <c r="AX573" s="41"/>
      <c r="AY573" s="41"/>
      <c r="AZ573" s="41"/>
      <c r="BA573" s="41"/>
      <c r="BB573" s="41"/>
      <c r="BC573" s="41"/>
      <c r="BD573" s="41"/>
      <c r="BE573" s="41"/>
      <c r="BF573" s="41"/>
      <c r="BG573" s="41"/>
      <c r="BH573" s="41"/>
      <c r="BJ573" s="41"/>
      <c r="BK573" s="41"/>
      <c r="BL573" s="41"/>
      <c r="BM573" s="41"/>
      <c r="BN573" s="41"/>
      <c r="BO573" s="41"/>
      <c r="BP573" s="41"/>
      <c r="BQ573" s="41"/>
      <c r="BR573" s="41"/>
      <c r="BS573" s="41"/>
      <c r="BT573" s="41"/>
      <c r="BU573" s="41"/>
      <c r="BV573" s="41"/>
      <c r="BW573" s="41"/>
      <c r="BX573" s="41"/>
      <c r="BY573" s="41"/>
      <c r="BZ573" s="41"/>
      <c r="CA573" s="41"/>
      <c r="CB573" s="41"/>
      <c r="CC573" s="41"/>
      <c r="CD573" s="41"/>
      <c r="CE573" s="41">
        <v>0.52</v>
      </c>
      <c r="CF573" s="41"/>
      <c r="CG573" s="41"/>
      <c r="CH573" s="41"/>
      <c r="CI573" s="41"/>
      <c r="CJ573" s="41"/>
      <c r="CK573" s="41"/>
      <c r="CL573" s="41"/>
      <c r="CM573" s="41">
        <v>0.03</v>
      </c>
      <c r="CN573" s="41">
        <v>0.03</v>
      </c>
      <c r="CO573" s="41">
        <v>0.03</v>
      </c>
      <c r="CP573" s="41">
        <v>0.03</v>
      </c>
      <c r="CQ573" s="41">
        <v>0.03</v>
      </c>
      <c r="CR573" s="41"/>
      <c r="CS573" s="41"/>
      <c r="CT573" s="41"/>
      <c r="CU573" s="41"/>
      <c r="CV573" s="41"/>
      <c r="CW573" s="41"/>
      <c r="CX573" s="41"/>
      <c r="CY573" s="41"/>
      <c r="CZ573" s="41"/>
      <c r="DA573" s="41"/>
      <c r="DB573" s="41">
        <v>0.03</v>
      </c>
      <c r="DC573" s="41">
        <v>0.03</v>
      </c>
      <c r="DD573" s="41">
        <v>0.03</v>
      </c>
      <c r="DE573" s="41">
        <v>0.03</v>
      </c>
      <c r="DF573" s="41"/>
      <c r="DG573" s="41"/>
      <c r="DH573" s="41"/>
      <c r="DI573" s="41"/>
      <c r="DJ573" s="41">
        <v>0.03</v>
      </c>
      <c r="DK573" s="41">
        <v>0.03</v>
      </c>
      <c r="DL573" s="41">
        <v>0.03</v>
      </c>
      <c r="DM573" s="41">
        <v>0.03</v>
      </c>
      <c r="DN573" s="41"/>
      <c r="DO573" s="41">
        <v>0.03</v>
      </c>
      <c r="DP573" s="41">
        <v>0.03</v>
      </c>
      <c r="DQ573" s="41"/>
      <c r="DR573" s="41">
        <v>0.03</v>
      </c>
      <c r="DS573" s="43"/>
      <c r="DT573" s="44">
        <f t="shared" ref="DT573" si="555">SUM(F573:DR573)</f>
        <v>1.0000000000000004</v>
      </c>
    </row>
    <row r="574" spans="2:124" s="13" customFormat="1">
      <c r="B574" s="4">
        <f>'6.1Personnel List'!B575</f>
        <v>562</v>
      </c>
      <c r="C574" s="45" t="s">
        <v>757</v>
      </c>
      <c r="D574" s="45" t="str">
        <f>'6.1Personnel List'!D575</f>
        <v>Pharmacist II</v>
      </c>
      <c r="E574" s="45" t="str">
        <f>'6.1Personnel List'!H575</f>
        <v>FT</v>
      </c>
      <c r="G574" s="4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1"/>
      <c r="AH574" s="41"/>
      <c r="AI574" s="41"/>
      <c r="AJ574" s="41"/>
      <c r="AK574" s="41"/>
      <c r="AL574" s="41"/>
      <c r="AM574" s="41"/>
      <c r="AN574" s="41"/>
      <c r="AO574" s="41"/>
      <c r="AP574" s="41"/>
      <c r="AQ574" s="41"/>
      <c r="AR574" s="41"/>
      <c r="AS574" s="41"/>
      <c r="AT574" s="41"/>
      <c r="AU574" s="41"/>
      <c r="AV574" s="41"/>
      <c r="AW574" s="41"/>
      <c r="AX574" s="41"/>
      <c r="AY574" s="41"/>
      <c r="AZ574" s="41"/>
      <c r="BA574" s="41"/>
      <c r="BB574" s="41"/>
      <c r="BC574" s="41"/>
      <c r="BD574" s="41"/>
      <c r="BE574" s="41"/>
      <c r="BF574" s="41"/>
      <c r="BG574" s="41"/>
      <c r="BH574" s="41"/>
      <c r="BJ574" s="41"/>
      <c r="BK574" s="41"/>
      <c r="BL574" s="41"/>
      <c r="BM574" s="41"/>
      <c r="BN574" s="41"/>
      <c r="BO574" s="41"/>
      <c r="BP574" s="41"/>
      <c r="BQ574" s="41"/>
      <c r="BR574" s="41"/>
      <c r="BS574" s="41"/>
      <c r="BT574" s="41"/>
      <c r="BU574" s="41"/>
      <c r="BV574" s="41"/>
      <c r="BW574" s="41"/>
      <c r="BX574" s="41"/>
      <c r="BY574" s="41"/>
      <c r="BZ574" s="41"/>
      <c r="CA574" s="41"/>
      <c r="CB574" s="41"/>
      <c r="CC574" s="41"/>
      <c r="CD574" s="41"/>
      <c r="CE574" s="41">
        <v>0.52</v>
      </c>
      <c r="CF574" s="41"/>
      <c r="CG574" s="41"/>
      <c r="CH574" s="41"/>
      <c r="CI574" s="41"/>
      <c r="CJ574" s="41"/>
      <c r="CK574" s="41"/>
      <c r="CL574" s="41"/>
      <c r="CM574" s="41">
        <v>0.03</v>
      </c>
      <c r="CN574" s="41">
        <v>0.03</v>
      </c>
      <c r="CO574" s="41">
        <v>0.03</v>
      </c>
      <c r="CP574" s="41">
        <v>0.03</v>
      </c>
      <c r="CQ574" s="41">
        <v>0.03</v>
      </c>
      <c r="CR574" s="41"/>
      <c r="CS574" s="41"/>
      <c r="CT574" s="41"/>
      <c r="CU574" s="41"/>
      <c r="CV574" s="41"/>
      <c r="CW574" s="41"/>
      <c r="CX574" s="41"/>
      <c r="CY574" s="41"/>
      <c r="CZ574" s="41"/>
      <c r="DA574" s="41"/>
      <c r="DB574" s="41">
        <v>0.03</v>
      </c>
      <c r="DC574" s="41">
        <v>0.03</v>
      </c>
      <c r="DD574" s="41">
        <v>0.03</v>
      </c>
      <c r="DE574" s="41">
        <v>0.03</v>
      </c>
      <c r="DF574" s="41"/>
      <c r="DG574" s="41"/>
      <c r="DH574" s="41"/>
      <c r="DI574" s="41"/>
      <c r="DJ574" s="41">
        <v>0.03</v>
      </c>
      <c r="DK574" s="41">
        <v>0.03</v>
      </c>
      <c r="DL574" s="41">
        <v>0.03</v>
      </c>
      <c r="DM574" s="41">
        <v>0.03</v>
      </c>
      <c r="DN574" s="41"/>
      <c r="DO574" s="41">
        <v>0.03</v>
      </c>
      <c r="DP574" s="41">
        <v>0.03</v>
      </c>
      <c r="DQ574" s="41"/>
      <c r="DR574" s="41">
        <v>0.03</v>
      </c>
      <c r="DS574" s="43"/>
      <c r="DT574" s="44">
        <f t="shared" ref="DT574" si="556">SUM(F574:DR574)</f>
        <v>1.0000000000000004</v>
      </c>
    </row>
    <row r="575" spans="2:124" s="13" customFormat="1">
      <c r="B575" s="4">
        <f>'6.1Personnel List'!B576</f>
        <v>563</v>
      </c>
      <c r="C575" s="45" t="s">
        <v>758</v>
      </c>
      <c r="D575" s="45" t="str">
        <f>'6.1Personnel List'!D576</f>
        <v>Pharmacist II</v>
      </c>
      <c r="E575" s="45" t="str">
        <f>'6.1Personnel List'!H576</f>
        <v>FT</v>
      </c>
      <c r="G575" s="4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1"/>
      <c r="AH575" s="41"/>
      <c r="AI575" s="41"/>
      <c r="AJ575" s="41"/>
      <c r="AK575" s="41"/>
      <c r="AL575" s="41"/>
      <c r="AM575" s="41"/>
      <c r="AN575" s="41"/>
      <c r="AO575" s="41"/>
      <c r="AP575" s="41"/>
      <c r="AQ575" s="41"/>
      <c r="AR575" s="41"/>
      <c r="AS575" s="41"/>
      <c r="AT575" s="41"/>
      <c r="AU575" s="41"/>
      <c r="AV575" s="41"/>
      <c r="AW575" s="41"/>
      <c r="AX575" s="41"/>
      <c r="AY575" s="41"/>
      <c r="AZ575" s="41"/>
      <c r="BA575" s="41"/>
      <c r="BB575" s="41"/>
      <c r="BC575" s="41"/>
      <c r="BD575" s="41"/>
      <c r="BE575" s="41"/>
      <c r="BF575" s="41"/>
      <c r="BG575" s="41"/>
      <c r="BH575" s="41"/>
      <c r="BJ575" s="41"/>
      <c r="BK575" s="41"/>
      <c r="BL575" s="41"/>
      <c r="BM575" s="41"/>
      <c r="BN575" s="41"/>
      <c r="BO575" s="41"/>
      <c r="BP575" s="41"/>
      <c r="BQ575" s="41"/>
      <c r="BR575" s="41"/>
      <c r="BS575" s="41"/>
      <c r="BT575" s="41"/>
      <c r="BU575" s="41"/>
      <c r="BV575" s="41"/>
      <c r="BW575" s="41"/>
      <c r="BX575" s="41"/>
      <c r="BY575" s="41"/>
      <c r="BZ575" s="41"/>
      <c r="CA575" s="41"/>
      <c r="CB575" s="41"/>
      <c r="CC575" s="41"/>
      <c r="CD575" s="41"/>
      <c r="CE575" s="41">
        <v>0.52</v>
      </c>
      <c r="CF575" s="41"/>
      <c r="CG575" s="41"/>
      <c r="CH575" s="41"/>
      <c r="CI575" s="41"/>
      <c r="CJ575" s="41"/>
      <c r="CK575" s="41"/>
      <c r="CL575" s="41"/>
      <c r="CM575" s="41">
        <v>0.03</v>
      </c>
      <c r="CN575" s="41">
        <v>0.03</v>
      </c>
      <c r="CO575" s="41">
        <v>0.03</v>
      </c>
      <c r="CP575" s="41">
        <v>0.03</v>
      </c>
      <c r="CQ575" s="41">
        <v>0.03</v>
      </c>
      <c r="CR575" s="41"/>
      <c r="CS575" s="41"/>
      <c r="CT575" s="41"/>
      <c r="CU575" s="41"/>
      <c r="CV575" s="41"/>
      <c r="CW575" s="41"/>
      <c r="CX575" s="41"/>
      <c r="CY575" s="41"/>
      <c r="CZ575" s="41"/>
      <c r="DA575" s="41"/>
      <c r="DB575" s="41">
        <v>0.03</v>
      </c>
      <c r="DC575" s="41">
        <v>0.03</v>
      </c>
      <c r="DD575" s="41">
        <v>0.03</v>
      </c>
      <c r="DE575" s="41">
        <v>0.03</v>
      </c>
      <c r="DF575" s="41"/>
      <c r="DG575" s="41"/>
      <c r="DH575" s="41"/>
      <c r="DI575" s="41"/>
      <c r="DJ575" s="41">
        <v>0.03</v>
      </c>
      <c r="DK575" s="41">
        <v>0.03</v>
      </c>
      <c r="DL575" s="41">
        <v>0.03</v>
      </c>
      <c r="DM575" s="41">
        <v>0.03</v>
      </c>
      <c r="DN575" s="41"/>
      <c r="DO575" s="41">
        <v>0.03</v>
      </c>
      <c r="DP575" s="41">
        <v>0.03</v>
      </c>
      <c r="DQ575" s="41"/>
      <c r="DR575" s="41">
        <v>0.03</v>
      </c>
      <c r="DS575" s="43"/>
      <c r="DT575" s="44">
        <f t="shared" ref="DT575" si="557">SUM(F575:DR575)</f>
        <v>1.0000000000000004</v>
      </c>
    </row>
    <row r="576" spans="2:124" s="13" customFormat="1">
      <c r="B576" s="4">
        <f>'6.1Personnel List'!B577</f>
        <v>564</v>
      </c>
      <c r="C576" s="45" t="s">
        <v>759</v>
      </c>
      <c r="D576" s="45" t="str">
        <f>'6.1Personnel List'!D577</f>
        <v>Pharmacist II</v>
      </c>
      <c r="E576" s="45" t="str">
        <f>'6.1Personnel List'!H577</f>
        <v>FT</v>
      </c>
      <c r="G576" s="4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1"/>
      <c r="AH576" s="41"/>
      <c r="AI576" s="41"/>
      <c r="AJ576" s="41"/>
      <c r="AK576" s="41"/>
      <c r="AL576" s="41"/>
      <c r="AM576" s="41"/>
      <c r="AN576" s="41"/>
      <c r="AO576" s="41"/>
      <c r="AP576" s="41"/>
      <c r="AQ576" s="41"/>
      <c r="AR576" s="41"/>
      <c r="AS576" s="41"/>
      <c r="AT576" s="41"/>
      <c r="AU576" s="41"/>
      <c r="AV576" s="41"/>
      <c r="AW576" s="41"/>
      <c r="AX576" s="41"/>
      <c r="AY576" s="41"/>
      <c r="AZ576" s="41"/>
      <c r="BA576" s="41"/>
      <c r="BB576" s="41"/>
      <c r="BC576" s="41"/>
      <c r="BD576" s="41"/>
      <c r="BE576" s="41"/>
      <c r="BF576" s="41"/>
      <c r="BG576" s="41"/>
      <c r="BH576" s="41"/>
      <c r="BJ576" s="41"/>
      <c r="BK576" s="41"/>
      <c r="BL576" s="41"/>
      <c r="BM576" s="41"/>
      <c r="BN576" s="41"/>
      <c r="BO576" s="41"/>
      <c r="BP576" s="41"/>
      <c r="BQ576" s="41"/>
      <c r="BR576" s="41"/>
      <c r="BS576" s="41"/>
      <c r="BT576" s="41"/>
      <c r="BU576" s="41"/>
      <c r="BV576" s="41"/>
      <c r="BW576" s="41"/>
      <c r="BX576" s="41"/>
      <c r="BY576" s="41"/>
      <c r="BZ576" s="41"/>
      <c r="CA576" s="41"/>
      <c r="CB576" s="41"/>
      <c r="CC576" s="41"/>
      <c r="CD576" s="41"/>
      <c r="CE576" s="41">
        <v>0.52</v>
      </c>
      <c r="CF576" s="41"/>
      <c r="CG576" s="41"/>
      <c r="CH576" s="41"/>
      <c r="CI576" s="41"/>
      <c r="CJ576" s="41"/>
      <c r="CK576" s="41"/>
      <c r="CL576" s="41"/>
      <c r="CM576" s="41">
        <v>0.03</v>
      </c>
      <c r="CN576" s="41">
        <v>0.03</v>
      </c>
      <c r="CO576" s="41">
        <v>0.03</v>
      </c>
      <c r="CP576" s="41">
        <v>0.03</v>
      </c>
      <c r="CQ576" s="41">
        <v>0.03</v>
      </c>
      <c r="CR576" s="41"/>
      <c r="CS576" s="41"/>
      <c r="CT576" s="41"/>
      <c r="CU576" s="41"/>
      <c r="CV576" s="41"/>
      <c r="CW576" s="41"/>
      <c r="CX576" s="41"/>
      <c r="CY576" s="41"/>
      <c r="CZ576" s="41"/>
      <c r="DA576" s="41"/>
      <c r="DB576" s="41">
        <v>0.03</v>
      </c>
      <c r="DC576" s="41">
        <v>0.03</v>
      </c>
      <c r="DD576" s="41">
        <v>0.03</v>
      </c>
      <c r="DE576" s="41">
        <v>0.03</v>
      </c>
      <c r="DF576" s="41"/>
      <c r="DG576" s="41"/>
      <c r="DH576" s="41"/>
      <c r="DI576" s="41"/>
      <c r="DJ576" s="41">
        <v>0.03</v>
      </c>
      <c r="DK576" s="41">
        <v>0.03</v>
      </c>
      <c r="DL576" s="41">
        <v>0.03</v>
      </c>
      <c r="DM576" s="41">
        <v>0.03</v>
      </c>
      <c r="DN576" s="41"/>
      <c r="DO576" s="41">
        <v>0.03</v>
      </c>
      <c r="DP576" s="41">
        <v>0.03</v>
      </c>
      <c r="DQ576" s="41"/>
      <c r="DR576" s="41">
        <v>0.03</v>
      </c>
      <c r="DS576" s="43"/>
      <c r="DT576" s="44">
        <f t="shared" ref="DT576" si="558">SUM(F576:DR576)</f>
        <v>1.0000000000000004</v>
      </c>
    </row>
    <row r="577" spans="2:124" s="13" customFormat="1">
      <c r="B577" s="4">
        <f>'6.1Personnel List'!B578</f>
        <v>565</v>
      </c>
      <c r="C577" s="45" t="s">
        <v>760</v>
      </c>
      <c r="D577" s="45" t="str">
        <f>'6.1Personnel List'!D578</f>
        <v>Pharmacist II</v>
      </c>
      <c r="E577" s="45" t="str">
        <f>'6.1Personnel List'!H578</f>
        <v>FT</v>
      </c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1"/>
      <c r="AH577" s="41"/>
      <c r="AI577" s="41"/>
      <c r="AJ577" s="41"/>
      <c r="AK577" s="41"/>
      <c r="AL577" s="41"/>
      <c r="AM577" s="41"/>
      <c r="AN577" s="41"/>
      <c r="AO577" s="41"/>
      <c r="AP577" s="41"/>
      <c r="AQ577" s="41"/>
      <c r="AR577" s="41"/>
      <c r="AS577" s="41"/>
      <c r="AT577" s="41"/>
      <c r="AU577" s="41"/>
      <c r="AV577" s="41"/>
      <c r="AW577" s="41"/>
      <c r="AX577" s="41"/>
      <c r="AY577" s="41"/>
      <c r="AZ577" s="41"/>
      <c r="BA577" s="41"/>
      <c r="BB577" s="41"/>
      <c r="BC577" s="41"/>
      <c r="BD577" s="41"/>
      <c r="BE577" s="41"/>
      <c r="BF577" s="41"/>
      <c r="BG577" s="41"/>
      <c r="BH577" s="41"/>
      <c r="BJ577" s="41"/>
      <c r="BK577" s="41"/>
      <c r="BL577" s="41"/>
      <c r="BM577" s="41"/>
      <c r="BN577" s="41"/>
      <c r="BO577" s="41"/>
      <c r="BP577" s="41"/>
      <c r="BQ577" s="41"/>
      <c r="BR577" s="41"/>
      <c r="BS577" s="41"/>
      <c r="BT577" s="41"/>
      <c r="BU577" s="41"/>
      <c r="BV577" s="41"/>
      <c r="BW577" s="41"/>
      <c r="BX577" s="41"/>
      <c r="BY577" s="41"/>
      <c r="BZ577" s="41"/>
      <c r="CA577" s="41"/>
      <c r="CB577" s="41"/>
      <c r="CC577" s="41"/>
      <c r="CD577" s="41"/>
      <c r="CE577" s="41">
        <v>0.52</v>
      </c>
      <c r="CF577" s="41"/>
      <c r="CG577" s="41"/>
      <c r="CH577" s="41"/>
      <c r="CI577" s="41"/>
      <c r="CJ577" s="41"/>
      <c r="CK577" s="41"/>
      <c r="CL577" s="41"/>
      <c r="CM577" s="41">
        <v>0.03</v>
      </c>
      <c r="CN577" s="41">
        <v>0.03</v>
      </c>
      <c r="CO577" s="41">
        <v>0.03</v>
      </c>
      <c r="CP577" s="41">
        <v>0.03</v>
      </c>
      <c r="CQ577" s="41">
        <v>0.03</v>
      </c>
      <c r="CR577" s="41"/>
      <c r="CS577" s="41"/>
      <c r="CT577" s="41"/>
      <c r="CU577" s="41"/>
      <c r="CV577" s="41"/>
      <c r="CW577" s="41"/>
      <c r="CX577" s="41"/>
      <c r="CY577" s="41"/>
      <c r="CZ577" s="41"/>
      <c r="DA577" s="41"/>
      <c r="DB577" s="41">
        <v>0.03</v>
      </c>
      <c r="DC577" s="41">
        <v>0.03</v>
      </c>
      <c r="DD577" s="41">
        <v>0.03</v>
      </c>
      <c r="DE577" s="41">
        <v>0.03</v>
      </c>
      <c r="DF577" s="41"/>
      <c r="DG577" s="41"/>
      <c r="DH577" s="41"/>
      <c r="DI577" s="41"/>
      <c r="DJ577" s="41">
        <v>0.03</v>
      </c>
      <c r="DK577" s="41">
        <v>0.03</v>
      </c>
      <c r="DL577" s="41">
        <v>0.03</v>
      </c>
      <c r="DM577" s="41">
        <v>0.03</v>
      </c>
      <c r="DN577" s="41"/>
      <c r="DO577" s="41">
        <v>0.03</v>
      </c>
      <c r="DP577" s="41">
        <v>0.03</v>
      </c>
      <c r="DQ577" s="41"/>
      <c r="DR577" s="41">
        <v>0.03</v>
      </c>
      <c r="DS577" s="43"/>
      <c r="DT577" s="44">
        <f t="shared" ref="DT577" si="559">SUM(F577:DR577)</f>
        <v>1.0000000000000004</v>
      </c>
    </row>
    <row r="578" spans="2:124" s="13" customFormat="1">
      <c r="B578" s="4">
        <f>'6.1Personnel List'!B579</f>
        <v>566</v>
      </c>
      <c r="C578" s="45" t="s">
        <v>761</v>
      </c>
      <c r="D578" s="45" t="str">
        <f>'6.1Personnel List'!D579</f>
        <v>Pharmacist II</v>
      </c>
      <c r="E578" s="45" t="str">
        <f>'6.1Personnel List'!H579</f>
        <v>FT</v>
      </c>
      <c r="G578" s="4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1"/>
      <c r="AK578" s="41"/>
      <c r="AL578" s="41"/>
      <c r="AM578" s="41"/>
      <c r="AN578" s="41"/>
      <c r="AO578" s="41"/>
      <c r="AP578" s="41"/>
      <c r="AQ578" s="41"/>
      <c r="AR578" s="41"/>
      <c r="AS578" s="41"/>
      <c r="AT578" s="41"/>
      <c r="AU578" s="41"/>
      <c r="AV578" s="41"/>
      <c r="AW578" s="41"/>
      <c r="AX578" s="41"/>
      <c r="AY578" s="41"/>
      <c r="AZ578" s="41"/>
      <c r="BA578" s="41"/>
      <c r="BB578" s="41"/>
      <c r="BC578" s="41"/>
      <c r="BD578" s="41"/>
      <c r="BE578" s="41"/>
      <c r="BF578" s="41"/>
      <c r="BG578" s="41"/>
      <c r="BH578" s="41"/>
      <c r="BJ578" s="41"/>
      <c r="BK578" s="41"/>
      <c r="BL578" s="41"/>
      <c r="BM578" s="41"/>
      <c r="BN578" s="41"/>
      <c r="BO578" s="41"/>
      <c r="BP578" s="41"/>
      <c r="BQ578" s="41"/>
      <c r="BR578" s="41"/>
      <c r="BS578" s="41"/>
      <c r="BT578" s="41"/>
      <c r="BU578" s="41"/>
      <c r="BV578" s="41"/>
      <c r="BW578" s="41"/>
      <c r="BX578" s="41"/>
      <c r="BY578" s="41"/>
      <c r="BZ578" s="41"/>
      <c r="CA578" s="41"/>
      <c r="CB578" s="41"/>
      <c r="CC578" s="41"/>
      <c r="CD578" s="41"/>
      <c r="CE578" s="41">
        <v>0.52</v>
      </c>
      <c r="CF578" s="41"/>
      <c r="CG578" s="41"/>
      <c r="CH578" s="41"/>
      <c r="CI578" s="41"/>
      <c r="CJ578" s="41"/>
      <c r="CK578" s="41"/>
      <c r="CL578" s="41"/>
      <c r="CM578" s="41">
        <v>0.03</v>
      </c>
      <c r="CN578" s="41">
        <v>0.03</v>
      </c>
      <c r="CO578" s="41">
        <v>0.03</v>
      </c>
      <c r="CP578" s="41">
        <v>0.03</v>
      </c>
      <c r="CQ578" s="41">
        <v>0.03</v>
      </c>
      <c r="CR578" s="41"/>
      <c r="CS578" s="41"/>
      <c r="CT578" s="41"/>
      <c r="CU578" s="41"/>
      <c r="CV578" s="41"/>
      <c r="CW578" s="41"/>
      <c r="CX578" s="41"/>
      <c r="CY578" s="41"/>
      <c r="CZ578" s="41"/>
      <c r="DA578" s="41"/>
      <c r="DB578" s="41">
        <v>0.03</v>
      </c>
      <c r="DC578" s="41">
        <v>0.03</v>
      </c>
      <c r="DD578" s="41">
        <v>0.03</v>
      </c>
      <c r="DE578" s="41">
        <v>0.03</v>
      </c>
      <c r="DF578" s="41"/>
      <c r="DG578" s="41"/>
      <c r="DH578" s="41"/>
      <c r="DI578" s="41"/>
      <c r="DJ578" s="41">
        <v>0.03</v>
      </c>
      <c r="DK578" s="41">
        <v>0.03</v>
      </c>
      <c r="DL578" s="41">
        <v>0.03</v>
      </c>
      <c r="DM578" s="41">
        <v>0.03</v>
      </c>
      <c r="DN578" s="41"/>
      <c r="DO578" s="41">
        <v>0.03</v>
      </c>
      <c r="DP578" s="41">
        <v>0.03</v>
      </c>
      <c r="DQ578" s="41"/>
      <c r="DR578" s="41">
        <v>0.03</v>
      </c>
      <c r="DS578" s="43"/>
      <c r="DT578" s="44">
        <f t="shared" ref="DT578" si="560">SUM(F578:DR578)</f>
        <v>1.0000000000000004</v>
      </c>
    </row>
    <row r="579" spans="2:124" s="13" customFormat="1">
      <c r="B579" s="4">
        <f>'6.1Personnel List'!B580</f>
        <v>567</v>
      </c>
      <c r="C579" s="45" t="s">
        <v>762</v>
      </c>
      <c r="D579" s="45" t="str">
        <f>'6.1Personnel List'!D580</f>
        <v>Pharmacist II</v>
      </c>
      <c r="E579" s="45" t="str">
        <f>'6.1Personnel List'!H580</f>
        <v>FT</v>
      </c>
      <c r="G579" s="4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1"/>
      <c r="AH579" s="41"/>
      <c r="AI579" s="41"/>
      <c r="AJ579" s="41"/>
      <c r="AK579" s="41"/>
      <c r="AL579" s="41"/>
      <c r="AM579" s="41"/>
      <c r="AN579" s="41"/>
      <c r="AO579" s="41"/>
      <c r="AP579" s="41"/>
      <c r="AQ579" s="41"/>
      <c r="AR579" s="41"/>
      <c r="AS579" s="41"/>
      <c r="AT579" s="41"/>
      <c r="AU579" s="41"/>
      <c r="AV579" s="41"/>
      <c r="AW579" s="41"/>
      <c r="AX579" s="41"/>
      <c r="AY579" s="41"/>
      <c r="AZ579" s="41"/>
      <c r="BA579" s="41"/>
      <c r="BB579" s="41"/>
      <c r="BC579" s="41"/>
      <c r="BD579" s="41"/>
      <c r="BE579" s="41"/>
      <c r="BF579" s="41"/>
      <c r="BG579" s="41"/>
      <c r="BH579" s="41"/>
      <c r="BJ579" s="41"/>
      <c r="BK579" s="41"/>
      <c r="BL579" s="41"/>
      <c r="BM579" s="41"/>
      <c r="BN579" s="41"/>
      <c r="BO579" s="41"/>
      <c r="BP579" s="41"/>
      <c r="BQ579" s="41"/>
      <c r="BR579" s="41"/>
      <c r="BS579" s="41"/>
      <c r="BT579" s="41"/>
      <c r="BU579" s="41"/>
      <c r="BV579" s="41"/>
      <c r="BW579" s="41"/>
      <c r="BX579" s="41"/>
      <c r="BY579" s="41"/>
      <c r="BZ579" s="41"/>
      <c r="CA579" s="41"/>
      <c r="CB579" s="41"/>
      <c r="CC579" s="41"/>
      <c r="CD579" s="41"/>
      <c r="CE579" s="41">
        <v>0.52</v>
      </c>
      <c r="CF579" s="41"/>
      <c r="CG579" s="41"/>
      <c r="CH579" s="41"/>
      <c r="CI579" s="41"/>
      <c r="CJ579" s="41"/>
      <c r="CK579" s="41"/>
      <c r="CL579" s="41"/>
      <c r="CM579" s="41">
        <v>0.03</v>
      </c>
      <c r="CN579" s="41">
        <v>0.03</v>
      </c>
      <c r="CO579" s="41">
        <v>0.03</v>
      </c>
      <c r="CP579" s="41">
        <v>0.03</v>
      </c>
      <c r="CQ579" s="41">
        <v>0.03</v>
      </c>
      <c r="CR579" s="41"/>
      <c r="CS579" s="41"/>
      <c r="CT579" s="41"/>
      <c r="CU579" s="41"/>
      <c r="CV579" s="41"/>
      <c r="CW579" s="41"/>
      <c r="CX579" s="41"/>
      <c r="CY579" s="41"/>
      <c r="CZ579" s="41"/>
      <c r="DA579" s="41"/>
      <c r="DB579" s="41">
        <v>0.03</v>
      </c>
      <c r="DC579" s="41">
        <v>0.03</v>
      </c>
      <c r="DD579" s="41">
        <v>0.03</v>
      </c>
      <c r="DE579" s="41">
        <v>0.03</v>
      </c>
      <c r="DF579" s="41"/>
      <c r="DG579" s="41"/>
      <c r="DH579" s="41"/>
      <c r="DI579" s="41"/>
      <c r="DJ579" s="41">
        <v>0.03</v>
      </c>
      <c r="DK579" s="41">
        <v>0.03</v>
      </c>
      <c r="DL579" s="41">
        <v>0.03</v>
      </c>
      <c r="DM579" s="41">
        <v>0.03</v>
      </c>
      <c r="DN579" s="41"/>
      <c r="DO579" s="41">
        <v>0.03</v>
      </c>
      <c r="DP579" s="41">
        <v>0.03</v>
      </c>
      <c r="DQ579" s="41"/>
      <c r="DR579" s="41">
        <v>0.03</v>
      </c>
      <c r="DS579" s="43"/>
      <c r="DT579" s="44">
        <f t="shared" ref="DT579" si="561">SUM(F579:DR579)</f>
        <v>1.0000000000000004</v>
      </c>
    </row>
    <row r="580" spans="2:124" s="13" customFormat="1">
      <c r="B580" s="4">
        <f>'6.1Personnel List'!B581</f>
        <v>568</v>
      </c>
      <c r="C580" s="45" t="s">
        <v>763</v>
      </c>
      <c r="D580" s="45" t="str">
        <f>'6.1Personnel List'!D581</f>
        <v>Pharmacist II</v>
      </c>
      <c r="E580" s="45" t="str">
        <f>'6.1Personnel List'!H581</f>
        <v>FT</v>
      </c>
      <c r="G580" s="4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1"/>
      <c r="AK580" s="41"/>
      <c r="AL580" s="41"/>
      <c r="AM580" s="41"/>
      <c r="AN580" s="41"/>
      <c r="AO580" s="41"/>
      <c r="AP580" s="41"/>
      <c r="AQ580" s="41"/>
      <c r="AR580" s="41"/>
      <c r="AS580" s="41"/>
      <c r="AT580" s="41"/>
      <c r="AU580" s="41"/>
      <c r="AV580" s="41"/>
      <c r="AW580" s="41"/>
      <c r="AX580" s="41"/>
      <c r="AY580" s="41"/>
      <c r="AZ580" s="41"/>
      <c r="BA580" s="41"/>
      <c r="BB580" s="41"/>
      <c r="BC580" s="41"/>
      <c r="BD580" s="41"/>
      <c r="BE580" s="41"/>
      <c r="BF580" s="41"/>
      <c r="BG580" s="41"/>
      <c r="BH580" s="41"/>
      <c r="BJ580" s="41"/>
      <c r="BK580" s="41"/>
      <c r="BL580" s="41"/>
      <c r="BM580" s="41"/>
      <c r="BN580" s="41"/>
      <c r="BO580" s="41"/>
      <c r="BP580" s="41"/>
      <c r="BQ580" s="41"/>
      <c r="BR580" s="41"/>
      <c r="BS580" s="41"/>
      <c r="BT580" s="41"/>
      <c r="BU580" s="41"/>
      <c r="BV580" s="41"/>
      <c r="BW580" s="41"/>
      <c r="BX580" s="41"/>
      <c r="BY580" s="41"/>
      <c r="BZ580" s="41"/>
      <c r="CA580" s="41"/>
      <c r="CB580" s="41"/>
      <c r="CC580" s="41"/>
      <c r="CD580" s="41"/>
      <c r="CE580" s="41">
        <v>0.52</v>
      </c>
      <c r="CF580" s="41"/>
      <c r="CG580" s="41"/>
      <c r="CH580" s="41"/>
      <c r="CI580" s="41"/>
      <c r="CJ580" s="41"/>
      <c r="CK580" s="41"/>
      <c r="CL580" s="41"/>
      <c r="CM580" s="41">
        <v>0.03</v>
      </c>
      <c r="CN580" s="41">
        <v>0.03</v>
      </c>
      <c r="CO580" s="41">
        <v>0.03</v>
      </c>
      <c r="CP580" s="41">
        <v>0.03</v>
      </c>
      <c r="CQ580" s="41">
        <v>0.03</v>
      </c>
      <c r="CR580" s="41"/>
      <c r="CS580" s="41"/>
      <c r="CT580" s="41"/>
      <c r="CU580" s="41"/>
      <c r="CV580" s="41"/>
      <c r="CW580" s="41"/>
      <c r="CX580" s="41"/>
      <c r="CY580" s="41"/>
      <c r="CZ580" s="41"/>
      <c r="DA580" s="41"/>
      <c r="DB580" s="41">
        <v>0.03</v>
      </c>
      <c r="DC580" s="41">
        <v>0.03</v>
      </c>
      <c r="DD580" s="41">
        <v>0.03</v>
      </c>
      <c r="DE580" s="41">
        <v>0.03</v>
      </c>
      <c r="DF580" s="41"/>
      <c r="DG580" s="41"/>
      <c r="DH580" s="41"/>
      <c r="DI580" s="41"/>
      <c r="DJ580" s="41">
        <v>0.03</v>
      </c>
      <c r="DK580" s="41">
        <v>0.03</v>
      </c>
      <c r="DL580" s="41">
        <v>0.03</v>
      </c>
      <c r="DM580" s="41">
        <v>0.03</v>
      </c>
      <c r="DN580" s="41"/>
      <c r="DO580" s="41">
        <v>0.03</v>
      </c>
      <c r="DP580" s="41">
        <v>0.03</v>
      </c>
      <c r="DQ580" s="41"/>
      <c r="DR580" s="41">
        <v>0.03</v>
      </c>
      <c r="DS580" s="43"/>
      <c r="DT580" s="44">
        <f t="shared" ref="DT580" si="562">SUM(F580:DR580)</f>
        <v>1.0000000000000004</v>
      </c>
    </row>
    <row r="581" spans="2:124" s="13" customFormat="1">
      <c r="B581" s="4">
        <f>'6.1Personnel List'!B582</f>
        <v>569</v>
      </c>
      <c r="C581" s="45" t="s">
        <v>764</v>
      </c>
      <c r="D581" s="45" t="str">
        <f>'6.1Personnel List'!D582</f>
        <v>Pharmacist II</v>
      </c>
      <c r="E581" s="45" t="str">
        <f>'6.1Personnel List'!H582</f>
        <v>FT</v>
      </c>
      <c r="G581" s="4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  <c r="AA581" s="41"/>
      <c r="AB581" s="41"/>
      <c r="AC581" s="41"/>
      <c r="AD581" s="41"/>
      <c r="AE581" s="41"/>
      <c r="AF581" s="41"/>
      <c r="AG581" s="41"/>
      <c r="AH581" s="41"/>
      <c r="AI581" s="41"/>
      <c r="AJ581" s="41"/>
      <c r="AK581" s="41"/>
      <c r="AL581" s="41"/>
      <c r="AM581" s="41"/>
      <c r="AN581" s="41"/>
      <c r="AO581" s="41"/>
      <c r="AP581" s="41"/>
      <c r="AQ581" s="41"/>
      <c r="AR581" s="41"/>
      <c r="AS581" s="41"/>
      <c r="AT581" s="41"/>
      <c r="AU581" s="41"/>
      <c r="AV581" s="41"/>
      <c r="AW581" s="41"/>
      <c r="AX581" s="41"/>
      <c r="AY581" s="41"/>
      <c r="AZ581" s="41"/>
      <c r="BA581" s="41"/>
      <c r="BB581" s="41"/>
      <c r="BC581" s="41"/>
      <c r="BD581" s="41"/>
      <c r="BE581" s="41"/>
      <c r="BF581" s="41"/>
      <c r="BG581" s="41"/>
      <c r="BH581" s="41"/>
      <c r="BJ581" s="41"/>
      <c r="BK581" s="41"/>
      <c r="BL581" s="41"/>
      <c r="BM581" s="41"/>
      <c r="BN581" s="41"/>
      <c r="BO581" s="41"/>
      <c r="BP581" s="41"/>
      <c r="BQ581" s="41"/>
      <c r="BR581" s="41"/>
      <c r="BS581" s="41"/>
      <c r="BT581" s="41"/>
      <c r="BU581" s="41"/>
      <c r="BV581" s="41"/>
      <c r="BW581" s="41"/>
      <c r="BX581" s="41"/>
      <c r="BY581" s="41"/>
      <c r="BZ581" s="41"/>
      <c r="CA581" s="41"/>
      <c r="CB581" s="41"/>
      <c r="CC581" s="41"/>
      <c r="CD581" s="41"/>
      <c r="CE581" s="41">
        <v>0.52</v>
      </c>
      <c r="CF581" s="41"/>
      <c r="CG581" s="41"/>
      <c r="CH581" s="41"/>
      <c r="CI581" s="41"/>
      <c r="CJ581" s="41"/>
      <c r="CK581" s="41"/>
      <c r="CL581" s="41"/>
      <c r="CM581" s="41">
        <v>0.03</v>
      </c>
      <c r="CN581" s="41">
        <v>0.03</v>
      </c>
      <c r="CO581" s="41">
        <v>0.03</v>
      </c>
      <c r="CP581" s="41">
        <v>0.03</v>
      </c>
      <c r="CQ581" s="41">
        <v>0.03</v>
      </c>
      <c r="CR581" s="41"/>
      <c r="CS581" s="41"/>
      <c r="CT581" s="41"/>
      <c r="CU581" s="41"/>
      <c r="CV581" s="41"/>
      <c r="CW581" s="41"/>
      <c r="CX581" s="41"/>
      <c r="CY581" s="41"/>
      <c r="CZ581" s="41"/>
      <c r="DA581" s="41"/>
      <c r="DB581" s="41">
        <v>0.03</v>
      </c>
      <c r="DC581" s="41">
        <v>0.03</v>
      </c>
      <c r="DD581" s="41">
        <v>0.03</v>
      </c>
      <c r="DE581" s="41">
        <v>0.03</v>
      </c>
      <c r="DF581" s="41"/>
      <c r="DG581" s="41"/>
      <c r="DH581" s="41"/>
      <c r="DI581" s="41"/>
      <c r="DJ581" s="41">
        <v>0.03</v>
      </c>
      <c r="DK581" s="41">
        <v>0.03</v>
      </c>
      <c r="DL581" s="41">
        <v>0.03</v>
      </c>
      <c r="DM581" s="41">
        <v>0.03</v>
      </c>
      <c r="DN581" s="41"/>
      <c r="DO581" s="41">
        <v>0.03</v>
      </c>
      <c r="DP581" s="41">
        <v>0.03</v>
      </c>
      <c r="DQ581" s="41"/>
      <c r="DR581" s="41">
        <v>0.03</v>
      </c>
      <c r="DS581" s="43"/>
      <c r="DT581" s="44">
        <f t="shared" ref="DT581" si="563">SUM(F581:DR581)</f>
        <v>1.0000000000000004</v>
      </c>
    </row>
    <row r="582" spans="2:124" s="13" customFormat="1">
      <c r="B582" s="4">
        <f>'6.1Personnel List'!B583</f>
        <v>570</v>
      </c>
      <c r="C582" s="45" t="s">
        <v>765</v>
      </c>
      <c r="D582" s="45" t="str">
        <f>'6.1Personnel List'!D583</f>
        <v>Pharmacist II</v>
      </c>
      <c r="E582" s="45" t="str">
        <f>'6.1Personnel List'!H583</f>
        <v>FT</v>
      </c>
      <c r="G582" s="4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  <c r="AA582" s="41"/>
      <c r="AB582" s="41"/>
      <c r="AC582" s="41"/>
      <c r="AD582" s="41"/>
      <c r="AE582" s="41"/>
      <c r="AF582" s="41"/>
      <c r="AG582" s="41"/>
      <c r="AH582" s="41"/>
      <c r="AI582" s="41"/>
      <c r="AJ582" s="41"/>
      <c r="AK582" s="41"/>
      <c r="AL582" s="41"/>
      <c r="AM582" s="41"/>
      <c r="AN582" s="41"/>
      <c r="AO582" s="41"/>
      <c r="AP582" s="41"/>
      <c r="AQ582" s="41"/>
      <c r="AR582" s="41"/>
      <c r="AS582" s="41"/>
      <c r="AT582" s="41"/>
      <c r="AU582" s="41"/>
      <c r="AV582" s="41"/>
      <c r="AW582" s="41"/>
      <c r="AX582" s="41"/>
      <c r="AY582" s="41"/>
      <c r="AZ582" s="41"/>
      <c r="BA582" s="41"/>
      <c r="BB582" s="41"/>
      <c r="BC582" s="41"/>
      <c r="BD582" s="41"/>
      <c r="BE582" s="41"/>
      <c r="BF582" s="41"/>
      <c r="BG582" s="41"/>
      <c r="BH582" s="41"/>
      <c r="BJ582" s="41"/>
      <c r="BK582" s="41"/>
      <c r="BL582" s="41"/>
      <c r="BM582" s="41"/>
      <c r="BN582" s="41"/>
      <c r="BO582" s="41"/>
      <c r="BP582" s="41"/>
      <c r="BQ582" s="41"/>
      <c r="BR582" s="41"/>
      <c r="BS582" s="41"/>
      <c r="BT582" s="41"/>
      <c r="BU582" s="41"/>
      <c r="BV582" s="41"/>
      <c r="BW582" s="41"/>
      <c r="BX582" s="41"/>
      <c r="BY582" s="41"/>
      <c r="BZ582" s="41"/>
      <c r="CA582" s="41"/>
      <c r="CB582" s="41"/>
      <c r="CC582" s="41"/>
      <c r="CD582" s="41"/>
      <c r="CE582" s="41">
        <v>0.52</v>
      </c>
      <c r="CF582" s="41"/>
      <c r="CG582" s="41"/>
      <c r="CH582" s="41"/>
      <c r="CI582" s="41"/>
      <c r="CJ582" s="41"/>
      <c r="CK582" s="41"/>
      <c r="CL582" s="41"/>
      <c r="CM582" s="41">
        <v>0.03</v>
      </c>
      <c r="CN582" s="41">
        <v>0.03</v>
      </c>
      <c r="CO582" s="41">
        <v>0.03</v>
      </c>
      <c r="CP582" s="41">
        <v>0.03</v>
      </c>
      <c r="CQ582" s="41">
        <v>0.03</v>
      </c>
      <c r="CR582" s="41"/>
      <c r="CS582" s="41"/>
      <c r="CT582" s="41"/>
      <c r="CU582" s="41"/>
      <c r="CV582" s="41"/>
      <c r="CW582" s="41"/>
      <c r="CX582" s="41"/>
      <c r="CY582" s="41"/>
      <c r="CZ582" s="41"/>
      <c r="DA582" s="41"/>
      <c r="DB582" s="41">
        <v>0.03</v>
      </c>
      <c r="DC582" s="41">
        <v>0.03</v>
      </c>
      <c r="DD582" s="41">
        <v>0.03</v>
      </c>
      <c r="DE582" s="41">
        <v>0.03</v>
      </c>
      <c r="DF582" s="41"/>
      <c r="DG582" s="41"/>
      <c r="DH582" s="41"/>
      <c r="DI582" s="41"/>
      <c r="DJ582" s="41">
        <v>0.03</v>
      </c>
      <c r="DK582" s="41">
        <v>0.03</v>
      </c>
      <c r="DL582" s="41">
        <v>0.03</v>
      </c>
      <c r="DM582" s="41">
        <v>0.03</v>
      </c>
      <c r="DN582" s="41"/>
      <c r="DO582" s="41">
        <v>0.03</v>
      </c>
      <c r="DP582" s="41">
        <v>0.03</v>
      </c>
      <c r="DQ582" s="41"/>
      <c r="DR582" s="41">
        <v>0.03</v>
      </c>
      <c r="DS582" s="43"/>
      <c r="DT582" s="44">
        <f t="shared" ref="DT582" si="564">SUM(F582:DR582)</f>
        <v>1.0000000000000004</v>
      </c>
    </row>
    <row r="583" spans="2:124" s="13" customFormat="1">
      <c r="B583" s="4">
        <f>'6.1Personnel List'!B584</f>
        <v>571</v>
      </c>
      <c r="C583" s="45" t="s">
        <v>766</v>
      </c>
      <c r="D583" s="45" t="str">
        <f>'6.1Personnel List'!D584</f>
        <v>Pharmacist II</v>
      </c>
      <c r="E583" s="45" t="str">
        <f>'6.1Personnel List'!H584</f>
        <v>FT</v>
      </c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  <c r="AA583" s="41"/>
      <c r="AB583" s="41"/>
      <c r="AC583" s="41"/>
      <c r="AD583" s="41"/>
      <c r="AE583" s="41"/>
      <c r="AF583" s="41"/>
      <c r="AG583" s="41"/>
      <c r="AH583" s="41"/>
      <c r="AI583" s="41"/>
      <c r="AJ583" s="41"/>
      <c r="AK583" s="41"/>
      <c r="AL583" s="41"/>
      <c r="AM583" s="41"/>
      <c r="AN583" s="41"/>
      <c r="AO583" s="41"/>
      <c r="AP583" s="41"/>
      <c r="AQ583" s="41"/>
      <c r="AR583" s="41"/>
      <c r="AS583" s="41"/>
      <c r="AT583" s="41"/>
      <c r="AU583" s="41"/>
      <c r="AV583" s="41"/>
      <c r="AW583" s="41"/>
      <c r="AX583" s="41"/>
      <c r="AY583" s="41"/>
      <c r="AZ583" s="41"/>
      <c r="BA583" s="41"/>
      <c r="BB583" s="41"/>
      <c r="BC583" s="41"/>
      <c r="BD583" s="41"/>
      <c r="BE583" s="41"/>
      <c r="BF583" s="41"/>
      <c r="BG583" s="41"/>
      <c r="BH583" s="41"/>
      <c r="BJ583" s="41"/>
      <c r="BK583" s="41"/>
      <c r="BL583" s="41"/>
      <c r="BM583" s="41"/>
      <c r="BN583" s="41"/>
      <c r="BO583" s="41"/>
      <c r="BP583" s="41"/>
      <c r="BQ583" s="41"/>
      <c r="BR583" s="41"/>
      <c r="BS583" s="41"/>
      <c r="BT583" s="41"/>
      <c r="BU583" s="41"/>
      <c r="BV583" s="41"/>
      <c r="BW583" s="41"/>
      <c r="BX583" s="41"/>
      <c r="BY583" s="41"/>
      <c r="BZ583" s="41"/>
      <c r="CA583" s="41"/>
      <c r="CB583" s="41"/>
      <c r="CC583" s="41"/>
      <c r="CD583" s="41"/>
      <c r="CE583" s="41">
        <v>0.52</v>
      </c>
      <c r="CF583" s="41"/>
      <c r="CG583" s="41"/>
      <c r="CH583" s="41"/>
      <c r="CI583" s="41"/>
      <c r="CJ583" s="41"/>
      <c r="CK583" s="41"/>
      <c r="CL583" s="41"/>
      <c r="CM583" s="41">
        <v>0.03</v>
      </c>
      <c r="CN583" s="41">
        <v>0.03</v>
      </c>
      <c r="CO583" s="41">
        <v>0.03</v>
      </c>
      <c r="CP583" s="41">
        <v>0.03</v>
      </c>
      <c r="CQ583" s="41">
        <v>0.03</v>
      </c>
      <c r="CR583" s="41"/>
      <c r="CS583" s="41"/>
      <c r="CT583" s="41"/>
      <c r="CU583" s="41"/>
      <c r="CV583" s="41"/>
      <c r="CW583" s="41"/>
      <c r="CX583" s="41"/>
      <c r="CY583" s="41"/>
      <c r="CZ583" s="41"/>
      <c r="DA583" s="41"/>
      <c r="DB583" s="41">
        <v>0.03</v>
      </c>
      <c r="DC583" s="41">
        <v>0.03</v>
      </c>
      <c r="DD583" s="41">
        <v>0.03</v>
      </c>
      <c r="DE583" s="41">
        <v>0.03</v>
      </c>
      <c r="DF583" s="41"/>
      <c r="DG583" s="41"/>
      <c r="DH583" s="41"/>
      <c r="DI583" s="41"/>
      <c r="DJ583" s="41">
        <v>0.03</v>
      </c>
      <c r="DK583" s="41">
        <v>0.03</v>
      </c>
      <c r="DL583" s="41">
        <v>0.03</v>
      </c>
      <c r="DM583" s="41">
        <v>0.03</v>
      </c>
      <c r="DN583" s="41"/>
      <c r="DO583" s="41">
        <v>0.03</v>
      </c>
      <c r="DP583" s="41">
        <v>0.03</v>
      </c>
      <c r="DQ583" s="41"/>
      <c r="DR583" s="41">
        <v>0.03</v>
      </c>
      <c r="DS583" s="43"/>
      <c r="DT583" s="44">
        <f t="shared" ref="DT583" si="565">SUM(F583:DR583)</f>
        <v>1.0000000000000004</v>
      </c>
    </row>
    <row r="584" spans="2:124" s="13" customFormat="1">
      <c r="B584" s="4">
        <f>'6.1Personnel List'!B585</f>
        <v>572</v>
      </c>
      <c r="C584" s="45" t="s">
        <v>767</v>
      </c>
      <c r="D584" s="45" t="str">
        <f>'6.1Personnel List'!D585</f>
        <v>Pharmacist II</v>
      </c>
      <c r="E584" s="45" t="str">
        <f>'6.1Personnel List'!H585</f>
        <v>FT</v>
      </c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1"/>
      <c r="AH584" s="41"/>
      <c r="AI584" s="41"/>
      <c r="AJ584" s="41"/>
      <c r="AK584" s="41"/>
      <c r="AL584" s="41"/>
      <c r="AM584" s="41"/>
      <c r="AN584" s="41"/>
      <c r="AO584" s="41"/>
      <c r="AP584" s="41"/>
      <c r="AQ584" s="41"/>
      <c r="AR584" s="41"/>
      <c r="AS584" s="41"/>
      <c r="AT584" s="41"/>
      <c r="AU584" s="41"/>
      <c r="AV584" s="41"/>
      <c r="AW584" s="41"/>
      <c r="AX584" s="41"/>
      <c r="AY584" s="41"/>
      <c r="AZ584" s="41"/>
      <c r="BA584" s="41"/>
      <c r="BB584" s="41"/>
      <c r="BC584" s="41"/>
      <c r="BD584" s="41"/>
      <c r="BE584" s="41"/>
      <c r="BF584" s="41"/>
      <c r="BG584" s="41"/>
      <c r="BH584" s="41"/>
      <c r="BJ584" s="41"/>
      <c r="BK584" s="41"/>
      <c r="BL584" s="41"/>
      <c r="BM584" s="41"/>
      <c r="BN584" s="41"/>
      <c r="BO584" s="41"/>
      <c r="BP584" s="41"/>
      <c r="BQ584" s="41"/>
      <c r="BR584" s="41"/>
      <c r="BS584" s="41"/>
      <c r="BT584" s="41"/>
      <c r="BU584" s="41"/>
      <c r="BV584" s="41"/>
      <c r="BW584" s="41"/>
      <c r="BX584" s="41"/>
      <c r="BY584" s="41"/>
      <c r="BZ584" s="41"/>
      <c r="CA584" s="41"/>
      <c r="CB584" s="41"/>
      <c r="CC584" s="41"/>
      <c r="CD584" s="41"/>
      <c r="CE584" s="41">
        <v>0.52</v>
      </c>
      <c r="CF584" s="41"/>
      <c r="CG584" s="41"/>
      <c r="CH584" s="41"/>
      <c r="CI584" s="41"/>
      <c r="CJ584" s="41"/>
      <c r="CK584" s="41"/>
      <c r="CL584" s="41"/>
      <c r="CM584" s="41">
        <v>0.03</v>
      </c>
      <c r="CN584" s="41">
        <v>0.03</v>
      </c>
      <c r="CO584" s="41">
        <v>0.03</v>
      </c>
      <c r="CP584" s="41">
        <v>0.03</v>
      </c>
      <c r="CQ584" s="41">
        <v>0.03</v>
      </c>
      <c r="CR584" s="41"/>
      <c r="CS584" s="41"/>
      <c r="CT584" s="41"/>
      <c r="CU584" s="41"/>
      <c r="CV584" s="41"/>
      <c r="CW584" s="41"/>
      <c r="CX584" s="41"/>
      <c r="CY584" s="41"/>
      <c r="CZ584" s="41"/>
      <c r="DA584" s="41"/>
      <c r="DB584" s="41">
        <v>0.03</v>
      </c>
      <c r="DC584" s="41">
        <v>0.03</v>
      </c>
      <c r="DD584" s="41">
        <v>0.03</v>
      </c>
      <c r="DE584" s="41">
        <v>0.03</v>
      </c>
      <c r="DF584" s="41"/>
      <c r="DG584" s="41"/>
      <c r="DH584" s="41"/>
      <c r="DI584" s="41"/>
      <c r="DJ584" s="41">
        <v>0.03</v>
      </c>
      <c r="DK584" s="41">
        <v>0.03</v>
      </c>
      <c r="DL584" s="41">
        <v>0.03</v>
      </c>
      <c r="DM584" s="41">
        <v>0.03</v>
      </c>
      <c r="DN584" s="41"/>
      <c r="DO584" s="41">
        <v>0.03</v>
      </c>
      <c r="DP584" s="41">
        <v>0.03</v>
      </c>
      <c r="DQ584" s="41"/>
      <c r="DR584" s="41">
        <v>0.03</v>
      </c>
      <c r="DS584" s="43"/>
      <c r="DT584" s="44">
        <f t="shared" ref="DT584" si="566">SUM(F584:DR584)</f>
        <v>1.0000000000000004</v>
      </c>
    </row>
    <row r="585" spans="2:124" s="13" customFormat="1">
      <c r="B585" s="4">
        <f>'6.1Personnel List'!B586</f>
        <v>573</v>
      </c>
      <c r="C585" s="45" t="s">
        <v>768</v>
      </c>
      <c r="D585" s="45" t="str">
        <f>'6.1Personnel List'!D586</f>
        <v>Pharmacist II</v>
      </c>
      <c r="E585" s="45" t="str">
        <f>'6.1Personnel List'!H586</f>
        <v>FT</v>
      </c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1"/>
      <c r="AH585" s="41"/>
      <c r="AI585" s="41"/>
      <c r="AJ585" s="41"/>
      <c r="AK585" s="41"/>
      <c r="AL585" s="41"/>
      <c r="AM585" s="41"/>
      <c r="AN585" s="41"/>
      <c r="AO585" s="41"/>
      <c r="AP585" s="41"/>
      <c r="AQ585" s="41"/>
      <c r="AR585" s="41"/>
      <c r="AS585" s="41"/>
      <c r="AT585" s="41"/>
      <c r="AU585" s="41"/>
      <c r="AV585" s="41"/>
      <c r="AW585" s="41"/>
      <c r="AX585" s="41"/>
      <c r="AY585" s="41"/>
      <c r="AZ585" s="41"/>
      <c r="BA585" s="41"/>
      <c r="BB585" s="41"/>
      <c r="BC585" s="41"/>
      <c r="BD585" s="41"/>
      <c r="BE585" s="41"/>
      <c r="BF585" s="41"/>
      <c r="BG585" s="41"/>
      <c r="BH585" s="41"/>
      <c r="BJ585" s="41"/>
      <c r="BK585" s="41"/>
      <c r="BL585" s="41"/>
      <c r="BM585" s="41"/>
      <c r="BN585" s="41"/>
      <c r="BO585" s="41"/>
      <c r="BP585" s="41"/>
      <c r="BQ585" s="41"/>
      <c r="BR585" s="41"/>
      <c r="BS585" s="41"/>
      <c r="BT585" s="41"/>
      <c r="BU585" s="41"/>
      <c r="BV585" s="41"/>
      <c r="BW585" s="41"/>
      <c r="BX585" s="41"/>
      <c r="BY585" s="41"/>
      <c r="BZ585" s="41"/>
      <c r="CA585" s="41"/>
      <c r="CB585" s="41"/>
      <c r="CC585" s="41"/>
      <c r="CD585" s="41"/>
      <c r="CE585" s="41">
        <v>0.52</v>
      </c>
      <c r="CF585" s="41"/>
      <c r="CG585" s="41"/>
      <c r="CH585" s="41"/>
      <c r="CI585" s="41"/>
      <c r="CJ585" s="41"/>
      <c r="CK585" s="41"/>
      <c r="CL585" s="41"/>
      <c r="CM585" s="41">
        <v>0.03</v>
      </c>
      <c r="CN585" s="41">
        <v>0.03</v>
      </c>
      <c r="CO585" s="41">
        <v>0.03</v>
      </c>
      <c r="CP585" s="41">
        <v>0.03</v>
      </c>
      <c r="CQ585" s="41">
        <v>0.03</v>
      </c>
      <c r="CR585" s="41"/>
      <c r="CS585" s="41"/>
      <c r="CT585" s="41"/>
      <c r="CU585" s="41"/>
      <c r="CV585" s="41"/>
      <c r="CW585" s="41"/>
      <c r="CX585" s="41"/>
      <c r="CY585" s="41"/>
      <c r="CZ585" s="41"/>
      <c r="DA585" s="41"/>
      <c r="DB585" s="41">
        <v>0.03</v>
      </c>
      <c r="DC585" s="41">
        <v>0.03</v>
      </c>
      <c r="DD585" s="41">
        <v>0.03</v>
      </c>
      <c r="DE585" s="41">
        <v>0.03</v>
      </c>
      <c r="DF585" s="41"/>
      <c r="DG585" s="41"/>
      <c r="DH585" s="41"/>
      <c r="DI585" s="41"/>
      <c r="DJ585" s="41">
        <v>0.03</v>
      </c>
      <c r="DK585" s="41">
        <v>0.03</v>
      </c>
      <c r="DL585" s="41">
        <v>0.03</v>
      </c>
      <c r="DM585" s="41">
        <v>0.03</v>
      </c>
      <c r="DN585" s="41"/>
      <c r="DO585" s="41">
        <v>0.03</v>
      </c>
      <c r="DP585" s="41">
        <v>0.03</v>
      </c>
      <c r="DQ585" s="41"/>
      <c r="DR585" s="41">
        <v>0.03</v>
      </c>
      <c r="DS585" s="43"/>
      <c r="DT585" s="44">
        <f t="shared" ref="DT585" si="567">SUM(F585:DR585)</f>
        <v>1.0000000000000004</v>
      </c>
    </row>
    <row r="586" spans="2:124" s="13" customFormat="1">
      <c r="B586" s="4">
        <f>'6.1Personnel List'!B587</f>
        <v>574</v>
      </c>
      <c r="C586" s="45" t="s">
        <v>769</v>
      </c>
      <c r="D586" s="45" t="str">
        <f>'6.1Personnel List'!D587</f>
        <v>Pharmacist II</v>
      </c>
      <c r="E586" s="45" t="str">
        <f>'6.1Personnel List'!H587</f>
        <v>FT</v>
      </c>
      <c r="G586" s="4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1"/>
      <c r="AH586" s="41"/>
      <c r="AI586" s="41"/>
      <c r="AJ586" s="41"/>
      <c r="AK586" s="41"/>
      <c r="AL586" s="41"/>
      <c r="AM586" s="41"/>
      <c r="AN586" s="41"/>
      <c r="AO586" s="41"/>
      <c r="AP586" s="41"/>
      <c r="AQ586" s="41"/>
      <c r="AR586" s="41"/>
      <c r="AS586" s="41"/>
      <c r="AT586" s="41"/>
      <c r="AU586" s="41"/>
      <c r="AV586" s="41"/>
      <c r="AW586" s="41"/>
      <c r="AX586" s="41"/>
      <c r="AY586" s="41"/>
      <c r="AZ586" s="41"/>
      <c r="BA586" s="41"/>
      <c r="BB586" s="41"/>
      <c r="BC586" s="41"/>
      <c r="BD586" s="41"/>
      <c r="BE586" s="41"/>
      <c r="BF586" s="41"/>
      <c r="BG586" s="41"/>
      <c r="BH586" s="41"/>
      <c r="BJ586" s="41"/>
      <c r="BK586" s="41"/>
      <c r="BL586" s="41"/>
      <c r="BM586" s="41"/>
      <c r="BN586" s="41"/>
      <c r="BO586" s="41"/>
      <c r="BP586" s="41"/>
      <c r="BQ586" s="41"/>
      <c r="BR586" s="41"/>
      <c r="BS586" s="41"/>
      <c r="BT586" s="41"/>
      <c r="BU586" s="41"/>
      <c r="BV586" s="41"/>
      <c r="BW586" s="41"/>
      <c r="BX586" s="41"/>
      <c r="BY586" s="41"/>
      <c r="BZ586" s="41"/>
      <c r="CA586" s="41"/>
      <c r="CB586" s="41"/>
      <c r="CC586" s="41"/>
      <c r="CD586" s="41"/>
      <c r="CE586" s="41">
        <v>0.52</v>
      </c>
      <c r="CF586" s="41"/>
      <c r="CG586" s="41"/>
      <c r="CH586" s="41"/>
      <c r="CI586" s="41"/>
      <c r="CJ586" s="41"/>
      <c r="CK586" s="41"/>
      <c r="CL586" s="41"/>
      <c r="CM586" s="41">
        <v>0.03</v>
      </c>
      <c r="CN586" s="41">
        <v>0.03</v>
      </c>
      <c r="CO586" s="41">
        <v>0.03</v>
      </c>
      <c r="CP586" s="41">
        <v>0.03</v>
      </c>
      <c r="CQ586" s="41">
        <v>0.03</v>
      </c>
      <c r="CR586" s="41"/>
      <c r="CS586" s="41"/>
      <c r="CT586" s="41"/>
      <c r="CU586" s="41"/>
      <c r="CV586" s="41"/>
      <c r="CW586" s="41"/>
      <c r="CX586" s="41"/>
      <c r="CY586" s="41"/>
      <c r="CZ586" s="41"/>
      <c r="DA586" s="41"/>
      <c r="DB586" s="41">
        <v>0.03</v>
      </c>
      <c r="DC586" s="41">
        <v>0.03</v>
      </c>
      <c r="DD586" s="41">
        <v>0.03</v>
      </c>
      <c r="DE586" s="41">
        <v>0.03</v>
      </c>
      <c r="DF586" s="41"/>
      <c r="DG586" s="41"/>
      <c r="DH586" s="41"/>
      <c r="DI586" s="41"/>
      <c r="DJ586" s="41">
        <v>0.03</v>
      </c>
      <c r="DK586" s="41">
        <v>0.03</v>
      </c>
      <c r="DL586" s="41">
        <v>0.03</v>
      </c>
      <c r="DM586" s="41">
        <v>0.03</v>
      </c>
      <c r="DN586" s="41"/>
      <c r="DO586" s="41">
        <v>0.03</v>
      </c>
      <c r="DP586" s="41">
        <v>0.03</v>
      </c>
      <c r="DQ586" s="41"/>
      <c r="DR586" s="41">
        <v>0.03</v>
      </c>
      <c r="DS586" s="43"/>
      <c r="DT586" s="44">
        <f t="shared" ref="DT586" si="568">SUM(F586:DR586)</f>
        <v>1.0000000000000004</v>
      </c>
    </row>
    <row r="587" spans="2:124" s="13" customFormat="1">
      <c r="B587" s="4">
        <f>'6.1Personnel List'!B588</f>
        <v>575</v>
      </c>
      <c r="C587" s="45" t="s">
        <v>770</v>
      </c>
      <c r="D587" s="45" t="str">
        <f>'6.1Personnel List'!D588</f>
        <v>Pharmacist II</v>
      </c>
      <c r="E587" s="45" t="str">
        <f>'6.1Personnel List'!H588</f>
        <v>FT</v>
      </c>
      <c r="G587" s="4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1"/>
      <c r="AH587" s="41"/>
      <c r="AI587" s="41"/>
      <c r="AJ587" s="41"/>
      <c r="AK587" s="41"/>
      <c r="AL587" s="41"/>
      <c r="AM587" s="41"/>
      <c r="AN587" s="41"/>
      <c r="AO587" s="41"/>
      <c r="AP587" s="41"/>
      <c r="AQ587" s="41"/>
      <c r="AR587" s="41"/>
      <c r="AS587" s="41"/>
      <c r="AT587" s="41"/>
      <c r="AU587" s="41"/>
      <c r="AV587" s="41"/>
      <c r="AW587" s="41"/>
      <c r="AX587" s="41"/>
      <c r="AY587" s="41"/>
      <c r="AZ587" s="41"/>
      <c r="BA587" s="41"/>
      <c r="BB587" s="41"/>
      <c r="BC587" s="41"/>
      <c r="BD587" s="41"/>
      <c r="BE587" s="41"/>
      <c r="BF587" s="41"/>
      <c r="BG587" s="41"/>
      <c r="BH587" s="41"/>
      <c r="BJ587" s="41"/>
      <c r="BK587" s="41"/>
      <c r="BL587" s="41"/>
      <c r="BM587" s="41"/>
      <c r="BN587" s="41"/>
      <c r="BO587" s="41"/>
      <c r="BP587" s="41"/>
      <c r="BQ587" s="41"/>
      <c r="BR587" s="41"/>
      <c r="BS587" s="41"/>
      <c r="BT587" s="41"/>
      <c r="BU587" s="41"/>
      <c r="BV587" s="41"/>
      <c r="BW587" s="41"/>
      <c r="BX587" s="41"/>
      <c r="BY587" s="41"/>
      <c r="BZ587" s="41"/>
      <c r="CA587" s="41"/>
      <c r="CB587" s="41"/>
      <c r="CC587" s="41"/>
      <c r="CD587" s="41"/>
      <c r="CE587" s="41">
        <v>0.52</v>
      </c>
      <c r="CF587" s="41"/>
      <c r="CG587" s="41"/>
      <c r="CH587" s="41"/>
      <c r="CI587" s="41"/>
      <c r="CJ587" s="41"/>
      <c r="CK587" s="41"/>
      <c r="CL587" s="41"/>
      <c r="CM587" s="41">
        <v>0.03</v>
      </c>
      <c r="CN587" s="41">
        <v>0.03</v>
      </c>
      <c r="CO587" s="41">
        <v>0.03</v>
      </c>
      <c r="CP587" s="41">
        <v>0.03</v>
      </c>
      <c r="CQ587" s="41">
        <v>0.03</v>
      </c>
      <c r="CR587" s="41"/>
      <c r="CS587" s="41"/>
      <c r="CT587" s="41"/>
      <c r="CU587" s="41"/>
      <c r="CV587" s="41"/>
      <c r="CW587" s="41"/>
      <c r="CX587" s="41"/>
      <c r="CY587" s="41"/>
      <c r="CZ587" s="41"/>
      <c r="DA587" s="41"/>
      <c r="DB587" s="41">
        <v>0.03</v>
      </c>
      <c r="DC587" s="41">
        <v>0.03</v>
      </c>
      <c r="DD587" s="41">
        <v>0.03</v>
      </c>
      <c r="DE587" s="41">
        <v>0.03</v>
      </c>
      <c r="DF587" s="41"/>
      <c r="DG587" s="41"/>
      <c r="DH587" s="41"/>
      <c r="DI587" s="41"/>
      <c r="DJ587" s="41">
        <v>0.03</v>
      </c>
      <c r="DK587" s="41">
        <v>0.03</v>
      </c>
      <c r="DL587" s="41">
        <v>0.03</v>
      </c>
      <c r="DM587" s="41">
        <v>0.03</v>
      </c>
      <c r="DN587" s="41"/>
      <c r="DO587" s="41">
        <v>0.03</v>
      </c>
      <c r="DP587" s="41">
        <v>0.03</v>
      </c>
      <c r="DQ587" s="41"/>
      <c r="DR587" s="41">
        <v>0.03</v>
      </c>
      <c r="DS587" s="43"/>
      <c r="DT587" s="44">
        <f t="shared" ref="DT587" si="569">SUM(F587:DR587)</f>
        <v>1.0000000000000004</v>
      </c>
    </row>
    <row r="588" spans="2:124" s="13" customFormat="1">
      <c r="B588" s="4">
        <f>'6.1Personnel List'!B589</f>
        <v>576</v>
      </c>
      <c r="C588" s="45" t="s">
        <v>771</v>
      </c>
      <c r="D588" s="45" t="str">
        <f>'6.1Personnel List'!D589</f>
        <v>Pharmacist II</v>
      </c>
      <c r="E588" s="45" t="str">
        <f>'6.1Personnel List'!H589</f>
        <v>FT</v>
      </c>
      <c r="G588" s="4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1"/>
      <c r="AH588" s="41"/>
      <c r="AI588" s="41"/>
      <c r="AJ588" s="41"/>
      <c r="AK588" s="41"/>
      <c r="AL588" s="41"/>
      <c r="AM588" s="41"/>
      <c r="AN588" s="41"/>
      <c r="AO588" s="41"/>
      <c r="AP588" s="41"/>
      <c r="AQ588" s="41"/>
      <c r="AR588" s="41"/>
      <c r="AS588" s="41"/>
      <c r="AT588" s="41"/>
      <c r="AU588" s="41"/>
      <c r="AV588" s="41"/>
      <c r="AW588" s="41"/>
      <c r="AX588" s="41"/>
      <c r="AY588" s="41"/>
      <c r="AZ588" s="41"/>
      <c r="BA588" s="41"/>
      <c r="BB588" s="41"/>
      <c r="BC588" s="41"/>
      <c r="BD588" s="41"/>
      <c r="BE588" s="41"/>
      <c r="BF588" s="41"/>
      <c r="BG588" s="41"/>
      <c r="BH588" s="41"/>
      <c r="BJ588" s="41"/>
      <c r="BK588" s="41"/>
      <c r="BL588" s="41"/>
      <c r="BM588" s="41"/>
      <c r="BN588" s="41"/>
      <c r="BO588" s="41"/>
      <c r="BP588" s="41"/>
      <c r="BQ588" s="41"/>
      <c r="BR588" s="41"/>
      <c r="BS588" s="41"/>
      <c r="BT588" s="41"/>
      <c r="BU588" s="41"/>
      <c r="BV588" s="41"/>
      <c r="BW588" s="41"/>
      <c r="BX588" s="41"/>
      <c r="BY588" s="41"/>
      <c r="BZ588" s="41"/>
      <c r="CA588" s="41"/>
      <c r="CB588" s="41"/>
      <c r="CC588" s="41"/>
      <c r="CD588" s="41"/>
      <c r="CE588" s="41">
        <v>0.52</v>
      </c>
      <c r="CF588" s="41"/>
      <c r="CG588" s="41"/>
      <c r="CH588" s="41"/>
      <c r="CI588" s="41"/>
      <c r="CJ588" s="41"/>
      <c r="CK588" s="41"/>
      <c r="CL588" s="41"/>
      <c r="CM588" s="41">
        <v>0.03</v>
      </c>
      <c r="CN588" s="41">
        <v>0.03</v>
      </c>
      <c r="CO588" s="41">
        <v>0.03</v>
      </c>
      <c r="CP588" s="41">
        <v>0.03</v>
      </c>
      <c r="CQ588" s="41">
        <v>0.03</v>
      </c>
      <c r="CR588" s="41"/>
      <c r="CS588" s="41"/>
      <c r="CT588" s="41"/>
      <c r="CU588" s="41"/>
      <c r="CV588" s="41"/>
      <c r="CW588" s="41"/>
      <c r="CX588" s="41"/>
      <c r="CY588" s="41"/>
      <c r="CZ588" s="41"/>
      <c r="DA588" s="41"/>
      <c r="DB588" s="41">
        <v>0.03</v>
      </c>
      <c r="DC588" s="41">
        <v>0.03</v>
      </c>
      <c r="DD588" s="41">
        <v>0.03</v>
      </c>
      <c r="DE588" s="41">
        <v>0.03</v>
      </c>
      <c r="DF588" s="41"/>
      <c r="DG588" s="41"/>
      <c r="DH588" s="41"/>
      <c r="DI588" s="41"/>
      <c r="DJ588" s="41">
        <v>0.03</v>
      </c>
      <c r="DK588" s="41">
        <v>0.03</v>
      </c>
      <c r="DL588" s="41">
        <v>0.03</v>
      </c>
      <c r="DM588" s="41">
        <v>0.03</v>
      </c>
      <c r="DN588" s="41"/>
      <c r="DO588" s="41">
        <v>0.03</v>
      </c>
      <c r="DP588" s="41">
        <v>0.03</v>
      </c>
      <c r="DQ588" s="41"/>
      <c r="DR588" s="41">
        <v>0.03</v>
      </c>
      <c r="DS588" s="43"/>
      <c r="DT588" s="44">
        <f t="shared" ref="DT588" si="570">SUM(F588:DR588)</f>
        <v>1.0000000000000004</v>
      </c>
    </row>
    <row r="589" spans="2:124" s="13" customFormat="1">
      <c r="B589" s="4">
        <f>'6.1Personnel List'!B590</f>
        <v>577</v>
      </c>
      <c r="C589" s="45" t="s">
        <v>772</v>
      </c>
      <c r="D589" s="45" t="str">
        <f>'6.1Personnel List'!D590</f>
        <v>Administrative Assistant II</v>
      </c>
      <c r="E589" s="45" t="str">
        <f>'6.1Personnel List'!H590</f>
        <v>FT</v>
      </c>
      <c r="G589" s="4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1"/>
      <c r="AK589" s="41"/>
      <c r="AL589" s="41"/>
      <c r="AM589" s="41"/>
      <c r="AN589" s="41"/>
      <c r="AO589" s="41"/>
      <c r="AP589" s="41"/>
      <c r="AQ589" s="41"/>
      <c r="AR589" s="41"/>
      <c r="AS589" s="41"/>
      <c r="AT589" s="41"/>
      <c r="AU589" s="41"/>
      <c r="AV589" s="41"/>
      <c r="AW589" s="41"/>
      <c r="AX589" s="41"/>
      <c r="AY589" s="41"/>
      <c r="AZ589" s="41"/>
      <c r="BA589" s="41"/>
      <c r="BB589" s="41"/>
      <c r="BC589" s="41"/>
      <c r="BD589" s="41"/>
      <c r="BE589" s="41"/>
      <c r="BF589" s="41"/>
      <c r="BG589" s="41"/>
      <c r="BH589" s="41"/>
      <c r="BJ589" s="41"/>
      <c r="BK589" s="41"/>
      <c r="BL589" s="41"/>
      <c r="BM589" s="41"/>
      <c r="BN589" s="41"/>
      <c r="BO589" s="41"/>
      <c r="BP589" s="41"/>
      <c r="BQ589" s="41"/>
      <c r="BR589" s="41"/>
      <c r="BS589" s="41"/>
      <c r="BT589" s="41"/>
      <c r="BU589" s="41"/>
      <c r="BV589" s="41"/>
      <c r="BW589" s="41"/>
      <c r="BX589" s="41"/>
      <c r="BY589" s="41"/>
      <c r="BZ589" s="41"/>
      <c r="CA589" s="41"/>
      <c r="CB589" s="41"/>
      <c r="CC589" s="41"/>
      <c r="CD589" s="41"/>
      <c r="CE589" s="41">
        <v>0.52</v>
      </c>
      <c r="CF589" s="41"/>
      <c r="CG589" s="41"/>
      <c r="CH589" s="41"/>
      <c r="CI589" s="41"/>
      <c r="CJ589" s="41"/>
      <c r="CK589" s="41"/>
      <c r="CL589" s="41"/>
      <c r="CM589" s="41">
        <v>0.03</v>
      </c>
      <c r="CN589" s="41">
        <v>0.03</v>
      </c>
      <c r="CO589" s="41">
        <v>0.03</v>
      </c>
      <c r="CP589" s="41">
        <v>0.03</v>
      </c>
      <c r="CQ589" s="41">
        <v>0.03</v>
      </c>
      <c r="CR589" s="41"/>
      <c r="CS589" s="41"/>
      <c r="CT589" s="41"/>
      <c r="CU589" s="41"/>
      <c r="CV589" s="41"/>
      <c r="CW589" s="41"/>
      <c r="CX589" s="41"/>
      <c r="CY589" s="41"/>
      <c r="CZ589" s="41"/>
      <c r="DA589" s="41"/>
      <c r="DB589" s="41">
        <v>0.03</v>
      </c>
      <c r="DC589" s="41">
        <v>0.03</v>
      </c>
      <c r="DD589" s="41">
        <v>0.03</v>
      </c>
      <c r="DE589" s="41">
        <v>0.03</v>
      </c>
      <c r="DF589" s="41"/>
      <c r="DG589" s="41"/>
      <c r="DH589" s="41"/>
      <c r="DI589" s="41"/>
      <c r="DJ589" s="41">
        <v>0.03</v>
      </c>
      <c r="DK589" s="41">
        <v>0.03</v>
      </c>
      <c r="DL589" s="41">
        <v>0.03</v>
      </c>
      <c r="DM589" s="41">
        <v>0.03</v>
      </c>
      <c r="DN589" s="41"/>
      <c r="DO589" s="41">
        <v>0.03</v>
      </c>
      <c r="DP589" s="41">
        <v>0.03</v>
      </c>
      <c r="DQ589" s="41"/>
      <c r="DR589" s="41">
        <v>0.03</v>
      </c>
      <c r="DS589" s="43"/>
      <c r="DT589" s="44">
        <f t="shared" ref="DT589" si="571">SUM(F589:DR589)</f>
        <v>1.0000000000000004</v>
      </c>
    </row>
    <row r="590" spans="2:124" s="13" customFormat="1">
      <c r="B590" s="4">
        <f>'6.1Personnel List'!B591</f>
        <v>578</v>
      </c>
      <c r="C590" s="45" t="s">
        <v>773</v>
      </c>
      <c r="D590" s="45" t="str">
        <f>'6.1Personnel List'!D591</f>
        <v>Administrative Assistant II</v>
      </c>
      <c r="E590" s="45" t="str">
        <f>'6.1Personnel List'!H591</f>
        <v>FT</v>
      </c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1"/>
      <c r="AK590" s="41"/>
      <c r="AL590" s="41"/>
      <c r="AM590" s="41"/>
      <c r="AN590" s="41"/>
      <c r="AO590" s="41"/>
      <c r="AP590" s="41"/>
      <c r="AQ590" s="41"/>
      <c r="AR590" s="41"/>
      <c r="AS590" s="41"/>
      <c r="AT590" s="41"/>
      <c r="AU590" s="41"/>
      <c r="AV590" s="41"/>
      <c r="AW590" s="41"/>
      <c r="AX590" s="41"/>
      <c r="AY590" s="41"/>
      <c r="AZ590" s="41"/>
      <c r="BA590" s="41"/>
      <c r="BB590" s="41"/>
      <c r="BC590" s="41"/>
      <c r="BD590" s="41"/>
      <c r="BE590" s="41"/>
      <c r="BF590" s="41"/>
      <c r="BG590" s="41"/>
      <c r="BH590" s="41"/>
      <c r="BJ590" s="41"/>
      <c r="BK590" s="41"/>
      <c r="BL590" s="41"/>
      <c r="BM590" s="41"/>
      <c r="BN590" s="41"/>
      <c r="BO590" s="41"/>
      <c r="BP590" s="41"/>
      <c r="BQ590" s="41"/>
      <c r="BR590" s="41"/>
      <c r="BS590" s="41"/>
      <c r="BT590" s="41"/>
      <c r="BU590" s="41"/>
      <c r="BV590" s="41"/>
      <c r="BW590" s="41"/>
      <c r="BX590" s="41"/>
      <c r="BY590" s="41"/>
      <c r="BZ590" s="41"/>
      <c r="CA590" s="41"/>
      <c r="CB590" s="41"/>
      <c r="CC590" s="41"/>
      <c r="CD590" s="41"/>
      <c r="CE590" s="41">
        <v>0.52</v>
      </c>
      <c r="CF590" s="41"/>
      <c r="CG590" s="41"/>
      <c r="CH590" s="41"/>
      <c r="CI590" s="41"/>
      <c r="CJ590" s="41"/>
      <c r="CK590" s="41"/>
      <c r="CL590" s="41"/>
      <c r="CM590" s="41">
        <v>0.03</v>
      </c>
      <c r="CN590" s="41">
        <v>0.03</v>
      </c>
      <c r="CO590" s="41">
        <v>0.03</v>
      </c>
      <c r="CP590" s="41">
        <v>0.03</v>
      </c>
      <c r="CQ590" s="41">
        <v>0.03</v>
      </c>
      <c r="CR590" s="41"/>
      <c r="CS590" s="41"/>
      <c r="CT590" s="41"/>
      <c r="CU590" s="41"/>
      <c r="CV590" s="41"/>
      <c r="CW590" s="41"/>
      <c r="CX590" s="41"/>
      <c r="CY590" s="41"/>
      <c r="CZ590" s="41"/>
      <c r="DA590" s="41"/>
      <c r="DB590" s="41">
        <v>0.03</v>
      </c>
      <c r="DC590" s="41">
        <v>0.03</v>
      </c>
      <c r="DD590" s="41">
        <v>0.03</v>
      </c>
      <c r="DE590" s="41">
        <v>0.03</v>
      </c>
      <c r="DF590" s="41"/>
      <c r="DG590" s="41"/>
      <c r="DH590" s="41"/>
      <c r="DI590" s="41"/>
      <c r="DJ590" s="41">
        <v>0.03</v>
      </c>
      <c r="DK590" s="41">
        <v>0.03</v>
      </c>
      <c r="DL590" s="41">
        <v>0.03</v>
      </c>
      <c r="DM590" s="41">
        <v>0.03</v>
      </c>
      <c r="DN590" s="41"/>
      <c r="DO590" s="41">
        <v>0.03</v>
      </c>
      <c r="DP590" s="41">
        <v>0.03</v>
      </c>
      <c r="DQ590" s="41"/>
      <c r="DR590" s="41">
        <v>0.03</v>
      </c>
      <c r="DS590" s="43"/>
      <c r="DT590" s="44">
        <f t="shared" ref="DT590" si="572">SUM(F590:DR590)</f>
        <v>1.0000000000000004</v>
      </c>
    </row>
    <row r="591" spans="2:124" s="13" customFormat="1">
      <c r="B591" s="4">
        <f>'6.1Personnel List'!B592</f>
        <v>579</v>
      </c>
      <c r="C591" s="45" t="s">
        <v>774</v>
      </c>
      <c r="D591" s="45" t="str">
        <f>'6.1Personnel List'!D592</f>
        <v>Administrative Assistant II</v>
      </c>
      <c r="E591" s="45" t="str">
        <f>'6.1Personnel List'!H592</f>
        <v>FT</v>
      </c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1"/>
      <c r="AH591" s="41"/>
      <c r="AI591" s="41"/>
      <c r="AJ591" s="41"/>
      <c r="AK591" s="41"/>
      <c r="AL591" s="41"/>
      <c r="AM591" s="41"/>
      <c r="AN591" s="41"/>
      <c r="AO591" s="41"/>
      <c r="AP591" s="41"/>
      <c r="AQ591" s="41"/>
      <c r="AR591" s="41"/>
      <c r="AS591" s="41"/>
      <c r="AT591" s="41"/>
      <c r="AU591" s="41"/>
      <c r="AV591" s="41"/>
      <c r="AW591" s="41"/>
      <c r="AX591" s="41"/>
      <c r="AY591" s="41"/>
      <c r="AZ591" s="41"/>
      <c r="BA591" s="41"/>
      <c r="BB591" s="41"/>
      <c r="BC591" s="41"/>
      <c r="BD591" s="41"/>
      <c r="BE591" s="41"/>
      <c r="BF591" s="41"/>
      <c r="BG591" s="41"/>
      <c r="BH591" s="41"/>
      <c r="BJ591" s="41"/>
      <c r="BK591" s="41"/>
      <c r="BL591" s="41"/>
      <c r="BM591" s="41"/>
      <c r="BN591" s="41"/>
      <c r="BO591" s="41"/>
      <c r="BP591" s="41"/>
      <c r="BQ591" s="41"/>
      <c r="BR591" s="41"/>
      <c r="BS591" s="41"/>
      <c r="BT591" s="41"/>
      <c r="BU591" s="41"/>
      <c r="BV591" s="41"/>
      <c r="BW591" s="41"/>
      <c r="BX591" s="41"/>
      <c r="BY591" s="41"/>
      <c r="BZ591" s="41"/>
      <c r="CA591" s="41"/>
      <c r="CB591" s="41"/>
      <c r="CC591" s="41"/>
      <c r="CD591" s="41"/>
      <c r="CE591" s="41">
        <v>0.52</v>
      </c>
      <c r="CF591" s="41"/>
      <c r="CG591" s="41"/>
      <c r="CH591" s="41"/>
      <c r="CI591" s="41"/>
      <c r="CJ591" s="41"/>
      <c r="CK591" s="41"/>
      <c r="CL591" s="41"/>
      <c r="CM591" s="41">
        <v>0.03</v>
      </c>
      <c r="CN591" s="41">
        <v>0.03</v>
      </c>
      <c r="CO591" s="41">
        <v>0.03</v>
      </c>
      <c r="CP591" s="41">
        <v>0.03</v>
      </c>
      <c r="CQ591" s="41">
        <v>0.03</v>
      </c>
      <c r="CR591" s="41"/>
      <c r="CS591" s="41"/>
      <c r="CT591" s="41"/>
      <c r="CU591" s="41"/>
      <c r="CV591" s="41"/>
      <c r="CW591" s="41"/>
      <c r="CX591" s="41"/>
      <c r="CY591" s="41"/>
      <c r="CZ591" s="41"/>
      <c r="DA591" s="41"/>
      <c r="DB591" s="41">
        <v>0.03</v>
      </c>
      <c r="DC591" s="41">
        <v>0.03</v>
      </c>
      <c r="DD591" s="41">
        <v>0.03</v>
      </c>
      <c r="DE591" s="41">
        <v>0.03</v>
      </c>
      <c r="DF591" s="41"/>
      <c r="DG591" s="41"/>
      <c r="DH591" s="41"/>
      <c r="DI591" s="41"/>
      <c r="DJ591" s="41">
        <v>0.03</v>
      </c>
      <c r="DK591" s="41">
        <v>0.03</v>
      </c>
      <c r="DL591" s="41">
        <v>0.03</v>
      </c>
      <c r="DM591" s="41">
        <v>0.03</v>
      </c>
      <c r="DN591" s="41"/>
      <c r="DO591" s="41">
        <v>0.03</v>
      </c>
      <c r="DP591" s="41">
        <v>0.03</v>
      </c>
      <c r="DQ591" s="41"/>
      <c r="DR591" s="41">
        <v>0.03</v>
      </c>
      <c r="DS591" s="43"/>
      <c r="DT591" s="44">
        <f t="shared" ref="DT591" si="573">SUM(F591:DR591)</f>
        <v>1.0000000000000004</v>
      </c>
    </row>
    <row r="592" spans="2:124" s="13" customFormat="1">
      <c r="B592" s="4">
        <f>'6.1Personnel List'!B593</f>
        <v>580</v>
      </c>
      <c r="C592" s="45" t="s">
        <v>775</v>
      </c>
      <c r="D592" s="45" t="str">
        <f>'6.1Personnel List'!D593</f>
        <v>Administrative Assistant II</v>
      </c>
      <c r="E592" s="45" t="str">
        <f>'6.1Personnel List'!H593</f>
        <v>FT</v>
      </c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1"/>
      <c r="AK592" s="41"/>
      <c r="AL592" s="41"/>
      <c r="AM592" s="41"/>
      <c r="AN592" s="41"/>
      <c r="AO592" s="41"/>
      <c r="AP592" s="41"/>
      <c r="AQ592" s="41"/>
      <c r="AR592" s="41"/>
      <c r="AS592" s="41"/>
      <c r="AT592" s="41"/>
      <c r="AU592" s="41"/>
      <c r="AV592" s="41"/>
      <c r="AW592" s="41"/>
      <c r="AX592" s="41"/>
      <c r="AY592" s="41"/>
      <c r="AZ592" s="41"/>
      <c r="BA592" s="41"/>
      <c r="BB592" s="41"/>
      <c r="BC592" s="41"/>
      <c r="BD592" s="41"/>
      <c r="BE592" s="41"/>
      <c r="BF592" s="41"/>
      <c r="BG592" s="41"/>
      <c r="BH592" s="41"/>
      <c r="BJ592" s="41"/>
      <c r="BK592" s="41"/>
      <c r="BL592" s="41"/>
      <c r="BM592" s="41"/>
      <c r="BN592" s="41"/>
      <c r="BO592" s="41"/>
      <c r="BP592" s="41"/>
      <c r="BQ592" s="41"/>
      <c r="BR592" s="41"/>
      <c r="BS592" s="41"/>
      <c r="BT592" s="41"/>
      <c r="BU592" s="41"/>
      <c r="BV592" s="41"/>
      <c r="BW592" s="41"/>
      <c r="BX592" s="41"/>
      <c r="BY592" s="41"/>
      <c r="BZ592" s="41"/>
      <c r="CA592" s="41"/>
      <c r="CB592" s="41"/>
      <c r="CC592" s="41"/>
      <c r="CD592" s="41"/>
      <c r="CE592" s="41">
        <v>0.52</v>
      </c>
      <c r="CF592" s="41"/>
      <c r="CG592" s="41"/>
      <c r="CH592" s="41"/>
      <c r="CI592" s="41"/>
      <c r="CJ592" s="41"/>
      <c r="CK592" s="41"/>
      <c r="CL592" s="41"/>
      <c r="CM592" s="41">
        <v>0.03</v>
      </c>
      <c r="CN592" s="41">
        <v>0.03</v>
      </c>
      <c r="CO592" s="41">
        <v>0.03</v>
      </c>
      <c r="CP592" s="41">
        <v>0.03</v>
      </c>
      <c r="CQ592" s="41">
        <v>0.03</v>
      </c>
      <c r="CR592" s="41"/>
      <c r="CS592" s="41"/>
      <c r="CT592" s="41"/>
      <c r="CU592" s="41"/>
      <c r="CV592" s="41"/>
      <c r="CW592" s="41"/>
      <c r="CX592" s="41"/>
      <c r="CY592" s="41"/>
      <c r="CZ592" s="41"/>
      <c r="DA592" s="41"/>
      <c r="DB592" s="41">
        <v>0.03</v>
      </c>
      <c r="DC592" s="41">
        <v>0.03</v>
      </c>
      <c r="DD592" s="41">
        <v>0.03</v>
      </c>
      <c r="DE592" s="41">
        <v>0.03</v>
      </c>
      <c r="DF592" s="41"/>
      <c r="DG592" s="41"/>
      <c r="DH592" s="41"/>
      <c r="DI592" s="41"/>
      <c r="DJ592" s="41">
        <v>0.03</v>
      </c>
      <c r="DK592" s="41">
        <v>0.03</v>
      </c>
      <c r="DL592" s="41">
        <v>0.03</v>
      </c>
      <c r="DM592" s="41">
        <v>0.03</v>
      </c>
      <c r="DN592" s="41"/>
      <c r="DO592" s="41">
        <v>0.03</v>
      </c>
      <c r="DP592" s="41">
        <v>0.03</v>
      </c>
      <c r="DQ592" s="41"/>
      <c r="DR592" s="41">
        <v>0.03</v>
      </c>
      <c r="DS592" s="43"/>
      <c r="DT592" s="44">
        <f t="shared" ref="DT592" si="574">SUM(F592:DR592)</f>
        <v>1.0000000000000004</v>
      </c>
    </row>
    <row r="593" spans="2:124" s="13" customFormat="1">
      <c r="B593" s="4">
        <f>'6.1Personnel List'!B594</f>
        <v>581</v>
      </c>
      <c r="C593" s="45" t="s">
        <v>776</v>
      </c>
      <c r="D593" s="45" t="str">
        <f>'6.1Personnel List'!D594</f>
        <v xml:space="preserve">Administrative Assistant II </v>
      </c>
      <c r="E593" s="45" t="str">
        <f>'6.1Personnel List'!H594</f>
        <v>FT</v>
      </c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  <c r="AA593" s="41"/>
      <c r="AB593" s="41"/>
      <c r="AC593" s="41"/>
      <c r="AD593" s="41"/>
      <c r="AE593" s="41"/>
      <c r="AF593" s="41"/>
      <c r="AG593" s="41"/>
      <c r="AH593" s="41"/>
      <c r="AI593" s="41"/>
      <c r="AJ593" s="41"/>
      <c r="AK593" s="41"/>
      <c r="AL593" s="41"/>
      <c r="AM593" s="41"/>
      <c r="AN593" s="41"/>
      <c r="AO593" s="41"/>
      <c r="AP593" s="41"/>
      <c r="AQ593" s="41"/>
      <c r="AR593" s="41"/>
      <c r="AS593" s="41"/>
      <c r="AT593" s="41"/>
      <c r="AU593" s="41"/>
      <c r="AV593" s="41"/>
      <c r="AW593" s="41"/>
      <c r="AX593" s="41"/>
      <c r="AY593" s="41"/>
      <c r="AZ593" s="41"/>
      <c r="BA593" s="41"/>
      <c r="BB593" s="41"/>
      <c r="BC593" s="41"/>
      <c r="BD593" s="41"/>
      <c r="BE593" s="41"/>
      <c r="BF593" s="41"/>
      <c r="BG593" s="41"/>
      <c r="BH593" s="41"/>
      <c r="BJ593" s="41"/>
      <c r="BK593" s="41"/>
      <c r="BL593" s="41"/>
      <c r="BM593" s="41"/>
      <c r="BN593" s="41"/>
      <c r="BO593" s="41"/>
      <c r="BP593" s="41"/>
      <c r="BQ593" s="41"/>
      <c r="BR593" s="41"/>
      <c r="BS593" s="41"/>
      <c r="BT593" s="41"/>
      <c r="BU593" s="41"/>
      <c r="BV593" s="41"/>
      <c r="BW593" s="41"/>
      <c r="BX593" s="41"/>
      <c r="BY593" s="41"/>
      <c r="BZ593" s="41"/>
      <c r="CA593" s="41"/>
      <c r="CB593" s="41"/>
      <c r="CC593" s="41"/>
      <c r="CD593" s="41"/>
      <c r="CE593" s="41">
        <v>0.52</v>
      </c>
      <c r="CF593" s="41"/>
      <c r="CG593" s="41"/>
      <c r="CH593" s="41"/>
      <c r="CI593" s="41"/>
      <c r="CJ593" s="41"/>
      <c r="CK593" s="41"/>
      <c r="CL593" s="41"/>
      <c r="CM593" s="41">
        <v>0.03</v>
      </c>
      <c r="CN593" s="41">
        <v>0.03</v>
      </c>
      <c r="CO593" s="41">
        <v>0.03</v>
      </c>
      <c r="CP593" s="41">
        <v>0.03</v>
      </c>
      <c r="CQ593" s="41">
        <v>0.03</v>
      </c>
      <c r="CR593" s="41"/>
      <c r="CS593" s="41"/>
      <c r="CT593" s="41"/>
      <c r="CU593" s="41"/>
      <c r="CV593" s="41"/>
      <c r="CW593" s="41"/>
      <c r="CX593" s="41"/>
      <c r="CY593" s="41"/>
      <c r="CZ593" s="41"/>
      <c r="DA593" s="41"/>
      <c r="DB593" s="41">
        <v>0.03</v>
      </c>
      <c r="DC593" s="41">
        <v>0.03</v>
      </c>
      <c r="DD593" s="41">
        <v>0.03</v>
      </c>
      <c r="DE593" s="41">
        <v>0.03</v>
      </c>
      <c r="DF593" s="41"/>
      <c r="DG593" s="41"/>
      <c r="DH593" s="41"/>
      <c r="DI593" s="41"/>
      <c r="DJ593" s="41">
        <v>0.03</v>
      </c>
      <c r="DK593" s="41">
        <v>0.03</v>
      </c>
      <c r="DL593" s="41">
        <v>0.03</v>
      </c>
      <c r="DM593" s="41">
        <v>0.03</v>
      </c>
      <c r="DN593" s="41"/>
      <c r="DO593" s="41">
        <v>0.03</v>
      </c>
      <c r="DP593" s="41">
        <v>0.03</v>
      </c>
      <c r="DQ593" s="41"/>
      <c r="DR593" s="41">
        <v>0.03</v>
      </c>
      <c r="DS593" s="43"/>
      <c r="DT593" s="44">
        <f t="shared" ref="DT593" si="575">SUM(F593:DR593)</f>
        <v>1.0000000000000004</v>
      </c>
    </row>
    <row r="594" spans="2:124" s="13" customFormat="1">
      <c r="B594" s="4">
        <f>'6.1Personnel List'!B595</f>
        <v>582</v>
      </c>
      <c r="C594" s="45" t="s">
        <v>778</v>
      </c>
      <c r="D594" s="45" t="str">
        <f>'6.1Personnel List'!D595</f>
        <v xml:space="preserve">Administrative Assistant II </v>
      </c>
      <c r="E594" s="45" t="str">
        <f>'6.1Personnel List'!H595</f>
        <v>FT</v>
      </c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  <c r="AA594" s="41"/>
      <c r="AB594" s="41"/>
      <c r="AC594" s="41"/>
      <c r="AD594" s="41"/>
      <c r="AE594" s="41"/>
      <c r="AF594" s="41"/>
      <c r="AG594" s="41"/>
      <c r="AH594" s="41"/>
      <c r="AI594" s="41"/>
      <c r="AJ594" s="41"/>
      <c r="AK594" s="41"/>
      <c r="AL594" s="41"/>
      <c r="AM594" s="41"/>
      <c r="AN594" s="41"/>
      <c r="AO594" s="41"/>
      <c r="AP594" s="41"/>
      <c r="AQ594" s="41"/>
      <c r="AR594" s="41"/>
      <c r="AS594" s="41"/>
      <c r="AT594" s="41"/>
      <c r="AU594" s="41"/>
      <c r="AV594" s="41"/>
      <c r="AW594" s="41"/>
      <c r="AX594" s="41"/>
      <c r="AY594" s="41"/>
      <c r="AZ594" s="41"/>
      <c r="BA594" s="41"/>
      <c r="BB594" s="41"/>
      <c r="BC594" s="41"/>
      <c r="BD594" s="41"/>
      <c r="BE594" s="41"/>
      <c r="BF594" s="41"/>
      <c r="BG594" s="41"/>
      <c r="BH594" s="41"/>
      <c r="BJ594" s="41"/>
      <c r="BK594" s="41"/>
      <c r="BL594" s="41"/>
      <c r="BM594" s="41"/>
      <c r="BN594" s="41"/>
      <c r="BO594" s="41"/>
      <c r="BP594" s="41"/>
      <c r="BQ594" s="41"/>
      <c r="BR594" s="41"/>
      <c r="BS594" s="41"/>
      <c r="BT594" s="41"/>
      <c r="BU594" s="41"/>
      <c r="BV594" s="41"/>
      <c r="BW594" s="41"/>
      <c r="BX594" s="41"/>
      <c r="BY594" s="41"/>
      <c r="BZ594" s="41"/>
      <c r="CA594" s="41"/>
      <c r="CB594" s="41"/>
      <c r="CC594" s="41"/>
      <c r="CD594" s="41"/>
      <c r="CE594" s="41">
        <v>0.52</v>
      </c>
      <c r="CF594" s="41"/>
      <c r="CG594" s="41"/>
      <c r="CH594" s="41"/>
      <c r="CI594" s="41"/>
      <c r="CJ594" s="41"/>
      <c r="CK594" s="41"/>
      <c r="CL594" s="41"/>
      <c r="CM594" s="41">
        <v>0.03</v>
      </c>
      <c r="CN594" s="41">
        <v>0.03</v>
      </c>
      <c r="CO594" s="41">
        <v>0.03</v>
      </c>
      <c r="CP594" s="41">
        <v>0.03</v>
      </c>
      <c r="CQ594" s="41">
        <v>0.03</v>
      </c>
      <c r="CR594" s="41"/>
      <c r="CS594" s="41"/>
      <c r="CT594" s="41"/>
      <c r="CU594" s="41"/>
      <c r="CV594" s="41"/>
      <c r="CW594" s="41"/>
      <c r="CX594" s="41"/>
      <c r="CY594" s="41"/>
      <c r="CZ594" s="41"/>
      <c r="DA594" s="41"/>
      <c r="DB594" s="41">
        <v>0.03</v>
      </c>
      <c r="DC594" s="41">
        <v>0.03</v>
      </c>
      <c r="DD594" s="41">
        <v>0.03</v>
      </c>
      <c r="DE594" s="41">
        <v>0.03</v>
      </c>
      <c r="DF594" s="41"/>
      <c r="DG594" s="41"/>
      <c r="DH594" s="41"/>
      <c r="DI594" s="41"/>
      <c r="DJ594" s="41">
        <v>0.03</v>
      </c>
      <c r="DK594" s="41">
        <v>0.03</v>
      </c>
      <c r="DL594" s="41">
        <v>0.03</v>
      </c>
      <c r="DM594" s="41">
        <v>0.03</v>
      </c>
      <c r="DN594" s="41"/>
      <c r="DO594" s="41">
        <v>0.03</v>
      </c>
      <c r="DP594" s="41">
        <v>0.03</v>
      </c>
      <c r="DQ594" s="41"/>
      <c r="DR594" s="41">
        <v>0.03</v>
      </c>
      <c r="DS594" s="43"/>
      <c r="DT594" s="44">
        <f t="shared" ref="DT594" si="576">SUM(F594:DR594)</f>
        <v>1.0000000000000004</v>
      </c>
    </row>
    <row r="595" spans="2:124" s="13" customFormat="1">
      <c r="B595" s="4">
        <f>'6.1Personnel List'!B596</f>
        <v>583</v>
      </c>
      <c r="C595" s="45" t="s">
        <v>779</v>
      </c>
      <c r="D595" s="45" t="str">
        <f>'6.1Personnel List'!D596</f>
        <v>Administrative Assistant II</v>
      </c>
      <c r="E595" s="45" t="str">
        <f>'6.1Personnel List'!H596</f>
        <v>FT</v>
      </c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  <c r="AA595" s="41"/>
      <c r="AB595" s="41"/>
      <c r="AC595" s="41"/>
      <c r="AD595" s="41"/>
      <c r="AE595" s="41"/>
      <c r="AF595" s="41"/>
      <c r="AG595" s="41"/>
      <c r="AH595" s="41"/>
      <c r="AI595" s="41"/>
      <c r="AJ595" s="41"/>
      <c r="AK595" s="41"/>
      <c r="AL595" s="41"/>
      <c r="AM595" s="41"/>
      <c r="AN595" s="41"/>
      <c r="AO595" s="41"/>
      <c r="AP595" s="41"/>
      <c r="AQ595" s="41"/>
      <c r="AR595" s="41"/>
      <c r="AS595" s="41"/>
      <c r="AT595" s="41"/>
      <c r="AU595" s="41"/>
      <c r="AV595" s="41"/>
      <c r="AW595" s="41"/>
      <c r="AX595" s="41"/>
      <c r="AY595" s="41"/>
      <c r="AZ595" s="41"/>
      <c r="BA595" s="41"/>
      <c r="BB595" s="41"/>
      <c r="BC595" s="41"/>
      <c r="BD595" s="41"/>
      <c r="BE595" s="41"/>
      <c r="BF595" s="41"/>
      <c r="BG595" s="41"/>
      <c r="BH595" s="41"/>
      <c r="BJ595" s="41"/>
      <c r="BK595" s="41"/>
      <c r="BL595" s="41"/>
      <c r="BM595" s="41"/>
      <c r="BN595" s="41"/>
      <c r="BO595" s="41"/>
      <c r="BP595" s="41"/>
      <c r="BQ595" s="41"/>
      <c r="BR595" s="41"/>
      <c r="BS595" s="41"/>
      <c r="BT595" s="41"/>
      <c r="BU595" s="41"/>
      <c r="BV595" s="41"/>
      <c r="BW595" s="41"/>
      <c r="BX595" s="41"/>
      <c r="BY595" s="41"/>
      <c r="BZ595" s="41"/>
      <c r="CA595" s="41"/>
      <c r="CB595" s="41"/>
      <c r="CC595" s="41"/>
      <c r="CD595" s="41"/>
      <c r="CE595" s="41">
        <v>0.52</v>
      </c>
      <c r="CF595" s="41"/>
      <c r="CG595" s="41"/>
      <c r="CH595" s="41"/>
      <c r="CI595" s="41"/>
      <c r="CJ595" s="41"/>
      <c r="CK595" s="41"/>
      <c r="CL595" s="41"/>
      <c r="CM595" s="41">
        <v>0.03</v>
      </c>
      <c r="CN595" s="41">
        <v>0.03</v>
      </c>
      <c r="CO595" s="41">
        <v>0.03</v>
      </c>
      <c r="CP595" s="41">
        <v>0.03</v>
      </c>
      <c r="CQ595" s="41">
        <v>0.03</v>
      </c>
      <c r="CR595" s="41"/>
      <c r="CS595" s="41"/>
      <c r="CT595" s="41"/>
      <c r="CU595" s="41"/>
      <c r="CV595" s="41"/>
      <c r="CW595" s="41"/>
      <c r="CX595" s="41"/>
      <c r="CY595" s="41"/>
      <c r="CZ595" s="41"/>
      <c r="DA595" s="41"/>
      <c r="DB595" s="41">
        <v>0.03</v>
      </c>
      <c r="DC595" s="41">
        <v>0.03</v>
      </c>
      <c r="DD595" s="41">
        <v>0.03</v>
      </c>
      <c r="DE595" s="41">
        <v>0.03</v>
      </c>
      <c r="DF595" s="41"/>
      <c r="DG595" s="41"/>
      <c r="DH595" s="41"/>
      <c r="DI595" s="41"/>
      <c r="DJ595" s="41">
        <v>0.03</v>
      </c>
      <c r="DK595" s="41">
        <v>0.03</v>
      </c>
      <c r="DL595" s="41">
        <v>0.03</v>
      </c>
      <c r="DM595" s="41">
        <v>0.03</v>
      </c>
      <c r="DN595" s="41"/>
      <c r="DO595" s="41">
        <v>0.03</v>
      </c>
      <c r="DP595" s="41">
        <v>0.03</v>
      </c>
      <c r="DQ595" s="41"/>
      <c r="DR595" s="41">
        <v>0.03</v>
      </c>
      <c r="DS595" s="43"/>
      <c r="DT595" s="44">
        <f t="shared" ref="DT595" si="577">SUM(F595:DR595)</f>
        <v>1.0000000000000004</v>
      </c>
    </row>
    <row r="596" spans="2:124" s="13" customFormat="1">
      <c r="B596" s="4">
        <f>'6.1Personnel List'!B597</f>
        <v>584</v>
      </c>
      <c r="C596" s="45" t="s">
        <v>780</v>
      </c>
      <c r="D596" s="45" t="str">
        <f>'6.1Personnel List'!D597</f>
        <v xml:space="preserve">Administrative Assistant II </v>
      </c>
      <c r="E596" s="45" t="str">
        <f>'6.1Personnel List'!H597</f>
        <v>FT</v>
      </c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  <c r="AA596" s="41"/>
      <c r="AB596" s="41"/>
      <c r="AC596" s="41"/>
      <c r="AD596" s="41"/>
      <c r="AE596" s="41"/>
      <c r="AF596" s="41"/>
      <c r="AG596" s="41"/>
      <c r="AH596" s="41"/>
      <c r="AI596" s="41"/>
      <c r="AJ596" s="41"/>
      <c r="AK596" s="41"/>
      <c r="AL596" s="41"/>
      <c r="AM596" s="41"/>
      <c r="AN596" s="41"/>
      <c r="AO596" s="41"/>
      <c r="AP596" s="41"/>
      <c r="AQ596" s="41"/>
      <c r="AR596" s="41"/>
      <c r="AS596" s="41"/>
      <c r="AT596" s="41"/>
      <c r="AU596" s="41"/>
      <c r="AV596" s="41"/>
      <c r="AW596" s="41"/>
      <c r="AX596" s="41"/>
      <c r="AY596" s="41"/>
      <c r="AZ596" s="41"/>
      <c r="BA596" s="41"/>
      <c r="BB596" s="41"/>
      <c r="BC596" s="41"/>
      <c r="BD596" s="41"/>
      <c r="BE596" s="41"/>
      <c r="BF596" s="41"/>
      <c r="BG596" s="41"/>
      <c r="BH596" s="41"/>
      <c r="BJ596" s="41"/>
      <c r="BK596" s="41"/>
      <c r="BL596" s="41"/>
      <c r="BM596" s="41"/>
      <c r="BN596" s="41"/>
      <c r="BO596" s="41"/>
      <c r="BP596" s="41"/>
      <c r="BQ596" s="41"/>
      <c r="BR596" s="41"/>
      <c r="BS596" s="41"/>
      <c r="BT596" s="41"/>
      <c r="BU596" s="41"/>
      <c r="BV596" s="41"/>
      <c r="BW596" s="41"/>
      <c r="BX596" s="41"/>
      <c r="BY596" s="41"/>
      <c r="BZ596" s="41"/>
      <c r="CA596" s="41"/>
      <c r="CB596" s="41"/>
      <c r="CC596" s="41"/>
      <c r="CD596" s="41"/>
      <c r="CE596" s="41">
        <v>0.52</v>
      </c>
      <c r="CF596" s="41"/>
      <c r="CG596" s="41"/>
      <c r="CH596" s="41"/>
      <c r="CI596" s="41"/>
      <c r="CJ596" s="41"/>
      <c r="CK596" s="41"/>
      <c r="CL596" s="41"/>
      <c r="CM596" s="41">
        <v>0.03</v>
      </c>
      <c r="CN596" s="41">
        <v>0.03</v>
      </c>
      <c r="CO596" s="41">
        <v>0.03</v>
      </c>
      <c r="CP596" s="41">
        <v>0.03</v>
      </c>
      <c r="CQ596" s="41">
        <v>0.03</v>
      </c>
      <c r="CR596" s="41"/>
      <c r="CS596" s="41"/>
      <c r="CT596" s="41"/>
      <c r="CU596" s="41"/>
      <c r="CV596" s="41"/>
      <c r="CW596" s="41"/>
      <c r="CX596" s="41"/>
      <c r="CY596" s="41"/>
      <c r="CZ596" s="41"/>
      <c r="DA596" s="41"/>
      <c r="DB596" s="41">
        <v>0.03</v>
      </c>
      <c r="DC596" s="41">
        <v>0.03</v>
      </c>
      <c r="DD596" s="41">
        <v>0.03</v>
      </c>
      <c r="DE596" s="41">
        <v>0.03</v>
      </c>
      <c r="DF596" s="41"/>
      <c r="DG596" s="41"/>
      <c r="DH596" s="41"/>
      <c r="DI596" s="41"/>
      <c r="DJ596" s="41">
        <v>0.03</v>
      </c>
      <c r="DK596" s="41">
        <v>0.03</v>
      </c>
      <c r="DL596" s="41">
        <v>0.03</v>
      </c>
      <c r="DM596" s="41">
        <v>0.03</v>
      </c>
      <c r="DN596" s="41"/>
      <c r="DO596" s="41">
        <v>0.03</v>
      </c>
      <c r="DP596" s="41">
        <v>0.03</v>
      </c>
      <c r="DQ596" s="41"/>
      <c r="DR596" s="41">
        <v>0.03</v>
      </c>
      <c r="DS596" s="43"/>
      <c r="DT596" s="44">
        <f t="shared" ref="DT596" si="578">SUM(F596:DR596)</f>
        <v>1.0000000000000004</v>
      </c>
    </row>
    <row r="597" spans="2:124" s="13" customFormat="1">
      <c r="B597" s="4">
        <f>'6.1Personnel List'!B598</f>
        <v>585</v>
      </c>
      <c r="C597" s="45" t="s">
        <v>781</v>
      </c>
      <c r="D597" s="45" t="str">
        <f>'6.1Personnel List'!D598</f>
        <v xml:space="preserve">Administrative Assistant II </v>
      </c>
      <c r="E597" s="45" t="str">
        <f>'6.1Personnel List'!H598</f>
        <v>FT</v>
      </c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1"/>
      <c r="AK597" s="41"/>
      <c r="AL597" s="41"/>
      <c r="AM597" s="41"/>
      <c r="AN597" s="41"/>
      <c r="AO597" s="41"/>
      <c r="AP597" s="41"/>
      <c r="AQ597" s="41"/>
      <c r="AR597" s="41"/>
      <c r="AS597" s="41"/>
      <c r="AT597" s="41"/>
      <c r="AU597" s="41"/>
      <c r="AV597" s="41"/>
      <c r="AW597" s="41"/>
      <c r="AX597" s="41"/>
      <c r="AY597" s="41"/>
      <c r="AZ597" s="41"/>
      <c r="BA597" s="41"/>
      <c r="BB597" s="41"/>
      <c r="BC597" s="41"/>
      <c r="BD597" s="41"/>
      <c r="BE597" s="41"/>
      <c r="BF597" s="41"/>
      <c r="BG597" s="41"/>
      <c r="BH597" s="41"/>
      <c r="BJ597" s="41"/>
      <c r="BK597" s="41"/>
      <c r="BL597" s="41"/>
      <c r="BM597" s="41"/>
      <c r="BN597" s="41"/>
      <c r="BO597" s="41"/>
      <c r="BP597" s="41"/>
      <c r="BQ597" s="41"/>
      <c r="BR597" s="41"/>
      <c r="BS597" s="41"/>
      <c r="BT597" s="41"/>
      <c r="BU597" s="41"/>
      <c r="BV597" s="41"/>
      <c r="BW597" s="41"/>
      <c r="BX597" s="41"/>
      <c r="BY597" s="41"/>
      <c r="BZ597" s="41"/>
      <c r="CA597" s="41"/>
      <c r="CB597" s="41"/>
      <c r="CC597" s="41"/>
      <c r="CD597" s="41"/>
      <c r="CE597" s="41">
        <v>0.52</v>
      </c>
      <c r="CF597" s="41"/>
      <c r="CG597" s="41"/>
      <c r="CH597" s="41"/>
      <c r="CI597" s="41"/>
      <c r="CJ597" s="41"/>
      <c r="CK597" s="41"/>
      <c r="CL597" s="41"/>
      <c r="CM597" s="41">
        <v>0.03</v>
      </c>
      <c r="CN597" s="41">
        <v>0.03</v>
      </c>
      <c r="CO597" s="41">
        <v>0.03</v>
      </c>
      <c r="CP597" s="41">
        <v>0.03</v>
      </c>
      <c r="CQ597" s="41">
        <v>0.03</v>
      </c>
      <c r="CR597" s="41"/>
      <c r="CS597" s="41"/>
      <c r="CT597" s="41"/>
      <c r="CU597" s="41"/>
      <c r="CV597" s="41"/>
      <c r="CW597" s="41"/>
      <c r="CX597" s="41"/>
      <c r="CY597" s="41"/>
      <c r="CZ597" s="41"/>
      <c r="DA597" s="41"/>
      <c r="DB597" s="41">
        <v>0.03</v>
      </c>
      <c r="DC597" s="41">
        <v>0.03</v>
      </c>
      <c r="DD597" s="41">
        <v>0.03</v>
      </c>
      <c r="DE597" s="41">
        <v>0.03</v>
      </c>
      <c r="DF597" s="41"/>
      <c r="DG597" s="41"/>
      <c r="DH597" s="41"/>
      <c r="DI597" s="41"/>
      <c r="DJ597" s="41">
        <v>0.03</v>
      </c>
      <c r="DK597" s="41">
        <v>0.03</v>
      </c>
      <c r="DL597" s="41">
        <v>0.03</v>
      </c>
      <c r="DM597" s="41">
        <v>0.03</v>
      </c>
      <c r="DN597" s="41"/>
      <c r="DO597" s="41">
        <v>0.03</v>
      </c>
      <c r="DP597" s="41">
        <v>0.03</v>
      </c>
      <c r="DQ597" s="41"/>
      <c r="DR597" s="41">
        <v>0.03</v>
      </c>
      <c r="DS597" s="43"/>
      <c r="DT597" s="44">
        <f t="shared" ref="DT597" si="579">SUM(F597:DR597)</f>
        <v>1.0000000000000004</v>
      </c>
    </row>
    <row r="598" spans="2:124" s="13" customFormat="1">
      <c r="B598" s="4">
        <f>'6.1Personnel List'!B599</f>
        <v>586</v>
      </c>
      <c r="C598" s="45" t="s">
        <v>782</v>
      </c>
      <c r="D598" s="45" t="str">
        <f>'6.1Personnel List'!D599</f>
        <v>Administrative Assistant II</v>
      </c>
      <c r="E598" s="45" t="str">
        <f>'6.1Personnel List'!H599</f>
        <v>FT</v>
      </c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1"/>
      <c r="AK598" s="41"/>
      <c r="AL598" s="41"/>
      <c r="AM598" s="41"/>
      <c r="AN598" s="41"/>
      <c r="AO598" s="41"/>
      <c r="AP598" s="41"/>
      <c r="AQ598" s="41"/>
      <c r="AR598" s="41"/>
      <c r="AS598" s="41"/>
      <c r="AT598" s="41"/>
      <c r="AU598" s="41"/>
      <c r="AV598" s="41"/>
      <c r="AW598" s="41"/>
      <c r="AX598" s="41"/>
      <c r="AY598" s="41"/>
      <c r="AZ598" s="41"/>
      <c r="BA598" s="41"/>
      <c r="BB598" s="41"/>
      <c r="BC598" s="41"/>
      <c r="BD598" s="41"/>
      <c r="BE598" s="41"/>
      <c r="BF598" s="41"/>
      <c r="BG598" s="41"/>
      <c r="BH598" s="41"/>
      <c r="BJ598" s="41"/>
      <c r="BK598" s="41"/>
      <c r="BL598" s="41"/>
      <c r="BM598" s="41"/>
      <c r="BN598" s="41"/>
      <c r="BO598" s="41"/>
      <c r="BP598" s="41"/>
      <c r="BQ598" s="41"/>
      <c r="BR598" s="41"/>
      <c r="BS598" s="41"/>
      <c r="BT598" s="41"/>
      <c r="BU598" s="41"/>
      <c r="BV598" s="41"/>
      <c r="BW598" s="41"/>
      <c r="BX598" s="41"/>
      <c r="BY598" s="41"/>
      <c r="BZ598" s="41"/>
      <c r="CA598" s="41"/>
      <c r="CB598" s="41"/>
      <c r="CC598" s="41"/>
      <c r="CD598" s="41"/>
      <c r="CE598" s="41">
        <v>0.52</v>
      </c>
      <c r="CF598" s="41"/>
      <c r="CG598" s="41"/>
      <c r="CH598" s="41"/>
      <c r="CI598" s="41"/>
      <c r="CJ598" s="41"/>
      <c r="CK598" s="41"/>
      <c r="CL598" s="41"/>
      <c r="CM598" s="41">
        <v>0.03</v>
      </c>
      <c r="CN598" s="41">
        <v>0.03</v>
      </c>
      <c r="CO598" s="41">
        <v>0.03</v>
      </c>
      <c r="CP598" s="41">
        <v>0.03</v>
      </c>
      <c r="CQ598" s="41">
        <v>0.03</v>
      </c>
      <c r="CR598" s="41"/>
      <c r="CS598" s="41"/>
      <c r="CT598" s="41"/>
      <c r="CU598" s="41"/>
      <c r="CV598" s="41"/>
      <c r="CW598" s="41"/>
      <c r="CX598" s="41"/>
      <c r="CY598" s="41"/>
      <c r="CZ598" s="41"/>
      <c r="DA598" s="41"/>
      <c r="DB598" s="41">
        <v>0.03</v>
      </c>
      <c r="DC598" s="41">
        <v>0.03</v>
      </c>
      <c r="DD598" s="41">
        <v>0.03</v>
      </c>
      <c r="DE598" s="41">
        <v>0.03</v>
      </c>
      <c r="DF598" s="41"/>
      <c r="DG598" s="41"/>
      <c r="DH598" s="41"/>
      <c r="DI598" s="41"/>
      <c r="DJ598" s="41">
        <v>0.03</v>
      </c>
      <c r="DK598" s="41">
        <v>0.03</v>
      </c>
      <c r="DL598" s="41">
        <v>0.03</v>
      </c>
      <c r="DM598" s="41">
        <v>0.03</v>
      </c>
      <c r="DN598" s="41"/>
      <c r="DO598" s="41">
        <v>0.03</v>
      </c>
      <c r="DP598" s="41">
        <v>0.03</v>
      </c>
      <c r="DQ598" s="41"/>
      <c r="DR598" s="41">
        <v>0.03</v>
      </c>
      <c r="DS598" s="43"/>
      <c r="DT598" s="44">
        <f t="shared" ref="DT598" si="580">SUM(F598:DR598)</f>
        <v>1.0000000000000004</v>
      </c>
    </row>
    <row r="599" spans="2:124" s="13" customFormat="1">
      <c r="B599" s="4">
        <f>'6.1Personnel List'!B600</f>
        <v>587</v>
      </c>
      <c r="C599" s="45" t="s">
        <v>783</v>
      </c>
      <c r="D599" s="45" t="str">
        <f>'6.1Personnel List'!D600</f>
        <v>Administrative Assistant II</v>
      </c>
      <c r="E599" s="45" t="str">
        <f>'6.1Personnel List'!H600</f>
        <v>FT</v>
      </c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1"/>
      <c r="AK599" s="41"/>
      <c r="AL599" s="41"/>
      <c r="AM599" s="41"/>
      <c r="AN599" s="41"/>
      <c r="AO599" s="41"/>
      <c r="AP599" s="41"/>
      <c r="AQ599" s="41"/>
      <c r="AR599" s="41"/>
      <c r="AS599" s="41"/>
      <c r="AT599" s="41"/>
      <c r="AU599" s="41"/>
      <c r="AV599" s="41"/>
      <c r="AW599" s="41"/>
      <c r="AX599" s="41"/>
      <c r="AY599" s="41"/>
      <c r="AZ599" s="41"/>
      <c r="BA599" s="41"/>
      <c r="BB599" s="41"/>
      <c r="BC599" s="41"/>
      <c r="BD599" s="41"/>
      <c r="BE599" s="41"/>
      <c r="BF599" s="41"/>
      <c r="BG599" s="41"/>
      <c r="BH599" s="41"/>
      <c r="BJ599" s="41"/>
      <c r="BK599" s="41"/>
      <c r="BL599" s="41"/>
      <c r="BM599" s="41"/>
      <c r="BN599" s="41"/>
      <c r="BO599" s="41"/>
      <c r="BP599" s="41"/>
      <c r="BQ599" s="41"/>
      <c r="BR599" s="41"/>
      <c r="BS599" s="41"/>
      <c r="BT599" s="41"/>
      <c r="BU599" s="41"/>
      <c r="BV599" s="41"/>
      <c r="BW599" s="41"/>
      <c r="BX599" s="41"/>
      <c r="BY599" s="41"/>
      <c r="BZ599" s="41"/>
      <c r="CA599" s="41"/>
      <c r="CB599" s="41"/>
      <c r="CC599" s="41"/>
      <c r="CD599" s="41"/>
      <c r="CE599" s="41">
        <v>0.52</v>
      </c>
      <c r="CF599" s="41"/>
      <c r="CG599" s="41"/>
      <c r="CH599" s="41"/>
      <c r="CI599" s="41"/>
      <c r="CJ599" s="41"/>
      <c r="CK599" s="41"/>
      <c r="CL599" s="41"/>
      <c r="CM599" s="41">
        <v>0.03</v>
      </c>
      <c r="CN599" s="41">
        <v>0.03</v>
      </c>
      <c r="CO599" s="41">
        <v>0.03</v>
      </c>
      <c r="CP599" s="41">
        <v>0.03</v>
      </c>
      <c r="CQ599" s="41">
        <v>0.03</v>
      </c>
      <c r="CR599" s="41"/>
      <c r="CS599" s="41"/>
      <c r="CT599" s="41"/>
      <c r="CU599" s="41"/>
      <c r="CV599" s="41"/>
      <c r="CW599" s="41"/>
      <c r="CX599" s="41"/>
      <c r="CY599" s="41"/>
      <c r="CZ599" s="41"/>
      <c r="DA599" s="41"/>
      <c r="DB599" s="41">
        <v>0.03</v>
      </c>
      <c r="DC599" s="41">
        <v>0.03</v>
      </c>
      <c r="DD599" s="41">
        <v>0.03</v>
      </c>
      <c r="DE599" s="41">
        <v>0.03</v>
      </c>
      <c r="DF599" s="41"/>
      <c r="DG599" s="41"/>
      <c r="DH599" s="41"/>
      <c r="DI599" s="41"/>
      <c r="DJ599" s="41">
        <v>0.03</v>
      </c>
      <c r="DK599" s="41">
        <v>0.03</v>
      </c>
      <c r="DL599" s="41">
        <v>0.03</v>
      </c>
      <c r="DM599" s="41">
        <v>0.03</v>
      </c>
      <c r="DN599" s="41"/>
      <c r="DO599" s="41">
        <v>0.03</v>
      </c>
      <c r="DP599" s="41">
        <v>0.03</v>
      </c>
      <c r="DQ599" s="41"/>
      <c r="DR599" s="41">
        <v>0.03</v>
      </c>
      <c r="DS599" s="43"/>
      <c r="DT599" s="44">
        <f t="shared" ref="DT599" si="581">SUM(F599:DR599)</f>
        <v>1.0000000000000004</v>
      </c>
    </row>
    <row r="600" spans="2:124" s="13" customFormat="1">
      <c r="B600" s="4">
        <f>'6.1Personnel List'!B601</f>
        <v>588</v>
      </c>
      <c r="C600" s="45" t="s">
        <v>784</v>
      </c>
      <c r="D600" s="45" t="str">
        <f>'6.1Personnel List'!D601</f>
        <v>Administrative Assistant II</v>
      </c>
      <c r="E600" s="45" t="str">
        <f>'6.1Personnel List'!H601</f>
        <v>FT</v>
      </c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1"/>
      <c r="AK600" s="41"/>
      <c r="AL600" s="41"/>
      <c r="AM600" s="41"/>
      <c r="AN600" s="41"/>
      <c r="AO600" s="41"/>
      <c r="AP600" s="41"/>
      <c r="AQ600" s="41"/>
      <c r="AR600" s="41"/>
      <c r="AS600" s="41"/>
      <c r="AT600" s="41"/>
      <c r="AU600" s="41"/>
      <c r="AV600" s="41"/>
      <c r="AW600" s="41"/>
      <c r="AX600" s="41"/>
      <c r="AY600" s="41"/>
      <c r="AZ600" s="41"/>
      <c r="BA600" s="41"/>
      <c r="BB600" s="41"/>
      <c r="BC600" s="41"/>
      <c r="BD600" s="41"/>
      <c r="BE600" s="41"/>
      <c r="BF600" s="41"/>
      <c r="BG600" s="41"/>
      <c r="BH600" s="41"/>
      <c r="BJ600" s="41"/>
      <c r="BK600" s="41"/>
      <c r="BL600" s="41"/>
      <c r="BM600" s="41"/>
      <c r="BN600" s="41"/>
      <c r="BO600" s="41"/>
      <c r="BP600" s="41"/>
      <c r="BQ600" s="41"/>
      <c r="BR600" s="41"/>
      <c r="BS600" s="41"/>
      <c r="BT600" s="41"/>
      <c r="BU600" s="41"/>
      <c r="BV600" s="41"/>
      <c r="BW600" s="41"/>
      <c r="BX600" s="41"/>
      <c r="BY600" s="41"/>
      <c r="BZ600" s="41"/>
      <c r="CA600" s="41"/>
      <c r="CB600" s="41"/>
      <c r="CC600" s="41"/>
      <c r="CD600" s="41"/>
      <c r="CE600" s="41">
        <v>0.52</v>
      </c>
      <c r="CF600" s="41"/>
      <c r="CG600" s="41"/>
      <c r="CH600" s="41"/>
      <c r="CI600" s="41"/>
      <c r="CJ600" s="41"/>
      <c r="CK600" s="41"/>
      <c r="CL600" s="41"/>
      <c r="CM600" s="41">
        <v>0.03</v>
      </c>
      <c r="CN600" s="41">
        <v>0.03</v>
      </c>
      <c r="CO600" s="41">
        <v>0.03</v>
      </c>
      <c r="CP600" s="41">
        <v>0.03</v>
      </c>
      <c r="CQ600" s="41">
        <v>0.03</v>
      </c>
      <c r="CR600" s="41"/>
      <c r="CS600" s="41"/>
      <c r="CT600" s="41"/>
      <c r="CU600" s="41"/>
      <c r="CV600" s="41"/>
      <c r="CW600" s="41"/>
      <c r="CX600" s="41"/>
      <c r="CY600" s="41"/>
      <c r="CZ600" s="41"/>
      <c r="DA600" s="41"/>
      <c r="DB600" s="41">
        <v>0.03</v>
      </c>
      <c r="DC600" s="41">
        <v>0.03</v>
      </c>
      <c r="DD600" s="41">
        <v>0.03</v>
      </c>
      <c r="DE600" s="41">
        <v>0.03</v>
      </c>
      <c r="DF600" s="41"/>
      <c r="DG600" s="41"/>
      <c r="DH600" s="41"/>
      <c r="DI600" s="41"/>
      <c r="DJ600" s="41">
        <v>0.03</v>
      </c>
      <c r="DK600" s="41">
        <v>0.03</v>
      </c>
      <c r="DL600" s="41">
        <v>0.03</v>
      </c>
      <c r="DM600" s="41">
        <v>0.03</v>
      </c>
      <c r="DN600" s="41"/>
      <c r="DO600" s="41">
        <v>0.03</v>
      </c>
      <c r="DP600" s="41">
        <v>0.03</v>
      </c>
      <c r="DQ600" s="41"/>
      <c r="DR600" s="41">
        <v>0.03</v>
      </c>
      <c r="DS600" s="43"/>
      <c r="DT600" s="44">
        <f t="shared" ref="DT600" si="582">SUM(F600:DR600)</f>
        <v>1.0000000000000004</v>
      </c>
    </row>
    <row r="601" spans="2:124" s="13" customFormat="1">
      <c r="B601" s="4">
        <f>'6.1Personnel List'!B602</f>
        <v>589</v>
      </c>
      <c r="C601" s="45" t="s">
        <v>785</v>
      </c>
      <c r="D601" s="45" t="str">
        <f>'6.1Personnel List'!D602</f>
        <v>Administrative Assistant II</v>
      </c>
      <c r="E601" s="45" t="str">
        <f>'6.1Personnel List'!H602</f>
        <v>FT</v>
      </c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1"/>
      <c r="AK601" s="41"/>
      <c r="AL601" s="41"/>
      <c r="AM601" s="41"/>
      <c r="AN601" s="41"/>
      <c r="AO601" s="41"/>
      <c r="AP601" s="41"/>
      <c r="AQ601" s="41"/>
      <c r="AR601" s="41"/>
      <c r="AS601" s="41"/>
      <c r="AT601" s="41"/>
      <c r="AU601" s="41"/>
      <c r="AV601" s="41"/>
      <c r="AW601" s="41"/>
      <c r="AX601" s="41"/>
      <c r="AY601" s="41"/>
      <c r="AZ601" s="41"/>
      <c r="BA601" s="41"/>
      <c r="BB601" s="41"/>
      <c r="BC601" s="41"/>
      <c r="BD601" s="41"/>
      <c r="BE601" s="41"/>
      <c r="BF601" s="41"/>
      <c r="BG601" s="41"/>
      <c r="BH601" s="41"/>
      <c r="BJ601" s="41"/>
      <c r="BK601" s="41"/>
      <c r="BL601" s="41"/>
      <c r="BM601" s="41"/>
      <c r="BN601" s="41"/>
      <c r="BO601" s="41"/>
      <c r="BP601" s="41"/>
      <c r="BQ601" s="41"/>
      <c r="BR601" s="41"/>
      <c r="BS601" s="41"/>
      <c r="BT601" s="41"/>
      <c r="BU601" s="41"/>
      <c r="BV601" s="41"/>
      <c r="BW601" s="41"/>
      <c r="BX601" s="41"/>
      <c r="BY601" s="41"/>
      <c r="BZ601" s="41"/>
      <c r="CA601" s="41"/>
      <c r="CB601" s="41"/>
      <c r="CC601" s="41"/>
      <c r="CD601" s="41"/>
      <c r="CE601" s="41">
        <v>0.52</v>
      </c>
      <c r="CF601" s="41"/>
      <c r="CG601" s="41"/>
      <c r="CH601" s="41"/>
      <c r="CI601" s="41"/>
      <c r="CJ601" s="41"/>
      <c r="CK601" s="41"/>
      <c r="CL601" s="41"/>
      <c r="CM601" s="41">
        <v>0.03</v>
      </c>
      <c r="CN601" s="41">
        <v>0.03</v>
      </c>
      <c r="CO601" s="41">
        <v>0.03</v>
      </c>
      <c r="CP601" s="41">
        <v>0.03</v>
      </c>
      <c r="CQ601" s="41">
        <v>0.03</v>
      </c>
      <c r="CR601" s="41"/>
      <c r="CS601" s="41"/>
      <c r="CT601" s="41"/>
      <c r="CU601" s="41"/>
      <c r="CV601" s="41"/>
      <c r="CW601" s="41"/>
      <c r="CX601" s="41"/>
      <c r="CY601" s="41"/>
      <c r="CZ601" s="41"/>
      <c r="DA601" s="41"/>
      <c r="DB601" s="41">
        <v>0.03</v>
      </c>
      <c r="DC601" s="41">
        <v>0.03</v>
      </c>
      <c r="DD601" s="41">
        <v>0.03</v>
      </c>
      <c r="DE601" s="41">
        <v>0.03</v>
      </c>
      <c r="DF601" s="41"/>
      <c r="DG601" s="41"/>
      <c r="DH601" s="41"/>
      <c r="DI601" s="41"/>
      <c r="DJ601" s="41">
        <v>0.03</v>
      </c>
      <c r="DK601" s="41">
        <v>0.03</v>
      </c>
      <c r="DL601" s="41">
        <v>0.03</v>
      </c>
      <c r="DM601" s="41">
        <v>0.03</v>
      </c>
      <c r="DN601" s="41"/>
      <c r="DO601" s="41">
        <v>0.03</v>
      </c>
      <c r="DP601" s="41">
        <v>0.03</v>
      </c>
      <c r="DQ601" s="41"/>
      <c r="DR601" s="41">
        <v>0.03</v>
      </c>
      <c r="DS601" s="43"/>
      <c r="DT601" s="44">
        <f t="shared" ref="DT601" si="583">SUM(F601:DR601)</f>
        <v>1.0000000000000004</v>
      </c>
    </row>
    <row r="602" spans="2:124" s="13" customFormat="1">
      <c r="B602" s="4">
        <f>'6.1Personnel List'!B603</f>
        <v>590</v>
      </c>
      <c r="C602" s="45" t="s">
        <v>786</v>
      </c>
      <c r="D602" s="45" t="str">
        <f>'6.1Personnel List'!D603</f>
        <v>Administrative Assistant II</v>
      </c>
      <c r="E602" s="45" t="str">
        <f>'6.1Personnel List'!H603</f>
        <v>FT</v>
      </c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1"/>
      <c r="AK602" s="41"/>
      <c r="AL602" s="41"/>
      <c r="AM602" s="41"/>
      <c r="AN602" s="41"/>
      <c r="AO602" s="41"/>
      <c r="AP602" s="41"/>
      <c r="AQ602" s="41"/>
      <c r="AR602" s="41"/>
      <c r="AS602" s="41"/>
      <c r="AT602" s="41"/>
      <c r="AU602" s="41"/>
      <c r="AV602" s="41"/>
      <c r="AW602" s="41"/>
      <c r="AX602" s="41"/>
      <c r="AY602" s="41"/>
      <c r="AZ602" s="41"/>
      <c r="BA602" s="41"/>
      <c r="BB602" s="41"/>
      <c r="BC602" s="41"/>
      <c r="BD602" s="41"/>
      <c r="BE602" s="41"/>
      <c r="BF602" s="41"/>
      <c r="BG602" s="41"/>
      <c r="BH602" s="41"/>
      <c r="BJ602" s="41"/>
      <c r="BK602" s="41"/>
      <c r="BL602" s="41"/>
      <c r="BM602" s="41"/>
      <c r="BN602" s="41"/>
      <c r="BO602" s="41"/>
      <c r="BP602" s="41"/>
      <c r="BQ602" s="41"/>
      <c r="BR602" s="41"/>
      <c r="BS602" s="41"/>
      <c r="BT602" s="41"/>
      <c r="BU602" s="41"/>
      <c r="BV602" s="41"/>
      <c r="BW602" s="41"/>
      <c r="BX602" s="41"/>
      <c r="BY602" s="41"/>
      <c r="BZ602" s="41"/>
      <c r="CA602" s="41"/>
      <c r="CB602" s="41"/>
      <c r="CC602" s="41"/>
      <c r="CD602" s="41"/>
      <c r="CE602" s="41">
        <v>0.52</v>
      </c>
      <c r="CF602" s="41"/>
      <c r="CG602" s="41"/>
      <c r="CH602" s="41"/>
      <c r="CI602" s="41"/>
      <c r="CJ602" s="41"/>
      <c r="CK602" s="41"/>
      <c r="CL602" s="41"/>
      <c r="CM602" s="41">
        <v>0.03</v>
      </c>
      <c r="CN602" s="41">
        <v>0.03</v>
      </c>
      <c r="CO602" s="41">
        <v>0.03</v>
      </c>
      <c r="CP602" s="41">
        <v>0.03</v>
      </c>
      <c r="CQ602" s="41">
        <v>0.03</v>
      </c>
      <c r="CR602" s="41"/>
      <c r="CS602" s="41"/>
      <c r="CT602" s="41"/>
      <c r="CU602" s="41"/>
      <c r="CV602" s="41"/>
      <c r="CW602" s="41"/>
      <c r="CX602" s="41"/>
      <c r="CY602" s="41"/>
      <c r="CZ602" s="41"/>
      <c r="DA602" s="41"/>
      <c r="DB602" s="41">
        <v>0.03</v>
      </c>
      <c r="DC602" s="41">
        <v>0.03</v>
      </c>
      <c r="DD602" s="41">
        <v>0.03</v>
      </c>
      <c r="DE602" s="41">
        <v>0.03</v>
      </c>
      <c r="DF602" s="41"/>
      <c r="DG602" s="41"/>
      <c r="DH602" s="41"/>
      <c r="DI602" s="41"/>
      <c r="DJ602" s="41">
        <v>0.03</v>
      </c>
      <c r="DK602" s="41">
        <v>0.03</v>
      </c>
      <c r="DL602" s="41">
        <v>0.03</v>
      </c>
      <c r="DM602" s="41">
        <v>0.03</v>
      </c>
      <c r="DN602" s="41"/>
      <c r="DO602" s="41">
        <v>0.03</v>
      </c>
      <c r="DP602" s="41">
        <v>0.03</v>
      </c>
      <c r="DQ602" s="41"/>
      <c r="DR602" s="41">
        <v>0.03</v>
      </c>
      <c r="DS602" s="43"/>
      <c r="DT602" s="44">
        <f t="shared" ref="DT602" si="584">SUM(F602:DR602)</f>
        <v>1.0000000000000004</v>
      </c>
    </row>
    <row r="603" spans="2:124" s="13" customFormat="1">
      <c r="B603" s="4">
        <f>'6.1Personnel List'!B604</f>
        <v>591</v>
      </c>
      <c r="C603" s="45" t="s">
        <v>787</v>
      </c>
      <c r="D603" s="45" t="str">
        <f>'6.1Personnel List'!D604</f>
        <v>Administrative Assistant I</v>
      </c>
      <c r="E603" s="45" t="str">
        <f>'6.1Personnel List'!H604</f>
        <v>FT</v>
      </c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1"/>
      <c r="AK603" s="41"/>
      <c r="AL603" s="41"/>
      <c r="AM603" s="41"/>
      <c r="AN603" s="41"/>
      <c r="AO603" s="41"/>
      <c r="AP603" s="41"/>
      <c r="AQ603" s="41"/>
      <c r="AR603" s="41"/>
      <c r="AS603" s="41"/>
      <c r="AT603" s="41"/>
      <c r="AU603" s="41"/>
      <c r="AV603" s="41"/>
      <c r="AW603" s="41"/>
      <c r="AX603" s="41"/>
      <c r="AY603" s="41"/>
      <c r="AZ603" s="41"/>
      <c r="BA603" s="41"/>
      <c r="BB603" s="41"/>
      <c r="BC603" s="41"/>
      <c r="BD603" s="41"/>
      <c r="BE603" s="41"/>
      <c r="BF603" s="41"/>
      <c r="BG603" s="41"/>
      <c r="BH603" s="41"/>
      <c r="BJ603" s="41"/>
      <c r="BK603" s="41"/>
      <c r="BL603" s="41"/>
      <c r="BM603" s="41"/>
      <c r="BN603" s="41"/>
      <c r="BO603" s="41"/>
      <c r="BP603" s="41"/>
      <c r="BQ603" s="41"/>
      <c r="BR603" s="41"/>
      <c r="BS603" s="41"/>
      <c r="BT603" s="41"/>
      <c r="BU603" s="41"/>
      <c r="BV603" s="41"/>
      <c r="BW603" s="41"/>
      <c r="BX603" s="41"/>
      <c r="BY603" s="41"/>
      <c r="BZ603" s="41"/>
      <c r="CA603" s="41"/>
      <c r="CB603" s="41"/>
      <c r="CC603" s="41"/>
      <c r="CD603" s="41"/>
      <c r="CE603" s="41">
        <v>0.52</v>
      </c>
      <c r="CF603" s="41"/>
      <c r="CG603" s="41"/>
      <c r="CH603" s="41"/>
      <c r="CI603" s="41"/>
      <c r="CJ603" s="41"/>
      <c r="CK603" s="41"/>
      <c r="CL603" s="41"/>
      <c r="CM603" s="41">
        <v>0.03</v>
      </c>
      <c r="CN603" s="41">
        <v>0.03</v>
      </c>
      <c r="CO603" s="41">
        <v>0.03</v>
      </c>
      <c r="CP603" s="41">
        <v>0.03</v>
      </c>
      <c r="CQ603" s="41">
        <v>0.03</v>
      </c>
      <c r="CR603" s="41"/>
      <c r="CS603" s="41"/>
      <c r="CT603" s="41"/>
      <c r="CU603" s="41"/>
      <c r="CV603" s="41"/>
      <c r="CW603" s="41"/>
      <c r="CX603" s="41"/>
      <c r="CY603" s="41"/>
      <c r="CZ603" s="41"/>
      <c r="DA603" s="41"/>
      <c r="DB603" s="41">
        <v>0.03</v>
      </c>
      <c r="DC603" s="41">
        <v>0.03</v>
      </c>
      <c r="DD603" s="41">
        <v>0.03</v>
      </c>
      <c r="DE603" s="41">
        <v>0.03</v>
      </c>
      <c r="DF603" s="41"/>
      <c r="DG603" s="41"/>
      <c r="DH603" s="41"/>
      <c r="DI603" s="41"/>
      <c r="DJ603" s="41">
        <v>0.03</v>
      </c>
      <c r="DK603" s="41">
        <v>0.03</v>
      </c>
      <c r="DL603" s="41">
        <v>0.03</v>
      </c>
      <c r="DM603" s="41">
        <v>0.03</v>
      </c>
      <c r="DN603" s="41"/>
      <c r="DO603" s="41">
        <v>0.03</v>
      </c>
      <c r="DP603" s="41">
        <v>0.03</v>
      </c>
      <c r="DQ603" s="41"/>
      <c r="DR603" s="41">
        <v>0.03</v>
      </c>
      <c r="DS603" s="43"/>
      <c r="DT603" s="44">
        <f t="shared" ref="DT603" si="585">SUM(F603:DR603)</f>
        <v>1.0000000000000004</v>
      </c>
    </row>
    <row r="604" spans="2:124" s="13" customFormat="1">
      <c r="B604" s="4">
        <f>'6.1Personnel List'!B605</f>
        <v>592</v>
      </c>
      <c r="C604" s="45" t="s">
        <v>788</v>
      </c>
      <c r="D604" s="45" t="str">
        <f>'6.1Personnel List'!D605</f>
        <v>Administrative Assistant I</v>
      </c>
      <c r="E604" s="45" t="str">
        <f>'6.1Personnel List'!H605</f>
        <v>FT</v>
      </c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  <c r="AA604" s="41"/>
      <c r="AB604" s="41"/>
      <c r="AC604" s="41"/>
      <c r="AD604" s="41"/>
      <c r="AE604" s="41"/>
      <c r="AF604" s="41"/>
      <c r="AG604" s="41"/>
      <c r="AH604" s="41"/>
      <c r="AI604" s="41"/>
      <c r="AJ604" s="41"/>
      <c r="AK604" s="41"/>
      <c r="AL604" s="41"/>
      <c r="AM604" s="41"/>
      <c r="AN604" s="41"/>
      <c r="AO604" s="41"/>
      <c r="AP604" s="41"/>
      <c r="AQ604" s="41"/>
      <c r="AR604" s="41"/>
      <c r="AS604" s="41"/>
      <c r="AT604" s="41"/>
      <c r="AU604" s="41"/>
      <c r="AV604" s="41"/>
      <c r="AW604" s="41"/>
      <c r="AX604" s="41"/>
      <c r="AY604" s="41"/>
      <c r="AZ604" s="41"/>
      <c r="BA604" s="41"/>
      <c r="BB604" s="41"/>
      <c r="BC604" s="41"/>
      <c r="BD604" s="41"/>
      <c r="BE604" s="41"/>
      <c r="BF604" s="41"/>
      <c r="BG604" s="41"/>
      <c r="BH604" s="41"/>
      <c r="BJ604" s="41"/>
      <c r="BK604" s="41"/>
      <c r="BL604" s="41"/>
      <c r="BM604" s="41"/>
      <c r="BN604" s="41"/>
      <c r="BO604" s="41"/>
      <c r="BP604" s="41"/>
      <c r="BQ604" s="41"/>
      <c r="BR604" s="41"/>
      <c r="BS604" s="41"/>
      <c r="BT604" s="41"/>
      <c r="BU604" s="41"/>
      <c r="BV604" s="41"/>
      <c r="BW604" s="41"/>
      <c r="BX604" s="41"/>
      <c r="BY604" s="41"/>
      <c r="BZ604" s="41"/>
      <c r="CA604" s="41"/>
      <c r="CB604" s="41"/>
      <c r="CC604" s="41"/>
      <c r="CD604" s="41"/>
      <c r="CE604" s="41">
        <v>0.52</v>
      </c>
      <c r="CF604" s="41"/>
      <c r="CG604" s="41"/>
      <c r="CH604" s="41"/>
      <c r="CI604" s="41"/>
      <c r="CJ604" s="41"/>
      <c r="CK604" s="41"/>
      <c r="CL604" s="41"/>
      <c r="CM604" s="41">
        <v>0.03</v>
      </c>
      <c r="CN604" s="41">
        <v>0.03</v>
      </c>
      <c r="CO604" s="41">
        <v>0.03</v>
      </c>
      <c r="CP604" s="41">
        <v>0.03</v>
      </c>
      <c r="CQ604" s="41">
        <v>0.03</v>
      </c>
      <c r="CR604" s="41"/>
      <c r="CS604" s="41"/>
      <c r="CT604" s="41"/>
      <c r="CU604" s="41"/>
      <c r="CV604" s="41"/>
      <c r="CW604" s="41"/>
      <c r="CX604" s="41"/>
      <c r="CY604" s="41"/>
      <c r="CZ604" s="41"/>
      <c r="DA604" s="41"/>
      <c r="DB604" s="41">
        <v>0.03</v>
      </c>
      <c r="DC604" s="41">
        <v>0.03</v>
      </c>
      <c r="DD604" s="41">
        <v>0.03</v>
      </c>
      <c r="DE604" s="41">
        <v>0.03</v>
      </c>
      <c r="DF604" s="41"/>
      <c r="DG604" s="41"/>
      <c r="DH604" s="41"/>
      <c r="DI604" s="41"/>
      <c r="DJ604" s="41">
        <v>0.03</v>
      </c>
      <c r="DK604" s="41">
        <v>0.03</v>
      </c>
      <c r="DL604" s="41">
        <v>0.03</v>
      </c>
      <c r="DM604" s="41">
        <v>0.03</v>
      </c>
      <c r="DN604" s="41"/>
      <c r="DO604" s="41">
        <v>0.03</v>
      </c>
      <c r="DP604" s="41">
        <v>0.03</v>
      </c>
      <c r="DQ604" s="41"/>
      <c r="DR604" s="41">
        <v>0.03</v>
      </c>
      <c r="DS604" s="43"/>
      <c r="DT604" s="44">
        <f t="shared" ref="DT604" si="586">SUM(F604:DR604)</f>
        <v>1.0000000000000004</v>
      </c>
    </row>
    <row r="605" spans="2:124" s="13" customFormat="1">
      <c r="B605" s="4">
        <f>'6.1Personnel List'!B606</f>
        <v>593</v>
      </c>
      <c r="C605" s="45" t="s">
        <v>789</v>
      </c>
      <c r="D605" s="45" t="str">
        <f>'6.1Personnel List'!D606</f>
        <v>Administrative Assistant I</v>
      </c>
      <c r="E605" s="45" t="str">
        <f>'6.1Personnel List'!H606</f>
        <v>FT</v>
      </c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  <c r="AA605" s="41"/>
      <c r="AB605" s="41"/>
      <c r="AC605" s="41"/>
      <c r="AD605" s="41"/>
      <c r="AE605" s="41"/>
      <c r="AF605" s="41"/>
      <c r="AG605" s="41"/>
      <c r="AH605" s="41"/>
      <c r="AI605" s="41"/>
      <c r="AJ605" s="41"/>
      <c r="AK605" s="41"/>
      <c r="AL605" s="41"/>
      <c r="AM605" s="41"/>
      <c r="AN605" s="41"/>
      <c r="AO605" s="41"/>
      <c r="AP605" s="41"/>
      <c r="AQ605" s="41"/>
      <c r="AR605" s="41"/>
      <c r="AS605" s="41"/>
      <c r="AT605" s="41"/>
      <c r="AU605" s="41"/>
      <c r="AV605" s="41"/>
      <c r="AW605" s="41"/>
      <c r="AX605" s="41"/>
      <c r="AY605" s="41"/>
      <c r="AZ605" s="41"/>
      <c r="BA605" s="41"/>
      <c r="BB605" s="41"/>
      <c r="BC605" s="41"/>
      <c r="BD605" s="41"/>
      <c r="BE605" s="41"/>
      <c r="BF605" s="41"/>
      <c r="BG605" s="41"/>
      <c r="BH605" s="41"/>
      <c r="BJ605" s="41"/>
      <c r="BK605" s="41"/>
      <c r="BL605" s="41"/>
      <c r="BM605" s="41"/>
      <c r="BN605" s="41"/>
      <c r="BO605" s="41"/>
      <c r="BP605" s="41"/>
      <c r="BQ605" s="41"/>
      <c r="BR605" s="41"/>
      <c r="BS605" s="41"/>
      <c r="BT605" s="41"/>
      <c r="BU605" s="41"/>
      <c r="BV605" s="41"/>
      <c r="BW605" s="41"/>
      <c r="BX605" s="41"/>
      <c r="BY605" s="41"/>
      <c r="BZ605" s="41"/>
      <c r="CA605" s="41"/>
      <c r="CB605" s="41"/>
      <c r="CC605" s="41"/>
      <c r="CD605" s="41"/>
      <c r="CE605" s="41">
        <v>0.52</v>
      </c>
      <c r="CF605" s="41"/>
      <c r="CG605" s="41"/>
      <c r="CH605" s="41"/>
      <c r="CI605" s="41"/>
      <c r="CJ605" s="41"/>
      <c r="CK605" s="41"/>
      <c r="CL605" s="41"/>
      <c r="CM605" s="41">
        <v>0.03</v>
      </c>
      <c r="CN605" s="41">
        <v>0.03</v>
      </c>
      <c r="CO605" s="41">
        <v>0.03</v>
      </c>
      <c r="CP605" s="41">
        <v>0.03</v>
      </c>
      <c r="CQ605" s="41">
        <v>0.03</v>
      </c>
      <c r="CR605" s="41"/>
      <c r="CS605" s="41"/>
      <c r="CT605" s="41"/>
      <c r="CU605" s="41"/>
      <c r="CV605" s="41"/>
      <c r="CW605" s="41"/>
      <c r="CX605" s="41"/>
      <c r="CY605" s="41"/>
      <c r="CZ605" s="41"/>
      <c r="DA605" s="41"/>
      <c r="DB605" s="41">
        <v>0.03</v>
      </c>
      <c r="DC605" s="41">
        <v>0.03</v>
      </c>
      <c r="DD605" s="41">
        <v>0.03</v>
      </c>
      <c r="DE605" s="41">
        <v>0.03</v>
      </c>
      <c r="DF605" s="41"/>
      <c r="DG605" s="41"/>
      <c r="DH605" s="41"/>
      <c r="DI605" s="41"/>
      <c r="DJ605" s="41">
        <v>0.03</v>
      </c>
      <c r="DK605" s="41">
        <v>0.03</v>
      </c>
      <c r="DL605" s="41">
        <v>0.03</v>
      </c>
      <c r="DM605" s="41">
        <v>0.03</v>
      </c>
      <c r="DN605" s="41"/>
      <c r="DO605" s="41">
        <v>0.03</v>
      </c>
      <c r="DP605" s="41">
        <v>0.03</v>
      </c>
      <c r="DQ605" s="41"/>
      <c r="DR605" s="41">
        <v>0.03</v>
      </c>
      <c r="DS605" s="43"/>
      <c r="DT605" s="44">
        <f t="shared" ref="DT605" si="587">SUM(F605:DR605)</f>
        <v>1.0000000000000004</v>
      </c>
    </row>
    <row r="606" spans="2:124" s="13" customFormat="1">
      <c r="B606" s="4">
        <f>'6.1Personnel List'!B607</f>
        <v>594</v>
      </c>
      <c r="C606" s="45" t="s">
        <v>790</v>
      </c>
      <c r="D606" s="45" t="str">
        <f>'6.1Personnel List'!D607</f>
        <v>Administrative Assistant I</v>
      </c>
      <c r="E606" s="45" t="str">
        <f>'6.1Personnel List'!H607</f>
        <v>FT</v>
      </c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  <c r="AA606" s="41"/>
      <c r="AB606" s="41"/>
      <c r="AC606" s="41"/>
      <c r="AD606" s="41"/>
      <c r="AE606" s="41"/>
      <c r="AF606" s="41"/>
      <c r="AG606" s="41"/>
      <c r="AH606" s="41"/>
      <c r="AI606" s="41"/>
      <c r="AJ606" s="41"/>
      <c r="AK606" s="41"/>
      <c r="AL606" s="41"/>
      <c r="AM606" s="41"/>
      <c r="AN606" s="41"/>
      <c r="AO606" s="41"/>
      <c r="AP606" s="41"/>
      <c r="AQ606" s="41"/>
      <c r="AR606" s="41"/>
      <c r="AS606" s="41"/>
      <c r="AT606" s="41"/>
      <c r="AU606" s="41"/>
      <c r="AV606" s="41"/>
      <c r="AW606" s="41"/>
      <c r="AX606" s="41"/>
      <c r="AY606" s="41"/>
      <c r="AZ606" s="41"/>
      <c r="BA606" s="41"/>
      <c r="BB606" s="41"/>
      <c r="BC606" s="41"/>
      <c r="BD606" s="41"/>
      <c r="BE606" s="41"/>
      <c r="BF606" s="41"/>
      <c r="BG606" s="41"/>
      <c r="BH606" s="41"/>
      <c r="BJ606" s="41"/>
      <c r="BK606" s="41"/>
      <c r="BL606" s="41"/>
      <c r="BM606" s="41"/>
      <c r="BN606" s="41"/>
      <c r="BO606" s="41"/>
      <c r="BP606" s="41"/>
      <c r="BQ606" s="41"/>
      <c r="BR606" s="41"/>
      <c r="BS606" s="41"/>
      <c r="BT606" s="41"/>
      <c r="BU606" s="41"/>
      <c r="BV606" s="41"/>
      <c r="BW606" s="41"/>
      <c r="BX606" s="41"/>
      <c r="BY606" s="41"/>
      <c r="BZ606" s="41"/>
      <c r="CA606" s="41"/>
      <c r="CB606" s="41"/>
      <c r="CC606" s="41"/>
      <c r="CD606" s="41"/>
      <c r="CE606" s="41">
        <v>0.52</v>
      </c>
      <c r="CF606" s="41"/>
      <c r="CG606" s="41"/>
      <c r="CH606" s="41"/>
      <c r="CI606" s="41"/>
      <c r="CJ606" s="41"/>
      <c r="CK606" s="41"/>
      <c r="CL606" s="41"/>
      <c r="CM606" s="41">
        <v>0.03</v>
      </c>
      <c r="CN606" s="41">
        <v>0.03</v>
      </c>
      <c r="CO606" s="41">
        <v>0.03</v>
      </c>
      <c r="CP606" s="41">
        <v>0.03</v>
      </c>
      <c r="CQ606" s="41">
        <v>0.03</v>
      </c>
      <c r="CR606" s="41"/>
      <c r="CS606" s="41"/>
      <c r="CT606" s="41"/>
      <c r="CU606" s="41"/>
      <c r="CV606" s="41"/>
      <c r="CW606" s="41"/>
      <c r="CX606" s="41"/>
      <c r="CY606" s="41"/>
      <c r="CZ606" s="41"/>
      <c r="DA606" s="41"/>
      <c r="DB606" s="41">
        <v>0.03</v>
      </c>
      <c r="DC606" s="41">
        <v>0.03</v>
      </c>
      <c r="DD606" s="41">
        <v>0.03</v>
      </c>
      <c r="DE606" s="41">
        <v>0.03</v>
      </c>
      <c r="DF606" s="41"/>
      <c r="DG606" s="41"/>
      <c r="DH606" s="41"/>
      <c r="DI606" s="41"/>
      <c r="DJ606" s="41">
        <v>0.03</v>
      </c>
      <c r="DK606" s="41">
        <v>0.03</v>
      </c>
      <c r="DL606" s="41">
        <v>0.03</v>
      </c>
      <c r="DM606" s="41">
        <v>0.03</v>
      </c>
      <c r="DN606" s="41"/>
      <c r="DO606" s="41">
        <v>0.03</v>
      </c>
      <c r="DP606" s="41">
        <v>0.03</v>
      </c>
      <c r="DQ606" s="41"/>
      <c r="DR606" s="41">
        <v>0.03</v>
      </c>
      <c r="DS606" s="43"/>
      <c r="DT606" s="44">
        <f t="shared" ref="DT606" si="588">SUM(F606:DR606)</f>
        <v>1.0000000000000004</v>
      </c>
    </row>
    <row r="607" spans="2:124" s="13" customFormat="1">
      <c r="B607" s="4">
        <f>'6.1Personnel List'!B608</f>
        <v>595</v>
      </c>
      <c r="C607" s="45" t="s">
        <v>792</v>
      </c>
      <c r="D607" s="45" t="str">
        <f>'6.1Personnel List'!D608</f>
        <v>Chief Administrative Officer</v>
      </c>
      <c r="E607" s="45" t="str">
        <f>'6.1Personnel List'!H608</f>
        <v>FT</v>
      </c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  <c r="AA607" s="41"/>
      <c r="AB607" s="41"/>
      <c r="AC607" s="41"/>
      <c r="AD607" s="41"/>
      <c r="AE607" s="41"/>
      <c r="AF607" s="41"/>
      <c r="AG607" s="41"/>
      <c r="AH607" s="41"/>
      <c r="AI607" s="41"/>
      <c r="AJ607" s="41"/>
      <c r="AK607" s="41"/>
      <c r="AL607" s="41"/>
      <c r="AM607" s="41"/>
      <c r="AN607" s="41"/>
      <c r="AO607" s="41"/>
      <c r="AP607" s="41"/>
      <c r="AQ607" s="41"/>
      <c r="AR607" s="41"/>
      <c r="AS607" s="41"/>
      <c r="AT607" s="41"/>
      <c r="AU607" s="41"/>
      <c r="AV607" s="41"/>
      <c r="AW607" s="41"/>
      <c r="AX607" s="41"/>
      <c r="AY607" s="41"/>
      <c r="AZ607" s="41"/>
      <c r="BA607" s="41"/>
      <c r="BB607" s="41"/>
      <c r="BC607" s="41"/>
      <c r="BD607" s="41"/>
      <c r="BE607" s="41"/>
      <c r="BF607" s="41"/>
      <c r="BG607" s="41"/>
      <c r="BH607" s="41"/>
      <c r="BJ607" s="41"/>
      <c r="BK607" s="41"/>
      <c r="BL607" s="41">
        <v>1</v>
      </c>
      <c r="BM607" s="41"/>
      <c r="BN607" s="41"/>
      <c r="BO607" s="41"/>
      <c r="BP607" s="41"/>
      <c r="BQ607" s="41"/>
      <c r="BR607" s="41"/>
      <c r="BS607" s="41"/>
      <c r="BT607" s="41"/>
      <c r="BU607" s="41"/>
      <c r="BV607" s="41"/>
      <c r="BW607" s="41"/>
      <c r="BX607" s="41"/>
      <c r="BY607" s="41"/>
      <c r="BZ607" s="41"/>
      <c r="CA607" s="41"/>
      <c r="CB607" s="41"/>
      <c r="CC607" s="41"/>
      <c r="CD607" s="41"/>
      <c r="CE607" s="41"/>
      <c r="CF607" s="41"/>
      <c r="CG607" s="41"/>
      <c r="CH607" s="41"/>
      <c r="CI607" s="41"/>
      <c r="CJ607" s="41"/>
      <c r="CK607" s="41"/>
      <c r="CL607" s="41"/>
      <c r="CM607" s="41"/>
      <c r="CN607" s="41"/>
      <c r="CO607" s="41"/>
      <c r="CP607" s="41"/>
      <c r="CQ607" s="41"/>
      <c r="CR607" s="41"/>
      <c r="CS607" s="41"/>
      <c r="CT607" s="41"/>
      <c r="CU607" s="41"/>
      <c r="CV607" s="41"/>
      <c r="CW607" s="41"/>
      <c r="CX607" s="41"/>
      <c r="CY607" s="41"/>
      <c r="CZ607" s="41"/>
      <c r="DA607" s="41"/>
      <c r="DB607" s="41"/>
      <c r="DC607" s="41"/>
      <c r="DD607" s="41"/>
      <c r="DE607" s="41"/>
      <c r="DF607" s="41"/>
      <c r="DG607" s="41"/>
      <c r="DH607" s="41"/>
      <c r="DI607" s="41"/>
      <c r="DJ607" s="41"/>
      <c r="DK607" s="41"/>
      <c r="DL607" s="41"/>
      <c r="DM607" s="41"/>
      <c r="DN607" s="41"/>
      <c r="DO607" s="41"/>
      <c r="DP607" s="41"/>
      <c r="DQ607" s="41"/>
      <c r="DR607" s="41"/>
      <c r="DS607" s="43"/>
      <c r="DT607" s="44">
        <f t="shared" ref="DT607" si="589">SUM(F607:DR607)</f>
        <v>1</v>
      </c>
    </row>
    <row r="608" spans="2:124" s="13" customFormat="1">
      <c r="B608" s="4">
        <f>'6.1Personnel List'!B609</f>
        <v>596</v>
      </c>
      <c r="C608" s="45" t="s">
        <v>793</v>
      </c>
      <c r="D608" s="45" t="str">
        <f>'6.1Personnel List'!D609</f>
        <v>Administrative Officer II</v>
      </c>
      <c r="E608" s="45" t="str">
        <f>'6.1Personnel List'!H609</f>
        <v>FT</v>
      </c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  <c r="AA608" s="41"/>
      <c r="AB608" s="41"/>
      <c r="AC608" s="41"/>
      <c r="AD608" s="41"/>
      <c r="AE608" s="41"/>
      <c r="AF608" s="41"/>
      <c r="AG608" s="41"/>
      <c r="AH608" s="41"/>
      <c r="AI608" s="41"/>
      <c r="AJ608" s="41"/>
      <c r="AK608" s="41"/>
      <c r="AL608" s="41"/>
      <c r="AM608" s="41"/>
      <c r="AN608" s="41"/>
      <c r="AO608" s="41"/>
      <c r="AP608" s="41"/>
      <c r="AQ608" s="41"/>
      <c r="AR608" s="41"/>
      <c r="AS608" s="41"/>
      <c r="AT608" s="41"/>
      <c r="AU608" s="41"/>
      <c r="AV608" s="41"/>
      <c r="AW608" s="41"/>
      <c r="AX608" s="41"/>
      <c r="AY608" s="41"/>
      <c r="AZ608" s="41"/>
      <c r="BA608" s="41"/>
      <c r="BB608" s="41"/>
      <c r="BC608" s="41"/>
      <c r="BD608" s="41"/>
      <c r="BE608" s="41"/>
      <c r="BF608" s="41"/>
      <c r="BG608" s="41"/>
      <c r="BH608" s="41"/>
      <c r="BJ608" s="41"/>
      <c r="BK608" s="41"/>
      <c r="BL608" s="41">
        <v>1</v>
      </c>
      <c r="BM608" s="41"/>
      <c r="BN608" s="41"/>
      <c r="BO608" s="41"/>
      <c r="BP608" s="41"/>
      <c r="BQ608" s="41"/>
      <c r="BR608" s="41"/>
      <c r="BS608" s="41"/>
      <c r="BT608" s="41"/>
      <c r="BU608" s="41"/>
      <c r="BV608" s="41"/>
      <c r="BW608" s="41"/>
      <c r="BX608" s="41"/>
      <c r="BY608" s="41"/>
      <c r="BZ608" s="41"/>
      <c r="CA608" s="41"/>
      <c r="CB608" s="41"/>
      <c r="CC608" s="41"/>
      <c r="CD608" s="41"/>
      <c r="CE608" s="41"/>
      <c r="CF608" s="41"/>
      <c r="CG608" s="41"/>
      <c r="CH608" s="41"/>
      <c r="CI608" s="41"/>
      <c r="CJ608" s="41"/>
      <c r="CK608" s="41"/>
      <c r="CL608" s="41"/>
      <c r="CM608" s="41"/>
      <c r="CN608" s="41"/>
      <c r="CO608" s="41"/>
      <c r="CP608" s="41"/>
      <c r="CQ608" s="41"/>
      <c r="CR608" s="41"/>
      <c r="CS608" s="41"/>
      <c r="CT608" s="41"/>
      <c r="CU608" s="41"/>
      <c r="CV608" s="41"/>
      <c r="CW608" s="41"/>
      <c r="CX608" s="41"/>
      <c r="CY608" s="41"/>
      <c r="CZ608" s="41"/>
      <c r="DA608" s="41"/>
      <c r="DB608" s="41"/>
      <c r="DC608" s="41"/>
      <c r="DD608" s="41"/>
      <c r="DE608" s="41"/>
      <c r="DF608" s="41"/>
      <c r="DG608" s="41"/>
      <c r="DH608" s="41"/>
      <c r="DI608" s="41"/>
      <c r="DJ608" s="41"/>
      <c r="DK608" s="41"/>
      <c r="DL608" s="41"/>
      <c r="DM608" s="41"/>
      <c r="DN608" s="41"/>
      <c r="DO608" s="41"/>
      <c r="DP608" s="41"/>
      <c r="DQ608" s="41"/>
      <c r="DR608" s="41"/>
      <c r="DS608" s="43"/>
      <c r="DT608" s="44">
        <f t="shared" ref="DT608" si="590">SUM(F608:DR608)</f>
        <v>1</v>
      </c>
    </row>
    <row r="609" spans="2:124" s="13" customFormat="1">
      <c r="B609" s="4">
        <f>'6.1Personnel List'!B610</f>
        <v>597</v>
      </c>
      <c r="C609" s="45" t="s">
        <v>794</v>
      </c>
      <c r="D609" s="45" t="str">
        <f>'6.1Personnel List'!D610</f>
        <v>Administrative Assistant II</v>
      </c>
      <c r="E609" s="45" t="str">
        <f>'6.1Personnel List'!H610</f>
        <v>FT</v>
      </c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1"/>
      <c r="AK609" s="41"/>
      <c r="AL609" s="41"/>
      <c r="AM609" s="41"/>
      <c r="AN609" s="41"/>
      <c r="AO609" s="41"/>
      <c r="AP609" s="41"/>
      <c r="AQ609" s="41"/>
      <c r="AR609" s="41"/>
      <c r="AS609" s="41"/>
      <c r="AT609" s="41"/>
      <c r="AU609" s="41"/>
      <c r="AV609" s="41"/>
      <c r="AW609" s="41"/>
      <c r="AX609" s="41"/>
      <c r="AY609" s="41"/>
      <c r="AZ609" s="41"/>
      <c r="BA609" s="41"/>
      <c r="BB609" s="41"/>
      <c r="BC609" s="41"/>
      <c r="BD609" s="41"/>
      <c r="BE609" s="41"/>
      <c r="BF609" s="41"/>
      <c r="BG609" s="41"/>
      <c r="BH609" s="41"/>
      <c r="BJ609" s="41"/>
      <c r="BK609" s="41"/>
      <c r="BL609" s="41">
        <v>1</v>
      </c>
      <c r="BM609" s="41"/>
      <c r="BN609" s="41"/>
      <c r="BO609" s="41"/>
      <c r="BP609" s="41"/>
      <c r="BQ609" s="41"/>
      <c r="BR609" s="41"/>
      <c r="BS609" s="41"/>
      <c r="BT609" s="41"/>
      <c r="BU609" s="41"/>
      <c r="BV609" s="41"/>
      <c r="BW609" s="41"/>
      <c r="BX609" s="41"/>
      <c r="BY609" s="41"/>
      <c r="BZ609" s="41"/>
      <c r="CA609" s="41"/>
      <c r="CB609" s="41"/>
      <c r="CC609" s="41"/>
      <c r="CD609" s="41"/>
      <c r="CE609" s="41"/>
      <c r="CF609" s="41"/>
      <c r="CG609" s="41"/>
      <c r="CH609" s="41"/>
      <c r="CI609" s="41"/>
      <c r="CJ609" s="41"/>
      <c r="CK609" s="41"/>
      <c r="CL609" s="41"/>
      <c r="CM609" s="41"/>
      <c r="CN609" s="41"/>
      <c r="CO609" s="41"/>
      <c r="CP609" s="41"/>
      <c r="CQ609" s="41"/>
      <c r="CR609" s="41"/>
      <c r="CS609" s="41"/>
      <c r="CT609" s="41"/>
      <c r="CU609" s="41"/>
      <c r="CV609" s="41"/>
      <c r="CW609" s="41"/>
      <c r="CX609" s="41"/>
      <c r="CY609" s="41"/>
      <c r="CZ609" s="41"/>
      <c r="DA609" s="41"/>
      <c r="DB609" s="41"/>
      <c r="DC609" s="41"/>
      <c r="DD609" s="41"/>
      <c r="DE609" s="41"/>
      <c r="DF609" s="41"/>
      <c r="DG609" s="41"/>
      <c r="DH609" s="41"/>
      <c r="DI609" s="41"/>
      <c r="DJ609" s="41"/>
      <c r="DK609" s="41"/>
      <c r="DL609" s="41"/>
      <c r="DM609" s="41"/>
      <c r="DN609" s="41"/>
      <c r="DO609" s="41"/>
      <c r="DP609" s="41"/>
      <c r="DQ609" s="41"/>
      <c r="DR609" s="41"/>
      <c r="DS609" s="43"/>
      <c r="DT609" s="44">
        <f t="shared" ref="DT609" si="591">SUM(F609:DR609)</f>
        <v>1</v>
      </c>
    </row>
    <row r="610" spans="2:124" s="13" customFormat="1">
      <c r="B610" s="4">
        <f>'6.1Personnel List'!B611</f>
        <v>598</v>
      </c>
      <c r="C610" s="45" t="s">
        <v>795</v>
      </c>
      <c r="D610" s="45" t="str">
        <f>'6.1Personnel List'!D611</f>
        <v>Administrative Aide VI</v>
      </c>
      <c r="E610" s="45" t="str">
        <f>'6.1Personnel List'!H611</f>
        <v>FT</v>
      </c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1"/>
      <c r="AK610" s="41"/>
      <c r="AL610" s="41"/>
      <c r="AM610" s="41"/>
      <c r="AN610" s="41"/>
      <c r="AO610" s="41"/>
      <c r="AP610" s="41"/>
      <c r="AQ610" s="41"/>
      <c r="AR610" s="41"/>
      <c r="AS610" s="41"/>
      <c r="AT610" s="41"/>
      <c r="AU610" s="41"/>
      <c r="AV610" s="41"/>
      <c r="AW610" s="41"/>
      <c r="AX610" s="41"/>
      <c r="AY610" s="41"/>
      <c r="AZ610" s="41"/>
      <c r="BA610" s="41"/>
      <c r="BB610" s="41"/>
      <c r="BC610" s="41"/>
      <c r="BD610" s="41"/>
      <c r="BE610" s="41"/>
      <c r="BF610" s="41"/>
      <c r="BG610" s="41"/>
      <c r="BH610" s="41"/>
      <c r="BJ610" s="41"/>
      <c r="BK610" s="41"/>
      <c r="BL610" s="41">
        <v>1</v>
      </c>
      <c r="BM610" s="41"/>
      <c r="BN610" s="41"/>
      <c r="BO610" s="41"/>
      <c r="BP610" s="41"/>
      <c r="BQ610" s="41"/>
      <c r="BR610" s="41"/>
      <c r="BS610" s="41"/>
      <c r="BT610" s="41"/>
      <c r="BU610" s="41"/>
      <c r="BV610" s="41"/>
      <c r="BW610" s="41"/>
      <c r="BX610" s="41"/>
      <c r="BY610" s="41"/>
      <c r="BZ610" s="41"/>
      <c r="CA610" s="41"/>
      <c r="CB610" s="41"/>
      <c r="CC610" s="41"/>
      <c r="CD610" s="41"/>
      <c r="CE610" s="41"/>
      <c r="CF610" s="41"/>
      <c r="CG610" s="41"/>
      <c r="CH610" s="41"/>
      <c r="CI610" s="41"/>
      <c r="CJ610" s="41"/>
      <c r="CK610" s="41"/>
      <c r="CL610" s="41"/>
      <c r="CM610" s="41"/>
      <c r="CN610" s="41"/>
      <c r="CO610" s="41"/>
      <c r="CP610" s="41"/>
      <c r="CQ610" s="41"/>
      <c r="CR610" s="41"/>
      <c r="CS610" s="41"/>
      <c r="CT610" s="41"/>
      <c r="CU610" s="41"/>
      <c r="CV610" s="41"/>
      <c r="CW610" s="41"/>
      <c r="CX610" s="41"/>
      <c r="CY610" s="41"/>
      <c r="CZ610" s="41"/>
      <c r="DA610" s="41"/>
      <c r="DB610" s="41"/>
      <c r="DC610" s="41"/>
      <c r="DD610" s="41"/>
      <c r="DE610" s="41"/>
      <c r="DF610" s="41"/>
      <c r="DG610" s="41"/>
      <c r="DH610" s="41"/>
      <c r="DI610" s="41"/>
      <c r="DJ610" s="41"/>
      <c r="DK610" s="41"/>
      <c r="DL610" s="41"/>
      <c r="DM610" s="41"/>
      <c r="DN610" s="41"/>
      <c r="DO610" s="41"/>
      <c r="DP610" s="41"/>
      <c r="DQ610" s="41"/>
      <c r="DR610" s="41"/>
      <c r="DS610" s="43"/>
      <c r="DT610" s="44">
        <f t="shared" ref="DT610" si="592">SUM(F610:DR610)</f>
        <v>1</v>
      </c>
    </row>
    <row r="611" spans="2:124" s="13" customFormat="1">
      <c r="B611" s="4">
        <f>'6.1Personnel List'!B612</f>
        <v>599</v>
      </c>
      <c r="C611" s="45" t="s">
        <v>797</v>
      </c>
      <c r="D611" s="45" t="str">
        <f>'6.1Personnel List'!D612</f>
        <v>Administrative Officer IV</v>
      </c>
      <c r="E611" s="45" t="str">
        <f>'6.1Personnel List'!H612</f>
        <v>FT</v>
      </c>
      <c r="G611" s="41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1"/>
      <c r="AK611" s="41"/>
      <c r="AL611" s="41"/>
      <c r="AM611" s="41"/>
      <c r="AN611" s="41"/>
      <c r="AO611" s="41"/>
      <c r="AP611" s="41"/>
      <c r="AQ611" s="41"/>
      <c r="AR611" s="41"/>
      <c r="AS611" s="41"/>
      <c r="AT611" s="41"/>
      <c r="AU611" s="41"/>
      <c r="AV611" s="41"/>
      <c r="AW611" s="41"/>
      <c r="AX611" s="41"/>
      <c r="AY611" s="41"/>
      <c r="AZ611" s="41"/>
      <c r="BA611" s="41"/>
      <c r="BB611" s="41"/>
      <c r="BC611" s="41"/>
      <c r="BD611" s="41"/>
      <c r="BE611" s="41"/>
      <c r="BF611" s="41"/>
      <c r="BG611" s="41"/>
      <c r="BH611" s="41"/>
      <c r="BJ611" s="41"/>
      <c r="BK611" s="41"/>
      <c r="BL611" s="41"/>
      <c r="BM611" s="41">
        <v>1</v>
      </c>
      <c r="BN611" s="41"/>
      <c r="BO611" s="41"/>
      <c r="BP611" s="41"/>
      <c r="BQ611" s="41"/>
      <c r="BR611" s="41"/>
      <c r="BS611" s="41"/>
      <c r="BT611" s="41"/>
      <c r="BU611" s="41"/>
      <c r="BV611" s="41"/>
      <c r="BW611" s="41"/>
      <c r="BX611" s="41"/>
      <c r="BY611" s="41"/>
      <c r="BZ611" s="41"/>
      <c r="CA611" s="41"/>
      <c r="CB611" s="41"/>
      <c r="CC611" s="41"/>
      <c r="CD611" s="41"/>
      <c r="CE611" s="41"/>
      <c r="CF611" s="41"/>
      <c r="CG611" s="41"/>
      <c r="CH611" s="41"/>
      <c r="CI611" s="41"/>
      <c r="CJ611" s="41"/>
      <c r="CK611" s="41"/>
      <c r="CL611" s="41"/>
      <c r="CM611" s="41"/>
      <c r="CN611" s="41"/>
      <c r="CO611" s="41"/>
      <c r="CP611" s="41"/>
      <c r="CQ611" s="41"/>
      <c r="CR611" s="41"/>
      <c r="CS611" s="41"/>
      <c r="CT611" s="41"/>
      <c r="CU611" s="41"/>
      <c r="CV611" s="41"/>
      <c r="CW611" s="41"/>
      <c r="CX611" s="41"/>
      <c r="CY611" s="41"/>
      <c r="CZ611" s="41"/>
      <c r="DA611" s="41"/>
      <c r="DB611" s="41"/>
      <c r="DC611" s="41"/>
      <c r="DD611" s="41"/>
      <c r="DE611" s="41"/>
      <c r="DF611" s="41"/>
      <c r="DG611" s="41"/>
      <c r="DH611" s="41"/>
      <c r="DI611" s="41"/>
      <c r="DJ611" s="41"/>
      <c r="DK611" s="41"/>
      <c r="DL611" s="41"/>
      <c r="DM611" s="41"/>
      <c r="DN611" s="41"/>
      <c r="DO611" s="41"/>
      <c r="DP611" s="41"/>
      <c r="DQ611" s="41"/>
      <c r="DR611" s="41"/>
      <c r="DS611" s="43"/>
      <c r="DT611" s="44">
        <f t="shared" ref="DT611" si="593">SUM(F611:DR611)</f>
        <v>1</v>
      </c>
    </row>
    <row r="612" spans="2:124" s="13" customFormat="1">
      <c r="B612" s="4">
        <f>'6.1Personnel List'!B613</f>
        <v>600</v>
      </c>
      <c r="C612" s="45" t="s">
        <v>799</v>
      </c>
      <c r="D612" s="45" t="str">
        <f>'6.1Personnel List'!D613</f>
        <v>Administrative Officer III</v>
      </c>
      <c r="E612" s="45" t="str">
        <f>'6.1Personnel List'!H613</f>
        <v>FT</v>
      </c>
      <c r="G612" s="41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1"/>
      <c r="AK612" s="41"/>
      <c r="AL612" s="41"/>
      <c r="AM612" s="41"/>
      <c r="AN612" s="41"/>
      <c r="AO612" s="41"/>
      <c r="AP612" s="41"/>
      <c r="AQ612" s="41"/>
      <c r="AR612" s="41"/>
      <c r="AS612" s="41"/>
      <c r="AT612" s="41"/>
      <c r="AU612" s="41"/>
      <c r="AV612" s="41"/>
      <c r="AW612" s="41"/>
      <c r="AX612" s="41"/>
      <c r="AY612" s="41"/>
      <c r="AZ612" s="41"/>
      <c r="BA612" s="41"/>
      <c r="BB612" s="41"/>
      <c r="BC612" s="41"/>
      <c r="BD612" s="41"/>
      <c r="BE612" s="41"/>
      <c r="BF612" s="41"/>
      <c r="BG612" s="41"/>
      <c r="BH612" s="41"/>
      <c r="BJ612" s="41"/>
      <c r="BK612" s="41"/>
      <c r="BL612" s="41"/>
      <c r="BM612" s="41">
        <v>1</v>
      </c>
      <c r="BN612" s="41"/>
      <c r="BO612" s="41"/>
      <c r="BP612" s="41"/>
      <c r="BQ612" s="41"/>
      <c r="BR612" s="41"/>
      <c r="BS612" s="41"/>
      <c r="BT612" s="41"/>
      <c r="BU612" s="41"/>
      <c r="BV612" s="41"/>
      <c r="BW612" s="41"/>
      <c r="BX612" s="41"/>
      <c r="BY612" s="41"/>
      <c r="BZ612" s="41"/>
      <c r="CA612" s="41"/>
      <c r="CB612" s="41"/>
      <c r="CC612" s="41"/>
      <c r="CD612" s="41"/>
      <c r="CE612" s="41"/>
      <c r="CF612" s="41"/>
      <c r="CG612" s="41"/>
      <c r="CH612" s="41"/>
      <c r="CI612" s="41"/>
      <c r="CJ612" s="41"/>
      <c r="CK612" s="41"/>
      <c r="CL612" s="41"/>
      <c r="CM612" s="41"/>
      <c r="CN612" s="41"/>
      <c r="CO612" s="41"/>
      <c r="CP612" s="41"/>
      <c r="CQ612" s="41"/>
      <c r="CR612" s="41"/>
      <c r="CS612" s="41"/>
      <c r="CT612" s="41"/>
      <c r="CU612" s="41"/>
      <c r="CV612" s="41"/>
      <c r="CW612" s="41"/>
      <c r="CX612" s="41"/>
      <c r="CY612" s="41"/>
      <c r="CZ612" s="41"/>
      <c r="DA612" s="41"/>
      <c r="DB612" s="41"/>
      <c r="DC612" s="41"/>
      <c r="DD612" s="41"/>
      <c r="DE612" s="41"/>
      <c r="DF612" s="41"/>
      <c r="DG612" s="41"/>
      <c r="DH612" s="41"/>
      <c r="DI612" s="41"/>
      <c r="DJ612" s="41"/>
      <c r="DK612" s="41"/>
      <c r="DL612" s="41"/>
      <c r="DM612" s="41"/>
      <c r="DN612" s="41"/>
      <c r="DO612" s="41"/>
      <c r="DP612" s="41"/>
      <c r="DQ612" s="41"/>
      <c r="DR612" s="41"/>
      <c r="DS612" s="43"/>
      <c r="DT612" s="44">
        <f t="shared" ref="DT612" si="594">SUM(F612:DR612)</f>
        <v>1</v>
      </c>
    </row>
    <row r="613" spans="2:124" s="13" customFormat="1">
      <c r="B613" s="4">
        <f>'6.1Personnel List'!B614</f>
        <v>601</v>
      </c>
      <c r="C613" s="45" t="s">
        <v>800</v>
      </c>
      <c r="D613" s="45" t="str">
        <f>'6.1Personnel List'!D614</f>
        <v>Administrative Officer III</v>
      </c>
      <c r="E613" s="45" t="str">
        <f>'6.1Personnel List'!H614</f>
        <v>FT</v>
      </c>
      <c r="G613" s="41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1"/>
      <c r="AK613" s="41"/>
      <c r="AL613" s="41"/>
      <c r="AM613" s="41"/>
      <c r="AN613" s="41"/>
      <c r="AO613" s="41"/>
      <c r="AP613" s="41"/>
      <c r="AQ613" s="41"/>
      <c r="AR613" s="41"/>
      <c r="AS613" s="41"/>
      <c r="AT613" s="41"/>
      <c r="AU613" s="41"/>
      <c r="AV613" s="41"/>
      <c r="AW613" s="41"/>
      <c r="AX613" s="41"/>
      <c r="AY613" s="41"/>
      <c r="AZ613" s="41"/>
      <c r="BA613" s="41"/>
      <c r="BB613" s="41"/>
      <c r="BC613" s="41"/>
      <c r="BD613" s="41"/>
      <c r="BE613" s="41"/>
      <c r="BF613" s="41"/>
      <c r="BG613" s="41"/>
      <c r="BH613" s="41"/>
      <c r="BJ613" s="41"/>
      <c r="BK613" s="41"/>
      <c r="BL613" s="41"/>
      <c r="BM613" s="41">
        <v>1</v>
      </c>
      <c r="BN613" s="41"/>
      <c r="BO613" s="41"/>
      <c r="BP613" s="41"/>
      <c r="BQ613" s="41"/>
      <c r="BR613" s="41"/>
      <c r="BS613" s="41"/>
      <c r="BT613" s="41"/>
      <c r="BU613" s="41"/>
      <c r="BV613" s="41"/>
      <c r="BW613" s="41"/>
      <c r="BX613" s="41"/>
      <c r="BY613" s="41"/>
      <c r="BZ613" s="41"/>
      <c r="CA613" s="41"/>
      <c r="CB613" s="41"/>
      <c r="CC613" s="41"/>
      <c r="CD613" s="41"/>
      <c r="CE613" s="41"/>
      <c r="CF613" s="41"/>
      <c r="CG613" s="41"/>
      <c r="CH613" s="41"/>
      <c r="CI613" s="41"/>
      <c r="CJ613" s="41"/>
      <c r="CK613" s="41"/>
      <c r="CL613" s="41"/>
      <c r="CM613" s="41"/>
      <c r="CN613" s="41"/>
      <c r="CO613" s="41"/>
      <c r="CP613" s="41"/>
      <c r="CQ613" s="41"/>
      <c r="CR613" s="41"/>
      <c r="CS613" s="41"/>
      <c r="CT613" s="41"/>
      <c r="CU613" s="41"/>
      <c r="CV613" s="41"/>
      <c r="CW613" s="41"/>
      <c r="CX613" s="41"/>
      <c r="CY613" s="41"/>
      <c r="CZ613" s="41"/>
      <c r="DA613" s="41"/>
      <c r="DB613" s="41"/>
      <c r="DC613" s="41"/>
      <c r="DD613" s="41"/>
      <c r="DE613" s="41"/>
      <c r="DF613" s="41"/>
      <c r="DG613" s="41"/>
      <c r="DH613" s="41"/>
      <c r="DI613" s="41"/>
      <c r="DJ613" s="41"/>
      <c r="DK613" s="41"/>
      <c r="DL613" s="41"/>
      <c r="DM613" s="41"/>
      <c r="DN613" s="41"/>
      <c r="DO613" s="41"/>
      <c r="DP613" s="41"/>
      <c r="DQ613" s="41"/>
      <c r="DR613" s="41"/>
      <c r="DS613" s="43"/>
      <c r="DT613" s="44">
        <f t="shared" ref="DT613" si="595">SUM(F613:DR613)</f>
        <v>1</v>
      </c>
    </row>
    <row r="614" spans="2:124" s="13" customFormat="1">
      <c r="B614" s="4">
        <f>'6.1Personnel List'!B615</f>
        <v>602</v>
      </c>
      <c r="C614" s="45" t="s">
        <v>801</v>
      </c>
      <c r="D614" s="45" t="str">
        <f>'6.1Personnel List'!D615</f>
        <v>Administrative Officer II</v>
      </c>
      <c r="E614" s="45" t="str">
        <f>'6.1Personnel List'!H615</f>
        <v>FT</v>
      </c>
      <c r="G614" s="41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1"/>
      <c r="AK614" s="41"/>
      <c r="AL614" s="41"/>
      <c r="AM614" s="41"/>
      <c r="AN614" s="41"/>
      <c r="AO614" s="41"/>
      <c r="AP614" s="41"/>
      <c r="AQ614" s="41"/>
      <c r="AR614" s="41"/>
      <c r="AS614" s="41"/>
      <c r="AT614" s="41"/>
      <c r="AU614" s="41"/>
      <c r="AV614" s="41"/>
      <c r="AW614" s="41"/>
      <c r="AX614" s="41"/>
      <c r="AY614" s="41"/>
      <c r="AZ614" s="41"/>
      <c r="BA614" s="41"/>
      <c r="BB614" s="41"/>
      <c r="BC614" s="41"/>
      <c r="BD614" s="41"/>
      <c r="BE614" s="41"/>
      <c r="BF614" s="41"/>
      <c r="BG614" s="41"/>
      <c r="BH614" s="41"/>
      <c r="BJ614" s="41"/>
      <c r="BK614" s="41"/>
      <c r="BL614" s="41"/>
      <c r="BM614" s="41">
        <v>1</v>
      </c>
      <c r="BN614" s="41"/>
      <c r="BO614" s="41"/>
      <c r="BP614" s="41"/>
      <c r="BQ614" s="41"/>
      <c r="BR614" s="41"/>
      <c r="BS614" s="41"/>
      <c r="BT614" s="41"/>
      <c r="BU614" s="41"/>
      <c r="BV614" s="41"/>
      <c r="BW614" s="41"/>
      <c r="BX614" s="41"/>
      <c r="BY614" s="41"/>
      <c r="BZ614" s="41"/>
      <c r="CA614" s="41"/>
      <c r="CB614" s="41"/>
      <c r="CC614" s="41"/>
      <c r="CD614" s="41"/>
      <c r="CE614" s="41"/>
      <c r="CF614" s="41"/>
      <c r="CG614" s="41"/>
      <c r="CH614" s="41"/>
      <c r="CI614" s="41"/>
      <c r="CJ614" s="41"/>
      <c r="CK614" s="41"/>
      <c r="CL614" s="41"/>
      <c r="CM614" s="41"/>
      <c r="CN614" s="41"/>
      <c r="CO614" s="41"/>
      <c r="CP614" s="41"/>
      <c r="CQ614" s="41"/>
      <c r="CR614" s="41"/>
      <c r="CS614" s="41"/>
      <c r="CT614" s="41"/>
      <c r="CU614" s="41"/>
      <c r="CV614" s="41"/>
      <c r="CW614" s="41"/>
      <c r="CX614" s="41"/>
      <c r="CY614" s="41"/>
      <c r="CZ614" s="41"/>
      <c r="DA614" s="41"/>
      <c r="DB614" s="41"/>
      <c r="DC614" s="41"/>
      <c r="DD614" s="41"/>
      <c r="DE614" s="41"/>
      <c r="DF614" s="41"/>
      <c r="DG614" s="41"/>
      <c r="DH614" s="41"/>
      <c r="DI614" s="41"/>
      <c r="DJ614" s="41"/>
      <c r="DK614" s="41"/>
      <c r="DL614" s="41"/>
      <c r="DM614" s="41"/>
      <c r="DN614" s="41"/>
      <c r="DO614" s="41"/>
      <c r="DP614" s="41"/>
      <c r="DQ614" s="41"/>
      <c r="DR614" s="41"/>
      <c r="DS614" s="43"/>
      <c r="DT614" s="44">
        <f t="shared" ref="DT614" si="596">SUM(F614:DR614)</f>
        <v>1</v>
      </c>
    </row>
    <row r="615" spans="2:124" s="13" customFormat="1">
      <c r="B615" s="4">
        <f>'6.1Personnel List'!B616</f>
        <v>603</v>
      </c>
      <c r="C615" s="45" t="s">
        <v>802</v>
      </c>
      <c r="D615" s="45" t="str">
        <f>'6.1Personnel List'!D616</f>
        <v>Administrative Officer II</v>
      </c>
      <c r="E615" s="45" t="str">
        <f>'6.1Personnel List'!H616</f>
        <v>FT</v>
      </c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1"/>
      <c r="AK615" s="41"/>
      <c r="AL615" s="41"/>
      <c r="AM615" s="41"/>
      <c r="AN615" s="41"/>
      <c r="AO615" s="41"/>
      <c r="AP615" s="41"/>
      <c r="AQ615" s="41"/>
      <c r="AR615" s="41"/>
      <c r="AS615" s="41"/>
      <c r="AT615" s="41"/>
      <c r="AU615" s="41"/>
      <c r="AV615" s="41"/>
      <c r="AW615" s="41"/>
      <c r="AX615" s="41"/>
      <c r="AY615" s="41"/>
      <c r="AZ615" s="41"/>
      <c r="BA615" s="41"/>
      <c r="BB615" s="41"/>
      <c r="BC615" s="41"/>
      <c r="BD615" s="41"/>
      <c r="BE615" s="41"/>
      <c r="BF615" s="41"/>
      <c r="BG615" s="41"/>
      <c r="BH615" s="41"/>
      <c r="BJ615" s="41"/>
      <c r="BK615" s="41"/>
      <c r="BL615" s="41"/>
      <c r="BM615" s="41">
        <v>1</v>
      </c>
      <c r="BN615" s="41"/>
      <c r="BO615" s="41"/>
      <c r="BP615" s="41"/>
      <c r="BQ615" s="41"/>
      <c r="BR615" s="41"/>
      <c r="BS615" s="41"/>
      <c r="BT615" s="41"/>
      <c r="BU615" s="41"/>
      <c r="BV615" s="41"/>
      <c r="BW615" s="41"/>
      <c r="BX615" s="41"/>
      <c r="BY615" s="41"/>
      <c r="BZ615" s="41"/>
      <c r="CA615" s="41"/>
      <c r="CB615" s="41"/>
      <c r="CC615" s="41"/>
      <c r="CD615" s="41"/>
      <c r="CE615" s="41"/>
      <c r="CF615" s="41"/>
      <c r="CG615" s="41"/>
      <c r="CH615" s="41"/>
      <c r="CI615" s="41"/>
      <c r="CJ615" s="41"/>
      <c r="CK615" s="41"/>
      <c r="CL615" s="41"/>
      <c r="CM615" s="41"/>
      <c r="CN615" s="41"/>
      <c r="CO615" s="41"/>
      <c r="CP615" s="41"/>
      <c r="CQ615" s="41"/>
      <c r="CR615" s="41"/>
      <c r="CS615" s="41"/>
      <c r="CT615" s="41"/>
      <c r="CU615" s="41"/>
      <c r="CV615" s="41"/>
      <c r="CW615" s="41"/>
      <c r="CX615" s="41"/>
      <c r="CY615" s="41"/>
      <c r="CZ615" s="41"/>
      <c r="DA615" s="41"/>
      <c r="DB615" s="41"/>
      <c r="DC615" s="41"/>
      <c r="DD615" s="41"/>
      <c r="DE615" s="41"/>
      <c r="DF615" s="41"/>
      <c r="DG615" s="41"/>
      <c r="DH615" s="41"/>
      <c r="DI615" s="41"/>
      <c r="DJ615" s="41"/>
      <c r="DK615" s="41"/>
      <c r="DL615" s="41"/>
      <c r="DM615" s="41"/>
      <c r="DN615" s="41"/>
      <c r="DO615" s="41"/>
      <c r="DP615" s="41"/>
      <c r="DQ615" s="41"/>
      <c r="DR615" s="41"/>
      <c r="DS615" s="43"/>
      <c r="DT615" s="44">
        <f t="shared" ref="DT615" si="597">SUM(F615:DR615)</f>
        <v>1</v>
      </c>
    </row>
    <row r="616" spans="2:124" s="13" customFormat="1">
      <c r="B616" s="4">
        <f>'6.1Personnel List'!B617</f>
        <v>604</v>
      </c>
      <c r="C616" s="45" t="s">
        <v>803</v>
      </c>
      <c r="D616" s="45" t="str">
        <f>'6.1Personnel List'!D617</f>
        <v>Administrative Assistant III</v>
      </c>
      <c r="E616" s="45" t="str">
        <f>'6.1Personnel List'!H617</f>
        <v>FT</v>
      </c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1"/>
      <c r="AK616" s="41"/>
      <c r="AL616" s="41"/>
      <c r="AM616" s="41"/>
      <c r="AN616" s="41"/>
      <c r="AO616" s="41"/>
      <c r="AP616" s="41"/>
      <c r="AQ616" s="41"/>
      <c r="AR616" s="41"/>
      <c r="AS616" s="41"/>
      <c r="AT616" s="41"/>
      <c r="AU616" s="41"/>
      <c r="AV616" s="41"/>
      <c r="AW616" s="41"/>
      <c r="AX616" s="41"/>
      <c r="AY616" s="41"/>
      <c r="AZ616" s="41"/>
      <c r="BA616" s="41"/>
      <c r="BB616" s="41"/>
      <c r="BC616" s="41"/>
      <c r="BD616" s="41"/>
      <c r="BE616" s="41"/>
      <c r="BF616" s="41"/>
      <c r="BG616" s="41"/>
      <c r="BH616" s="41"/>
      <c r="BJ616" s="41"/>
      <c r="BK616" s="41"/>
      <c r="BL616" s="41"/>
      <c r="BM616" s="41">
        <v>1</v>
      </c>
      <c r="BN616" s="41"/>
      <c r="BO616" s="41"/>
      <c r="BP616" s="41"/>
      <c r="BQ616" s="41"/>
      <c r="BR616" s="41"/>
      <c r="BS616" s="41"/>
      <c r="BT616" s="41"/>
      <c r="BU616" s="41"/>
      <c r="BV616" s="41"/>
      <c r="BW616" s="41"/>
      <c r="BX616" s="41"/>
      <c r="BY616" s="41"/>
      <c r="BZ616" s="41"/>
      <c r="CA616" s="41"/>
      <c r="CB616" s="41"/>
      <c r="CC616" s="41"/>
      <c r="CD616" s="41"/>
      <c r="CE616" s="41"/>
      <c r="CF616" s="41"/>
      <c r="CG616" s="41"/>
      <c r="CH616" s="41"/>
      <c r="CI616" s="41"/>
      <c r="CJ616" s="41"/>
      <c r="CK616" s="41"/>
      <c r="CL616" s="41"/>
      <c r="CM616" s="41"/>
      <c r="CN616" s="41"/>
      <c r="CO616" s="41"/>
      <c r="CP616" s="41"/>
      <c r="CQ616" s="41"/>
      <c r="CR616" s="41"/>
      <c r="CS616" s="41"/>
      <c r="CT616" s="41"/>
      <c r="CU616" s="41"/>
      <c r="CV616" s="41"/>
      <c r="CW616" s="41"/>
      <c r="CX616" s="41"/>
      <c r="CY616" s="41"/>
      <c r="CZ616" s="41"/>
      <c r="DA616" s="41"/>
      <c r="DB616" s="41"/>
      <c r="DC616" s="41"/>
      <c r="DD616" s="41"/>
      <c r="DE616" s="41"/>
      <c r="DF616" s="41"/>
      <c r="DG616" s="41"/>
      <c r="DH616" s="41"/>
      <c r="DI616" s="41"/>
      <c r="DJ616" s="41"/>
      <c r="DK616" s="41"/>
      <c r="DL616" s="41"/>
      <c r="DM616" s="41"/>
      <c r="DN616" s="41"/>
      <c r="DO616" s="41"/>
      <c r="DP616" s="41"/>
      <c r="DQ616" s="41"/>
      <c r="DR616" s="41"/>
      <c r="DS616" s="43"/>
      <c r="DT616" s="44">
        <f t="shared" ref="DT616" si="598">SUM(F616:DR616)</f>
        <v>1</v>
      </c>
    </row>
    <row r="617" spans="2:124" s="13" customFormat="1">
      <c r="B617" s="4">
        <f>'6.1Personnel List'!B618</f>
        <v>605</v>
      </c>
      <c r="C617" s="45" t="s">
        <v>805</v>
      </c>
      <c r="D617" s="45" t="str">
        <f>'6.1Personnel List'!D618</f>
        <v>Administrative Assistant II</v>
      </c>
      <c r="E617" s="45" t="str">
        <f>'6.1Personnel List'!H618</f>
        <v>FT</v>
      </c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  <c r="AA617" s="41"/>
      <c r="AB617" s="41"/>
      <c r="AC617" s="41"/>
      <c r="AD617" s="41"/>
      <c r="AE617" s="41"/>
      <c r="AF617" s="41"/>
      <c r="AG617" s="41"/>
      <c r="AH617" s="41"/>
      <c r="AI617" s="41"/>
      <c r="AJ617" s="41"/>
      <c r="AK617" s="41"/>
      <c r="AL617" s="41"/>
      <c r="AM617" s="41"/>
      <c r="AN617" s="41"/>
      <c r="AO617" s="41"/>
      <c r="AP617" s="41"/>
      <c r="AQ617" s="41"/>
      <c r="AR617" s="41"/>
      <c r="AS617" s="41"/>
      <c r="AT617" s="41"/>
      <c r="AU617" s="41"/>
      <c r="AV617" s="41"/>
      <c r="AW617" s="41"/>
      <c r="AX617" s="41"/>
      <c r="AY617" s="41"/>
      <c r="AZ617" s="41"/>
      <c r="BA617" s="41"/>
      <c r="BB617" s="41"/>
      <c r="BC617" s="41"/>
      <c r="BD617" s="41"/>
      <c r="BE617" s="41"/>
      <c r="BF617" s="41"/>
      <c r="BG617" s="41"/>
      <c r="BH617" s="41"/>
      <c r="BJ617" s="41"/>
      <c r="BK617" s="41"/>
      <c r="BL617" s="41"/>
      <c r="BM617" s="41">
        <v>1</v>
      </c>
      <c r="BN617" s="41"/>
      <c r="BO617" s="41"/>
      <c r="BP617" s="41"/>
      <c r="BQ617" s="41"/>
      <c r="BR617" s="41"/>
      <c r="BS617" s="41"/>
      <c r="BT617" s="41"/>
      <c r="BU617" s="41"/>
      <c r="BV617" s="41"/>
      <c r="BW617" s="41"/>
      <c r="BX617" s="41"/>
      <c r="BY617" s="41"/>
      <c r="BZ617" s="41"/>
      <c r="CA617" s="41"/>
      <c r="CB617" s="41"/>
      <c r="CC617" s="41"/>
      <c r="CD617" s="41"/>
      <c r="CE617" s="41"/>
      <c r="CF617" s="41"/>
      <c r="CG617" s="41"/>
      <c r="CH617" s="41"/>
      <c r="CI617" s="41"/>
      <c r="CJ617" s="41"/>
      <c r="CK617" s="41"/>
      <c r="CL617" s="41"/>
      <c r="CM617" s="41"/>
      <c r="CN617" s="41"/>
      <c r="CO617" s="41"/>
      <c r="CP617" s="41"/>
      <c r="CQ617" s="41"/>
      <c r="CR617" s="41"/>
      <c r="CS617" s="41"/>
      <c r="CT617" s="41"/>
      <c r="CU617" s="41"/>
      <c r="CV617" s="41"/>
      <c r="CW617" s="41"/>
      <c r="CX617" s="41"/>
      <c r="CY617" s="41"/>
      <c r="CZ617" s="41"/>
      <c r="DA617" s="41"/>
      <c r="DB617" s="41"/>
      <c r="DC617" s="41"/>
      <c r="DD617" s="41"/>
      <c r="DE617" s="41"/>
      <c r="DF617" s="41"/>
      <c r="DG617" s="41"/>
      <c r="DH617" s="41"/>
      <c r="DI617" s="41"/>
      <c r="DJ617" s="41"/>
      <c r="DK617" s="41"/>
      <c r="DL617" s="41"/>
      <c r="DM617" s="41"/>
      <c r="DN617" s="41"/>
      <c r="DO617" s="41"/>
      <c r="DP617" s="41"/>
      <c r="DQ617" s="41"/>
      <c r="DR617" s="41"/>
      <c r="DS617" s="43"/>
      <c r="DT617" s="44">
        <f t="shared" ref="DT617" si="599">SUM(F617:DR617)</f>
        <v>1</v>
      </c>
    </row>
    <row r="618" spans="2:124" s="13" customFormat="1">
      <c r="B618" s="4">
        <f>'6.1Personnel List'!B619</f>
        <v>606</v>
      </c>
      <c r="C618" s="45" t="s">
        <v>806</v>
      </c>
      <c r="D618" s="45" t="str">
        <f>'6.1Personnel List'!D619</f>
        <v>Administrative Assistant II</v>
      </c>
      <c r="E618" s="45" t="str">
        <f>'6.1Personnel List'!H619</f>
        <v>FT</v>
      </c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  <c r="AA618" s="41"/>
      <c r="AB618" s="41"/>
      <c r="AC618" s="41"/>
      <c r="AD618" s="41"/>
      <c r="AE618" s="41"/>
      <c r="AF618" s="41"/>
      <c r="AG618" s="41"/>
      <c r="AH618" s="41"/>
      <c r="AI618" s="41"/>
      <c r="AJ618" s="41"/>
      <c r="AK618" s="41"/>
      <c r="AL618" s="41"/>
      <c r="AM618" s="41"/>
      <c r="AN618" s="41"/>
      <c r="AO618" s="41"/>
      <c r="AP618" s="41"/>
      <c r="AQ618" s="41"/>
      <c r="AR618" s="41"/>
      <c r="AS618" s="41"/>
      <c r="AT618" s="41"/>
      <c r="AU618" s="41"/>
      <c r="AV618" s="41"/>
      <c r="AW618" s="41"/>
      <c r="AX618" s="41"/>
      <c r="AY618" s="41"/>
      <c r="AZ618" s="41"/>
      <c r="BA618" s="41"/>
      <c r="BB618" s="41"/>
      <c r="BC618" s="41"/>
      <c r="BD618" s="41"/>
      <c r="BE618" s="41"/>
      <c r="BF618" s="41"/>
      <c r="BG618" s="41"/>
      <c r="BH618" s="41"/>
      <c r="BJ618" s="41"/>
      <c r="BK618" s="41"/>
      <c r="BL618" s="41"/>
      <c r="BM618" s="41">
        <v>1</v>
      </c>
      <c r="BN618" s="41"/>
      <c r="BO618" s="41"/>
      <c r="BP618" s="41"/>
      <c r="BQ618" s="41"/>
      <c r="BR618" s="41"/>
      <c r="BS618" s="41"/>
      <c r="BT618" s="41"/>
      <c r="BU618" s="41"/>
      <c r="BV618" s="41"/>
      <c r="BW618" s="41"/>
      <c r="BX618" s="41"/>
      <c r="BY618" s="41"/>
      <c r="BZ618" s="41"/>
      <c r="CA618" s="41"/>
      <c r="CB618" s="41"/>
      <c r="CC618" s="41"/>
      <c r="CD618" s="41"/>
      <c r="CE618" s="41"/>
      <c r="CF618" s="41"/>
      <c r="CG618" s="41"/>
      <c r="CH618" s="41"/>
      <c r="CI618" s="41"/>
      <c r="CJ618" s="41"/>
      <c r="CK618" s="41"/>
      <c r="CL618" s="41"/>
      <c r="CM618" s="41"/>
      <c r="CN618" s="41"/>
      <c r="CO618" s="41"/>
      <c r="CP618" s="41"/>
      <c r="CQ618" s="41"/>
      <c r="CR618" s="41"/>
      <c r="CS618" s="41"/>
      <c r="CT618" s="41"/>
      <c r="CU618" s="41"/>
      <c r="CV618" s="41"/>
      <c r="CW618" s="41"/>
      <c r="CX618" s="41"/>
      <c r="CY618" s="41"/>
      <c r="CZ618" s="41"/>
      <c r="DA618" s="41"/>
      <c r="DB618" s="41"/>
      <c r="DC618" s="41"/>
      <c r="DD618" s="41"/>
      <c r="DE618" s="41"/>
      <c r="DF618" s="41"/>
      <c r="DG618" s="41"/>
      <c r="DH618" s="41"/>
      <c r="DI618" s="41"/>
      <c r="DJ618" s="41"/>
      <c r="DK618" s="41"/>
      <c r="DL618" s="41"/>
      <c r="DM618" s="41"/>
      <c r="DN618" s="41"/>
      <c r="DO618" s="41"/>
      <c r="DP618" s="41"/>
      <c r="DQ618" s="41"/>
      <c r="DR618" s="41"/>
      <c r="DS618" s="43"/>
      <c r="DT618" s="44">
        <f t="shared" ref="DT618" si="600">SUM(F618:DR618)</f>
        <v>1</v>
      </c>
    </row>
    <row r="619" spans="2:124" s="13" customFormat="1">
      <c r="B619" s="4">
        <f>'6.1Personnel List'!B620</f>
        <v>607</v>
      </c>
      <c r="C619" s="45" t="s">
        <v>807</v>
      </c>
      <c r="D619" s="45" t="str">
        <f>'6.1Personnel List'!D620</f>
        <v xml:space="preserve">Administrative Assistant II </v>
      </c>
      <c r="E619" s="45" t="str">
        <f>'6.1Personnel List'!H620</f>
        <v>FT</v>
      </c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  <c r="AA619" s="41"/>
      <c r="AB619" s="41"/>
      <c r="AC619" s="41"/>
      <c r="AD619" s="41"/>
      <c r="AE619" s="41"/>
      <c r="AF619" s="41"/>
      <c r="AG619" s="41"/>
      <c r="AH619" s="41"/>
      <c r="AI619" s="41"/>
      <c r="AJ619" s="41"/>
      <c r="AK619" s="41"/>
      <c r="AL619" s="41"/>
      <c r="AM619" s="41"/>
      <c r="AN619" s="41"/>
      <c r="AO619" s="41"/>
      <c r="AP619" s="41"/>
      <c r="AQ619" s="41"/>
      <c r="AR619" s="41"/>
      <c r="AS619" s="41"/>
      <c r="AT619" s="41"/>
      <c r="AU619" s="41"/>
      <c r="AV619" s="41"/>
      <c r="AW619" s="41"/>
      <c r="AX619" s="41"/>
      <c r="AY619" s="41"/>
      <c r="AZ619" s="41"/>
      <c r="BA619" s="41"/>
      <c r="BB619" s="41"/>
      <c r="BC619" s="41"/>
      <c r="BD619" s="41"/>
      <c r="BE619" s="41"/>
      <c r="BF619" s="41"/>
      <c r="BG619" s="41"/>
      <c r="BH619" s="41"/>
      <c r="BJ619" s="41"/>
      <c r="BK619" s="41"/>
      <c r="BL619" s="41"/>
      <c r="BM619" s="41">
        <v>1</v>
      </c>
      <c r="BN619" s="41"/>
      <c r="BO619" s="41"/>
      <c r="BP619" s="41"/>
      <c r="BQ619" s="41"/>
      <c r="BR619" s="41"/>
      <c r="BS619" s="41"/>
      <c r="BT619" s="41"/>
      <c r="BU619" s="41"/>
      <c r="BV619" s="41"/>
      <c r="BW619" s="41"/>
      <c r="BX619" s="41"/>
      <c r="BY619" s="41"/>
      <c r="BZ619" s="41"/>
      <c r="CA619" s="41"/>
      <c r="CB619" s="41"/>
      <c r="CC619" s="41"/>
      <c r="CD619" s="41"/>
      <c r="CE619" s="41"/>
      <c r="CF619" s="41"/>
      <c r="CG619" s="41"/>
      <c r="CH619" s="41"/>
      <c r="CI619" s="41"/>
      <c r="CJ619" s="41"/>
      <c r="CK619" s="41"/>
      <c r="CL619" s="41"/>
      <c r="CM619" s="41"/>
      <c r="CN619" s="41"/>
      <c r="CO619" s="41"/>
      <c r="CP619" s="41"/>
      <c r="CQ619" s="41"/>
      <c r="CR619" s="41"/>
      <c r="CS619" s="41"/>
      <c r="CT619" s="41"/>
      <c r="CU619" s="41"/>
      <c r="CV619" s="41"/>
      <c r="CW619" s="41"/>
      <c r="CX619" s="41"/>
      <c r="CY619" s="41"/>
      <c r="CZ619" s="41"/>
      <c r="DA619" s="41"/>
      <c r="DB619" s="41"/>
      <c r="DC619" s="41"/>
      <c r="DD619" s="41"/>
      <c r="DE619" s="41"/>
      <c r="DF619" s="41"/>
      <c r="DG619" s="41"/>
      <c r="DH619" s="41"/>
      <c r="DI619" s="41"/>
      <c r="DJ619" s="41"/>
      <c r="DK619" s="41"/>
      <c r="DL619" s="41"/>
      <c r="DM619" s="41"/>
      <c r="DN619" s="41"/>
      <c r="DO619" s="41"/>
      <c r="DP619" s="41"/>
      <c r="DQ619" s="41"/>
      <c r="DR619" s="41"/>
      <c r="DS619" s="43"/>
      <c r="DT619" s="44">
        <f t="shared" ref="DT619" si="601">SUM(F619:DR619)</f>
        <v>1</v>
      </c>
    </row>
    <row r="620" spans="2:124" s="13" customFormat="1">
      <c r="B620" s="4">
        <f>'6.1Personnel List'!B621</f>
        <v>608</v>
      </c>
      <c r="C620" s="45" t="s">
        <v>808</v>
      </c>
      <c r="D620" s="45" t="str">
        <f>'6.1Personnel List'!D621</f>
        <v xml:space="preserve">Administrative Assistant II </v>
      </c>
      <c r="E620" s="45" t="str">
        <f>'6.1Personnel List'!H621</f>
        <v>FT</v>
      </c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  <c r="AA620" s="41"/>
      <c r="AB620" s="41"/>
      <c r="AC620" s="41"/>
      <c r="AD620" s="41"/>
      <c r="AE620" s="41"/>
      <c r="AF620" s="41"/>
      <c r="AG620" s="41"/>
      <c r="AH620" s="41"/>
      <c r="AI620" s="41"/>
      <c r="AJ620" s="41"/>
      <c r="AK620" s="41"/>
      <c r="AL620" s="41"/>
      <c r="AM620" s="41"/>
      <c r="AN620" s="41"/>
      <c r="AO620" s="41"/>
      <c r="AP620" s="41"/>
      <c r="AQ620" s="41"/>
      <c r="AR620" s="41"/>
      <c r="AS620" s="41"/>
      <c r="AT620" s="41"/>
      <c r="AU620" s="41"/>
      <c r="AV620" s="41"/>
      <c r="AW620" s="41"/>
      <c r="AX620" s="41"/>
      <c r="AY620" s="41"/>
      <c r="AZ620" s="41"/>
      <c r="BA620" s="41"/>
      <c r="BB620" s="41"/>
      <c r="BC620" s="41"/>
      <c r="BD620" s="41"/>
      <c r="BE620" s="41"/>
      <c r="BF620" s="41"/>
      <c r="BG620" s="41"/>
      <c r="BH620" s="41"/>
      <c r="BJ620" s="41"/>
      <c r="BK620" s="41"/>
      <c r="BL620" s="41"/>
      <c r="BM620" s="41">
        <v>1</v>
      </c>
      <c r="BN620" s="41"/>
      <c r="BO620" s="41"/>
      <c r="BP620" s="41"/>
      <c r="BQ620" s="41"/>
      <c r="BR620" s="41"/>
      <c r="BS620" s="41"/>
      <c r="BT620" s="41"/>
      <c r="BU620" s="41"/>
      <c r="BV620" s="41"/>
      <c r="BW620" s="41"/>
      <c r="BX620" s="41"/>
      <c r="BY620" s="41"/>
      <c r="BZ620" s="41"/>
      <c r="CA620" s="41"/>
      <c r="CB620" s="41"/>
      <c r="CC620" s="41"/>
      <c r="CD620" s="41"/>
      <c r="CE620" s="41"/>
      <c r="CF620" s="41"/>
      <c r="CG620" s="41"/>
      <c r="CH620" s="41"/>
      <c r="CI620" s="41"/>
      <c r="CJ620" s="41"/>
      <c r="CK620" s="41"/>
      <c r="CL620" s="41"/>
      <c r="CM620" s="41"/>
      <c r="CN620" s="41"/>
      <c r="CO620" s="41"/>
      <c r="CP620" s="41"/>
      <c r="CQ620" s="41"/>
      <c r="CR620" s="41"/>
      <c r="CS620" s="41"/>
      <c r="CT620" s="41"/>
      <c r="CU620" s="41"/>
      <c r="CV620" s="41"/>
      <c r="CW620" s="41"/>
      <c r="CX620" s="41"/>
      <c r="CY620" s="41"/>
      <c r="CZ620" s="41"/>
      <c r="DA620" s="41"/>
      <c r="DB620" s="41"/>
      <c r="DC620" s="41"/>
      <c r="DD620" s="41"/>
      <c r="DE620" s="41"/>
      <c r="DF620" s="41"/>
      <c r="DG620" s="41"/>
      <c r="DH620" s="41"/>
      <c r="DI620" s="41"/>
      <c r="DJ620" s="41"/>
      <c r="DK620" s="41"/>
      <c r="DL620" s="41"/>
      <c r="DM620" s="41"/>
      <c r="DN620" s="41"/>
      <c r="DO620" s="41"/>
      <c r="DP620" s="41"/>
      <c r="DQ620" s="41"/>
      <c r="DR620" s="41"/>
      <c r="DS620" s="43"/>
      <c r="DT620" s="44">
        <f t="shared" ref="DT620" si="602">SUM(F620:DR620)</f>
        <v>1</v>
      </c>
    </row>
    <row r="621" spans="2:124" s="13" customFormat="1">
      <c r="B621" s="4">
        <f>'6.1Personnel List'!B622</f>
        <v>609</v>
      </c>
      <c r="C621" s="45" t="s">
        <v>809</v>
      </c>
      <c r="D621" s="45" t="str">
        <f>'6.1Personnel List'!D622</f>
        <v xml:space="preserve">Administrative Assistant II </v>
      </c>
      <c r="E621" s="45" t="str">
        <f>'6.1Personnel List'!H622</f>
        <v>FT</v>
      </c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1"/>
      <c r="AK621" s="41"/>
      <c r="AL621" s="41"/>
      <c r="AM621" s="41"/>
      <c r="AN621" s="41"/>
      <c r="AO621" s="41"/>
      <c r="AP621" s="41"/>
      <c r="AQ621" s="41"/>
      <c r="AR621" s="41"/>
      <c r="AS621" s="41"/>
      <c r="AT621" s="41"/>
      <c r="AU621" s="41"/>
      <c r="AV621" s="41"/>
      <c r="AW621" s="41"/>
      <c r="AX621" s="41"/>
      <c r="AY621" s="41"/>
      <c r="AZ621" s="41"/>
      <c r="BA621" s="41"/>
      <c r="BB621" s="41"/>
      <c r="BC621" s="41"/>
      <c r="BD621" s="41"/>
      <c r="BE621" s="41"/>
      <c r="BF621" s="41"/>
      <c r="BG621" s="41"/>
      <c r="BH621" s="41"/>
      <c r="BJ621" s="41"/>
      <c r="BK621" s="41"/>
      <c r="BL621" s="41"/>
      <c r="BM621" s="41">
        <v>1</v>
      </c>
      <c r="BN621" s="41"/>
      <c r="BO621" s="41"/>
      <c r="BP621" s="41"/>
      <c r="BQ621" s="41"/>
      <c r="BR621" s="41"/>
      <c r="BS621" s="41"/>
      <c r="BT621" s="41"/>
      <c r="BU621" s="41"/>
      <c r="BV621" s="41"/>
      <c r="BW621" s="41"/>
      <c r="BX621" s="41"/>
      <c r="BY621" s="41"/>
      <c r="BZ621" s="41"/>
      <c r="CA621" s="41"/>
      <c r="CB621" s="41"/>
      <c r="CC621" s="41"/>
      <c r="CD621" s="41"/>
      <c r="CE621" s="41"/>
      <c r="CF621" s="41"/>
      <c r="CG621" s="41"/>
      <c r="CH621" s="41"/>
      <c r="CI621" s="41"/>
      <c r="CJ621" s="41"/>
      <c r="CK621" s="41"/>
      <c r="CL621" s="41"/>
      <c r="CM621" s="41"/>
      <c r="CN621" s="41"/>
      <c r="CO621" s="41"/>
      <c r="CP621" s="41"/>
      <c r="CQ621" s="41"/>
      <c r="CR621" s="41"/>
      <c r="CS621" s="41"/>
      <c r="CT621" s="41"/>
      <c r="CU621" s="41"/>
      <c r="CV621" s="41"/>
      <c r="CW621" s="41"/>
      <c r="CX621" s="41"/>
      <c r="CY621" s="41"/>
      <c r="CZ621" s="41"/>
      <c r="DA621" s="41"/>
      <c r="DB621" s="41"/>
      <c r="DC621" s="41"/>
      <c r="DD621" s="41"/>
      <c r="DE621" s="41"/>
      <c r="DF621" s="41"/>
      <c r="DG621" s="41"/>
      <c r="DH621" s="41"/>
      <c r="DI621" s="41"/>
      <c r="DJ621" s="41"/>
      <c r="DK621" s="41"/>
      <c r="DL621" s="41"/>
      <c r="DM621" s="41"/>
      <c r="DN621" s="41"/>
      <c r="DO621" s="41"/>
      <c r="DP621" s="41"/>
      <c r="DQ621" s="41"/>
      <c r="DR621" s="41"/>
      <c r="DS621" s="43"/>
      <c r="DT621" s="44">
        <f t="shared" ref="DT621" si="603">SUM(F621:DR621)</f>
        <v>1</v>
      </c>
    </row>
    <row r="622" spans="2:124" s="13" customFormat="1">
      <c r="B622" s="4">
        <f>'6.1Personnel List'!B623</f>
        <v>610</v>
      </c>
      <c r="C622" s="45" t="s">
        <v>810</v>
      </c>
      <c r="D622" s="45" t="str">
        <f>'6.1Personnel List'!D623</f>
        <v xml:space="preserve">Administrative Assistant II </v>
      </c>
      <c r="E622" s="45" t="str">
        <f>'6.1Personnel List'!H623</f>
        <v>FT</v>
      </c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1"/>
      <c r="AK622" s="41"/>
      <c r="AL622" s="41"/>
      <c r="AM622" s="41"/>
      <c r="AN622" s="41"/>
      <c r="AO622" s="41"/>
      <c r="AP622" s="41"/>
      <c r="AQ622" s="41"/>
      <c r="AR622" s="41"/>
      <c r="AS622" s="41"/>
      <c r="AT622" s="41"/>
      <c r="AU622" s="41"/>
      <c r="AV622" s="41"/>
      <c r="AW622" s="41"/>
      <c r="AX622" s="41"/>
      <c r="AY622" s="41"/>
      <c r="AZ622" s="41"/>
      <c r="BA622" s="41"/>
      <c r="BB622" s="41"/>
      <c r="BC622" s="41"/>
      <c r="BD622" s="41"/>
      <c r="BE622" s="41"/>
      <c r="BF622" s="41"/>
      <c r="BG622" s="41"/>
      <c r="BH622" s="41"/>
      <c r="BJ622" s="41"/>
      <c r="BK622" s="41"/>
      <c r="BL622" s="41"/>
      <c r="BM622" s="41">
        <v>1</v>
      </c>
      <c r="BN622" s="41"/>
      <c r="BO622" s="41"/>
      <c r="BP622" s="41"/>
      <c r="BQ622" s="41"/>
      <c r="BR622" s="41"/>
      <c r="BS622" s="41"/>
      <c r="BT622" s="41"/>
      <c r="BU622" s="41"/>
      <c r="BV622" s="41"/>
      <c r="BW622" s="41"/>
      <c r="BX622" s="41"/>
      <c r="BY622" s="41"/>
      <c r="BZ622" s="41"/>
      <c r="CA622" s="41"/>
      <c r="CB622" s="41"/>
      <c r="CC622" s="41"/>
      <c r="CD622" s="41"/>
      <c r="CE622" s="41"/>
      <c r="CF622" s="41"/>
      <c r="CG622" s="41"/>
      <c r="CH622" s="41"/>
      <c r="CI622" s="41"/>
      <c r="CJ622" s="41"/>
      <c r="CK622" s="41"/>
      <c r="CL622" s="41"/>
      <c r="CM622" s="41"/>
      <c r="CN622" s="41"/>
      <c r="CO622" s="41"/>
      <c r="CP622" s="41"/>
      <c r="CQ622" s="41"/>
      <c r="CR622" s="41"/>
      <c r="CS622" s="41"/>
      <c r="CT622" s="41"/>
      <c r="CU622" s="41"/>
      <c r="CV622" s="41"/>
      <c r="CW622" s="41"/>
      <c r="CX622" s="41"/>
      <c r="CY622" s="41"/>
      <c r="CZ622" s="41"/>
      <c r="DA622" s="41"/>
      <c r="DB622" s="41"/>
      <c r="DC622" s="41"/>
      <c r="DD622" s="41"/>
      <c r="DE622" s="41"/>
      <c r="DF622" s="41"/>
      <c r="DG622" s="41"/>
      <c r="DH622" s="41"/>
      <c r="DI622" s="41"/>
      <c r="DJ622" s="41"/>
      <c r="DK622" s="41"/>
      <c r="DL622" s="41"/>
      <c r="DM622" s="41"/>
      <c r="DN622" s="41"/>
      <c r="DO622" s="41"/>
      <c r="DP622" s="41"/>
      <c r="DQ622" s="41"/>
      <c r="DR622" s="41"/>
      <c r="DS622" s="43"/>
      <c r="DT622" s="44">
        <f t="shared" ref="DT622" si="604">SUM(F622:DR622)</f>
        <v>1</v>
      </c>
    </row>
    <row r="623" spans="2:124" s="13" customFormat="1">
      <c r="B623" s="4">
        <f>'6.1Personnel List'!B624</f>
        <v>611</v>
      </c>
      <c r="C623" s="45" t="s">
        <v>812</v>
      </c>
      <c r="D623" s="45" t="str">
        <f>'6.1Personnel List'!D624</f>
        <v xml:space="preserve">Supervising Administrative Officer </v>
      </c>
      <c r="E623" s="45" t="str">
        <f>'6.1Personnel List'!H624</f>
        <v>FT</v>
      </c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1"/>
      <c r="AK623" s="41"/>
      <c r="AL623" s="41"/>
      <c r="AM623" s="41"/>
      <c r="AN623" s="41"/>
      <c r="AO623" s="41"/>
      <c r="AP623" s="41"/>
      <c r="AQ623" s="41"/>
      <c r="AR623" s="41"/>
      <c r="AS623" s="41"/>
      <c r="AT623" s="41"/>
      <c r="AU623" s="41"/>
      <c r="AV623" s="41"/>
      <c r="AW623" s="41"/>
      <c r="AX623" s="41"/>
      <c r="AY623" s="41"/>
      <c r="AZ623" s="41"/>
      <c r="BA623" s="41"/>
      <c r="BB623" s="41"/>
      <c r="BC623" s="41"/>
      <c r="BD623" s="41"/>
      <c r="BE623" s="41"/>
      <c r="BF623" s="41"/>
      <c r="BG623" s="41"/>
      <c r="BH623" s="41"/>
      <c r="BJ623" s="41"/>
      <c r="BK623" s="41"/>
      <c r="BL623" s="41"/>
      <c r="BM623" s="41"/>
      <c r="BN623" s="41"/>
      <c r="BO623" s="41">
        <v>1</v>
      </c>
      <c r="BP623" s="41"/>
      <c r="BQ623" s="41"/>
      <c r="BR623" s="41"/>
      <c r="BS623" s="41"/>
      <c r="BT623" s="41"/>
      <c r="BU623" s="41"/>
      <c r="BV623" s="41"/>
      <c r="BW623" s="41"/>
      <c r="BX623" s="41"/>
      <c r="BY623" s="41"/>
      <c r="BZ623" s="41"/>
      <c r="CA623" s="41"/>
      <c r="CB623" s="41"/>
      <c r="CC623" s="41"/>
      <c r="CD623" s="41"/>
      <c r="CE623" s="41"/>
      <c r="CF623" s="41"/>
      <c r="CG623" s="41"/>
      <c r="CH623" s="41"/>
      <c r="CI623" s="41"/>
      <c r="CJ623" s="41"/>
      <c r="CK623" s="41"/>
      <c r="CL623" s="41"/>
      <c r="CM623" s="41"/>
      <c r="CN623" s="41"/>
      <c r="CO623" s="41"/>
      <c r="CP623" s="41"/>
      <c r="CQ623" s="41"/>
      <c r="CR623" s="41"/>
      <c r="CS623" s="41"/>
      <c r="CT623" s="41"/>
      <c r="CU623" s="41"/>
      <c r="CV623" s="41"/>
      <c r="CW623" s="41"/>
      <c r="CX623" s="41"/>
      <c r="CY623" s="41"/>
      <c r="CZ623" s="41"/>
      <c r="DA623" s="41"/>
      <c r="DB623" s="41"/>
      <c r="DC623" s="41"/>
      <c r="DD623" s="41"/>
      <c r="DE623" s="41"/>
      <c r="DF623" s="41"/>
      <c r="DG623" s="41"/>
      <c r="DH623" s="41"/>
      <c r="DI623" s="41"/>
      <c r="DJ623" s="41"/>
      <c r="DK623" s="41"/>
      <c r="DL623" s="41"/>
      <c r="DM623" s="41"/>
      <c r="DN623" s="41"/>
      <c r="DO623" s="41"/>
      <c r="DP623" s="41"/>
      <c r="DQ623" s="41"/>
      <c r="DR623" s="41"/>
      <c r="DS623" s="43"/>
      <c r="DT623" s="44">
        <f t="shared" ref="DT623" si="605">SUM(F623:DR623)</f>
        <v>1</v>
      </c>
    </row>
    <row r="624" spans="2:124" s="13" customFormat="1">
      <c r="B624" s="4">
        <f>'6.1Personnel List'!B625</f>
        <v>612</v>
      </c>
      <c r="C624" s="45" t="s">
        <v>814</v>
      </c>
      <c r="D624" s="45" t="str">
        <f>'6.1Personnel List'!D625</f>
        <v>Administrative Officer III</v>
      </c>
      <c r="E624" s="45" t="str">
        <f>'6.1Personnel List'!H625</f>
        <v>FT</v>
      </c>
      <c r="G624" s="41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1"/>
      <c r="AK624" s="41"/>
      <c r="AL624" s="41"/>
      <c r="AM624" s="41"/>
      <c r="AN624" s="41"/>
      <c r="AO624" s="41"/>
      <c r="AP624" s="41"/>
      <c r="AQ624" s="41"/>
      <c r="AR624" s="41"/>
      <c r="AS624" s="41"/>
      <c r="AT624" s="41"/>
      <c r="AU624" s="41"/>
      <c r="AV624" s="41"/>
      <c r="AW624" s="41"/>
      <c r="AX624" s="41"/>
      <c r="AY624" s="41"/>
      <c r="AZ624" s="41"/>
      <c r="BA624" s="41"/>
      <c r="BB624" s="41"/>
      <c r="BC624" s="41"/>
      <c r="BD624" s="41"/>
      <c r="BE624" s="41"/>
      <c r="BF624" s="41"/>
      <c r="BG624" s="41"/>
      <c r="BH624" s="41"/>
      <c r="BJ624" s="41"/>
      <c r="BK624" s="41"/>
      <c r="BL624" s="41"/>
      <c r="BM624" s="41"/>
      <c r="BN624" s="41">
        <v>1</v>
      </c>
      <c r="BO624" s="41"/>
      <c r="BP624" s="41"/>
      <c r="BQ624" s="41"/>
      <c r="BR624" s="41"/>
      <c r="BS624" s="41"/>
      <c r="BT624" s="41"/>
      <c r="BU624" s="41"/>
      <c r="BV624" s="41"/>
      <c r="BW624" s="41"/>
      <c r="BX624" s="41"/>
      <c r="BY624" s="41"/>
      <c r="BZ624" s="41"/>
      <c r="CA624" s="41"/>
      <c r="CB624" s="41"/>
      <c r="CC624" s="41"/>
      <c r="CD624" s="41"/>
      <c r="CE624" s="41"/>
      <c r="CF624" s="41"/>
      <c r="CG624" s="41"/>
      <c r="CH624" s="41"/>
      <c r="CI624" s="41"/>
      <c r="CJ624" s="41"/>
      <c r="CK624" s="41"/>
      <c r="CL624" s="41"/>
      <c r="CM624" s="41"/>
      <c r="CN624" s="41"/>
      <c r="CO624" s="41"/>
      <c r="CP624" s="41"/>
      <c r="CQ624" s="41"/>
      <c r="CR624" s="41"/>
      <c r="CS624" s="41"/>
      <c r="CT624" s="41"/>
      <c r="CU624" s="41"/>
      <c r="CV624" s="41"/>
      <c r="CW624" s="41"/>
      <c r="CX624" s="41"/>
      <c r="CY624" s="41"/>
      <c r="CZ624" s="41"/>
      <c r="DA624" s="41"/>
      <c r="DB624" s="41"/>
      <c r="DC624" s="41"/>
      <c r="DD624" s="41"/>
      <c r="DE624" s="41"/>
      <c r="DF624" s="41"/>
      <c r="DG624" s="41"/>
      <c r="DH624" s="41"/>
      <c r="DI624" s="41"/>
      <c r="DJ624" s="41"/>
      <c r="DK624" s="41"/>
      <c r="DL624" s="41"/>
      <c r="DM624" s="41"/>
      <c r="DN624" s="41"/>
      <c r="DO624" s="41"/>
      <c r="DP624" s="41"/>
      <c r="DQ624" s="41"/>
      <c r="DR624" s="41"/>
      <c r="DS624" s="43"/>
      <c r="DT624" s="44">
        <f t="shared" ref="DT624" si="606">SUM(F624:DR624)</f>
        <v>1</v>
      </c>
    </row>
    <row r="625" spans="2:124" s="13" customFormat="1">
      <c r="B625" s="4">
        <f>'6.1Personnel List'!B626</f>
        <v>613</v>
      </c>
      <c r="C625" s="45" t="s">
        <v>815</v>
      </c>
      <c r="D625" s="45" t="str">
        <f>'6.1Personnel List'!D626</f>
        <v>Administrative Officer III</v>
      </c>
      <c r="E625" s="45" t="str">
        <f>'6.1Personnel List'!H626</f>
        <v>FT</v>
      </c>
      <c r="G625" s="41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1"/>
      <c r="AK625" s="41"/>
      <c r="AL625" s="41"/>
      <c r="AM625" s="41"/>
      <c r="AN625" s="41"/>
      <c r="AO625" s="41"/>
      <c r="AP625" s="41"/>
      <c r="AQ625" s="41"/>
      <c r="AR625" s="41"/>
      <c r="AS625" s="41"/>
      <c r="AT625" s="41"/>
      <c r="AU625" s="41"/>
      <c r="AV625" s="41"/>
      <c r="AW625" s="41"/>
      <c r="AX625" s="41"/>
      <c r="AY625" s="41"/>
      <c r="AZ625" s="41"/>
      <c r="BA625" s="41"/>
      <c r="BB625" s="41"/>
      <c r="BC625" s="41"/>
      <c r="BD625" s="41"/>
      <c r="BE625" s="41"/>
      <c r="BF625" s="41"/>
      <c r="BG625" s="41"/>
      <c r="BH625" s="41"/>
      <c r="BJ625" s="41"/>
      <c r="BK625" s="41"/>
      <c r="BL625" s="41"/>
      <c r="BM625" s="41"/>
      <c r="BN625" s="41"/>
      <c r="BO625" s="41">
        <v>1</v>
      </c>
      <c r="BP625" s="41"/>
      <c r="BQ625" s="41"/>
      <c r="BR625" s="41"/>
      <c r="BS625" s="41"/>
      <c r="BT625" s="41"/>
      <c r="BU625" s="41"/>
      <c r="BV625" s="41"/>
      <c r="BW625" s="41"/>
      <c r="BX625" s="41"/>
      <c r="BY625" s="41"/>
      <c r="BZ625" s="41"/>
      <c r="CA625" s="41"/>
      <c r="CB625" s="41"/>
      <c r="CC625" s="41"/>
      <c r="CD625" s="41"/>
      <c r="CE625" s="41"/>
      <c r="CF625" s="41"/>
      <c r="CG625" s="41"/>
      <c r="CH625" s="41"/>
      <c r="CI625" s="41"/>
      <c r="CJ625" s="41"/>
      <c r="CK625" s="41"/>
      <c r="CL625" s="41"/>
      <c r="CM625" s="41"/>
      <c r="CN625" s="41"/>
      <c r="CO625" s="41"/>
      <c r="CP625" s="41"/>
      <c r="CQ625" s="41"/>
      <c r="CR625" s="41"/>
      <c r="CS625" s="41"/>
      <c r="CT625" s="41"/>
      <c r="CU625" s="41"/>
      <c r="CV625" s="41"/>
      <c r="CW625" s="41"/>
      <c r="CX625" s="41"/>
      <c r="CY625" s="41"/>
      <c r="CZ625" s="41"/>
      <c r="DA625" s="41"/>
      <c r="DB625" s="41"/>
      <c r="DC625" s="41"/>
      <c r="DD625" s="41"/>
      <c r="DE625" s="41"/>
      <c r="DF625" s="41"/>
      <c r="DG625" s="41"/>
      <c r="DH625" s="41"/>
      <c r="DI625" s="41"/>
      <c r="DJ625" s="41"/>
      <c r="DK625" s="41"/>
      <c r="DL625" s="41"/>
      <c r="DM625" s="41"/>
      <c r="DN625" s="41"/>
      <c r="DO625" s="41"/>
      <c r="DP625" s="41"/>
      <c r="DQ625" s="41"/>
      <c r="DR625" s="41"/>
      <c r="DS625" s="43"/>
      <c r="DT625" s="44">
        <f t="shared" ref="DT625" si="607">SUM(F625:DR625)</f>
        <v>1</v>
      </c>
    </row>
    <row r="626" spans="2:124" s="13" customFormat="1">
      <c r="B626" s="4">
        <f>'6.1Personnel List'!B627</f>
        <v>614</v>
      </c>
      <c r="C626" s="45" t="s">
        <v>816</v>
      </c>
      <c r="D626" s="45" t="str">
        <f>'6.1Personnel List'!D627</f>
        <v xml:space="preserve">Administrative Officer II </v>
      </c>
      <c r="E626" s="45" t="str">
        <f>'6.1Personnel List'!H627</f>
        <v>FT</v>
      </c>
      <c r="G626" s="41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1"/>
      <c r="AK626" s="41"/>
      <c r="AL626" s="41"/>
      <c r="AM626" s="41"/>
      <c r="AN626" s="41"/>
      <c r="AO626" s="41"/>
      <c r="AP626" s="41"/>
      <c r="AQ626" s="41"/>
      <c r="AR626" s="41"/>
      <c r="AS626" s="41"/>
      <c r="AT626" s="41"/>
      <c r="AU626" s="41"/>
      <c r="AV626" s="41"/>
      <c r="AW626" s="41"/>
      <c r="AX626" s="41"/>
      <c r="AY626" s="41"/>
      <c r="AZ626" s="41"/>
      <c r="BA626" s="41"/>
      <c r="BB626" s="41"/>
      <c r="BC626" s="41"/>
      <c r="BD626" s="41"/>
      <c r="BE626" s="41"/>
      <c r="BF626" s="41"/>
      <c r="BG626" s="41"/>
      <c r="BH626" s="41"/>
      <c r="BJ626" s="41"/>
      <c r="BK626" s="41"/>
      <c r="BL626" s="41"/>
      <c r="BM626" s="41"/>
      <c r="BN626" s="41">
        <v>1</v>
      </c>
      <c r="BO626" s="41"/>
      <c r="BP626" s="41"/>
      <c r="BQ626" s="41"/>
      <c r="BR626" s="41"/>
      <c r="BS626" s="41"/>
      <c r="BT626" s="41"/>
      <c r="BU626" s="41"/>
      <c r="BV626" s="41"/>
      <c r="BW626" s="41"/>
      <c r="BX626" s="41"/>
      <c r="BY626" s="41"/>
      <c r="BZ626" s="41"/>
      <c r="CA626" s="41"/>
      <c r="CB626" s="41"/>
      <c r="CC626" s="41"/>
      <c r="CD626" s="41"/>
      <c r="CE626" s="41"/>
      <c r="CF626" s="41"/>
      <c r="CG626" s="41"/>
      <c r="CH626" s="41"/>
      <c r="CI626" s="41"/>
      <c r="CJ626" s="41"/>
      <c r="CK626" s="41"/>
      <c r="CL626" s="41"/>
      <c r="CM626" s="41"/>
      <c r="CN626" s="41"/>
      <c r="CO626" s="41"/>
      <c r="CP626" s="41"/>
      <c r="CQ626" s="41"/>
      <c r="CR626" s="41"/>
      <c r="CS626" s="41"/>
      <c r="CT626" s="41"/>
      <c r="CU626" s="41"/>
      <c r="CV626" s="41"/>
      <c r="CW626" s="41"/>
      <c r="CX626" s="41"/>
      <c r="CY626" s="41"/>
      <c r="CZ626" s="41"/>
      <c r="DA626" s="41"/>
      <c r="DB626" s="41"/>
      <c r="DC626" s="41"/>
      <c r="DD626" s="41"/>
      <c r="DE626" s="41"/>
      <c r="DF626" s="41"/>
      <c r="DG626" s="41"/>
      <c r="DH626" s="41"/>
      <c r="DI626" s="41"/>
      <c r="DJ626" s="41"/>
      <c r="DK626" s="41"/>
      <c r="DL626" s="41"/>
      <c r="DM626" s="41"/>
      <c r="DN626" s="41"/>
      <c r="DO626" s="41"/>
      <c r="DP626" s="41"/>
      <c r="DQ626" s="41"/>
      <c r="DR626" s="41"/>
      <c r="DS626" s="43"/>
      <c r="DT626" s="44">
        <f t="shared" ref="DT626" si="608">SUM(F626:DR626)</f>
        <v>1</v>
      </c>
    </row>
    <row r="627" spans="2:124" s="13" customFormat="1">
      <c r="B627" s="4">
        <f>'6.1Personnel List'!B628</f>
        <v>615</v>
      </c>
      <c r="C627" s="45" t="s">
        <v>818</v>
      </c>
      <c r="D627" s="45" t="str">
        <f>'6.1Personnel List'!D628</f>
        <v>Administrative Officer II</v>
      </c>
      <c r="E627" s="45" t="str">
        <f>'6.1Personnel List'!H628</f>
        <v>FT</v>
      </c>
      <c r="G627" s="41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1"/>
      <c r="AK627" s="41"/>
      <c r="AL627" s="41"/>
      <c r="AM627" s="41"/>
      <c r="AN627" s="41"/>
      <c r="AO627" s="41"/>
      <c r="AP627" s="41"/>
      <c r="AQ627" s="41"/>
      <c r="AR627" s="41"/>
      <c r="AS627" s="41"/>
      <c r="AT627" s="41"/>
      <c r="AU627" s="41"/>
      <c r="AV627" s="41"/>
      <c r="AW627" s="41"/>
      <c r="AX627" s="41"/>
      <c r="AY627" s="41"/>
      <c r="AZ627" s="41"/>
      <c r="BA627" s="41"/>
      <c r="BB627" s="41"/>
      <c r="BC627" s="41"/>
      <c r="BD627" s="41"/>
      <c r="BE627" s="41"/>
      <c r="BF627" s="41"/>
      <c r="BG627" s="41"/>
      <c r="BH627" s="41"/>
      <c r="BJ627" s="41"/>
      <c r="BK627" s="41"/>
      <c r="BL627" s="41"/>
      <c r="BM627" s="41"/>
      <c r="BN627" s="41"/>
      <c r="BO627" s="41">
        <v>1</v>
      </c>
      <c r="BP627" s="41"/>
      <c r="BQ627" s="41"/>
      <c r="BR627" s="41"/>
      <c r="BS627" s="41"/>
      <c r="BT627" s="41"/>
      <c r="BU627" s="41"/>
      <c r="BV627" s="41"/>
      <c r="BW627" s="41"/>
      <c r="BX627" s="41"/>
      <c r="BY627" s="41"/>
      <c r="BZ627" s="41"/>
      <c r="CA627" s="41"/>
      <c r="CB627" s="41"/>
      <c r="CC627" s="41"/>
      <c r="CD627" s="41"/>
      <c r="CE627" s="41"/>
      <c r="CF627" s="41"/>
      <c r="CG627" s="41"/>
      <c r="CH627" s="41"/>
      <c r="CI627" s="41"/>
      <c r="CJ627" s="41"/>
      <c r="CK627" s="41"/>
      <c r="CL627" s="41"/>
      <c r="CM627" s="41"/>
      <c r="CN627" s="41"/>
      <c r="CO627" s="41"/>
      <c r="CP627" s="41"/>
      <c r="CQ627" s="41"/>
      <c r="CR627" s="41"/>
      <c r="CS627" s="41"/>
      <c r="CT627" s="41"/>
      <c r="CU627" s="41"/>
      <c r="CV627" s="41"/>
      <c r="CW627" s="41"/>
      <c r="CX627" s="41"/>
      <c r="CY627" s="41"/>
      <c r="CZ627" s="41"/>
      <c r="DA627" s="41"/>
      <c r="DB627" s="41"/>
      <c r="DC627" s="41"/>
      <c r="DD627" s="41"/>
      <c r="DE627" s="41"/>
      <c r="DF627" s="41"/>
      <c r="DG627" s="41"/>
      <c r="DH627" s="41"/>
      <c r="DI627" s="41"/>
      <c r="DJ627" s="41"/>
      <c r="DK627" s="41"/>
      <c r="DL627" s="41"/>
      <c r="DM627" s="41"/>
      <c r="DN627" s="41"/>
      <c r="DO627" s="41"/>
      <c r="DP627" s="41"/>
      <c r="DQ627" s="41"/>
      <c r="DR627" s="41"/>
      <c r="DS627" s="43"/>
      <c r="DT627" s="44">
        <f t="shared" ref="DT627" si="609">SUM(F627:DR627)</f>
        <v>1</v>
      </c>
    </row>
    <row r="628" spans="2:124" s="13" customFormat="1">
      <c r="B628" s="4">
        <f>'6.1Personnel List'!B629</f>
        <v>616</v>
      </c>
      <c r="C628" s="45" t="s">
        <v>819</v>
      </c>
      <c r="D628" s="45" t="str">
        <f>'6.1Personnel List'!D629</f>
        <v>Warehouseman III</v>
      </c>
      <c r="E628" s="45" t="str">
        <f>'6.1Personnel List'!H629</f>
        <v>FT</v>
      </c>
      <c r="G628" s="41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1"/>
      <c r="AK628" s="41"/>
      <c r="AL628" s="41"/>
      <c r="AM628" s="41"/>
      <c r="AN628" s="41"/>
      <c r="AO628" s="41"/>
      <c r="AP628" s="41"/>
      <c r="AQ628" s="41"/>
      <c r="AR628" s="41"/>
      <c r="AS628" s="41"/>
      <c r="AT628" s="41"/>
      <c r="AU628" s="41"/>
      <c r="AV628" s="41"/>
      <c r="AW628" s="41"/>
      <c r="AX628" s="41"/>
      <c r="AY628" s="41"/>
      <c r="AZ628" s="41"/>
      <c r="BA628" s="41"/>
      <c r="BB628" s="41"/>
      <c r="BC628" s="41"/>
      <c r="BD628" s="41"/>
      <c r="BE628" s="41"/>
      <c r="BF628" s="41"/>
      <c r="BG628" s="41"/>
      <c r="BH628" s="41"/>
      <c r="BJ628" s="41"/>
      <c r="BK628" s="41"/>
      <c r="BL628" s="41"/>
      <c r="BM628" s="41"/>
      <c r="BN628" s="41"/>
      <c r="BO628" s="41">
        <v>1</v>
      </c>
      <c r="BP628" s="41"/>
      <c r="BQ628" s="41"/>
      <c r="BR628" s="41"/>
      <c r="BS628" s="41"/>
      <c r="BT628" s="41"/>
      <c r="BU628" s="41"/>
      <c r="BV628" s="41"/>
      <c r="BW628" s="41"/>
      <c r="BX628" s="41"/>
      <c r="BY628" s="41"/>
      <c r="BZ628" s="41"/>
      <c r="CA628" s="41"/>
      <c r="CB628" s="41"/>
      <c r="CC628" s="41"/>
      <c r="CD628" s="41"/>
      <c r="CE628" s="41"/>
      <c r="CF628" s="41"/>
      <c r="CG628" s="41"/>
      <c r="CH628" s="41"/>
      <c r="CI628" s="41"/>
      <c r="CJ628" s="41"/>
      <c r="CK628" s="41"/>
      <c r="CL628" s="41"/>
      <c r="CM628" s="41"/>
      <c r="CN628" s="41"/>
      <c r="CO628" s="41"/>
      <c r="CP628" s="41"/>
      <c r="CQ628" s="41"/>
      <c r="CR628" s="41"/>
      <c r="CS628" s="41"/>
      <c r="CT628" s="41"/>
      <c r="CU628" s="41"/>
      <c r="CV628" s="41"/>
      <c r="CW628" s="41"/>
      <c r="CX628" s="41"/>
      <c r="CY628" s="41"/>
      <c r="CZ628" s="41"/>
      <c r="DA628" s="41"/>
      <c r="DB628" s="41"/>
      <c r="DC628" s="41"/>
      <c r="DD628" s="41"/>
      <c r="DE628" s="41"/>
      <c r="DF628" s="41"/>
      <c r="DG628" s="41"/>
      <c r="DH628" s="41"/>
      <c r="DI628" s="41"/>
      <c r="DJ628" s="41"/>
      <c r="DK628" s="41"/>
      <c r="DL628" s="41"/>
      <c r="DM628" s="41"/>
      <c r="DN628" s="41"/>
      <c r="DO628" s="41"/>
      <c r="DP628" s="41"/>
      <c r="DQ628" s="41"/>
      <c r="DR628" s="41"/>
      <c r="DS628" s="43"/>
      <c r="DT628" s="44">
        <f t="shared" ref="DT628" si="610">SUM(F628:DR628)</f>
        <v>1</v>
      </c>
    </row>
    <row r="629" spans="2:124" s="13" customFormat="1">
      <c r="B629" s="4">
        <f>'6.1Personnel List'!B630</f>
        <v>617</v>
      </c>
      <c r="C629" s="45" t="s">
        <v>821</v>
      </c>
      <c r="D629" s="45" t="str">
        <f>'6.1Personnel List'!D630</f>
        <v>Warehouseman III</v>
      </c>
      <c r="E629" s="45" t="str">
        <f>'6.1Personnel List'!H630</f>
        <v>FT</v>
      </c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1"/>
      <c r="AJ629" s="41"/>
      <c r="AK629" s="41"/>
      <c r="AL629" s="41"/>
      <c r="AM629" s="41"/>
      <c r="AN629" s="41"/>
      <c r="AO629" s="41"/>
      <c r="AP629" s="41"/>
      <c r="AQ629" s="41"/>
      <c r="AR629" s="41"/>
      <c r="AS629" s="41"/>
      <c r="AT629" s="41"/>
      <c r="AU629" s="41"/>
      <c r="AV629" s="41"/>
      <c r="AW629" s="41"/>
      <c r="AX629" s="41"/>
      <c r="AY629" s="41"/>
      <c r="AZ629" s="41"/>
      <c r="BA629" s="41"/>
      <c r="BB629" s="41"/>
      <c r="BC629" s="41"/>
      <c r="BD629" s="41"/>
      <c r="BE629" s="41"/>
      <c r="BF629" s="41"/>
      <c r="BG629" s="41"/>
      <c r="BH629" s="41"/>
      <c r="BJ629" s="41"/>
      <c r="BK629" s="41"/>
      <c r="BL629" s="41"/>
      <c r="BM629" s="41"/>
      <c r="BN629" s="41"/>
      <c r="BO629" s="41">
        <v>1</v>
      </c>
      <c r="BP629" s="41"/>
      <c r="BQ629" s="41"/>
      <c r="BR629" s="41"/>
      <c r="BS629" s="41"/>
      <c r="BT629" s="41"/>
      <c r="BU629" s="41"/>
      <c r="BV629" s="41"/>
      <c r="BW629" s="41"/>
      <c r="BX629" s="41"/>
      <c r="BY629" s="41"/>
      <c r="BZ629" s="41"/>
      <c r="CA629" s="41"/>
      <c r="CB629" s="41"/>
      <c r="CC629" s="41"/>
      <c r="CD629" s="41"/>
      <c r="CE629" s="41"/>
      <c r="CF629" s="41"/>
      <c r="CG629" s="41"/>
      <c r="CH629" s="41"/>
      <c r="CI629" s="41"/>
      <c r="CJ629" s="41"/>
      <c r="CK629" s="41"/>
      <c r="CL629" s="41"/>
      <c r="CM629" s="41"/>
      <c r="CN629" s="41"/>
      <c r="CO629" s="41"/>
      <c r="CP629" s="41"/>
      <c r="CQ629" s="41"/>
      <c r="CR629" s="41"/>
      <c r="CS629" s="41"/>
      <c r="CT629" s="41"/>
      <c r="CU629" s="41"/>
      <c r="CV629" s="41"/>
      <c r="CW629" s="41"/>
      <c r="CX629" s="41"/>
      <c r="CY629" s="41"/>
      <c r="CZ629" s="41"/>
      <c r="DA629" s="41"/>
      <c r="DB629" s="41"/>
      <c r="DC629" s="41"/>
      <c r="DD629" s="41"/>
      <c r="DE629" s="41"/>
      <c r="DF629" s="41"/>
      <c r="DG629" s="41"/>
      <c r="DH629" s="41"/>
      <c r="DI629" s="41"/>
      <c r="DJ629" s="41"/>
      <c r="DK629" s="41"/>
      <c r="DL629" s="41"/>
      <c r="DM629" s="41"/>
      <c r="DN629" s="41"/>
      <c r="DO629" s="41"/>
      <c r="DP629" s="41"/>
      <c r="DQ629" s="41"/>
      <c r="DR629" s="41"/>
      <c r="DS629" s="43"/>
      <c r="DT629" s="44">
        <f t="shared" ref="DT629" si="611">SUM(F629:DR629)</f>
        <v>1</v>
      </c>
    </row>
    <row r="630" spans="2:124" s="13" customFormat="1">
      <c r="B630" s="4">
        <f>'6.1Personnel List'!B631</f>
        <v>618</v>
      </c>
      <c r="C630" s="45" t="s">
        <v>822</v>
      </c>
      <c r="D630" s="45" t="str">
        <f>'6.1Personnel List'!D631</f>
        <v>Administrative Assistant III</v>
      </c>
      <c r="E630" s="45" t="str">
        <f>'6.1Personnel List'!H631</f>
        <v>FT</v>
      </c>
      <c r="G630" s="41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  <c r="AA630" s="41"/>
      <c r="AB630" s="41"/>
      <c r="AC630" s="41"/>
      <c r="AD630" s="41"/>
      <c r="AE630" s="41"/>
      <c r="AF630" s="41"/>
      <c r="AG630" s="41"/>
      <c r="AH630" s="41"/>
      <c r="AI630" s="41"/>
      <c r="AJ630" s="41"/>
      <c r="AK630" s="41"/>
      <c r="AL630" s="41"/>
      <c r="AM630" s="41"/>
      <c r="AN630" s="41"/>
      <c r="AO630" s="41"/>
      <c r="AP630" s="41"/>
      <c r="AQ630" s="41"/>
      <c r="AR630" s="41"/>
      <c r="AS630" s="41"/>
      <c r="AT630" s="41"/>
      <c r="AU630" s="41"/>
      <c r="AV630" s="41"/>
      <c r="AW630" s="41"/>
      <c r="AX630" s="41"/>
      <c r="AY630" s="41"/>
      <c r="AZ630" s="41"/>
      <c r="BA630" s="41"/>
      <c r="BB630" s="41"/>
      <c r="BC630" s="41"/>
      <c r="BD630" s="41"/>
      <c r="BE630" s="41"/>
      <c r="BF630" s="41"/>
      <c r="BG630" s="41"/>
      <c r="BH630" s="41"/>
      <c r="BJ630" s="41"/>
      <c r="BK630" s="41"/>
      <c r="BL630" s="41"/>
      <c r="BM630" s="41"/>
      <c r="BN630" s="41"/>
      <c r="BO630" s="41">
        <v>1</v>
      </c>
      <c r="BP630" s="41"/>
      <c r="BQ630" s="41"/>
      <c r="BR630" s="41"/>
      <c r="BS630" s="41"/>
      <c r="BT630" s="41"/>
      <c r="BU630" s="41"/>
      <c r="BV630" s="41"/>
      <c r="BW630" s="41"/>
      <c r="BX630" s="41"/>
      <c r="BY630" s="41"/>
      <c r="BZ630" s="41"/>
      <c r="CA630" s="41"/>
      <c r="CB630" s="41"/>
      <c r="CC630" s="41"/>
      <c r="CD630" s="41"/>
      <c r="CE630" s="41"/>
      <c r="CF630" s="41"/>
      <c r="CG630" s="41"/>
      <c r="CH630" s="41"/>
      <c r="CI630" s="41"/>
      <c r="CJ630" s="41"/>
      <c r="CK630" s="41"/>
      <c r="CL630" s="41"/>
      <c r="CM630" s="41"/>
      <c r="CN630" s="41"/>
      <c r="CO630" s="41"/>
      <c r="CP630" s="41"/>
      <c r="CQ630" s="41"/>
      <c r="CR630" s="41"/>
      <c r="CS630" s="41"/>
      <c r="CT630" s="41"/>
      <c r="CU630" s="41"/>
      <c r="CV630" s="41"/>
      <c r="CW630" s="41"/>
      <c r="CX630" s="41"/>
      <c r="CY630" s="41"/>
      <c r="CZ630" s="41"/>
      <c r="DA630" s="41"/>
      <c r="DB630" s="41"/>
      <c r="DC630" s="41"/>
      <c r="DD630" s="41"/>
      <c r="DE630" s="41"/>
      <c r="DF630" s="41"/>
      <c r="DG630" s="41"/>
      <c r="DH630" s="41"/>
      <c r="DI630" s="41"/>
      <c r="DJ630" s="41"/>
      <c r="DK630" s="41"/>
      <c r="DL630" s="41"/>
      <c r="DM630" s="41"/>
      <c r="DN630" s="41"/>
      <c r="DO630" s="41"/>
      <c r="DP630" s="41"/>
      <c r="DQ630" s="41"/>
      <c r="DR630" s="41"/>
      <c r="DS630" s="43"/>
      <c r="DT630" s="44">
        <f t="shared" ref="DT630" si="612">SUM(F630:DR630)</f>
        <v>1</v>
      </c>
    </row>
    <row r="631" spans="2:124" s="13" customFormat="1">
      <c r="B631" s="4">
        <f>'6.1Personnel List'!B632</f>
        <v>619</v>
      </c>
      <c r="C631" s="45" t="s">
        <v>823</v>
      </c>
      <c r="D631" s="45" t="str">
        <f>'6.1Personnel List'!D632</f>
        <v>Administrative Assistant III</v>
      </c>
      <c r="E631" s="45" t="str">
        <f>'6.1Personnel List'!H632</f>
        <v>FT</v>
      </c>
      <c r="G631" s="41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  <c r="AA631" s="41"/>
      <c r="AB631" s="41"/>
      <c r="AC631" s="41"/>
      <c r="AD631" s="41"/>
      <c r="AE631" s="41"/>
      <c r="AF631" s="41"/>
      <c r="AG631" s="41"/>
      <c r="AH631" s="41"/>
      <c r="AI631" s="41"/>
      <c r="AJ631" s="41"/>
      <c r="AK631" s="41"/>
      <c r="AL631" s="41"/>
      <c r="AM631" s="41"/>
      <c r="AN631" s="41"/>
      <c r="AO631" s="41"/>
      <c r="AP631" s="41"/>
      <c r="AQ631" s="41"/>
      <c r="AR631" s="41"/>
      <c r="AS631" s="41"/>
      <c r="AT631" s="41"/>
      <c r="AU631" s="41"/>
      <c r="AV631" s="41"/>
      <c r="AW631" s="41"/>
      <c r="AX631" s="41"/>
      <c r="AY631" s="41"/>
      <c r="AZ631" s="41"/>
      <c r="BA631" s="41"/>
      <c r="BB631" s="41"/>
      <c r="BC631" s="41"/>
      <c r="BD631" s="41"/>
      <c r="BE631" s="41"/>
      <c r="BF631" s="41"/>
      <c r="BG631" s="41"/>
      <c r="BH631" s="41"/>
      <c r="BJ631" s="41"/>
      <c r="BK631" s="41"/>
      <c r="BL631" s="41"/>
      <c r="BM631" s="41"/>
      <c r="BN631" s="41"/>
      <c r="BO631" s="41">
        <v>1</v>
      </c>
      <c r="BP631" s="41"/>
      <c r="BQ631" s="41"/>
      <c r="BR631" s="41"/>
      <c r="BS631" s="41"/>
      <c r="BT631" s="41"/>
      <c r="BU631" s="41"/>
      <c r="BV631" s="41"/>
      <c r="BW631" s="41"/>
      <c r="BX631" s="41"/>
      <c r="BY631" s="41"/>
      <c r="BZ631" s="41"/>
      <c r="CA631" s="41"/>
      <c r="CB631" s="41"/>
      <c r="CC631" s="41"/>
      <c r="CD631" s="41"/>
      <c r="CE631" s="41"/>
      <c r="CF631" s="41"/>
      <c r="CG631" s="41"/>
      <c r="CH631" s="41"/>
      <c r="CI631" s="41"/>
      <c r="CJ631" s="41"/>
      <c r="CK631" s="41"/>
      <c r="CL631" s="41"/>
      <c r="CM631" s="41"/>
      <c r="CN631" s="41"/>
      <c r="CO631" s="41"/>
      <c r="CP631" s="41"/>
      <c r="CQ631" s="41"/>
      <c r="CR631" s="41"/>
      <c r="CS631" s="41"/>
      <c r="CT631" s="41"/>
      <c r="CU631" s="41"/>
      <c r="CV631" s="41"/>
      <c r="CW631" s="41"/>
      <c r="CX631" s="41"/>
      <c r="CY631" s="41"/>
      <c r="CZ631" s="41"/>
      <c r="DA631" s="41"/>
      <c r="DB631" s="41"/>
      <c r="DC631" s="41"/>
      <c r="DD631" s="41"/>
      <c r="DE631" s="41"/>
      <c r="DF631" s="41"/>
      <c r="DG631" s="41"/>
      <c r="DH631" s="41"/>
      <c r="DI631" s="41"/>
      <c r="DJ631" s="41"/>
      <c r="DK631" s="41"/>
      <c r="DL631" s="41"/>
      <c r="DM631" s="41"/>
      <c r="DN631" s="41"/>
      <c r="DO631" s="41"/>
      <c r="DP631" s="41"/>
      <c r="DQ631" s="41"/>
      <c r="DR631" s="41"/>
      <c r="DS631" s="43"/>
      <c r="DT631" s="44">
        <f t="shared" ref="DT631" si="613">SUM(F631:DR631)</f>
        <v>1</v>
      </c>
    </row>
    <row r="632" spans="2:124" s="13" customFormat="1">
      <c r="B632" s="4">
        <f>'6.1Personnel List'!B633</f>
        <v>620</v>
      </c>
      <c r="C632" s="45" t="s">
        <v>824</v>
      </c>
      <c r="D632" s="45" t="str">
        <f>'6.1Personnel List'!D633</f>
        <v>Administrative Assistant I</v>
      </c>
      <c r="E632" s="45" t="str">
        <f>'6.1Personnel List'!H633</f>
        <v>FT</v>
      </c>
      <c r="G632" s="41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  <c r="AA632" s="41"/>
      <c r="AB632" s="41"/>
      <c r="AC632" s="41"/>
      <c r="AD632" s="41"/>
      <c r="AE632" s="41"/>
      <c r="AF632" s="41"/>
      <c r="AG632" s="41"/>
      <c r="AH632" s="41"/>
      <c r="AI632" s="41"/>
      <c r="AJ632" s="41"/>
      <c r="AK632" s="41"/>
      <c r="AL632" s="41"/>
      <c r="AM632" s="41"/>
      <c r="AN632" s="41"/>
      <c r="AO632" s="41"/>
      <c r="AP632" s="41"/>
      <c r="AQ632" s="41"/>
      <c r="AR632" s="41"/>
      <c r="AS632" s="41"/>
      <c r="AT632" s="41"/>
      <c r="AU632" s="41"/>
      <c r="AV632" s="41"/>
      <c r="AW632" s="41"/>
      <c r="AX632" s="41"/>
      <c r="AY632" s="41"/>
      <c r="AZ632" s="41"/>
      <c r="BA632" s="41"/>
      <c r="BB632" s="41"/>
      <c r="BC632" s="41"/>
      <c r="BD632" s="41"/>
      <c r="BE632" s="41"/>
      <c r="BF632" s="41"/>
      <c r="BG632" s="41"/>
      <c r="BH632" s="41"/>
      <c r="BJ632" s="41"/>
      <c r="BK632" s="41"/>
      <c r="BL632" s="41"/>
      <c r="BM632" s="41"/>
      <c r="BN632" s="41">
        <v>1</v>
      </c>
      <c r="BO632" s="41"/>
      <c r="BP632" s="41"/>
      <c r="BQ632" s="41"/>
      <c r="BR632" s="41"/>
      <c r="BS632" s="41"/>
      <c r="BT632" s="41"/>
      <c r="BU632" s="41"/>
      <c r="BV632" s="41"/>
      <c r="BW632" s="41"/>
      <c r="BX632" s="41"/>
      <c r="BY632" s="41"/>
      <c r="BZ632" s="41"/>
      <c r="CA632" s="41"/>
      <c r="CB632" s="41"/>
      <c r="CC632" s="41"/>
      <c r="CD632" s="41"/>
      <c r="CE632" s="41"/>
      <c r="CF632" s="41"/>
      <c r="CG632" s="41"/>
      <c r="CH632" s="41"/>
      <c r="CI632" s="41"/>
      <c r="CJ632" s="41"/>
      <c r="CK632" s="41"/>
      <c r="CL632" s="41"/>
      <c r="CM632" s="41"/>
      <c r="CN632" s="41"/>
      <c r="CO632" s="41"/>
      <c r="CP632" s="41"/>
      <c r="CQ632" s="41"/>
      <c r="CR632" s="41"/>
      <c r="CS632" s="41"/>
      <c r="CT632" s="41"/>
      <c r="CU632" s="41"/>
      <c r="CV632" s="41"/>
      <c r="CW632" s="41"/>
      <c r="CX632" s="41"/>
      <c r="CY632" s="41"/>
      <c r="CZ632" s="41"/>
      <c r="DA632" s="41"/>
      <c r="DB632" s="41"/>
      <c r="DC632" s="41"/>
      <c r="DD632" s="41"/>
      <c r="DE632" s="41"/>
      <c r="DF632" s="41"/>
      <c r="DG632" s="41"/>
      <c r="DH632" s="41"/>
      <c r="DI632" s="41"/>
      <c r="DJ632" s="41"/>
      <c r="DK632" s="41"/>
      <c r="DL632" s="41"/>
      <c r="DM632" s="41"/>
      <c r="DN632" s="41"/>
      <c r="DO632" s="41"/>
      <c r="DP632" s="41"/>
      <c r="DQ632" s="41"/>
      <c r="DR632" s="41"/>
      <c r="DS632" s="43"/>
      <c r="DT632" s="44">
        <f t="shared" ref="DT632" si="614">SUM(F632:DR632)</f>
        <v>1</v>
      </c>
    </row>
    <row r="633" spans="2:124" s="13" customFormat="1">
      <c r="B633" s="4">
        <f>'6.1Personnel List'!B634</f>
        <v>621</v>
      </c>
      <c r="C633" s="45" t="s">
        <v>825</v>
      </c>
      <c r="D633" s="45" t="str">
        <f>'6.1Personnel List'!D634</f>
        <v>Administrative Assistant I</v>
      </c>
      <c r="E633" s="45" t="str">
        <f>'6.1Personnel List'!H634</f>
        <v>FT</v>
      </c>
      <c r="G633" s="41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1"/>
      <c r="AJ633" s="41"/>
      <c r="AK633" s="41"/>
      <c r="AL633" s="41"/>
      <c r="AM633" s="41"/>
      <c r="AN633" s="41"/>
      <c r="AO633" s="41"/>
      <c r="AP633" s="41"/>
      <c r="AQ633" s="41"/>
      <c r="AR633" s="41"/>
      <c r="AS633" s="41"/>
      <c r="AT633" s="41"/>
      <c r="AU633" s="41"/>
      <c r="AV633" s="41"/>
      <c r="AW633" s="41"/>
      <c r="AX633" s="41"/>
      <c r="AY633" s="41"/>
      <c r="AZ633" s="41"/>
      <c r="BA633" s="41"/>
      <c r="BB633" s="41"/>
      <c r="BC633" s="41"/>
      <c r="BD633" s="41"/>
      <c r="BE633" s="41"/>
      <c r="BF633" s="41"/>
      <c r="BG633" s="41"/>
      <c r="BH633" s="41"/>
      <c r="BJ633" s="41"/>
      <c r="BK633" s="41"/>
      <c r="BL633" s="41"/>
      <c r="BM633" s="41"/>
      <c r="BN633" s="41"/>
      <c r="BO633" s="41">
        <v>1</v>
      </c>
      <c r="BP633" s="41"/>
      <c r="BQ633" s="41"/>
      <c r="BR633" s="41"/>
      <c r="BS633" s="41"/>
      <c r="BT633" s="41"/>
      <c r="BU633" s="41"/>
      <c r="BV633" s="41"/>
      <c r="BW633" s="41"/>
      <c r="BX633" s="41"/>
      <c r="BY633" s="41"/>
      <c r="BZ633" s="41"/>
      <c r="CA633" s="41"/>
      <c r="CB633" s="41"/>
      <c r="CC633" s="41"/>
      <c r="CD633" s="41"/>
      <c r="CE633" s="41"/>
      <c r="CF633" s="41"/>
      <c r="CG633" s="41"/>
      <c r="CH633" s="41"/>
      <c r="CI633" s="41"/>
      <c r="CJ633" s="41"/>
      <c r="CK633" s="41"/>
      <c r="CL633" s="41"/>
      <c r="CM633" s="41"/>
      <c r="CN633" s="41"/>
      <c r="CO633" s="41"/>
      <c r="CP633" s="41"/>
      <c r="CQ633" s="41"/>
      <c r="CR633" s="41"/>
      <c r="CS633" s="41"/>
      <c r="CT633" s="41"/>
      <c r="CU633" s="41"/>
      <c r="CV633" s="41"/>
      <c r="CW633" s="41"/>
      <c r="CX633" s="41"/>
      <c r="CY633" s="41"/>
      <c r="CZ633" s="41"/>
      <c r="DA633" s="41"/>
      <c r="DB633" s="41"/>
      <c r="DC633" s="41"/>
      <c r="DD633" s="41"/>
      <c r="DE633" s="41"/>
      <c r="DF633" s="41"/>
      <c r="DG633" s="41"/>
      <c r="DH633" s="41"/>
      <c r="DI633" s="41"/>
      <c r="DJ633" s="41"/>
      <c r="DK633" s="41"/>
      <c r="DL633" s="41"/>
      <c r="DM633" s="41"/>
      <c r="DN633" s="41"/>
      <c r="DO633" s="41"/>
      <c r="DP633" s="41"/>
      <c r="DQ633" s="41"/>
      <c r="DR633" s="41"/>
      <c r="DS633" s="43"/>
      <c r="DT633" s="44">
        <f t="shared" ref="DT633" si="615">SUM(F633:DR633)</f>
        <v>1</v>
      </c>
    </row>
    <row r="634" spans="2:124" s="13" customFormat="1">
      <c r="B634" s="4">
        <f>'6.1Personnel List'!B635</f>
        <v>622</v>
      </c>
      <c r="C634" s="45" t="s">
        <v>826</v>
      </c>
      <c r="D634" s="45" t="str">
        <f>'6.1Personnel List'!D635</f>
        <v>Administrative Assistant I</v>
      </c>
      <c r="E634" s="45" t="str">
        <f>'6.1Personnel List'!H635</f>
        <v>FT</v>
      </c>
      <c r="G634" s="41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1"/>
      <c r="AK634" s="41"/>
      <c r="AL634" s="41"/>
      <c r="AM634" s="41"/>
      <c r="AN634" s="41"/>
      <c r="AO634" s="41"/>
      <c r="AP634" s="41"/>
      <c r="AQ634" s="41"/>
      <c r="AR634" s="41"/>
      <c r="AS634" s="41"/>
      <c r="AT634" s="41"/>
      <c r="AU634" s="41"/>
      <c r="AV634" s="41"/>
      <c r="AW634" s="41"/>
      <c r="AX634" s="41"/>
      <c r="AY634" s="41"/>
      <c r="AZ634" s="41"/>
      <c r="BA634" s="41"/>
      <c r="BB634" s="41"/>
      <c r="BC634" s="41"/>
      <c r="BD634" s="41"/>
      <c r="BE634" s="41"/>
      <c r="BF634" s="41"/>
      <c r="BG634" s="41"/>
      <c r="BH634" s="41"/>
      <c r="BJ634" s="41"/>
      <c r="BK634" s="41"/>
      <c r="BL634" s="41"/>
      <c r="BM634" s="41"/>
      <c r="BN634" s="41">
        <v>1</v>
      </c>
      <c r="BO634" s="41"/>
      <c r="BP634" s="41"/>
      <c r="BQ634" s="41"/>
      <c r="BR634" s="41"/>
      <c r="BS634" s="41"/>
      <c r="BT634" s="41"/>
      <c r="BU634" s="41"/>
      <c r="BV634" s="41"/>
      <c r="BW634" s="41"/>
      <c r="BX634" s="41"/>
      <c r="BY634" s="41"/>
      <c r="BZ634" s="41"/>
      <c r="CA634" s="41"/>
      <c r="CB634" s="41"/>
      <c r="CC634" s="41"/>
      <c r="CD634" s="41"/>
      <c r="CE634" s="41"/>
      <c r="CF634" s="41"/>
      <c r="CG634" s="41"/>
      <c r="CH634" s="41"/>
      <c r="CI634" s="41"/>
      <c r="CJ634" s="41"/>
      <c r="CK634" s="41"/>
      <c r="CL634" s="41"/>
      <c r="CM634" s="41"/>
      <c r="CN634" s="41"/>
      <c r="CO634" s="41"/>
      <c r="CP634" s="41"/>
      <c r="CQ634" s="41"/>
      <c r="CR634" s="41"/>
      <c r="CS634" s="41"/>
      <c r="CT634" s="41"/>
      <c r="CU634" s="41"/>
      <c r="CV634" s="41"/>
      <c r="CW634" s="41"/>
      <c r="CX634" s="41"/>
      <c r="CY634" s="41"/>
      <c r="CZ634" s="41"/>
      <c r="DA634" s="41"/>
      <c r="DB634" s="41"/>
      <c r="DC634" s="41"/>
      <c r="DD634" s="41"/>
      <c r="DE634" s="41"/>
      <c r="DF634" s="41"/>
      <c r="DG634" s="41"/>
      <c r="DH634" s="41"/>
      <c r="DI634" s="41"/>
      <c r="DJ634" s="41"/>
      <c r="DK634" s="41"/>
      <c r="DL634" s="41"/>
      <c r="DM634" s="41"/>
      <c r="DN634" s="41"/>
      <c r="DO634" s="41"/>
      <c r="DP634" s="41"/>
      <c r="DQ634" s="41"/>
      <c r="DR634" s="41"/>
      <c r="DS634" s="43"/>
      <c r="DT634" s="44">
        <f t="shared" ref="DT634" si="616">SUM(F634:DR634)</f>
        <v>1</v>
      </c>
    </row>
    <row r="635" spans="2:124" s="13" customFormat="1">
      <c r="B635" s="4">
        <f>'6.1Personnel List'!B636</f>
        <v>623</v>
      </c>
      <c r="C635" s="45" t="s">
        <v>827</v>
      </c>
      <c r="D635" s="45" t="str">
        <f>'6.1Personnel List'!D636</f>
        <v>Administrative Assistant I</v>
      </c>
      <c r="E635" s="45" t="str">
        <f>'6.1Personnel List'!H636</f>
        <v>FT</v>
      </c>
      <c r="G635" s="41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1"/>
      <c r="AK635" s="41"/>
      <c r="AL635" s="41"/>
      <c r="AM635" s="41"/>
      <c r="AN635" s="41"/>
      <c r="AO635" s="41"/>
      <c r="AP635" s="41"/>
      <c r="AQ635" s="41"/>
      <c r="AR635" s="41"/>
      <c r="AS635" s="41"/>
      <c r="AT635" s="41"/>
      <c r="AU635" s="41"/>
      <c r="AV635" s="41"/>
      <c r="AW635" s="41"/>
      <c r="AX635" s="41"/>
      <c r="AY635" s="41"/>
      <c r="AZ635" s="41"/>
      <c r="BA635" s="41"/>
      <c r="BB635" s="41"/>
      <c r="BC635" s="41"/>
      <c r="BD635" s="41"/>
      <c r="BE635" s="41"/>
      <c r="BF635" s="41"/>
      <c r="BG635" s="41"/>
      <c r="BH635" s="41"/>
      <c r="BJ635" s="41"/>
      <c r="BK635" s="41"/>
      <c r="BL635" s="41"/>
      <c r="BM635" s="41"/>
      <c r="BN635" s="41"/>
      <c r="BO635" s="41">
        <v>1</v>
      </c>
      <c r="BP635" s="41"/>
      <c r="BQ635" s="41"/>
      <c r="BR635" s="41"/>
      <c r="BS635" s="41"/>
      <c r="BT635" s="41"/>
      <c r="BU635" s="41"/>
      <c r="BV635" s="41"/>
      <c r="BW635" s="41"/>
      <c r="BX635" s="41"/>
      <c r="BY635" s="41"/>
      <c r="BZ635" s="41"/>
      <c r="CA635" s="41"/>
      <c r="CB635" s="41"/>
      <c r="CC635" s="41"/>
      <c r="CD635" s="41"/>
      <c r="CE635" s="41"/>
      <c r="CF635" s="41"/>
      <c r="CG635" s="41"/>
      <c r="CH635" s="41"/>
      <c r="CI635" s="41"/>
      <c r="CJ635" s="41"/>
      <c r="CK635" s="41"/>
      <c r="CL635" s="41"/>
      <c r="CM635" s="41"/>
      <c r="CN635" s="41"/>
      <c r="CO635" s="41"/>
      <c r="CP635" s="41"/>
      <c r="CQ635" s="41"/>
      <c r="CR635" s="41"/>
      <c r="CS635" s="41"/>
      <c r="CT635" s="41"/>
      <c r="CU635" s="41"/>
      <c r="CV635" s="41"/>
      <c r="CW635" s="41"/>
      <c r="CX635" s="41"/>
      <c r="CY635" s="41"/>
      <c r="CZ635" s="41"/>
      <c r="DA635" s="41"/>
      <c r="DB635" s="41"/>
      <c r="DC635" s="41"/>
      <c r="DD635" s="41"/>
      <c r="DE635" s="41"/>
      <c r="DF635" s="41"/>
      <c r="DG635" s="41"/>
      <c r="DH635" s="41"/>
      <c r="DI635" s="41"/>
      <c r="DJ635" s="41"/>
      <c r="DK635" s="41"/>
      <c r="DL635" s="41"/>
      <c r="DM635" s="41"/>
      <c r="DN635" s="41"/>
      <c r="DO635" s="41"/>
      <c r="DP635" s="41"/>
      <c r="DQ635" s="41"/>
      <c r="DR635" s="41"/>
      <c r="DS635" s="43"/>
      <c r="DT635" s="44">
        <f t="shared" ref="DT635" si="617">SUM(F635:DR635)</f>
        <v>1</v>
      </c>
    </row>
    <row r="636" spans="2:124" s="13" customFormat="1">
      <c r="B636" s="4">
        <f>'6.1Personnel List'!B637</f>
        <v>624</v>
      </c>
      <c r="C636" s="45" t="s">
        <v>828</v>
      </c>
      <c r="D636" s="45" t="str">
        <f>'6.1Personnel List'!D637</f>
        <v>Administrative Assistant I</v>
      </c>
      <c r="E636" s="45" t="str">
        <f>'6.1Personnel List'!H637</f>
        <v>FT</v>
      </c>
      <c r="G636" s="41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1"/>
      <c r="AK636" s="41"/>
      <c r="AL636" s="41"/>
      <c r="AM636" s="41"/>
      <c r="AN636" s="41"/>
      <c r="AO636" s="41"/>
      <c r="AP636" s="41"/>
      <c r="AQ636" s="41"/>
      <c r="AR636" s="41"/>
      <c r="AS636" s="41"/>
      <c r="AT636" s="41"/>
      <c r="AU636" s="41"/>
      <c r="AV636" s="41"/>
      <c r="AW636" s="41"/>
      <c r="AX636" s="41"/>
      <c r="AY636" s="41"/>
      <c r="AZ636" s="41"/>
      <c r="BA636" s="41"/>
      <c r="BB636" s="41"/>
      <c r="BC636" s="41"/>
      <c r="BD636" s="41"/>
      <c r="BE636" s="41"/>
      <c r="BF636" s="41"/>
      <c r="BG636" s="41"/>
      <c r="BH636" s="41"/>
      <c r="BJ636" s="41"/>
      <c r="BK636" s="41"/>
      <c r="BL636" s="41"/>
      <c r="BM636" s="41"/>
      <c r="BN636" s="41"/>
      <c r="BO636" s="41">
        <v>1</v>
      </c>
      <c r="BP636" s="41"/>
      <c r="BQ636" s="41"/>
      <c r="BR636" s="41"/>
      <c r="BS636" s="41"/>
      <c r="BT636" s="41"/>
      <c r="BU636" s="41"/>
      <c r="BV636" s="41"/>
      <c r="BW636" s="41"/>
      <c r="BX636" s="41"/>
      <c r="BY636" s="41"/>
      <c r="BZ636" s="41"/>
      <c r="CA636" s="41"/>
      <c r="CB636" s="41"/>
      <c r="CC636" s="41"/>
      <c r="CD636" s="41"/>
      <c r="CE636" s="41"/>
      <c r="CF636" s="41"/>
      <c r="CG636" s="41"/>
      <c r="CH636" s="41"/>
      <c r="CI636" s="41"/>
      <c r="CJ636" s="41"/>
      <c r="CK636" s="41"/>
      <c r="CL636" s="41"/>
      <c r="CM636" s="41"/>
      <c r="CN636" s="41"/>
      <c r="CO636" s="41"/>
      <c r="CP636" s="41"/>
      <c r="CQ636" s="41"/>
      <c r="CR636" s="41"/>
      <c r="CS636" s="41"/>
      <c r="CT636" s="41"/>
      <c r="CU636" s="41"/>
      <c r="CV636" s="41"/>
      <c r="CW636" s="41"/>
      <c r="CX636" s="41"/>
      <c r="CY636" s="41"/>
      <c r="CZ636" s="41"/>
      <c r="DA636" s="41"/>
      <c r="DB636" s="41"/>
      <c r="DC636" s="41"/>
      <c r="DD636" s="41"/>
      <c r="DE636" s="41"/>
      <c r="DF636" s="41"/>
      <c r="DG636" s="41"/>
      <c r="DH636" s="41"/>
      <c r="DI636" s="41"/>
      <c r="DJ636" s="41"/>
      <c r="DK636" s="41"/>
      <c r="DL636" s="41"/>
      <c r="DM636" s="41"/>
      <c r="DN636" s="41"/>
      <c r="DO636" s="41"/>
      <c r="DP636" s="41"/>
      <c r="DQ636" s="41"/>
      <c r="DR636" s="41"/>
      <c r="DS636" s="43"/>
      <c r="DT636" s="44">
        <f t="shared" ref="DT636" si="618">SUM(F636:DR636)</f>
        <v>1</v>
      </c>
    </row>
    <row r="637" spans="2:124" s="13" customFormat="1">
      <c r="B637" s="4">
        <f>'6.1Personnel List'!B638</f>
        <v>625</v>
      </c>
      <c r="C637" s="45" t="s">
        <v>829</v>
      </c>
      <c r="D637" s="45" t="str">
        <f>'6.1Personnel List'!D638</f>
        <v>Administrative Assistant I</v>
      </c>
      <c r="E637" s="45" t="str">
        <f>'6.1Personnel List'!H638</f>
        <v>FT</v>
      </c>
      <c r="G637" s="41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1"/>
      <c r="AK637" s="41"/>
      <c r="AL637" s="41"/>
      <c r="AM637" s="41"/>
      <c r="AN637" s="41"/>
      <c r="AO637" s="41"/>
      <c r="AP637" s="41"/>
      <c r="AQ637" s="41"/>
      <c r="AR637" s="41"/>
      <c r="AS637" s="41"/>
      <c r="AT637" s="41"/>
      <c r="AU637" s="41"/>
      <c r="AV637" s="41"/>
      <c r="AW637" s="41"/>
      <c r="AX637" s="41"/>
      <c r="AY637" s="41"/>
      <c r="AZ637" s="41"/>
      <c r="BA637" s="41"/>
      <c r="BB637" s="41"/>
      <c r="BC637" s="41"/>
      <c r="BD637" s="41"/>
      <c r="BE637" s="41"/>
      <c r="BF637" s="41"/>
      <c r="BG637" s="41"/>
      <c r="BH637" s="41"/>
      <c r="BJ637" s="41"/>
      <c r="BK637" s="41"/>
      <c r="BL637" s="41"/>
      <c r="BM637" s="41"/>
      <c r="BN637" s="41"/>
      <c r="BO637" s="41">
        <v>1</v>
      </c>
      <c r="BP637" s="41"/>
      <c r="BQ637" s="41"/>
      <c r="BR637" s="41"/>
      <c r="BS637" s="41"/>
      <c r="BT637" s="41"/>
      <c r="BU637" s="41"/>
      <c r="BV637" s="41"/>
      <c r="BW637" s="41"/>
      <c r="BX637" s="41"/>
      <c r="BY637" s="41"/>
      <c r="BZ637" s="41"/>
      <c r="CA637" s="41"/>
      <c r="CB637" s="41"/>
      <c r="CC637" s="41"/>
      <c r="CD637" s="41"/>
      <c r="CE637" s="41"/>
      <c r="CF637" s="41"/>
      <c r="CG637" s="41"/>
      <c r="CH637" s="41"/>
      <c r="CI637" s="41"/>
      <c r="CJ637" s="41"/>
      <c r="CK637" s="41"/>
      <c r="CL637" s="41"/>
      <c r="CM637" s="41"/>
      <c r="CN637" s="41"/>
      <c r="CO637" s="41"/>
      <c r="CP637" s="41"/>
      <c r="CQ637" s="41"/>
      <c r="CR637" s="41"/>
      <c r="CS637" s="41"/>
      <c r="CT637" s="41"/>
      <c r="CU637" s="41"/>
      <c r="CV637" s="41"/>
      <c r="CW637" s="41"/>
      <c r="CX637" s="41"/>
      <c r="CY637" s="41"/>
      <c r="CZ637" s="41"/>
      <c r="DA637" s="41"/>
      <c r="DB637" s="41"/>
      <c r="DC637" s="41"/>
      <c r="DD637" s="41"/>
      <c r="DE637" s="41"/>
      <c r="DF637" s="41"/>
      <c r="DG637" s="41"/>
      <c r="DH637" s="41"/>
      <c r="DI637" s="41"/>
      <c r="DJ637" s="41"/>
      <c r="DK637" s="41"/>
      <c r="DL637" s="41"/>
      <c r="DM637" s="41"/>
      <c r="DN637" s="41"/>
      <c r="DO637" s="41"/>
      <c r="DP637" s="41"/>
      <c r="DQ637" s="41"/>
      <c r="DR637" s="41"/>
      <c r="DS637" s="43"/>
      <c r="DT637" s="44">
        <f t="shared" ref="DT637" si="619">SUM(F637:DR637)</f>
        <v>1</v>
      </c>
    </row>
    <row r="638" spans="2:124" s="13" customFormat="1">
      <c r="B638" s="4">
        <f>'6.1Personnel List'!B639</f>
        <v>626</v>
      </c>
      <c r="C638" s="45" t="s">
        <v>830</v>
      </c>
      <c r="D638" s="45" t="str">
        <f>'6.1Personnel List'!D639</f>
        <v>Job Order</v>
      </c>
      <c r="E638" s="45" t="str">
        <f>'6.1Personnel List'!H639</f>
        <v>FT</v>
      </c>
      <c r="G638" s="41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1"/>
      <c r="AK638" s="41"/>
      <c r="AL638" s="41"/>
      <c r="AM638" s="41"/>
      <c r="AN638" s="41"/>
      <c r="AO638" s="41"/>
      <c r="AP638" s="41"/>
      <c r="AQ638" s="41"/>
      <c r="AR638" s="41"/>
      <c r="AS638" s="41"/>
      <c r="AT638" s="41"/>
      <c r="AU638" s="41"/>
      <c r="AV638" s="41"/>
      <c r="AW638" s="41"/>
      <c r="AX638" s="41"/>
      <c r="AY638" s="41"/>
      <c r="AZ638" s="41"/>
      <c r="BA638" s="41"/>
      <c r="BB638" s="41"/>
      <c r="BC638" s="41"/>
      <c r="BD638" s="41"/>
      <c r="BE638" s="41"/>
      <c r="BF638" s="41"/>
      <c r="BG638" s="41"/>
      <c r="BH638" s="41"/>
      <c r="BJ638" s="41"/>
      <c r="BK638" s="41"/>
      <c r="BL638" s="41"/>
      <c r="BM638" s="41"/>
      <c r="BN638" s="41"/>
      <c r="BO638" s="41">
        <v>1</v>
      </c>
      <c r="BP638" s="41"/>
      <c r="BQ638" s="41"/>
      <c r="BR638" s="41"/>
      <c r="BS638" s="41"/>
      <c r="BT638" s="41"/>
      <c r="BU638" s="41"/>
      <c r="BV638" s="41"/>
      <c r="BW638" s="41"/>
      <c r="BX638" s="41"/>
      <c r="BY638" s="41"/>
      <c r="BZ638" s="41"/>
      <c r="CA638" s="41"/>
      <c r="CB638" s="41"/>
      <c r="CC638" s="41"/>
      <c r="CD638" s="41"/>
      <c r="CE638" s="41"/>
      <c r="CF638" s="41"/>
      <c r="CG638" s="41"/>
      <c r="CH638" s="41"/>
      <c r="CI638" s="41"/>
      <c r="CJ638" s="41"/>
      <c r="CK638" s="41"/>
      <c r="CL638" s="41"/>
      <c r="CM638" s="41"/>
      <c r="CN638" s="41"/>
      <c r="CO638" s="41"/>
      <c r="CP638" s="41"/>
      <c r="CQ638" s="41"/>
      <c r="CR638" s="41"/>
      <c r="CS638" s="41"/>
      <c r="CT638" s="41"/>
      <c r="CU638" s="41"/>
      <c r="CV638" s="41"/>
      <c r="CW638" s="41"/>
      <c r="CX638" s="41"/>
      <c r="CY638" s="41"/>
      <c r="CZ638" s="41"/>
      <c r="DA638" s="41"/>
      <c r="DB638" s="41"/>
      <c r="DC638" s="41"/>
      <c r="DD638" s="41"/>
      <c r="DE638" s="41"/>
      <c r="DF638" s="41"/>
      <c r="DG638" s="41"/>
      <c r="DH638" s="41"/>
      <c r="DI638" s="41"/>
      <c r="DJ638" s="41"/>
      <c r="DK638" s="41"/>
      <c r="DL638" s="41"/>
      <c r="DM638" s="41"/>
      <c r="DN638" s="41"/>
      <c r="DO638" s="41"/>
      <c r="DP638" s="41"/>
      <c r="DQ638" s="41"/>
      <c r="DR638" s="41"/>
      <c r="DS638" s="43"/>
      <c r="DT638" s="44">
        <f t="shared" ref="DT638" si="620">SUM(F638:DR638)</f>
        <v>1</v>
      </c>
    </row>
    <row r="639" spans="2:124" s="13" customFormat="1">
      <c r="B639" s="4">
        <f>'6.1Personnel List'!B640</f>
        <v>627</v>
      </c>
      <c r="C639" s="45" t="s">
        <v>833</v>
      </c>
      <c r="D639" s="45" t="str">
        <f>'6.1Personnel List'!D640</f>
        <v>Hospital Housekeeper</v>
      </c>
      <c r="E639" s="45" t="str">
        <f>'6.1Personnel List'!H640</f>
        <v>FT</v>
      </c>
      <c r="G639" s="41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1"/>
      <c r="AK639" s="41"/>
      <c r="AL639" s="41"/>
      <c r="AM639" s="41"/>
      <c r="AN639" s="41"/>
      <c r="AO639" s="41"/>
      <c r="AP639" s="41"/>
      <c r="AQ639" s="41"/>
      <c r="AR639" s="41"/>
      <c r="AS639" s="41"/>
      <c r="AT639" s="41"/>
      <c r="AU639" s="41"/>
      <c r="AV639" s="41"/>
      <c r="AW639" s="41"/>
      <c r="AX639" s="41"/>
      <c r="AY639" s="41"/>
      <c r="AZ639" s="41"/>
      <c r="BA639" s="41"/>
      <c r="BB639" s="41"/>
      <c r="BC639" s="41"/>
      <c r="BD639" s="41"/>
      <c r="BE639" s="41"/>
      <c r="BF639" s="41"/>
      <c r="BG639" s="41"/>
      <c r="BH639" s="41"/>
      <c r="BJ639" s="41"/>
      <c r="BK639" s="41"/>
      <c r="BL639" s="41"/>
      <c r="BM639" s="41"/>
      <c r="BN639" s="41"/>
      <c r="BO639" s="41"/>
      <c r="BP639" s="41"/>
      <c r="BQ639" s="41">
        <v>1</v>
      </c>
      <c r="BR639" s="41"/>
      <c r="BS639" s="41"/>
      <c r="BT639" s="41"/>
      <c r="BU639" s="41"/>
      <c r="BV639" s="41"/>
      <c r="BW639" s="41"/>
      <c r="BX639" s="41"/>
      <c r="BY639" s="41"/>
      <c r="BZ639" s="41"/>
      <c r="CA639" s="41"/>
      <c r="CB639" s="41"/>
      <c r="CC639" s="41"/>
      <c r="CD639" s="41"/>
      <c r="CE639" s="41"/>
      <c r="CF639" s="41"/>
      <c r="CG639" s="41"/>
      <c r="CH639" s="41"/>
      <c r="CI639" s="41"/>
      <c r="CJ639" s="41"/>
      <c r="CK639" s="41"/>
      <c r="CL639" s="41"/>
      <c r="CM639" s="41"/>
      <c r="CN639" s="41"/>
      <c r="CO639" s="41"/>
      <c r="CP639" s="41"/>
      <c r="CQ639" s="41"/>
      <c r="CR639" s="41"/>
      <c r="CS639" s="41"/>
      <c r="CT639" s="41"/>
      <c r="CU639" s="41"/>
      <c r="CV639" s="41"/>
      <c r="CW639" s="41"/>
      <c r="CX639" s="41"/>
      <c r="CY639" s="41"/>
      <c r="CZ639" s="41"/>
      <c r="DA639" s="41"/>
      <c r="DB639" s="41"/>
      <c r="DC639" s="41"/>
      <c r="DD639" s="41"/>
      <c r="DE639" s="41"/>
      <c r="DF639" s="41"/>
      <c r="DG639" s="41"/>
      <c r="DH639" s="41"/>
      <c r="DI639" s="41"/>
      <c r="DJ639" s="41"/>
      <c r="DK639" s="41"/>
      <c r="DL639" s="41"/>
      <c r="DM639" s="41"/>
      <c r="DN639" s="41"/>
      <c r="DO639" s="41"/>
      <c r="DP639" s="41"/>
      <c r="DQ639" s="41"/>
      <c r="DR639" s="41"/>
      <c r="DS639" s="43"/>
      <c r="DT639" s="44">
        <f t="shared" ref="DT639" si="621">SUM(F639:DR639)</f>
        <v>1</v>
      </c>
    </row>
    <row r="640" spans="2:124" s="13" customFormat="1">
      <c r="B640" s="4">
        <f>'6.1Personnel List'!B641</f>
        <v>628</v>
      </c>
      <c r="C640" s="45" t="s">
        <v>835</v>
      </c>
      <c r="D640" s="45" t="str">
        <f>'6.1Personnel List'!D641</f>
        <v>Hospital Housekeeper</v>
      </c>
      <c r="E640" s="45" t="str">
        <f>'6.1Personnel List'!H641</f>
        <v>FT</v>
      </c>
      <c r="G640" s="41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  <c r="AA640" s="41"/>
      <c r="AB640" s="41"/>
      <c r="AC640" s="41"/>
      <c r="AD640" s="41"/>
      <c r="AE640" s="41"/>
      <c r="AF640" s="41"/>
      <c r="AG640" s="41"/>
      <c r="AH640" s="41"/>
      <c r="AI640" s="41"/>
      <c r="AJ640" s="41"/>
      <c r="AK640" s="41"/>
      <c r="AL640" s="41"/>
      <c r="AM640" s="41"/>
      <c r="AN640" s="41"/>
      <c r="AO640" s="41"/>
      <c r="AP640" s="41"/>
      <c r="AQ640" s="41"/>
      <c r="AR640" s="41"/>
      <c r="AS640" s="41"/>
      <c r="AT640" s="41"/>
      <c r="AU640" s="41"/>
      <c r="AV640" s="41"/>
      <c r="AW640" s="41"/>
      <c r="AX640" s="41"/>
      <c r="AY640" s="41"/>
      <c r="AZ640" s="41"/>
      <c r="BA640" s="41"/>
      <c r="BB640" s="41"/>
      <c r="BC640" s="41"/>
      <c r="BD640" s="41"/>
      <c r="BE640" s="41"/>
      <c r="BF640" s="41"/>
      <c r="BG640" s="41"/>
      <c r="BH640" s="41"/>
      <c r="BJ640" s="41"/>
      <c r="BK640" s="41"/>
      <c r="BL640" s="41"/>
      <c r="BM640" s="41"/>
      <c r="BN640" s="41"/>
      <c r="BO640" s="41"/>
      <c r="BP640" s="41"/>
      <c r="BQ640" s="41">
        <v>1</v>
      </c>
      <c r="BR640" s="41"/>
      <c r="BS640" s="41"/>
      <c r="BT640" s="41"/>
      <c r="BU640" s="41"/>
      <c r="BV640" s="41"/>
      <c r="BW640" s="41"/>
      <c r="BX640" s="41"/>
      <c r="BY640" s="41"/>
      <c r="BZ640" s="41"/>
      <c r="CA640" s="41"/>
      <c r="CB640" s="41"/>
      <c r="CC640" s="41"/>
      <c r="CD640" s="41"/>
      <c r="CE640" s="41"/>
      <c r="CF640" s="41"/>
      <c r="CG640" s="41"/>
      <c r="CH640" s="41"/>
      <c r="CI640" s="41"/>
      <c r="CJ640" s="41"/>
      <c r="CK640" s="41"/>
      <c r="CL640" s="41"/>
      <c r="CM640" s="41"/>
      <c r="CN640" s="41"/>
      <c r="CO640" s="41"/>
      <c r="CP640" s="41"/>
      <c r="CQ640" s="41"/>
      <c r="CR640" s="41"/>
      <c r="CS640" s="41"/>
      <c r="CT640" s="41"/>
      <c r="CU640" s="41"/>
      <c r="CV640" s="41"/>
      <c r="CW640" s="41"/>
      <c r="CX640" s="41"/>
      <c r="CY640" s="41"/>
      <c r="CZ640" s="41"/>
      <c r="DA640" s="41"/>
      <c r="DB640" s="41"/>
      <c r="DC640" s="41"/>
      <c r="DD640" s="41"/>
      <c r="DE640" s="41"/>
      <c r="DF640" s="41"/>
      <c r="DG640" s="41"/>
      <c r="DH640" s="41"/>
      <c r="DI640" s="41"/>
      <c r="DJ640" s="41"/>
      <c r="DK640" s="41"/>
      <c r="DL640" s="41"/>
      <c r="DM640" s="41"/>
      <c r="DN640" s="41"/>
      <c r="DO640" s="41"/>
      <c r="DP640" s="41"/>
      <c r="DQ640" s="41"/>
      <c r="DR640" s="41"/>
      <c r="DS640" s="43"/>
      <c r="DT640" s="44">
        <f t="shared" ref="DT640" si="622">SUM(F640:DR640)</f>
        <v>1</v>
      </c>
    </row>
    <row r="641" spans="2:124" s="13" customFormat="1">
      <c r="B641" s="4">
        <f>'6.1Personnel List'!B642</f>
        <v>629</v>
      </c>
      <c r="C641" s="45" t="s">
        <v>836</v>
      </c>
      <c r="D641" s="45" t="str">
        <f>'6.1Personnel List'!D642</f>
        <v>Administrative Aide VI</v>
      </c>
      <c r="E641" s="45" t="str">
        <f>'6.1Personnel List'!H642</f>
        <v>FT</v>
      </c>
      <c r="G641" s="41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  <c r="AA641" s="41"/>
      <c r="AB641" s="41"/>
      <c r="AC641" s="41"/>
      <c r="AD641" s="41"/>
      <c r="AE641" s="41"/>
      <c r="AF641" s="41"/>
      <c r="AG641" s="41"/>
      <c r="AH641" s="41"/>
      <c r="AI641" s="41"/>
      <c r="AJ641" s="41"/>
      <c r="AK641" s="41"/>
      <c r="AL641" s="41"/>
      <c r="AM641" s="41"/>
      <c r="AN641" s="41"/>
      <c r="AO641" s="41"/>
      <c r="AP641" s="41"/>
      <c r="AQ641" s="41"/>
      <c r="AR641" s="41"/>
      <c r="AS641" s="41"/>
      <c r="AT641" s="41"/>
      <c r="AU641" s="41"/>
      <c r="AV641" s="41"/>
      <c r="AW641" s="41"/>
      <c r="AX641" s="41"/>
      <c r="AY641" s="41"/>
      <c r="AZ641" s="41"/>
      <c r="BA641" s="41"/>
      <c r="BB641" s="41"/>
      <c r="BC641" s="41"/>
      <c r="BD641" s="41"/>
      <c r="BE641" s="41"/>
      <c r="BF641" s="41"/>
      <c r="BG641" s="41"/>
      <c r="BH641" s="41"/>
      <c r="BJ641" s="41"/>
      <c r="BK641" s="41"/>
      <c r="BL641" s="41"/>
      <c r="BM641" s="41"/>
      <c r="BN641" s="41"/>
      <c r="BO641" s="41"/>
      <c r="BP641" s="41"/>
      <c r="BQ641" s="41">
        <v>1</v>
      </c>
      <c r="BR641" s="41"/>
      <c r="BS641" s="41"/>
      <c r="BT641" s="41"/>
      <c r="BU641" s="41"/>
      <c r="BV641" s="41"/>
      <c r="BW641" s="41"/>
      <c r="BX641" s="41"/>
      <c r="BY641" s="41"/>
      <c r="BZ641" s="41"/>
      <c r="CA641" s="41"/>
      <c r="CB641" s="41"/>
      <c r="CC641" s="41"/>
      <c r="CD641" s="41"/>
      <c r="CE641" s="41"/>
      <c r="CF641" s="41"/>
      <c r="CG641" s="41"/>
      <c r="CH641" s="41"/>
      <c r="CI641" s="41"/>
      <c r="CJ641" s="41"/>
      <c r="CK641" s="41"/>
      <c r="CL641" s="41"/>
      <c r="CM641" s="41"/>
      <c r="CN641" s="41"/>
      <c r="CO641" s="41"/>
      <c r="CP641" s="41"/>
      <c r="CQ641" s="41"/>
      <c r="CR641" s="41"/>
      <c r="CS641" s="41"/>
      <c r="CT641" s="41"/>
      <c r="CU641" s="41"/>
      <c r="CV641" s="41"/>
      <c r="CW641" s="41"/>
      <c r="CX641" s="41"/>
      <c r="CY641" s="41"/>
      <c r="CZ641" s="41"/>
      <c r="DA641" s="41"/>
      <c r="DB641" s="41"/>
      <c r="DC641" s="41"/>
      <c r="DD641" s="41"/>
      <c r="DE641" s="41"/>
      <c r="DF641" s="41"/>
      <c r="DG641" s="41"/>
      <c r="DH641" s="41"/>
      <c r="DI641" s="41"/>
      <c r="DJ641" s="41"/>
      <c r="DK641" s="41"/>
      <c r="DL641" s="41"/>
      <c r="DM641" s="41"/>
      <c r="DN641" s="41"/>
      <c r="DO641" s="41"/>
      <c r="DP641" s="41"/>
      <c r="DQ641" s="41"/>
      <c r="DR641" s="41"/>
      <c r="DS641" s="43"/>
      <c r="DT641" s="44">
        <f t="shared" ref="DT641" si="623">SUM(F641:DR641)</f>
        <v>1</v>
      </c>
    </row>
    <row r="642" spans="2:124" s="13" customFormat="1">
      <c r="B642" s="4">
        <f>'6.1Personnel List'!B643</f>
        <v>630</v>
      </c>
      <c r="C642" s="45" t="s">
        <v>1543</v>
      </c>
      <c r="D642" s="45" t="str">
        <f>'6.1Personnel List'!D643</f>
        <v>Administrative Aide III</v>
      </c>
      <c r="E642" s="45" t="str">
        <f>'6.1Personnel List'!H643</f>
        <v>FT</v>
      </c>
      <c r="G642" s="41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  <c r="AA642" s="41"/>
      <c r="AB642" s="41"/>
      <c r="AC642" s="41"/>
      <c r="AD642" s="41"/>
      <c r="AE642" s="41"/>
      <c r="AF642" s="41"/>
      <c r="AG642" s="41"/>
      <c r="AH642" s="41"/>
      <c r="AI642" s="41"/>
      <c r="AJ642" s="41"/>
      <c r="AK642" s="41"/>
      <c r="AL642" s="41"/>
      <c r="AM642" s="41"/>
      <c r="AN642" s="41"/>
      <c r="AO642" s="41"/>
      <c r="AP642" s="41"/>
      <c r="AQ642" s="41"/>
      <c r="AR642" s="41"/>
      <c r="AS642" s="41"/>
      <c r="AT642" s="41"/>
      <c r="AU642" s="41"/>
      <c r="AV642" s="41"/>
      <c r="AW642" s="41"/>
      <c r="AX642" s="41"/>
      <c r="AY642" s="41"/>
      <c r="AZ642" s="41"/>
      <c r="BA642" s="41"/>
      <c r="BB642" s="41"/>
      <c r="BC642" s="41"/>
      <c r="BD642" s="41"/>
      <c r="BE642" s="41"/>
      <c r="BF642" s="41"/>
      <c r="BG642" s="41"/>
      <c r="BH642" s="41"/>
      <c r="BJ642" s="41"/>
      <c r="BK642" s="41"/>
      <c r="BL642" s="41"/>
      <c r="BM642" s="41"/>
      <c r="BN642" s="41"/>
      <c r="BO642" s="41"/>
      <c r="BP642" s="41"/>
      <c r="BQ642" s="41">
        <v>1</v>
      </c>
      <c r="BR642" s="41"/>
      <c r="BS642" s="41"/>
      <c r="BT642" s="41"/>
      <c r="BU642" s="41"/>
      <c r="BV642" s="41"/>
      <c r="BW642" s="41"/>
      <c r="BX642" s="41"/>
      <c r="BY642" s="41"/>
      <c r="BZ642" s="41"/>
      <c r="CA642" s="41"/>
      <c r="CB642" s="41"/>
      <c r="CC642" s="41"/>
      <c r="CD642" s="41"/>
      <c r="CE642" s="41"/>
      <c r="CF642" s="41"/>
      <c r="CG642" s="41"/>
      <c r="CH642" s="41"/>
      <c r="CI642" s="41"/>
      <c r="CJ642" s="41"/>
      <c r="CK642" s="41"/>
      <c r="CL642" s="41"/>
      <c r="CM642" s="41"/>
      <c r="CN642" s="41"/>
      <c r="CO642" s="41"/>
      <c r="CP642" s="41"/>
      <c r="CQ642" s="41"/>
      <c r="CR642" s="41"/>
      <c r="CS642" s="41"/>
      <c r="CT642" s="41"/>
      <c r="CU642" s="41"/>
      <c r="CV642" s="41"/>
      <c r="CW642" s="41"/>
      <c r="CX642" s="41"/>
      <c r="CY642" s="41"/>
      <c r="CZ642" s="41"/>
      <c r="DA642" s="41"/>
      <c r="DB642" s="41"/>
      <c r="DC642" s="41"/>
      <c r="DD642" s="41"/>
      <c r="DE642" s="41"/>
      <c r="DF642" s="41"/>
      <c r="DG642" s="41"/>
      <c r="DH642" s="41"/>
      <c r="DI642" s="41"/>
      <c r="DJ642" s="41"/>
      <c r="DK642" s="41"/>
      <c r="DL642" s="41"/>
      <c r="DM642" s="41"/>
      <c r="DN642" s="41"/>
      <c r="DO642" s="41"/>
      <c r="DP642" s="41"/>
      <c r="DQ642" s="41"/>
      <c r="DR642" s="41"/>
      <c r="DS642" s="43"/>
      <c r="DT642" s="44">
        <f t="shared" ref="DT642" si="624">SUM(F642:DR642)</f>
        <v>1</v>
      </c>
    </row>
    <row r="643" spans="2:124" s="13" customFormat="1">
      <c r="B643" s="4">
        <f>'6.1Personnel List'!B644</f>
        <v>631</v>
      </c>
      <c r="C643" s="45" t="s">
        <v>837</v>
      </c>
      <c r="D643" s="45" t="str">
        <f>'6.1Personnel List'!D644</f>
        <v>Administrative Aide III</v>
      </c>
      <c r="E643" s="45" t="str">
        <f>'6.1Personnel List'!H644</f>
        <v>FT</v>
      </c>
      <c r="G643" s="41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  <c r="AA643" s="41"/>
      <c r="AB643" s="41"/>
      <c r="AC643" s="41"/>
      <c r="AD643" s="41"/>
      <c r="AE643" s="41"/>
      <c r="AF643" s="41"/>
      <c r="AG643" s="41"/>
      <c r="AH643" s="41"/>
      <c r="AI643" s="41"/>
      <c r="AJ643" s="41"/>
      <c r="AK643" s="41"/>
      <c r="AL643" s="41"/>
      <c r="AM643" s="41"/>
      <c r="AN643" s="41"/>
      <c r="AO643" s="41"/>
      <c r="AP643" s="41"/>
      <c r="AQ643" s="41"/>
      <c r="AR643" s="41"/>
      <c r="AS643" s="41"/>
      <c r="AT643" s="41"/>
      <c r="AU643" s="41"/>
      <c r="AV643" s="41"/>
      <c r="AW643" s="41"/>
      <c r="AX643" s="41"/>
      <c r="AY643" s="41"/>
      <c r="AZ643" s="41"/>
      <c r="BA643" s="41"/>
      <c r="BB643" s="41"/>
      <c r="BC643" s="41"/>
      <c r="BD643" s="41"/>
      <c r="BE643" s="41"/>
      <c r="BF643" s="41"/>
      <c r="BG643" s="41"/>
      <c r="BH643" s="41"/>
      <c r="BJ643" s="41"/>
      <c r="BK643" s="41"/>
      <c r="BL643" s="41"/>
      <c r="BM643" s="41"/>
      <c r="BN643" s="41"/>
      <c r="BO643" s="41"/>
      <c r="BP643" s="41"/>
      <c r="BQ643" s="41">
        <v>1</v>
      </c>
      <c r="BR643" s="41"/>
      <c r="BS643" s="41"/>
      <c r="BT643" s="41"/>
      <c r="BU643" s="41"/>
      <c r="BV643" s="41"/>
      <c r="BW643" s="41"/>
      <c r="BX643" s="41"/>
      <c r="BY643" s="41"/>
      <c r="BZ643" s="41"/>
      <c r="CA643" s="41"/>
      <c r="CB643" s="41"/>
      <c r="CC643" s="41"/>
      <c r="CD643" s="41"/>
      <c r="CE643" s="41"/>
      <c r="CF643" s="41"/>
      <c r="CG643" s="41"/>
      <c r="CH643" s="41"/>
      <c r="CI643" s="41"/>
      <c r="CJ643" s="41"/>
      <c r="CK643" s="41"/>
      <c r="CL643" s="41"/>
      <c r="CM643" s="41"/>
      <c r="CN643" s="41"/>
      <c r="CO643" s="41"/>
      <c r="CP643" s="41"/>
      <c r="CQ643" s="41"/>
      <c r="CR643" s="41"/>
      <c r="CS643" s="41"/>
      <c r="CT643" s="41"/>
      <c r="CU643" s="41"/>
      <c r="CV643" s="41"/>
      <c r="CW643" s="41"/>
      <c r="CX643" s="41"/>
      <c r="CY643" s="41"/>
      <c r="CZ643" s="41"/>
      <c r="DA643" s="41"/>
      <c r="DB643" s="41"/>
      <c r="DC643" s="41"/>
      <c r="DD643" s="41"/>
      <c r="DE643" s="41"/>
      <c r="DF643" s="41"/>
      <c r="DG643" s="41"/>
      <c r="DH643" s="41"/>
      <c r="DI643" s="41"/>
      <c r="DJ643" s="41"/>
      <c r="DK643" s="41"/>
      <c r="DL643" s="41"/>
      <c r="DM643" s="41"/>
      <c r="DN643" s="41"/>
      <c r="DO643" s="41"/>
      <c r="DP643" s="41"/>
      <c r="DQ643" s="41"/>
      <c r="DR643" s="41"/>
      <c r="DS643" s="43"/>
      <c r="DT643" s="44">
        <f t="shared" ref="DT643" si="625">SUM(F643:DR643)</f>
        <v>1</v>
      </c>
    </row>
    <row r="644" spans="2:124" s="13" customFormat="1">
      <c r="B644" s="4">
        <f>'6.1Personnel List'!B645</f>
        <v>632</v>
      </c>
      <c r="C644" s="45" t="s">
        <v>838</v>
      </c>
      <c r="D644" s="45" t="str">
        <f>'6.1Personnel List'!D645</f>
        <v>Administrative Aide III</v>
      </c>
      <c r="E644" s="45" t="str">
        <f>'6.1Personnel List'!H645</f>
        <v>FT</v>
      </c>
      <c r="G644" s="41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  <c r="AA644" s="41"/>
      <c r="AB644" s="41"/>
      <c r="AC644" s="41"/>
      <c r="AD644" s="41"/>
      <c r="AE644" s="41"/>
      <c r="AF644" s="41"/>
      <c r="AG644" s="41"/>
      <c r="AH644" s="41"/>
      <c r="AI644" s="41"/>
      <c r="AJ644" s="41"/>
      <c r="AK644" s="41"/>
      <c r="AL644" s="41"/>
      <c r="AM644" s="41"/>
      <c r="AN644" s="41"/>
      <c r="AO644" s="41"/>
      <c r="AP644" s="41"/>
      <c r="AQ644" s="41"/>
      <c r="AR644" s="41"/>
      <c r="AS644" s="41"/>
      <c r="AT644" s="41"/>
      <c r="AU644" s="41"/>
      <c r="AV644" s="41"/>
      <c r="AW644" s="41"/>
      <c r="AX644" s="41"/>
      <c r="AY644" s="41"/>
      <c r="AZ644" s="41"/>
      <c r="BA644" s="41"/>
      <c r="BB644" s="41"/>
      <c r="BC644" s="41"/>
      <c r="BD644" s="41"/>
      <c r="BE644" s="41"/>
      <c r="BF644" s="41"/>
      <c r="BG644" s="41"/>
      <c r="BH644" s="41"/>
      <c r="BJ644" s="41"/>
      <c r="BK644" s="41"/>
      <c r="BL644" s="41"/>
      <c r="BM644" s="41"/>
      <c r="BN644" s="41"/>
      <c r="BO644" s="41"/>
      <c r="BP644" s="41"/>
      <c r="BQ644" s="41">
        <v>1</v>
      </c>
      <c r="BR644" s="41"/>
      <c r="BS644" s="41"/>
      <c r="BT644" s="41"/>
      <c r="BU644" s="41"/>
      <c r="BV644" s="41"/>
      <c r="BW644" s="41"/>
      <c r="BX644" s="41"/>
      <c r="BY644" s="41"/>
      <c r="BZ644" s="41"/>
      <c r="CA644" s="41"/>
      <c r="CB644" s="41"/>
      <c r="CC644" s="41"/>
      <c r="CD644" s="41"/>
      <c r="CE644" s="41"/>
      <c r="CF644" s="41"/>
      <c r="CG644" s="41"/>
      <c r="CH644" s="41"/>
      <c r="CI644" s="41"/>
      <c r="CJ644" s="41"/>
      <c r="CK644" s="41"/>
      <c r="CL644" s="41"/>
      <c r="CM644" s="41"/>
      <c r="CN644" s="41"/>
      <c r="CO644" s="41"/>
      <c r="CP644" s="41"/>
      <c r="CQ644" s="41"/>
      <c r="CR644" s="41"/>
      <c r="CS644" s="41"/>
      <c r="CT644" s="41"/>
      <c r="CU644" s="41"/>
      <c r="CV644" s="41"/>
      <c r="CW644" s="41"/>
      <c r="CX644" s="41"/>
      <c r="CY644" s="41"/>
      <c r="CZ644" s="41"/>
      <c r="DA644" s="41"/>
      <c r="DB644" s="41"/>
      <c r="DC644" s="41"/>
      <c r="DD644" s="41"/>
      <c r="DE644" s="41"/>
      <c r="DF644" s="41"/>
      <c r="DG644" s="41"/>
      <c r="DH644" s="41"/>
      <c r="DI644" s="41"/>
      <c r="DJ644" s="41"/>
      <c r="DK644" s="41"/>
      <c r="DL644" s="41"/>
      <c r="DM644" s="41"/>
      <c r="DN644" s="41"/>
      <c r="DO644" s="41"/>
      <c r="DP644" s="41"/>
      <c r="DQ644" s="41"/>
      <c r="DR644" s="41"/>
      <c r="DS644" s="43"/>
      <c r="DT644" s="44">
        <f t="shared" ref="DT644" si="626">SUM(F644:DR644)</f>
        <v>1</v>
      </c>
    </row>
    <row r="645" spans="2:124" s="13" customFormat="1">
      <c r="B645" s="4">
        <f>'6.1Personnel List'!B646</f>
        <v>633</v>
      </c>
      <c r="C645" s="45" t="s">
        <v>839</v>
      </c>
      <c r="D645" s="45" t="str">
        <f>'6.1Personnel List'!D646</f>
        <v>Administrative Aide III</v>
      </c>
      <c r="E645" s="45" t="str">
        <f>'6.1Personnel List'!H646</f>
        <v>FT</v>
      </c>
      <c r="G645" s="41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1"/>
      <c r="AH645" s="41"/>
      <c r="AI645" s="41"/>
      <c r="AJ645" s="41"/>
      <c r="AK645" s="41"/>
      <c r="AL645" s="41"/>
      <c r="AM645" s="41"/>
      <c r="AN645" s="41"/>
      <c r="AO645" s="41"/>
      <c r="AP645" s="41"/>
      <c r="AQ645" s="41"/>
      <c r="AR645" s="41"/>
      <c r="AS645" s="41"/>
      <c r="AT645" s="41"/>
      <c r="AU645" s="41"/>
      <c r="AV645" s="41"/>
      <c r="AW645" s="41"/>
      <c r="AX645" s="41"/>
      <c r="AY645" s="41"/>
      <c r="AZ645" s="41"/>
      <c r="BA645" s="41"/>
      <c r="BB645" s="41"/>
      <c r="BC645" s="41"/>
      <c r="BD645" s="41"/>
      <c r="BE645" s="41"/>
      <c r="BF645" s="41"/>
      <c r="BG645" s="41"/>
      <c r="BH645" s="41"/>
      <c r="BJ645" s="41"/>
      <c r="BK645" s="41"/>
      <c r="BL645" s="41"/>
      <c r="BM645" s="41"/>
      <c r="BN645" s="41"/>
      <c r="BO645" s="41"/>
      <c r="BP645" s="41"/>
      <c r="BQ645" s="41">
        <v>1</v>
      </c>
      <c r="BR645" s="41"/>
      <c r="BS645" s="41"/>
      <c r="BT645" s="41"/>
      <c r="BU645" s="41"/>
      <c r="BV645" s="41"/>
      <c r="BW645" s="41"/>
      <c r="BX645" s="41"/>
      <c r="BY645" s="41"/>
      <c r="BZ645" s="41"/>
      <c r="CA645" s="41"/>
      <c r="CB645" s="41"/>
      <c r="CC645" s="41"/>
      <c r="CD645" s="41"/>
      <c r="CE645" s="41"/>
      <c r="CF645" s="41"/>
      <c r="CG645" s="41"/>
      <c r="CH645" s="41"/>
      <c r="CI645" s="41"/>
      <c r="CJ645" s="41"/>
      <c r="CK645" s="41"/>
      <c r="CL645" s="41"/>
      <c r="CM645" s="41"/>
      <c r="CN645" s="41"/>
      <c r="CO645" s="41"/>
      <c r="CP645" s="41"/>
      <c r="CQ645" s="41"/>
      <c r="CR645" s="41"/>
      <c r="CS645" s="41"/>
      <c r="CT645" s="41"/>
      <c r="CU645" s="41"/>
      <c r="CV645" s="41"/>
      <c r="CW645" s="41"/>
      <c r="CX645" s="41"/>
      <c r="CY645" s="41"/>
      <c r="CZ645" s="41"/>
      <c r="DA645" s="41"/>
      <c r="DB645" s="41"/>
      <c r="DC645" s="41"/>
      <c r="DD645" s="41"/>
      <c r="DE645" s="41"/>
      <c r="DF645" s="41"/>
      <c r="DG645" s="41"/>
      <c r="DH645" s="41"/>
      <c r="DI645" s="41"/>
      <c r="DJ645" s="41"/>
      <c r="DK645" s="41"/>
      <c r="DL645" s="41"/>
      <c r="DM645" s="41"/>
      <c r="DN645" s="41"/>
      <c r="DO645" s="41"/>
      <c r="DP645" s="41"/>
      <c r="DQ645" s="41"/>
      <c r="DR645" s="41"/>
      <c r="DS645" s="43"/>
      <c r="DT645" s="44">
        <f t="shared" ref="DT645" si="627">SUM(F645:DR645)</f>
        <v>1</v>
      </c>
    </row>
    <row r="646" spans="2:124" s="13" customFormat="1">
      <c r="B646" s="4">
        <f>'6.1Personnel List'!B647</f>
        <v>634</v>
      </c>
      <c r="C646" s="45" t="s">
        <v>840</v>
      </c>
      <c r="D646" s="45" t="str">
        <f>'6.1Personnel List'!D647</f>
        <v>Laundry Worker  II</v>
      </c>
      <c r="E646" s="45" t="str">
        <f>'6.1Personnel List'!H647</f>
        <v>FT</v>
      </c>
      <c r="G646" s="41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1"/>
      <c r="AH646" s="41"/>
      <c r="AI646" s="41"/>
      <c r="AJ646" s="41"/>
      <c r="AK646" s="41"/>
      <c r="AL646" s="41"/>
      <c r="AM646" s="41"/>
      <c r="AN646" s="41"/>
      <c r="AO646" s="41"/>
      <c r="AP646" s="41"/>
      <c r="AQ646" s="41"/>
      <c r="AR646" s="41"/>
      <c r="AS646" s="41"/>
      <c r="AT646" s="41"/>
      <c r="AU646" s="41"/>
      <c r="AV646" s="41"/>
      <c r="AW646" s="41"/>
      <c r="AX646" s="41"/>
      <c r="AY646" s="41"/>
      <c r="AZ646" s="41"/>
      <c r="BA646" s="41"/>
      <c r="BB646" s="41"/>
      <c r="BC646" s="41"/>
      <c r="BD646" s="41"/>
      <c r="BE646" s="41"/>
      <c r="BF646" s="41"/>
      <c r="BG646" s="41"/>
      <c r="BH646" s="41"/>
      <c r="BJ646" s="41"/>
      <c r="BK646" s="41"/>
      <c r="BL646" s="41"/>
      <c r="BM646" s="41"/>
      <c r="BN646" s="41"/>
      <c r="BO646" s="41"/>
      <c r="BP646" s="41"/>
      <c r="BQ646" s="41">
        <v>1</v>
      </c>
      <c r="BR646" s="41"/>
      <c r="BS646" s="41"/>
      <c r="BT646" s="41"/>
      <c r="BU646" s="41"/>
      <c r="BV646" s="41"/>
      <c r="BW646" s="41"/>
      <c r="BX646" s="41"/>
      <c r="BY646" s="41"/>
      <c r="BZ646" s="41"/>
      <c r="CA646" s="41"/>
      <c r="CB646" s="41"/>
      <c r="CC646" s="41"/>
      <c r="CD646" s="41"/>
      <c r="CE646" s="41"/>
      <c r="CF646" s="41"/>
      <c r="CG646" s="41"/>
      <c r="CH646" s="41"/>
      <c r="CI646" s="41"/>
      <c r="CJ646" s="41"/>
      <c r="CK646" s="41"/>
      <c r="CL646" s="41"/>
      <c r="CM646" s="41"/>
      <c r="CN646" s="41"/>
      <c r="CO646" s="41"/>
      <c r="CP646" s="41"/>
      <c r="CQ646" s="41"/>
      <c r="CR646" s="41"/>
      <c r="CS646" s="41"/>
      <c r="CT646" s="41"/>
      <c r="CU646" s="41"/>
      <c r="CV646" s="41"/>
      <c r="CW646" s="41"/>
      <c r="CX646" s="41"/>
      <c r="CY646" s="41"/>
      <c r="CZ646" s="41"/>
      <c r="DA646" s="41"/>
      <c r="DB646" s="41"/>
      <c r="DC646" s="41"/>
      <c r="DD646" s="41"/>
      <c r="DE646" s="41"/>
      <c r="DF646" s="41"/>
      <c r="DG646" s="41"/>
      <c r="DH646" s="41"/>
      <c r="DI646" s="41"/>
      <c r="DJ646" s="41"/>
      <c r="DK646" s="41"/>
      <c r="DL646" s="41"/>
      <c r="DM646" s="41"/>
      <c r="DN646" s="41"/>
      <c r="DO646" s="41"/>
      <c r="DP646" s="41"/>
      <c r="DQ646" s="41"/>
      <c r="DR646" s="41"/>
      <c r="DS646" s="43"/>
      <c r="DT646" s="44">
        <f t="shared" ref="DT646" si="628">SUM(F646:DR646)</f>
        <v>1</v>
      </c>
    </row>
    <row r="647" spans="2:124" s="13" customFormat="1">
      <c r="B647" s="4">
        <f>'6.1Personnel List'!B648</f>
        <v>635</v>
      </c>
      <c r="C647" s="45" t="s">
        <v>842</v>
      </c>
      <c r="D647" s="45" t="str">
        <f>'6.1Personnel List'!D648</f>
        <v>Laundry Worker II</v>
      </c>
      <c r="E647" s="45" t="str">
        <f>'6.1Personnel List'!H648</f>
        <v>FT</v>
      </c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1"/>
      <c r="AK647" s="41"/>
      <c r="AL647" s="41"/>
      <c r="AM647" s="41"/>
      <c r="AN647" s="41"/>
      <c r="AO647" s="41"/>
      <c r="AP647" s="41"/>
      <c r="AQ647" s="41"/>
      <c r="AR647" s="41"/>
      <c r="AS647" s="41"/>
      <c r="AT647" s="41"/>
      <c r="AU647" s="41"/>
      <c r="AV647" s="41"/>
      <c r="AW647" s="41"/>
      <c r="AX647" s="41"/>
      <c r="AY647" s="41"/>
      <c r="AZ647" s="41"/>
      <c r="BA647" s="41"/>
      <c r="BB647" s="41"/>
      <c r="BC647" s="41"/>
      <c r="BD647" s="41"/>
      <c r="BE647" s="41"/>
      <c r="BF647" s="41"/>
      <c r="BG647" s="41"/>
      <c r="BH647" s="41"/>
      <c r="BJ647" s="41"/>
      <c r="BK647" s="41"/>
      <c r="BL647" s="41"/>
      <c r="BM647" s="41"/>
      <c r="BN647" s="41"/>
      <c r="BO647" s="41"/>
      <c r="BP647" s="41"/>
      <c r="BQ647" s="41">
        <v>1</v>
      </c>
      <c r="BR647" s="41"/>
      <c r="BS647" s="41"/>
      <c r="BT647" s="41"/>
      <c r="BU647" s="41"/>
      <c r="BV647" s="41"/>
      <c r="BW647" s="41"/>
      <c r="BX647" s="41"/>
      <c r="BY647" s="41"/>
      <c r="BZ647" s="41"/>
      <c r="CA647" s="41"/>
      <c r="CB647" s="41"/>
      <c r="CC647" s="41"/>
      <c r="CD647" s="41"/>
      <c r="CE647" s="41"/>
      <c r="CF647" s="41"/>
      <c r="CG647" s="41"/>
      <c r="CH647" s="41"/>
      <c r="CI647" s="41"/>
      <c r="CJ647" s="41"/>
      <c r="CK647" s="41"/>
      <c r="CL647" s="41"/>
      <c r="CM647" s="41"/>
      <c r="CN647" s="41"/>
      <c r="CO647" s="41"/>
      <c r="CP647" s="41"/>
      <c r="CQ647" s="41"/>
      <c r="CR647" s="41"/>
      <c r="CS647" s="41"/>
      <c r="CT647" s="41"/>
      <c r="CU647" s="41"/>
      <c r="CV647" s="41"/>
      <c r="CW647" s="41"/>
      <c r="CX647" s="41"/>
      <c r="CY647" s="41"/>
      <c r="CZ647" s="41"/>
      <c r="DA647" s="41"/>
      <c r="DB647" s="41"/>
      <c r="DC647" s="41"/>
      <c r="DD647" s="41"/>
      <c r="DE647" s="41"/>
      <c r="DF647" s="41"/>
      <c r="DG647" s="41"/>
      <c r="DH647" s="41"/>
      <c r="DI647" s="41"/>
      <c r="DJ647" s="41"/>
      <c r="DK647" s="41"/>
      <c r="DL647" s="41"/>
      <c r="DM647" s="41"/>
      <c r="DN647" s="41"/>
      <c r="DO647" s="41"/>
      <c r="DP647" s="41"/>
      <c r="DQ647" s="41"/>
      <c r="DR647" s="41"/>
      <c r="DS647" s="43"/>
      <c r="DT647" s="44">
        <f t="shared" ref="DT647" si="629">SUM(F647:DR647)</f>
        <v>1</v>
      </c>
    </row>
    <row r="648" spans="2:124" s="13" customFormat="1">
      <c r="B648" s="4">
        <f>'6.1Personnel List'!B649</f>
        <v>636</v>
      </c>
      <c r="C648" s="45" t="s">
        <v>844</v>
      </c>
      <c r="D648" s="45" t="str">
        <f>'6.1Personnel List'!D649</f>
        <v>Laundry Worker II</v>
      </c>
      <c r="E648" s="45" t="str">
        <f>'6.1Personnel List'!H649</f>
        <v>FT</v>
      </c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1"/>
      <c r="AK648" s="41"/>
      <c r="AL648" s="41"/>
      <c r="AM648" s="41"/>
      <c r="AN648" s="41"/>
      <c r="AO648" s="41"/>
      <c r="AP648" s="41"/>
      <c r="AQ648" s="41"/>
      <c r="AR648" s="41"/>
      <c r="AS648" s="41"/>
      <c r="AT648" s="41"/>
      <c r="AU648" s="41"/>
      <c r="AV648" s="41"/>
      <c r="AW648" s="41"/>
      <c r="AX648" s="41"/>
      <c r="AY648" s="41"/>
      <c r="AZ648" s="41"/>
      <c r="BA648" s="41"/>
      <c r="BB648" s="41"/>
      <c r="BC648" s="41"/>
      <c r="BD648" s="41"/>
      <c r="BE648" s="41"/>
      <c r="BF648" s="41"/>
      <c r="BG648" s="41"/>
      <c r="BH648" s="41"/>
      <c r="BJ648" s="41"/>
      <c r="BK648" s="41"/>
      <c r="BL648" s="41"/>
      <c r="BM648" s="41"/>
      <c r="BN648" s="41"/>
      <c r="BO648" s="41"/>
      <c r="BP648" s="41"/>
      <c r="BQ648" s="41">
        <v>1</v>
      </c>
      <c r="BR648" s="41"/>
      <c r="BS648" s="41"/>
      <c r="BT648" s="41"/>
      <c r="BU648" s="41"/>
      <c r="BV648" s="41"/>
      <c r="BW648" s="41"/>
      <c r="BX648" s="41"/>
      <c r="BY648" s="41"/>
      <c r="BZ648" s="41"/>
      <c r="CA648" s="41"/>
      <c r="CB648" s="41"/>
      <c r="CC648" s="41"/>
      <c r="CD648" s="41"/>
      <c r="CE648" s="41"/>
      <c r="CF648" s="41"/>
      <c r="CG648" s="41"/>
      <c r="CH648" s="41"/>
      <c r="CI648" s="41"/>
      <c r="CJ648" s="41"/>
      <c r="CK648" s="41"/>
      <c r="CL648" s="41"/>
      <c r="CM648" s="41"/>
      <c r="CN648" s="41"/>
      <c r="CO648" s="41"/>
      <c r="CP648" s="41"/>
      <c r="CQ648" s="41"/>
      <c r="CR648" s="41"/>
      <c r="CS648" s="41"/>
      <c r="CT648" s="41"/>
      <c r="CU648" s="41"/>
      <c r="CV648" s="41"/>
      <c r="CW648" s="41"/>
      <c r="CX648" s="41"/>
      <c r="CY648" s="41"/>
      <c r="CZ648" s="41"/>
      <c r="DA648" s="41"/>
      <c r="DB648" s="41"/>
      <c r="DC648" s="41"/>
      <c r="DD648" s="41"/>
      <c r="DE648" s="41"/>
      <c r="DF648" s="41"/>
      <c r="DG648" s="41"/>
      <c r="DH648" s="41"/>
      <c r="DI648" s="41"/>
      <c r="DJ648" s="41"/>
      <c r="DK648" s="41"/>
      <c r="DL648" s="41"/>
      <c r="DM648" s="41"/>
      <c r="DN648" s="41"/>
      <c r="DO648" s="41"/>
      <c r="DP648" s="41"/>
      <c r="DQ648" s="41"/>
      <c r="DR648" s="41"/>
      <c r="DS648" s="43"/>
      <c r="DT648" s="44">
        <f t="shared" ref="DT648" si="630">SUM(F648:DR648)</f>
        <v>1</v>
      </c>
    </row>
    <row r="649" spans="2:124" s="13" customFormat="1">
      <c r="B649" s="4">
        <f>'6.1Personnel List'!B650</f>
        <v>637</v>
      </c>
      <c r="C649" s="45" t="s">
        <v>845</v>
      </c>
      <c r="D649" s="45" t="str">
        <f>'6.1Personnel List'!D650</f>
        <v>Laundry Worker II</v>
      </c>
      <c r="E649" s="45" t="str">
        <f>'6.1Personnel List'!H650</f>
        <v>FT</v>
      </c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1"/>
      <c r="AK649" s="41"/>
      <c r="AL649" s="41"/>
      <c r="AM649" s="41"/>
      <c r="AN649" s="41"/>
      <c r="AO649" s="41"/>
      <c r="AP649" s="41"/>
      <c r="AQ649" s="41"/>
      <c r="AR649" s="41"/>
      <c r="AS649" s="41"/>
      <c r="AT649" s="41"/>
      <c r="AU649" s="41"/>
      <c r="AV649" s="41"/>
      <c r="AW649" s="41"/>
      <c r="AX649" s="41"/>
      <c r="AY649" s="41"/>
      <c r="AZ649" s="41"/>
      <c r="BA649" s="41"/>
      <c r="BB649" s="41"/>
      <c r="BC649" s="41"/>
      <c r="BD649" s="41"/>
      <c r="BE649" s="41"/>
      <c r="BF649" s="41"/>
      <c r="BG649" s="41"/>
      <c r="BH649" s="41"/>
      <c r="BJ649" s="41"/>
      <c r="BK649" s="41"/>
      <c r="BL649" s="41"/>
      <c r="BM649" s="41"/>
      <c r="BN649" s="41"/>
      <c r="BO649" s="41"/>
      <c r="BP649" s="41"/>
      <c r="BQ649" s="41">
        <v>1</v>
      </c>
      <c r="BR649" s="41"/>
      <c r="BS649" s="41"/>
      <c r="BT649" s="41"/>
      <c r="BU649" s="41"/>
      <c r="BV649" s="41"/>
      <c r="BW649" s="41"/>
      <c r="BX649" s="41"/>
      <c r="BY649" s="41"/>
      <c r="BZ649" s="41"/>
      <c r="CA649" s="41"/>
      <c r="CB649" s="41"/>
      <c r="CC649" s="41"/>
      <c r="CD649" s="41"/>
      <c r="CE649" s="41"/>
      <c r="CF649" s="41"/>
      <c r="CG649" s="41"/>
      <c r="CH649" s="41"/>
      <c r="CI649" s="41"/>
      <c r="CJ649" s="41"/>
      <c r="CK649" s="41"/>
      <c r="CL649" s="41"/>
      <c r="CM649" s="41"/>
      <c r="CN649" s="41"/>
      <c r="CO649" s="41"/>
      <c r="CP649" s="41"/>
      <c r="CQ649" s="41"/>
      <c r="CR649" s="41"/>
      <c r="CS649" s="41"/>
      <c r="CT649" s="41"/>
      <c r="CU649" s="41"/>
      <c r="CV649" s="41"/>
      <c r="CW649" s="41"/>
      <c r="CX649" s="41"/>
      <c r="CY649" s="41"/>
      <c r="CZ649" s="41"/>
      <c r="DA649" s="41"/>
      <c r="DB649" s="41"/>
      <c r="DC649" s="41"/>
      <c r="DD649" s="41"/>
      <c r="DE649" s="41"/>
      <c r="DF649" s="41"/>
      <c r="DG649" s="41"/>
      <c r="DH649" s="41"/>
      <c r="DI649" s="41"/>
      <c r="DJ649" s="41"/>
      <c r="DK649" s="41"/>
      <c r="DL649" s="41"/>
      <c r="DM649" s="41"/>
      <c r="DN649" s="41"/>
      <c r="DO649" s="41"/>
      <c r="DP649" s="41"/>
      <c r="DQ649" s="41"/>
      <c r="DR649" s="41"/>
      <c r="DS649" s="43"/>
      <c r="DT649" s="44">
        <f t="shared" ref="DT649" si="631">SUM(F649:DR649)</f>
        <v>1</v>
      </c>
    </row>
    <row r="650" spans="2:124" s="13" customFormat="1">
      <c r="B650" s="4">
        <f>'6.1Personnel List'!B651</f>
        <v>638</v>
      </c>
      <c r="C650" s="45" t="s">
        <v>846</v>
      </c>
      <c r="D650" s="45" t="str">
        <f>'6.1Personnel List'!D651</f>
        <v>Laundry Worker I</v>
      </c>
      <c r="E650" s="45" t="str">
        <f>'6.1Personnel List'!H651</f>
        <v>FT</v>
      </c>
      <c r="G650" s="41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1"/>
      <c r="AK650" s="41"/>
      <c r="AL650" s="41"/>
      <c r="AM650" s="41"/>
      <c r="AN650" s="41"/>
      <c r="AO650" s="41"/>
      <c r="AP650" s="41"/>
      <c r="AQ650" s="41"/>
      <c r="AR650" s="41"/>
      <c r="AS650" s="41"/>
      <c r="AT650" s="41"/>
      <c r="AU650" s="41"/>
      <c r="AV650" s="41"/>
      <c r="AW650" s="41"/>
      <c r="AX650" s="41"/>
      <c r="AY650" s="41"/>
      <c r="AZ650" s="41"/>
      <c r="BA650" s="41"/>
      <c r="BB650" s="41"/>
      <c r="BC650" s="41"/>
      <c r="BD650" s="41"/>
      <c r="BE650" s="41"/>
      <c r="BF650" s="41"/>
      <c r="BG650" s="41"/>
      <c r="BH650" s="41"/>
      <c r="BJ650" s="41"/>
      <c r="BK650" s="41"/>
      <c r="BL650" s="41"/>
      <c r="BM650" s="41"/>
      <c r="BN650" s="41"/>
      <c r="BO650" s="41"/>
      <c r="BP650" s="41"/>
      <c r="BQ650" s="41">
        <v>1</v>
      </c>
      <c r="BR650" s="41"/>
      <c r="BS650" s="41"/>
      <c r="BT650" s="41"/>
      <c r="BU650" s="41"/>
      <c r="BV650" s="41"/>
      <c r="BW650" s="41"/>
      <c r="BX650" s="41"/>
      <c r="BY650" s="41"/>
      <c r="BZ650" s="41"/>
      <c r="CA650" s="41"/>
      <c r="CB650" s="41"/>
      <c r="CC650" s="41"/>
      <c r="CD650" s="41"/>
      <c r="CE650" s="41"/>
      <c r="CF650" s="41"/>
      <c r="CG650" s="41"/>
      <c r="CH650" s="41"/>
      <c r="CI650" s="41"/>
      <c r="CJ650" s="41"/>
      <c r="CK650" s="41"/>
      <c r="CL650" s="41"/>
      <c r="CM650" s="41"/>
      <c r="CN650" s="41"/>
      <c r="CO650" s="41"/>
      <c r="CP650" s="41"/>
      <c r="CQ650" s="41"/>
      <c r="CR650" s="41"/>
      <c r="CS650" s="41"/>
      <c r="CT650" s="41"/>
      <c r="CU650" s="41"/>
      <c r="CV650" s="41"/>
      <c r="CW650" s="41"/>
      <c r="CX650" s="41"/>
      <c r="CY650" s="41"/>
      <c r="CZ650" s="41"/>
      <c r="DA650" s="41"/>
      <c r="DB650" s="41"/>
      <c r="DC650" s="41"/>
      <c r="DD650" s="41"/>
      <c r="DE650" s="41"/>
      <c r="DF650" s="41"/>
      <c r="DG650" s="41"/>
      <c r="DH650" s="41"/>
      <c r="DI650" s="41"/>
      <c r="DJ650" s="41"/>
      <c r="DK650" s="41"/>
      <c r="DL650" s="41"/>
      <c r="DM650" s="41"/>
      <c r="DN650" s="41"/>
      <c r="DO650" s="41"/>
      <c r="DP650" s="41"/>
      <c r="DQ650" s="41"/>
      <c r="DR650" s="41"/>
      <c r="DS650" s="43"/>
      <c r="DT650" s="44">
        <f t="shared" ref="DT650" si="632">SUM(F650:DR650)</f>
        <v>1</v>
      </c>
    </row>
    <row r="651" spans="2:124" s="13" customFormat="1">
      <c r="B651" s="4">
        <f>'6.1Personnel List'!B652</f>
        <v>639</v>
      </c>
      <c r="C651" s="45" t="s">
        <v>848</v>
      </c>
      <c r="D651" s="45" t="str">
        <f>'6.1Personnel List'!D652</f>
        <v>Seamstress</v>
      </c>
      <c r="E651" s="45" t="str">
        <f>'6.1Personnel List'!H652</f>
        <v>FT</v>
      </c>
      <c r="G651" s="41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1"/>
      <c r="AK651" s="41"/>
      <c r="AL651" s="41"/>
      <c r="AM651" s="41"/>
      <c r="AN651" s="41"/>
      <c r="AO651" s="41"/>
      <c r="AP651" s="41"/>
      <c r="AQ651" s="41"/>
      <c r="AR651" s="41"/>
      <c r="AS651" s="41"/>
      <c r="AT651" s="41"/>
      <c r="AU651" s="41"/>
      <c r="AV651" s="41"/>
      <c r="AW651" s="41"/>
      <c r="AX651" s="41"/>
      <c r="AY651" s="41"/>
      <c r="AZ651" s="41"/>
      <c r="BA651" s="41"/>
      <c r="BB651" s="41"/>
      <c r="BC651" s="41"/>
      <c r="BD651" s="41"/>
      <c r="BE651" s="41"/>
      <c r="BF651" s="41"/>
      <c r="BG651" s="41"/>
      <c r="BH651" s="41"/>
      <c r="BJ651" s="41"/>
      <c r="BK651" s="41"/>
      <c r="BL651" s="41"/>
      <c r="BM651" s="41"/>
      <c r="BN651" s="41"/>
      <c r="BO651" s="41"/>
      <c r="BP651" s="41"/>
      <c r="BQ651" s="41">
        <v>1</v>
      </c>
      <c r="BR651" s="41"/>
      <c r="BS651" s="41"/>
      <c r="BT651" s="41"/>
      <c r="BU651" s="41"/>
      <c r="BV651" s="41"/>
      <c r="BW651" s="41"/>
      <c r="BX651" s="41"/>
      <c r="BY651" s="41"/>
      <c r="BZ651" s="41"/>
      <c r="CA651" s="41"/>
      <c r="CB651" s="41"/>
      <c r="CC651" s="41"/>
      <c r="CD651" s="41"/>
      <c r="CE651" s="41"/>
      <c r="CF651" s="41"/>
      <c r="CG651" s="41"/>
      <c r="CH651" s="41"/>
      <c r="CI651" s="41"/>
      <c r="CJ651" s="41"/>
      <c r="CK651" s="41"/>
      <c r="CL651" s="41"/>
      <c r="CM651" s="41"/>
      <c r="CN651" s="41"/>
      <c r="CO651" s="41"/>
      <c r="CP651" s="41"/>
      <c r="CQ651" s="41"/>
      <c r="CR651" s="41"/>
      <c r="CS651" s="41"/>
      <c r="CT651" s="41"/>
      <c r="CU651" s="41"/>
      <c r="CV651" s="41"/>
      <c r="CW651" s="41"/>
      <c r="CX651" s="41"/>
      <c r="CY651" s="41"/>
      <c r="CZ651" s="41"/>
      <c r="DA651" s="41"/>
      <c r="DB651" s="41"/>
      <c r="DC651" s="41"/>
      <c r="DD651" s="41"/>
      <c r="DE651" s="41"/>
      <c r="DF651" s="41"/>
      <c r="DG651" s="41"/>
      <c r="DH651" s="41"/>
      <c r="DI651" s="41"/>
      <c r="DJ651" s="41"/>
      <c r="DK651" s="41"/>
      <c r="DL651" s="41"/>
      <c r="DM651" s="41"/>
      <c r="DN651" s="41"/>
      <c r="DO651" s="41"/>
      <c r="DP651" s="41"/>
      <c r="DQ651" s="41"/>
      <c r="DR651" s="41"/>
      <c r="DS651" s="43"/>
      <c r="DT651" s="44">
        <f t="shared" ref="DT651" si="633">SUM(F651:DR651)</f>
        <v>1</v>
      </c>
    </row>
    <row r="652" spans="2:124" s="13" customFormat="1">
      <c r="B652" s="4">
        <f>'6.1Personnel List'!B653</f>
        <v>640</v>
      </c>
      <c r="C652" s="45" t="s">
        <v>850</v>
      </c>
      <c r="D652" s="45" t="str">
        <f>'6.1Personnel List'!D653</f>
        <v>Administrative Aide I</v>
      </c>
      <c r="E652" s="45" t="str">
        <f>'6.1Personnel List'!H653</f>
        <v>FT</v>
      </c>
      <c r="G652" s="41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  <c r="AA652" s="41"/>
      <c r="AB652" s="41"/>
      <c r="AC652" s="41"/>
      <c r="AD652" s="41"/>
      <c r="AE652" s="41"/>
      <c r="AF652" s="41"/>
      <c r="AG652" s="41"/>
      <c r="AH652" s="41"/>
      <c r="AI652" s="41"/>
      <c r="AJ652" s="41"/>
      <c r="AK652" s="41"/>
      <c r="AL652" s="41"/>
      <c r="AM652" s="41"/>
      <c r="AN652" s="41"/>
      <c r="AO652" s="41"/>
      <c r="AP652" s="41"/>
      <c r="AQ652" s="41"/>
      <c r="AR652" s="41"/>
      <c r="AS652" s="41"/>
      <c r="AT652" s="41"/>
      <c r="AU652" s="41"/>
      <c r="AV652" s="41"/>
      <c r="AW652" s="41"/>
      <c r="AX652" s="41"/>
      <c r="AY652" s="41"/>
      <c r="AZ652" s="41"/>
      <c r="BA652" s="41"/>
      <c r="BB652" s="41"/>
      <c r="BC652" s="41"/>
      <c r="BD652" s="41"/>
      <c r="BE652" s="41"/>
      <c r="BF652" s="41"/>
      <c r="BG652" s="41"/>
      <c r="BH652" s="41"/>
      <c r="BJ652" s="41"/>
      <c r="BK652" s="41"/>
      <c r="BL652" s="41"/>
      <c r="BM652" s="41"/>
      <c r="BN652" s="41"/>
      <c r="BO652" s="41"/>
      <c r="BP652" s="41"/>
      <c r="BQ652" s="41">
        <v>1</v>
      </c>
      <c r="BR652" s="41"/>
      <c r="BS652" s="41"/>
      <c r="BT652" s="41"/>
      <c r="BU652" s="41"/>
      <c r="BV652" s="41"/>
      <c r="BW652" s="41"/>
      <c r="BX652" s="41"/>
      <c r="BY652" s="41"/>
      <c r="BZ652" s="41"/>
      <c r="CA652" s="41"/>
      <c r="CB652" s="41"/>
      <c r="CC652" s="41"/>
      <c r="CD652" s="41"/>
      <c r="CE652" s="41"/>
      <c r="CF652" s="41"/>
      <c r="CG652" s="41"/>
      <c r="CH652" s="41"/>
      <c r="CI652" s="41"/>
      <c r="CJ652" s="41"/>
      <c r="CK652" s="41"/>
      <c r="CL652" s="41"/>
      <c r="CM652" s="41"/>
      <c r="CN652" s="41"/>
      <c r="CO652" s="41"/>
      <c r="CP652" s="41"/>
      <c r="CQ652" s="41"/>
      <c r="CR652" s="41"/>
      <c r="CS652" s="41"/>
      <c r="CT652" s="41"/>
      <c r="CU652" s="41"/>
      <c r="CV652" s="41"/>
      <c r="CW652" s="41"/>
      <c r="CX652" s="41"/>
      <c r="CY652" s="41"/>
      <c r="CZ652" s="41"/>
      <c r="DA652" s="41"/>
      <c r="DB652" s="41"/>
      <c r="DC652" s="41"/>
      <c r="DD652" s="41"/>
      <c r="DE652" s="41"/>
      <c r="DF652" s="41"/>
      <c r="DG652" s="41"/>
      <c r="DH652" s="41"/>
      <c r="DI652" s="41"/>
      <c r="DJ652" s="41"/>
      <c r="DK652" s="41"/>
      <c r="DL652" s="41"/>
      <c r="DM652" s="41"/>
      <c r="DN652" s="41"/>
      <c r="DO652" s="41"/>
      <c r="DP652" s="41"/>
      <c r="DQ652" s="41"/>
      <c r="DR652" s="41"/>
      <c r="DS652" s="43"/>
      <c r="DT652" s="44">
        <f t="shared" ref="DT652" si="634">SUM(F652:DR652)</f>
        <v>1</v>
      </c>
    </row>
    <row r="653" spans="2:124" s="13" customFormat="1">
      <c r="B653" s="4">
        <f>'6.1Personnel List'!B654</f>
        <v>641</v>
      </c>
      <c r="C653" s="45" t="s">
        <v>851</v>
      </c>
      <c r="D653" s="45" t="str">
        <f>'6.1Personnel List'!D654</f>
        <v>Job Order</v>
      </c>
      <c r="E653" s="45" t="str">
        <f>'6.1Personnel List'!H654</f>
        <v>FT</v>
      </c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  <c r="AA653" s="41"/>
      <c r="AB653" s="41"/>
      <c r="AC653" s="41"/>
      <c r="AD653" s="41"/>
      <c r="AE653" s="41"/>
      <c r="AF653" s="41"/>
      <c r="AG653" s="41"/>
      <c r="AH653" s="41"/>
      <c r="AI653" s="41"/>
      <c r="AJ653" s="41"/>
      <c r="AK653" s="41"/>
      <c r="AL653" s="41"/>
      <c r="AM653" s="41"/>
      <c r="AN653" s="41"/>
      <c r="AO653" s="41"/>
      <c r="AP653" s="41"/>
      <c r="AQ653" s="41"/>
      <c r="AR653" s="41"/>
      <c r="AS653" s="41"/>
      <c r="AT653" s="41"/>
      <c r="AU653" s="41"/>
      <c r="AV653" s="41"/>
      <c r="AW653" s="41"/>
      <c r="AX653" s="41"/>
      <c r="AY653" s="41"/>
      <c r="AZ653" s="41"/>
      <c r="BA653" s="41"/>
      <c r="BB653" s="41"/>
      <c r="BC653" s="41"/>
      <c r="BD653" s="41"/>
      <c r="BE653" s="41"/>
      <c r="BF653" s="41"/>
      <c r="BG653" s="41"/>
      <c r="BH653" s="41"/>
      <c r="BJ653" s="41"/>
      <c r="BK653" s="41"/>
      <c r="BL653" s="41"/>
      <c r="BM653" s="41"/>
      <c r="BN653" s="41"/>
      <c r="BO653" s="41"/>
      <c r="BP653" s="41"/>
      <c r="BQ653" s="41">
        <v>1</v>
      </c>
      <c r="BR653" s="41"/>
      <c r="BS653" s="41"/>
      <c r="BT653" s="41"/>
      <c r="BU653" s="41"/>
      <c r="BV653" s="41"/>
      <c r="BW653" s="41"/>
      <c r="BX653" s="41"/>
      <c r="BY653" s="41"/>
      <c r="BZ653" s="41"/>
      <c r="CA653" s="41"/>
      <c r="CB653" s="41"/>
      <c r="CC653" s="41"/>
      <c r="CD653" s="41"/>
      <c r="CE653" s="41"/>
      <c r="CF653" s="41"/>
      <c r="CG653" s="41"/>
      <c r="CH653" s="41"/>
      <c r="CI653" s="41"/>
      <c r="CJ653" s="41"/>
      <c r="CK653" s="41"/>
      <c r="CL653" s="41"/>
      <c r="CM653" s="41"/>
      <c r="CN653" s="41"/>
      <c r="CO653" s="41"/>
      <c r="CP653" s="41"/>
      <c r="CQ653" s="41"/>
      <c r="CR653" s="41"/>
      <c r="CS653" s="41"/>
      <c r="CT653" s="41"/>
      <c r="CU653" s="41"/>
      <c r="CV653" s="41"/>
      <c r="CW653" s="41"/>
      <c r="CX653" s="41"/>
      <c r="CY653" s="41"/>
      <c r="CZ653" s="41"/>
      <c r="DA653" s="41"/>
      <c r="DB653" s="41"/>
      <c r="DC653" s="41"/>
      <c r="DD653" s="41"/>
      <c r="DE653" s="41"/>
      <c r="DF653" s="41"/>
      <c r="DG653" s="41"/>
      <c r="DH653" s="41"/>
      <c r="DI653" s="41"/>
      <c r="DJ653" s="41"/>
      <c r="DK653" s="41"/>
      <c r="DL653" s="41"/>
      <c r="DM653" s="41"/>
      <c r="DN653" s="41"/>
      <c r="DO653" s="41"/>
      <c r="DP653" s="41"/>
      <c r="DQ653" s="41"/>
      <c r="DR653" s="41"/>
      <c r="DS653" s="43"/>
      <c r="DT653" s="44">
        <f t="shared" ref="DT653" si="635">SUM(F653:DR653)</f>
        <v>1</v>
      </c>
    </row>
    <row r="654" spans="2:124" s="13" customFormat="1">
      <c r="B654" s="4">
        <f>'6.1Personnel List'!B655</f>
        <v>642</v>
      </c>
      <c r="C654" s="45" t="s">
        <v>852</v>
      </c>
      <c r="D654" s="45" t="str">
        <f>'6.1Personnel List'!D655</f>
        <v>Job Order</v>
      </c>
      <c r="E654" s="45" t="str">
        <f>'6.1Personnel List'!H655</f>
        <v>FT</v>
      </c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  <c r="AA654" s="41"/>
      <c r="AB654" s="41"/>
      <c r="AC654" s="41"/>
      <c r="AD654" s="41"/>
      <c r="AE654" s="41"/>
      <c r="AF654" s="41"/>
      <c r="AG654" s="41"/>
      <c r="AH654" s="41"/>
      <c r="AI654" s="41"/>
      <c r="AJ654" s="41"/>
      <c r="AK654" s="41"/>
      <c r="AL654" s="41"/>
      <c r="AM654" s="41"/>
      <c r="AN654" s="41"/>
      <c r="AO654" s="41"/>
      <c r="AP654" s="41"/>
      <c r="AQ654" s="41"/>
      <c r="AR654" s="41"/>
      <c r="AS654" s="41"/>
      <c r="AT654" s="41"/>
      <c r="AU654" s="41"/>
      <c r="AV654" s="41"/>
      <c r="AW654" s="41"/>
      <c r="AX654" s="41"/>
      <c r="AY654" s="41"/>
      <c r="AZ654" s="41"/>
      <c r="BA654" s="41"/>
      <c r="BB654" s="41"/>
      <c r="BC654" s="41"/>
      <c r="BD654" s="41"/>
      <c r="BE654" s="41"/>
      <c r="BF654" s="41"/>
      <c r="BG654" s="41"/>
      <c r="BH654" s="41"/>
      <c r="BJ654" s="41"/>
      <c r="BK654" s="41"/>
      <c r="BL654" s="41"/>
      <c r="BM654" s="41"/>
      <c r="BN654" s="41"/>
      <c r="BO654" s="41"/>
      <c r="BP654" s="41"/>
      <c r="BQ654" s="41">
        <v>1</v>
      </c>
      <c r="BR654" s="41"/>
      <c r="BS654" s="41"/>
      <c r="BT654" s="41"/>
      <c r="BU654" s="41"/>
      <c r="BV654" s="41"/>
      <c r="BW654" s="41"/>
      <c r="BX654" s="41"/>
      <c r="BY654" s="41"/>
      <c r="BZ654" s="41"/>
      <c r="CA654" s="41"/>
      <c r="CB654" s="41"/>
      <c r="CC654" s="41"/>
      <c r="CD654" s="41"/>
      <c r="CE654" s="41"/>
      <c r="CF654" s="41"/>
      <c r="CG654" s="41"/>
      <c r="CH654" s="41"/>
      <c r="CI654" s="41"/>
      <c r="CJ654" s="41"/>
      <c r="CK654" s="41"/>
      <c r="CL654" s="41"/>
      <c r="CM654" s="41"/>
      <c r="CN654" s="41"/>
      <c r="CO654" s="41"/>
      <c r="CP654" s="41"/>
      <c r="CQ654" s="41"/>
      <c r="CR654" s="41"/>
      <c r="CS654" s="41"/>
      <c r="CT654" s="41"/>
      <c r="CU654" s="41"/>
      <c r="CV654" s="41"/>
      <c r="CW654" s="41"/>
      <c r="CX654" s="41"/>
      <c r="CY654" s="41"/>
      <c r="CZ654" s="41"/>
      <c r="DA654" s="41"/>
      <c r="DB654" s="41"/>
      <c r="DC654" s="41"/>
      <c r="DD654" s="41"/>
      <c r="DE654" s="41"/>
      <c r="DF654" s="41"/>
      <c r="DG654" s="41"/>
      <c r="DH654" s="41"/>
      <c r="DI654" s="41"/>
      <c r="DJ654" s="41"/>
      <c r="DK654" s="41"/>
      <c r="DL654" s="41"/>
      <c r="DM654" s="41"/>
      <c r="DN654" s="41"/>
      <c r="DO654" s="41"/>
      <c r="DP654" s="41"/>
      <c r="DQ654" s="41"/>
      <c r="DR654" s="41"/>
      <c r="DS654" s="43"/>
      <c r="DT654" s="44">
        <f t="shared" ref="DT654" si="636">SUM(F654:DR654)</f>
        <v>1</v>
      </c>
    </row>
    <row r="655" spans="2:124" s="13" customFormat="1">
      <c r="B655" s="4">
        <f>'6.1Personnel List'!B656</f>
        <v>643</v>
      </c>
      <c r="C655" s="45" t="s">
        <v>855</v>
      </c>
      <c r="D655" s="45" t="str">
        <f>'6.1Personnel List'!D656</f>
        <v>Engineer IV</v>
      </c>
      <c r="E655" s="45" t="str">
        <f>'6.1Personnel List'!H656</f>
        <v>FT</v>
      </c>
      <c r="G655" s="41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  <c r="AA655" s="41"/>
      <c r="AB655" s="41"/>
      <c r="AC655" s="41"/>
      <c r="AD655" s="41"/>
      <c r="AE655" s="41"/>
      <c r="AF655" s="41"/>
      <c r="AG655" s="41"/>
      <c r="AH655" s="41"/>
      <c r="AI655" s="41"/>
      <c r="AJ655" s="41"/>
      <c r="AK655" s="41"/>
      <c r="AL655" s="41"/>
      <c r="AM655" s="41"/>
      <c r="AN655" s="41"/>
      <c r="AO655" s="41"/>
      <c r="AP655" s="41"/>
      <c r="AQ655" s="41"/>
      <c r="AR655" s="41"/>
      <c r="AS655" s="41"/>
      <c r="AT655" s="41"/>
      <c r="AU655" s="41"/>
      <c r="AV655" s="41"/>
      <c r="AW655" s="41"/>
      <c r="AX655" s="41"/>
      <c r="AY655" s="41"/>
      <c r="AZ655" s="41"/>
      <c r="BA655" s="41"/>
      <c r="BB655" s="41"/>
      <c r="BC655" s="41"/>
      <c r="BD655" s="41"/>
      <c r="BE655" s="41"/>
      <c r="BF655" s="41"/>
      <c r="BG655" s="41"/>
      <c r="BH655" s="41"/>
      <c r="BJ655" s="41"/>
      <c r="BK655" s="41"/>
      <c r="BL655" s="41"/>
      <c r="BM655" s="41"/>
      <c r="BN655" s="41"/>
      <c r="BO655" s="41"/>
      <c r="BP655" s="41">
        <v>1</v>
      </c>
      <c r="BQ655" s="41"/>
      <c r="BR655" s="41"/>
      <c r="BS655" s="41"/>
      <c r="BT655" s="41"/>
      <c r="BU655" s="41"/>
      <c r="BV655" s="41"/>
      <c r="BW655" s="41"/>
      <c r="BX655" s="41"/>
      <c r="BY655" s="41"/>
      <c r="BZ655" s="41"/>
      <c r="CA655" s="41"/>
      <c r="CB655" s="41"/>
      <c r="CC655" s="41"/>
      <c r="CD655" s="41"/>
      <c r="CE655" s="41"/>
      <c r="CF655" s="41"/>
      <c r="CG655" s="41"/>
      <c r="CH655" s="41"/>
      <c r="CI655" s="41"/>
      <c r="CJ655" s="41"/>
      <c r="CK655" s="41"/>
      <c r="CL655" s="41"/>
      <c r="CM655" s="41"/>
      <c r="CN655" s="41"/>
      <c r="CO655" s="41"/>
      <c r="CP655" s="41"/>
      <c r="CQ655" s="41"/>
      <c r="CR655" s="41"/>
      <c r="CS655" s="41"/>
      <c r="CT655" s="41"/>
      <c r="CU655" s="41"/>
      <c r="CV655" s="41"/>
      <c r="CW655" s="41"/>
      <c r="CX655" s="41"/>
      <c r="CY655" s="41"/>
      <c r="CZ655" s="41"/>
      <c r="DA655" s="41"/>
      <c r="DB655" s="41"/>
      <c r="DC655" s="41"/>
      <c r="DD655" s="41"/>
      <c r="DE655" s="41"/>
      <c r="DF655" s="41"/>
      <c r="DG655" s="41"/>
      <c r="DH655" s="41"/>
      <c r="DI655" s="41"/>
      <c r="DJ655" s="41"/>
      <c r="DK655" s="41"/>
      <c r="DL655" s="41"/>
      <c r="DM655" s="41"/>
      <c r="DN655" s="41"/>
      <c r="DO655" s="41"/>
      <c r="DP655" s="41"/>
      <c r="DQ655" s="41"/>
      <c r="DR655" s="41"/>
      <c r="DS655" s="43"/>
      <c r="DT655" s="44">
        <f t="shared" ref="DT655" si="637">SUM(F655:DR655)</f>
        <v>1</v>
      </c>
    </row>
    <row r="656" spans="2:124" s="13" customFormat="1">
      <c r="B656" s="4">
        <f>'6.1Personnel List'!B657</f>
        <v>644</v>
      </c>
      <c r="C656" s="45" t="s">
        <v>857</v>
      </c>
      <c r="D656" s="45" t="str">
        <f>'6.1Personnel List'!D657</f>
        <v>Engineer III</v>
      </c>
      <c r="E656" s="45" t="str">
        <f>'6.1Personnel List'!H657</f>
        <v>FT</v>
      </c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  <c r="AA656" s="41"/>
      <c r="AB656" s="41"/>
      <c r="AC656" s="41"/>
      <c r="AD656" s="41"/>
      <c r="AE656" s="41"/>
      <c r="AF656" s="41"/>
      <c r="AG656" s="41"/>
      <c r="AH656" s="41"/>
      <c r="AI656" s="41"/>
      <c r="AJ656" s="41"/>
      <c r="AK656" s="41"/>
      <c r="AL656" s="41"/>
      <c r="AM656" s="41"/>
      <c r="AN656" s="41"/>
      <c r="AO656" s="41"/>
      <c r="AP656" s="41"/>
      <c r="AQ656" s="41"/>
      <c r="AR656" s="41"/>
      <c r="AS656" s="41"/>
      <c r="AT656" s="41"/>
      <c r="AU656" s="41"/>
      <c r="AV656" s="41"/>
      <c r="AW656" s="41"/>
      <c r="AX656" s="41"/>
      <c r="AY656" s="41"/>
      <c r="AZ656" s="41"/>
      <c r="BA656" s="41"/>
      <c r="BB656" s="41"/>
      <c r="BC656" s="41"/>
      <c r="BD656" s="41"/>
      <c r="BE656" s="41"/>
      <c r="BF656" s="41"/>
      <c r="BG656" s="41"/>
      <c r="BH656" s="41"/>
      <c r="BJ656" s="41"/>
      <c r="BK656" s="41"/>
      <c r="BL656" s="41"/>
      <c r="BM656" s="41"/>
      <c r="BN656" s="41"/>
      <c r="BO656" s="41"/>
      <c r="BP656" s="41">
        <v>1</v>
      </c>
      <c r="BQ656" s="41"/>
      <c r="BR656" s="41"/>
      <c r="BS656" s="41"/>
      <c r="BT656" s="41"/>
      <c r="BU656" s="41"/>
      <c r="BV656" s="41"/>
      <c r="BW656" s="41"/>
      <c r="BX656" s="41"/>
      <c r="BY656" s="41"/>
      <c r="BZ656" s="41"/>
      <c r="CA656" s="41"/>
      <c r="CB656" s="41"/>
      <c r="CC656" s="41"/>
      <c r="CD656" s="41"/>
      <c r="CE656" s="41"/>
      <c r="CF656" s="41"/>
      <c r="CG656" s="41"/>
      <c r="CH656" s="41"/>
      <c r="CI656" s="41"/>
      <c r="CJ656" s="41"/>
      <c r="CK656" s="41"/>
      <c r="CL656" s="41"/>
      <c r="CM656" s="41"/>
      <c r="CN656" s="41"/>
      <c r="CO656" s="41"/>
      <c r="CP656" s="41"/>
      <c r="CQ656" s="41"/>
      <c r="CR656" s="41"/>
      <c r="CS656" s="41"/>
      <c r="CT656" s="41"/>
      <c r="CU656" s="41"/>
      <c r="CV656" s="41"/>
      <c r="CW656" s="41"/>
      <c r="CX656" s="41"/>
      <c r="CY656" s="41"/>
      <c r="CZ656" s="41"/>
      <c r="DA656" s="41"/>
      <c r="DB656" s="41"/>
      <c r="DC656" s="41"/>
      <c r="DD656" s="41"/>
      <c r="DE656" s="41"/>
      <c r="DF656" s="41"/>
      <c r="DG656" s="41"/>
      <c r="DH656" s="41"/>
      <c r="DI656" s="41"/>
      <c r="DJ656" s="41"/>
      <c r="DK656" s="41"/>
      <c r="DL656" s="41"/>
      <c r="DM656" s="41"/>
      <c r="DN656" s="41"/>
      <c r="DO656" s="41"/>
      <c r="DP656" s="41"/>
      <c r="DQ656" s="41"/>
      <c r="DR656" s="41"/>
      <c r="DS656" s="43"/>
      <c r="DT656" s="44">
        <f t="shared" ref="DT656" si="638">SUM(F656:DR656)</f>
        <v>1</v>
      </c>
    </row>
    <row r="657" spans="2:124" s="13" customFormat="1">
      <c r="B657" s="4">
        <f>'6.1Personnel List'!B658</f>
        <v>645</v>
      </c>
      <c r="C657" s="45" t="s">
        <v>859</v>
      </c>
      <c r="D657" s="45" t="str">
        <f>'6.1Personnel List'!D658</f>
        <v>Medical Equipment Technician IV</v>
      </c>
      <c r="E657" s="45" t="str">
        <f>'6.1Personnel List'!H658</f>
        <v>FT</v>
      </c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  <c r="AA657" s="41"/>
      <c r="AB657" s="41"/>
      <c r="AC657" s="41"/>
      <c r="AD657" s="41"/>
      <c r="AE657" s="41"/>
      <c r="AF657" s="41"/>
      <c r="AG657" s="41"/>
      <c r="AH657" s="41"/>
      <c r="AI657" s="41"/>
      <c r="AJ657" s="41"/>
      <c r="AK657" s="41"/>
      <c r="AL657" s="41"/>
      <c r="AM657" s="41"/>
      <c r="AN657" s="41"/>
      <c r="AO657" s="41"/>
      <c r="AP657" s="41"/>
      <c r="AQ657" s="41"/>
      <c r="AR657" s="41"/>
      <c r="AS657" s="41"/>
      <c r="AT657" s="41"/>
      <c r="AU657" s="41"/>
      <c r="AV657" s="41"/>
      <c r="AW657" s="41"/>
      <c r="AX657" s="41"/>
      <c r="AY657" s="41"/>
      <c r="AZ657" s="41"/>
      <c r="BA657" s="41"/>
      <c r="BB657" s="41"/>
      <c r="BC657" s="41"/>
      <c r="BD657" s="41"/>
      <c r="BE657" s="41"/>
      <c r="BF657" s="41"/>
      <c r="BG657" s="41"/>
      <c r="BH657" s="41"/>
      <c r="BJ657" s="41"/>
      <c r="BK657" s="41"/>
      <c r="BL657" s="41"/>
      <c r="BM657" s="41"/>
      <c r="BN657" s="41"/>
      <c r="BO657" s="41"/>
      <c r="BP657" s="41">
        <v>1</v>
      </c>
      <c r="BQ657" s="41"/>
      <c r="BR657" s="41"/>
      <c r="BS657" s="41"/>
      <c r="BT657" s="41"/>
      <c r="BU657" s="41"/>
      <c r="BV657" s="41"/>
      <c r="BW657" s="41"/>
      <c r="BX657" s="41"/>
      <c r="BY657" s="41"/>
      <c r="BZ657" s="41"/>
      <c r="CA657" s="41"/>
      <c r="CB657" s="41"/>
      <c r="CC657" s="41"/>
      <c r="CD657" s="41"/>
      <c r="CE657" s="41"/>
      <c r="CF657" s="41"/>
      <c r="CG657" s="41"/>
      <c r="CH657" s="41"/>
      <c r="CI657" s="41"/>
      <c r="CJ657" s="41"/>
      <c r="CK657" s="41"/>
      <c r="CL657" s="41"/>
      <c r="CM657" s="41"/>
      <c r="CN657" s="41"/>
      <c r="CO657" s="41"/>
      <c r="CP657" s="41"/>
      <c r="CQ657" s="41"/>
      <c r="CR657" s="41"/>
      <c r="CS657" s="41"/>
      <c r="CT657" s="41"/>
      <c r="CU657" s="41"/>
      <c r="CV657" s="41"/>
      <c r="CW657" s="41"/>
      <c r="CX657" s="41"/>
      <c r="CY657" s="41"/>
      <c r="CZ657" s="41"/>
      <c r="DA657" s="41"/>
      <c r="DB657" s="41"/>
      <c r="DC657" s="41"/>
      <c r="DD657" s="41"/>
      <c r="DE657" s="41"/>
      <c r="DF657" s="41"/>
      <c r="DG657" s="41"/>
      <c r="DH657" s="41"/>
      <c r="DI657" s="41"/>
      <c r="DJ657" s="41"/>
      <c r="DK657" s="41"/>
      <c r="DL657" s="41"/>
      <c r="DM657" s="41"/>
      <c r="DN657" s="41"/>
      <c r="DO657" s="41"/>
      <c r="DP657" s="41"/>
      <c r="DQ657" s="41"/>
      <c r="DR657" s="41"/>
      <c r="DS657" s="43"/>
      <c r="DT657" s="44">
        <f t="shared" ref="DT657" si="639">SUM(F657:DR657)</f>
        <v>1</v>
      </c>
    </row>
    <row r="658" spans="2:124" s="13" customFormat="1">
      <c r="B658" s="4">
        <f>'6.1Personnel List'!B659</f>
        <v>646</v>
      </c>
      <c r="C658" s="45" t="s">
        <v>861</v>
      </c>
      <c r="D658" s="45" t="str">
        <f>'6.1Personnel List'!D659</f>
        <v>Medical Equipment Technician III</v>
      </c>
      <c r="E658" s="45" t="str">
        <f>'6.1Personnel List'!H659</f>
        <v>FT</v>
      </c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1"/>
      <c r="AH658" s="41"/>
      <c r="AI658" s="41"/>
      <c r="AJ658" s="41"/>
      <c r="AK658" s="41"/>
      <c r="AL658" s="41"/>
      <c r="AM658" s="41"/>
      <c r="AN658" s="41"/>
      <c r="AO658" s="41"/>
      <c r="AP658" s="41"/>
      <c r="AQ658" s="41"/>
      <c r="AR658" s="41"/>
      <c r="AS658" s="41"/>
      <c r="AT658" s="41"/>
      <c r="AU658" s="41"/>
      <c r="AV658" s="41"/>
      <c r="AW658" s="41"/>
      <c r="AX658" s="41"/>
      <c r="AY658" s="41"/>
      <c r="AZ658" s="41"/>
      <c r="BA658" s="41"/>
      <c r="BB658" s="41"/>
      <c r="BC658" s="41"/>
      <c r="BD658" s="41"/>
      <c r="BE658" s="41"/>
      <c r="BF658" s="41"/>
      <c r="BG658" s="41"/>
      <c r="BH658" s="41"/>
      <c r="BJ658" s="41"/>
      <c r="BK658" s="41"/>
      <c r="BL658" s="41"/>
      <c r="BM658" s="41"/>
      <c r="BN658" s="41"/>
      <c r="BO658" s="41"/>
      <c r="BP658" s="41">
        <v>1</v>
      </c>
      <c r="BQ658" s="41"/>
      <c r="BR658" s="41"/>
      <c r="BS658" s="41"/>
      <c r="BT658" s="41"/>
      <c r="BU658" s="41"/>
      <c r="BV658" s="41"/>
      <c r="BW658" s="41"/>
      <c r="BX658" s="41"/>
      <c r="BY658" s="41"/>
      <c r="BZ658" s="41"/>
      <c r="CA658" s="41"/>
      <c r="CB658" s="41"/>
      <c r="CC658" s="41"/>
      <c r="CD658" s="41"/>
      <c r="CE658" s="41"/>
      <c r="CF658" s="41"/>
      <c r="CG658" s="41"/>
      <c r="CH658" s="41"/>
      <c r="CI658" s="41"/>
      <c r="CJ658" s="41"/>
      <c r="CK658" s="41"/>
      <c r="CL658" s="41"/>
      <c r="CM658" s="41"/>
      <c r="CN658" s="41"/>
      <c r="CO658" s="41"/>
      <c r="CP658" s="41"/>
      <c r="CQ658" s="41"/>
      <c r="CR658" s="41"/>
      <c r="CS658" s="41"/>
      <c r="CT658" s="41"/>
      <c r="CU658" s="41"/>
      <c r="CV658" s="41"/>
      <c r="CW658" s="41"/>
      <c r="CX658" s="41"/>
      <c r="CY658" s="41"/>
      <c r="CZ658" s="41"/>
      <c r="DA658" s="41"/>
      <c r="DB658" s="41"/>
      <c r="DC658" s="41"/>
      <c r="DD658" s="41"/>
      <c r="DE658" s="41"/>
      <c r="DF658" s="41"/>
      <c r="DG658" s="41"/>
      <c r="DH658" s="41"/>
      <c r="DI658" s="41"/>
      <c r="DJ658" s="41"/>
      <c r="DK658" s="41"/>
      <c r="DL658" s="41"/>
      <c r="DM658" s="41"/>
      <c r="DN658" s="41"/>
      <c r="DO658" s="41"/>
      <c r="DP658" s="41"/>
      <c r="DQ658" s="41"/>
      <c r="DR658" s="41"/>
      <c r="DS658" s="43"/>
      <c r="DT658" s="44">
        <f t="shared" ref="DT658" si="640">SUM(F658:DR658)</f>
        <v>1</v>
      </c>
    </row>
    <row r="659" spans="2:124" s="13" customFormat="1">
      <c r="B659" s="4">
        <f>'6.1Personnel List'!B660</f>
        <v>647</v>
      </c>
      <c r="C659" s="45" t="s">
        <v>863</v>
      </c>
      <c r="D659" s="45" t="str">
        <f>'6.1Personnel List'!D660</f>
        <v>Medical Equipment Technician III</v>
      </c>
      <c r="E659" s="45" t="str">
        <f>'6.1Personnel List'!H660</f>
        <v>FT</v>
      </c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1"/>
      <c r="AH659" s="41"/>
      <c r="AI659" s="41"/>
      <c r="AJ659" s="41"/>
      <c r="AK659" s="41"/>
      <c r="AL659" s="41"/>
      <c r="AM659" s="41"/>
      <c r="AN659" s="41"/>
      <c r="AO659" s="41"/>
      <c r="AP659" s="41"/>
      <c r="AQ659" s="41"/>
      <c r="AR659" s="41"/>
      <c r="AS659" s="41"/>
      <c r="AT659" s="41"/>
      <c r="AU659" s="41"/>
      <c r="AV659" s="41"/>
      <c r="AW659" s="41"/>
      <c r="AX659" s="41"/>
      <c r="AY659" s="41"/>
      <c r="AZ659" s="41"/>
      <c r="BA659" s="41"/>
      <c r="BB659" s="41"/>
      <c r="BC659" s="41"/>
      <c r="BD659" s="41"/>
      <c r="BE659" s="41"/>
      <c r="BF659" s="41"/>
      <c r="BG659" s="41"/>
      <c r="BH659" s="41"/>
      <c r="BJ659" s="41"/>
      <c r="BK659" s="41"/>
      <c r="BL659" s="41"/>
      <c r="BM659" s="41"/>
      <c r="BN659" s="41"/>
      <c r="BO659" s="41"/>
      <c r="BP659" s="41">
        <v>1</v>
      </c>
      <c r="BQ659" s="41"/>
      <c r="BR659" s="41"/>
      <c r="BS659" s="41"/>
      <c r="BT659" s="41"/>
      <c r="BU659" s="41"/>
      <c r="BV659" s="41"/>
      <c r="BW659" s="41"/>
      <c r="BX659" s="41"/>
      <c r="BY659" s="41"/>
      <c r="BZ659" s="41"/>
      <c r="CA659" s="41"/>
      <c r="CB659" s="41"/>
      <c r="CC659" s="41"/>
      <c r="CD659" s="41"/>
      <c r="CE659" s="41"/>
      <c r="CF659" s="41"/>
      <c r="CG659" s="41"/>
      <c r="CH659" s="41"/>
      <c r="CI659" s="41"/>
      <c r="CJ659" s="41"/>
      <c r="CK659" s="41"/>
      <c r="CL659" s="41"/>
      <c r="CM659" s="41"/>
      <c r="CN659" s="41"/>
      <c r="CO659" s="41"/>
      <c r="CP659" s="41"/>
      <c r="CQ659" s="41"/>
      <c r="CR659" s="41"/>
      <c r="CS659" s="41"/>
      <c r="CT659" s="41"/>
      <c r="CU659" s="41"/>
      <c r="CV659" s="41"/>
      <c r="CW659" s="41"/>
      <c r="CX659" s="41"/>
      <c r="CY659" s="41"/>
      <c r="CZ659" s="41"/>
      <c r="DA659" s="41"/>
      <c r="DB659" s="41"/>
      <c r="DC659" s="41"/>
      <c r="DD659" s="41"/>
      <c r="DE659" s="41"/>
      <c r="DF659" s="41"/>
      <c r="DG659" s="41"/>
      <c r="DH659" s="41"/>
      <c r="DI659" s="41"/>
      <c r="DJ659" s="41"/>
      <c r="DK659" s="41"/>
      <c r="DL659" s="41"/>
      <c r="DM659" s="41"/>
      <c r="DN659" s="41"/>
      <c r="DO659" s="41"/>
      <c r="DP659" s="41"/>
      <c r="DQ659" s="41"/>
      <c r="DR659" s="41"/>
      <c r="DS659" s="43"/>
      <c r="DT659" s="44">
        <f t="shared" ref="DT659" si="641">SUM(F659:DR659)</f>
        <v>1</v>
      </c>
    </row>
    <row r="660" spans="2:124" s="13" customFormat="1">
      <c r="B660" s="4">
        <f>'6.1Personnel List'!B661</f>
        <v>648</v>
      </c>
      <c r="C660" s="45" t="s">
        <v>864</v>
      </c>
      <c r="D660" s="45" t="str">
        <f>'6.1Personnel List'!D661</f>
        <v>Administrative Assistant III</v>
      </c>
      <c r="E660" s="45" t="str">
        <f>'6.1Personnel List'!H661</f>
        <v>FT</v>
      </c>
      <c r="G660" s="4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1"/>
      <c r="AH660" s="41"/>
      <c r="AI660" s="41"/>
      <c r="AJ660" s="41"/>
      <c r="AK660" s="41"/>
      <c r="AL660" s="41"/>
      <c r="AM660" s="41"/>
      <c r="AN660" s="41"/>
      <c r="AO660" s="41"/>
      <c r="AP660" s="41"/>
      <c r="AQ660" s="41"/>
      <c r="AR660" s="41"/>
      <c r="AS660" s="41"/>
      <c r="AT660" s="41"/>
      <c r="AU660" s="41"/>
      <c r="AV660" s="41"/>
      <c r="AW660" s="41"/>
      <c r="AX660" s="41"/>
      <c r="AY660" s="41"/>
      <c r="AZ660" s="41"/>
      <c r="BA660" s="41"/>
      <c r="BB660" s="41"/>
      <c r="BC660" s="41"/>
      <c r="BD660" s="41"/>
      <c r="BE660" s="41"/>
      <c r="BF660" s="41"/>
      <c r="BG660" s="41"/>
      <c r="BH660" s="41"/>
      <c r="BJ660" s="41"/>
      <c r="BK660" s="41"/>
      <c r="BL660" s="41"/>
      <c r="BM660" s="41"/>
      <c r="BN660" s="41"/>
      <c r="BO660" s="41"/>
      <c r="BP660" s="41">
        <v>1</v>
      </c>
      <c r="BQ660" s="41"/>
      <c r="BR660" s="41"/>
      <c r="BS660" s="41"/>
      <c r="BT660" s="41"/>
      <c r="BU660" s="41"/>
      <c r="BV660" s="41"/>
      <c r="BW660" s="41"/>
      <c r="BX660" s="41"/>
      <c r="BY660" s="41"/>
      <c r="BZ660" s="41"/>
      <c r="CA660" s="41"/>
      <c r="CB660" s="41"/>
      <c r="CC660" s="41"/>
      <c r="CD660" s="41"/>
      <c r="CE660" s="41"/>
      <c r="CF660" s="41"/>
      <c r="CG660" s="41"/>
      <c r="CH660" s="41"/>
      <c r="CI660" s="41"/>
      <c r="CJ660" s="41"/>
      <c r="CK660" s="41"/>
      <c r="CL660" s="41"/>
      <c r="CM660" s="41"/>
      <c r="CN660" s="41"/>
      <c r="CO660" s="41"/>
      <c r="CP660" s="41"/>
      <c r="CQ660" s="41"/>
      <c r="CR660" s="41"/>
      <c r="CS660" s="41"/>
      <c r="CT660" s="41"/>
      <c r="CU660" s="41"/>
      <c r="CV660" s="41"/>
      <c r="CW660" s="41"/>
      <c r="CX660" s="41"/>
      <c r="CY660" s="41"/>
      <c r="CZ660" s="41"/>
      <c r="DA660" s="41"/>
      <c r="DB660" s="41"/>
      <c r="DC660" s="41"/>
      <c r="DD660" s="41"/>
      <c r="DE660" s="41"/>
      <c r="DF660" s="41"/>
      <c r="DG660" s="41"/>
      <c r="DH660" s="41"/>
      <c r="DI660" s="41"/>
      <c r="DJ660" s="41"/>
      <c r="DK660" s="41"/>
      <c r="DL660" s="41"/>
      <c r="DM660" s="41"/>
      <c r="DN660" s="41"/>
      <c r="DO660" s="41"/>
      <c r="DP660" s="41"/>
      <c r="DQ660" s="41"/>
      <c r="DR660" s="41"/>
      <c r="DS660" s="43"/>
      <c r="DT660" s="44">
        <f t="shared" ref="DT660" si="642">SUM(F660:DR660)</f>
        <v>1</v>
      </c>
    </row>
    <row r="661" spans="2:124" s="13" customFormat="1">
      <c r="B661" s="4">
        <f>'6.1Personnel List'!B662</f>
        <v>649</v>
      </c>
      <c r="C661" s="45" t="s">
        <v>865</v>
      </c>
      <c r="D661" s="45" t="str">
        <f>'6.1Personnel List'!D662</f>
        <v>Medical Equipment Technician II</v>
      </c>
      <c r="E661" s="45" t="str">
        <f>'6.1Personnel List'!H662</f>
        <v>FT</v>
      </c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1"/>
      <c r="AH661" s="41"/>
      <c r="AI661" s="41"/>
      <c r="AJ661" s="41"/>
      <c r="AK661" s="41"/>
      <c r="AL661" s="41"/>
      <c r="AM661" s="41"/>
      <c r="AN661" s="41"/>
      <c r="AO661" s="41"/>
      <c r="AP661" s="41"/>
      <c r="AQ661" s="41"/>
      <c r="AR661" s="41"/>
      <c r="AS661" s="41"/>
      <c r="AT661" s="41"/>
      <c r="AU661" s="41"/>
      <c r="AV661" s="41"/>
      <c r="AW661" s="41"/>
      <c r="AX661" s="41"/>
      <c r="AY661" s="41"/>
      <c r="AZ661" s="41"/>
      <c r="BA661" s="41"/>
      <c r="BB661" s="41"/>
      <c r="BC661" s="41"/>
      <c r="BD661" s="41"/>
      <c r="BE661" s="41"/>
      <c r="BF661" s="41"/>
      <c r="BG661" s="41"/>
      <c r="BH661" s="41"/>
      <c r="BJ661" s="41"/>
      <c r="BK661" s="41"/>
      <c r="BL661" s="41"/>
      <c r="BM661" s="41"/>
      <c r="BN661" s="41"/>
      <c r="BO661" s="41"/>
      <c r="BP661" s="41">
        <v>1</v>
      </c>
      <c r="BQ661" s="41"/>
      <c r="BR661" s="41"/>
      <c r="BS661" s="41"/>
      <c r="BT661" s="41"/>
      <c r="BU661" s="41"/>
      <c r="BV661" s="41"/>
      <c r="BW661" s="41"/>
      <c r="BX661" s="41"/>
      <c r="BY661" s="41"/>
      <c r="BZ661" s="41"/>
      <c r="CA661" s="41"/>
      <c r="CB661" s="41"/>
      <c r="CC661" s="41"/>
      <c r="CD661" s="41"/>
      <c r="CE661" s="41"/>
      <c r="CF661" s="41"/>
      <c r="CG661" s="41"/>
      <c r="CH661" s="41"/>
      <c r="CI661" s="41"/>
      <c r="CJ661" s="41"/>
      <c r="CK661" s="41"/>
      <c r="CL661" s="41"/>
      <c r="CM661" s="41"/>
      <c r="CN661" s="41"/>
      <c r="CO661" s="41"/>
      <c r="CP661" s="41"/>
      <c r="CQ661" s="41"/>
      <c r="CR661" s="41"/>
      <c r="CS661" s="41"/>
      <c r="CT661" s="41"/>
      <c r="CU661" s="41"/>
      <c r="CV661" s="41"/>
      <c r="CW661" s="41"/>
      <c r="CX661" s="41"/>
      <c r="CY661" s="41"/>
      <c r="CZ661" s="41"/>
      <c r="DA661" s="41"/>
      <c r="DB661" s="41"/>
      <c r="DC661" s="41"/>
      <c r="DD661" s="41"/>
      <c r="DE661" s="41"/>
      <c r="DF661" s="41"/>
      <c r="DG661" s="41"/>
      <c r="DH661" s="41"/>
      <c r="DI661" s="41"/>
      <c r="DJ661" s="41"/>
      <c r="DK661" s="41"/>
      <c r="DL661" s="41"/>
      <c r="DM661" s="41"/>
      <c r="DN661" s="41"/>
      <c r="DO661" s="41"/>
      <c r="DP661" s="41"/>
      <c r="DQ661" s="41"/>
      <c r="DR661" s="41"/>
      <c r="DS661" s="43"/>
      <c r="DT661" s="44">
        <f t="shared" ref="DT661" si="643">SUM(F661:DR661)</f>
        <v>1</v>
      </c>
    </row>
    <row r="662" spans="2:124" s="13" customFormat="1">
      <c r="B662" s="4">
        <f>'6.1Personnel List'!B663</f>
        <v>650</v>
      </c>
      <c r="C662" s="45" t="s">
        <v>867</v>
      </c>
      <c r="D662" s="45" t="str">
        <f>'6.1Personnel List'!D663</f>
        <v>Medical Equipment Technician II</v>
      </c>
      <c r="E662" s="45" t="str">
        <f>'6.1Personnel List'!H663</f>
        <v>FT</v>
      </c>
      <c r="G662" s="41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1"/>
      <c r="AK662" s="41"/>
      <c r="AL662" s="41"/>
      <c r="AM662" s="41"/>
      <c r="AN662" s="41"/>
      <c r="AO662" s="41"/>
      <c r="AP662" s="41"/>
      <c r="AQ662" s="41"/>
      <c r="AR662" s="41"/>
      <c r="AS662" s="41"/>
      <c r="AT662" s="41"/>
      <c r="AU662" s="41"/>
      <c r="AV662" s="41"/>
      <c r="AW662" s="41"/>
      <c r="AX662" s="41"/>
      <c r="AY662" s="41"/>
      <c r="AZ662" s="41"/>
      <c r="BA662" s="41"/>
      <c r="BB662" s="41"/>
      <c r="BC662" s="41"/>
      <c r="BD662" s="41"/>
      <c r="BE662" s="41"/>
      <c r="BF662" s="41"/>
      <c r="BG662" s="41"/>
      <c r="BH662" s="41"/>
      <c r="BJ662" s="41"/>
      <c r="BK662" s="41"/>
      <c r="BL662" s="41"/>
      <c r="BM662" s="41"/>
      <c r="BN662" s="41"/>
      <c r="BO662" s="41"/>
      <c r="BP662" s="41">
        <v>1</v>
      </c>
      <c r="BQ662" s="41"/>
      <c r="BR662" s="41"/>
      <c r="BS662" s="41"/>
      <c r="BT662" s="41"/>
      <c r="BU662" s="41"/>
      <c r="BV662" s="41"/>
      <c r="BW662" s="41"/>
      <c r="BX662" s="41"/>
      <c r="BY662" s="41"/>
      <c r="BZ662" s="41"/>
      <c r="CA662" s="41"/>
      <c r="CB662" s="41"/>
      <c r="CC662" s="41"/>
      <c r="CD662" s="41"/>
      <c r="CE662" s="41"/>
      <c r="CF662" s="41"/>
      <c r="CG662" s="41"/>
      <c r="CH662" s="41"/>
      <c r="CI662" s="41"/>
      <c r="CJ662" s="41"/>
      <c r="CK662" s="41"/>
      <c r="CL662" s="41"/>
      <c r="CM662" s="41"/>
      <c r="CN662" s="41"/>
      <c r="CO662" s="41"/>
      <c r="CP662" s="41"/>
      <c r="CQ662" s="41"/>
      <c r="CR662" s="41"/>
      <c r="CS662" s="41"/>
      <c r="CT662" s="41"/>
      <c r="CU662" s="41"/>
      <c r="CV662" s="41"/>
      <c r="CW662" s="41"/>
      <c r="CX662" s="41"/>
      <c r="CY662" s="41"/>
      <c r="CZ662" s="41"/>
      <c r="DA662" s="41"/>
      <c r="DB662" s="41"/>
      <c r="DC662" s="41"/>
      <c r="DD662" s="41"/>
      <c r="DE662" s="41"/>
      <c r="DF662" s="41"/>
      <c r="DG662" s="41"/>
      <c r="DH662" s="41"/>
      <c r="DI662" s="41"/>
      <c r="DJ662" s="41"/>
      <c r="DK662" s="41"/>
      <c r="DL662" s="41"/>
      <c r="DM662" s="41"/>
      <c r="DN662" s="41"/>
      <c r="DO662" s="41"/>
      <c r="DP662" s="41"/>
      <c r="DQ662" s="41"/>
      <c r="DR662" s="41"/>
      <c r="DS662" s="43"/>
      <c r="DT662" s="44">
        <f t="shared" ref="DT662" si="644">SUM(F662:DR662)</f>
        <v>1</v>
      </c>
    </row>
    <row r="663" spans="2:124" s="13" customFormat="1">
      <c r="B663" s="4">
        <f>'6.1Personnel List'!B664</f>
        <v>651</v>
      </c>
      <c r="C663" s="45" t="s">
        <v>868</v>
      </c>
      <c r="D663" s="45" t="str">
        <f>'6.1Personnel List'!D664</f>
        <v>Medical Equipment Technician II</v>
      </c>
      <c r="E663" s="45" t="str">
        <f>'6.1Personnel List'!H664</f>
        <v>FT</v>
      </c>
      <c r="G663" s="41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1"/>
      <c r="AH663" s="41"/>
      <c r="AI663" s="41"/>
      <c r="AJ663" s="41"/>
      <c r="AK663" s="41"/>
      <c r="AL663" s="41"/>
      <c r="AM663" s="41"/>
      <c r="AN663" s="41"/>
      <c r="AO663" s="41"/>
      <c r="AP663" s="41"/>
      <c r="AQ663" s="41"/>
      <c r="AR663" s="41"/>
      <c r="AS663" s="41"/>
      <c r="AT663" s="41"/>
      <c r="AU663" s="41"/>
      <c r="AV663" s="41"/>
      <c r="AW663" s="41"/>
      <c r="AX663" s="41"/>
      <c r="AY663" s="41"/>
      <c r="AZ663" s="41"/>
      <c r="BA663" s="41"/>
      <c r="BB663" s="41"/>
      <c r="BC663" s="41"/>
      <c r="BD663" s="41"/>
      <c r="BE663" s="41"/>
      <c r="BF663" s="41"/>
      <c r="BG663" s="41"/>
      <c r="BH663" s="41"/>
      <c r="BJ663" s="41"/>
      <c r="BK663" s="41"/>
      <c r="BL663" s="41"/>
      <c r="BM663" s="41"/>
      <c r="BN663" s="41"/>
      <c r="BO663" s="41"/>
      <c r="BP663" s="41">
        <v>1</v>
      </c>
      <c r="BQ663" s="41"/>
      <c r="BR663" s="41"/>
      <c r="BS663" s="41"/>
      <c r="BT663" s="41"/>
      <c r="BU663" s="41"/>
      <c r="BV663" s="41"/>
      <c r="BW663" s="41"/>
      <c r="BX663" s="41"/>
      <c r="BY663" s="41"/>
      <c r="BZ663" s="41"/>
      <c r="CA663" s="41"/>
      <c r="CB663" s="41"/>
      <c r="CC663" s="41"/>
      <c r="CD663" s="41"/>
      <c r="CE663" s="41"/>
      <c r="CF663" s="41"/>
      <c r="CG663" s="41"/>
      <c r="CH663" s="41"/>
      <c r="CI663" s="41"/>
      <c r="CJ663" s="41"/>
      <c r="CK663" s="41"/>
      <c r="CL663" s="41"/>
      <c r="CM663" s="41"/>
      <c r="CN663" s="41"/>
      <c r="CO663" s="41"/>
      <c r="CP663" s="41"/>
      <c r="CQ663" s="41"/>
      <c r="CR663" s="41"/>
      <c r="CS663" s="41"/>
      <c r="CT663" s="41"/>
      <c r="CU663" s="41"/>
      <c r="CV663" s="41"/>
      <c r="CW663" s="41"/>
      <c r="CX663" s="41"/>
      <c r="CY663" s="41"/>
      <c r="CZ663" s="41"/>
      <c r="DA663" s="41"/>
      <c r="DB663" s="41"/>
      <c r="DC663" s="41"/>
      <c r="DD663" s="41"/>
      <c r="DE663" s="41"/>
      <c r="DF663" s="41"/>
      <c r="DG663" s="41"/>
      <c r="DH663" s="41"/>
      <c r="DI663" s="41"/>
      <c r="DJ663" s="41"/>
      <c r="DK663" s="41"/>
      <c r="DL663" s="41"/>
      <c r="DM663" s="41"/>
      <c r="DN663" s="41"/>
      <c r="DO663" s="41"/>
      <c r="DP663" s="41"/>
      <c r="DQ663" s="41"/>
      <c r="DR663" s="41"/>
      <c r="DS663" s="43"/>
      <c r="DT663" s="44">
        <f t="shared" ref="DT663" si="645">SUM(F663:DR663)</f>
        <v>1</v>
      </c>
    </row>
    <row r="664" spans="2:124" s="13" customFormat="1">
      <c r="B664" s="4">
        <f>'6.1Personnel List'!B665</f>
        <v>652</v>
      </c>
      <c r="C664" s="45" t="s">
        <v>869</v>
      </c>
      <c r="D664" s="45" t="str">
        <f>'6.1Personnel List'!D665</f>
        <v>Medical Equipment Technician II</v>
      </c>
      <c r="E664" s="45" t="str">
        <f>'6.1Personnel List'!H665</f>
        <v>FT</v>
      </c>
      <c r="G664" s="41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1"/>
      <c r="AK664" s="41"/>
      <c r="AL664" s="41"/>
      <c r="AM664" s="41"/>
      <c r="AN664" s="41"/>
      <c r="AO664" s="41"/>
      <c r="AP664" s="41"/>
      <c r="AQ664" s="41"/>
      <c r="AR664" s="41"/>
      <c r="AS664" s="41"/>
      <c r="AT664" s="41"/>
      <c r="AU664" s="41"/>
      <c r="AV664" s="41"/>
      <c r="AW664" s="41"/>
      <c r="AX664" s="41"/>
      <c r="AY664" s="41"/>
      <c r="AZ664" s="41"/>
      <c r="BA664" s="41"/>
      <c r="BB664" s="41"/>
      <c r="BC664" s="41"/>
      <c r="BD664" s="41"/>
      <c r="BE664" s="41"/>
      <c r="BF664" s="41"/>
      <c r="BG664" s="41"/>
      <c r="BH664" s="41"/>
      <c r="BJ664" s="41"/>
      <c r="BK664" s="41"/>
      <c r="BL664" s="41"/>
      <c r="BM664" s="41"/>
      <c r="BN664" s="41"/>
      <c r="BO664" s="41"/>
      <c r="BP664" s="41">
        <v>1</v>
      </c>
      <c r="BQ664" s="41"/>
      <c r="BR664" s="41"/>
      <c r="BS664" s="41"/>
      <c r="BT664" s="41"/>
      <c r="BU664" s="41"/>
      <c r="BV664" s="41"/>
      <c r="BW664" s="41"/>
      <c r="BX664" s="41"/>
      <c r="BY664" s="41"/>
      <c r="BZ664" s="41"/>
      <c r="CA664" s="41"/>
      <c r="CB664" s="41"/>
      <c r="CC664" s="41"/>
      <c r="CD664" s="41"/>
      <c r="CE664" s="41"/>
      <c r="CF664" s="41"/>
      <c r="CG664" s="41"/>
      <c r="CH664" s="41"/>
      <c r="CI664" s="41"/>
      <c r="CJ664" s="41"/>
      <c r="CK664" s="41"/>
      <c r="CL664" s="41"/>
      <c r="CM664" s="41"/>
      <c r="CN664" s="41"/>
      <c r="CO664" s="41"/>
      <c r="CP664" s="41"/>
      <c r="CQ664" s="41"/>
      <c r="CR664" s="41"/>
      <c r="CS664" s="41"/>
      <c r="CT664" s="41"/>
      <c r="CU664" s="41"/>
      <c r="CV664" s="41"/>
      <c r="CW664" s="41"/>
      <c r="CX664" s="41"/>
      <c r="CY664" s="41"/>
      <c r="CZ664" s="41"/>
      <c r="DA664" s="41"/>
      <c r="DB664" s="41"/>
      <c r="DC664" s="41"/>
      <c r="DD664" s="41"/>
      <c r="DE664" s="41"/>
      <c r="DF664" s="41"/>
      <c r="DG664" s="41"/>
      <c r="DH664" s="41"/>
      <c r="DI664" s="41"/>
      <c r="DJ664" s="41"/>
      <c r="DK664" s="41"/>
      <c r="DL664" s="41"/>
      <c r="DM664" s="41"/>
      <c r="DN664" s="41"/>
      <c r="DO664" s="41"/>
      <c r="DP664" s="41"/>
      <c r="DQ664" s="41"/>
      <c r="DR664" s="41"/>
      <c r="DS664" s="43"/>
      <c r="DT664" s="44">
        <f t="shared" ref="DT664" si="646">SUM(F664:DR664)</f>
        <v>1</v>
      </c>
    </row>
    <row r="665" spans="2:124" s="13" customFormat="1">
      <c r="B665" s="4">
        <f>'6.1Personnel List'!B666</f>
        <v>653</v>
      </c>
      <c r="C665" s="45" t="s">
        <v>870</v>
      </c>
      <c r="D665" s="45" t="str">
        <f>'6.1Personnel List'!D666</f>
        <v>Medical Equipment Technician I</v>
      </c>
      <c r="E665" s="45" t="str">
        <f>'6.1Personnel List'!H666</f>
        <v>FT</v>
      </c>
      <c r="G665" s="41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  <c r="AA665" s="41"/>
      <c r="AB665" s="41"/>
      <c r="AC665" s="41"/>
      <c r="AD665" s="41"/>
      <c r="AE665" s="41"/>
      <c r="AF665" s="41"/>
      <c r="AG665" s="41"/>
      <c r="AH665" s="41"/>
      <c r="AI665" s="41"/>
      <c r="AJ665" s="41"/>
      <c r="AK665" s="41"/>
      <c r="AL665" s="41"/>
      <c r="AM665" s="41"/>
      <c r="AN665" s="41"/>
      <c r="AO665" s="41"/>
      <c r="AP665" s="41"/>
      <c r="AQ665" s="41"/>
      <c r="AR665" s="41"/>
      <c r="AS665" s="41"/>
      <c r="AT665" s="41"/>
      <c r="AU665" s="41"/>
      <c r="AV665" s="41"/>
      <c r="AW665" s="41"/>
      <c r="AX665" s="41"/>
      <c r="AY665" s="41"/>
      <c r="AZ665" s="41"/>
      <c r="BA665" s="41"/>
      <c r="BB665" s="41"/>
      <c r="BC665" s="41"/>
      <c r="BD665" s="41"/>
      <c r="BE665" s="41"/>
      <c r="BF665" s="41"/>
      <c r="BG665" s="41"/>
      <c r="BH665" s="41"/>
      <c r="BJ665" s="41"/>
      <c r="BK665" s="41"/>
      <c r="BL665" s="41"/>
      <c r="BM665" s="41"/>
      <c r="BN665" s="41"/>
      <c r="BO665" s="41"/>
      <c r="BP665" s="41">
        <v>1</v>
      </c>
      <c r="BQ665" s="41"/>
      <c r="BR665" s="41"/>
      <c r="BS665" s="41"/>
      <c r="BT665" s="41"/>
      <c r="BU665" s="41"/>
      <c r="BV665" s="41"/>
      <c r="BW665" s="41"/>
      <c r="BX665" s="41"/>
      <c r="BY665" s="41"/>
      <c r="BZ665" s="41"/>
      <c r="CA665" s="41"/>
      <c r="CB665" s="41"/>
      <c r="CC665" s="41"/>
      <c r="CD665" s="41"/>
      <c r="CE665" s="41"/>
      <c r="CF665" s="41"/>
      <c r="CG665" s="41"/>
      <c r="CH665" s="41"/>
      <c r="CI665" s="41"/>
      <c r="CJ665" s="41"/>
      <c r="CK665" s="41"/>
      <c r="CL665" s="41"/>
      <c r="CM665" s="41"/>
      <c r="CN665" s="41"/>
      <c r="CO665" s="41"/>
      <c r="CP665" s="41"/>
      <c r="CQ665" s="41"/>
      <c r="CR665" s="41"/>
      <c r="CS665" s="41"/>
      <c r="CT665" s="41"/>
      <c r="CU665" s="41"/>
      <c r="CV665" s="41"/>
      <c r="CW665" s="41"/>
      <c r="CX665" s="41"/>
      <c r="CY665" s="41"/>
      <c r="CZ665" s="41"/>
      <c r="DA665" s="41"/>
      <c r="DB665" s="41"/>
      <c r="DC665" s="41"/>
      <c r="DD665" s="41"/>
      <c r="DE665" s="41"/>
      <c r="DF665" s="41"/>
      <c r="DG665" s="41"/>
      <c r="DH665" s="41"/>
      <c r="DI665" s="41"/>
      <c r="DJ665" s="41"/>
      <c r="DK665" s="41"/>
      <c r="DL665" s="41"/>
      <c r="DM665" s="41"/>
      <c r="DN665" s="41"/>
      <c r="DO665" s="41"/>
      <c r="DP665" s="41"/>
      <c r="DQ665" s="41"/>
      <c r="DR665" s="41"/>
      <c r="DS665" s="43"/>
      <c r="DT665" s="44">
        <f t="shared" ref="DT665" si="647">SUM(F665:DR665)</f>
        <v>1</v>
      </c>
    </row>
    <row r="666" spans="2:124" s="13" customFormat="1">
      <c r="B666" s="4">
        <f>'6.1Personnel List'!B667</f>
        <v>654</v>
      </c>
      <c r="C666" s="45" t="s">
        <v>872</v>
      </c>
      <c r="D666" s="45" t="str">
        <f>'6.1Personnel List'!D667</f>
        <v>Medical Equipment Technician I</v>
      </c>
      <c r="E666" s="45" t="str">
        <f>'6.1Personnel List'!H667</f>
        <v>FT</v>
      </c>
      <c r="G666" s="41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  <c r="AA666" s="41"/>
      <c r="AB666" s="41"/>
      <c r="AC666" s="41"/>
      <c r="AD666" s="41"/>
      <c r="AE666" s="41"/>
      <c r="AF666" s="41"/>
      <c r="AG666" s="41"/>
      <c r="AH666" s="41"/>
      <c r="AI666" s="41"/>
      <c r="AJ666" s="41"/>
      <c r="AK666" s="41"/>
      <c r="AL666" s="41"/>
      <c r="AM666" s="41"/>
      <c r="AN666" s="41"/>
      <c r="AO666" s="41"/>
      <c r="AP666" s="41"/>
      <c r="AQ666" s="41"/>
      <c r="AR666" s="41"/>
      <c r="AS666" s="41"/>
      <c r="AT666" s="41"/>
      <c r="AU666" s="41"/>
      <c r="AV666" s="41"/>
      <c r="AW666" s="41"/>
      <c r="AX666" s="41"/>
      <c r="AY666" s="41"/>
      <c r="AZ666" s="41"/>
      <c r="BA666" s="41"/>
      <c r="BB666" s="41"/>
      <c r="BC666" s="41"/>
      <c r="BD666" s="41"/>
      <c r="BE666" s="41"/>
      <c r="BF666" s="41"/>
      <c r="BG666" s="41"/>
      <c r="BH666" s="41"/>
      <c r="BJ666" s="41"/>
      <c r="BK666" s="41"/>
      <c r="BL666" s="41"/>
      <c r="BM666" s="41"/>
      <c r="BN666" s="41"/>
      <c r="BO666" s="41"/>
      <c r="BP666" s="41">
        <v>1</v>
      </c>
      <c r="BQ666" s="41"/>
      <c r="BR666" s="41"/>
      <c r="BS666" s="41"/>
      <c r="BT666" s="41"/>
      <c r="BU666" s="41"/>
      <c r="BV666" s="41"/>
      <c r="BW666" s="41"/>
      <c r="BX666" s="41"/>
      <c r="BY666" s="41"/>
      <c r="BZ666" s="41"/>
      <c r="CA666" s="41"/>
      <c r="CB666" s="41"/>
      <c r="CC666" s="41"/>
      <c r="CD666" s="41"/>
      <c r="CE666" s="41"/>
      <c r="CF666" s="41"/>
      <c r="CG666" s="41"/>
      <c r="CH666" s="41"/>
      <c r="CI666" s="41"/>
      <c r="CJ666" s="41"/>
      <c r="CK666" s="41"/>
      <c r="CL666" s="41"/>
      <c r="CM666" s="41"/>
      <c r="CN666" s="41"/>
      <c r="CO666" s="41"/>
      <c r="CP666" s="41"/>
      <c r="CQ666" s="41"/>
      <c r="CR666" s="41"/>
      <c r="CS666" s="41"/>
      <c r="CT666" s="41"/>
      <c r="CU666" s="41"/>
      <c r="CV666" s="41"/>
      <c r="CW666" s="41"/>
      <c r="CX666" s="41"/>
      <c r="CY666" s="41"/>
      <c r="CZ666" s="41"/>
      <c r="DA666" s="41"/>
      <c r="DB666" s="41"/>
      <c r="DC666" s="41"/>
      <c r="DD666" s="41"/>
      <c r="DE666" s="41"/>
      <c r="DF666" s="41"/>
      <c r="DG666" s="41"/>
      <c r="DH666" s="41"/>
      <c r="DI666" s="41"/>
      <c r="DJ666" s="41"/>
      <c r="DK666" s="41"/>
      <c r="DL666" s="41"/>
      <c r="DM666" s="41"/>
      <c r="DN666" s="41"/>
      <c r="DO666" s="41"/>
      <c r="DP666" s="41"/>
      <c r="DQ666" s="41"/>
      <c r="DR666" s="41"/>
      <c r="DS666" s="43"/>
      <c r="DT666" s="44">
        <f t="shared" ref="DT666" si="648">SUM(F666:DR666)</f>
        <v>1</v>
      </c>
    </row>
    <row r="667" spans="2:124" s="13" customFormat="1">
      <c r="B667" s="4">
        <f>'6.1Personnel List'!B668</f>
        <v>655</v>
      </c>
      <c r="C667" s="45" t="s">
        <v>873</v>
      </c>
      <c r="D667" s="45" t="str">
        <f>'6.1Personnel List'!D668</f>
        <v>Medical Equipment Technician I</v>
      </c>
      <c r="E667" s="45" t="str">
        <f>'6.1Personnel List'!H668</f>
        <v>FT</v>
      </c>
      <c r="G667" s="41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  <c r="AA667" s="41"/>
      <c r="AB667" s="41"/>
      <c r="AC667" s="41"/>
      <c r="AD667" s="41"/>
      <c r="AE667" s="41"/>
      <c r="AF667" s="41"/>
      <c r="AG667" s="41"/>
      <c r="AH667" s="41"/>
      <c r="AI667" s="41"/>
      <c r="AJ667" s="41"/>
      <c r="AK667" s="41"/>
      <c r="AL667" s="41"/>
      <c r="AM667" s="41"/>
      <c r="AN667" s="41"/>
      <c r="AO667" s="41"/>
      <c r="AP667" s="41"/>
      <c r="AQ667" s="41"/>
      <c r="AR667" s="41"/>
      <c r="AS667" s="41"/>
      <c r="AT667" s="41"/>
      <c r="AU667" s="41"/>
      <c r="AV667" s="41"/>
      <c r="AW667" s="41"/>
      <c r="AX667" s="41"/>
      <c r="AY667" s="41"/>
      <c r="AZ667" s="41"/>
      <c r="BA667" s="41"/>
      <c r="BB667" s="41"/>
      <c r="BC667" s="41"/>
      <c r="BD667" s="41"/>
      <c r="BE667" s="41"/>
      <c r="BF667" s="41"/>
      <c r="BG667" s="41"/>
      <c r="BH667" s="41"/>
      <c r="BJ667" s="41"/>
      <c r="BK667" s="41"/>
      <c r="BL667" s="41"/>
      <c r="BM667" s="41"/>
      <c r="BN667" s="41"/>
      <c r="BO667" s="41"/>
      <c r="BP667" s="41">
        <v>1</v>
      </c>
      <c r="BQ667" s="41"/>
      <c r="BR667" s="41"/>
      <c r="BS667" s="41"/>
      <c r="BT667" s="41"/>
      <c r="BU667" s="41"/>
      <c r="BV667" s="41"/>
      <c r="BW667" s="41"/>
      <c r="BX667" s="41"/>
      <c r="BY667" s="41"/>
      <c r="BZ667" s="41"/>
      <c r="CA667" s="41"/>
      <c r="CB667" s="41"/>
      <c r="CC667" s="41"/>
      <c r="CD667" s="41"/>
      <c r="CE667" s="41"/>
      <c r="CF667" s="41"/>
      <c r="CG667" s="41"/>
      <c r="CH667" s="41"/>
      <c r="CI667" s="41"/>
      <c r="CJ667" s="41"/>
      <c r="CK667" s="41"/>
      <c r="CL667" s="41"/>
      <c r="CM667" s="41"/>
      <c r="CN667" s="41"/>
      <c r="CO667" s="41"/>
      <c r="CP667" s="41"/>
      <c r="CQ667" s="41"/>
      <c r="CR667" s="41"/>
      <c r="CS667" s="41"/>
      <c r="CT667" s="41"/>
      <c r="CU667" s="41"/>
      <c r="CV667" s="41"/>
      <c r="CW667" s="41"/>
      <c r="CX667" s="41"/>
      <c r="CY667" s="41"/>
      <c r="CZ667" s="41"/>
      <c r="DA667" s="41"/>
      <c r="DB667" s="41"/>
      <c r="DC667" s="41"/>
      <c r="DD667" s="41"/>
      <c r="DE667" s="41"/>
      <c r="DF667" s="41"/>
      <c r="DG667" s="41"/>
      <c r="DH667" s="41"/>
      <c r="DI667" s="41"/>
      <c r="DJ667" s="41"/>
      <c r="DK667" s="41"/>
      <c r="DL667" s="41"/>
      <c r="DM667" s="41"/>
      <c r="DN667" s="41"/>
      <c r="DO667" s="41"/>
      <c r="DP667" s="41"/>
      <c r="DQ667" s="41"/>
      <c r="DR667" s="41"/>
      <c r="DS667" s="43"/>
      <c r="DT667" s="44">
        <f t="shared" ref="DT667" si="649">SUM(F667:DR667)</f>
        <v>1</v>
      </c>
    </row>
    <row r="668" spans="2:124" s="13" customFormat="1">
      <c r="B668" s="4">
        <f>'6.1Personnel List'!B669</f>
        <v>656</v>
      </c>
      <c r="C668" s="45" t="s">
        <v>874</v>
      </c>
      <c r="D668" s="45" t="str">
        <f>'6.1Personnel List'!D669</f>
        <v>Administrative Aide VI</v>
      </c>
      <c r="E668" s="45" t="str">
        <f>'6.1Personnel List'!H669</f>
        <v>FT</v>
      </c>
      <c r="G668" s="41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  <c r="AA668" s="41"/>
      <c r="AB668" s="41"/>
      <c r="AC668" s="41"/>
      <c r="AD668" s="41"/>
      <c r="AE668" s="41"/>
      <c r="AF668" s="41"/>
      <c r="AG668" s="41"/>
      <c r="AH668" s="41"/>
      <c r="AI668" s="41"/>
      <c r="AJ668" s="41"/>
      <c r="AK668" s="41"/>
      <c r="AL668" s="41"/>
      <c r="AM668" s="41"/>
      <c r="AN668" s="41"/>
      <c r="AO668" s="41"/>
      <c r="AP668" s="41"/>
      <c r="AQ668" s="41"/>
      <c r="AR668" s="41"/>
      <c r="AS668" s="41"/>
      <c r="AT668" s="41"/>
      <c r="AU668" s="41"/>
      <c r="AV668" s="41"/>
      <c r="AW668" s="41"/>
      <c r="AX668" s="41"/>
      <c r="AY668" s="41"/>
      <c r="AZ668" s="41"/>
      <c r="BA668" s="41"/>
      <c r="BB668" s="41"/>
      <c r="BC668" s="41"/>
      <c r="BD668" s="41"/>
      <c r="BE668" s="41"/>
      <c r="BF668" s="41"/>
      <c r="BG668" s="41"/>
      <c r="BH668" s="41"/>
      <c r="BJ668" s="41"/>
      <c r="BK668" s="41"/>
      <c r="BL668" s="41"/>
      <c r="BM668" s="41"/>
      <c r="BN668" s="41"/>
      <c r="BO668" s="41"/>
      <c r="BP668" s="41">
        <v>1</v>
      </c>
      <c r="BQ668" s="41"/>
      <c r="BR668" s="41"/>
      <c r="BS668" s="41"/>
      <c r="BT668" s="41"/>
      <c r="BU668" s="41"/>
      <c r="BV668" s="41"/>
      <c r="BW668" s="41"/>
      <c r="BX668" s="41"/>
      <c r="BY668" s="41"/>
      <c r="BZ668" s="41"/>
      <c r="CA668" s="41"/>
      <c r="CB668" s="41"/>
      <c r="CC668" s="41"/>
      <c r="CD668" s="41"/>
      <c r="CE668" s="41"/>
      <c r="CF668" s="41"/>
      <c r="CG668" s="41"/>
      <c r="CH668" s="41"/>
      <c r="CI668" s="41"/>
      <c r="CJ668" s="41"/>
      <c r="CK668" s="41"/>
      <c r="CL668" s="41"/>
      <c r="CM668" s="41"/>
      <c r="CN668" s="41"/>
      <c r="CO668" s="41"/>
      <c r="CP668" s="41"/>
      <c r="CQ668" s="41"/>
      <c r="CR668" s="41"/>
      <c r="CS668" s="41"/>
      <c r="CT668" s="41"/>
      <c r="CU668" s="41"/>
      <c r="CV668" s="41"/>
      <c r="CW668" s="41"/>
      <c r="CX668" s="41"/>
      <c r="CY668" s="41"/>
      <c r="CZ668" s="41"/>
      <c r="DA668" s="41"/>
      <c r="DB668" s="41"/>
      <c r="DC668" s="41"/>
      <c r="DD668" s="41"/>
      <c r="DE668" s="41"/>
      <c r="DF668" s="41"/>
      <c r="DG668" s="41"/>
      <c r="DH668" s="41"/>
      <c r="DI668" s="41"/>
      <c r="DJ668" s="41"/>
      <c r="DK668" s="41"/>
      <c r="DL668" s="41"/>
      <c r="DM668" s="41"/>
      <c r="DN668" s="41"/>
      <c r="DO668" s="41"/>
      <c r="DP668" s="41"/>
      <c r="DQ668" s="41"/>
      <c r="DR668" s="41"/>
      <c r="DS668" s="43"/>
      <c r="DT668" s="44">
        <f t="shared" ref="DT668" si="650">SUM(F668:DR668)</f>
        <v>1</v>
      </c>
    </row>
    <row r="669" spans="2:124" s="13" customFormat="1">
      <c r="B669" s="4">
        <f>'6.1Personnel List'!B670</f>
        <v>657</v>
      </c>
      <c r="C669" s="45" t="s">
        <v>875</v>
      </c>
      <c r="D669" s="45" t="str">
        <f>'6.1Personnel List'!D670</f>
        <v>Administrative Aide VI</v>
      </c>
      <c r="E669" s="45" t="str">
        <f>'6.1Personnel List'!H670</f>
        <v>FT</v>
      </c>
      <c r="G669" s="41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  <c r="AA669" s="41"/>
      <c r="AB669" s="41"/>
      <c r="AC669" s="41"/>
      <c r="AD669" s="41"/>
      <c r="AE669" s="41"/>
      <c r="AF669" s="41"/>
      <c r="AG669" s="41"/>
      <c r="AH669" s="41"/>
      <c r="AI669" s="41"/>
      <c r="AJ669" s="41"/>
      <c r="AK669" s="41"/>
      <c r="AL669" s="41"/>
      <c r="AM669" s="41"/>
      <c r="AN669" s="41"/>
      <c r="AO669" s="41"/>
      <c r="AP669" s="41"/>
      <c r="AQ669" s="41"/>
      <c r="AR669" s="41"/>
      <c r="AS669" s="41"/>
      <c r="AT669" s="41"/>
      <c r="AU669" s="41"/>
      <c r="AV669" s="41"/>
      <c r="AW669" s="41"/>
      <c r="AX669" s="41"/>
      <c r="AY669" s="41"/>
      <c r="AZ669" s="41"/>
      <c r="BA669" s="41"/>
      <c r="BB669" s="41"/>
      <c r="BC669" s="41"/>
      <c r="BD669" s="41"/>
      <c r="BE669" s="41"/>
      <c r="BF669" s="41"/>
      <c r="BG669" s="41"/>
      <c r="BH669" s="41"/>
      <c r="BJ669" s="41"/>
      <c r="BK669" s="41"/>
      <c r="BL669" s="41"/>
      <c r="BM669" s="41"/>
      <c r="BN669" s="41"/>
      <c r="BO669" s="41"/>
      <c r="BP669" s="41">
        <v>1</v>
      </c>
      <c r="BQ669" s="41"/>
      <c r="BR669" s="41"/>
      <c r="BS669" s="41"/>
      <c r="BT669" s="41"/>
      <c r="BU669" s="41"/>
      <c r="BV669" s="41"/>
      <c r="BW669" s="41"/>
      <c r="BX669" s="41"/>
      <c r="BY669" s="41"/>
      <c r="BZ669" s="41"/>
      <c r="CA669" s="41"/>
      <c r="CB669" s="41"/>
      <c r="CC669" s="41"/>
      <c r="CD669" s="41"/>
      <c r="CE669" s="41"/>
      <c r="CF669" s="41"/>
      <c r="CG669" s="41"/>
      <c r="CH669" s="41"/>
      <c r="CI669" s="41"/>
      <c r="CJ669" s="41"/>
      <c r="CK669" s="41"/>
      <c r="CL669" s="41"/>
      <c r="CM669" s="41"/>
      <c r="CN669" s="41"/>
      <c r="CO669" s="41"/>
      <c r="CP669" s="41"/>
      <c r="CQ669" s="41"/>
      <c r="CR669" s="41"/>
      <c r="CS669" s="41"/>
      <c r="CT669" s="41"/>
      <c r="CU669" s="41"/>
      <c r="CV669" s="41"/>
      <c r="CW669" s="41"/>
      <c r="CX669" s="41"/>
      <c r="CY669" s="41"/>
      <c r="CZ669" s="41"/>
      <c r="DA669" s="41"/>
      <c r="DB669" s="41"/>
      <c r="DC669" s="41"/>
      <c r="DD669" s="41"/>
      <c r="DE669" s="41"/>
      <c r="DF669" s="41"/>
      <c r="DG669" s="41"/>
      <c r="DH669" s="41"/>
      <c r="DI669" s="41"/>
      <c r="DJ669" s="41"/>
      <c r="DK669" s="41"/>
      <c r="DL669" s="41"/>
      <c r="DM669" s="41"/>
      <c r="DN669" s="41"/>
      <c r="DO669" s="41"/>
      <c r="DP669" s="41"/>
      <c r="DQ669" s="41"/>
      <c r="DR669" s="41"/>
      <c r="DS669" s="43"/>
      <c r="DT669" s="44">
        <f t="shared" ref="DT669" si="651">SUM(F669:DR669)</f>
        <v>1</v>
      </c>
    </row>
    <row r="670" spans="2:124" s="13" customFormat="1">
      <c r="B670" s="4">
        <f>'6.1Personnel List'!B671</f>
        <v>658</v>
      </c>
      <c r="C670" s="45" t="s">
        <v>876</v>
      </c>
      <c r="D670" s="45" t="str">
        <f>'6.1Personnel List'!D671</f>
        <v>Administrative Aide VI</v>
      </c>
      <c r="E670" s="45" t="str">
        <f>'6.1Personnel List'!H671</f>
        <v>FT</v>
      </c>
      <c r="G670" s="41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1"/>
      <c r="AH670" s="41"/>
      <c r="AI670" s="41"/>
      <c r="AJ670" s="41"/>
      <c r="AK670" s="41"/>
      <c r="AL670" s="41"/>
      <c r="AM670" s="41"/>
      <c r="AN670" s="41"/>
      <c r="AO670" s="41"/>
      <c r="AP670" s="41"/>
      <c r="AQ670" s="41"/>
      <c r="AR670" s="41"/>
      <c r="AS670" s="41"/>
      <c r="AT670" s="41"/>
      <c r="AU670" s="41"/>
      <c r="AV670" s="41"/>
      <c r="AW670" s="41"/>
      <c r="AX670" s="41"/>
      <c r="AY670" s="41"/>
      <c r="AZ670" s="41"/>
      <c r="BA670" s="41"/>
      <c r="BB670" s="41"/>
      <c r="BC670" s="41"/>
      <c r="BD670" s="41"/>
      <c r="BE670" s="41"/>
      <c r="BF670" s="41"/>
      <c r="BG670" s="41"/>
      <c r="BH670" s="41"/>
      <c r="BJ670" s="41"/>
      <c r="BK670" s="41"/>
      <c r="BL670" s="41"/>
      <c r="BM670" s="41"/>
      <c r="BN670" s="41"/>
      <c r="BO670" s="41"/>
      <c r="BP670" s="41">
        <v>1</v>
      </c>
      <c r="BQ670" s="41"/>
      <c r="BR670" s="41"/>
      <c r="BS670" s="41"/>
      <c r="BT670" s="41"/>
      <c r="BU670" s="41"/>
      <c r="BV670" s="41"/>
      <c r="BW670" s="41"/>
      <c r="BX670" s="41"/>
      <c r="BY670" s="41"/>
      <c r="BZ670" s="41"/>
      <c r="CA670" s="41"/>
      <c r="CB670" s="41"/>
      <c r="CC670" s="41"/>
      <c r="CD670" s="41"/>
      <c r="CE670" s="41"/>
      <c r="CF670" s="41"/>
      <c r="CG670" s="41"/>
      <c r="CH670" s="41"/>
      <c r="CI670" s="41"/>
      <c r="CJ670" s="41"/>
      <c r="CK670" s="41"/>
      <c r="CL670" s="41"/>
      <c r="CM670" s="41"/>
      <c r="CN670" s="41"/>
      <c r="CO670" s="41"/>
      <c r="CP670" s="41"/>
      <c r="CQ670" s="41"/>
      <c r="CR670" s="41"/>
      <c r="CS670" s="41"/>
      <c r="CT670" s="41"/>
      <c r="CU670" s="41"/>
      <c r="CV670" s="41"/>
      <c r="CW670" s="41"/>
      <c r="CX670" s="41"/>
      <c r="CY670" s="41"/>
      <c r="CZ670" s="41"/>
      <c r="DA670" s="41"/>
      <c r="DB670" s="41"/>
      <c r="DC670" s="41"/>
      <c r="DD670" s="41"/>
      <c r="DE670" s="41"/>
      <c r="DF670" s="41"/>
      <c r="DG670" s="41"/>
      <c r="DH670" s="41"/>
      <c r="DI670" s="41"/>
      <c r="DJ670" s="41"/>
      <c r="DK670" s="41"/>
      <c r="DL670" s="41"/>
      <c r="DM670" s="41"/>
      <c r="DN670" s="41"/>
      <c r="DO670" s="41"/>
      <c r="DP670" s="41"/>
      <c r="DQ670" s="41"/>
      <c r="DR670" s="41"/>
      <c r="DS670" s="43"/>
      <c r="DT670" s="44">
        <f t="shared" ref="DT670" si="652">SUM(F670:DR670)</f>
        <v>1</v>
      </c>
    </row>
    <row r="671" spans="2:124" s="13" customFormat="1">
      <c r="B671" s="4">
        <f>'6.1Personnel List'!B672</f>
        <v>659</v>
      </c>
      <c r="C671" s="45" t="s">
        <v>877</v>
      </c>
      <c r="D671" s="45" t="str">
        <f>'6.1Personnel List'!D672</f>
        <v>Administrative Aide VI</v>
      </c>
      <c r="E671" s="45" t="str">
        <f>'6.1Personnel List'!H672</f>
        <v>FT</v>
      </c>
      <c r="G671" s="41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1"/>
      <c r="AH671" s="41"/>
      <c r="AI671" s="41"/>
      <c r="AJ671" s="41"/>
      <c r="AK671" s="41"/>
      <c r="AL671" s="41"/>
      <c r="AM671" s="41"/>
      <c r="AN671" s="41"/>
      <c r="AO671" s="41"/>
      <c r="AP671" s="41"/>
      <c r="AQ671" s="41"/>
      <c r="AR671" s="41"/>
      <c r="AS671" s="41"/>
      <c r="AT671" s="41"/>
      <c r="AU671" s="41"/>
      <c r="AV671" s="41"/>
      <c r="AW671" s="41"/>
      <c r="AX671" s="41"/>
      <c r="AY671" s="41"/>
      <c r="AZ671" s="41"/>
      <c r="BA671" s="41"/>
      <c r="BB671" s="41"/>
      <c r="BC671" s="41"/>
      <c r="BD671" s="41"/>
      <c r="BE671" s="41"/>
      <c r="BF671" s="41"/>
      <c r="BG671" s="41"/>
      <c r="BH671" s="41"/>
      <c r="BJ671" s="41"/>
      <c r="BK671" s="41"/>
      <c r="BL671" s="41"/>
      <c r="BM671" s="41"/>
      <c r="BN671" s="41"/>
      <c r="BO671" s="41"/>
      <c r="BP671" s="41">
        <v>1</v>
      </c>
      <c r="BQ671" s="41"/>
      <c r="BR671" s="41"/>
      <c r="BS671" s="41"/>
      <c r="BT671" s="41"/>
      <c r="BU671" s="41"/>
      <c r="BV671" s="41"/>
      <c r="BW671" s="41"/>
      <c r="BX671" s="41"/>
      <c r="BY671" s="41"/>
      <c r="BZ671" s="41"/>
      <c r="CA671" s="41"/>
      <c r="CB671" s="41"/>
      <c r="CC671" s="41"/>
      <c r="CD671" s="41"/>
      <c r="CE671" s="41"/>
      <c r="CF671" s="41"/>
      <c r="CG671" s="41"/>
      <c r="CH671" s="41"/>
      <c r="CI671" s="41"/>
      <c r="CJ671" s="41"/>
      <c r="CK671" s="41"/>
      <c r="CL671" s="41"/>
      <c r="CM671" s="41"/>
      <c r="CN671" s="41"/>
      <c r="CO671" s="41"/>
      <c r="CP671" s="41"/>
      <c r="CQ671" s="41"/>
      <c r="CR671" s="41"/>
      <c r="CS671" s="41"/>
      <c r="CT671" s="41"/>
      <c r="CU671" s="41"/>
      <c r="CV671" s="41"/>
      <c r="CW671" s="41"/>
      <c r="CX671" s="41"/>
      <c r="CY671" s="41"/>
      <c r="CZ671" s="41"/>
      <c r="DA671" s="41"/>
      <c r="DB671" s="41"/>
      <c r="DC671" s="41"/>
      <c r="DD671" s="41"/>
      <c r="DE671" s="41"/>
      <c r="DF671" s="41"/>
      <c r="DG671" s="41"/>
      <c r="DH671" s="41"/>
      <c r="DI671" s="41"/>
      <c r="DJ671" s="41"/>
      <c r="DK671" s="41"/>
      <c r="DL671" s="41"/>
      <c r="DM671" s="41"/>
      <c r="DN671" s="41"/>
      <c r="DO671" s="41"/>
      <c r="DP671" s="41"/>
      <c r="DQ671" s="41"/>
      <c r="DR671" s="41"/>
      <c r="DS671" s="43"/>
      <c r="DT671" s="44">
        <f t="shared" ref="DT671" si="653">SUM(F671:DR671)</f>
        <v>1</v>
      </c>
    </row>
    <row r="672" spans="2:124" s="13" customFormat="1">
      <c r="B672" s="4">
        <f>'6.1Personnel List'!B673</f>
        <v>660</v>
      </c>
      <c r="C672" s="45" t="s">
        <v>878</v>
      </c>
      <c r="D672" s="45" t="str">
        <f>'6.1Personnel List'!D673</f>
        <v>Administrative Aide VI</v>
      </c>
      <c r="E672" s="45" t="str">
        <f>'6.1Personnel List'!H673</f>
        <v>FT</v>
      </c>
      <c r="G672" s="41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1"/>
      <c r="AH672" s="41"/>
      <c r="AI672" s="41"/>
      <c r="AJ672" s="41"/>
      <c r="AK672" s="41"/>
      <c r="AL672" s="41"/>
      <c r="AM672" s="41"/>
      <c r="AN672" s="41"/>
      <c r="AO672" s="41"/>
      <c r="AP672" s="41"/>
      <c r="AQ672" s="41"/>
      <c r="AR672" s="41"/>
      <c r="AS672" s="41"/>
      <c r="AT672" s="41"/>
      <c r="AU672" s="41"/>
      <c r="AV672" s="41"/>
      <c r="AW672" s="41"/>
      <c r="AX672" s="41"/>
      <c r="AY672" s="41"/>
      <c r="AZ672" s="41"/>
      <c r="BA672" s="41"/>
      <c r="BB672" s="41"/>
      <c r="BC672" s="41"/>
      <c r="BD672" s="41"/>
      <c r="BE672" s="41"/>
      <c r="BF672" s="41"/>
      <c r="BG672" s="41"/>
      <c r="BH672" s="41"/>
      <c r="BJ672" s="41"/>
      <c r="BK672" s="41"/>
      <c r="BL672" s="41"/>
      <c r="BM672" s="41"/>
      <c r="BN672" s="41"/>
      <c r="BO672" s="41"/>
      <c r="BP672" s="41">
        <v>1</v>
      </c>
      <c r="BQ672" s="41"/>
      <c r="BR672" s="41"/>
      <c r="BS672" s="41"/>
      <c r="BT672" s="41"/>
      <c r="BU672" s="41"/>
      <c r="BV672" s="41"/>
      <c r="BW672" s="41"/>
      <c r="BX672" s="41"/>
      <c r="BY672" s="41"/>
      <c r="BZ672" s="41"/>
      <c r="CA672" s="41"/>
      <c r="CB672" s="41"/>
      <c r="CC672" s="41"/>
      <c r="CD672" s="41"/>
      <c r="CE672" s="41"/>
      <c r="CF672" s="41"/>
      <c r="CG672" s="41"/>
      <c r="CH672" s="41"/>
      <c r="CI672" s="41"/>
      <c r="CJ672" s="41"/>
      <c r="CK672" s="41"/>
      <c r="CL672" s="41"/>
      <c r="CM672" s="41"/>
      <c r="CN672" s="41"/>
      <c r="CO672" s="41"/>
      <c r="CP672" s="41"/>
      <c r="CQ672" s="41"/>
      <c r="CR672" s="41"/>
      <c r="CS672" s="41"/>
      <c r="CT672" s="41"/>
      <c r="CU672" s="41"/>
      <c r="CV672" s="41"/>
      <c r="CW672" s="41"/>
      <c r="CX672" s="41"/>
      <c r="CY672" s="41"/>
      <c r="CZ672" s="41"/>
      <c r="DA672" s="41"/>
      <c r="DB672" s="41"/>
      <c r="DC672" s="41"/>
      <c r="DD672" s="41"/>
      <c r="DE672" s="41"/>
      <c r="DF672" s="41"/>
      <c r="DG672" s="41"/>
      <c r="DH672" s="41"/>
      <c r="DI672" s="41"/>
      <c r="DJ672" s="41"/>
      <c r="DK672" s="41"/>
      <c r="DL672" s="41"/>
      <c r="DM672" s="41"/>
      <c r="DN672" s="41"/>
      <c r="DO672" s="41"/>
      <c r="DP672" s="41"/>
      <c r="DQ672" s="41"/>
      <c r="DR672" s="41"/>
      <c r="DS672" s="43"/>
      <c r="DT672" s="44">
        <f t="shared" ref="DT672" si="654">SUM(F672:DR672)</f>
        <v>1</v>
      </c>
    </row>
    <row r="673" spans="2:124" s="13" customFormat="1">
      <c r="B673" s="4">
        <f>'6.1Personnel List'!B674</f>
        <v>661</v>
      </c>
      <c r="C673" s="45" t="s">
        <v>879</v>
      </c>
      <c r="D673" s="45" t="str">
        <f>'6.1Personnel List'!D674</f>
        <v>Administrative Aide VI</v>
      </c>
      <c r="E673" s="45" t="str">
        <f>'6.1Personnel List'!H674</f>
        <v>FT</v>
      </c>
      <c r="G673" s="41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1"/>
      <c r="AK673" s="41"/>
      <c r="AL673" s="41"/>
      <c r="AM673" s="41"/>
      <c r="AN673" s="41"/>
      <c r="AO673" s="41"/>
      <c r="AP673" s="41"/>
      <c r="AQ673" s="41"/>
      <c r="AR673" s="41"/>
      <c r="AS673" s="41"/>
      <c r="AT673" s="41"/>
      <c r="AU673" s="41"/>
      <c r="AV673" s="41"/>
      <c r="AW673" s="41"/>
      <c r="AX673" s="41"/>
      <c r="AY673" s="41"/>
      <c r="AZ673" s="41"/>
      <c r="BA673" s="41"/>
      <c r="BB673" s="41"/>
      <c r="BC673" s="41"/>
      <c r="BD673" s="41"/>
      <c r="BE673" s="41"/>
      <c r="BF673" s="41"/>
      <c r="BG673" s="41"/>
      <c r="BH673" s="41"/>
      <c r="BJ673" s="41"/>
      <c r="BK673" s="41"/>
      <c r="BL673" s="41"/>
      <c r="BM673" s="41"/>
      <c r="BN673" s="41"/>
      <c r="BO673" s="41"/>
      <c r="BP673" s="41">
        <v>0.5</v>
      </c>
      <c r="BQ673" s="41"/>
      <c r="BR673" s="41"/>
      <c r="BS673" s="41"/>
      <c r="BT673" s="41"/>
      <c r="BU673" s="41"/>
      <c r="BV673" s="41"/>
      <c r="BW673" s="41"/>
      <c r="BX673" s="41"/>
      <c r="BY673" s="41"/>
      <c r="BZ673" s="41"/>
      <c r="CA673" s="41">
        <v>0.5</v>
      </c>
      <c r="CB673" s="41"/>
      <c r="CC673" s="41"/>
      <c r="CD673" s="41"/>
      <c r="CE673" s="41"/>
      <c r="CF673" s="41"/>
      <c r="CG673" s="41"/>
      <c r="CH673" s="41"/>
      <c r="CI673" s="41"/>
      <c r="CJ673" s="41"/>
      <c r="CK673" s="41"/>
      <c r="CL673" s="41"/>
      <c r="CM673" s="41"/>
      <c r="CN673" s="41"/>
      <c r="CO673" s="41"/>
      <c r="CP673" s="41"/>
      <c r="CQ673" s="41"/>
      <c r="CR673" s="41"/>
      <c r="CS673" s="41"/>
      <c r="CT673" s="41"/>
      <c r="CU673" s="41"/>
      <c r="CV673" s="41"/>
      <c r="CW673" s="41"/>
      <c r="CX673" s="41"/>
      <c r="CY673" s="41"/>
      <c r="CZ673" s="41"/>
      <c r="DA673" s="41"/>
      <c r="DB673" s="41"/>
      <c r="DC673" s="41"/>
      <c r="DD673" s="41"/>
      <c r="DE673" s="41"/>
      <c r="DF673" s="41"/>
      <c r="DG673" s="41"/>
      <c r="DH673" s="41"/>
      <c r="DI673" s="41"/>
      <c r="DJ673" s="41"/>
      <c r="DK673" s="41"/>
      <c r="DL673" s="41"/>
      <c r="DM673" s="41"/>
      <c r="DN673" s="41"/>
      <c r="DO673" s="41"/>
      <c r="DP673" s="41"/>
      <c r="DQ673" s="41"/>
      <c r="DR673" s="41"/>
      <c r="DS673" s="43"/>
      <c r="DT673" s="44">
        <f t="shared" ref="DT673" si="655">SUM(F673:DR673)</f>
        <v>1</v>
      </c>
    </row>
    <row r="674" spans="2:124" s="13" customFormat="1">
      <c r="B674" s="4">
        <f>'6.1Personnel List'!B675</f>
        <v>662</v>
      </c>
      <c r="C674" s="45" t="s">
        <v>880</v>
      </c>
      <c r="D674" s="45" t="str">
        <f>'6.1Personnel List'!D675</f>
        <v>Administrative Aide V</v>
      </c>
      <c r="E674" s="45" t="str">
        <f>'6.1Personnel List'!H675</f>
        <v>FT</v>
      </c>
      <c r="G674" s="41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1"/>
      <c r="AK674" s="41"/>
      <c r="AL674" s="41"/>
      <c r="AM674" s="41"/>
      <c r="AN674" s="41"/>
      <c r="AO674" s="41"/>
      <c r="AP674" s="41"/>
      <c r="AQ674" s="41"/>
      <c r="AR674" s="41"/>
      <c r="AS674" s="41"/>
      <c r="AT674" s="41"/>
      <c r="AU674" s="41"/>
      <c r="AV674" s="41"/>
      <c r="AW674" s="41"/>
      <c r="AX674" s="41"/>
      <c r="AY674" s="41"/>
      <c r="AZ674" s="41"/>
      <c r="BA674" s="41"/>
      <c r="BB674" s="41"/>
      <c r="BC674" s="41"/>
      <c r="BD674" s="41"/>
      <c r="BE674" s="41"/>
      <c r="BF674" s="41"/>
      <c r="BG674" s="41"/>
      <c r="BH674" s="41"/>
      <c r="BJ674" s="41"/>
      <c r="BK674" s="41"/>
      <c r="BL674" s="41"/>
      <c r="BM674" s="41"/>
      <c r="BN674" s="41"/>
      <c r="BO674" s="41"/>
      <c r="BP674" s="41">
        <v>1</v>
      </c>
      <c r="BQ674" s="41"/>
      <c r="BR674" s="41"/>
      <c r="BS674" s="41"/>
      <c r="BT674" s="41"/>
      <c r="BU674" s="41"/>
      <c r="BV674" s="41"/>
      <c r="BW674" s="41"/>
      <c r="BX674" s="41"/>
      <c r="BY674" s="41"/>
      <c r="BZ674" s="41"/>
      <c r="CA674" s="41"/>
      <c r="CB674" s="41"/>
      <c r="CC674" s="41"/>
      <c r="CD674" s="41"/>
      <c r="CE674" s="41"/>
      <c r="CF674" s="41"/>
      <c r="CG674" s="41"/>
      <c r="CH674" s="41"/>
      <c r="CI674" s="41"/>
      <c r="CJ674" s="41"/>
      <c r="CK674" s="41"/>
      <c r="CL674" s="41"/>
      <c r="CM674" s="41"/>
      <c r="CN674" s="41"/>
      <c r="CO674" s="41"/>
      <c r="CP674" s="41"/>
      <c r="CQ674" s="41"/>
      <c r="CR674" s="41"/>
      <c r="CS674" s="41"/>
      <c r="CT674" s="41"/>
      <c r="CU674" s="41"/>
      <c r="CV674" s="41"/>
      <c r="CW674" s="41"/>
      <c r="CX674" s="41"/>
      <c r="CY674" s="41"/>
      <c r="CZ674" s="41"/>
      <c r="DA674" s="41"/>
      <c r="DB674" s="41"/>
      <c r="DC674" s="41"/>
      <c r="DD674" s="41"/>
      <c r="DE674" s="41"/>
      <c r="DF674" s="41"/>
      <c r="DG674" s="41"/>
      <c r="DH674" s="41"/>
      <c r="DI674" s="41"/>
      <c r="DJ674" s="41"/>
      <c r="DK674" s="41"/>
      <c r="DL674" s="41"/>
      <c r="DM674" s="41"/>
      <c r="DN674" s="41"/>
      <c r="DO674" s="41"/>
      <c r="DP674" s="41"/>
      <c r="DQ674" s="41"/>
      <c r="DR674" s="41"/>
      <c r="DS674" s="43"/>
      <c r="DT674" s="44">
        <f t="shared" ref="DT674" si="656">SUM(F674:DR674)</f>
        <v>1</v>
      </c>
    </row>
    <row r="675" spans="2:124" s="13" customFormat="1">
      <c r="B675" s="4">
        <f>'6.1Personnel List'!B676</f>
        <v>663</v>
      </c>
      <c r="C675" s="45" t="s">
        <v>882</v>
      </c>
      <c r="D675" s="45" t="str">
        <f>'6.1Personnel List'!D676</f>
        <v>Administrative Aide V</v>
      </c>
      <c r="E675" s="45" t="str">
        <f>'6.1Personnel List'!H676</f>
        <v>FT</v>
      </c>
      <c r="G675" s="41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1"/>
      <c r="AH675" s="41"/>
      <c r="AI675" s="41"/>
      <c r="AJ675" s="41"/>
      <c r="AK675" s="41"/>
      <c r="AL675" s="41"/>
      <c r="AM675" s="41"/>
      <c r="AN675" s="41"/>
      <c r="AO675" s="41"/>
      <c r="AP675" s="41"/>
      <c r="AQ675" s="41"/>
      <c r="AR675" s="41"/>
      <c r="AS675" s="41"/>
      <c r="AT675" s="41"/>
      <c r="AU675" s="41"/>
      <c r="AV675" s="41"/>
      <c r="AW675" s="41"/>
      <c r="AX675" s="41"/>
      <c r="AY675" s="41"/>
      <c r="AZ675" s="41"/>
      <c r="BA675" s="41"/>
      <c r="BB675" s="41"/>
      <c r="BC675" s="41"/>
      <c r="BD675" s="41"/>
      <c r="BE675" s="41"/>
      <c r="BF675" s="41"/>
      <c r="BG675" s="41"/>
      <c r="BH675" s="41"/>
      <c r="BJ675" s="41"/>
      <c r="BK675" s="41"/>
      <c r="BL675" s="41"/>
      <c r="BM675" s="41"/>
      <c r="BN675" s="41"/>
      <c r="BO675" s="41"/>
      <c r="BP675" s="41">
        <v>1</v>
      </c>
      <c r="BQ675" s="41"/>
      <c r="BR675" s="41"/>
      <c r="BS675" s="41"/>
      <c r="BT675" s="41"/>
      <c r="BU675" s="41"/>
      <c r="BV675" s="41"/>
      <c r="BW675" s="41"/>
      <c r="BX675" s="41"/>
      <c r="BY675" s="41"/>
      <c r="BZ675" s="41"/>
      <c r="CA675" s="41"/>
      <c r="CB675" s="41"/>
      <c r="CC675" s="41"/>
      <c r="CD675" s="41"/>
      <c r="CE675" s="41"/>
      <c r="CF675" s="41"/>
      <c r="CG675" s="41"/>
      <c r="CH675" s="41"/>
      <c r="CI675" s="41"/>
      <c r="CJ675" s="41"/>
      <c r="CK675" s="41"/>
      <c r="CL675" s="41"/>
      <c r="CM675" s="41"/>
      <c r="CN675" s="41"/>
      <c r="CO675" s="41"/>
      <c r="CP675" s="41"/>
      <c r="CQ675" s="41"/>
      <c r="CR675" s="41"/>
      <c r="CS675" s="41"/>
      <c r="CT675" s="41"/>
      <c r="CU675" s="41"/>
      <c r="CV675" s="41"/>
      <c r="CW675" s="41"/>
      <c r="CX675" s="41"/>
      <c r="CY675" s="41"/>
      <c r="CZ675" s="41"/>
      <c r="DA675" s="41"/>
      <c r="DB675" s="41"/>
      <c r="DC675" s="41"/>
      <c r="DD675" s="41"/>
      <c r="DE675" s="41"/>
      <c r="DF675" s="41"/>
      <c r="DG675" s="41"/>
      <c r="DH675" s="41"/>
      <c r="DI675" s="41"/>
      <c r="DJ675" s="41"/>
      <c r="DK675" s="41"/>
      <c r="DL675" s="41"/>
      <c r="DM675" s="41"/>
      <c r="DN675" s="41"/>
      <c r="DO675" s="41"/>
      <c r="DP675" s="41"/>
      <c r="DQ675" s="41"/>
      <c r="DR675" s="41"/>
      <c r="DS675" s="43"/>
      <c r="DT675" s="44">
        <f t="shared" ref="DT675" si="657">SUM(F675:DR675)</f>
        <v>1</v>
      </c>
    </row>
    <row r="676" spans="2:124" s="13" customFormat="1">
      <c r="B676" s="4">
        <f>'6.1Personnel List'!B677</f>
        <v>664</v>
      </c>
      <c r="C676" s="45" t="s">
        <v>883</v>
      </c>
      <c r="D676" s="45" t="str">
        <f>'6.1Personnel List'!D677</f>
        <v>Administrative Aide V</v>
      </c>
      <c r="E676" s="45" t="str">
        <f>'6.1Personnel List'!H677</f>
        <v>FT</v>
      </c>
      <c r="G676" s="41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1"/>
      <c r="AK676" s="41"/>
      <c r="AL676" s="41"/>
      <c r="AM676" s="41"/>
      <c r="AN676" s="41"/>
      <c r="AO676" s="41"/>
      <c r="AP676" s="41"/>
      <c r="AQ676" s="41"/>
      <c r="AR676" s="41"/>
      <c r="AS676" s="41"/>
      <c r="AT676" s="41"/>
      <c r="AU676" s="41"/>
      <c r="AV676" s="41"/>
      <c r="AW676" s="41"/>
      <c r="AX676" s="41"/>
      <c r="AY676" s="41"/>
      <c r="AZ676" s="41"/>
      <c r="BA676" s="41"/>
      <c r="BB676" s="41"/>
      <c r="BC676" s="41"/>
      <c r="BD676" s="41"/>
      <c r="BE676" s="41"/>
      <c r="BF676" s="41"/>
      <c r="BG676" s="41"/>
      <c r="BH676" s="41"/>
      <c r="BJ676" s="41"/>
      <c r="BK676" s="41"/>
      <c r="BL676" s="41"/>
      <c r="BM676" s="41"/>
      <c r="BN676" s="41"/>
      <c r="BO676" s="41"/>
      <c r="BP676" s="41">
        <v>1</v>
      </c>
      <c r="BQ676" s="41"/>
      <c r="BR676" s="41"/>
      <c r="BS676" s="41"/>
      <c r="BT676" s="41"/>
      <c r="BU676" s="41"/>
      <c r="BV676" s="41"/>
      <c r="BW676" s="41"/>
      <c r="BX676" s="41"/>
      <c r="BY676" s="41"/>
      <c r="BZ676" s="41"/>
      <c r="CA676" s="41"/>
      <c r="CB676" s="41"/>
      <c r="CC676" s="41"/>
      <c r="CD676" s="41"/>
      <c r="CE676" s="41"/>
      <c r="CF676" s="41"/>
      <c r="CG676" s="41"/>
      <c r="CH676" s="41"/>
      <c r="CI676" s="41"/>
      <c r="CJ676" s="41"/>
      <c r="CK676" s="41"/>
      <c r="CL676" s="41"/>
      <c r="CM676" s="41"/>
      <c r="CN676" s="41"/>
      <c r="CO676" s="41"/>
      <c r="CP676" s="41"/>
      <c r="CQ676" s="41"/>
      <c r="CR676" s="41"/>
      <c r="CS676" s="41"/>
      <c r="CT676" s="41"/>
      <c r="CU676" s="41"/>
      <c r="CV676" s="41"/>
      <c r="CW676" s="41"/>
      <c r="CX676" s="41"/>
      <c r="CY676" s="41"/>
      <c r="CZ676" s="41"/>
      <c r="DA676" s="41"/>
      <c r="DB676" s="41"/>
      <c r="DC676" s="41"/>
      <c r="DD676" s="41"/>
      <c r="DE676" s="41"/>
      <c r="DF676" s="41"/>
      <c r="DG676" s="41"/>
      <c r="DH676" s="41"/>
      <c r="DI676" s="41"/>
      <c r="DJ676" s="41"/>
      <c r="DK676" s="41"/>
      <c r="DL676" s="41"/>
      <c r="DM676" s="41"/>
      <c r="DN676" s="41"/>
      <c r="DO676" s="41"/>
      <c r="DP676" s="41"/>
      <c r="DQ676" s="41"/>
      <c r="DR676" s="41"/>
      <c r="DS676" s="43"/>
      <c r="DT676" s="44">
        <f t="shared" ref="DT676" si="658">SUM(F676:DR676)</f>
        <v>1</v>
      </c>
    </row>
    <row r="677" spans="2:124" s="13" customFormat="1">
      <c r="B677" s="4">
        <f>'6.1Personnel List'!B678</f>
        <v>665</v>
      </c>
      <c r="C677" s="45" t="s">
        <v>884</v>
      </c>
      <c r="D677" s="45" t="str">
        <f>'6.1Personnel List'!D678</f>
        <v>Administrative Aide III</v>
      </c>
      <c r="E677" s="45" t="str">
        <f>'6.1Personnel List'!H678</f>
        <v>FT</v>
      </c>
      <c r="G677" s="41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  <c r="AA677" s="41"/>
      <c r="AB677" s="41"/>
      <c r="AC677" s="41"/>
      <c r="AD677" s="41"/>
      <c r="AE677" s="41"/>
      <c r="AF677" s="41"/>
      <c r="AG677" s="41"/>
      <c r="AH677" s="41"/>
      <c r="AI677" s="41"/>
      <c r="AJ677" s="41"/>
      <c r="AK677" s="41"/>
      <c r="AL677" s="41"/>
      <c r="AM677" s="41"/>
      <c r="AN677" s="41"/>
      <c r="AO677" s="41"/>
      <c r="AP677" s="41"/>
      <c r="AQ677" s="41"/>
      <c r="AR677" s="41"/>
      <c r="AS677" s="41"/>
      <c r="AT677" s="41"/>
      <c r="AU677" s="41"/>
      <c r="AV677" s="41"/>
      <c r="AW677" s="41"/>
      <c r="AX677" s="41"/>
      <c r="AY677" s="41"/>
      <c r="AZ677" s="41"/>
      <c r="BA677" s="41"/>
      <c r="BB677" s="41"/>
      <c r="BC677" s="41"/>
      <c r="BD677" s="41"/>
      <c r="BE677" s="41"/>
      <c r="BF677" s="41"/>
      <c r="BG677" s="41"/>
      <c r="BH677" s="41"/>
      <c r="BJ677" s="41"/>
      <c r="BK677" s="41"/>
      <c r="BL677" s="41"/>
      <c r="BM677" s="41"/>
      <c r="BN677" s="41"/>
      <c r="BO677" s="41"/>
      <c r="BP677" s="41">
        <v>1</v>
      </c>
      <c r="BQ677" s="41"/>
      <c r="BR677" s="41"/>
      <c r="BS677" s="41"/>
      <c r="BT677" s="41"/>
      <c r="BU677" s="41"/>
      <c r="BV677" s="41"/>
      <c r="BW677" s="41"/>
      <c r="BX677" s="41"/>
      <c r="BY677" s="41"/>
      <c r="BZ677" s="41"/>
      <c r="CA677" s="41"/>
      <c r="CB677" s="41"/>
      <c r="CC677" s="41"/>
      <c r="CD677" s="41"/>
      <c r="CE677" s="41"/>
      <c r="CF677" s="41"/>
      <c r="CG677" s="41"/>
      <c r="CH677" s="41"/>
      <c r="CI677" s="41"/>
      <c r="CJ677" s="41"/>
      <c r="CK677" s="41"/>
      <c r="CL677" s="41"/>
      <c r="CM677" s="41"/>
      <c r="CN677" s="41"/>
      <c r="CO677" s="41"/>
      <c r="CP677" s="41"/>
      <c r="CQ677" s="41"/>
      <c r="CR677" s="41"/>
      <c r="CS677" s="41"/>
      <c r="CT677" s="41"/>
      <c r="CU677" s="41"/>
      <c r="CV677" s="41"/>
      <c r="CW677" s="41"/>
      <c r="CX677" s="41"/>
      <c r="CY677" s="41"/>
      <c r="CZ677" s="41"/>
      <c r="DA677" s="41"/>
      <c r="DB677" s="41"/>
      <c r="DC677" s="41"/>
      <c r="DD677" s="41"/>
      <c r="DE677" s="41"/>
      <c r="DF677" s="41"/>
      <c r="DG677" s="41"/>
      <c r="DH677" s="41"/>
      <c r="DI677" s="41"/>
      <c r="DJ677" s="41"/>
      <c r="DK677" s="41"/>
      <c r="DL677" s="41"/>
      <c r="DM677" s="41"/>
      <c r="DN677" s="41"/>
      <c r="DO677" s="41"/>
      <c r="DP677" s="41"/>
      <c r="DQ677" s="41"/>
      <c r="DR677" s="41"/>
      <c r="DS677" s="43"/>
      <c r="DT677" s="44">
        <f t="shared" ref="DT677" si="659">SUM(F677:DR677)</f>
        <v>1</v>
      </c>
    </row>
    <row r="678" spans="2:124" s="13" customFormat="1">
      <c r="B678" s="4">
        <f>'6.1Personnel List'!B679</f>
        <v>666</v>
      </c>
      <c r="C678" s="45" t="s">
        <v>885</v>
      </c>
      <c r="D678" s="45" t="str">
        <f>'6.1Personnel List'!D679</f>
        <v>Job Order</v>
      </c>
      <c r="E678" s="45" t="str">
        <f>'6.1Personnel List'!H679</f>
        <v>FT</v>
      </c>
      <c r="G678" s="41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  <c r="AA678" s="41"/>
      <c r="AB678" s="41"/>
      <c r="AC678" s="41"/>
      <c r="AD678" s="41"/>
      <c r="AE678" s="41"/>
      <c r="AF678" s="41"/>
      <c r="AG678" s="41"/>
      <c r="AH678" s="41"/>
      <c r="AI678" s="41"/>
      <c r="AJ678" s="41"/>
      <c r="AK678" s="41"/>
      <c r="AL678" s="41"/>
      <c r="AM678" s="41"/>
      <c r="AN678" s="41"/>
      <c r="AO678" s="41"/>
      <c r="AP678" s="41"/>
      <c r="AQ678" s="41"/>
      <c r="AR678" s="41"/>
      <c r="AS678" s="41"/>
      <c r="AT678" s="41"/>
      <c r="AU678" s="41"/>
      <c r="AV678" s="41"/>
      <c r="AW678" s="41"/>
      <c r="AX678" s="41"/>
      <c r="AY678" s="41"/>
      <c r="AZ678" s="41"/>
      <c r="BA678" s="41"/>
      <c r="BB678" s="41"/>
      <c r="BC678" s="41"/>
      <c r="BD678" s="41"/>
      <c r="BE678" s="41"/>
      <c r="BF678" s="41"/>
      <c r="BG678" s="41"/>
      <c r="BH678" s="41"/>
      <c r="BJ678" s="41"/>
      <c r="BK678" s="41"/>
      <c r="BL678" s="41"/>
      <c r="BM678" s="41"/>
      <c r="BN678" s="41"/>
      <c r="BO678" s="41"/>
      <c r="BP678" s="41">
        <v>1</v>
      </c>
      <c r="BQ678" s="41"/>
      <c r="BR678" s="41"/>
      <c r="BS678" s="41"/>
      <c r="BT678" s="41"/>
      <c r="BU678" s="41"/>
      <c r="BV678" s="41"/>
      <c r="BW678" s="41"/>
      <c r="BX678" s="41"/>
      <c r="BY678" s="41"/>
      <c r="BZ678" s="41"/>
      <c r="CA678" s="41"/>
      <c r="CB678" s="41"/>
      <c r="CC678" s="41"/>
      <c r="CD678" s="41"/>
      <c r="CE678" s="41"/>
      <c r="CF678" s="41"/>
      <c r="CG678" s="41"/>
      <c r="CH678" s="41"/>
      <c r="CI678" s="41"/>
      <c r="CJ678" s="41"/>
      <c r="CK678" s="41"/>
      <c r="CL678" s="41"/>
      <c r="CM678" s="41"/>
      <c r="CN678" s="41"/>
      <c r="CO678" s="41"/>
      <c r="CP678" s="41"/>
      <c r="CQ678" s="41"/>
      <c r="CR678" s="41"/>
      <c r="CS678" s="41"/>
      <c r="CT678" s="41"/>
      <c r="CU678" s="41"/>
      <c r="CV678" s="41"/>
      <c r="CW678" s="41"/>
      <c r="CX678" s="41"/>
      <c r="CY678" s="41"/>
      <c r="CZ678" s="41"/>
      <c r="DA678" s="41"/>
      <c r="DB678" s="41"/>
      <c r="DC678" s="41"/>
      <c r="DD678" s="41"/>
      <c r="DE678" s="41"/>
      <c r="DF678" s="41"/>
      <c r="DG678" s="41"/>
      <c r="DH678" s="41"/>
      <c r="DI678" s="41"/>
      <c r="DJ678" s="41"/>
      <c r="DK678" s="41"/>
      <c r="DL678" s="41"/>
      <c r="DM678" s="41"/>
      <c r="DN678" s="41"/>
      <c r="DO678" s="41"/>
      <c r="DP678" s="41"/>
      <c r="DQ678" s="41"/>
      <c r="DR678" s="41"/>
      <c r="DS678" s="43"/>
      <c r="DT678" s="44">
        <f t="shared" ref="DT678" si="660">SUM(F678:DR678)</f>
        <v>1</v>
      </c>
    </row>
    <row r="679" spans="2:124" s="13" customFormat="1">
      <c r="B679" s="4">
        <f>'6.1Personnel List'!B680</f>
        <v>667</v>
      </c>
      <c r="C679" s="45" t="s">
        <v>886</v>
      </c>
      <c r="D679" s="45" t="str">
        <f>'6.1Personnel List'!D680</f>
        <v>Job Order</v>
      </c>
      <c r="E679" s="45" t="str">
        <f>'6.1Personnel List'!H680</f>
        <v>FT</v>
      </c>
      <c r="G679" s="41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  <c r="AA679" s="41"/>
      <c r="AB679" s="41"/>
      <c r="AC679" s="41"/>
      <c r="AD679" s="41"/>
      <c r="AE679" s="41"/>
      <c r="AF679" s="41"/>
      <c r="AG679" s="41"/>
      <c r="AH679" s="41"/>
      <c r="AI679" s="41"/>
      <c r="AJ679" s="41"/>
      <c r="AK679" s="41"/>
      <c r="AL679" s="41"/>
      <c r="AM679" s="41"/>
      <c r="AN679" s="41"/>
      <c r="AO679" s="41"/>
      <c r="AP679" s="41"/>
      <c r="AQ679" s="41"/>
      <c r="AR679" s="41"/>
      <c r="AS679" s="41"/>
      <c r="AT679" s="41"/>
      <c r="AU679" s="41"/>
      <c r="AV679" s="41"/>
      <c r="AW679" s="41"/>
      <c r="AX679" s="41"/>
      <c r="AY679" s="41"/>
      <c r="AZ679" s="41"/>
      <c r="BA679" s="41"/>
      <c r="BB679" s="41"/>
      <c r="BC679" s="41"/>
      <c r="BD679" s="41"/>
      <c r="BE679" s="41"/>
      <c r="BF679" s="41"/>
      <c r="BG679" s="41"/>
      <c r="BH679" s="41"/>
      <c r="BJ679" s="41"/>
      <c r="BK679" s="41"/>
      <c r="BL679" s="41"/>
      <c r="BM679" s="41"/>
      <c r="BN679" s="41"/>
      <c r="BO679" s="41"/>
      <c r="BP679" s="41">
        <v>1</v>
      </c>
      <c r="BQ679" s="41"/>
      <c r="BR679" s="41"/>
      <c r="BS679" s="41"/>
      <c r="BT679" s="41"/>
      <c r="BU679" s="41"/>
      <c r="BV679" s="41"/>
      <c r="BW679" s="41"/>
      <c r="BX679" s="41"/>
      <c r="BY679" s="41"/>
      <c r="BZ679" s="41"/>
      <c r="CA679" s="41"/>
      <c r="CB679" s="41"/>
      <c r="CC679" s="41"/>
      <c r="CD679" s="41"/>
      <c r="CE679" s="41"/>
      <c r="CF679" s="41"/>
      <c r="CG679" s="41"/>
      <c r="CH679" s="41"/>
      <c r="CI679" s="41"/>
      <c r="CJ679" s="41"/>
      <c r="CK679" s="41"/>
      <c r="CL679" s="41"/>
      <c r="CM679" s="41"/>
      <c r="CN679" s="41"/>
      <c r="CO679" s="41"/>
      <c r="CP679" s="41"/>
      <c r="CQ679" s="41"/>
      <c r="CR679" s="41"/>
      <c r="CS679" s="41"/>
      <c r="CT679" s="41"/>
      <c r="CU679" s="41"/>
      <c r="CV679" s="41"/>
      <c r="CW679" s="41"/>
      <c r="CX679" s="41"/>
      <c r="CY679" s="41"/>
      <c r="CZ679" s="41"/>
      <c r="DA679" s="41"/>
      <c r="DB679" s="41"/>
      <c r="DC679" s="41"/>
      <c r="DD679" s="41"/>
      <c r="DE679" s="41"/>
      <c r="DF679" s="41"/>
      <c r="DG679" s="41"/>
      <c r="DH679" s="41"/>
      <c r="DI679" s="41"/>
      <c r="DJ679" s="41"/>
      <c r="DK679" s="41"/>
      <c r="DL679" s="41"/>
      <c r="DM679" s="41"/>
      <c r="DN679" s="41"/>
      <c r="DO679" s="41"/>
      <c r="DP679" s="41"/>
      <c r="DQ679" s="41"/>
      <c r="DR679" s="41"/>
      <c r="DS679" s="43"/>
      <c r="DT679" s="44">
        <f t="shared" ref="DT679" si="661">SUM(F679:DR679)</f>
        <v>1</v>
      </c>
    </row>
    <row r="680" spans="2:124" s="13" customFormat="1">
      <c r="B680" s="4">
        <f>'6.1Personnel List'!B681</f>
        <v>668</v>
      </c>
      <c r="C680" s="45" t="s">
        <v>887</v>
      </c>
      <c r="D680" s="45" t="str">
        <f>'6.1Personnel List'!D681</f>
        <v>Job Order</v>
      </c>
      <c r="E680" s="45" t="str">
        <f>'6.1Personnel List'!H681</f>
        <v>FT</v>
      </c>
      <c r="G680" s="41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  <c r="AA680" s="41"/>
      <c r="AB680" s="41"/>
      <c r="AC680" s="41"/>
      <c r="AD680" s="41"/>
      <c r="AE680" s="41"/>
      <c r="AF680" s="41"/>
      <c r="AG680" s="41"/>
      <c r="AH680" s="41"/>
      <c r="AI680" s="41"/>
      <c r="AJ680" s="41"/>
      <c r="AK680" s="41"/>
      <c r="AL680" s="41"/>
      <c r="AM680" s="41"/>
      <c r="AN680" s="41"/>
      <c r="AO680" s="41"/>
      <c r="AP680" s="41"/>
      <c r="AQ680" s="41"/>
      <c r="AR680" s="41"/>
      <c r="AS680" s="41"/>
      <c r="AT680" s="41"/>
      <c r="AU680" s="41"/>
      <c r="AV680" s="41"/>
      <c r="AW680" s="41"/>
      <c r="AX680" s="41"/>
      <c r="AY680" s="41"/>
      <c r="AZ680" s="41"/>
      <c r="BA680" s="41"/>
      <c r="BB680" s="41"/>
      <c r="BC680" s="41"/>
      <c r="BD680" s="41"/>
      <c r="BE680" s="41"/>
      <c r="BF680" s="41"/>
      <c r="BG680" s="41"/>
      <c r="BH680" s="41"/>
      <c r="BJ680" s="41"/>
      <c r="BK680" s="41"/>
      <c r="BL680" s="41"/>
      <c r="BM680" s="41"/>
      <c r="BN680" s="41"/>
      <c r="BO680" s="41"/>
      <c r="BP680" s="41">
        <v>1</v>
      </c>
      <c r="BQ680" s="41"/>
      <c r="BR680" s="41"/>
      <c r="BS680" s="41"/>
      <c r="BT680" s="41"/>
      <c r="BU680" s="41"/>
      <c r="BV680" s="41"/>
      <c r="BW680" s="41"/>
      <c r="BX680" s="41"/>
      <c r="BY680" s="41"/>
      <c r="BZ680" s="41"/>
      <c r="CA680" s="41"/>
      <c r="CB680" s="41"/>
      <c r="CC680" s="41"/>
      <c r="CD680" s="41"/>
      <c r="CE680" s="41"/>
      <c r="CF680" s="41"/>
      <c r="CG680" s="41"/>
      <c r="CH680" s="41"/>
      <c r="CI680" s="41"/>
      <c r="CJ680" s="41"/>
      <c r="CK680" s="41"/>
      <c r="CL680" s="41"/>
      <c r="CM680" s="41"/>
      <c r="CN680" s="41"/>
      <c r="CO680" s="41"/>
      <c r="CP680" s="41"/>
      <c r="CQ680" s="41"/>
      <c r="CR680" s="41"/>
      <c r="CS680" s="41"/>
      <c r="CT680" s="41"/>
      <c r="CU680" s="41"/>
      <c r="CV680" s="41"/>
      <c r="CW680" s="41"/>
      <c r="CX680" s="41"/>
      <c r="CY680" s="41"/>
      <c r="CZ680" s="41"/>
      <c r="DA680" s="41"/>
      <c r="DB680" s="41"/>
      <c r="DC680" s="41"/>
      <c r="DD680" s="41"/>
      <c r="DE680" s="41"/>
      <c r="DF680" s="41"/>
      <c r="DG680" s="41"/>
      <c r="DH680" s="41"/>
      <c r="DI680" s="41"/>
      <c r="DJ680" s="41"/>
      <c r="DK680" s="41"/>
      <c r="DL680" s="41"/>
      <c r="DM680" s="41"/>
      <c r="DN680" s="41"/>
      <c r="DO680" s="41"/>
      <c r="DP680" s="41"/>
      <c r="DQ680" s="41"/>
      <c r="DR680" s="41"/>
      <c r="DS680" s="43"/>
      <c r="DT680" s="44">
        <f t="shared" ref="DT680" si="662">SUM(F680:DR680)</f>
        <v>1</v>
      </c>
    </row>
    <row r="681" spans="2:124" s="13" customFormat="1">
      <c r="B681" s="4">
        <f>'6.1Personnel List'!B682</f>
        <v>669</v>
      </c>
      <c r="C681" s="45" t="s">
        <v>888</v>
      </c>
      <c r="D681" s="45" t="str">
        <f>'6.1Personnel List'!D682</f>
        <v>Job Order</v>
      </c>
      <c r="E681" s="45" t="str">
        <f>'6.1Personnel List'!H682</f>
        <v>FT</v>
      </c>
      <c r="G681" s="41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  <c r="AA681" s="41"/>
      <c r="AB681" s="41"/>
      <c r="AC681" s="41"/>
      <c r="AD681" s="41"/>
      <c r="AE681" s="41"/>
      <c r="AF681" s="41"/>
      <c r="AG681" s="41"/>
      <c r="AH681" s="41"/>
      <c r="AI681" s="41"/>
      <c r="AJ681" s="41"/>
      <c r="AK681" s="41"/>
      <c r="AL681" s="41"/>
      <c r="AM681" s="41"/>
      <c r="AN681" s="41"/>
      <c r="AO681" s="41"/>
      <c r="AP681" s="41"/>
      <c r="AQ681" s="41"/>
      <c r="AR681" s="41"/>
      <c r="AS681" s="41"/>
      <c r="AT681" s="41"/>
      <c r="AU681" s="41"/>
      <c r="AV681" s="41"/>
      <c r="AW681" s="41"/>
      <c r="AX681" s="41"/>
      <c r="AY681" s="41"/>
      <c r="AZ681" s="41"/>
      <c r="BA681" s="41"/>
      <c r="BB681" s="41"/>
      <c r="BC681" s="41"/>
      <c r="BD681" s="41"/>
      <c r="BE681" s="41"/>
      <c r="BF681" s="41"/>
      <c r="BG681" s="41"/>
      <c r="BH681" s="41"/>
      <c r="BJ681" s="41"/>
      <c r="BK681" s="41"/>
      <c r="BL681" s="41"/>
      <c r="BM681" s="41"/>
      <c r="BN681" s="41"/>
      <c r="BO681" s="41"/>
      <c r="BP681" s="41">
        <v>1</v>
      </c>
      <c r="BQ681" s="41"/>
      <c r="BR681" s="41"/>
      <c r="BS681" s="41"/>
      <c r="BT681" s="41"/>
      <c r="BU681" s="41"/>
      <c r="BV681" s="41"/>
      <c r="BW681" s="41"/>
      <c r="BX681" s="41"/>
      <c r="BY681" s="41"/>
      <c r="BZ681" s="41"/>
      <c r="CA681" s="41"/>
      <c r="CB681" s="41"/>
      <c r="CC681" s="41"/>
      <c r="CD681" s="41"/>
      <c r="CE681" s="41"/>
      <c r="CF681" s="41"/>
      <c r="CG681" s="41"/>
      <c r="CH681" s="41"/>
      <c r="CI681" s="41"/>
      <c r="CJ681" s="41"/>
      <c r="CK681" s="41"/>
      <c r="CL681" s="41"/>
      <c r="CM681" s="41"/>
      <c r="CN681" s="41"/>
      <c r="CO681" s="41"/>
      <c r="CP681" s="41"/>
      <c r="CQ681" s="41"/>
      <c r="CR681" s="41"/>
      <c r="CS681" s="41"/>
      <c r="CT681" s="41"/>
      <c r="CU681" s="41"/>
      <c r="CV681" s="41"/>
      <c r="CW681" s="41"/>
      <c r="CX681" s="41"/>
      <c r="CY681" s="41"/>
      <c r="CZ681" s="41"/>
      <c r="DA681" s="41"/>
      <c r="DB681" s="41"/>
      <c r="DC681" s="41"/>
      <c r="DD681" s="41"/>
      <c r="DE681" s="41"/>
      <c r="DF681" s="41"/>
      <c r="DG681" s="41"/>
      <c r="DH681" s="41"/>
      <c r="DI681" s="41"/>
      <c r="DJ681" s="41"/>
      <c r="DK681" s="41"/>
      <c r="DL681" s="41"/>
      <c r="DM681" s="41"/>
      <c r="DN681" s="41"/>
      <c r="DO681" s="41"/>
      <c r="DP681" s="41"/>
      <c r="DQ681" s="41"/>
      <c r="DR681" s="41"/>
      <c r="DS681" s="43"/>
      <c r="DT681" s="44">
        <f t="shared" ref="DT681" si="663">SUM(F681:DR681)</f>
        <v>1</v>
      </c>
    </row>
    <row r="682" spans="2:124" s="13" customFormat="1">
      <c r="B682" s="4">
        <f>'6.1Personnel List'!B683</f>
        <v>670</v>
      </c>
      <c r="C682" s="45" t="s">
        <v>889</v>
      </c>
      <c r="D682" s="45" t="str">
        <f>'6.1Personnel List'!D683</f>
        <v>Job Order</v>
      </c>
      <c r="E682" s="45" t="str">
        <f>'6.1Personnel List'!H683</f>
        <v>FT</v>
      </c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1"/>
      <c r="AH682" s="41"/>
      <c r="AI682" s="41"/>
      <c r="AJ682" s="41"/>
      <c r="AK682" s="41"/>
      <c r="AL682" s="41"/>
      <c r="AM682" s="41"/>
      <c r="AN682" s="41"/>
      <c r="AO682" s="41"/>
      <c r="AP682" s="41"/>
      <c r="AQ682" s="41"/>
      <c r="AR682" s="41"/>
      <c r="AS682" s="41"/>
      <c r="AT682" s="41"/>
      <c r="AU682" s="41"/>
      <c r="AV682" s="41"/>
      <c r="AW682" s="41"/>
      <c r="AX682" s="41"/>
      <c r="AY682" s="41"/>
      <c r="AZ682" s="41"/>
      <c r="BA682" s="41"/>
      <c r="BB682" s="41"/>
      <c r="BC682" s="41"/>
      <c r="BD682" s="41"/>
      <c r="BE682" s="41"/>
      <c r="BF682" s="41"/>
      <c r="BG682" s="41"/>
      <c r="BH682" s="41"/>
      <c r="BJ682" s="41"/>
      <c r="BK682" s="41"/>
      <c r="BL682" s="41"/>
      <c r="BM682" s="41"/>
      <c r="BN682" s="41"/>
      <c r="BO682" s="41"/>
      <c r="BP682" s="41">
        <v>1</v>
      </c>
      <c r="BQ682" s="41"/>
      <c r="BR682" s="41"/>
      <c r="BS682" s="41"/>
      <c r="BT682" s="41"/>
      <c r="BU682" s="41"/>
      <c r="BV682" s="41"/>
      <c r="BW682" s="41"/>
      <c r="BX682" s="41"/>
      <c r="BY682" s="41"/>
      <c r="BZ682" s="41"/>
      <c r="CA682" s="41"/>
      <c r="CB682" s="41"/>
      <c r="CC682" s="41"/>
      <c r="CD682" s="41"/>
      <c r="CE682" s="41"/>
      <c r="CF682" s="41"/>
      <c r="CG682" s="41"/>
      <c r="CH682" s="41"/>
      <c r="CI682" s="41"/>
      <c r="CJ682" s="41"/>
      <c r="CK682" s="41"/>
      <c r="CL682" s="41"/>
      <c r="CM682" s="41"/>
      <c r="CN682" s="41"/>
      <c r="CO682" s="41"/>
      <c r="CP682" s="41"/>
      <c r="CQ682" s="41"/>
      <c r="CR682" s="41"/>
      <c r="CS682" s="41"/>
      <c r="CT682" s="41"/>
      <c r="CU682" s="41"/>
      <c r="CV682" s="41"/>
      <c r="CW682" s="41"/>
      <c r="CX682" s="41"/>
      <c r="CY682" s="41"/>
      <c r="CZ682" s="41"/>
      <c r="DA682" s="41"/>
      <c r="DB682" s="41"/>
      <c r="DC682" s="41"/>
      <c r="DD682" s="41"/>
      <c r="DE682" s="41"/>
      <c r="DF682" s="41"/>
      <c r="DG682" s="41"/>
      <c r="DH682" s="41"/>
      <c r="DI682" s="41"/>
      <c r="DJ682" s="41"/>
      <c r="DK682" s="41"/>
      <c r="DL682" s="41"/>
      <c r="DM682" s="41"/>
      <c r="DN682" s="41"/>
      <c r="DO682" s="41"/>
      <c r="DP682" s="41"/>
      <c r="DQ682" s="41"/>
      <c r="DR682" s="41"/>
      <c r="DS682" s="43"/>
      <c r="DT682" s="44">
        <f t="shared" ref="DT682" si="664">SUM(F682:DR682)</f>
        <v>1</v>
      </c>
    </row>
    <row r="683" spans="2:124" s="13" customFormat="1">
      <c r="B683" s="4">
        <f>'6.1Personnel List'!B684</f>
        <v>671</v>
      </c>
      <c r="C683" s="45" t="s">
        <v>890</v>
      </c>
      <c r="D683" s="45" t="str">
        <f>'6.1Personnel List'!D684</f>
        <v>Job Order</v>
      </c>
      <c r="E683" s="45" t="str">
        <f>'6.1Personnel List'!H684</f>
        <v>FT</v>
      </c>
      <c r="G683" s="41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1"/>
      <c r="AH683" s="41"/>
      <c r="AI683" s="41"/>
      <c r="AJ683" s="41"/>
      <c r="AK683" s="41"/>
      <c r="AL683" s="41"/>
      <c r="AM683" s="41"/>
      <c r="AN683" s="41"/>
      <c r="AO683" s="41"/>
      <c r="AP683" s="41"/>
      <c r="AQ683" s="41"/>
      <c r="AR683" s="41"/>
      <c r="AS683" s="41"/>
      <c r="AT683" s="41"/>
      <c r="AU683" s="41"/>
      <c r="AV683" s="41"/>
      <c r="AW683" s="41"/>
      <c r="AX683" s="41"/>
      <c r="AY683" s="41"/>
      <c r="AZ683" s="41"/>
      <c r="BA683" s="41"/>
      <c r="BB683" s="41"/>
      <c r="BC683" s="41"/>
      <c r="BD683" s="41"/>
      <c r="BE683" s="41"/>
      <c r="BF683" s="41"/>
      <c r="BG683" s="41"/>
      <c r="BH683" s="41"/>
      <c r="BJ683" s="41"/>
      <c r="BK683" s="41"/>
      <c r="BL683" s="41"/>
      <c r="BM683" s="41"/>
      <c r="BN683" s="41"/>
      <c r="BO683" s="41"/>
      <c r="BP683" s="41">
        <v>1</v>
      </c>
      <c r="BQ683" s="41"/>
      <c r="BR683" s="41"/>
      <c r="BS683" s="41"/>
      <c r="BT683" s="41"/>
      <c r="BU683" s="41"/>
      <c r="BV683" s="41"/>
      <c r="BW683" s="41"/>
      <c r="BX683" s="41"/>
      <c r="BY683" s="41"/>
      <c r="BZ683" s="41"/>
      <c r="CA683" s="41"/>
      <c r="CB683" s="41"/>
      <c r="CC683" s="41"/>
      <c r="CD683" s="41"/>
      <c r="CE683" s="41"/>
      <c r="CF683" s="41"/>
      <c r="CG683" s="41"/>
      <c r="CH683" s="41"/>
      <c r="CI683" s="41"/>
      <c r="CJ683" s="41"/>
      <c r="CK683" s="41"/>
      <c r="CL683" s="41"/>
      <c r="CM683" s="41"/>
      <c r="CN683" s="41"/>
      <c r="CO683" s="41"/>
      <c r="CP683" s="41"/>
      <c r="CQ683" s="41"/>
      <c r="CR683" s="41"/>
      <c r="CS683" s="41"/>
      <c r="CT683" s="41"/>
      <c r="CU683" s="41"/>
      <c r="CV683" s="41"/>
      <c r="CW683" s="41"/>
      <c r="CX683" s="41"/>
      <c r="CY683" s="41"/>
      <c r="CZ683" s="41"/>
      <c r="DA683" s="41"/>
      <c r="DB683" s="41"/>
      <c r="DC683" s="41"/>
      <c r="DD683" s="41"/>
      <c r="DE683" s="41"/>
      <c r="DF683" s="41"/>
      <c r="DG683" s="41"/>
      <c r="DH683" s="41"/>
      <c r="DI683" s="41"/>
      <c r="DJ683" s="41"/>
      <c r="DK683" s="41"/>
      <c r="DL683" s="41"/>
      <c r="DM683" s="41"/>
      <c r="DN683" s="41"/>
      <c r="DO683" s="41"/>
      <c r="DP683" s="41"/>
      <c r="DQ683" s="41"/>
      <c r="DR683" s="41"/>
      <c r="DS683" s="43"/>
      <c r="DT683" s="44">
        <f t="shared" ref="DT683" si="665">SUM(F683:DR683)</f>
        <v>1</v>
      </c>
    </row>
    <row r="684" spans="2:124" s="13" customFormat="1">
      <c r="B684" s="4">
        <f>'6.1Personnel List'!B685</f>
        <v>672</v>
      </c>
      <c r="C684" s="45" t="s">
        <v>891</v>
      </c>
      <c r="D684" s="45" t="str">
        <f>'6.1Personnel List'!D685</f>
        <v>Job Order</v>
      </c>
      <c r="E684" s="45" t="str">
        <f>'6.1Personnel List'!H685</f>
        <v>FT</v>
      </c>
      <c r="G684" s="41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1"/>
      <c r="AH684" s="41"/>
      <c r="AI684" s="41"/>
      <c r="AJ684" s="41"/>
      <c r="AK684" s="41"/>
      <c r="AL684" s="41"/>
      <c r="AM684" s="41"/>
      <c r="AN684" s="41"/>
      <c r="AO684" s="41"/>
      <c r="AP684" s="41"/>
      <c r="AQ684" s="41"/>
      <c r="AR684" s="41"/>
      <c r="AS684" s="41"/>
      <c r="AT684" s="41"/>
      <c r="AU684" s="41"/>
      <c r="AV684" s="41"/>
      <c r="AW684" s="41"/>
      <c r="AX684" s="41"/>
      <c r="AY684" s="41"/>
      <c r="AZ684" s="41"/>
      <c r="BA684" s="41"/>
      <c r="BB684" s="41"/>
      <c r="BC684" s="41"/>
      <c r="BD684" s="41"/>
      <c r="BE684" s="41"/>
      <c r="BF684" s="41"/>
      <c r="BG684" s="41"/>
      <c r="BH684" s="41"/>
      <c r="BJ684" s="41"/>
      <c r="BK684" s="41"/>
      <c r="BL684" s="41"/>
      <c r="BM684" s="41"/>
      <c r="BN684" s="41"/>
      <c r="BO684" s="41"/>
      <c r="BP684" s="41">
        <v>1</v>
      </c>
      <c r="BQ684" s="41"/>
      <c r="BR684" s="41"/>
      <c r="BS684" s="41"/>
      <c r="BT684" s="41"/>
      <c r="BU684" s="41"/>
      <c r="BV684" s="41"/>
      <c r="BW684" s="41"/>
      <c r="BX684" s="41"/>
      <c r="BY684" s="41"/>
      <c r="BZ684" s="41"/>
      <c r="CA684" s="41"/>
      <c r="CB684" s="41"/>
      <c r="CC684" s="41"/>
      <c r="CD684" s="41"/>
      <c r="CE684" s="41"/>
      <c r="CF684" s="41"/>
      <c r="CG684" s="41"/>
      <c r="CH684" s="41"/>
      <c r="CI684" s="41"/>
      <c r="CJ684" s="41"/>
      <c r="CK684" s="41"/>
      <c r="CL684" s="41"/>
      <c r="CM684" s="41"/>
      <c r="CN684" s="41"/>
      <c r="CO684" s="41"/>
      <c r="CP684" s="41"/>
      <c r="CQ684" s="41"/>
      <c r="CR684" s="41"/>
      <c r="CS684" s="41"/>
      <c r="CT684" s="41"/>
      <c r="CU684" s="41"/>
      <c r="CV684" s="41"/>
      <c r="CW684" s="41"/>
      <c r="CX684" s="41"/>
      <c r="CY684" s="41"/>
      <c r="CZ684" s="41"/>
      <c r="DA684" s="41"/>
      <c r="DB684" s="41"/>
      <c r="DC684" s="41"/>
      <c r="DD684" s="41"/>
      <c r="DE684" s="41"/>
      <c r="DF684" s="41"/>
      <c r="DG684" s="41"/>
      <c r="DH684" s="41"/>
      <c r="DI684" s="41"/>
      <c r="DJ684" s="41"/>
      <c r="DK684" s="41"/>
      <c r="DL684" s="41"/>
      <c r="DM684" s="41"/>
      <c r="DN684" s="41"/>
      <c r="DO684" s="41"/>
      <c r="DP684" s="41"/>
      <c r="DQ684" s="41"/>
      <c r="DR684" s="41"/>
      <c r="DS684" s="43"/>
      <c r="DT684" s="44">
        <f t="shared" ref="DT684" si="666">SUM(F684:DR684)</f>
        <v>1</v>
      </c>
    </row>
    <row r="685" spans="2:124" s="13" customFormat="1">
      <c r="B685" s="4">
        <f>'6.1Personnel List'!B686</f>
        <v>673</v>
      </c>
      <c r="C685" s="45" t="s">
        <v>892</v>
      </c>
      <c r="D685" s="45" t="str">
        <f>'6.1Personnel List'!D686</f>
        <v>Job Order</v>
      </c>
      <c r="E685" s="45" t="str">
        <f>'6.1Personnel List'!H686</f>
        <v>FT</v>
      </c>
      <c r="G685" s="41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1"/>
      <c r="AH685" s="41"/>
      <c r="AI685" s="41"/>
      <c r="AJ685" s="41"/>
      <c r="AK685" s="41"/>
      <c r="AL685" s="41"/>
      <c r="AM685" s="41"/>
      <c r="AN685" s="41"/>
      <c r="AO685" s="41"/>
      <c r="AP685" s="41"/>
      <c r="AQ685" s="41"/>
      <c r="AR685" s="41"/>
      <c r="AS685" s="41"/>
      <c r="AT685" s="41"/>
      <c r="AU685" s="41"/>
      <c r="AV685" s="41"/>
      <c r="AW685" s="41"/>
      <c r="AX685" s="41"/>
      <c r="AY685" s="41"/>
      <c r="AZ685" s="41"/>
      <c r="BA685" s="41"/>
      <c r="BB685" s="41"/>
      <c r="BC685" s="41"/>
      <c r="BD685" s="41"/>
      <c r="BE685" s="41"/>
      <c r="BF685" s="41"/>
      <c r="BG685" s="41"/>
      <c r="BH685" s="41"/>
      <c r="BJ685" s="41"/>
      <c r="BK685" s="41"/>
      <c r="BL685" s="41"/>
      <c r="BM685" s="41"/>
      <c r="BN685" s="41"/>
      <c r="BO685" s="41"/>
      <c r="BP685" s="41">
        <v>1</v>
      </c>
      <c r="BQ685" s="41"/>
      <c r="BR685" s="41"/>
      <c r="BS685" s="41"/>
      <c r="BT685" s="41"/>
      <c r="BU685" s="41"/>
      <c r="BV685" s="41"/>
      <c r="BW685" s="41"/>
      <c r="BX685" s="41"/>
      <c r="BY685" s="41"/>
      <c r="BZ685" s="41"/>
      <c r="CA685" s="41"/>
      <c r="CB685" s="41"/>
      <c r="CC685" s="41"/>
      <c r="CD685" s="41"/>
      <c r="CE685" s="41"/>
      <c r="CF685" s="41"/>
      <c r="CG685" s="41"/>
      <c r="CH685" s="41"/>
      <c r="CI685" s="41"/>
      <c r="CJ685" s="41"/>
      <c r="CK685" s="41"/>
      <c r="CL685" s="41"/>
      <c r="CM685" s="41"/>
      <c r="CN685" s="41"/>
      <c r="CO685" s="41"/>
      <c r="CP685" s="41"/>
      <c r="CQ685" s="41"/>
      <c r="CR685" s="41"/>
      <c r="CS685" s="41"/>
      <c r="CT685" s="41"/>
      <c r="CU685" s="41"/>
      <c r="CV685" s="41"/>
      <c r="CW685" s="41"/>
      <c r="CX685" s="41"/>
      <c r="CY685" s="41"/>
      <c r="CZ685" s="41"/>
      <c r="DA685" s="41"/>
      <c r="DB685" s="41"/>
      <c r="DC685" s="41"/>
      <c r="DD685" s="41"/>
      <c r="DE685" s="41"/>
      <c r="DF685" s="41"/>
      <c r="DG685" s="41"/>
      <c r="DH685" s="41"/>
      <c r="DI685" s="41"/>
      <c r="DJ685" s="41"/>
      <c r="DK685" s="41"/>
      <c r="DL685" s="41"/>
      <c r="DM685" s="41"/>
      <c r="DN685" s="41"/>
      <c r="DO685" s="41"/>
      <c r="DP685" s="41"/>
      <c r="DQ685" s="41"/>
      <c r="DR685" s="41"/>
      <c r="DS685" s="43"/>
      <c r="DT685" s="44">
        <f t="shared" ref="DT685" si="667">SUM(F685:DR685)</f>
        <v>1</v>
      </c>
    </row>
    <row r="686" spans="2:124" s="13" customFormat="1">
      <c r="B686" s="4">
        <f>'6.1Personnel List'!B687</f>
        <v>674</v>
      </c>
      <c r="C686" s="45" t="s">
        <v>894</v>
      </c>
      <c r="D686" s="45" t="str">
        <f>'6.1Personnel List'!D687</f>
        <v>Administrative Aide VI</v>
      </c>
      <c r="E686" s="45" t="str">
        <f>'6.1Personnel List'!H687</f>
        <v>FT</v>
      </c>
      <c r="G686" s="41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1"/>
      <c r="AH686" s="41"/>
      <c r="AI686" s="41"/>
      <c r="AJ686" s="41"/>
      <c r="AK686" s="41"/>
      <c r="AL686" s="41"/>
      <c r="AM686" s="41"/>
      <c r="AN686" s="41"/>
      <c r="AO686" s="41"/>
      <c r="AP686" s="41"/>
      <c r="AQ686" s="41"/>
      <c r="AR686" s="41"/>
      <c r="AS686" s="41"/>
      <c r="AT686" s="41"/>
      <c r="AU686" s="41"/>
      <c r="AV686" s="41"/>
      <c r="AW686" s="41"/>
      <c r="AX686" s="41"/>
      <c r="AY686" s="41"/>
      <c r="AZ686" s="41"/>
      <c r="BA686" s="41"/>
      <c r="BB686" s="41"/>
      <c r="BC686" s="41"/>
      <c r="BD686" s="41"/>
      <c r="BE686" s="41"/>
      <c r="BF686" s="41"/>
      <c r="BG686" s="41"/>
      <c r="BH686" s="41"/>
      <c r="BJ686" s="41"/>
      <c r="BK686" s="41"/>
      <c r="BL686" s="41"/>
      <c r="BM686" s="41"/>
      <c r="BN686" s="41"/>
      <c r="BO686" s="41"/>
      <c r="BP686" s="41">
        <v>1</v>
      </c>
      <c r="BQ686" s="41"/>
      <c r="BR686" s="41"/>
      <c r="BS686" s="41"/>
      <c r="BT686" s="41"/>
      <c r="BU686" s="41"/>
      <c r="BV686" s="41"/>
      <c r="BW686" s="41"/>
      <c r="BX686" s="41"/>
      <c r="BY686" s="41"/>
      <c r="BZ686" s="41"/>
      <c r="CA686" s="41"/>
      <c r="CB686" s="41"/>
      <c r="CC686" s="41"/>
      <c r="CD686" s="41"/>
      <c r="CE686" s="41"/>
      <c r="CF686" s="41"/>
      <c r="CG686" s="41"/>
      <c r="CH686" s="41"/>
      <c r="CI686" s="41"/>
      <c r="CJ686" s="41"/>
      <c r="CK686" s="41"/>
      <c r="CL686" s="41"/>
      <c r="CM686" s="41"/>
      <c r="CN686" s="41"/>
      <c r="CO686" s="41"/>
      <c r="CP686" s="41"/>
      <c r="CQ686" s="41"/>
      <c r="CR686" s="41"/>
      <c r="CS686" s="41"/>
      <c r="CT686" s="41"/>
      <c r="CU686" s="41"/>
      <c r="CV686" s="41"/>
      <c r="CW686" s="41"/>
      <c r="CX686" s="41"/>
      <c r="CY686" s="41"/>
      <c r="CZ686" s="41"/>
      <c r="DA686" s="41"/>
      <c r="DB686" s="41"/>
      <c r="DC686" s="41"/>
      <c r="DD686" s="41"/>
      <c r="DE686" s="41"/>
      <c r="DF686" s="41"/>
      <c r="DG686" s="41"/>
      <c r="DH686" s="41"/>
      <c r="DI686" s="41"/>
      <c r="DJ686" s="41"/>
      <c r="DK686" s="41"/>
      <c r="DL686" s="41"/>
      <c r="DM686" s="41"/>
      <c r="DN686" s="41"/>
      <c r="DO686" s="41"/>
      <c r="DP686" s="41"/>
      <c r="DQ686" s="41"/>
      <c r="DR686" s="41"/>
      <c r="DS686" s="43"/>
      <c r="DT686" s="44">
        <f t="shared" ref="DT686" si="668">SUM(F686:DR686)</f>
        <v>1</v>
      </c>
    </row>
    <row r="687" spans="2:124" s="13" customFormat="1">
      <c r="B687" s="4">
        <f>'6.1Personnel List'!B688</f>
        <v>675</v>
      </c>
      <c r="C687" s="45" t="s">
        <v>895</v>
      </c>
      <c r="D687" s="45" t="str">
        <f>'6.1Personnel List'!D688</f>
        <v>Administrative Aide VI</v>
      </c>
      <c r="E687" s="45" t="str">
        <f>'6.1Personnel List'!H688</f>
        <v>FT</v>
      </c>
      <c r="G687" s="41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1"/>
      <c r="AK687" s="41"/>
      <c r="AL687" s="41"/>
      <c r="AM687" s="41"/>
      <c r="AN687" s="41"/>
      <c r="AO687" s="41"/>
      <c r="AP687" s="41"/>
      <c r="AQ687" s="41"/>
      <c r="AR687" s="41"/>
      <c r="AS687" s="41"/>
      <c r="AT687" s="41"/>
      <c r="AU687" s="41"/>
      <c r="AV687" s="41"/>
      <c r="AW687" s="41"/>
      <c r="AX687" s="41"/>
      <c r="AY687" s="41"/>
      <c r="AZ687" s="41"/>
      <c r="BA687" s="41"/>
      <c r="BB687" s="41"/>
      <c r="BC687" s="41"/>
      <c r="BD687" s="41"/>
      <c r="BE687" s="41"/>
      <c r="BF687" s="41"/>
      <c r="BG687" s="41"/>
      <c r="BH687" s="41"/>
      <c r="BJ687" s="41"/>
      <c r="BK687" s="41"/>
      <c r="BL687" s="41"/>
      <c r="BM687" s="41"/>
      <c r="BN687" s="41"/>
      <c r="BO687" s="41"/>
      <c r="BP687" s="41">
        <v>1</v>
      </c>
      <c r="BQ687" s="41"/>
      <c r="BR687" s="41"/>
      <c r="BS687" s="41"/>
      <c r="BT687" s="41"/>
      <c r="BU687" s="41"/>
      <c r="BV687" s="41"/>
      <c r="BW687" s="41"/>
      <c r="BX687" s="41"/>
      <c r="BY687" s="41"/>
      <c r="BZ687" s="41"/>
      <c r="CA687" s="41"/>
      <c r="CB687" s="41"/>
      <c r="CC687" s="41"/>
      <c r="CD687" s="41"/>
      <c r="CE687" s="41"/>
      <c r="CF687" s="41"/>
      <c r="CG687" s="41"/>
      <c r="CH687" s="41"/>
      <c r="CI687" s="41"/>
      <c r="CJ687" s="41"/>
      <c r="CK687" s="41"/>
      <c r="CL687" s="41"/>
      <c r="CM687" s="41"/>
      <c r="CN687" s="41"/>
      <c r="CO687" s="41"/>
      <c r="CP687" s="41"/>
      <c r="CQ687" s="41"/>
      <c r="CR687" s="41"/>
      <c r="CS687" s="41"/>
      <c r="CT687" s="41"/>
      <c r="CU687" s="41"/>
      <c r="CV687" s="41"/>
      <c r="CW687" s="41"/>
      <c r="CX687" s="41"/>
      <c r="CY687" s="41"/>
      <c r="CZ687" s="41"/>
      <c r="DA687" s="41"/>
      <c r="DB687" s="41"/>
      <c r="DC687" s="41"/>
      <c r="DD687" s="41"/>
      <c r="DE687" s="41"/>
      <c r="DF687" s="41"/>
      <c r="DG687" s="41"/>
      <c r="DH687" s="41"/>
      <c r="DI687" s="41"/>
      <c r="DJ687" s="41"/>
      <c r="DK687" s="41"/>
      <c r="DL687" s="41"/>
      <c r="DM687" s="41"/>
      <c r="DN687" s="41"/>
      <c r="DO687" s="41"/>
      <c r="DP687" s="41"/>
      <c r="DQ687" s="41"/>
      <c r="DR687" s="41"/>
      <c r="DS687" s="43"/>
      <c r="DT687" s="44">
        <f t="shared" ref="DT687" si="669">SUM(F687:DR687)</f>
        <v>1</v>
      </c>
    </row>
    <row r="688" spans="2:124" s="13" customFormat="1">
      <c r="B688" s="4">
        <f>'6.1Personnel List'!B689</f>
        <v>676</v>
      </c>
      <c r="C688" s="45" t="s">
        <v>896</v>
      </c>
      <c r="D688" s="45" t="str">
        <f>'6.1Personnel List'!D689</f>
        <v>Administrative Aide VI</v>
      </c>
      <c r="E688" s="45" t="str">
        <f>'6.1Personnel List'!H689</f>
        <v>FT</v>
      </c>
      <c r="G688" s="41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1"/>
      <c r="AK688" s="41"/>
      <c r="AL688" s="41"/>
      <c r="AM688" s="41"/>
      <c r="AN688" s="41"/>
      <c r="AO688" s="41"/>
      <c r="AP688" s="41"/>
      <c r="AQ688" s="41"/>
      <c r="AR688" s="41"/>
      <c r="AS688" s="41"/>
      <c r="AT688" s="41"/>
      <c r="AU688" s="41"/>
      <c r="AV688" s="41"/>
      <c r="AW688" s="41"/>
      <c r="AX688" s="41"/>
      <c r="AY688" s="41"/>
      <c r="AZ688" s="41"/>
      <c r="BA688" s="41"/>
      <c r="BB688" s="41"/>
      <c r="BC688" s="41"/>
      <c r="BD688" s="41"/>
      <c r="BE688" s="41"/>
      <c r="BF688" s="41"/>
      <c r="BG688" s="41"/>
      <c r="BH688" s="41"/>
      <c r="BJ688" s="41"/>
      <c r="BK688" s="41"/>
      <c r="BL688" s="41"/>
      <c r="BM688" s="41"/>
      <c r="BN688" s="41"/>
      <c r="BO688" s="41"/>
      <c r="BP688" s="41">
        <v>1</v>
      </c>
      <c r="BQ688" s="41"/>
      <c r="BR688" s="41"/>
      <c r="BS688" s="41"/>
      <c r="BT688" s="41"/>
      <c r="BU688" s="41"/>
      <c r="BV688" s="41"/>
      <c r="BW688" s="41"/>
      <c r="BX688" s="41"/>
      <c r="BY688" s="41"/>
      <c r="BZ688" s="41"/>
      <c r="CA688" s="41"/>
      <c r="CB688" s="41"/>
      <c r="CC688" s="41"/>
      <c r="CD688" s="41"/>
      <c r="CE688" s="41"/>
      <c r="CF688" s="41"/>
      <c r="CG688" s="41"/>
      <c r="CH688" s="41"/>
      <c r="CI688" s="41"/>
      <c r="CJ688" s="41"/>
      <c r="CK688" s="41"/>
      <c r="CL688" s="41"/>
      <c r="CM688" s="41"/>
      <c r="CN688" s="41"/>
      <c r="CO688" s="41"/>
      <c r="CP688" s="41"/>
      <c r="CQ688" s="41"/>
      <c r="CR688" s="41"/>
      <c r="CS688" s="41"/>
      <c r="CT688" s="41"/>
      <c r="CU688" s="41"/>
      <c r="CV688" s="41"/>
      <c r="CW688" s="41"/>
      <c r="CX688" s="41"/>
      <c r="CY688" s="41"/>
      <c r="CZ688" s="41"/>
      <c r="DA688" s="41"/>
      <c r="DB688" s="41"/>
      <c r="DC688" s="41"/>
      <c r="DD688" s="41"/>
      <c r="DE688" s="41"/>
      <c r="DF688" s="41"/>
      <c r="DG688" s="41"/>
      <c r="DH688" s="41"/>
      <c r="DI688" s="41"/>
      <c r="DJ688" s="41"/>
      <c r="DK688" s="41"/>
      <c r="DL688" s="41"/>
      <c r="DM688" s="41"/>
      <c r="DN688" s="41"/>
      <c r="DO688" s="41"/>
      <c r="DP688" s="41"/>
      <c r="DQ688" s="41"/>
      <c r="DR688" s="41"/>
      <c r="DS688" s="43"/>
      <c r="DT688" s="44">
        <f t="shared" ref="DT688" si="670">SUM(F688:DR688)</f>
        <v>1</v>
      </c>
    </row>
    <row r="689" spans="2:124" s="13" customFormat="1">
      <c r="B689" s="4">
        <f>'6.1Personnel List'!B690</f>
        <v>677</v>
      </c>
      <c r="C689" s="45" t="s">
        <v>897</v>
      </c>
      <c r="D689" s="45" t="str">
        <f>'6.1Personnel List'!D690</f>
        <v>Administrative Aide VI</v>
      </c>
      <c r="E689" s="45" t="str">
        <f>'6.1Personnel List'!H690</f>
        <v>FT</v>
      </c>
      <c r="G689" s="41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  <c r="AA689" s="41"/>
      <c r="AB689" s="41"/>
      <c r="AC689" s="41"/>
      <c r="AD689" s="41"/>
      <c r="AE689" s="41"/>
      <c r="AF689" s="41"/>
      <c r="AG689" s="41"/>
      <c r="AH689" s="41"/>
      <c r="AI689" s="41"/>
      <c r="AJ689" s="41"/>
      <c r="AK689" s="41"/>
      <c r="AL689" s="41"/>
      <c r="AM689" s="41"/>
      <c r="AN689" s="41"/>
      <c r="AO689" s="41"/>
      <c r="AP689" s="41"/>
      <c r="AQ689" s="41"/>
      <c r="AR689" s="41"/>
      <c r="AS689" s="41"/>
      <c r="AT689" s="41"/>
      <c r="AU689" s="41"/>
      <c r="AV689" s="41"/>
      <c r="AW689" s="41"/>
      <c r="AX689" s="41"/>
      <c r="AY689" s="41"/>
      <c r="AZ689" s="41"/>
      <c r="BA689" s="41"/>
      <c r="BB689" s="41"/>
      <c r="BC689" s="41"/>
      <c r="BD689" s="41"/>
      <c r="BE689" s="41"/>
      <c r="BF689" s="41"/>
      <c r="BG689" s="41"/>
      <c r="BH689" s="41"/>
      <c r="BJ689" s="41"/>
      <c r="BK689" s="41"/>
      <c r="BL689" s="41"/>
      <c r="BM689" s="41"/>
      <c r="BN689" s="41"/>
      <c r="BO689" s="41"/>
      <c r="BP689" s="41">
        <v>1</v>
      </c>
      <c r="BQ689" s="41"/>
      <c r="BR689" s="41"/>
      <c r="BS689" s="41"/>
      <c r="BT689" s="41"/>
      <c r="BU689" s="41"/>
      <c r="BV689" s="41"/>
      <c r="BW689" s="41"/>
      <c r="BX689" s="41"/>
      <c r="BY689" s="41"/>
      <c r="BZ689" s="41"/>
      <c r="CA689" s="41"/>
      <c r="CB689" s="41"/>
      <c r="CC689" s="41"/>
      <c r="CD689" s="41"/>
      <c r="CE689" s="41"/>
      <c r="CF689" s="41"/>
      <c r="CG689" s="41"/>
      <c r="CH689" s="41"/>
      <c r="CI689" s="41"/>
      <c r="CJ689" s="41"/>
      <c r="CK689" s="41"/>
      <c r="CL689" s="41"/>
      <c r="CM689" s="41"/>
      <c r="CN689" s="41"/>
      <c r="CO689" s="41"/>
      <c r="CP689" s="41"/>
      <c r="CQ689" s="41"/>
      <c r="CR689" s="41"/>
      <c r="CS689" s="41"/>
      <c r="CT689" s="41"/>
      <c r="CU689" s="41"/>
      <c r="CV689" s="41"/>
      <c r="CW689" s="41"/>
      <c r="CX689" s="41"/>
      <c r="CY689" s="41"/>
      <c r="CZ689" s="41"/>
      <c r="DA689" s="41"/>
      <c r="DB689" s="41"/>
      <c r="DC689" s="41"/>
      <c r="DD689" s="41"/>
      <c r="DE689" s="41"/>
      <c r="DF689" s="41"/>
      <c r="DG689" s="41"/>
      <c r="DH689" s="41"/>
      <c r="DI689" s="41"/>
      <c r="DJ689" s="41"/>
      <c r="DK689" s="41"/>
      <c r="DL689" s="41"/>
      <c r="DM689" s="41"/>
      <c r="DN689" s="41"/>
      <c r="DO689" s="41"/>
      <c r="DP689" s="41"/>
      <c r="DQ689" s="41"/>
      <c r="DR689" s="41"/>
      <c r="DS689" s="43"/>
      <c r="DT689" s="44">
        <f t="shared" ref="DT689" si="671">SUM(F689:DR689)</f>
        <v>1</v>
      </c>
    </row>
    <row r="690" spans="2:124" s="13" customFormat="1">
      <c r="B690" s="4">
        <f>'6.1Personnel List'!B691</f>
        <v>678</v>
      </c>
      <c r="C690" s="45" t="s">
        <v>898</v>
      </c>
      <c r="D690" s="45" t="str">
        <f>'6.1Personnel List'!D691</f>
        <v>Administrative Aide VI</v>
      </c>
      <c r="E690" s="45" t="str">
        <f>'6.1Personnel List'!H691</f>
        <v>FT</v>
      </c>
      <c r="G690" s="41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  <c r="AA690" s="41"/>
      <c r="AB690" s="41"/>
      <c r="AC690" s="41"/>
      <c r="AD690" s="41"/>
      <c r="AE690" s="41"/>
      <c r="AF690" s="41"/>
      <c r="AG690" s="41"/>
      <c r="AH690" s="41"/>
      <c r="AI690" s="41"/>
      <c r="AJ690" s="41"/>
      <c r="AK690" s="41"/>
      <c r="AL690" s="41"/>
      <c r="AM690" s="41"/>
      <c r="AN690" s="41"/>
      <c r="AO690" s="41"/>
      <c r="AP690" s="41"/>
      <c r="AQ690" s="41"/>
      <c r="AR690" s="41"/>
      <c r="AS690" s="41"/>
      <c r="AT690" s="41"/>
      <c r="AU690" s="41"/>
      <c r="AV690" s="41"/>
      <c r="AW690" s="41"/>
      <c r="AX690" s="41"/>
      <c r="AY690" s="41"/>
      <c r="AZ690" s="41"/>
      <c r="BA690" s="41"/>
      <c r="BB690" s="41"/>
      <c r="BC690" s="41"/>
      <c r="BD690" s="41"/>
      <c r="BE690" s="41"/>
      <c r="BF690" s="41"/>
      <c r="BG690" s="41"/>
      <c r="BH690" s="41"/>
      <c r="BJ690" s="41"/>
      <c r="BK690" s="41"/>
      <c r="BL690" s="41"/>
      <c r="BM690" s="41"/>
      <c r="BN690" s="41"/>
      <c r="BO690" s="41"/>
      <c r="BP690" s="41">
        <v>1</v>
      </c>
      <c r="BQ690" s="41"/>
      <c r="BR690" s="41"/>
      <c r="BS690" s="41"/>
      <c r="BT690" s="41"/>
      <c r="BU690" s="41"/>
      <c r="BV690" s="41"/>
      <c r="BW690" s="41"/>
      <c r="BX690" s="41"/>
      <c r="BY690" s="41"/>
      <c r="BZ690" s="41"/>
      <c r="CA690" s="41"/>
      <c r="CB690" s="41"/>
      <c r="CC690" s="41"/>
      <c r="CD690" s="41"/>
      <c r="CE690" s="41"/>
      <c r="CF690" s="41"/>
      <c r="CG690" s="41"/>
      <c r="CH690" s="41"/>
      <c r="CI690" s="41"/>
      <c r="CJ690" s="41"/>
      <c r="CK690" s="41"/>
      <c r="CL690" s="41"/>
      <c r="CM690" s="41"/>
      <c r="CN690" s="41"/>
      <c r="CO690" s="41"/>
      <c r="CP690" s="41"/>
      <c r="CQ690" s="41"/>
      <c r="CR690" s="41"/>
      <c r="CS690" s="41"/>
      <c r="CT690" s="41"/>
      <c r="CU690" s="41"/>
      <c r="CV690" s="41"/>
      <c r="CW690" s="41"/>
      <c r="CX690" s="41"/>
      <c r="CY690" s="41"/>
      <c r="CZ690" s="41"/>
      <c r="DA690" s="41"/>
      <c r="DB690" s="41"/>
      <c r="DC690" s="41"/>
      <c r="DD690" s="41"/>
      <c r="DE690" s="41"/>
      <c r="DF690" s="41"/>
      <c r="DG690" s="41"/>
      <c r="DH690" s="41"/>
      <c r="DI690" s="41"/>
      <c r="DJ690" s="41"/>
      <c r="DK690" s="41"/>
      <c r="DL690" s="41"/>
      <c r="DM690" s="41"/>
      <c r="DN690" s="41"/>
      <c r="DO690" s="41"/>
      <c r="DP690" s="41"/>
      <c r="DQ690" s="41"/>
      <c r="DR690" s="41"/>
      <c r="DS690" s="43"/>
      <c r="DT690" s="44">
        <f t="shared" ref="DT690" si="672">SUM(F690:DR690)</f>
        <v>1</v>
      </c>
    </row>
    <row r="691" spans="2:124" s="13" customFormat="1">
      <c r="B691" s="4">
        <f>'6.1Personnel List'!B692</f>
        <v>679</v>
      </c>
      <c r="C691" s="45" t="s">
        <v>899</v>
      </c>
      <c r="D691" s="45" t="str">
        <f>'6.1Personnel List'!D692</f>
        <v>Administrative Aide V</v>
      </c>
      <c r="E691" s="45" t="str">
        <f>'6.1Personnel List'!H692</f>
        <v>FT</v>
      </c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  <c r="AA691" s="41"/>
      <c r="AB691" s="41"/>
      <c r="AC691" s="41"/>
      <c r="AD691" s="41"/>
      <c r="AE691" s="41"/>
      <c r="AF691" s="41"/>
      <c r="AG691" s="41"/>
      <c r="AH691" s="41"/>
      <c r="AI691" s="41"/>
      <c r="AJ691" s="41"/>
      <c r="AK691" s="41"/>
      <c r="AL691" s="41"/>
      <c r="AM691" s="41"/>
      <c r="AN691" s="41"/>
      <c r="AO691" s="41"/>
      <c r="AP691" s="41"/>
      <c r="AQ691" s="41"/>
      <c r="AR691" s="41"/>
      <c r="AS691" s="41"/>
      <c r="AT691" s="41"/>
      <c r="AU691" s="41"/>
      <c r="AV691" s="41"/>
      <c r="AW691" s="41"/>
      <c r="AX691" s="41"/>
      <c r="AY691" s="41"/>
      <c r="AZ691" s="41"/>
      <c r="BA691" s="41"/>
      <c r="BB691" s="41"/>
      <c r="BC691" s="41"/>
      <c r="BD691" s="41"/>
      <c r="BE691" s="41"/>
      <c r="BF691" s="41"/>
      <c r="BG691" s="41"/>
      <c r="BH691" s="41"/>
      <c r="BJ691" s="41"/>
      <c r="BK691" s="41"/>
      <c r="BL691" s="41"/>
      <c r="BM691" s="41"/>
      <c r="BN691" s="41"/>
      <c r="BO691" s="41"/>
      <c r="BP691" s="41">
        <v>1</v>
      </c>
      <c r="BQ691" s="41"/>
      <c r="BR691" s="41"/>
      <c r="BS691" s="41"/>
      <c r="BT691" s="41"/>
      <c r="BU691" s="41"/>
      <c r="BV691" s="41"/>
      <c r="BW691" s="41"/>
      <c r="BX691" s="41"/>
      <c r="BY691" s="41"/>
      <c r="BZ691" s="41"/>
      <c r="CA691" s="41"/>
      <c r="CB691" s="41"/>
      <c r="CC691" s="41"/>
      <c r="CD691" s="41"/>
      <c r="CE691" s="41"/>
      <c r="CF691" s="41"/>
      <c r="CG691" s="41"/>
      <c r="CH691" s="41"/>
      <c r="CI691" s="41"/>
      <c r="CJ691" s="41"/>
      <c r="CK691" s="41"/>
      <c r="CL691" s="41"/>
      <c r="CM691" s="41"/>
      <c r="CN691" s="41"/>
      <c r="CO691" s="41"/>
      <c r="CP691" s="41"/>
      <c r="CQ691" s="41"/>
      <c r="CR691" s="41"/>
      <c r="CS691" s="41"/>
      <c r="CT691" s="41"/>
      <c r="CU691" s="41"/>
      <c r="CV691" s="41"/>
      <c r="CW691" s="41"/>
      <c r="CX691" s="41"/>
      <c r="CY691" s="41"/>
      <c r="CZ691" s="41"/>
      <c r="DA691" s="41"/>
      <c r="DB691" s="41"/>
      <c r="DC691" s="41"/>
      <c r="DD691" s="41"/>
      <c r="DE691" s="41"/>
      <c r="DF691" s="41"/>
      <c r="DG691" s="41"/>
      <c r="DH691" s="41"/>
      <c r="DI691" s="41"/>
      <c r="DJ691" s="41"/>
      <c r="DK691" s="41"/>
      <c r="DL691" s="41"/>
      <c r="DM691" s="41"/>
      <c r="DN691" s="41"/>
      <c r="DO691" s="41"/>
      <c r="DP691" s="41"/>
      <c r="DQ691" s="41"/>
      <c r="DR691" s="41"/>
      <c r="DS691" s="43"/>
      <c r="DT691" s="44">
        <f t="shared" ref="DT691" si="673">SUM(F691:DR691)</f>
        <v>1</v>
      </c>
    </row>
    <row r="692" spans="2:124" s="13" customFormat="1">
      <c r="B692" s="4">
        <f>'6.1Personnel List'!B693</f>
        <v>680</v>
      </c>
      <c r="C692" s="45" t="s">
        <v>900</v>
      </c>
      <c r="D692" s="45" t="str">
        <f>'6.1Personnel List'!D693</f>
        <v>Job Order</v>
      </c>
      <c r="E692" s="45" t="str">
        <f>'6.1Personnel List'!H693</f>
        <v>FT</v>
      </c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  <c r="AA692" s="41"/>
      <c r="AB692" s="41"/>
      <c r="AC692" s="41"/>
      <c r="AD692" s="41"/>
      <c r="AE692" s="41"/>
      <c r="AF692" s="41"/>
      <c r="AG692" s="41"/>
      <c r="AH692" s="41"/>
      <c r="AI692" s="41"/>
      <c r="AJ692" s="41"/>
      <c r="AK692" s="41"/>
      <c r="AL692" s="41"/>
      <c r="AM692" s="41"/>
      <c r="AN692" s="41"/>
      <c r="AO692" s="41"/>
      <c r="AP692" s="41"/>
      <c r="AQ692" s="41"/>
      <c r="AR692" s="41"/>
      <c r="AS692" s="41"/>
      <c r="AT692" s="41"/>
      <c r="AU692" s="41"/>
      <c r="AV692" s="41"/>
      <c r="AW692" s="41"/>
      <c r="AX692" s="41"/>
      <c r="AY692" s="41"/>
      <c r="AZ692" s="41"/>
      <c r="BA692" s="41"/>
      <c r="BB692" s="41"/>
      <c r="BC692" s="41"/>
      <c r="BD692" s="41"/>
      <c r="BE692" s="41"/>
      <c r="BF692" s="41"/>
      <c r="BG692" s="41"/>
      <c r="BH692" s="41"/>
      <c r="BJ692" s="41"/>
      <c r="BK692" s="41"/>
      <c r="BL692" s="41"/>
      <c r="BM692" s="41"/>
      <c r="BN692" s="41"/>
      <c r="BO692" s="41"/>
      <c r="BP692" s="41">
        <v>1</v>
      </c>
      <c r="BQ692" s="41"/>
      <c r="BR692" s="41"/>
      <c r="BS692" s="41"/>
      <c r="BT692" s="41"/>
      <c r="BU692" s="41"/>
      <c r="BV692" s="41"/>
      <c r="BW692" s="41"/>
      <c r="BX692" s="41"/>
      <c r="BY692" s="41"/>
      <c r="BZ692" s="41"/>
      <c r="CA692" s="41"/>
      <c r="CB692" s="41"/>
      <c r="CC692" s="41"/>
      <c r="CD692" s="41"/>
      <c r="CE692" s="41"/>
      <c r="CF692" s="41"/>
      <c r="CG692" s="41"/>
      <c r="CH692" s="41"/>
      <c r="CI692" s="41"/>
      <c r="CJ692" s="41"/>
      <c r="CK692" s="41"/>
      <c r="CL692" s="41"/>
      <c r="CM692" s="41"/>
      <c r="CN692" s="41"/>
      <c r="CO692" s="41"/>
      <c r="CP692" s="41"/>
      <c r="CQ692" s="41"/>
      <c r="CR692" s="41"/>
      <c r="CS692" s="41"/>
      <c r="CT692" s="41"/>
      <c r="CU692" s="41"/>
      <c r="CV692" s="41"/>
      <c r="CW692" s="41"/>
      <c r="CX692" s="41"/>
      <c r="CY692" s="41"/>
      <c r="CZ692" s="41"/>
      <c r="DA692" s="41"/>
      <c r="DB692" s="41"/>
      <c r="DC692" s="41"/>
      <c r="DD692" s="41"/>
      <c r="DE692" s="41"/>
      <c r="DF692" s="41"/>
      <c r="DG692" s="41"/>
      <c r="DH692" s="41"/>
      <c r="DI692" s="41"/>
      <c r="DJ692" s="41"/>
      <c r="DK692" s="41"/>
      <c r="DL692" s="41"/>
      <c r="DM692" s="41"/>
      <c r="DN692" s="41"/>
      <c r="DO692" s="41"/>
      <c r="DP692" s="41"/>
      <c r="DQ692" s="41"/>
      <c r="DR692" s="41"/>
      <c r="DS692" s="43"/>
      <c r="DT692" s="44">
        <f t="shared" ref="DT692" si="674">SUM(F692:DR692)</f>
        <v>1</v>
      </c>
    </row>
    <row r="693" spans="2:124" s="13" customFormat="1">
      <c r="B693" s="4">
        <f>'6.1Personnel List'!B694</f>
        <v>681</v>
      </c>
      <c r="C693" s="45" t="s">
        <v>901</v>
      </c>
      <c r="D693" s="45" t="str">
        <f>'6.1Personnel List'!D694</f>
        <v>Job Order</v>
      </c>
      <c r="E693" s="45" t="str">
        <f>'6.1Personnel List'!H694</f>
        <v>FT</v>
      </c>
      <c r="G693" s="41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  <c r="AA693" s="41"/>
      <c r="AB693" s="41"/>
      <c r="AC693" s="41"/>
      <c r="AD693" s="41"/>
      <c r="AE693" s="41"/>
      <c r="AF693" s="41"/>
      <c r="AG693" s="41"/>
      <c r="AH693" s="41"/>
      <c r="AI693" s="41"/>
      <c r="AJ693" s="41"/>
      <c r="AK693" s="41"/>
      <c r="AL693" s="41"/>
      <c r="AM693" s="41"/>
      <c r="AN693" s="41"/>
      <c r="AO693" s="41"/>
      <c r="AP693" s="41"/>
      <c r="AQ693" s="41"/>
      <c r="AR693" s="41"/>
      <c r="AS693" s="41"/>
      <c r="AT693" s="41"/>
      <c r="AU693" s="41"/>
      <c r="AV693" s="41"/>
      <c r="AW693" s="41"/>
      <c r="AX693" s="41"/>
      <c r="AY693" s="41"/>
      <c r="AZ693" s="41"/>
      <c r="BA693" s="41"/>
      <c r="BB693" s="41"/>
      <c r="BC693" s="41"/>
      <c r="BD693" s="41"/>
      <c r="BE693" s="41"/>
      <c r="BF693" s="41"/>
      <c r="BG693" s="41"/>
      <c r="BH693" s="41"/>
      <c r="BJ693" s="41"/>
      <c r="BK693" s="41"/>
      <c r="BL693" s="41"/>
      <c r="BM693" s="41"/>
      <c r="BN693" s="41"/>
      <c r="BO693" s="41"/>
      <c r="BP693" s="41">
        <v>1</v>
      </c>
      <c r="BQ693" s="41"/>
      <c r="BR693" s="41"/>
      <c r="BS693" s="41"/>
      <c r="BT693" s="41"/>
      <c r="BU693" s="41"/>
      <c r="BV693" s="41"/>
      <c r="BW693" s="41"/>
      <c r="BX693" s="41"/>
      <c r="BY693" s="41"/>
      <c r="BZ693" s="41"/>
      <c r="CA693" s="41"/>
      <c r="CB693" s="41"/>
      <c r="CC693" s="41"/>
      <c r="CD693" s="41"/>
      <c r="CE693" s="41"/>
      <c r="CF693" s="41"/>
      <c r="CG693" s="41"/>
      <c r="CH693" s="41"/>
      <c r="CI693" s="41"/>
      <c r="CJ693" s="41"/>
      <c r="CK693" s="41"/>
      <c r="CL693" s="41"/>
      <c r="CM693" s="41"/>
      <c r="CN693" s="41"/>
      <c r="CO693" s="41"/>
      <c r="CP693" s="41"/>
      <c r="CQ693" s="41"/>
      <c r="CR693" s="41"/>
      <c r="CS693" s="41"/>
      <c r="CT693" s="41"/>
      <c r="CU693" s="41"/>
      <c r="CV693" s="41"/>
      <c r="CW693" s="41"/>
      <c r="CX693" s="41"/>
      <c r="CY693" s="41"/>
      <c r="CZ693" s="41"/>
      <c r="DA693" s="41"/>
      <c r="DB693" s="41"/>
      <c r="DC693" s="41"/>
      <c r="DD693" s="41"/>
      <c r="DE693" s="41"/>
      <c r="DF693" s="41"/>
      <c r="DG693" s="41"/>
      <c r="DH693" s="41"/>
      <c r="DI693" s="41"/>
      <c r="DJ693" s="41"/>
      <c r="DK693" s="41"/>
      <c r="DL693" s="41"/>
      <c r="DM693" s="41"/>
      <c r="DN693" s="41"/>
      <c r="DO693" s="41"/>
      <c r="DP693" s="41"/>
      <c r="DQ693" s="41"/>
      <c r="DR693" s="41"/>
      <c r="DS693" s="43"/>
      <c r="DT693" s="44">
        <f t="shared" ref="DT693" si="675">SUM(F693:DR693)</f>
        <v>1</v>
      </c>
    </row>
    <row r="694" spans="2:124" s="13" customFormat="1">
      <c r="B694" s="4">
        <f>'6.1Personnel List'!B695</f>
        <v>682</v>
      </c>
      <c r="C694" s="45" t="s">
        <v>902</v>
      </c>
      <c r="D694" s="45" t="str">
        <f>'6.1Personnel List'!D695</f>
        <v>Accountant IV</v>
      </c>
      <c r="E694" s="45" t="str">
        <f>'6.1Personnel List'!H695</f>
        <v>FT</v>
      </c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1"/>
      <c r="AH694" s="41"/>
      <c r="AI694" s="41"/>
      <c r="AJ694" s="41"/>
      <c r="AK694" s="41"/>
      <c r="AL694" s="41"/>
      <c r="AM694" s="41"/>
      <c r="AN694" s="41"/>
      <c r="AO694" s="41"/>
      <c r="AP694" s="41"/>
      <c r="AQ694" s="41"/>
      <c r="AR694" s="41"/>
      <c r="AS694" s="41"/>
      <c r="AT694" s="41"/>
      <c r="AU694" s="41"/>
      <c r="AV694" s="41"/>
      <c r="AW694" s="41"/>
      <c r="AX694" s="41"/>
      <c r="AY694" s="41"/>
      <c r="AZ694" s="41"/>
      <c r="BA694" s="41"/>
      <c r="BB694" s="41"/>
      <c r="BC694" s="41"/>
      <c r="BD694" s="41"/>
      <c r="BE694" s="41"/>
      <c r="BF694" s="41"/>
      <c r="BG694" s="41"/>
      <c r="BH694" s="41"/>
      <c r="BJ694" s="41"/>
      <c r="BK694" s="41"/>
      <c r="BL694" s="41"/>
      <c r="BM694" s="41"/>
      <c r="BN694" s="41"/>
      <c r="BO694" s="41"/>
      <c r="BP694" s="41"/>
      <c r="BQ694" s="41"/>
      <c r="BR694" s="41">
        <v>1</v>
      </c>
      <c r="BS694" s="41"/>
      <c r="BT694" s="41"/>
      <c r="BU694" s="41"/>
      <c r="BV694" s="41"/>
      <c r="BW694" s="41"/>
      <c r="BX694" s="41"/>
      <c r="BY694" s="41"/>
      <c r="BZ694" s="41"/>
      <c r="CA694" s="41"/>
      <c r="CB694" s="41"/>
      <c r="CC694" s="41"/>
      <c r="CD694" s="41"/>
      <c r="CE694" s="41"/>
      <c r="CF694" s="41"/>
      <c r="CG694" s="41"/>
      <c r="CH694" s="41"/>
      <c r="CI694" s="41"/>
      <c r="CJ694" s="41"/>
      <c r="CK694" s="41"/>
      <c r="CL694" s="41"/>
      <c r="CM694" s="41"/>
      <c r="CN694" s="41"/>
      <c r="CO694" s="41"/>
      <c r="CP694" s="41"/>
      <c r="CQ694" s="41"/>
      <c r="CR694" s="41"/>
      <c r="CS694" s="41"/>
      <c r="CT694" s="41"/>
      <c r="CU694" s="41"/>
      <c r="CV694" s="41"/>
      <c r="CW694" s="41"/>
      <c r="CX694" s="41"/>
      <c r="CY694" s="41"/>
      <c r="CZ694" s="41"/>
      <c r="DA694" s="41"/>
      <c r="DB694" s="41"/>
      <c r="DC694" s="41"/>
      <c r="DD694" s="41"/>
      <c r="DE694" s="41"/>
      <c r="DF694" s="41"/>
      <c r="DG694" s="41"/>
      <c r="DH694" s="41"/>
      <c r="DI694" s="41"/>
      <c r="DJ694" s="41"/>
      <c r="DK694" s="41"/>
      <c r="DL694" s="41"/>
      <c r="DM694" s="41"/>
      <c r="DN694" s="41"/>
      <c r="DO694" s="41"/>
      <c r="DP694" s="41"/>
      <c r="DQ694" s="41"/>
      <c r="DR694" s="41"/>
      <c r="DS694" s="43"/>
      <c r="DT694" s="44">
        <f t="shared" ref="DT694" si="676">SUM(F694:DR694)</f>
        <v>1</v>
      </c>
    </row>
    <row r="695" spans="2:124" s="13" customFormat="1">
      <c r="B695" s="4">
        <f>'6.1Personnel List'!B696</f>
        <v>683</v>
      </c>
      <c r="C695" s="45" t="s">
        <v>904</v>
      </c>
      <c r="D695" s="45" t="str">
        <f>'6.1Personnel List'!D696</f>
        <v>Accountant III</v>
      </c>
      <c r="E695" s="45" t="str">
        <f>'6.1Personnel List'!H696</f>
        <v>FT</v>
      </c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1"/>
      <c r="AH695" s="41"/>
      <c r="AI695" s="41"/>
      <c r="AJ695" s="41"/>
      <c r="AK695" s="41"/>
      <c r="AL695" s="41"/>
      <c r="AM695" s="41"/>
      <c r="AN695" s="41"/>
      <c r="AO695" s="41"/>
      <c r="AP695" s="41"/>
      <c r="AQ695" s="41"/>
      <c r="AR695" s="41"/>
      <c r="AS695" s="41"/>
      <c r="AT695" s="41"/>
      <c r="AU695" s="41"/>
      <c r="AV695" s="41"/>
      <c r="AW695" s="41"/>
      <c r="AX695" s="41"/>
      <c r="AY695" s="41"/>
      <c r="AZ695" s="41"/>
      <c r="BA695" s="41"/>
      <c r="BB695" s="41"/>
      <c r="BC695" s="41"/>
      <c r="BD695" s="41"/>
      <c r="BE695" s="41"/>
      <c r="BF695" s="41"/>
      <c r="BG695" s="41"/>
      <c r="BH695" s="41"/>
      <c r="BJ695" s="41"/>
      <c r="BK695" s="41"/>
      <c r="BL695" s="41"/>
      <c r="BM695" s="41"/>
      <c r="BN695" s="41"/>
      <c r="BO695" s="41"/>
      <c r="BP695" s="41"/>
      <c r="BQ695" s="41"/>
      <c r="BR695" s="41">
        <v>1</v>
      </c>
      <c r="BS695" s="41"/>
      <c r="BT695" s="41"/>
      <c r="BU695" s="41"/>
      <c r="BV695" s="41"/>
      <c r="BW695" s="41"/>
      <c r="BX695" s="41"/>
      <c r="BY695" s="41"/>
      <c r="BZ695" s="41"/>
      <c r="CA695" s="41"/>
      <c r="CB695" s="41"/>
      <c r="CC695" s="41"/>
      <c r="CD695" s="41"/>
      <c r="CE695" s="41"/>
      <c r="CF695" s="41"/>
      <c r="CG695" s="41"/>
      <c r="CH695" s="41"/>
      <c r="CI695" s="41"/>
      <c r="CJ695" s="41"/>
      <c r="CK695" s="41"/>
      <c r="CL695" s="41"/>
      <c r="CM695" s="41"/>
      <c r="CN695" s="41"/>
      <c r="CO695" s="41"/>
      <c r="CP695" s="41"/>
      <c r="CQ695" s="41"/>
      <c r="CR695" s="41"/>
      <c r="CS695" s="41"/>
      <c r="CT695" s="41"/>
      <c r="CU695" s="41"/>
      <c r="CV695" s="41"/>
      <c r="CW695" s="41"/>
      <c r="CX695" s="41"/>
      <c r="CY695" s="41"/>
      <c r="CZ695" s="41"/>
      <c r="DA695" s="41"/>
      <c r="DB695" s="41"/>
      <c r="DC695" s="41"/>
      <c r="DD695" s="41"/>
      <c r="DE695" s="41"/>
      <c r="DF695" s="41"/>
      <c r="DG695" s="41"/>
      <c r="DH695" s="41"/>
      <c r="DI695" s="41"/>
      <c r="DJ695" s="41"/>
      <c r="DK695" s="41"/>
      <c r="DL695" s="41"/>
      <c r="DM695" s="41"/>
      <c r="DN695" s="41"/>
      <c r="DO695" s="41"/>
      <c r="DP695" s="41"/>
      <c r="DQ695" s="41"/>
      <c r="DR695" s="41"/>
      <c r="DS695" s="43"/>
      <c r="DT695" s="44">
        <f t="shared" ref="DT695" si="677">SUM(F695:DR695)</f>
        <v>1</v>
      </c>
    </row>
    <row r="696" spans="2:124" s="13" customFormat="1">
      <c r="B696" s="4">
        <f>'6.1Personnel List'!B697</f>
        <v>684</v>
      </c>
      <c r="C696" s="45" t="s">
        <v>906</v>
      </c>
      <c r="D696" s="45" t="str">
        <f>'6.1Personnel List'!D697</f>
        <v>Administrative Officer IV</v>
      </c>
      <c r="E696" s="45" t="str">
        <f>'6.1Personnel List'!H697</f>
        <v>FT</v>
      </c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1"/>
      <c r="AH696" s="41"/>
      <c r="AI696" s="41"/>
      <c r="AJ696" s="41"/>
      <c r="AK696" s="41"/>
      <c r="AL696" s="41"/>
      <c r="AM696" s="41"/>
      <c r="AN696" s="41"/>
      <c r="AO696" s="41"/>
      <c r="AP696" s="41"/>
      <c r="AQ696" s="41"/>
      <c r="AR696" s="41"/>
      <c r="AS696" s="41"/>
      <c r="AT696" s="41"/>
      <c r="AU696" s="41"/>
      <c r="AV696" s="41"/>
      <c r="AW696" s="41"/>
      <c r="AX696" s="41"/>
      <c r="AY696" s="41"/>
      <c r="AZ696" s="41"/>
      <c r="BA696" s="41"/>
      <c r="BB696" s="41"/>
      <c r="BC696" s="41"/>
      <c r="BD696" s="41"/>
      <c r="BE696" s="41"/>
      <c r="BF696" s="41"/>
      <c r="BG696" s="41"/>
      <c r="BH696" s="41"/>
      <c r="BJ696" s="41"/>
      <c r="BK696" s="41"/>
      <c r="BL696" s="41"/>
      <c r="BM696" s="41"/>
      <c r="BN696" s="41"/>
      <c r="BO696" s="41"/>
      <c r="BP696" s="41"/>
      <c r="BQ696" s="41"/>
      <c r="BR696" s="41">
        <v>1</v>
      </c>
      <c r="BS696" s="41"/>
      <c r="BT696" s="41"/>
      <c r="BU696" s="41"/>
      <c r="BV696" s="41"/>
      <c r="BW696" s="41"/>
      <c r="BX696" s="41"/>
      <c r="BY696" s="41"/>
      <c r="BZ696" s="41"/>
      <c r="CA696" s="41"/>
      <c r="CB696" s="41"/>
      <c r="CC696" s="41"/>
      <c r="CD696" s="41"/>
      <c r="CE696" s="41"/>
      <c r="CF696" s="41"/>
      <c r="CG696" s="41"/>
      <c r="CH696" s="41"/>
      <c r="CI696" s="41"/>
      <c r="CJ696" s="41"/>
      <c r="CK696" s="41"/>
      <c r="CL696" s="41"/>
      <c r="CM696" s="41"/>
      <c r="CN696" s="41"/>
      <c r="CO696" s="41"/>
      <c r="CP696" s="41"/>
      <c r="CQ696" s="41"/>
      <c r="CR696" s="41"/>
      <c r="CS696" s="41"/>
      <c r="CT696" s="41"/>
      <c r="CU696" s="41"/>
      <c r="CV696" s="41"/>
      <c r="CW696" s="41"/>
      <c r="CX696" s="41"/>
      <c r="CY696" s="41"/>
      <c r="CZ696" s="41"/>
      <c r="DA696" s="41"/>
      <c r="DB696" s="41"/>
      <c r="DC696" s="41"/>
      <c r="DD696" s="41"/>
      <c r="DE696" s="41"/>
      <c r="DF696" s="41"/>
      <c r="DG696" s="41"/>
      <c r="DH696" s="41"/>
      <c r="DI696" s="41"/>
      <c r="DJ696" s="41"/>
      <c r="DK696" s="41"/>
      <c r="DL696" s="41"/>
      <c r="DM696" s="41"/>
      <c r="DN696" s="41"/>
      <c r="DO696" s="41"/>
      <c r="DP696" s="41"/>
      <c r="DQ696" s="41"/>
      <c r="DR696" s="41"/>
      <c r="DS696" s="43"/>
      <c r="DT696" s="44">
        <f t="shared" ref="DT696" si="678">SUM(F696:DR696)</f>
        <v>1</v>
      </c>
    </row>
    <row r="697" spans="2:124" s="13" customFormat="1">
      <c r="B697" s="4">
        <f>'6.1Personnel List'!B698</f>
        <v>685</v>
      </c>
      <c r="C697" s="45" t="s">
        <v>907</v>
      </c>
      <c r="D697" s="45" t="str">
        <f>'6.1Personnel List'!D698</f>
        <v>Administrative Officer II</v>
      </c>
      <c r="E697" s="45" t="str">
        <f>'6.1Personnel List'!H698</f>
        <v>FT</v>
      </c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1"/>
      <c r="AH697" s="41"/>
      <c r="AI697" s="41"/>
      <c r="AJ697" s="41"/>
      <c r="AK697" s="41"/>
      <c r="AL697" s="41"/>
      <c r="AM697" s="41"/>
      <c r="AN697" s="41"/>
      <c r="AO697" s="41"/>
      <c r="AP697" s="41"/>
      <c r="AQ697" s="41"/>
      <c r="AR697" s="41"/>
      <c r="AS697" s="41"/>
      <c r="AT697" s="41"/>
      <c r="AU697" s="41"/>
      <c r="AV697" s="41"/>
      <c r="AW697" s="41"/>
      <c r="AX697" s="41"/>
      <c r="AY697" s="41"/>
      <c r="AZ697" s="41"/>
      <c r="BA697" s="41"/>
      <c r="BB697" s="41"/>
      <c r="BC697" s="41"/>
      <c r="BD697" s="41"/>
      <c r="BE697" s="41"/>
      <c r="BF697" s="41"/>
      <c r="BG697" s="41"/>
      <c r="BH697" s="41"/>
      <c r="BJ697" s="41"/>
      <c r="BK697" s="41"/>
      <c r="BL697" s="41"/>
      <c r="BM697" s="41"/>
      <c r="BN697" s="41"/>
      <c r="BO697" s="41"/>
      <c r="BP697" s="41"/>
      <c r="BQ697" s="41"/>
      <c r="BR697" s="41">
        <v>1</v>
      </c>
      <c r="BS697" s="41"/>
      <c r="BT697" s="41"/>
      <c r="BU697" s="41"/>
      <c r="BV697" s="41"/>
      <c r="BW697" s="41"/>
      <c r="BX697" s="41"/>
      <c r="BY697" s="41"/>
      <c r="BZ697" s="41"/>
      <c r="CA697" s="41"/>
      <c r="CB697" s="41"/>
      <c r="CC697" s="41"/>
      <c r="CD697" s="41"/>
      <c r="CE697" s="41"/>
      <c r="CF697" s="41"/>
      <c r="CG697" s="41"/>
      <c r="CH697" s="41"/>
      <c r="CI697" s="41"/>
      <c r="CJ697" s="41"/>
      <c r="CK697" s="41"/>
      <c r="CL697" s="41"/>
      <c r="CM697" s="41"/>
      <c r="CN697" s="41"/>
      <c r="CO697" s="41"/>
      <c r="CP697" s="41"/>
      <c r="CQ697" s="41"/>
      <c r="CR697" s="41"/>
      <c r="CS697" s="41"/>
      <c r="CT697" s="41"/>
      <c r="CU697" s="41"/>
      <c r="CV697" s="41"/>
      <c r="CW697" s="41"/>
      <c r="CX697" s="41"/>
      <c r="CY697" s="41"/>
      <c r="CZ697" s="41"/>
      <c r="DA697" s="41"/>
      <c r="DB697" s="41"/>
      <c r="DC697" s="41"/>
      <c r="DD697" s="41"/>
      <c r="DE697" s="41"/>
      <c r="DF697" s="41"/>
      <c r="DG697" s="41"/>
      <c r="DH697" s="41"/>
      <c r="DI697" s="41"/>
      <c r="DJ697" s="41"/>
      <c r="DK697" s="41"/>
      <c r="DL697" s="41"/>
      <c r="DM697" s="41"/>
      <c r="DN697" s="41"/>
      <c r="DO697" s="41"/>
      <c r="DP697" s="41"/>
      <c r="DQ697" s="41"/>
      <c r="DR697" s="41"/>
      <c r="DS697" s="43"/>
      <c r="DT697" s="44">
        <f t="shared" ref="DT697" si="679">SUM(F697:DR697)</f>
        <v>1</v>
      </c>
    </row>
    <row r="698" spans="2:124" s="13" customFormat="1">
      <c r="B698" s="4">
        <f>'6.1Personnel List'!B699</f>
        <v>686</v>
      </c>
      <c r="C698" s="45" t="s">
        <v>908</v>
      </c>
      <c r="D698" s="45" t="str">
        <f>'6.1Personnel List'!D699</f>
        <v>Administrative Officer I</v>
      </c>
      <c r="E698" s="45" t="str">
        <f>'6.1Personnel List'!H699</f>
        <v>FT</v>
      </c>
      <c r="G698" s="4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1"/>
      <c r="AH698" s="41"/>
      <c r="AI698" s="41"/>
      <c r="AJ698" s="41"/>
      <c r="AK698" s="41"/>
      <c r="AL698" s="41"/>
      <c r="AM698" s="41"/>
      <c r="AN698" s="41"/>
      <c r="AO698" s="41"/>
      <c r="AP698" s="41"/>
      <c r="AQ698" s="41"/>
      <c r="AR698" s="41"/>
      <c r="AS698" s="41"/>
      <c r="AT698" s="41"/>
      <c r="AU698" s="41"/>
      <c r="AV698" s="41"/>
      <c r="AW698" s="41"/>
      <c r="AX698" s="41"/>
      <c r="AY698" s="41"/>
      <c r="AZ698" s="41"/>
      <c r="BA698" s="41"/>
      <c r="BB698" s="41"/>
      <c r="BC698" s="41"/>
      <c r="BD698" s="41"/>
      <c r="BE698" s="41"/>
      <c r="BF698" s="41"/>
      <c r="BG698" s="41"/>
      <c r="BH698" s="41"/>
      <c r="BJ698" s="41"/>
      <c r="BK698" s="41"/>
      <c r="BL698" s="41"/>
      <c r="BM698" s="41"/>
      <c r="BN698" s="41"/>
      <c r="BO698" s="41"/>
      <c r="BP698" s="41"/>
      <c r="BQ698" s="41"/>
      <c r="BR698" s="41">
        <v>1</v>
      </c>
      <c r="BS698" s="41"/>
      <c r="BT698" s="41"/>
      <c r="BU698" s="41"/>
      <c r="BV698" s="41"/>
      <c r="BW698" s="41"/>
      <c r="BX698" s="41"/>
      <c r="BY698" s="41"/>
      <c r="BZ698" s="41"/>
      <c r="CA698" s="41"/>
      <c r="CB698" s="41"/>
      <c r="CC698" s="41"/>
      <c r="CD698" s="41"/>
      <c r="CE698" s="41"/>
      <c r="CF698" s="41"/>
      <c r="CG698" s="41"/>
      <c r="CH698" s="41"/>
      <c r="CI698" s="41"/>
      <c r="CJ698" s="41"/>
      <c r="CK698" s="41"/>
      <c r="CL698" s="41"/>
      <c r="CM698" s="41"/>
      <c r="CN698" s="41"/>
      <c r="CO698" s="41"/>
      <c r="CP698" s="41"/>
      <c r="CQ698" s="41"/>
      <c r="CR698" s="41"/>
      <c r="CS698" s="41"/>
      <c r="CT698" s="41"/>
      <c r="CU698" s="41"/>
      <c r="CV698" s="41"/>
      <c r="CW698" s="41"/>
      <c r="CX698" s="41"/>
      <c r="CY698" s="41"/>
      <c r="CZ698" s="41"/>
      <c r="DA698" s="41"/>
      <c r="DB698" s="41"/>
      <c r="DC698" s="41"/>
      <c r="DD698" s="41"/>
      <c r="DE698" s="41"/>
      <c r="DF698" s="41"/>
      <c r="DG698" s="41"/>
      <c r="DH698" s="41"/>
      <c r="DI698" s="41"/>
      <c r="DJ698" s="41"/>
      <c r="DK698" s="41"/>
      <c r="DL698" s="41"/>
      <c r="DM698" s="41"/>
      <c r="DN698" s="41"/>
      <c r="DO698" s="41"/>
      <c r="DP698" s="41"/>
      <c r="DQ698" s="41"/>
      <c r="DR698" s="41"/>
      <c r="DS698" s="43"/>
      <c r="DT698" s="44">
        <f t="shared" ref="DT698" si="680">SUM(F698:DR698)</f>
        <v>1</v>
      </c>
    </row>
    <row r="699" spans="2:124" s="13" customFormat="1">
      <c r="B699" s="4">
        <f>'6.1Personnel List'!B700</f>
        <v>687</v>
      </c>
      <c r="C699" s="45" t="s">
        <v>909</v>
      </c>
      <c r="D699" s="45" t="str">
        <f>'6.1Personnel List'!D700</f>
        <v>Administrative Officer I</v>
      </c>
      <c r="E699" s="45" t="str">
        <f>'6.1Personnel List'!H700</f>
        <v>FT</v>
      </c>
      <c r="G699" s="41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1"/>
      <c r="AH699" s="41"/>
      <c r="AI699" s="41"/>
      <c r="AJ699" s="41"/>
      <c r="AK699" s="41"/>
      <c r="AL699" s="41"/>
      <c r="AM699" s="41"/>
      <c r="AN699" s="41"/>
      <c r="AO699" s="41"/>
      <c r="AP699" s="41"/>
      <c r="AQ699" s="41"/>
      <c r="AR699" s="41"/>
      <c r="AS699" s="41"/>
      <c r="AT699" s="41"/>
      <c r="AU699" s="41"/>
      <c r="AV699" s="41"/>
      <c r="AW699" s="41"/>
      <c r="AX699" s="41"/>
      <c r="AY699" s="41"/>
      <c r="AZ699" s="41"/>
      <c r="BA699" s="41"/>
      <c r="BB699" s="41"/>
      <c r="BC699" s="41"/>
      <c r="BD699" s="41"/>
      <c r="BE699" s="41"/>
      <c r="BF699" s="41"/>
      <c r="BG699" s="41"/>
      <c r="BH699" s="41"/>
      <c r="BJ699" s="41"/>
      <c r="BK699" s="41"/>
      <c r="BL699" s="41"/>
      <c r="BM699" s="41"/>
      <c r="BN699" s="41"/>
      <c r="BO699" s="41"/>
      <c r="BP699" s="41"/>
      <c r="BQ699" s="41"/>
      <c r="BR699" s="41">
        <v>1</v>
      </c>
      <c r="BS699" s="41"/>
      <c r="BT699" s="41"/>
      <c r="BU699" s="41"/>
      <c r="BV699" s="41"/>
      <c r="BW699" s="41"/>
      <c r="BX699" s="41"/>
      <c r="BY699" s="41"/>
      <c r="BZ699" s="41"/>
      <c r="CA699" s="41"/>
      <c r="CB699" s="41"/>
      <c r="CC699" s="41"/>
      <c r="CD699" s="41"/>
      <c r="CE699" s="41"/>
      <c r="CF699" s="41"/>
      <c r="CG699" s="41"/>
      <c r="CH699" s="41"/>
      <c r="CI699" s="41"/>
      <c r="CJ699" s="41"/>
      <c r="CK699" s="41"/>
      <c r="CL699" s="41"/>
      <c r="CM699" s="41"/>
      <c r="CN699" s="41"/>
      <c r="CO699" s="41"/>
      <c r="CP699" s="41"/>
      <c r="CQ699" s="41"/>
      <c r="CR699" s="41"/>
      <c r="CS699" s="41"/>
      <c r="CT699" s="41"/>
      <c r="CU699" s="41"/>
      <c r="CV699" s="41"/>
      <c r="CW699" s="41"/>
      <c r="CX699" s="41"/>
      <c r="CY699" s="41"/>
      <c r="CZ699" s="41"/>
      <c r="DA699" s="41"/>
      <c r="DB699" s="41"/>
      <c r="DC699" s="41"/>
      <c r="DD699" s="41"/>
      <c r="DE699" s="41"/>
      <c r="DF699" s="41"/>
      <c r="DG699" s="41"/>
      <c r="DH699" s="41"/>
      <c r="DI699" s="41"/>
      <c r="DJ699" s="41"/>
      <c r="DK699" s="41"/>
      <c r="DL699" s="41"/>
      <c r="DM699" s="41"/>
      <c r="DN699" s="41"/>
      <c r="DO699" s="41"/>
      <c r="DP699" s="41"/>
      <c r="DQ699" s="41"/>
      <c r="DR699" s="41"/>
      <c r="DS699" s="43"/>
      <c r="DT699" s="44">
        <f t="shared" ref="DT699" si="681">SUM(F699:DR699)</f>
        <v>1</v>
      </c>
    </row>
    <row r="700" spans="2:124" s="13" customFormat="1">
      <c r="B700" s="4">
        <f>'6.1Personnel List'!B701</f>
        <v>688</v>
      </c>
      <c r="C700" s="45" t="s">
        <v>910</v>
      </c>
      <c r="D700" s="45" t="str">
        <f>'6.1Personnel List'!D701</f>
        <v>Administrative Assistant III</v>
      </c>
      <c r="E700" s="45" t="str">
        <f>'6.1Personnel List'!H701</f>
        <v>FT</v>
      </c>
      <c r="G700" s="41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1"/>
      <c r="AH700" s="41"/>
      <c r="AI700" s="41"/>
      <c r="AJ700" s="41"/>
      <c r="AK700" s="41"/>
      <c r="AL700" s="41"/>
      <c r="AM700" s="41"/>
      <c r="AN700" s="41"/>
      <c r="AO700" s="41"/>
      <c r="AP700" s="41"/>
      <c r="AQ700" s="41"/>
      <c r="AR700" s="41"/>
      <c r="AS700" s="41"/>
      <c r="AT700" s="41"/>
      <c r="AU700" s="41"/>
      <c r="AV700" s="41"/>
      <c r="AW700" s="41"/>
      <c r="AX700" s="41"/>
      <c r="AY700" s="41"/>
      <c r="AZ700" s="41"/>
      <c r="BA700" s="41"/>
      <c r="BB700" s="41"/>
      <c r="BC700" s="41"/>
      <c r="BD700" s="41"/>
      <c r="BE700" s="41"/>
      <c r="BF700" s="41"/>
      <c r="BG700" s="41"/>
      <c r="BH700" s="41"/>
      <c r="BJ700" s="41"/>
      <c r="BK700" s="41"/>
      <c r="BL700" s="41"/>
      <c r="BM700" s="41"/>
      <c r="BN700" s="41"/>
      <c r="BO700" s="41"/>
      <c r="BP700" s="41"/>
      <c r="BQ700" s="41"/>
      <c r="BR700" s="41">
        <v>1</v>
      </c>
      <c r="BS700" s="41"/>
      <c r="BT700" s="41"/>
      <c r="BU700" s="41"/>
      <c r="BV700" s="41"/>
      <c r="BW700" s="41"/>
      <c r="BX700" s="41"/>
      <c r="BY700" s="41"/>
      <c r="BZ700" s="41"/>
      <c r="CA700" s="41"/>
      <c r="CB700" s="41"/>
      <c r="CC700" s="41"/>
      <c r="CD700" s="41"/>
      <c r="CE700" s="41"/>
      <c r="CF700" s="41"/>
      <c r="CG700" s="41"/>
      <c r="CH700" s="41"/>
      <c r="CI700" s="41"/>
      <c r="CJ700" s="41"/>
      <c r="CK700" s="41"/>
      <c r="CL700" s="41"/>
      <c r="CM700" s="41"/>
      <c r="CN700" s="41"/>
      <c r="CO700" s="41"/>
      <c r="CP700" s="41"/>
      <c r="CQ700" s="41"/>
      <c r="CR700" s="41"/>
      <c r="CS700" s="41"/>
      <c r="CT700" s="41"/>
      <c r="CU700" s="41"/>
      <c r="CV700" s="41"/>
      <c r="CW700" s="41"/>
      <c r="CX700" s="41"/>
      <c r="CY700" s="41"/>
      <c r="CZ700" s="41"/>
      <c r="DA700" s="41"/>
      <c r="DB700" s="41"/>
      <c r="DC700" s="41"/>
      <c r="DD700" s="41"/>
      <c r="DE700" s="41"/>
      <c r="DF700" s="41"/>
      <c r="DG700" s="41"/>
      <c r="DH700" s="41"/>
      <c r="DI700" s="41"/>
      <c r="DJ700" s="41"/>
      <c r="DK700" s="41"/>
      <c r="DL700" s="41"/>
      <c r="DM700" s="41"/>
      <c r="DN700" s="41"/>
      <c r="DO700" s="41"/>
      <c r="DP700" s="41"/>
      <c r="DQ700" s="41"/>
      <c r="DR700" s="41"/>
      <c r="DS700" s="43"/>
      <c r="DT700" s="44">
        <f t="shared" ref="DT700" si="682">SUM(F700:DR700)</f>
        <v>1</v>
      </c>
    </row>
    <row r="701" spans="2:124" s="13" customFormat="1">
      <c r="B701" s="4">
        <f>'6.1Personnel List'!B702</f>
        <v>689</v>
      </c>
      <c r="C701" s="45" t="s">
        <v>911</v>
      </c>
      <c r="D701" s="45" t="str">
        <f>'6.1Personnel List'!D702</f>
        <v>Administrative Assistant III</v>
      </c>
      <c r="E701" s="45" t="str">
        <f>'6.1Personnel List'!H702</f>
        <v>FT</v>
      </c>
      <c r="G701" s="41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  <c r="AA701" s="41"/>
      <c r="AB701" s="41"/>
      <c r="AC701" s="41"/>
      <c r="AD701" s="41"/>
      <c r="AE701" s="41"/>
      <c r="AF701" s="41"/>
      <c r="AG701" s="41"/>
      <c r="AH701" s="41"/>
      <c r="AI701" s="41"/>
      <c r="AJ701" s="41"/>
      <c r="AK701" s="41"/>
      <c r="AL701" s="41"/>
      <c r="AM701" s="41"/>
      <c r="AN701" s="41"/>
      <c r="AO701" s="41"/>
      <c r="AP701" s="41"/>
      <c r="AQ701" s="41"/>
      <c r="AR701" s="41"/>
      <c r="AS701" s="41"/>
      <c r="AT701" s="41"/>
      <c r="AU701" s="41"/>
      <c r="AV701" s="41"/>
      <c r="AW701" s="41"/>
      <c r="AX701" s="41"/>
      <c r="AY701" s="41"/>
      <c r="AZ701" s="41"/>
      <c r="BA701" s="41"/>
      <c r="BB701" s="41"/>
      <c r="BC701" s="41"/>
      <c r="BD701" s="41"/>
      <c r="BE701" s="41"/>
      <c r="BF701" s="41"/>
      <c r="BG701" s="41"/>
      <c r="BH701" s="41"/>
      <c r="BJ701" s="41"/>
      <c r="BK701" s="41"/>
      <c r="BL701" s="41"/>
      <c r="BM701" s="41"/>
      <c r="BN701" s="41"/>
      <c r="BO701" s="41"/>
      <c r="BP701" s="41"/>
      <c r="BQ701" s="41"/>
      <c r="BR701" s="41">
        <v>1</v>
      </c>
      <c r="BS701" s="41"/>
      <c r="BT701" s="41"/>
      <c r="BU701" s="41"/>
      <c r="BV701" s="41"/>
      <c r="BW701" s="41"/>
      <c r="BX701" s="41"/>
      <c r="BY701" s="41"/>
      <c r="BZ701" s="41"/>
      <c r="CA701" s="41"/>
      <c r="CB701" s="41"/>
      <c r="CC701" s="41"/>
      <c r="CD701" s="41"/>
      <c r="CE701" s="41"/>
      <c r="CF701" s="41"/>
      <c r="CG701" s="41"/>
      <c r="CH701" s="41"/>
      <c r="CI701" s="41"/>
      <c r="CJ701" s="41"/>
      <c r="CK701" s="41"/>
      <c r="CL701" s="41"/>
      <c r="CM701" s="41"/>
      <c r="CN701" s="41"/>
      <c r="CO701" s="41"/>
      <c r="CP701" s="41"/>
      <c r="CQ701" s="41"/>
      <c r="CR701" s="41"/>
      <c r="CS701" s="41"/>
      <c r="CT701" s="41"/>
      <c r="CU701" s="41"/>
      <c r="CV701" s="41"/>
      <c r="CW701" s="41"/>
      <c r="CX701" s="41"/>
      <c r="CY701" s="41"/>
      <c r="CZ701" s="41"/>
      <c r="DA701" s="41"/>
      <c r="DB701" s="41"/>
      <c r="DC701" s="41"/>
      <c r="DD701" s="41"/>
      <c r="DE701" s="41"/>
      <c r="DF701" s="41"/>
      <c r="DG701" s="41"/>
      <c r="DH701" s="41"/>
      <c r="DI701" s="41"/>
      <c r="DJ701" s="41"/>
      <c r="DK701" s="41"/>
      <c r="DL701" s="41"/>
      <c r="DM701" s="41"/>
      <c r="DN701" s="41"/>
      <c r="DO701" s="41"/>
      <c r="DP701" s="41"/>
      <c r="DQ701" s="41"/>
      <c r="DR701" s="41"/>
      <c r="DS701" s="43"/>
      <c r="DT701" s="44">
        <f t="shared" ref="DT701" si="683">SUM(F701:DR701)</f>
        <v>1</v>
      </c>
    </row>
    <row r="702" spans="2:124" s="13" customFormat="1">
      <c r="B702" s="4">
        <f>'6.1Personnel List'!B703</f>
        <v>690</v>
      </c>
      <c r="C702" s="45" t="s">
        <v>912</v>
      </c>
      <c r="D702" s="45" t="str">
        <f>'6.1Personnel List'!D703</f>
        <v>Administrative Assistant II</v>
      </c>
      <c r="E702" s="45" t="str">
        <f>'6.1Personnel List'!H703</f>
        <v>FT</v>
      </c>
      <c r="G702" s="41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  <c r="AA702" s="41"/>
      <c r="AB702" s="41"/>
      <c r="AC702" s="41"/>
      <c r="AD702" s="41"/>
      <c r="AE702" s="41"/>
      <c r="AF702" s="41"/>
      <c r="AG702" s="41"/>
      <c r="AH702" s="41"/>
      <c r="AI702" s="41"/>
      <c r="AJ702" s="41"/>
      <c r="AK702" s="41"/>
      <c r="AL702" s="41"/>
      <c r="AM702" s="41"/>
      <c r="AN702" s="41"/>
      <c r="AO702" s="41"/>
      <c r="AP702" s="41"/>
      <c r="AQ702" s="41"/>
      <c r="AR702" s="41"/>
      <c r="AS702" s="41"/>
      <c r="AT702" s="41"/>
      <c r="AU702" s="41"/>
      <c r="AV702" s="41"/>
      <c r="AW702" s="41"/>
      <c r="AX702" s="41"/>
      <c r="AY702" s="41"/>
      <c r="AZ702" s="41"/>
      <c r="BA702" s="41"/>
      <c r="BB702" s="41"/>
      <c r="BC702" s="41"/>
      <c r="BD702" s="41"/>
      <c r="BE702" s="41"/>
      <c r="BF702" s="41"/>
      <c r="BG702" s="41"/>
      <c r="BH702" s="41"/>
      <c r="BJ702" s="41"/>
      <c r="BK702" s="41"/>
      <c r="BL702" s="41"/>
      <c r="BM702" s="41"/>
      <c r="BN702" s="41"/>
      <c r="BO702" s="41"/>
      <c r="BP702" s="41"/>
      <c r="BQ702" s="41"/>
      <c r="BR702" s="41">
        <v>1</v>
      </c>
      <c r="BS702" s="41"/>
      <c r="BT702" s="41"/>
      <c r="BU702" s="41"/>
      <c r="BV702" s="41"/>
      <c r="BW702" s="41"/>
      <c r="BX702" s="41"/>
      <c r="BY702" s="41"/>
      <c r="BZ702" s="41"/>
      <c r="CA702" s="41"/>
      <c r="CB702" s="41"/>
      <c r="CC702" s="41"/>
      <c r="CD702" s="41"/>
      <c r="CE702" s="41"/>
      <c r="CF702" s="41"/>
      <c r="CG702" s="41"/>
      <c r="CH702" s="41"/>
      <c r="CI702" s="41"/>
      <c r="CJ702" s="41"/>
      <c r="CK702" s="41"/>
      <c r="CL702" s="41"/>
      <c r="CM702" s="41"/>
      <c r="CN702" s="41"/>
      <c r="CO702" s="41"/>
      <c r="CP702" s="41"/>
      <c r="CQ702" s="41"/>
      <c r="CR702" s="41"/>
      <c r="CS702" s="41"/>
      <c r="CT702" s="41"/>
      <c r="CU702" s="41"/>
      <c r="CV702" s="41"/>
      <c r="CW702" s="41"/>
      <c r="CX702" s="41"/>
      <c r="CY702" s="41"/>
      <c r="CZ702" s="41"/>
      <c r="DA702" s="41"/>
      <c r="DB702" s="41"/>
      <c r="DC702" s="41"/>
      <c r="DD702" s="41"/>
      <c r="DE702" s="41"/>
      <c r="DF702" s="41"/>
      <c r="DG702" s="41"/>
      <c r="DH702" s="41"/>
      <c r="DI702" s="41"/>
      <c r="DJ702" s="41"/>
      <c r="DK702" s="41"/>
      <c r="DL702" s="41"/>
      <c r="DM702" s="41"/>
      <c r="DN702" s="41"/>
      <c r="DO702" s="41"/>
      <c r="DP702" s="41"/>
      <c r="DQ702" s="41"/>
      <c r="DR702" s="41"/>
      <c r="DS702" s="43"/>
      <c r="DT702" s="44">
        <f t="shared" ref="DT702" si="684">SUM(F702:DR702)</f>
        <v>1</v>
      </c>
    </row>
    <row r="703" spans="2:124" s="13" customFormat="1">
      <c r="B703" s="4">
        <f>'6.1Personnel List'!B704</f>
        <v>691</v>
      </c>
      <c r="C703" s="45" t="s">
        <v>913</v>
      </c>
      <c r="D703" s="45" t="str">
        <f>'6.1Personnel List'!D704</f>
        <v>Administrative Assistant II</v>
      </c>
      <c r="E703" s="45" t="str">
        <f>'6.1Personnel List'!H704</f>
        <v>FT</v>
      </c>
      <c r="G703" s="41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  <c r="AA703" s="41"/>
      <c r="AB703" s="41"/>
      <c r="AC703" s="41"/>
      <c r="AD703" s="41"/>
      <c r="AE703" s="41"/>
      <c r="AF703" s="41"/>
      <c r="AG703" s="41"/>
      <c r="AH703" s="41"/>
      <c r="AI703" s="41"/>
      <c r="AJ703" s="41"/>
      <c r="AK703" s="41"/>
      <c r="AL703" s="41"/>
      <c r="AM703" s="41"/>
      <c r="AN703" s="41"/>
      <c r="AO703" s="41"/>
      <c r="AP703" s="41"/>
      <c r="AQ703" s="41"/>
      <c r="AR703" s="41"/>
      <c r="AS703" s="41"/>
      <c r="AT703" s="41"/>
      <c r="AU703" s="41"/>
      <c r="AV703" s="41"/>
      <c r="AW703" s="41"/>
      <c r="AX703" s="41"/>
      <c r="AY703" s="41"/>
      <c r="AZ703" s="41"/>
      <c r="BA703" s="41"/>
      <c r="BB703" s="41"/>
      <c r="BC703" s="41"/>
      <c r="BD703" s="41"/>
      <c r="BE703" s="41"/>
      <c r="BF703" s="41"/>
      <c r="BG703" s="41"/>
      <c r="BH703" s="41"/>
      <c r="BJ703" s="41"/>
      <c r="BK703" s="41"/>
      <c r="BL703" s="41"/>
      <c r="BM703" s="41"/>
      <c r="BN703" s="41"/>
      <c r="BO703" s="41"/>
      <c r="BP703" s="41"/>
      <c r="BQ703" s="41"/>
      <c r="BR703" s="41">
        <v>1</v>
      </c>
      <c r="BS703" s="41"/>
      <c r="BT703" s="41"/>
      <c r="BU703" s="41"/>
      <c r="BV703" s="41"/>
      <c r="BW703" s="41"/>
      <c r="BX703" s="41"/>
      <c r="BY703" s="41"/>
      <c r="BZ703" s="41"/>
      <c r="CA703" s="41"/>
      <c r="CB703" s="41"/>
      <c r="CC703" s="41"/>
      <c r="CD703" s="41"/>
      <c r="CE703" s="41"/>
      <c r="CF703" s="41"/>
      <c r="CG703" s="41"/>
      <c r="CH703" s="41"/>
      <c r="CI703" s="41"/>
      <c r="CJ703" s="41"/>
      <c r="CK703" s="41"/>
      <c r="CL703" s="41"/>
      <c r="CM703" s="41"/>
      <c r="CN703" s="41"/>
      <c r="CO703" s="41"/>
      <c r="CP703" s="41"/>
      <c r="CQ703" s="41"/>
      <c r="CR703" s="41"/>
      <c r="CS703" s="41"/>
      <c r="CT703" s="41"/>
      <c r="CU703" s="41"/>
      <c r="CV703" s="41"/>
      <c r="CW703" s="41"/>
      <c r="CX703" s="41"/>
      <c r="CY703" s="41"/>
      <c r="CZ703" s="41"/>
      <c r="DA703" s="41"/>
      <c r="DB703" s="41"/>
      <c r="DC703" s="41"/>
      <c r="DD703" s="41"/>
      <c r="DE703" s="41"/>
      <c r="DF703" s="41"/>
      <c r="DG703" s="41"/>
      <c r="DH703" s="41"/>
      <c r="DI703" s="41"/>
      <c r="DJ703" s="41"/>
      <c r="DK703" s="41"/>
      <c r="DL703" s="41"/>
      <c r="DM703" s="41"/>
      <c r="DN703" s="41"/>
      <c r="DO703" s="41"/>
      <c r="DP703" s="41"/>
      <c r="DQ703" s="41"/>
      <c r="DR703" s="41"/>
      <c r="DS703" s="43"/>
      <c r="DT703" s="44">
        <f t="shared" ref="DT703" si="685">SUM(F703:DR703)</f>
        <v>1</v>
      </c>
    </row>
    <row r="704" spans="2:124" s="13" customFormat="1">
      <c r="B704" s="4">
        <f>'6.1Personnel List'!B705</f>
        <v>692</v>
      </c>
      <c r="C704" s="45" t="s">
        <v>914</v>
      </c>
      <c r="D704" s="45" t="str">
        <f>'6.1Personnel List'!D705</f>
        <v>Administrative Assistant II</v>
      </c>
      <c r="E704" s="45" t="str">
        <f>'6.1Personnel List'!H705</f>
        <v>FT</v>
      </c>
      <c r="G704" s="41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  <c r="AA704" s="41"/>
      <c r="AB704" s="41"/>
      <c r="AC704" s="41"/>
      <c r="AD704" s="41"/>
      <c r="AE704" s="41"/>
      <c r="AF704" s="41"/>
      <c r="AG704" s="41"/>
      <c r="AH704" s="41"/>
      <c r="AI704" s="41"/>
      <c r="AJ704" s="41"/>
      <c r="AK704" s="41"/>
      <c r="AL704" s="41"/>
      <c r="AM704" s="41"/>
      <c r="AN704" s="41"/>
      <c r="AO704" s="41"/>
      <c r="AP704" s="41"/>
      <c r="AQ704" s="41"/>
      <c r="AR704" s="41"/>
      <c r="AS704" s="41"/>
      <c r="AT704" s="41"/>
      <c r="AU704" s="41"/>
      <c r="AV704" s="41"/>
      <c r="AW704" s="41"/>
      <c r="AX704" s="41"/>
      <c r="AY704" s="41"/>
      <c r="AZ704" s="41"/>
      <c r="BA704" s="41"/>
      <c r="BB704" s="41"/>
      <c r="BC704" s="41"/>
      <c r="BD704" s="41"/>
      <c r="BE704" s="41"/>
      <c r="BF704" s="41"/>
      <c r="BG704" s="41"/>
      <c r="BH704" s="41"/>
      <c r="BJ704" s="41"/>
      <c r="BK704" s="41"/>
      <c r="BL704" s="41"/>
      <c r="BM704" s="41"/>
      <c r="BN704" s="41"/>
      <c r="BO704" s="41"/>
      <c r="BP704" s="41"/>
      <c r="BQ704" s="41"/>
      <c r="BR704" s="41">
        <v>1</v>
      </c>
      <c r="BS704" s="41"/>
      <c r="BT704" s="41"/>
      <c r="BU704" s="41"/>
      <c r="BV704" s="41"/>
      <c r="BW704" s="41"/>
      <c r="BX704" s="41"/>
      <c r="BY704" s="41"/>
      <c r="BZ704" s="41"/>
      <c r="CA704" s="41"/>
      <c r="CB704" s="41"/>
      <c r="CC704" s="41"/>
      <c r="CD704" s="41"/>
      <c r="CE704" s="41"/>
      <c r="CF704" s="41"/>
      <c r="CG704" s="41"/>
      <c r="CH704" s="41"/>
      <c r="CI704" s="41"/>
      <c r="CJ704" s="41"/>
      <c r="CK704" s="41"/>
      <c r="CL704" s="41"/>
      <c r="CM704" s="41"/>
      <c r="CN704" s="41"/>
      <c r="CO704" s="41"/>
      <c r="CP704" s="41"/>
      <c r="CQ704" s="41"/>
      <c r="CR704" s="41"/>
      <c r="CS704" s="41"/>
      <c r="CT704" s="41"/>
      <c r="CU704" s="41"/>
      <c r="CV704" s="41"/>
      <c r="CW704" s="41"/>
      <c r="CX704" s="41"/>
      <c r="CY704" s="41"/>
      <c r="CZ704" s="41"/>
      <c r="DA704" s="41"/>
      <c r="DB704" s="41"/>
      <c r="DC704" s="41"/>
      <c r="DD704" s="41"/>
      <c r="DE704" s="41"/>
      <c r="DF704" s="41"/>
      <c r="DG704" s="41"/>
      <c r="DH704" s="41"/>
      <c r="DI704" s="41"/>
      <c r="DJ704" s="41"/>
      <c r="DK704" s="41"/>
      <c r="DL704" s="41"/>
      <c r="DM704" s="41"/>
      <c r="DN704" s="41"/>
      <c r="DO704" s="41"/>
      <c r="DP704" s="41"/>
      <c r="DQ704" s="41"/>
      <c r="DR704" s="41"/>
      <c r="DS704" s="43"/>
      <c r="DT704" s="44">
        <f t="shared" ref="DT704" si="686">SUM(F704:DR704)</f>
        <v>1</v>
      </c>
    </row>
    <row r="705" spans="2:124" s="13" customFormat="1">
      <c r="B705" s="4">
        <f>'6.1Personnel List'!B706</f>
        <v>693</v>
      </c>
      <c r="C705" s="45" t="s">
        <v>915</v>
      </c>
      <c r="D705" s="45" t="str">
        <f>'6.1Personnel List'!D706</f>
        <v>Administrative Assistant II</v>
      </c>
      <c r="E705" s="45" t="str">
        <f>'6.1Personnel List'!H706</f>
        <v>FT</v>
      </c>
      <c r="G705" s="41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  <c r="AA705" s="41"/>
      <c r="AB705" s="41"/>
      <c r="AC705" s="41"/>
      <c r="AD705" s="41"/>
      <c r="AE705" s="41"/>
      <c r="AF705" s="41"/>
      <c r="AG705" s="41"/>
      <c r="AH705" s="41"/>
      <c r="AI705" s="41"/>
      <c r="AJ705" s="41"/>
      <c r="AK705" s="41"/>
      <c r="AL705" s="41"/>
      <c r="AM705" s="41"/>
      <c r="AN705" s="41"/>
      <c r="AO705" s="41"/>
      <c r="AP705" s="41"/>
      <c r="AQ705" s="41"/>
      <c r="AR705" s="41"/>
      <c r="AS705" s="41"/>
      <c r="AT705" s="41"/>
      <c r="AU705" s="41"/>
      <c r="AV705" s="41"/>
      <c r="AW705" s="41"/>
      <c r="AX705" s="41"/>
      <c r="AY705" s="41"/>
      <c r="AZ705" s="41"/>
      <c r="BA705" s="41"/>
      <c r="BB705" s="41"/>
      <c r="BC705" s="41"/>
      <c r="BD705" s="41"/>
      <c r="BE705" s="41"/>
      <c r="BF705" s="41"/>
      <c r="BG705" s="41"/>
      <c r="BH705" s="41"/>
      <c r="BJ705" s="41"/>
      <c r="BK705" s="41"/>
      <c r="BL705" s="41"/>
      <c r="BM705" s="41"/>
      <c r="BN705" s="41"/>
      <c r="BO705" s="41"/>
      <c r="BP705" s="41"/>
      <c r="BQ705" s="41"/>
      <c r="BR705" s="41">
        <v>1</v>
      </c>
      <c r="BS705" s="41"/>
      <c r="BT705" s="41"/>
      <c r="BU705" s="41"/>
      <c r="BV705" s="41"/>
      <c r="BW705" s="41"/>
      <c r="BX705" s="41"/>
      <c r="BY705" s="41"/>
      <c r="BZ705" s="41"/>
      <c r="CA705" s="41"/>
      <c r="CB705" s="41"/>
      <c r="CC705" s="41"/>
      <c r="CD705" s="41"/>
      <c r="CE705" s="41"/>
      <c r="CF705" s="41"/>
      <c r="CG705" s="41"/>
      <c r="CH705" s="41"/>
      <c r="CI705" s="41"/>
      <c r="CJ705" s="41"/>
      <c r="CK705" s="41"/>
      <c r="CL705" s="41"/>
      <c r="CM705" s="41"/>
      <c r="CN705" s="41"/>
      <c r="CO705" s="41"/>
      <c r="CP705" s="41"/>
      <c r="CQ705" s="41"/>
      <c r="CR705" s="41"/>
      <c r="CS705" s="41"/>
      <c r="CT705" s="41"/>
      <c r="CU705" s="41"/>
      <c r="CV705" s="41"/>
      <c r="CW705" s="41"/>
      <c r="CX705" s="41"/>
      <c r="CY705" s="41"/>
      <c r="CZ705" s="41"/>
      <c r="DA705" s="41"/>
      <c r="DB705" s="41"/>
      <c r="DC705" s="41"/>
      <c r="DD705" s="41"/>
      <c r="DE705" s="41"/>
      <c r="DF705" s="41"/>
      <c r="DG705" s="41"/>
      <c r="DH705" s="41"/>
      <c r="DI705" s="41"/>
      <c r="DJ705" s="41"/>
      <c r="DK705" s="41"/>
      <c r="DL705" s="41"/>
      <c r="DM705" s="41"/>
      <c r="DN705" s="41"/>
      <c r="DO705" s="41"/>
      <c r="DP705" s="41"/>
      <c r="DQ705" s="41"/>
      <c r="DR705" s="41"/>
      <c r="DS705" s="43"/>
      <c r="DT705" s="44">
        <f t="shared" ref="DT705" si="687">SUM(F705:DR705)</f>
        <v>1</v>
      </c>
    </row>
    <row r="706" spans="2:124" s="13" customFormat="1">
      <c r="B706" s="4">
        <f>'6.1Personnel List'!B707</f>
        <v>694</v>
      </c>
      <c r="C706" s="45" t="s">
        <v>916</v>
      </c>
      <c r="D706" s="45" t="str">
        <f>'6.1Personnel List'!D707</f>
        <v>Administrative Assistant II</v>
      </c>
      <c r="E706" s="45" t="str">
        <f>'6.1Personnel List'!H707</f>
        <v>FT</v>
      </c>
      <c r="G706" s="41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1"/>
      <c r="AH706" s="41"/>
      <c r="AI706" s="41"/>
      <c r="AJ706" s="41"/>
      <c r="AK706" s="41"/>
      <c r="AL706" s="41"/>
      <c r="AM706" s="41"/>
      <c r="AN706" s="41"/>
      <c r="AO706" s="41"/>
      <c r="AP706" s="41"/>
      <c r="AQ706" s="41"/>
      <c r="AR706" s="41"/>
      <c r="AS706" s="41"/>
      <c r="AT706" s="41"/>
      <c r="AU706" s="41"/>
      <c r="AV706" s="41"/>
      <c r="AW706" s="41"/>
      <c r="AX706" s="41"/>
      <c r="AY706" s="41"/>
      <c r="AZ706" s="41"/>
      <c r="BA706" s="41"/>
      <c r="BB706" s="41"/>
      <c r="BC706" s="41"/>
      <c r="BD706" s="41"/>
      <c r="BE706" s="41"/>
      <c r="BF706" s="41"/>
      <c r="BG706" s="41"/>
      <c r="BH706" s="41"/>
      <c r="BJ706" s="41"/>
      <c r="BK706" s="41"/>
      <c r="BL706" s="41"/>
      <c r="BM706" s="41"/>
      <c r="BN706" s="41"/>
      <c r="BO706" s="41"/>
      <c r="BP706" s="41"/>
      <c r="BQ706" s="41"/>
      <c r="BR706" s="41">
        <v>1</v>
      </c>
      <c r="BS706" s="41"/>
      <c r="BT706" s="41"/>
      <c r="BU706" s="41"/>
      <c r="BV706" s="41"/>
      <c r="BW706" s="41"/>
      <c r="BX706" s="41"/>
      <c r="BY706" s="41"/>
      <c r="BZ706" s="41"/>
      <c r="CA706" s="41"/>
      <c r="CB706" s="41"/>
      <c r="CC706" s="41"/>
      <c r="CD706" s="41"/>
      <c r="CE706" s="41"/>
      <c r="CF706" s="41"/>
      <c r="CG706" s="41"/>
      <c r="CH706" s="41"/>
      <c r="CI706" s="41"/>
      <c r="CJ706" s="41"/>
      <c r="CK706" s="41"/>
      <c r="CL706" s="41"/>
      <c r="CM706" s="41"/>
      <c r="CN706" s="41"/>
      <c r="CO706" s="41"/>
      <c r="CP706" s="41"/>
      <c r="CQ706" s="41"/>
      <c r="CR706" s="41"/>
      <c r="CS706" s="41"/>
      <c r="CT706" s="41"/>
      <c r="CU706" s="41"/>
      <c r="CV706" s="41"/>
      <c r="CW706" s="41"/>
      <c r="CX706" s="41"/>
      <c r="CY706" s="41"/>
      <c r="CZ706" s="41"/>
      <c r="DA706" s="41"/>
      <c r="DB706" s="41"/>
      <c r="DC706" s="41"/>
      <c r="DD706" s="41"/>
      <c r="DE706" s="41"/>
      <c r="DF706" s="41"/>
      <c r="DG706" s="41"/>
      <c r="DH706" s="41"/>
      <c r="DI706" s="41"/>
      <c r="DJ706" s="41"/>
      <c r="DK706" s="41"/>
      <c r="DL706" s="41"/>
      <c r="DM706" s="41"/>
      <c r="DN706" s="41"/>
      <c r="DO706" s="41"/>
      <c r="DP706" s="41"/>
      <c r="DQ706" s="41"/>
      <c r="DR706" s="41"/>
      <c r="DS706" s="43"/>
      <c r="DT706" s="44">
        <f t="shared" ref="DT706" si="688">SUM(F706:DR706)</f>
        <v>1</v>
      </c>
    </row>
    <row r="707" spans="2:124" s="13" customFormat="1">
      <c r="B707" s="4">
        <f>'6.1Personnel List'!B708</f>
        <v>695</v>
      </c>
      <c r="C707" s="45" t="s">
        <v>917</v>
      </c>
      <c r="D707" s="45" t="str">
        <f>'6.1Personnel List'!D708</f>
        <v>Administrative Assistant II</v>
      </c>
      <c r="E707" s="45" t="str">
        <f>'6.1Personnel List'!H708</f>
        <v>FT</v>
      </c>
      <c r="G707" s="41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1"/>
      <c r="AH707" s="41"/>
      <c r="AI707" s="41"/>
      <c r="AJ707" s="41"/>
      <c r="AK707" s="41"/>
      <c r="AL707" s="41"/>
      <c r="AM707" s="41"/>
      <c r="AN707" s="41"/>
      <c r="AO707" s="41"/>
      <c r="AP707" s="41"/>
      <c r="AQ707" s="41"/>
      <c r="AR707" s="41"/>
      <c r="AS707" s="41"/>
      <c r="AT707" s="41"/>
      <c r="AU707" s="41"/>
      <c r="AV707" s="41"/>
      <c r="AW707" s="41"/>
      <c r="AX707" s="41"/>
      <c r="AY707" s="41"/>
      <c r="AZ707" s="41"/>
      <c r="BA707" s="41"/>
      <c r="BB707" s="41"/>
      <c r="BC707" s="41"/>
      <c r="BD707" s="41"/>
      <c r="BE707" s="41"/>
      <c r="BF707" s="41"/>
      <c r="BG707" s="41"/>
      <c r="BH707" s="41"/>
      <c r="BJ707" s="41"/>
      <c r="BK707" s="41"/>
      <c r="BL707" s="41"/>
      <c r="BM707" s="41"/>
      <c r="BN707" s="41"/>
      <c r="BO707" s="41"/>
      <c r="BP707" s="41"/>
      <c r="BQ707" s="41"/>
      <c r="BR707" s="41">
        <v>1</v>
      </c>
      <c r="BS707" s="41"/>
      <c r="BT707" s="41"/>
      <c r="BU707" s="41"/>
      <c r="BV707" s="41"/>
      <c r="BW707" s="41"/>
      <c r="BX707" s="41"/>
      <c r="BY707" s="41"/>
      <c r="BZ707" s="41"/>
      <c r="CA707" s="41"/>
      <c r="CB707" s="41"/>
      <c r="CC707" s="41"/>
      <c r="CD707" s="41"/>
      <c r="CE707" s="41"/>
      <c r="CF707" s="41"/>
      <c r="CG707" s="41"/>
      <c r="CH707" s="41"/>
      <c r="CI707" s="41"/>
      <c r="CJ707" s="41"/>
      <c r="CK707" s="41"/>
      <c r="CL707" s="41"/>
      <c r="CM707" s="41"/>
      <c r="CN707" s="41"/>
      <c r="CO707" s="41"/>
      <c r="CP707" s="41"/>
      <c r="CQ707" s="41"/>
      <c r="CR707" s="41"/>
      <c r="CS707" s="41"/>
      <c r="CT707" s="41"/>
      <c r="CU707" s="41"/>
      <c r="CV707" s="41"/>
      <c r="CW707" s="41"/>
      <c r="CX707" s="41"/>
      <c r="CY707" s="41"/>
      <c r="CZ707" s="41"/>
      <c r="DA707" s="41"/>
      <c r="DB707" s="41"/>
      <c r="DC707" s="41"/>
      <c r="DD707" s="41"/>
      <c r="DE707" s="41"/>
      <c r="DF707" s="41"/>
      <c r="DG707" s="41"/>
      <c r="DH707" s="41"/>
      <c r="DI707" s="41"/>
      <c r="DJ707" s="41"/>
      <c r="DK707" s="41"/>
      <c r="DL707" s="41"/>
      <c r="DM707" s="41"/>
      <c r="DN707" s="41"/>
      <c r="DO707" s="41"/>
      <c r="DP707" s="41"/>
      <c r="DQ707" s="41"/>
      <c r="DR707" s="41"/>
      <c r="DS707" s="43"/>
      <c r="DT707" s="44">
        <f t="shared" ref="DT707" si="689">SUM(F707:DR707)</f>
        <v>1</v>
      </c>
    </row>
    <row r="708" spans="2:124" s="13" customFormat="1">
      <c r="B708" s="4">
        <f>'6.1Personnel List'!B709</f>
        <v>696</v>
      </c>
      <c r="C708" s="45" t="s">
        <v>918</v>
      </c>
      <c r="D708" s="45" t="str">
        <f>'6.1Personnel List'!D709</f>
        <v>Administrative Assistant II</v>
      </c>
      <c r="E708" s="45" t="str">
        <f>'6.1Personnel List'!H709</f>
        <v>FT</v>
      </c>
      <c r="G708" s="41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1"/>
      <c r="AH708" s="41"/>
      <c r="AI708" s="41"/>
      <c r="AJ708" s="41"/>
      <c r="AK708" s="41"/>
      <c r="AL708" s="41"/>
      <c r="AM708" s="41"/>
      <c r="AN708" s="41"/>
      <c r="AO708" s="41"/>
      <c r="AP708" s="41"/>
      <c r="AQ708" s="41"/>
      <c r="AR708" s="41"/>
      <c r="AS708" s="41"/>
      <c r="AT708" s="41"/>
      <c r="AU708" s="41"/>
      <c r="AV708" s="41"/>
      <c r="AW708" s="41"/>
      <c r="AX708" s="41"/>
      <c r="AY708" s="41"/>
      <c r="AZ708" s="41"/>
      <c r="BA708" s="41"/>
      <c r="BB708" s="41"/>
      <c r="BC708" s="41"/>
      <c r="BD708" s="41"/>
      <c r="BE708" s="41"/>
      <c r="BF708" s="41"/>
      <c r="BG708" s="41"/>
      <c r="BH708" s="41"/>
      <c r="BJ708" s="41"/>
      <c r="BK708" s="41"/>
      <c r="BL708" s="41"/>
      <c r="BM708" s="41"/>
      <c r="BN708" s="41"/>
      <c r="BO708" s="41"/>
      <c r="BP708" s="41"/>
      <c r="BQ708" s="41"/>
      <c r="BR708" s="41">
        <v>1</v>
      </c>
      <c r="BS708" s="41"/>
      <c r="BT708" s="41"/>
      <c r="BU708" s="41"/>
      <c r="BV708" s="41"/>
      <c r="BW708" s="41"/>
      <c r="BX708" s="41"/>
      <c r="BY708" s="41"/>
      <c r="BZ708" s="41"/>
      <c r="CA708" s="41"/>
      <c r="CB708" s="41"/>
      <c r="CC708" s="41"/>
      <c r="CD708" s="41"/>
      <c r="CE708" s="41"/>
      <c r="CF708" s="41"/>
      <c r="CG708" s="41"/>
      <c r="CH708" s="41"/>
      <c r="CI708" s="41"/>
      <c r="CJ708" s="41"/>
      <c r="CK708" s="41"/>
      <c r="CL708" s="41"/>
      <c r="CM708" s="41"/>
      <c r="CN708" s="41"/>
      <c r="CO708" s="41"/>
      <c r="CP708" s="41"/>
      <c r="CQ708" s="41"/>
      <c r="CR708" s="41"/>
      <c r="CS708" s="41"/>
      <c r="CT708" s="41"/>
      <c r="CU708" s="41"/>
      <c r="CV708" s="41"/>
      <c r="CW708" s="41"/>
      <c r="CX708" s="41"/>
      <c r="CY708" s="41"/>
      <c r="CZ708" s="41"/>
      <c r="DA708" s="41"/>
      <c r="DB708" s="41"/>
      <c r="DC708" s="41"/>
      <c r="DD708" s="41"/>
      <c r="DE708" s="41"/>
      <c r="DF708" s="41"/>
      <c r="DG708" s="41"/>
      <c r="DH708" s="41"/>
      <c r="DI708" s="41"/>
      <c r="DJ708" s="41"/>
      <c r="DK708" s="41"/>
      <c r="DL708" s="41"/>
      <c r="DM708" s="41"/>
      <c r="DN708" s="41"/>
      <c r="DO708" s="41"/>
      <c r="DP708" s="41"/>
      <c r="DQ708" s="41"/>
      <c r="DR708" s="41"/>
      <c r="DS708" s="43"/>
      <c r="DT708" s="44">
        <f t="shared" ref="DT708" si="690">SUM(F708:DR708)</f>
        <v>1</v>
      </c>
    </row>
    <row r="709" spans="2:124" s="13" customFormat="1">
      <c r="B709" s="4">
        <f>'6.1Personnel List'!B710</f>
        <v>697</v>
      </c>
      <c r="C709" s="45" t="s">
        <v>919</v>
      </c>
      <c r="D709" s="45" t="str">
        <f>'6.1Personnel List'!D710</f>
        <v>Administrative Aide I</v>
      </c>
      <c r="E709" s="45" t="str">
        <f>'6.1Personnel List'!H710</f>
        <v>FT</v>
      </c>
      <c r="G709" s="41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1"/>
      <c r="AH709" s="41"/>
      <c r="AI709" s="41"/>
      <c r="AJ709" s="41"/>
      <c r="AK709" s="41"/>
      <c r="AL709" s="41"/>
      <c r="AM709" s="41"/>
      <c r="AN709" s="41"/>
      <c r="AO709" s="41"/>
      <c r="AP709" s="41"/>
      <c r="AQ709" s="41"/>
      <c r="AR709" s="41"/>
      <c r="AS709" s="41"/>
      <c r="AT709" s="41"/>
      <c r="AU709" s="41"/>
      <c r="AV709" s="41"/>
      <c r="AW709" s="41"/>
      <c r="AX709" s="41"/>
      <c r="AY709" s="41"/>
      <c r="AZ709" s="41"/>
      <c r="BA709" s="41"/>
      <c r="BB709" s="41"/>
      <c r="BC709" s="41"/>
      <c r="BD709" s="41"/>
      <c r="BE709" s="41"/>
      <c r="BF709" s="41"/>
      <c r="BG709" s="41"/>
      <c r="BH709" s="41"/>
      <c r="BJ709" s="41"/>
      <c r="BK709" s="41"/>
      <c r="BL709" s="41"/>
      <c r="BM709" s="41"/>
      <c r="BN709" s="41"/>
      <c r="BO709" s="41"/>
      <c r="BP709" s="41"/>
      <c r="BQ709" s="41"/>
      <c r="BR709" s="41">
        <v>1</v>
      </c>
      <c r="BS709" s="41"/>
      <c r="BT709" s="41"/>
      <c r="BU709" s="41"/>
      <c r="BV709" s="41"/>
      <c r="BW709" s="41"/>
      <c r="BX709" s="41"/>
      <c r="BY709" s="41"/>
      <c r="BZ709" s="41"/>
      <c r="CA709" s="41"/>
      <c r="CB709" s="41"/>
      <c r="CC709" s="41"/>
      <c r="CD709" s="41"/>
      <c r="CE709" s="41"/>
      <c r="CF709" s="41"/>
      <c r="CG709" s="41"/>
      <c r="CH709" s="41"/>
      <c r="CI709" s="41"/>
      <c r="CJ709" s="41"/>
      <c r="CK709" s="41"/>
      <c r="CL709" s="41"/>
      <c r="CM709" s="41"/>
      <c r="CN709" s="41"/>
      <c r="CO709" s="41"/>
      <c r="CP709" s="41"/>
      <c r="CQ709" s="41"/>
      <c r="CR709" s="41"/>
      <c r="CS709" s="41"/>
      <c r="CT709" s="41"/>
      <c r="CU709" s="41"/>
      <c r="CV709" s="41"/>
      <c r="CW709" s="41"/>
      <c r="CX709" s="41"/>
      <c r="CY709" s="41"/>
      <c r="CZ709" s="41"/>
      <c r="DA709" s="41"/>
      <c r="DB709" s="41"/>
      <c r="DC709" s="41"/>
      <c r="DD709" s="41"/>
      <c r="DE709" s="41"/>
      <c r="DF709" s="41"/>
      <c r="DG709" s="41"/>
      <c r="DH709" s="41"/>
      <c r="DI709" s="41"/>
      <c r="DJ709" s="41"/>
      <c r="DK709" s="41"/>
      <c r="DL709" s="41"/>
      <c r="DM709" s="41"/>
      <c r="DN709" s="41"/>
      <c r="DO709" s="41"/>
      <c r="DP709" s="41"/>
      <c r="DQ709" s="41"/>
      <c r="DR709" s="41"/>
      <c r="DS709" s="43"/>
      <c r="DT709" s="44">
        <f t="shared" ref="DT709" si="691">SUM(F709:DR709)</f>
        <v>1</v>
      </c>
    </row>
    <row r="710" spans="2:124" s="13" customFormat="1">
      <c r="B710" s="4">
        <f>'6.1Personnel List'!B711</f>
        <v>698</v>
      </c>
      <c r="C710" s="45" t="s">
        <v>921</v>
      </c>
      <c r="D710" s="45" t="str">
        <f>'6.1Personnel List'!D711</f>
        <v xml:space="preserve">Supervising Administrative Officer </v>
      </c>
      <c r="E710" s="45" t="str">
        <f>'6.1Personnel List'!H711</f>
        <v>FT</v>
      </c>
      <c r="G710" s="41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1"/>
      <c r="AH710" s="41"/>
      <c r="AI710" s="41"/>
      <c r="AJ710" s="41"/>
      <c r="AK710" s="41"/>
      <c r="AL710" s="41"/>
      <c r="AM710" s="41"/>
      <c r="AN710" s="41"/>
      <c r="AO710" s="41"/>
      <c r="AP710" s="41"/>
      <c r="AQ710" s="41"/>
      <c r="AR710" s="41"/>
      <c r="AS710" s="41"/>
      <c r="AT710" s="41"/>
      <c r="AU710" s="41"/>
      <c r="AV710" s="41"/>
      <c r="AW710" s="41"/>
      <c r="AX710" s="41"/>
      <c r="AY710" s="41"/>
      <c r="AZ710" s="41"/>
      <c r="BA710" s="41"/>
      <c r="BB710" s="41"/>
      <c r="BC710" s="41"/>
      <c r="BD710" s="41"/>
      <c r="BE710" s="41"/>
      <c r="BF710" s="41"/>
      <c r="BG710" s="41"/>
      <c r="BH710" s="41"/>
      <c r="BJ710" s="41"/>
      <c r="BK710" s="41"/>
      <c r="BL710" s="41"/>
      <c r="BM710" s="41"/>
      <c r="BN710" s="41"/>
      <c r="BO710" s="41"/>
      <c r="BP710" s="41"/>
      <c r="BQ710" s="41"/>
      <c r="BR710" s="41">
        <v>1</v>
      </c>
      <c r="BS710" s="41"/>
      <c r="BT710" s="41"/>
      <c r="BU710" s="41"/>
      <c r="BV710" s="41"/>
      <c r="BW710" s="41"/>
      <c r="BX710" s="41"/>
      <c r="BY710" s="41"/>
      <c r="BZ710" s="41"/>
      <c r="CA710" s="41"/>
      <c r="CB710" s="41"/>
      <c r="CC710" s="41"/>
      <c r="CD710" s="41"/>
      <c r="CE710" s="41"/>
      <c r="CF710" s="41"/>
      <c r="CG710" s="41"/>
      <c r="CH710" s="41"/>
      <c r="CI710" s="41"/>
      <c r="CJ710" s="41"/>
      <c r="CK710" s="41"/>
      <c r="CL710" s="41"/>
      <c r="CM710" s="41"/>
      <c r="CN710" s="41"/>
      <c r="CO710" s="41"/>
      <c r="CP710" s="41"/>
      <c r="CQ710" s="41"/>
      <c r="CR710" s="41"/>
      <c r="CS710" s="41"/>
      <c r="CT710" s="41"/>
      <c r="CU710" s="41"/>
      <c r="CV710" s="41"/>
      <c r="CW710" s="41"/>
      <c r="CX710" s="41"/>
      <c r="CY710" s="41"/>
      <c r="CZ710" s="41"/>
      <c r="DA710" s="41"/>
      <c r="DB710" s="41"/>
      <c r="DC710" s="41"/>
      <c r="DD710" s="41"/>
      <c r="DE710" s="41"/>
      <c r="DF710" s="41"/>
      <c r="DG710" s="41"/>
      <c r="DH710" s="41"/>
      <c r="DI710" s="41"/>
      <c r="DJ710" s="41"/>
      <c r="DK710" s="41"/>
      <c r="DL710" s="41"/>
      <c r="DM710" s="41"/>
      <c r="DN710" s="41"/>
      <c r="DO710" s="41"/>
      <c r="DP710" s="41"/>
      <c r="DQ710" s="41"/>
      <c r="DR710" s="41"/>
      <c r="DS710" s="43"/>
      <c r="DT710" s="44">
        <f t="shared" ref="DT710" si="692">SUM(F710:DR710)</f>
        <v>1</v>
      </c>
    </row>
    <row r="711" spans="2:124" s="13" customFormat="1">
      <c r="B711" s="4">
        <f>'6.1Personnel List'!B712</f>
        <v>699</v>
      </c>
      <c r="C711" s="45" t="s">
        <v>922</v>
      </c>
      <c r="D711" s="45" t="str">
        <f>'6.1Personnel List'!D712</f>
        <v>Administrative Officer IV</v>
      </c>
      <c r="E711" s="45" t="str">
        <f>'6.1Personnel List'!H712</f>
        <v>FT</v>
      </c>
      <c r="G711" s="41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1"/>
      <c r="AH711" s="41"/>
      <c r="AI711" s="41"/>
      <c r="AJ711" s="41"/>
      <c r="AK711" s="41"/>
      <c r="AL711" s="41"/>
      <c r="AM711" s="41"/>
      <c r="AN711" s="41"/>
      <c r="AO711" s="41"/>
      <c r="AP711" s="41"/>
      <c r="AQ711" s="41"/>
      <c r="AR711" s="41"/>
      <c r="AS711" s="41"/>
      <c r="AT711" s="41"/>
      <c r="AU711" s="41"/>
      <c r="AV711" s="41"/>
      <c r="AW711" s="41"/>
      <c r="AX711" s="41"/>
      <c r="AY711" s="41"/>
      <c r="AZ711" s="41"/>
      <c r="BA711" s="41"/>
      <c r="BB711" s="41"/>
      <c r="BC711" s="41"/>
      <c r="BD711" s="41"/>
      <c r="BE711" s="41"/>
      <c r="BF711" s="41"/>
      <c r="BG711" s="41"/>
      <c r="BH711" s="41"/>
      <c r="BJ711" s="41"/>
      <c r="BK711" s="41"/>
      <c r="BL711" s="41"/>
      <c r="BM711" s="41"/>
      <c r="BN711" s="41"/>
      <c r="BO711" s="41"/>
      <c r="BP711" s="41"/>
      <c r="BQ711" s="41"/>
      <c r="BR711" s="41">
        <v>1</v>
      </c>
      <c r="BS711" s="41"/>
      <c r="BT711" s="41"/>
      <c r="BU711" s="41"/>
      <c r="BV711" s="41"/>
      <c r="BW711" s="41"/>
      <c r="BX711" s="41"/>
      <c r="BY711" s="41"/>
      <c r="BZ711" s="41"/>
      <c r="CA711" s="41"/>
      <c r="CB711" s="41"/>
      <c r="CC711" s="41"/>
      <c r="CD711" s="41"/>
      <c r="CE711" s="41"/>
      <c r="CF711" s="41"/>
      <c r="CG711" s="41"/>
      <c r="CH711" s="41"/>
      <c r="CI711" s="41"/>
      <c r="CJ711" s="41"/>
      <c r="CK711" s="41"/>
      <c r="CL711" s="41"/>
      <c r="CM711" s="41"/>
      <c r="CN711" s="41"/>
      <c r="CO711" s="41"/>
      <c r="CP711" s="41"/>
      <c r="CQ711" s="41"/>
      <c r="CR711" s="41"/>
      <c r="CS711" s="41"/>
      <c r="CT711" s="41"/>
      <c r="CU711" s="41"/>
      <c r="CV711" s="41"/>
      <c r="CW711" s="41"/>
      <c r="CX711" s="41"/>
      <c r="CY711" s="41"/>
      <c r="CZ711" s="41"/>
      <c r="DA711" s="41"/>
      <c r="DB711" s="41"/>
      <c r="DC711" s="41"/>
      <c r="DD711" s="41"/>
      <c r="DE711" s="41"/>
      <c r="DF711" s="41"/>
      <c r="DG711" s="41"/>
      <c r="DH711" s="41"/>
      <c r="DI711" s="41"/>
      <c r="DJ711" s="41"/>
      <c r="DK711" s="41"/>
      <c r="DL711" s="41"/>
      <c r="DM711" s="41"/>
      <c r="DN711" s="41"/>
      <c r="DO711" s="41"/>
      <c r="DP711" s="41"/>
      <c r="DQ711" s="41"/>
      <c r="DR711" s="41"/>
      <c r="DS711" s="43"/>
      <c r="DT711" s="44">
        <f t="shared" ref="DT711" si="693">SUM(F711:DR711)</f>
        <v>1</v>
      </c>
    </row>
    <row r="712" spans="2:124" s="13" customFormat="1">
      <c r="B712" s="4">
        <f>'6.1Personnel List'!B713</f>
        <v>700</v>
      </c>
      <c r="C712" s="45" t="s">
        <v>923</v>
      </c>
      <c r="D712" s="45" t="str">
        <f>'6.1Personnel List'!D713</f>
        <v>Administrative Assistant II</v>
      </c>
      <c r="E712" s="45" t="str">
        <f>'6.1Personnel List'!H713</f>
        <v>FT</v>
      </c>
      <c r="G712" s="41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1"/>
      <c r="AH712" s="41"/>
      <c r="AI712" s="41"/>
      <c r="AJ712" s="41"/>
      <c r="AK712" s="41"/>
      <c r="AL712" s="41"/>
      <c r="AM712" s="41"/>
      <c r="AN712" s="41"/>
      <c r="AO712" s="41"/>
      <c r="AP712" s="41"/>
      <c r="AQ712" s="41"/>
      <c r="AR712" s="41"/>
      <c r="AS712" s="41"/>
      <c r="AT712" s="41"/>
      <c r="AU712" s="41"/>
      <c r="AV712" s="41"/>
      <c r="AW712" s="41"/>
      <c r="AX712" s="41"/>
      <c r="AY712" s="41"/>
      <c r="AZ712" s="41"/>
      <c r="BA712" s="41"/>
      <c r="BB712" s="41"/>
      <c r="BC712" s="41"/>
      <c r="BD712" s="41"/>
      <c r="BE712" s="41"/>
      <c r="BF712" s="41"/>
      <c r="BG712" s="41"/>
      <c r="BH712" s="41"/>
      <c r="BJ712" s="41"/>
      <c r="BK712" s="41"/>
      <c r="BL712" s="41"/>
      <c r="BM712" s="41"/>
      <c r="BN712" s="41"/>
      <c r="BO712" s="41"/>
      <c r="BP712" s="41"/>
      <c r="BQ712" s="41"/>
      <c r="BR712" s="41">
        <v>1</v>
      </c>
      <c r="BS712" s="41"/>
      <c r="BT712" s="41"/>
      <c r="BU712" s="41"/>
      <c r="BV712" s="41"/>
      <c r="BW712" s="41"/>
      <c r="BX712" s="41"/>
      <c r="BY712" s="41"/>
      <c r="BZ712" s="41"/>
      <c r="CA712" s="41"/>
      <c r="CB712" s="41"/>
      <c r="CC712" s="41"/>
      <c r="CD712" s="41"/>
      <c r="CE712" s="41"/>
      <c r="CF712" s="41"/>
      <c r="CG712" s="41"/>
      <c r="CH712" s="41"/>
      <c r="CI712" s="41"/>
      <c r="CJ712" s="41"/>
      <c r="CK712" s="41"/>
      <c r="CL712" s="41"/>
      <c r="CM712" s="41"/>
      <c r="CN712" s="41"/>
      <c r="CO712" s="41"/>
      <c r="CP712" s="41"/>
      <c r="CQ712" s="41"/>
      <c r="CR712" s="41"/>
      <c r="CS712" s="41"/>
      <c r="CT712" s="41"/>
      <c r="CU712" s="41"/>
      <c r="CV712" s="41"/>
      <c r="CW712" s="41"/>
      <c r="CX712" s="41"/>
      <c r="CY712" s="41"/>
      <c r="CZ712" s="41"/>
      <c r="DA712" s="41"/>
      <c r="DB712" s="41"/>
      <c r="DC712" s="41"/>
      <c r="DD712" s="41"/>
      <c r="DE712" s="41"/>
      <c r="DF712" s="41"/>
      <c r="DG712" s="41"/>
      <c r="DH712" s="41"/>
      <c r="DI712" s="41"/>
      <c r="DJ712" s="41"/>
      <c r="DK712" s="41"/>
      <c r="DL712" s="41"/>
      <c r="DM712" s="41"/>
      <c r="DN712" s="41"/>
      <c r="DO712" s="41"/>
      <c r="DP712" s="41"/>
      <c r="DQ712" s="41"/>
      <c r="DR712" s="41"/>
      <c r="DS712" s="43"/>
      <c r="DT712" s="44">
        <f t="shared" ref="DT712" si="694">SUM(F712:DR712)</f>
        <v>1</v>
      </c>
    </row>
    <row r="713" spans="2:124" s="13" customFormat="1">
      <c r="B713" s="4">
        <f>'6.1Personnel List'!B714</f>
        <v>701</v>
      </c>
      <c r="C713" s="45" t="s">
        <v>924</v>
      </c>
      <c r="D713" s="45" t="str">
        <f>'6.1Personnel List'!D714</f>
        <v>Administrative Assistant I</v>
      </c>
      <c r="E713" s="45" t="str">
        <f>'6.1Personnel List'!H714</f>
        <v>FT</v>
      </c>
      <c r="G713" s="41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  <c r="AA713" s="41"/>
      <c r="AB713" s="41"/>
      <c r="AC713" s="41"/>
      <c r="AD713" s="41"/>
      <c r="AE713" s="41"/>
      <c r="AF713" s="41"/>
      <c r="AG713" s="41"/>
      <c r="AH713" s="41"/>
      <c r="AI713" s="41"/>
      <c r="AJ713" s="41"/>
      <c r="AK713" s="41"/>
      <c r="AL713" s="41"/>
      <c r="AM713" s="41"/>
      <c r="AN713" s="41"/>
      <c r="AO713" s="41"/>
      <c r="AP713" s="41"/>
      <c r="AQ713" s="41"/>
      <c r="AR713" s="41"/>
      <c r="AS713" s="41"/>
      <c r="AT713" s="41"/>
      <c r="AU713" s="41"/>
      <c r="AV713" s="41"/>
      <c r="AW713" s="41"/>
      <c r="AX713" s="41"/>
      <c r="AY713" s="41"/>
      <c r="AZ713" s="41"/>
      <c r="BA713" s="41"/>
      <c r="BB713" s="41"/>
      <c r="BC713" s="41"/>
      <c r="BD713" s="41"/>
      <c r="BE713" s="41"/>
      <c r="BF713" s="41"/>
      <c r="BG713" s="41"/>
      <c r="BH713" s="41"/>
      <c r="BJ713" s="41"/>
      <c r="BK713" s="41"/>
      <c r="BL713" s="41"/>
      <c r="BM713" s="41"/>
      <c r="BN713" s="41"/>
      <c r="BO713" s="41"/>
      <c r="BP713" s="41"/>
      <c r="BQ713" s="41"/>
      <c r="BR713" s="41">
        <v>1</v>
      </c>
      <c r="BS713" s="41"/>
      <c r="BT713" s="41"/>
      <c r="BU713" s="41"/>
      <c r="BV713" s="41"/>
      <c r="BW713" s="41"/>
      <c r="BX713" s="41"/>
      <c r="BY713" s="41"/>
      <c r="BZ713" s="41"/>
      <c r="CA713" s="41"/>
      <c r="CB713" s="41"/>
      <c r="CC713" s="41"/>
      <c r="CD713" s="41"/>
      <c r="CE713" s="41"/>
      <c r="CF713" s="41"/>
      <c r="CG713" s="41"/>
      <c r="CH713" s="41"/>
      <c r="CI713" s="41"/>
      <c r="CJ713" s="41"/>
      <c r="CK713" s="41"/>
      <c r="CL713" s="41"/>
      <c r="CM713" s="41"/>
      <c r="CN713" s="41"/>
      <c r="CO713" s="41"/>
      <c r="CP713" s="41"/>
      <c r="CQ713" s="41"/>
      <c r="CR713" s="41"/>
      <c r="CS713" s="41"/>
      <c r="CT713" s="41"/>
      <c r="CU713" s="41"/>
      <c r="CV713" s="41"/>
      <c r="CW713" s="41"/>
      <c r="CX713" s="41"/>
      <c r="CY713" s="41"/>
      <c r="CZ713" s="41"/>
      <c r="DA713" s="41"/>
      <c r="DB713" s="41"/>
      <c r="DC713" s="41"/>
      <c r="DD713" s="41"/>
      <c r="DE713" s="41"/>
      <c r="DF713" s="41"/>
      <c r="DG713" s="41"/>
      <c r="DH713" s="41"/>
      <c r="DI713" s="41"/>
      <c r="DJ713" s="41"/>
      <c r="DK713" s="41"/>
      <c r="DL713" s="41"/>
      <c r="DM713" s="41"/>
      <c r="DN713" s="41"/>
      <c r="DO713" s="41"/>
      <c r="DP713" s="41"/>
      <c r="DQ713" s="41"/>
      <c r="DR713" s="41"/>
      <c r="DS713" s="43"/>
      <c r="DT713" s="44">
        <f t="shared" ref="DT713" si="695">SUM(F713:DR713)</f>
        <v>1</v>
      </c>
    </row>
    <row r="714" spans="2:124" s="13" customFormat="1">
      <c r="B714" s="4">
        <f>'6.1Personnel List'!B715</f>
        <v>702</v>
      </c>
      <c r="C714" s="45" t="s">
        <v>925</v>
      </c>
      <c r="D714" s="45" t="str">
        <f>'6.1Personnel List'!D715</f>
        <v xml:space="preserve">Supervising Administrative Officer </v>
      </c>
      <c r="E714" s="45" t="str">
        <f>'6.1Personnel List'!H715</f>
        <v>FT</v>
      </c>
      <c r="G714" s="41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  <c r="AA714" s="41"/>
      <c r="AB714" s="41"/>
      <c r="AC714" s="41"/>
      <c r="AD714" s="41"/>
      <c r="AE714" s="41"/>
      <c r="AF714" s="41"/>
      <c r="AG714" s="41"/>
      <c r="AH714" s="41"/>
      <c r="AI714" s="41"/>
      <c r="AJ714" s="41"/>
      <c r="AK714" s="41"/>
      <c r="AL714" s="41"/>
      <c r="AM714" s="41"/>
      <c r="AN714" s="41"/>
      <c r="AO714" s="41"/>
      <c r="AP714" s="41"/>
      <c r="AQ714" s="41"/>
      <c r="AR714" s="41"/>
      <c r="AS714" s="41"/>
      <c r="AT714" s="41"/>
      <c r="AU714" s="41"/>
      <c r="AV714" s="41"/>
      <c r="AW714" s="41"/>
      <c r="AX714" s="41"/>
      <c r="AY714" s="41"/>
      <c r="AZ714" s="41"/>
      <c r="BA714" s="41"/>
      <c r="BB714" s="41"/>
      <c r="BC714" s="41"/>
      <c r="BD714" s="41"/>
      <c r="BE714" s="41"/>
      <c r="BF714" s="41"/>
      <c r="BG714" s="41"/>
      <c r="BH714" s="41"/>
      <c r="BJ714" s="41"/>
      <c r="BK714" s="41"/>
      <c r="BL714" s="41"/>
      <c r="BM714" s="41"/>
      <c r="BN714" s="41"/>
      <c r="BO714" s="41"/>
      <c r="BP714" s="41"/>
      <c r="BQ714" s="41"/>
      <c r="BR714" s="41"/>
      <c r="BS714" s="41"/>
      <c r="BT714" s="41"/>
      <c r="BU714" s="41"/>
      <c r="BV714" s="41"/>
      <c r="BW714" s="41"/>
      <c r="BX714" s="41">
        <v>1</v>
      </c>
      <c r="BY714" s="41"/>
      <c r="BZ714" s="41"/>
      <c r="CA714" s="41"/>
      <c r="CB714" s="41"/>
      <c r="CC714" s="41"/>
      <c r="CD714" s="41"/>
      <c r="CE714" s="41"/>
      <c r="CF714" s="41"/>
      <c r="CG714" s="41"/>
      <c r="CH714" s="41"/>
      <c r="CI714" s="41"/>
      <c r="CJ714" s="41"/>
      <c r="CK714" s="41"/>
      <c r="CL714" s="41"/>
      <c r="CM714" s="41"/>
      <c r="CN714" s="41"/>
      <c r="CO714" s="41"/>
      <c r="CP714" s="41"/>
      <c r="CQ714" s="41"/>
      <c r="CR714" s="41"/>
      <c r="CS714" s="41"/>
      <c r="CT714" s="41"/>
      <c r="CU714" s="41"/>
      <c r="CV714" s="41"/>
      <c r="CW714" s="41"/>
      <c r="CX714" s="41"/>
      <c r="CY714" s="41"/>
      <c r="CZ714" s="41"/>
      <c r="DA714" s="41"/>
      <c r="DB714" s="41"/>
      <c r="DC714" s="41"/>
      <c r="DD714" s="41"/>
      <c r="DE714" s="41"/>
      <c r="DF714" s="41"/>
      <c r="DG714" s="41"/>
      <c r="DH714" s="41"/>
      <c r="DI714" s="41"/>
      <c r="DJ714" s="41"/>
      <c r="DK714" s="41"/>
      <c r="DL714" s="41"/>
      <c r="DM714" s="41"/>
      <c r="DN714" s="41"/>
      <c r="DO714" s="41"/>
      <c r="DP714" s="41"/>
      <c r="DQ714" s="41"/>
      <c r="DR714" s="41"/>
      <c r="DS714" s="43"/>
      <c r="DT714" s="44">
        <f t="shared" ref="DT714" si="696">SUM(F714:DR714)</f>
        <v>1</v>
      </c>
    </row>
    <row r="715" spans="2:124" s="13" customFormat="1">
      <c r="B715" s="4">
        <f>'6.1Personnel List'!B716</f>
        <v>703</v>
      </c>
      <c r="C715" s="45" t="s">
        <v>926</v>
      </c>
      <c r="D715" s="45" t="str">
        <f>'6.1Personnel List'!D716</f>
        <v>Administrative Officer III</v>
      </c>
      <c r="E715" s="45" t="str">
        <f>'6.1Personnel List'!H716</f>
        <v>FT</v>
      </c>
      <c r="G715" s="41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  <c r="AA715" s="41"/>
      <c r="AB715" s="41"/>
      <c r="AC715" s="41"/>
      <c r="AD715" s="41"/>
      <c r="AE715" s="41"/>
      <c r="AF715" s="41"/>
      <c r="AG715" s="41"/>
      <c r="AH715" s="41"/>
      <c r="AI715" s="41"/>
      <c r="AJ715" s="41"/>
      <c r="AK715" s="41"/>
      <c r="AL715" s="41"/>
      <c r="AM715" s="41"/>
      <c r="AN715" s="41"/>
      <c r="AO715" s="41"/>
      <c r="AP715" s="41"/>
      <c r="AQ715" s="41"/>
      <c r="AR715" s="41"/>
      <c r="AS715" s="41"/>
      <c r="AT715" s="41"/>
      <c r="AU715" s="41"/>
      <c r="AV715" s="41"/>
      <c r="AW715" s="41"/>
      <c r="AX715" s="41"/>
      <c r="AY715" s="41"/>
      <c r="AZ715" s="41"/>
      <c r="BA715" s="41"/>
      <c r="BB715" s="41"/>
      <c r="BC715" s="41"/>
      <c r="BD715" s="41"/>
      <c r="BE715" s="41"/>
      <c r="BF715" s="41"/>
      <c r="BG715" s="41"/>
      <c r="BH715" s="41"/>
      <c r="BJ715" s="41"/>
      <c r="BK715" s="41"/>
      <c r="BL715" s="41"/>
      <c r="BM715" s="41"/>
      <c r="BN715" s="41"/>
      <c r="BO715" s="41"/>
      <c r="BP715" s="41"/>
      <c r="BQ715" s="41"/>
      <c r="BR715" s="41"/>
      <c r="BS715" s="41"/>
      <c r="BT715" s="41"/>
      <c r="BU715" s="41"/>
      <c r="BV715" s="41"/>
      <c r="BW715" s="41"/>
      <c r="BX715" s="41">
        <v>1</v>
      </c>
      <c r="BY715" s="41"/>
      <c r="BZ715" s="41"/>
      <c r="CA715" s="41"/>
      <c r="CB715" s="41"/>
      <c r="CC715" s="41"/>
      <c r="CD715" s="41"/>
      <c r="CE715" s="41"/>
      <c r="CF715" s="41"/>
      <c r="CG715" s="41"/>
      <c r="CH715" s="41"/>
      <c r="CI715" s="41"/>
      <c r="CJ715" s="41"/>
      <c r="CK715" s="41"/>
      <c r="CL715" s="41"/>
      <c r="CM715" s="41"/>
      <c r="CN715" s="41"/>
      <c r="CO715" s="41"/>
      <c r="CP715" s="41"/>
      <c r="CQ715" s="41"/>
      <c r="CR715" s="41"/>
      <c r="CS715" s="41"/>
      <c r="CT715" s="41"/>
      <c r="CU715" s="41"/>
      <c r="CV715" s="41"/>
      <c r="CW715" s="41"/>
      <c r="CX715" s="41"/>
      <c r="CY715" s="41"/>
      <c r="CZ715" s="41"/>
      <c r="DA715" s="41"/>
      <c r="DB715" s="41"/>
      <c r="DC715" s="41"/>
      <c r="DD715" s="41"/>
      <c r="DE715" s="41"/>
      <c r="DF715" s="41"/>
      <c r="DG715" s="41"/>
      <c r="DH715" s="41"/>
      <c r="DI715" s="41"/>
      <c r="DJ715" s="41"/>
      <c r="DK715" s="41"/>
      <c r="DL715" s="41"/>
      <c r="DM715" s="41"/>
      <c r="DN715" s="41"/>
      <c r="DO715" s="41"/>
      <c r="DP715" s="41"/>
      <c r="DQ715" s="41"/>
      <c r="DR715" s="41"/>
      <c r="DS715" s="43"/>
      <c r="DT715" s="44">
        <f t="shared" ref="DT715" si="697">SUM(F715:DR715)</f>
        <v>1</v>
      </c>
    </row>
    <row r="716" spans="2:124" s="13" customFormat="1">
      <c r="B716" s="4">
        <f>'6.1Personnel List'!B717</f>
        <v>704</v>
      </c>
      <c r="C716" s="45" t="s">
        <v>927</v>
      </c>
      <c r="D716" s="45" t="str">
        <f>'6.1Personnel List'!D717</f>
        <v>Administrative Officer III</v>
      </c>
      <c r="E716" s="45" t="str">
        <f>'6.1Personnel List'!H717</f>
        <v>FT</v>
      </c>
      <c r="G716" s="41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  <c r="AA716" s="41"/>
      <c r="AB716" s="41"/>
      <c r="AC716" s="41"/>
      <c r="AD716" s="41"/>
      <c r="AE716" s="41"/>
      <c r="AF716" s="41"/>
      <c r="AG716" s="41"/>
      <c r="AH716" s="41"/>
      <c r="AI716" s="41"/>
      <c r="AJ716" s="41"/>
      <c r="AK716" s="41"/>
      <c r="AL716" s="41"/>
      <c r="AM716" s="41"/>
      <c r="AN716" s="41"/>
      <c r="AO716" s="41"/>
      <c r="AP716" s="41"/>
      <c r="AQ716" s="41"/>
      <c r="AR716" s="41"/>
      <c r="AS716" s="41"/>
      <c r="AT716" s="41"/>
      <c r="AU716" s="41"/>
      <c r="AV716" s="41"/>
      <c r="AW716" s="41"/>
      <c r="AX716" s="41"/>
      <c r="AY716" s="41"/>
      <c r="AZ716" s="41"/>
      <c r="BA716" s="41"/>
      <c r="BB716" s="41"/>
      <c r="BC716" s="41"/>
      <c r="BD716" s="41"/>
      <c r="BE716" s="41"/>
      <c r="BF716" s="41"/>
      <c r="BG716" s="41"/>
      <c r="BH716" s="41"/>
      <c r="BJ716" s="41"/>
      <c r="BK716" s="41"/>
      <c r="BL716" s="41"/>
      <c r="BM716" s="41"/>
      <c r="BN716" s="41"/>
      <c r="BO716" s="41"/>
      <c r="BP716" s="41"/>
      <c r="BQ716" s="41"/>
      <c r="BR716" s="41"/>
      <c r="BS716" s="41"/>
      <c r="BT716" s="41"/>
      <c r="BU716" s="41"/>
      <c r="BV716" s="41"/>
      <c r="BW716" s="41"/>
      <c r="BX716" s="41">
        <v>1</v>
      </c>
      <c r="BY716" s="41"/>
      <c r="BZ716" s="41"/>
      <c r="CA716" s="41"/>
      <c r="CB716" s="41"/>
      <c r="CC716" s="41"/>
      <c r="CD716" s="41"/>
      <c r="CE716" s="41"/>
      <c r="CF716" s="41"/>
      <c r="CG716" s="41"/>
      <c r="CH716" s="41"/>
      <c r="CI716" s="41"/>
      <c r="CJ716" s="41"/>
      <c r="CK716" s="41"/>
      <c r="CL716" s="41"/>
      <c r="CM716" s="41"/>
      <c r="CN716" s="41"/>
      <c r="CO716" s="41"/>
      <c r="CP716" s="41"/>
      <c r="CQ716" s="41"/>
      <c r="CR716" s="41"/>
      <c r="CS716" s="41"/>
      <c r="CT716" s="41"/>
      <c r="CU716" s="41"/>
      <c r="CV716" s="41"/>
      <c r="CW716" s="41"/>
      <c r="CX716" s="41"/>
      <c r="CY716" s="41"/>
      <c r="CZ716" s="41"/>
      <c r="DA716" s="41"/>
      <c r="DB716" s="41"/>
      <c r="DC716" s="41"/>
      <c r="DD716" s="41"/>
      <c r="DE716" s="41"/>
      <c r="DF716" s="41"/>
      <c r="DG716" s="41"/>
      <c r="DH716" s="41"/>
      <c r="DI716" s="41"/>
      <c r="DJ716" s="41"/>
      <c r="DK716" s="41"/>
      <c r="DL716" s="41"/>
      <c r="DM716" s="41"/>
      <c r="DN716" s="41"/>
      <c r="DO716" s="41"/>
      <c r="DP716" s="41"/>
      <c r="DQ716" s="41"/>
      <c r="DR716" s="41"/>
      <c r="DS716" s="43"/>
      <c r="DT716" s="44">
        <f t="shared" ref="DT716" si="698">SUM(F716:DR716)</f>
        <v>1</v>
      </c>
    </row>
    <row r="717" spans="2:124" s="13" customFormat="1">
      <c r="B717" s="4">
        <f>'6.1Personnel List'!B718</f>
        <v>705</v>
      </c>
      <c r="C717" s="45" t="s">
        <v>928</v>
      </c>
      <c r="D717" s="45" t="str">
        <f>'6.1Personnel List'!D718</f>
        <v>Administrative Officer I</v>
      </c>
      <c r="E717" s="45" t="str">
        <f>'6.1Personnel List'!H718</f>
        <v>FT</v>
      </c>
      <c r="G717" s="41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  <c r="AA717" s="41"/>
      <c r="AB717" s="41"/>
      <c r="AC717" s="41"/>
      <c r="AD717" s="41"/>
      <c r="AE717" s="41"/>
      <c r="AF717" s="41"/>
      <c r="AG717" s="41"/>
      <c r="AH717" s="41"/>
      <c r="AI717" s="41"/>
      <c r="AJ717" s="41"/>
      <c r="AK717" s="41"/>
      <c r="AL717" s="41"/>
      <c r="AM717" s="41"/>
      <c r="AN717" s="41"/>
      <c r="AO717" s="41"/>
      <c r="AP717" s="41"/>
      <c r="AQ717" s="41"/>
      <c r="AR717" s="41"/>
      <c r="AS717" s="41"/>
      <c r="AT717" s="41"/>
      <c r="AU717" s="41"/>
      <c r="AV717" s="41"/>
      <c r="AW717" s="41"/>
      <c r="AX717" s="41"/>
      <c r="AY717" s="41"/>
      <c r="AZ717" s="41"/>
      <c r="BA717" s="41"/>
      <c r="BB717" s="41"/>
      <c r="BC717" s="41"/>
      <c r="BD717" s="41"/>
      <c r="BE717" s="41"/>
      <c r="BF717" s="41"/>
      <c r="BG717" s="41"/>
      <c r="BH717" s="41"/>
      <c r="BJ717" s="41"/>
      <c r="BK717" s="41"/>
      <c r="BL717" s="41"/>
      <c r="BM717" s="41"/>
      <c r="BN717" s="41"/>
      <c r="BO717" s="41"/>
      <c r="BP717" s="41"/>
      <c r="BQ717" s="41"/>
      <c r="BR717" s="41"/>
      <c r="BS717" s="41"/>
      <c r="BT717" s="41"/>
      <c r="BU717" s="41"/>
      <c r="BV717" s="41"/>
      <c r="BW717" s="41"/>
      <c r="BX717" s="41">
        <v>1</v>
      </c>
      <c r="BY717" s="41"/>
      <c r="BZ717" s="41"/>
      <c r="CA717" s="41"/>
      <c r="CB717" s="41"/>
      <c r="CC717" s="41"/>
      <c r="CD717" s="41"/>
      <c r="CE717" s="41"/>
      <c r="CF717" s="41"/>
      <c r="CG717" s="41"/>
      <c r="CH717" s="41"/>
      <c r="CI717" s="41"/>
      <c r="CJ717" s="41"/>
      <c r="CK717" s="41"/>
      <c r="CL717" s="41"/>
      <c r="CM717" s="41"/>
      <c r="CN717" s="41"/>
      <c r="CO717" s="41"/>
      <c r="CP717" s="41"/>
      <c r="CQ717" s="41"/>
      <c r="CR717" s="41"/>
      <c r="CS717" s="41"/>
      <c r="CT717" s="41"/>
      <c r="CU717" s="41"/>
      <c r="CV717" s="41"/>
      <c r="CW717" s="41"/>
      <c r="CX717" s="41"/>
      <c r="CY717" s="41"/>
      <c r="CZ717" s="41"/>
      <c r="DA717" s="41"/>
      <c r="DB717" s="41"/>
      <c r="DC717" s="41"/>
      <c r="DD717" s="41"/>
      <c r="DE717" s="41"/>
      <c r="DF717" s="41"/>
      <c r="DG717" s="41"/>
      <c r="DH717" s="41"/>
      <c r="DI717" s="41"/>
      <c r="DJ717" s="41"/>
      <c r="DK717" s="41"/>
      <c r="DL717" s="41"/>
      <c r="DM717" s="41"/>
      <c r="DN717" s="41"/>
      <c r="DO717" s="41"/>
      <c r="DP717" s="41"/>
      <c r="DQ717" s="41"/>
      <c r="DR717" s="41"/>
      <c r="DS717" s="43"/>
      <c r="DT717" s="44">
        <f t="shared" ref="DT717" si="699">SUM(F717:DR717)</f>
        <v>1</v>
      </c>
    </row>
    <row r="718" spans="2:124" s="13" customFormat="1">
      <c r="B718" s="4">
        <f>'6.1Personnel List'!B719</f>
        <v>706</v>
      </c>
      <c r="C718" s="45" t="s">
        <v>929</v>
      </c>
      <c r="D718" s="45" t="str">
        <f>'6.1Personnel List'!D719</f>
        <v>Administrative Officer I</v>
      </c>
      <c r="E718" s="45" t="str">
        <f>'6.1Personnel List'!H719</f>
        <v>FT</v>
      </c>
      <c r="G718" s="41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1"/>
      <c r="AH718" s="41"/>
      <c r="AI718" s="41"/>
      <c r="AJ718" s="41"/>
      <c r="AK718" s="41"/>
      <c r="AL718" s="41"/>
      <c r="AM718" s="41"/>
      <c r="AN718" s="41"/>
      <c r="AO718" s="41"/>
      <c r="AP718" s="41"/>
      <c r="AQ718" s="41"/>
      <c r="AR718" s="41"/>
      <c r="AS718" s="41"/>
      <c r="AT718" s="41"/>
      <c r="AU718" s="41"/>
      <c r="AV718" s="41"/>
      <c r="AW718" s="41"/>
      <c r="AX718" s="41"/>
      <c r="AY718" s="41"/>
      <c r="AZ718" s="41"/>
      <c r="BA718" s="41"/>
      <c r="BB718" s="41"/>
      <c r="BC718" s="41"/>
      <c r="BD718" s="41"/>
      <c r="BE718" s="41"/>
      <c r="BF718" s="41"/>
      <c r="BG718" s="41"/>
      <c r="BH718" s="41"/>
      <c r="BJ718" s="41"/>
      <c r="BK718" s="41"/>
      <c r="BL718" s="41"/>
      <c r="BM718" s="41"/>
      <c r="BN718" s="41"/>
      <c r="BO718" s="41"/>
      <c r="BP718" s="41"/>
      <c r="BQ718" s="41"/>
      <c r="BR718" s="41"/>
      <c r="BS718" s="41"/>
      <c r="BT718" s="41"/>
      <c r="BU718" s="41"/>
      <c r="BV718" s="41"/>
      <c r="BW718" s="41"/>
      <c r="BX718" s="41">
        <v>1</v>
      </c>
      <c r="BY718" s="41"/>
      <c r="BZ718" s="41"/>
      <c r="CA718" s="41"/>
      <c r="CB718" s="41"/>
      <c r="CC718" s="41"/>
      <c r="CD718" s="41"/>
      <c r="CE718" s="41"/>
      <c r="CF718" s="41"/>
      <c r="CG718" s="41"/>
      <c r="CH718" s="41"/>
      <c r="CI718" s="41"/>
      <c r="CJ718" s="41"/>
      <c r="CK718" s="41"/>
      <c r="CL718" s="41"/>
      <c r="CM718" s="41"/>
      <c r="CN718" s="41"/>
      <c r="CO718" s="41"/>
      <c r="CP718" s="41"/>
      <c r="CQ718" s="41"/>
      <c r="CR718" s="41"/>
      <c r="CS718" s="41"/>
      <c r="CT718" s="41"/>
      <c r="CU718" s="41"/>
      <c r="CV718" s="41"/>
      <c r="CW718" s="41"/>
      <c r="CX718" s="41"/>
      <c r="CY718" s="41"/>
      <c r="CZ718" s="41"/>
      <c r="DA718" s="41"/>
      <c r="DB718" s="41"/>
      <c r="DC718" s="41"/>
      <c r="DD718" s="41"/>
      <c r="DE718" s="41"/>
      <c r="DF718" s="41"/>
      <c r="DG718" s="41"/>
      <c r="DH718" s="41"/>
      <c r="DI718" s="41"/>
      <c r="DJ718" s="41"/>
      <c r="DK718" s="41"/>
      <c r="DL718" s="41"/>
      <c r="DM718" s="41"/>
      <c r="DN718" s="41"/>
      <c r="DO718" s="41"/>
      <c r="DP718" s="41"/>
      <c r="DQ718" s="41"/>
      <c r="DR718" s="41"/>
      <c r="DS718" s="43"/>
      <c r="DT718" s="44">
        <f t="shared" ref="DT718" si="700">SUM(F718:DR718)</f>
        <v>1</v>
      </c>
    </row>
    <row r="719" spans="2:124" s="13" customFormat="1">
      <c r="B719" s="4">
        <f>'6.1Personnel List'!B720</f>
        <v>707</v>
      </c>
      <c r="C719" s="45" t="s">
        <v>930</v>
      </c>
      <c r="D719" s="45" t="str">
        <f>'6.1Personnel List'!D720</f>
        <v>Administrative Officer I</v>
      </c>
      <c r="E719" s="45" t="str">
        <f>'6.1Personnel List'!H720</f>
        <v>FT</v>
      </c>
      <c r="G719" s="41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1"/>
      <c r="AH719" s="41"/>
      <c r="AI719" s="41"/>
      <c r="AJ719" s="41"/>
      <c r="AK719" s="41"/>
      <c r="AL719" s="41"/>
      <c r="AM719" s="41"/>
      <c r="AN719" s="41"/>
      <c r="AO719" s="41"/>
      <c r="AP719" s="41"/>
      <c r="AQ719" s="41"/>
      <c r="AR719" s="41"/>
      <c r="AS719" s="41"/>
      <c r="AT719" s="41"/>
      <c r="AU719" s="41"/>
      <c r="AV719" s="41"/>
      <c r="AW719" s="41"/>
      <c r="AX719" s="41"/>
      <c r="AY719" s="41"/>
      <c r="AZ719" s="41"/>
      <c r="BA719" s="41"/>
      <c r="BB719" s="41"/>
      <c r="BC719" s="41"/>
      <c r="BD719" s="41"/>
      <c r="BE719" s="41"/>
      <c r="BF719" s="41"/>
      <c r="BG719" s="41"/>
      <c r="BH719" s="41"/>
      <c r="BJ719" s="41"/>
      <c r="BK719" s="41"/>
      <c r="BL719" s="41"/>
      <c r="BM719" s="41"/>
      <c r="BN719" s="41"/>
      <c r="BO719" s="41"/>
      <c r="BP719" s="41"/>
      <c r="BQ719" s="41"/>
      <c r="BR719" s="41"/>
      <c r="BS719" s="41"/>
      <c r="BT719" s="41"/>
      <c r="BU719" s="41"/>
      <c r="BV719" s="41"/>
      <c r="BW719" s="41"/>
      <c r="BX719" s="41">
        <v>1</v>
      </c>
      <c r="BY719" s="41"/>
      <c r="BZ719" s="41"/>
      <c r="CA719" s="41"/>
      <c r="CB719" s="41"/>
      <c r="CC719" s="41"/>
      <c r="CD719" s="41"/>
      <c r="CE719" s="41"/>
      <c r="CF719" s="41"/>
      <c r="CG719" s="41"/>
      <c r="CH719" s="41"/>
      <c r="CI719" s="41"/>
      <c r="CJ719" s="41"/>
      <c r="CK719" s="41"/>
      <c r="CL719" s="41"/>
      <c r="CM719" s="41"/>
      <c r="CN719" s="41"/>
      <c r="CO719" s="41"/>
      <c r="CP719" s="41"/>
      <c r="CQ719" s="41"/>
      <c r="CR719" s="41"/>
      <c r="CS719" s="41"/>
      <c r="CT719" s="41"/>
      <c r="CU719" s="41"/>
      <c r="CV719" s="41"/>
      <c r="CW719" s="41"/>
      <c r="CX719" s="41"/>
      <c r="CY719" s="41"/>
      <c r="CZ719" s="41"/>
      <c r="DA719" s="41"/>
      <c r="DB719" s="41"/>
      <c r="DC719" s="41"/>
      <c r="DD719" s="41"/>
      <c r="DE719" s="41"/>
      <c r="DF719" s="41"/>
      <c r="DG719" s="41"/>
      <c r="DH719" s="41"/>
      <c r="DI719" s="41"/>
      <c r="DJ719" s="41"/>
      <c r="DK719" s="41"/>
      <c r="DL719" s="41"/>
      <c r="DM719" s="41"/>
      <c r="DN719" s="41"/>
      <c r="DO719" s="41"/>
      <c r="DP719" s="41"/>
      <c r="DQ719" s="41"/>
      <c r="DR719" s="41"/>
      <c r="DS719" s="43"/>
      <c r="DT719" s="44">
        <f t="shared" ref="DT719" si="701">SUM(F719:DR719)</f>
        <v>1</v>
      </c>
    </row>
    <row r="720" spans="2:124" s="13" customFormat="1">
      <c r="B720" s="4">
        <f>'6.1Personnel List'!B721</f>
        <v>708</v>
      </c>
      <c r="C720" s="45" t="s">
        <v>931</v>
      </c>
      <c r="D720" s="45" t="str">
        <f>'6.1Personnel List'!D721</f>
        <v>Administrative Officer I</v>
      </c>
      <c r="E720" s="45" t="str">
        <f>'6.1Personnel List'!H721</f>
        <v>FT</v>
      </c>
      <c r="G720" s="41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1"/>
      <c r="AH720" s="41"/>
      <c r="AI720" s="41"/>
      <c r="AJ720" s="41"/>
      <c r="AK720" s="41"/>
      <c r="AL720" s="41"/>
      <c r="AM720" s="41"/>
      <c r="AN720" s="41"/>
      <c r="AO720" s="41"/>
      <c r="AP720" s="41"/>
      <c r="AQ720" s="41"/>
      <c r="AR720" s="41"/>
      <c r="AS720" s="41"/>
      <c r="AT720" s="41"/>
      <c r="AU720" s="41"/>
      <c r="AV720" s="41"/>
      <c r="AW720" s="41"/>
      <c r="AX720" s="41"/>
      <c r="AY720" s="41"/>
      <c r="AZ720" s="41"/>
      <c r="BA720" s="41"/>
      <c r="BB720" s="41"/>
      <c r="BC720" s="41"/>
      <c r="BD720" s="41"/>
      <c r="BE720" s="41"/>
      <c r="BF720" s="41"/>
      <c r="BG720" s="41"/>
      <c r="BH720" s="41"/>
      <c r="BJ720" s="41"/>
      <c r="BK720" s="41"/>
      <c r="BL720" s="41"/>
      <c r="BM720" s="41"/>
      <c r="BN720" s="41"/>
      <c r="BO720" s="41"/>
      <c r="BP720" s="41"/>
      <c r="BQ720" s="41"/>
      <c r="BR720" s="41"/>
      <c r="BS720" s="41"/>
      <c r="BT720" s="41"/>
      <c r="BU720" s="41"/>
      <c r="BV720" s="41"/>
      <c r="BW720" s="41"/>
      <c r="BX720" s="41">
        <v>1</v>
      </c>
      <c r="BY720" s="41"/>
      <c r="BZ720" s="41"/>
      <c r="CA720" s="41"/>
      <c r="CB720" s="41"/>
      <c r="CC720" s="41"/>
      <c r="CD720" s="41"/>
      <c r="CE720" s="41"/>
      <c r="CF720" s="41"/>
      <c r="CG720" s="41"/>
      <c r="CH720" s="41"/>
      <c r="CI720" s="41"/>
      <c r="CJ720" s="41"/>
      <c r="CK720" s="41"/>
      <c r="CL720" s="41"/>
      <c r="CM720" s="41"/>
      <c r="CN720" s="41"/>
      <c r="CO720" s="41"/>
      <c r="CP720" s="41"/>
      <c r="CQ720" s="41"/>
      <c r="CR720" s="41"/>
      <c r="CS720" s="41"/>
      <c r="CT720" s="41"/>
      <c r="CU720" s="41"/>
      <c r="CV720" s="41"/>
      <c r="CW720" s="41"/>
      <c r="CX720" s="41"/>
      <c r="CY720" s="41"/>
      <c r="CZ720" s="41"/>
      <c r="DA720" s="41"/>
      <c r="DB720" s="41"/>
      <c r="DC720" s="41"/>
      <c r="DD720" s="41"/>
      <c r="DE720" s="41"/>
      <c r="DF720" s="41"/>
      <c r="DG720" s="41"/>
      <c r="DH720" s="41"/>
      <c r="DI720" s="41"/>
      <c r="DJ720" s="41"/>
      <c r="DK720" s="41"/>
      <c r="DL720" s="41"/>
      <c r="DM720" s="41"/>
      <c r="DN720" s="41"/>
      <c r="DO720" s="41"/>
      <c r="DP720" s="41"/>
      <c r="DQ720" s="41"/>
      <c r="DR720" s="41"/>
      <c r="DS720" s="43"/>
      <c r="DT720" s="44">
        <f t="shared" ref="DT720" si="702">SUM(F720:DR720)</f>
        <v>1</v>
      </c>
    </row>
    <row r="721" spans="2:124" s="13" customFormat="1">
      <c r="B721" s="4">
        <f>'6.1Personnel List'!B722</f>
        <v>709</v>
      </c>
      <c r="C721" s="45" t="s">
        <v>932</v>
      </c>
      <c r="D721" s="45" t="str">
        <f>'6.1Personnel List'!D722</f>
        <v>Administrative Officer I</v>
      </c>
      <c r="E721" s="45" t="str">
        <f>'6.1Personnel List'!H722</f>
        <v>FT</v>
      </c>
      <c r="G721" s="41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1"/>
      <c r="AH721" s="41"/>
      <c r="AI721" s="41"/>
      <c r="AJ721" s="41"/>
      <c r="AK721" s="41"/>
      <c r="AL721" s="41"/>
      <c r="AM721" s="41"/>
      <c r="AN721" s="41"/>
      <c r="AO721" s="41"/>
      <c r="AP721" s="41"/>
      <c r="AQ721" s="41"/>
      <c r="AR721" s="41"/>
      <c r="AS721" s="41"/>
      <c r="AT721" s="41"/>
      <c r="AU721" s="41"/>
      <c r="AV721" s="41"/>
      <c r="AW721" s="41"/>
      <c r="AX721" s="41"/>
      <c r="AY721" s="41"/>
      <c r="AZ721" s="41"/>
      <c r="BA721" s="41"/>
      <c r="BB721" s="41"/>
      <c r="BC721" s="41"/>
      <c r="BD721" s="41"/>
      <c r="BE721" s="41"/>
      <c r="BF721" s="41"/>
      <c r="BG721" s="41"/>
      <c r="BH721" s="41"/>
      <c r="BJ721" s="41"/>
      <c r="BK721" s="41"/>
      <c r="BL721" s="41"/>
      <c r="BM721" s="41"/>
      <c r="BN721" s="41"/>
      <c r="BO721" s="41"/>
      <c r="BP721" s="41"/>
      <c r="BQ721" s="41"/>
      <c r="BR721" s="41"/>
      <c r="BS721" s="41"/>
      <c r="BT721" s="41"/>
      <c r="BU721" s="41"/>
      <c r="BV721" s="41"/>
      <c r="BW721" s="41"/>
      <c r="BX721" s="41">
        <v>1</v>
      </c>
      <c r="BY721" s="41"/>
      <c r="BZ721" s="41"/>
      <c r="CA721" s="41"/>
      <c r="CB721" s="41"/>
      <c r="CC721" s="41"/>
      <c r="CD721" s="41"/>
      <c r="CE721" s="41"/>
      <c r="CF721" s="41"/>
      <c r="CG721" s="41"/>
      <c r="CH721" s="41"/>
      <c r="CI721" s="41"/>
      <c r="CJ721" s="41"/>
      <c r="CK721" s="41"/>
      <c r="CL721" s="41"/>
      <c r="CM721" s="41"/>
      <c r="CN721" s="41"/>
      <c r="CO721" s="41"/>
      <c r="CP721" s="41"/>
      <c r="CQ721" s="41"/>
      <c r="CR721" s="41"/>
      <c r="CS721" s="41"/>
      <c r="CT721" s="41"/>
      <c r="CU721" s="41"/>
      <c r="CV721" s="41"/>
      <c r="CW721" s="41"/>
      <c r="CX721" s="41"/>
      <c r="CY721" s="41"/>
      <c r="CZ721" s="41"/>
      <c r="DA721" s="41"/>
      <c r="DB721" s="41"/>
      <c r="DC721" s="41"/>
      <c r="DD721" s="41"/>
      <c r="DE721" s="41"/>
      <c r="DF721" s="41"/>
      <c r="DG721" s="41"/>
      <c r="DH721" s="41"/>
      <c r="DI721" s="41"/>
      <c r="DJ721" s="41"/>
      <c r="DK721" s="41"/>
      <c r="DL721" s="41"/>
      <c r="DM721" s="41"/>
      <c r="DN721" s="41"/>
      <c r="DO721" s="41"/>
      <c r="DP721" s="41"/>
      <c r="DQ721" s="41"/>
      <c r="DR721" s="41"/>
      <c r="DS721" s="43"/>
      <c r="DT721" s="44">
        <f t="shared" ref="DT721" si="703">SUM(F721:DR721)</f>
        <v>1</v>
      </c>
    </row>
    <row r="722" spans="2:124" s="13" customFormat="1">
      <c r="B722" s="4">
        <f>'6.1Personnel List'!B723</f>
        <v>710</v>
      </c>
      <c r="C722" s="45" t="s">
        <v>933</v>
      </c>
      <c r="D722" s="45" t="str">
        <f>'6.1Personnel List'!D723</f>
        <v>Administrative Officer I</v>
      </c>
      <c r="E722" s="45" t="str">
        <f>'6.1Personnel List'!H723</f>
        <v>FT</v>
      </c>
      <c r="G722" s="41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1"/>
      <c r="AH722" s="41"/>
      <c r="AI722" s="41"/>
      <c r="AJ722" s="41"/>
      <c r="AK722" s="41"/>
      <c r="AL722" s="41"/>
      <c r="AM722" s="41"/>
      <c r="AN722" s="41"/>
      <c r="AO722" s="41"/>
      <c r="AP722" s="41"/>
      <c r="AQ722" s="41"/>
      <c r="AR722" s="41"/>
      <c r="AS722" s="41"/>
      <c r="AT722" s="41"/>
      <c r="AU722" s="41"/>
      <c r="AV722" s="41"/>
      <c r="AW722" s="41"/>
      <c r="AX722" s="41"/>
      <c r="AY722" s="41"/>
      <c r="AZ722" s="41"/>
      <c r="BA722" s="41"/>
      <c r="BB722" s="41"/>
      <c r="BC722" s="41"/>
      <c r="BD722" s="41"/>
      <c r="BE722" s="41"/>
      <c r="BF722" s="41"/>
      <c r="BG722" s="41"/>
      <c r="BH722" s="41"/>
      <c r="BJ722" s="41"/>
      <c r="BK722" s="41"/>
      <c r="BL722" s="41"/>
      <c r="BM722" s="41"/>
      <c r="BN722" s="41"/>
      <c r="BO722" s="41"/>
      <c r="BP722" s="41"/>
      <c r="BQ722" s="41"/>
      <c r="BR722" s="41"/>
      <c r="BS722" s="41"/>
      <c r="BT722" s="41"/>
      <c r="BU722" s="41"/>
      <c r="BV722" s="41"/>
      <c r="BW722" s="41"/>
      <c r="BX722" s="41">
        <v>1</v>
      </c>
      <c r="BY722" s="41"/>
      <c r="BZ722" s="41"/>
      <c r="CA722" s="41"/>
      <c r="CB722" s="41"/>
      <c r="CC722" s="41"/>
      <c r="CD722" s="41"/>
      <c r="CE722" s="41"/>
      <c r="CF722" s="41"/>
      <c r="CG722" s="41"/>
      <c r="CH722" s="41"/>
      <c r="CI722" s="41"/>
      <c r="CJ722" s="41"/>
      <c r="CK722" s="41"/>
      <c r="CL722" s="41"/>
      <c r="CM722" s="41"/>
      <c r="CN722" s="41"/>
      <c r="CO722" s="41"/>
      <c r="CP722" s="41"/>
      <c r="CQ722" s="41"/>
      <c r="CR722" s="41"/>
      <c r="CS722" s="41"/>
      <c r="CT722" s="41"/>
      <c r="CU722" s="41"/>
      <c r="CV722" s="41"/>
      <c r="CW722" s="41"/>
      <c r="CX722" s="41"/>
      <c r="CY722" s="41"/>
      <c r="CZ722" s="41"/>
      <c r="DA722" s="41"/>
      <c r="DB722" s="41"/>
      <c r="DC722" s="41"/>
      <c r="DD722" s="41"/>
      <c r="DE722" s="41"/>
      <c r="DF722" s="41"/>
      <c r="DG722" s="41"/>
      <c r="DH722" s="41"/>
      <c r="DI722" s="41"/>
      <c r="DJ722" s="41"/>
      <c r="DK722" s="41"/>
      <c r="DL722" s="41"/>
      <c r="DM722" s="41"/>
      <c r="DN722" s="41"/>
      <c r="DO722" s="41"/>
      <c r="DP722" s="41"/>
      <c r="DQ722" s="41"/>
      <c r="DR722" s="41"/>
      <c r="DS722" s="43"/>
      <c r="DT722" s="44">
        <f t="shared" ref="DT722" si="704">SUM(F722:DR722)</f>
        <v>1</v>
      </c>
    </row>
    <row r="723" spans="2:124" s="13" customFormat="1">
      <c r="B723" s="4">
        <f>'6.1Personnel List'!B724</f>
        <v>711</v>
      </c>
      <c r="C723" s="45" t="s">
        <v>934</v>
      </c>
      <c r="D723" s="45" t="str">
        <f>'6.1Personnel List'!D724</f>
        <v>Administrative Officer I</v>
      </c>
      <c r="E723" s="45" t="str">
        <f>'6.1Personnel List'!H724</f>
        <v>FT</v>
      </c>
      <c r="G723" s="41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1"/>
      <c r="AH723" s="41"/>
      <c r="AI723" s="41"/>
      <c r="AJ723" s="41"/>
      <c r="AK723" s="41"/>
      <c r="AL723" s="41"/>
      <c r="AM723" s="41"/>
      <c r="AN723" s="41"/>
      <c r="AO723" s="41"/>
      <c r="AP723" s="41"/>
      <c r="AQ723" s="41"/>
      <c r="AR723" s="41"/>
      <c r="AS723" s="41"/>
      <c r="AT723" s="41"/>
      <c r="AU723" s="41"/>
      <c r="AV723" s="41"/>
      <c r="AW723" s="41"/>
      <c r="AX723" s="41"/>
      <c r="AY723" s="41"/>
      <c r="AZ723" s="41"/>
      <c r="BA723" s="41"/>
      <c r="BB723" s="41"/>
      <c r="BC723" s="41"/>
      <c r="BD723" s="41"/>
      <c r="BE723" s="41"/>
      <c r="BF723" s="41"/>
      <c r="BG723" s="41"/>
      <c r="BH723" s="41"/>
      <c r="BJ723" s="41"/>
      <c r="BK723" s="41"/>
      <c r="BL723" s="41"/>
      <c r="BM723" s="41"/>
      <c r="BN723" s="41"/>
      <c r="BO723" s="41"/>
      <c r="BP723" s="41"/>
      <c r="BQ723" s="41"/>
      <c r="BR723" s="41"/>
      <c r="BS723" s="41"/>
      <c r="BT723" s="41"/>
      <c r="BU723" s="41"/>
      <c r="BV723" s="41"/>
      <c r="BW723" s="41"/>
      <c r="BX723" s="41">
        <v>1</v>
      </c>
      <c r="BY723" s="41"/>
      <c r="BZ723" s="41"/>
      <c r="CA723" s="41"/>
      <c r="CB723" s="41"/>
      <c r="CC723" s="41"/>
      <c r="CD723" s="41"/>
      <c r="CE723" s="41"/>
      <c r="CF723" s="41"/>
      <c r="CG723" s="41"/>
      <c r="CH723" s="41"/>
      <c r="CI723" s="41"/>
      <c r="CJ723" s="41"/>
      <c r="CK723" s="41"/>
      <c r="CL723" s="41"/>
      <c r="CM723" s="41"/>
      <c r="CN723" s="41"/>
      <c r="CO723" s="41"/>
      <c r="CP723" s="41"/>
      <c r="CQ723" s="41"/>
      <c r="CR723" s="41"/>
      <c r="CS723" s="41"/>
      <c r="CT723" s="41"/>
      <c r="CU723" s="41"/>
      <c r="CV723" s="41"/>
      <c r="CW723" s="41"/>
      <c r="CX723" s="41"/>
      <c r="CY723" s="41"/>
      <c r="CZ723" s="41"/>
      <c r="DA723" s="41"/>
      <c r="DB723" s="41"/>
      <c r="DC723" s="41"/>
      <c r="DD723" s="41"/>
      <c r="DE723" s="41"/>
      <c r="DF723" s="41"/>
      <c r="DG723" s="41"/>
      <c r="DH723" s="41"/>
      <c r="DI723" s="41"/>
      <c r="DJ723" s="41"/>
      <c r="DK723" s="41"/>
      <c r="DL723" s="41"/>
      <c r="DM723" s="41"/>
      <c r="DN723" s="41"/>
      <c r="DO723" s="41"/>
      <c r="DP723" s="41"/>
      <c r="DQ723" s="41"/>
      <c r="DR723" s="41"/>
      <c r="DS723" s="43"/>
      <c r="DT723" s="44">
        <f t="shared" ref="DT723" si="705">SUM(F723:DR723)</f>
        <v>1</v>
      </c>
    </row>
    <row r="724" spans="2:124" s="13" customFormat="1">
      <c r="B724" s="4">
        <f>'6.1Personnel List'!B725</f>
        <v>712</v>
      </c>
      <c r="C724" s="45" t="s">
        <v>935</v>
      </c>
      <c r="D724" s="45" t="str">
        <f>'6.1Personnel List'!D725</f>
        <v>Administrative Officer I</v>
      </c>
      <c r="E724" s="45" t="str">
        <f>'6.1Personnel List'!H725</f>
        <v>FT</v>
      </c>
      <c r="G724" s="41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1"/>
      <c r="AH724" s="41"/>
      <c r="AI724" s="41"/>
      <c r="AJ724" s="41"/>
      <c r="AK724" s="41"/>
      <c r="AL724" s="41"/>
      <c r="AM724" s="41"/>
      <c r="AN724" s="41"/>
      <c r="AO724" s="41"/>
      <c r="AP724" s="41"/>
      <c r="AQ724" s="41"/>
      <c r="AR724" s="41"/>
      <c r="AS724" s="41"/>
      <c r="AT724" s="41"/>
      <c r="AU724" s="41"/>
      <c r="AV724" s="41"/>
      <c r="AW724" s="41"/>
      <c r="AX724" s="41"/>
      <c r="AY724" s="41"/>
      <c r="AZ724" s="41"/>
      <c r="BA724" s="41"/>
      <c r="BB724" s="41"/>
      <c r="BC724" s="41"/>
      <c r="BD724" s="41"/>
      <c r="BE724" s="41"/>
      <c r="BF724" s="41"/>
      <c r="BG724" s="41"/>
      <c r="BH724" s="41"/>
      <c r="BJ724" s="41"/>
      <c r="BK724" s="41"/>
      <c r="BL724" s="41"/>
      <c r="BM724" s="41"/>
      <c r="BN724" s="41"/>
      <c r="BO724" s="41"/>
      <c r="BP724" s="41"/>
      <c r="BQ724" s="41"/>
      <c r="BR724" s="41"/>
      <c r="BS724" s="41"/>
      <c r="BT724" s="41"/>
      <c r="BU724" s="41"/>
      <c r="BV724" s="41"/>
      <c r="BW724" s="41"/>
      <c r="BX724" s="41">
        <v>1</v>
      </c>
      <c r="BY724" s="41"/>
      <c r="BZ724" s="41"/>
      <c r="CA724" s="41"/>
      <c r="CB724" s="41"/>
      <c r="CC724" s="41"/>
      <c r="CD724" s="41"/>
      <c r="CE724" s="41"/>
      <c r="CF724" s="41"/>
      <c r="CG724" s="41"/>
      <c r="CH724" s="41"/>
      <c r="CI724" s="41"/>
      <c r="CJ724" s="41"/>
      <c r="CK724" s="41"/>
      <c r="CL724" s="41"/>
      <c r="CM724" s="41"/>
      <c r="CN724" s="41"/>
      <c r="CO724" s="41"/>
      <c r="CP724" s="41"/>
      <c r="CQ724" s="41"/>
      <c r="CR724" s="41"/>
      <c r="CS724" s="41"/>
      <c r="CT724" s="41"/>
      <c r="CU724" s="41"/>
      <c r="CV724" s="41"/>
      <c r="CW724" s="41"/>
      <c r="CX724" s="41"/>
      <c r="CY724" s="41"/>
      <c r="CZ724" s="41"/>
      <c r="DA724" s="41"/>
      <c r="DB724" s="41"/>
      <c r="DC724" s="41"/>
      <c r="DD724" s="41"/>
      <c r="DE724" s="41"/>
      <c r="DF724" s="41"/>
      <c r="DG724" s="41"/>
      <c r="DH724" s="41"/>
      <c r="DI724" s="41"/>
      <c r="DJ724" s="41"/>
      <c r="DK724" s="41"/>
      <c r="DL724" s="41"/>
      <c r="DM724" s="41"/>
      <c r="DN724" s="41"/>
      <c r="DO724" s="41"/>
      <c r="DP724" s="41"/>
      <c r="DQ724" s="41"/>
      <c r="DR724" s="41"/>
      <c r="DS724" s="43"/>
      <c r="DT724" s="44">
        <f t="shared" ref="DT724" si="706">SUM(F724:DR724)</f>
        <v>1</v>
      </c>
    </row>
    <row r="725" spans="2:124" s="13" customFormat="1">
      <c r="B725" s="4">
        <f>'6.1Personnel List'!B726</f>
        <v>713</v>
      </c>
      <c r="C725" s="45" t="s">
        <v>936</v>
      </c>
      <c r="D725" s="45" t="str">
        <f>'6.1Personnel List'!D726</f>
        <v>Administrative Officer I</v>
      </c>
      <c r="E725" s="45" t="str">
        <f>'6.1Personnel List'!H726</f>
        <v>FT</v>
      </c>
      <c r="G725" s="41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  <c r="AA725" s="41"/>
      <c r="AB725" s="41"/>
      <c r="AC725" s="41"/>
      <c r="AD725" s="41"/>
      <c r="AE725" s="41"/>
      <c r="AF725" s="41"/>
      <c r="AG725" s="41"/>
      <c r="AH725" s="41"/>
      <c r="AI725" s="41"/>
      <c r="AJ725" s="41"/>
      <c r="AK725" s="41"/>
      <c r="AL725" s="41"/>
      <c r="AM725" s="41"/>
      <c r="AN725" s="41"/>
      <c r="AO725" s="41"/>
      <c r="AP725" s="41"/>
      <c r="AQ725" s="41"/>
      <c r="AR725" s="41"/>
      <c r="AS725" s="41"/>
      <c r="AT725" s="41"/>
      <c r="AU725" s="41"/>
      <c r="AV725" s="41"/>
      <c r="AW725" s="41"/>
      <c r="AX725" s="41"/>
      <c r="AY725" s="41"/>
      <c r="AZ725" s="41"/>
      <c r="BA725" s="41"/>
      <c r="BB725" s="41"/>
      <c r="BC725" s="41"/>
      <c r="BD725" s="41"/>
      <c r="BE725" s="41"/>
      <c r="BF725" s="41"/>
      <c r="BG725" s="41"/>
      <c r="BH725" s="41"/>
      <c r="BJ725" s="41"/>
      <c r="BK725" s="41"/>
      <c r="BL725" s="41"/>
      <c r="BM725" s="41"/>
      <c r="BN725" s="41"/>
      <c r="BO725" s="41"/>
      <c r="BP725" s="41"/>
      <c r="BQ725" s="41"/>
      <c r="BR725" s="41"/>
      <c r="BS725" s="41"/>
      <c r="BT725" s="41"/>
      <c r="BU725" s="41"/>
      <c r="BV725" s="41"/>
      <c r="BW725" s="41"/>
      <c r="BX725" s="41">
        <v>1</v>
      </c>
      <c r="BY725" s="41"/>
      <c r="BZ725" s="41"/>
      <c r="CA725" s="41"/>
      <c r="CB725" s="41"/>
      <c r="CC725" s="41"/>
      <c r="CD725" s="41"/>
      <c r="CE725" s="41"/>
      <c r="CF725" s="41"/>
      <c r="CG725" s="41"/>
      <c r="CH725" s="41"/>
      <c r="CI725" s="41"/>
      <c r="CJ725" s="41"/>
      <c r="CK725" s="41"/>
      <c r="CL725" s="41"/>
      <c r="CM725" s="41"/>
      <c r="CN725" s="41"/>
      <c r="CO725" s="41"/>
      <c r="CP725" s="41"/>
      <c r="CQ725" s="41"/>
      <c r="CR725" s="41"/>
      <c r="CS725" s="41"/>
      <c r="CT725" s="41"/>
      <c r="CU725" s="41"/>
      <c r="CV725" s="41"/>
      <c r="CW725" s="41"/>
      <c r="CX725" s="41"/>
      <c r="CY725" s="41"/>
      <c r="CZ725" s="41"/>
      <c r="DA725" s="41"/>
      <c r="DB725" s="41"/>
      <c r="DC725" s="41"/>
      <c r="DD725" s="41"/>
      <c r="DE725" s="41"/>
      <c r="DF725" s="41"/>
      <c r="DG725" s="41"/>
      <c r="DH725" s="41"/>
      <c r="DI725" s="41"/>
      <c r="DJ725" s="41"/>
      <c r="DK725" s="41"/>
      <c r="DL725" s="41"/>
      <c r="DM725" s="41"/>
      <c r="DN725" s="41"/>
      <c r="DO725" s="41"/>
      <c r="DP725" s="41"/>
      <c r="DQ725" s="41"/>
      <c r="DR725" s="41"/>
      <c r="DS725" s="43"/>
      <c r="DT725" s="44">
        <f t="shared" ref="DT725" si="707">SUM(F725:DR725)</f>
        <v>1</v>
      </c>
    </row>
    <row r="726" spans="2:124" s="13" customFormat="1">
      <c r="B726" s="4">
        <f>'6.1Personnel List'!B727</f>
        <v>714</v>
      </c>
      <c r="C726" s="45" t="s">
        <v>937</v>
      </c>
      <c r="D726" s="45" t="str">
        <f>'6.1Personnel List'!D727</f>
        <v>Administrative Officer I</v>
      </c>
      <c r="E726" s="45" t="str">
        <f>'6.1Personnel List'!H727</f>
        <v>FT</v>
      </c>
      <c r="G726" s="41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  <c r="AA726" s="41"/>
      <c r="AB726" s="41"/>
      <c r="AC726" s="41"/>
      <c r="AD726" s="41"/>
      <c r="AE726" s="41"/>
      <c r="AF726" s="41"/>
      <c r="AG726" s="41"/>
      <c r="AH726" s="41"/>
      <c r="AI726" s="41"/>
      <c r="AJ726" s="41"/>
      <c r="AK726" s="41"/>
      <c r="AL726" s="41"/>
      <c r="AM726" s="41"/>
      <c r="AN726" s="41"/>
      <c r="AO726" s="41"/>
      <c r="AP726" s="41"/>
      <c r="AQ726" s="41"/>
      <c r="AR726" s="41"/>
      <c r="AS726" s="41"/>
      <c r="AT726" s="41"/>
      <c r="AU726" s="41"/>
      <c r="AV726" s="41"/>
      <c r="AW726" s="41"/>
      <c r="AX726" s="41"/>
      <c r="AY726" s="41"/>
      <c r="AZ726" s="41"/>
      <c r="BA726" s="41"/>
      <c r="BB726" s="41"/>
      <c r="BC726" s="41"/>
      <c r="BD726" s="41"/>
      <c r="BE726" s="41"/>
      <c r="BF726" s="41"/>
      <c r="BG726" s="41"/>
      <c r="BH726" s="41"/>
      <c r="BJ726" s="41"/>
      <c r="BK726" s="41"/>
      <c r="BL726" s="41"/>
      <c r="BM726" s="41"/>
      <c r="BN726" s="41"/>
      <c r="BO726" s="41"/>
      <c r="BP726" s="41"/>
      <c r="BQ726" s="41"/>
      <c r="BR726" s="41"/>
      <c r="BS726" s="41"/>
      <c r="BT726" s="41"/>
      <c r="BU726" s="41"/>
      <c r="BV726" s="41"/>
      <c r="BW726" s="41"/>
      <c r="BX726" s="41">
        <v>1</v>
      </c>
      <c r="BY726" s="41"/>
      <c r="BZ726" s="41"/>
      <c r="CA726" s="41"/>
      <c r="CB726" s="41"/>
      <c r="CC726" s="41"/>
      <c r="CD726" s="41"/>
      <c r="CE726" s="41"/>
      <c r="CF726" s="41"/>
      <c r="CG726" s="41"/>
      <c r="CH726" s="41"/>
      <c r="CI726" s="41"/>
      <c r="CJ726" s="41"/>
      <c r="CK726" s="41"/>
      <c r="CL726" s="41"/>
      <c r="CM726" s="41"/>
      <c r="CN726" s="41"/>
      <c r="CO726" s="41"/>
      <c r="CP726" s="41"/>
      <c r="CQ726" s="41"/>
      <c r="CR726" s="41"/>
      <c r="CS726" s="41"/>
      <c r="CT726" s="41"/>
      <c r="CU726" s="41"/>
      <c r="CV726" s="41"/>
      <c r="CW726" s="41"/>
      <c r="CX726" s="41"/>
      <c r="CY726" s="41"/>
      <c r="CZ726" s="41"/>
      <c r="DA726" s="41"/>
      <c r="DB726" s="41"/>
      <c r="DC726" s="41"/>
      <c r="DD726" s="41"/>
      <c r="DE726" s="41"/>
      <c r="DF726" s="41"/>
      <c r="DG726" s="41"/>
      <c r="DH726" s="41"/>
      <c r="DI726" s="41"/>
      <c r="DJ726" s="41"/>
      <c r="DK726" s="41"/>
      <c r="DL726" s="41"/>
      <c r="DM726" s="41"/>
      <c r="DN726" s="41"/>
      <c r="DO726" s="41"/>
      <c r="DP726" s="41"/>
      <c r="DQ726" s="41"/>
      <c r="DR726" s="41"/>
      <c r="DS726" s="43"/>
      <c r="DT726" s="44">
        <f t="shared" ref="DT726" si="708">SUM(F726:DR726)</f>
        <v>1</v>
      </c>
    </row>
    <row r="727" spans="2:124" s="13" customFormat="1">
      <c r="B727" s="4">
        <f>'6.1Personnel List'!B728</f>
        <v>715</v>
      </c>
      <c r="C727" s="45" t="s">
        <v>938</v>
      </c>
      <c r="D727" s="45" t="str">
        <f>'6.1Personnel List'!D728</f>
        <v>Administrative Officer I</v>
      </c>
      <c r="E727" s="45" t="str">
        <f>'6.1Personnel List'!H728</f>
        <v>FT</v>
      </c>
      <c r="G727" s="41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  <c r="AA727" s="41"/>
      <c r="AB727" s="41"/>
      <c r="AC727" s="41"/>
      <c r="AD727" s="41"/>
      <c r="AE727" s="41"/>
      <c r="AF727" s="41"/>
      <c r="AG727" s="41"/>
      <c r="AH727" s="41"/>
      <c r="AI727" s="41"/>
      <c r="AJ727" s="41"/>
      <c r="AK727" s="41"/>
      <c r="AL727" s="41"/>
      <c r="AM727" s="41"/>
      <c r="AN727" s="41"/>
      <c r="AO727" s="41"/>
      <c r="AP727" s="41"/>
      <c r="AQ727" s="41"/>
      <c r="AR727" s="41"/>
      <c r="AS727" s="41"/>
      <c r="AT727" s="41"/>
      <c r="AU727" s="41"/>
      <c r="AV727" s="41"/>
      <c r="AW727" s="41"/>
      <c r="AX727" s="41"/>
      <c r="AY727" s="41"/>
      <c r="AZ727" s="41"/>
      <c r="BA727" s="41"/>
      <c r="BB727" s="41"/>
      <c r="BC727" s="41"/>
      <c r="BD727" s="41"/>
      <c r="BE727" s="41"/>
      <c r="BF727" s="41"/>
      <c r="BG727" s="41"/>
      <c r="BH727" s="41"/>
      <c r="BJ727" s="41"/>
      <c r="BK727" s="41"/>
      <c r="BL727" s="41"/>
      <c r="BM727" s="41"/>
      <c r="BN727" s="41"/>
      <c r="BO727" s="41"/>
      <c r="BP727" s="41"/>
      <c r="BQ727" s="41"/>
      <c r="BR727" s="41"/>
      <c r="BS727" s="41"/>
      <c r="BT727" s="41"/>
      <c r="BU727" s="41"/>
      <c r="BV727" s="41"/>
      <c r="BW727" s="41"/>
      <c r="BX727" s="41">
        <v>1</v>
      </c>
      <c r="BY727" s="41"/>
      <c r="BZ727" s="41"/>
      <c r="CA727" s="41"/>
      <c r="CB727" s="41"/>
      <c r="CC727" s="41"/>
      <c r="CD727" s="41"/>
      <c r="CE727" s="41"/>
      <c r="CF727" s="41"/>
      <c r="CG727" s="41"/>
      <c r="CH727" s="41"/>
      <c r="CI727" s="41"/>
      <c r="CJ727" s="41"/>
      <c r="CK727" s="41"/>
      <c r="CL727" s="41"/>
      <c r="CM727" s="41"/>
      <c r="CN727" s="41"/>
      <c r="CO727" s="41"/>
      <c r="CP727" s="41"/>
      <c r="CQ727" s="41"/>
      <c r="CR727" s="41"/>
      <c r="CS727" s="41"/>
      <c r="CT727" s="41"/>
      <c r="CU727" s="41"/>
      <c r="CV727" s="41"/>
      <c r="CW727" s="41"/>
      <c r="CX727" s="41"/>
      <c r="CY727" s="41"/>
      <c r="CZ727" s="41"/>
      <c r="DA727" s="41"/>
      <c r="DB727" s="41"/>
      <c r="DC727" s="41"/>
      <c r="DD727" s="41"/>
      <c r="DE727" s="41"/>
      <c r="DF727" s="41"/>
      <c r="DG727" s="41"/>
      <c r="DH727" s="41"/>
      <c r="DI727" s="41"/>
      <c r="DJ727" s="41"/>
      <c r="DK727" s="41"/>
      <c r="DL727" s="41"/>
      <c r="DM727" s="41"/>
      <c r="DN727" s="41"/>
      <c r="DO727" s="41"/>
      <c r="DP727" s="41"/>
      <c r="DQ727" s="41"/>
      <c r="DR727" s="41"/>
      <c r="DS727" s="43"/>
      <c r="DT727" s="44">
        <f t="shared" ref="DT727" si="709">SUM(F727:DR727)</f>
        <v>1</v>
      </c>
    </row>
    <row r="728" spans="2:124" s="13" customFormat="1">
      <c r="B728" s="4">
        <f>'6.1Personnel List'!B729</f>
        <v>716</v>
      </c>
      <c r="C728" s="45" t="s">
        <v>939</v>
      </c>
      <c r="D728" s="45" t="str">
        <f>'6.1Personnel List'!D729</f>
        <v>Administrative Officer I</v>
      </c>
      <c r="E728" s="45" t="str">
        <f>'6.1Personnel List'!H729</f>
        <v>FT</v>
      </c>
      <c r="G728" s="41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  <c r="AA728" s="41"/>
      <c r="AB728" s="41"/>
      <c r="AC728" s="41"/>
      <c r="AD728" s="41"/>
      <c r="AE728" s="41"/>
      <c r="AF728" s="41"/>
      <c r="AG728" s="41"/>
      <c r="AH728" s="41"/>
      <c r="AI728" s="41"/>
      <c r="AJ728" s="41"/>
      <c r="AK728" s="41"/>
      <c r="AL728" s="41"/>
      <c r="AM728" s="41"/>
      <c r="AN728" s="41"/>
      <c r="AO728" s="41"/>
      <c r="AP728" s="41"/>
      <c r="AQ728" s="41"/>
      <c r="AR728" s="41"/>
      <c r="AS728" s="41"/>
      <c r="AT728" s="41"/>
      <c r="AU728" s="41"/>
      <c r="AV728" s="41"/>
      <c r="AW728" s="41"/>
      <c r="AX728" s="41"/>
      <c r="AY728" s="41"/>
      <c r="AZ728" s="41"/>
      <c r="BA728" s="41"/>
      <c r="BB728" s="41"/>
      <c r="BC728" s="41"/>
      <c r="BD728" s="41"/>
      <c r="BE728" s="41"/>
      <c r="BF728" s="41"/>
      <c r="BG728" s="41"/>
      <c r="BH728" s="41"/>
      <c r="BJ728" s="41"/>
      <c r="BK728" s="41"/>
      <c r="BL728" s="41"/>
      <c r="BM728" s="41"/>
      <c r="BN728" s="41"/>
      <c r="BO728" s="41"/>
      <c r="BP728" s="41"/>
      <c r="BQ728" s="41"/>
      <c r="BR728" s="41"/>
      <c r="BS728" s="41"/>
      <c r="BT728" s="41"/>
      <c r="BU728" s="41"/>
      <c r="BV728" s="41"/>
      <c r="BW728" s="41"/>
      <c r="BX728" s="41">
        <v>1</v>
      </c>
      <c r="BY728" s="41"/>
      <c r="BZ728" s="41"/>
      <c r="CA728" s="41"/>
      <c r="CB728" s="41"/>
      <c r="CC728" s="41"/>
      <c r="CD728" s="41"/>
      <c r="CE728" s="41"/>
      <c r="CF728" s="41"/>
      <c r="CG728" s="41"/>
      <c r="CH728" s="41"/>
      <c r="CI728" s="41"/>
      <c r="CJ728" s="41"/>
      <c r="CK728" s="41"/>
      <c r="CL728" s="41"/>
      <c r="CM728" s="41"/>
      <c r="CN728" s="41"/>
      <c r="CO728" s="41"/>
      <c r="CP728" s="41"/>
      <c r="CQ728" s="41"/>
      <c r="CR728" s="41"/>
      <c r="CS728" s="41"/>
      <c r="CT728" s="41"/>
      <c r="CU728" s="41"/>
      <c r="CV728" s="41"/>
      <c r="CW728" s="41"/>
      <c r="CX728" s="41"/>
      <c r="CY728" s="41"/>
      <c r="CZ728" s="41"/>
      <c r="DA728" s="41"/>
      <c r="DB728" s="41"/>
      <c r="DC728" s="41"/>
      <c r="DD728" s="41"/>
      <c r="DE728" s="41"/>
      <c r="DF728" s="41"/>
      <c r="DG728" s="41"/>
      <c r="DH728" s="41"/>
      <c r="DI728" s="41"/>
      <c r="DJ728" s="41"/>
      <c r="DK728" s="41"/>
      <c r="DL728" s="41"/>
      <c r="DM728" s="41"/>
      <c r="DN728" s="41"/>
      <c r="DO728" s="41"/>
      <c r="DP728" s="41"/>
      <c r="DQ728" s="41"/>
      <c r="DR728" s="41"/>
      <c r="DS728" s="43"/>
      <c r="DT728" s="44">
        <f t="shared" ref="DT728" si="710">SUM(F728:DR728)</f>
        <v>1</v>
      </c>
    </row>
    <row r="729" spans="2:124" s="13" customFormat="1">
      <c r="B729" s="4">
        <f>'6.1Personnel List'!B730</f>
        <v>717</v>
      </c>
      <c r="C729" s="45" t="s">
        <v>940</v>
      </c>
      <c r="D729" s="45" t="str">
        <f>'6.1Personnel List'!D730</f>
        <v>Administrative Assistant II</v>
      </c>
      <c r="E729" s="45" t="str">
        <f>'6.1Personnel List'!H730</f>
        <v>FT</v>
      </c>
      <c r="G729" s="41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  <c r="AA729" s="41"/>
      <c r="AB729" s="41"/>
      <c r="AC729" s="41"/>
      <c r="AD729" s="41"/>
      <c r="AE729" s="41"/>
      <c r="AF729" s="41"/>
      <c r="AG729" s="41"/>
      <c r="AH729" s="41"/>
      <c r="AI729" s="41"/>
      <c r="AJ729" s="41"/>
      <c r="AK729" s="41"/>
      <c r="AL729" s="41"/>
      <c r="AM729" s="41"/>
      <c r="AN729" s="41"/>
      <c r="AO729" s="41"/>
      <c r="AP729" s="41"/>
      <c r="AQ729" s="41"/>
      <c r="AR729" s="41"/>
      <c r="AS729" s="41"/>
      <c r="AT729" s="41"/>
      <c r="AU729" s="41"/>
      <c r="AV729" s="41"/>
      <c r="AW729" s="41"/>
      <c r="AX729" s="41"/>
      <c r="AY729" s="41"/>
      <c r="AZ729" s="41"/>
      <c r="BA729" s="41"/>
      <c r="BB729" s="41"/>
      <c r="BC729" s="41"/>
      <c r="BD729" s="41"/>
      <c r="BE729" s="41"/>
      <c r="BF729" s="41"/>
      <c r="BG729" s="41"/>
      <c r="BH729" s="41"/>
      <c r="BJ729" s="41"/>
      <c r="BK729" s="41"/>
      <c r="BL729" s="41"/>
      <c r="BM729" s="41"/>
      <c r="BN729" s="41"/>
      <c r="BO729" s="41"/>
      <c r="BP729" s="41"/>
      <c r="BQ729" s="41"/>
      <c r="BR729" s="41"/>
      <c r="BS729" s="41"/>
      <c r="BT729" s="41"/>
      <c r="BU729" s="41"/>
      <c r="BV729" s="41"/>
      <c r="BW729" s="41"/>
      <c r="BX729" s="41">
        <v>1</v>
      </c>
      <c r="BY729" s="41"/>
      <c r="BZ729" s="41"/>
      <c r="CA729" s="41"/>
      <c r="CB729" s="41"/>
      <c r="CC729" s="41"/>
      <c r="CD729" s="41"/>
      <c r="CE729" s="41"/>
      <c r="CF729" s="41"/>
      <c r="CG729" s="41"/>
      <c r="CH729" s="41"/>
      <c r="CI729" s="41"/>
      <c r="CJ729" s="41"/>
      <c r="CK729" s="41"/>
      <c r="CL729" s="41"/>
      <c r="CM729" s="41"/>
      <c r="CN729" s="41"/>
      <c r="CO729" s="41"/>
      <c r="CP729" s="41"/>
      <c r="CQ729" s="41"/>
      <c r="CR729" s="41"/>
      <c r="CS729" s="41"/>
      <c r="CT729" s="41"/>
      <c r="CU729" s="41"/>
      <c r="CV729" s="41"/>
      <c r="CW729" s="41"/>
      <c r="CX729" s="41"/>
      <c r="CY729" s="41"/>
      <c r="CZ729" s="41"/>
      <c r="DA729" s="41"/>
      <c r="DB729" s="41"/>
      <c r="DC729" s="41"/>
      <c r="DD729" s="41"/>
      <c r="DE729" s="41"/>
      <c r="DF729" s="41"/>
      <c r="DG729" s="41"/>
      <c r="DH729" s="41"/>
      <c r="DI729" s="41"/>
      <c r="DJ729" s="41"/>
      <c r="DK729" s="41"/>
      <c r="DL729" s="41"/>
      <c r="DM729" s="41"/>
      <c r="DN729" s="41"/>
      <c r="DO729" s="41"/>
      <c r="DP729" s="41"/>
      <c r="DQ729" s="41"/>
      <c r="DR729" s="41"/>
      <c r="DS729" s="43"/>
      <c r="DT729" s="44">
        <f t="shared" ref="DT729" si="711">SUM(F729:DR729)</f>
        <v>1</v>
      </c>
    </row>
    <row r="730" spans="2:124" s="13" customFormat="1">
      <c r="B730" s="4">
        <f>'6.1Personnel List'!B731</f>
        <v>718</v>
      </c>
      <c r="C730" s="45" t="s">
        <v>941</v>
      </c>
      <c r="D730" s="45" t="str">
        <f>'6.1Personnel List'!D731</f>
        <v>Administrative Assistant II</v>
      </c>
      <c r="E730" s="45" t="str">
        <f>'6.1Personnel List'!H731</f>
        <v>FT</v>
      </c>
      <c r="G730" s="41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  <c r="AA730" s="41"/>
      <c r="AB730" s="41"/>
      <c r="AC730" s="41"/>
      <c r="AD730" s="41"/>
      <c r="AE730" s="41"/>
      <c r="AF730" s="41"/>
      <c r="AG730" s="41"/>
      <c r="AH730" s="41"/>
      <c r="AI730" s="41"/>
      <c r="AJ730" s="41"/>
      <c r="AK730" s="41"/>
      <c r="AL730" s="41"/>
      <c r="AM730" s="41"/>
      <c r="AN730" s="41"/>
      <c r="AO730" s="41"/>
      <c r="AP730" s="41"/>
      <c r="AQ730" s="41"/>
      <c r="AR730" s="41"/>
      <c r="AS730" s="41"/>
      <c r="AT730" s="41"/>
      <c r="AU730" s="41"/>
      <c r="AV730" s="41"/>
      <c r="AW730" s="41"/>
      <c r="AX730" s="41"/>
      <c r="AY730" s="41"/>
      <c r="AZ730" s="41"/>
      <c r="BA730" s="41"/>
      <c r="BB730" s="41"/>
      <c r="BC730" s="41"/>
      <c r="BD730" s="41"/>
      <c r="BE730" s="41"/>
      <c r="BF730" s="41"/>
      <c r="BG730" s="41"/>
      <c r="BH730" s="41"/>
      <c r="BJ730" s="41"/>
      <c r="BK730" s="41"/>
      <c r="BL730" s="41"/>
      <c r="BM730" s="41"/>
      <c r="BN730" s="41"/>
      <c r="BO730" s="41"/>
      <c r="BP730" s="41"/>
      <c r="BQ730" s="41"/>
      <c r="BR730" s="41"/>
      <c r="BS730" s="41"/>
      <c r="BT730" s="41"/>
      <c r="BU730" s="41"/>
      <c r="BV730" s="41"/>
      <c r="BW730" s="41"/>
      <c r="BX730" s="41">
        <v>1</v>
      </c>
      <c r="BY730" s="41"/>
      <c r="BZ730" s="41"/>
      <c r="CA730" s="41"/>
      <c r="CB730" s="41"/>
      <c r="CC730" s="41"/>
      <c r="CD730" s="41"/>
      <c r="CE730" s="41"/>
      <c r="CF730" s="41"/>
      <c r="CG730" s="41"/>
      <c r="CH730" s="41"/>
      <c r="CI730" s="41"/>
      <c r="CJ730" s="41"/>
      <c r="CK730" s="41"/>
      <c r="CL730" s="41"/>
      <c r="CM730" s="41"/>
      <c r="CN730" s="41"/>
      <c r="CO730" s="41"/>
      <c r="CP730" s="41"/>
      <c r="CQ730" s="41"/>
      <c r="CR730" s="41"/>
      <c r="CS730" s="41"/>
      <c r="CT730" s="41"/>
      <c r="CU730" s="41"/>
      <c r="CV730" s="41"/>
      <c r="CW730" s="41"/>
      <c r="CX730" s="41"/>
      <c r="CY730" s="41"/>
      <c r="CZ730" s="41"/>
      <c r="DA730" s="41"/>
      <c r="DB730" s="41"/>
      <c r="DC730" s="41"/>
      <c r="DD730" s="41"/>
      <c r="DE730" s="41"/>
      <c r="DF730" s="41"/>
      <c r="DG730" s="41"/>
      <c r="DH730" s="41"/>
      <c r="DI730" s="41"/>
      <c r="DJ730" s="41"/>
      <c r="DK730" s="41"/>
      <c r="DL730" s="41"/>
      <c r="DM730" s="41"/>
      <c r="DN730" s="41"/>
      <c r="DO730" s="41"/>
      <c r="DP730" s="41"/>
      <c r="DQ730" s="41"/>
      <c r="DR730" s="41"/>
      <c r="DS730" s="43"/>
      <c r="DT730" s="44">
        <f t="shared" ref="DT730" si="712">SUM(F730:DR730)</f>
        <v>1</v>
      </c>
    </row>
    <row r="731" spans="2:124" s="13" customFormat="1">
      <c r="B731" s="4">
        <f>'6.1Personnel List'!B732</f>
        <v>719</v>
      </c>
      <c r="C731" s="45" t="s">
        <v>942</v>
      </c>
      <c r="D731" s="45" t="str">
        <f>'6.1Personnel List'!D732</f>
        <v>Administrative Assistant II</v>
      </c>
      <c r="E731" s="45" t="str">
        <f>'6.1Personnel List'!H732</f>
        <v>FT</v>
      </c>
      <c r="G731" s="41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1"/>
      <c r="AH731" s="41"/>
      <c r="AI731" s="41"/>
      <c r="AJ731" s="41"/>
      <c r="AK731" s="41"/>
      <c r="AL731" s="41"/>
      <c r="AM731" s="41"/>
      <c r="AN731" s="41"/>
      <c r="AO731" s="41"/>
      <c r="AP731" s="41"/>
      <c r="AQ731" s="41"/>
      <c r="AR731" s="41"/>
      <c r="AS731" s="41"/>
      <c r="AT731" s="41"/>
      <c r="AU731" s="41"/>
      <c r="AV731" s="41"/>
      <c r="AW731" s="41"/>
      <c r="AX731" s="41"/>
      <c r="AY731" s="41"/>
      <c r="AZ731" s="41"/>
      <c r="BA731" s="41"/>
      <c r="BB731" s="41"/>
      <c r="BC731" s="41"/>
      <c r="BD731" s="41"/>
      <c r="BE731" s="41"/>
      <c r="BF731" s="41"/>
      <c r="BG731" s="41"/>
      <c r="BH731" s="41"/>
      <c r="BJ731" s="41"/>
      <c r="BK731" s="41"/>
      <c r="BL731" s="41"/>
      <c r="BM731" s="41"/>
      <c r="BN731" s="41"/>
      <c r="BO731" s="41"/>
      <c r="BP731" s="41"/>
      <c r="BQ731" s="41"/>
      <c r="BR731" s="41"/>
      <c r="BS731" s="41"/>
      <c r="BT731" s="41"/>
      <c r="BU731" s="41"/>
      <c r="BV731" s="41"/>
      <c r="BW731" s="41"/>
      <c r="BX731" s="41">
        <v>1</v>
      </c>
      <c r="BY731" s="41"/>
      <c r="BZ731" s="41"/>
      <c r="CA731" s="41"/>
      <c r="CB731" s="41"/>
      <c r="CC731" s="41"/>
      <c r="CD731" s="41"/>
      <c r="CE731" s="41"/>
      <c r="CF731" s="41"/>
      <c r="CG731" s="41"/>
      <c r="CH731" s="41"/>
      <c r="CI731" s="41"/>
      <c r="CJ731" s="41"/>
      <c r="CK731" s="41"/>
      <c r="CL731" s="41"/>
      <c r="CM731" s="41"/>
      <c r="CN731" s="41"/>
      <c r="CO731" s="41"/>
      <c r="CP731" s="41"/>
      <c r="CQ731" s="41"/>
      <c r="CR731" s="41"/>
      <c r="CS731" s="41"/>
      <c r="CT731" s="41"/>
      <c r="CU731" s="41"/>
      <c r="CV731" s="41"/>
      <c r="CW731" s="41"/>
      <c r="CX731" s="41"/>
      <c r="CY731" s="41"/>
      <c r="CZ731" s="41"/>
      <c r="DA731" s="41"/>
      <c r="DB731" s="41"/>
      <c r="DC731" s="41"/>
      <c r="DD731" s="41"/>
      <c r="DE731" s="41"/>
      <c r="DF731" s="41"/>
      <c r="DG731" s="41"/>
      <c r="DH731" s="41"/>
      <c r="DI731" s="41"/>
      <c r="DJ731" s="41"/>
      <c r="DK731" s="41"/>
      <c r="DL731" s="41"/>
      <c r="DM731" s="41"/>
      <c r="DN731" s="41"/>
      <c r="DO731" s="41"/>
      <c r="DP731" s="41"/>
      <c r="DQ731" s="41"/>
      <c r="DR731" s="41"/>
      <c r="DS731" s="43"/>
      <c r="DT731" s="44">
        <f t="shared" ref="DT731" si="713">SUM(F731:DR731)</f>
        <v>1</v>
      </c>
    </row>
    <row r="732" spans="2:124" s="13" customFormat="1">
      <c r="B732" s="4">
        <f>'6.1Personnel List'!B733</f>
        <v>720</v>
      </c>
      <c r="C732" s="45" t="s">
        <v>943</v>
      </c>
      <c r="D732" s="45" t="str">
        <f>'6.1Personnel List'!D733</f>
        <v>Administrative Assistant I</v>
      </c>
      <c r="E732" s="45" t="str">
        <f>'6.1Personnel List'!H733</f>
        <v>FT</v>
      </c>
      <c r="G732" s="41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1"/>
      <c r="AH732" s="41"/>
      <c r="AI732" s="41"/>
      <c r="AJ732" s="41"/>
      <c r="AK732" s="41"/>
      <c r="AL732" s="41"/>
      <c r="AM732" s="41"/>
      <c r="AN732" s="41"/>
      <c r="AO732" s="41"/>
      <c r="AP732" s="41"/>
      <c r="AQ732" s="41"/>
      <c r="AR732" s="41"/>
      <c r="AS732" s="41"/>
      <c r="AT732" s="41"/>
      <c r="AU732" s="41"/>
      <c r="AV732" s="41"/>
      <c r="AW732" s="41"/>
      <c r="AX732" s="41"/>
      <c r="AY732" s="41"/>
      <c r="AZ732" s="41"/>
      <c r="BA732" s="41"/>
      <c r="BB732" s="41"/>
      <c r="BC732" s="41"/>
      <c r="BD732" s="41"/>
      <c r="BE732" s="41"/>
      <c r="BF732" s="41"/>
      <c r="BG732" s="41"/>
      <c r="BH732" s="41"/>
      <c r="BJ732" s="41"/>
      <c r="BK732" s="41"/>
      <c r="BL732" s="41"/>
      <c r="BM732" s="41"/>
      <c r="BN732" s="41"/>
      <c r="BO732" s="41"/>
      <c r="BP732" s="41"/>
      <c r="BQ732" s="41"/>
      <c r="BR732" s="41"/>
      <c r="BS732" s="41"/>
      <c r="BT732" s="41"/>
      <c r="BU732" s="41"/>
      <c r="BV732" s="41"/>
      <c r="BW732" s="41"/>
      <c r="BX732" s="41">
        <v>1</v>
      </c>
      <c r="BY732" s="41"/>
      <c r="BZ732" s="41"/>
      <c r="CA732" s="41"/>
      <c r="CB732" s="41"/>
      <c r="CC732" s="41"/>
      <c r="CD732" s="41"/>
      <c r="CE732" s="41"/>
      <c r="CF732" s="41"/>
      <c r="CG732" s="41"/>
      <c r="CH732" s="41"/>
      <c r="CI732" s="41"/>
      <c r="CJ732" s="41"/>
      <c r="CK732" s="41"/>
      <c r="CL732" s="41"/>
      <c r="CM732" s="41"/>
      <c r="CN732" s="41"/>
      <c r="CO732" s="41"/>
      <c r="CP732" s="41"/>
      <c r="CQ732" s="41"/>
      <c r="CR732" s="41"/>
      <c r="CS732" s="41"/>
      <c r="CT732" s="41"/>
      <c r="CU732" s="41"/>
      <c r="CV732" s="41"/>
      <c r="CW732" s="41"/>
      <c r="CX732" s="41"/>
      <c r="CY732" s="41"/>
      <c r="CZ732" s="41"/>
      <c r="DA732" s="41"/>
      <c r="DB732" s="41"/>
      <c r="DC732" s="41"/>
      <c r="DD732" s="41"/>
      <c r="DE732" s="41"/>
      <c r="DF732" s="41"/>
      <c r="DG732" s="41"/>
      <c r="DH732" s="41"/>
      <c r="DI732" s="41"/>
      <c r="DJ732" s="41"/>
      <c r="DK732" s="41"/>
      <c r="DL732" s="41"/>
      <c r="DM732" s="41"/>
      <c r="DN732" s="41"/>
      <c r="DO732" s="41"/>
      <c r="DP732" s="41"/>
      <c r="DQ732" s="41"/>
      <c r="DR732" s="41"/>
      <c r="DS732" s="43"/>
      <c r="DT732" s="44">
        <f t="shared" ref="DT732" si="714">SUM(F732:DR732)</f>
        <v>1</v>
      </c>
    </row>
    <row r="733" spans="2:124" s="13" customFormat="1">
      <c r="B733" s="4">
        <f>'6.1Personnel List'!B734</f>
        <v>721</v>
      </c>
      <c r="C733" s="45" t="s">
        <v>944</v>
      </c>
      <c r="D733" s="45" t="str">
        <f>'6.1Personnel List'!D734</f>
        <v>Administrative Aide I</v>
      </c>
      <c r="E733" s="45" t="str">
        <f>'6.1Personnel List'!H734</f>
        <v>FT</v>
      </c>
      <c r="G733" s="41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1"/>
      <c r="AH733" s="41"/>
      <c r="AI733" s="41"/>
      <c r="AJ733" s="41"/>
      <c r="AK733" s="41"/>
      <c r="AL733" s="41"/>
      <c r="AM733" s="41"/>
      <c r="AN733" s="41"/>
      <c r="AO733" s="41"/>
      <c r="AP733" s="41"/>
      <c r="AQ733" s="41"/>
      <c r="AR733" s="41"/>
      <c r="AS733" s="41"/>
      <c r="AT733" s="41"/>
      <c r="AU733" s="41"/>
      <c r="AV733" s="41"/>
      <c r="AW733" s="41"/>
      <c r="AX733" s="41"/>
      <c r="AY733" s="41"/>
      <c r="AZ733" s="41"/>
      <c r="BA733" s="41"/>
      <c r="BB733" s="41"/>
      <c r="BC733" s="41"/>
      <c r="BD733" s="41"/>
      <c r="BE733" s="41"/>
      <c r="BF733" s="41"/>
      <c r="BG733" s="41"/>
      <c r="BH733" s="41"/>
      <c r="BJ733" s="41"/>
      <c r="BK733" s="41"/>
      <c r="BL733" s="41"/>
      <c r="BM733" s="41"/>
      <c r="BN733" s="41"/>
      <c r="BO733" s="41"/>
      <c r="BP733" s="41"/>
      <c r="BQ733" s="41"/>
      <c r="BR733" s="41"/>
      <c r="BS733" s="41"/>
      <c r="BT733" s="41"/>
      <c r="BU733" s="41"/>
      <c r="BV733" s="41"/>
      <c r="BW733" s="41"/>
      <c r="BX733" s="41">
        <v>1</v>
      </c>
      <c r="BY733" s="41"/>
      <c r="BZ733" s="41"/>
      <c r="CA733" s="41"/>
      <c r="CB733" s="41"/>
      <c r="CC733" s="41"/>
      <c r="CD733" s="41"/>
      <c r="CE733" s="41"/>
      <c r="CF733" s="41"/>
      <c r="CG733" s="41"/>
      <c r="CH733" s="41"/>
      <c r="CI733" s="41"/>
      <c r="CJ733" s="41"/>
      <c r="CK733" s="41"/>
      <c r="CL733" s="41"/>
      <c r="CM733" s="41"/>
      <c r="CN733" s="41"/>
      <c r="CO733" s="41"/>
      <c r="CP733" s="41"/>
      <c r="CQ733" s="41"/>
      <c r="CR733" s="41"/>
      <c r="CS733" s="41"/>
      <c r="CT733" s="41"/>
      <c r="CU733" s="41"/>
      <c r="CV733" s="41"/>
      <c r="CW733" s="41"/>
      <c r="CX733" s="41"/>
      <c r="CY733" s="41"/>
      <c r="CZ733" s="41"/>
      <c r="DA733" s="41"/>
      <c r="DB733" s="41"/>
      <c r="DC733" s="41"/>
      <c r="DD733" s="41"/>
      <c r="DE733" s="41"/>
      <c r="DF733" s="41"/>
      <c r="DG733" s="41"/>
      <c r="DH733" s="41"/>
      <c r="DI733" s="41"/>
      <c r="DJ733" s="41"/>
      <c r="DK733" s="41"/>
      <c r="DL733" s="41"/>
      <c r="DM733" s="41"/>
      <c r="DN733" s="41"/>
      <c r="DO733" s="41"/>
      <c r="DP733" s="41"/>
      <c r="DQ733" s="41"/>
      <c r="DR733" s="41"/>
      <c r="DS733" s="43"/>
      <c r="DT733" s="44">
        <f t="shared" ref="DT733" si="715">SUM(F733:DR733)</f>
        <v>1</v>
      </c>
    </row>
    <row r="734" spans="2:124" s="13" customFormat="1">
      <c r="B734" s="4">
        <f>'6.1Personnel List'!B735</f>
        <v>722</v>
      </c>
      <c r="C734" s="45" t="s">
        <v>946</v>
      </c>
      <c r="D734" s="45" t="str">
        <f>'6.1Personnel List'!D735</f>
        <v>Administrative Officer IV</v>
      </c>
      <c r="E734" s="45" t="str">
        <f>'6.1Personnel List'!H735</f>
        <v>FT</v>
      </c>
      <c r="G734" s="41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1"/>
      <c r="AH734" s="41"/>
      <c r="AI734" s="41"/>
      <c r="AJ734" s="41"/>
      <c r="AK734" s="41"/>
      <c r="AL734" s="41"/>
      <c r="AM734" s="41"/>
      <c r="AN734" s="41"/>
      <c r="AO734" s="41"/>
      <c r="AP734" s="41"/>
      <c r="AQ734" s="41"/>
      <c r="AR734" s="41"/>
      <c r="AS734" s="41"/>
      <c r="AT734" s="41"/>
      <c r="AU734" s="41"/>
      <c r="AV734" s="41"/>
      <c r="AW734" s="41"/>
      <c r="AX734" s="41"/>
      <c r="AY734" s="41"/>
      <c r="AZ734" s="41"/>
      <c r="BA734" s="41"/>
      <c r="BB734" s="41"/>
      <c r="BC734" s="41"/>
      <c r="BD734" s="41"/>
      <c r="BE734" s="41"/>
      <c r="BF734" s="41"/>
      <c r="BG734" s="41"/>
      <c r="BH734" s="41"/>
      <c r="BJ734" s="41"/>
      <c r="BK734" s="41"/>
      <c r="BL734" s="41"/>
      <c r="BM734" s="41"/>
      <c r="BN734" s="41"/>
      <c r="BO734" s="41"/>
      <c r="BP734" s="41"/>
      <c r="BQ734" s="41"/>
      <c r="BR734" s="41"/>
      <c r="BS734" s="41"/>
      <c r="BT734" s="41"/>
      <c r="BU734" s="41"/>
      <c r="BV734" s="41"/>
      <c r="BW734" s="41">
        <v>1</v>
      </c>
      <c r="BX734" s="41"/>
      <c r="BY734" s="41"/>
      <c r="BZ734" s="41"/>
      <c r="CA734" s="41"/>
      <c r="CB734" s="41"/>
      <c r="CC734" s="41"/>
      <c r="CD734" s="41"/>
      <c r="CE734" s="41"/>
      <c r="CF734" s="41"/>
      <c r="CG734" s="41"/>
      <c r="CH734" s="41"/>
      <c r="CI734" s="41"/>
      <c r="CJ734" s="41"/>
      <c r="CK734" s="41"/>
      <c r="CL734" s="41"/>
      <c r="CM734" s="41"/>
      <c r="CN734" s="41"/>
      <c r="CO734" s="41"/>
      <c r="CP734" s="41"/>
      <c r="CQ734" s="41"/>
      <c r="CR734" s="41"/>
      <c r="CS734" s="41"/>
      <c r="CT734" s="41"/>
      <c r="CU734" s="41"/>
      <c r="CV734" s="41"/>
      <c r="CW734" s="41"/>
      <c r="CX734" s="41"/>
      <c r="CY734" s="41"/>
      <c r="CZ734" s="41"/>
      <c r="DA734" s="41"/>
      <c r="DB734" s="41"/>
      <c r="DC734" s="41"/>
      <c r="DD734" s="41"/>
      <c r="DE734" s="41"/>
      <c r="DF734" s="41"/>
      <c r="DG734" s="41"/>
      <c r="DH734" s="41"/>
      <c r="DI734" s="41"/>
      <c r="DJ734" s="41"/>
      <c r="DK734" s="41"/>
      <c r="DL734" s="41"/>
      <c r="DM734" s="41"/>
      <c r="DN734" s="41"/>
      <c r="DO734" s="41"/>
      <c r="DP734" s="41"/>
      <c r="DQ734" s="41"/>
      <c r="DR734" s="41"/>
      <c r="DS734" s="43"/>
      <c r="DT734" s="44">
        <f t="shared" ref="DT734" si="716">SUM(F734:DR734)</f>
        <v>1</v>
      </c>
    </row>
    <row r="735" spans="2:124" s="13" customFormat="1">
      <c r="B735" s="4">
        <f>'6.1Personnel List'!B736</f>
        <v>723</v>
      </c>
      <c r="C735" s="45" t="s">
        <v>947</v>
      </c>
      <c r="D735" s="45" t="str">
        <f>'6.1Personnel List'!D736</f>
        <v>Administrative Officer II</v>
      </c>
      <c r="E735" s="45" t="str">
        <f>'6.1Personnel List'!H736</f>
        <v>FT</v>
      </c>
      <c r="G735" s="41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1"/>
      <c r="AH735" s="41"/>
      <c r="AI735" s="41"/>
      <c r="AJ735" s="41"/>
      <c r="AK735" s="41"/>
      <c r="AL735" s="41"/>
      <c r="AM735" s="41"/>
      <c r="AN735" s="41"/>
      <c r="AO735" s="41"/>
      <c r="AP735" s="41"/>
      <c r="AQ735" s="41"/>
      <c r="AR735" s="41"/>
      <c r="AS735" s="41"/>
      <c r="AT735" s="41"/>
      <c r="AU735" s="41"/>
      <c r="AV735" s="41"/>
      <c r="AW735" s="41"/>
      <c r="AX735" s="41"/>
      <c r="AY735" s="41"/>
      <c r="AZ735" s="41"/>
      <c r="BA735" s="41"/>
      <c r="BB735" s="41"/>
      <c r="BC735" s="41"/>
      <c r="BD735" s="41"/>
      <c r="BE735" s="41"/>
      <c r="BF735" s="41"/>
      <c r="BG735" s="41"/>
      <c r="BH735" s="41"/>
      <c r="BJ735" s="41"/>
      <c r="BK735" s="41"/>
      <c r="BL735" s="41"/>
      <c r="BM735" s="41"/>
      <c r="BN735" s="41"/>
      <c r="BO735" s="41"/>
      <c r="BP735" s="41"/>
      <c r="BQ735" s="41"/>
      <c r="BR735" s="41"/>
      <c r="BS735" s="41"/>
      <c r="BT735" s="41"/>
      <c r="BU735" s="41"/>
      <c r="BV735" s="41"/>
      <c r="BW735" s="41">
        <v>1</v>
      </c>
      <c r="BX735" s="41"/>
      <c r="BY735" s="41"/>
      <c r="BZ735" s="41"/>
      <c r="CA735" s="41"/>
      <c r="CB735" s="41"/>
      <c r="CC735" s="41"/>
      <c r="CD735" s="41"/>
      <c r="CE735" s="41"/>
      <c r="CF735" s="41"/>
      <c r="CG735" s="41"/>
      <c r="CH735" s="41"/>
      <c r="CI735" s="41"/>
      <c r="CJ735" s="41"/>
      <c r="CK735" s="41"/>
      <c r="CL735" s="41"/>
      <c r="CM735" s="41"/>
      <c r="CN735" s="41"/>
      <c r="CO735" s="41"/>
      <c r="CP735" s="41"/>
      <c r="CQ735" s="41"/>
      <c r="CR735" s="41"/>
      <c r="CS735" s="41"/>
      <c r="CT735" s="41"/>
      <c r="CU735" s="41"/>
      <c r="CV735" s="41"/>
      <c r="CW735" s="41"/>
      <c r="CX735" s="41"/>
      <c r="CY735" s="41"/>
      <c r="CZ735" s="41"/>
      <c r="DA735" s="41"/>
      <c r="DB735" s="41"/>
      <c r="DC735" s="41"/>
      <c r="DD735" s="41"/>
      <c r="DE735" s="41"/>
      <c r="DF735" s="41"/>
      <c r="DG735" s="41"/>
      <c r="DH735" s="41"/>
      <c r="DI735" s="41"/>
      <c r="DJ735" s="41"/>
      <c r="DK735" s="41"/>
      <c r="DL735" s="41"/>
      <c r="DM735" s="41"/>
      <c r="DN735" s="41"/>
      <c r="DO735" s="41"/>
      <c r="DP735" s="41"/>
      <c r="DQ735" s="41"/>
      <c r="DR735" s="41"/>
      <c r="DS735" s="43"/>
      <c r="DT735" s="44">
        <f t="shared" ref="DT735" si="717">SUM(F735:DR735)</f>
        <v>1</v>
      </c>
    </row>
    <row r="736" spans="2:124" s="13" customFormat="1">
      <c r="B736" s="4">
        <f>'6.1Personnel List'!B737</f>
        <v>724</v>
      </c>
      <c r="C736" s="45" t="s">
        <v>948</v>
      </c>
      <c r="D736" s="45" t="str">
        <f>'6.1Personnel List'!D737</f>
        <v>Administrative Officer II</v>
      </c>
      <c r="E736" s="45" t="str">
        <f>'6.1Personnel List'!H737</f>
        <v>FT</v>
      </c>
      <c r="G736" s="41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  <c r="AA736" s="41"/>
      <c r="AB736" s="41"/>
      <c r="AC736" s="41"/>
      <c r="AD736" s="41"/>
      <c r="AE736" s="41"/>
      <c r="AF736" s="41"/>
      <c r="AG736" s="41"/>
      <c r="AH736" s="41"/>
      <c r="AI736" s="41"/>
      <c r="AJ736" s="41"/>
      <c r="AK736" s="41"/>
      <c r="AL736" s="41"/>
      <c r="AM736" s="41"/>
      <c r="AN736" s="41"/>
      <c r="AO736" s="41"/>
      <c r="AP736" s="41"/>
      <c r="AQ736" s="41"/>
      <c r="AR736" s="41"/>
      <c r="AS736" s="41"/>
      <c r="AT736" s="41"/>
      <c r="AU736" s="41"/>
      <c r="AV736" s="41"/>
      <c r="AW736" s="41"/>
      <c r="AX736" s="41"/>
      <c r="AY736" s="41"/>
      <c r="AZ736" s="41"/>
      <c r="BA736" s="41"/>
      <c r="BB736" s="41"/>
      <c r="BC736" s="41"/>
      <c r="BD736" s="41"/>
      <c r="BE736" s="41"/>
      <c r="BF736" s="41"/>
      <c r="BG736" s="41"/>
      <c r="BH736" s="41"/>
      <c r="BJ736" s="41"/>
      <c r="BK736" s="41"/>
      <c r="BL736" s="41"/>
      <c r="BM736" s="41"/>
      <c r="BN736" s="41"/>
      <c r="BO736" s="41"/>
      <c r="BP736" s="41"/>
      <c r="BQ736" s="41"/>
      <c r="BR736" s="41"/>
      <c r="BS736" s="41"/>
      <c r="BT736" s="41"/>
      <c r="BU736" s="41"/>
      <c r="BV736" s="41"/>
      <c r="BW736" s="41">
        <v>1</v>
      </c>
      <c r="BX736" s="41"/>
      <c r="BY736" s="41"/>
      <c r="BZ736" s="41"/>
      <c r="CA736" s="41"/>
      <c r="CB736" s="41"/>
      <c r="CC736" s="41"/>
      <c r="CD736" s="41"/>
      <c r="CE736" s="41"/>
      <c r="CF736" s="41"/>
      <c r="CG736" s="41"/>
      <c r="CH736" s="41"/>
      <c r="CI736" s="41"/>
      <c r="CJ736" s="41"/>
      <c r="CK736" s="41"/>
      <c r="CL736" s="41"/>
      <c r="CM736" s="41"/>
      <c r="CN736" s="41"/>
      <c r="CO736" s="41"/>
      <c r="CP736" s="41"/>
      <c r="CQ736" s="41"/>
      <c r="CR736" s="41"/>
      <c r="CS736" s="41"/>
      <c r="CT736" s="41"/>
      <c r="CU736" s="41"/>
      <c r="CV736" s="41"/>
      <c r="CW736" s="41"/>
      <c r="CX736" s="41"/>
      <c r="CY736" s="41"/>
      <c r="CZ736" s="41"/>
      <c r="DA736" s="41"/>
      <c r="DB736" s="41"/>
      <c r="DC736" s="41"/>
      <c r="DD736" s="41"/>
      <c r="DE736" s="41"/>
      <c r="DF736" s="41"/>
      <c r="DG736" s="41"/>
      <c r="DH736" s="41"/>
      <c r="DI736" s="41"/>
      <c r="DJ736" s="41"/>
      <c r="DK736" s="41"/>
      <c r="DL736" s="41"/>
      <c r="DM736" s="41"/>
      <c r="DN736" s="41"/>
      <c r="DO736" s="41"/>
      <c r="DP736" s="41"/>
      <c r="DQ736" s="41"/>
      <c r="DR736" s="41"/>
      <c r="DS736" s="43"/>
      <c r="DT736" s="44">
        <f t="shared" ref="DT736" si="718">SUM(F736:DR736)</f>
        <v>1</v>
      </c>
    </row>
    <row r="737" spans="2:124" s="13" customFormat="1">
      <c r="B737" s="4">
        <f>'6.1Personnel List'!B738</f>
        <v>725</v>
      </c>
      <c r="C737" s="45" t="s">
        <v>949</v>
      </c>
      <c r="D737" s="45" t="str">
        <f>'6.1Personnel List'!D738</f>
        <v>Administrative Officer II</v>
      </c>
      <c r="E737" s="45" t="str">
        <f>'6.1Personnel List'!H738</f>
        <v>FT</v>
      </c>
      <c r="G737" s="41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  <c r="AA737" s="41"/>
      <c r="AB737" s="41"/>
      <c r="AC737" s="41"/>
      <c r="AD737" s="41"/>
      <c r="AE737" s="41"/>
      <c r="AF737" s="41"/>
      <c r="AG737" s="41"/>
      <c r="AH737" s="41"/>
      <c r="AI737" s="41"/>
      <c r="AJ737" s="41"/>
      <c r="AK737" s="41"/>
      <c r="AL737" s="41"/>
      <c r="AM737" s="41"/>
      <c r="AN737" s="41"/>
      <c r="AO737" s="41"/>
      <c r="AP737" s="41"/>
      <c r="AQ737" s="41"/>
      <c r="AR737" s="41"/>
      <c r="AS737" s="41"/>
      <c r="AT737" s="41"/>
      <c r="AU737" s="41"/>
      <c r="AV737" s="41"/>
      <c r="AW737" s="41"/>
      <c r="AX737" s="41"/>
      <c r="AY737" s="41"/>
      <c r="AZ737" s="41"/>
      <c r="BA737" s="41"/>
      <c r="BB737" s="41"/>
      <c r="BC737" s="41"/>
      <c r="BD737" s="41"/>
      <c r="BE737" s="41"/>
      <c r="BF737" s="41"/>
      <c r="BG737" s="41"/>
      <c r="BH737" s="41"/>
      <c r="BJ737" s="41"/>
      <c r="BK737" s="41"/>
      <c r="BL737" s="41"/>
      <c r="BM737" s="41"/>
      <c r="BN737" s="41"/>
      <c r="BO737" s="41"/>
      <c r="BP737" s="41"/>
      <c r="BQ737" s="41"/>
      <c r="BR737" s="41"/>
      <c r="BS737" s="41"/>
      <c r="BT737" s="41"/>
      <c r="BU737" s="41"/>
      <c r="BV737" s="41"/>
      <c r="BW737" s="41">
        <v>1</v>
      </c>
      <c r="BX737" s="41"/>
      <c r="BY737" s="41"/>
      <c r="BZ737" s="41"/>
      <c r="CA737" s="41"/>
      <c r="CB737" s="41"/>
      <c r="CC737" s="41"/>
      <c r="CD737" s="41"/>
      <c r="CE737" s="41"/>
      <c r="CF737" s="41"/>
      <c r="CG737" s="41"/>
      <c r="CH737" s="41"/>
      <c r="CI737" s="41"/>
      <c r="CJ737" s="41"/>
      <c r="CK737" s="41"/>
      <c r="CL737" s="41"/>
      <c r="CM737" s="41"/>
      <c r="CN737" s="41"/>
      <c r="CO737" s="41"/>
      <c r="CP737" s="41"/>
      <c r="CQ737" s="41"/>
      <c r="CR737" s="41"/>
      <c r="CS737" s="41"/>
      <c r="CT737" s="41"/>
      <c r="CU737" s="41"/>
      <c r="CV737" s="41"/>
      <c r="CW737" s="41"/>
      <c r="CX737" s="41"/>
      <c r="CY737" s="41"/>
      <c r="CZ737" s="41"/>
      <c r="DA737" s="41"/>
      <c r="DB737" s="41"/>
      <c r="DC737" s="41"/>
      <c r="DD737" s="41"/>
      <c r="DE737" s="41"/>
      <c r="DF737" s="41"/>
      <c r="DG737" s="41"/>
      <c r="DH737" s="41"/>
      <c r="DI737" s="41"/>
      <c r="DJ737" s="41"/>
      <c r="DK737" s="41"/>
      <c r="DL737" s="41"/>
      <c r="DM737" s="41"/>
      <c r="DN737" s="41"/>
      <c r="DO737" s="41"/>
      <c r="DP737" s="41"/>
      <c r="DQ737" s="41"/>
      <c r="DR737" s="41"/>
      <c r="DS737" s="43"/>
      <c r="DT737" s="44">
        <f t="shared" ref="DT737" si="719">SUM(F737:DR737)</f>
        <v>1</v>
      </c>
    </row>
    <row r="738" spans="2:124" s="13" customFormat="1">
      <c r="B738" s="4">
        <f>'6.1Personnel List'!B739</f>
        <v>726</v>
      </c>
      <c r="C738" s="45" t="s">
        <v>950</v>
      </c>
      <c r="D738" s="45" t="str">
        <f>'6.1Personnel List'!D739</f>
        <v>Administrative Officer II</v>
      </c>
      <c r="E738" s="45" t="str">
        <f>'6.1Personnel List'!H739</f>
        <v>FT</v>
      </c>
      <c r="G738" s="41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  <c r="AA738" s="41"/>
      <c r="AB738" s="41"/>
      <c r="AC738" s="41"/>
      <c r="AD738" s="41"/>
      <c r="AE738" s="41"/>
      <c r="AF738" s="41"/>
      <c r="AG738" s="41"/>
      <c r="AH738" s="41"/>
      <c r="AI738" s="41"/>
      <c r="AJ738" s="41"/>
      <c r="AK738" s="41"/>
      <c r="AL738" s="41"/>
      <c r="AM738" s="41"/>
      <c r="AN738" s="41"/>
      <c r="AO738" s="41"/>
      <c r="AP738" s="41"/>
      <c r="AQ738" s="41"/>
      <c r="AR738" s="41"/>
      <c r="AS738" s="41"/>
      <c r="AT738" s="41"/>
      <c r="AU738" s="41"/>
      <c r="AV738" s="41"/>
      <c r="AW738" s="41"/>
      <c r="AX738" s="41"/>
      <c r="AY738" s="41"/>
      <c r="AZ738" s="41"/>
      <c r="BA738" s="41"/>
      <c r="BB738" s="41"/>
      <c r="BC738" s="41"/>
      <c r="BD738" s="41"/>
      <c r="BE738" s="41"/>
      <c r="BF738" s="41"/>
      <c r="BG738" s="41"/>
      <c r="BH738" s="41"/>
      <c r="BJ738" s="41"/>
      <c r="BK738" s="41"/>
      <c r="BL738" s="41"/>
      <c r="BM738" s="41"/>
      <c r="BN738" s="41"/>
      <c r="BO738" s="41"/>
      <c r="BP738" s="41"/>
      <c r="BQ738" s="41"/>
      <c r="BR738" s="41"/>
      <c r="BS738" s="41"/>
      <c r="BT738" s="41"/>
      <c r="BU738" s="41"/>
      <c r="BV738" s="41"/>
      <c r="BW738" s="41">
        <v>1</v>
      </c>
      <c r="BX738" s="41"/>
      <c r="BY738" s="41"/>
      <c r="BZ738" s="41"/>
      <c r="CA738" s="41"/>
      <c r="CB738" s="41"/>
      <c r="CC738" s="41"/>
      <c r="CD738" s="41"/>
      <c r="CE738" s="41"/>
      <c r="CF738" s="41"/>
      <c r="CG738" s="41"/>
      <c r="CH738" s="41"/>
      <c r="CI738" s="41"/>
      <c r="CJ738" s="41"/>
      <c r="CK738" s="41"/>
      <c r="CL738" s="41"/>
      <c r="CM738" s="41"/>
      <c r="CN738" s="41"/>
      <c r="CO738" s="41"/>
      <c r="CP738" s="41"/>
      <c r="CQ738" s="41"/>
      <c r="CR738" s="41"/>
      <c r="CS738" s="41"/>
      <c r="CT738" s="41"/>
      <c r="CU738" s="41"/>
      <c r="CV738" s="41"/>
      <c r="CW738" s="41"/>
      <c r="CX738" s="41"/>
      <c r="CY738" s="41"/>
      <c r="CZ738" s="41"/>
      <c r="DA738" s="41"/>
      <c r="DB738" s="41"/>
      <c r="DC738" s="41"/>
      <c r="DD738" s="41"/>
      <c r="DE738" s="41"/>
      <c r="DF738" s="41"/>
      <c r="DG738" s="41"/>
      <c r="DH738" s="41"/>
      <c r="DI738" s="41"/>
      <c r="DJ738" s="41"/>
      <c r="DK738" s="41"/>
      <c r="DL738" s="41"/>
      <c r="DM738" s="41"/>
      <c r="DN738" s="41"/>
      <c r="DO738" s="41"/>
      <c r="DP738" s="41"/>
      <c r="DQ738" s="41"/>
      <c r="DR738" s="41"/>
      <c r="DS738" s="43"/>
      <c r="DT738" s="44">
        <f t="shared" ref="DT738" si="720">SUM(F738:DR738)</f>
        <v>1</v>
      </c>
    </row>
    <row r="739" spans="2:124" s="13" customFormat="1">
      <c r="B739" s="4">
        <f>'6.1Personnel List'!B740</f>
        <v>727</v>
      </c>
      <c r="C739" s="45" t="s">
        <v>951</v>
      </c>
      <c r="D739" s="45" t="str">
        <f>'6.1Personnel List'!D740</f>
        <v>Administrative Assistant III</v>
      </c>
      <c r="E739" s="45" t="str">
        <f>'6.1Personnel List'!H740</f>
        <v>FT</v>
      </c>
      <c r="G739" s="41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  <c r="AA739" s="41"/>
      <c r="AB739" s="41"/>
      <c r="AC739" s="41"/>
      <c r="AD739" s="41"/>
      <c r="AE739" s="41"/>
      <c r="AF739" s="41"/>
      <c r="AG739" s="41"/>
      <c r="AH739" s="41"/>
      <c r="AI739" s="41"/>
      <c r="AJ739" s="41"/>
      <c r="AK739" s="41"/>
      <c r="AL739" s="41"/>
      <c r="AM739" s="41"/>
      <c r="AN739" s="41"/>
      <c r="AO739" s="41"/>
      <c r="AP739" s="41"/>
      <c r="AQ739" s="41"/>
      <c r="AR739" s="41"/>
      <c r="AS739" s="41"/>
      <c r="AT739" s="41"/>
      <c r="AU739" s="41"/>
      <c r="AV739" s="41"/>
      <c r="AW739" s="41"/>
      <c r="AX739" s="41"/>
      <c r="AY739" s="41"/>
      <c r="AZ739" s="41"/>
      <c r="BA739" s="41"/>
      <c r="BB739" s="41"/>
      <c r="BC739" s="41"/>
      <c r="BD739" s="41"/>
      <c r="BE739" s="41"/>
      <c r="BF739" s="41"/>
      <c r="BG739" s="41"/>
      <c r="BH739" s="41"/>
      <c r="BJ739" s="41"/>
      <c r="BK739" s="41"/>
      <c r="BL739" s="41"/>
      <c r="BM739" s="41"/>
      <c r="BN739" s="41"/>
      <c r="BO739" s="41"/>
      <c r="BP739" s="41"/>
      <c r="BQ739" s="41"/>
      <c r="BR739" s="41"/>
      <c r="BS739" s="41"/>
      <c r="BT739" s="41"/>
      <c r="BU739" s="41"/>
      <c r="BV739" s="41"/>
      <c r="BW739" s="41">
        <v>1</v>
      </c>
      <c r="BX739" s="41"/>
      <c r="BY739" s="41"/>
      <c r="BZ739" s="41"/>
      <c r="CA739" s="41"/>
      <c r="CB739" s="41"/>
      <c r="CC739" s="41"/>
      <c r="CD739" s="41"/>
      <c r="CE739" s="41"/>
      <c r="CF739" s="41"/>
      <c r="CG739" s="41"/>
      <c r="CH739" s="41"/>
      <c r="CI739" s="41"/>
      <c r="CJ739" s="41"/>
      <c r="CK739" s="41"/>
      <c r="CL739" s="41"/>
      <c r="CM739" s="41"/>
      <c r="CN739" s="41"/>
      <c r="CO739" s="41"/>
      <c r="CP739" s="41"/>
      <c r="CQ739" s="41"/>
      <c r="CR739" s="41"/>
      <c r="CS739" s="41"/>
      <c r="CT739" s="41"/>
      <c r="CU739" s="41"/>
      <c r="CV739" s="41"/>
      <c r="CW739" s="41"/>
      <c r="CX739" s="41"/>
      <c r="CY739" s="41"/>
      <c r="CZ739" s="41"/>
      <c r="DA739" s="41"/>
      <c r="DB739" s="41"/>
      <c r="DC739" s="41"/>
      <c r="DD739" s="41"/>
      <c r="DE739" s="41"/>
      <c r="DF739" s="41"/>
      <c r="DG739" s="41"/>
      <c r="DH739" s="41"/>
      <c r="DI739" s="41"/>
      <c r="DJ739" s="41"/>
      <c r="DK739" s="41"/>
      <c r="DL739" s="41"/>
      <c r="DM739" s="41"/>
      <c r="DN739" s="41"/>
      <c r="DO739" s="41"/>
      <c r="DP739" s="41"/>
      <c r="DQ739" s="41"/>
      <c r="DR739" s="41"/>
      <c r="DS739" s="43"/>
      <c r="DT739" s="44">
        <f t="shared" ref="DT739" si="721">SUM(F739:DR739)</f>
        <v>1</v>
      </c>
    </row>
    <row r="740" spans="2:124" s="13" customFormat="1">
      <c r="B740" s="4">
        <f>'6.1Personnel List'!B741</f>
        <v>728</v>
      </c>
      <c r="C740" s="45" t="s">
        <v>952</v>
      </c>
      <c r="D740" s="45" t="str">
        <f>'6.1Personnel List'!D741</f>
        <v>Administrative Assistant III</v>
      </c>
      <c r="E740" s="45" t="str">
        <f>'6.1Personnel List'!H741</f>
        <v>FT</v>
      </c>
      <c r="G740" s="41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  <c r="AA740" s="41"/>
      <c r="AB740" s="41"/>
      <c r="AC740" s="41"/>
      <c r="AD740" s="41"/>
      <c r="AE740" s="41"/>
      <c r="AF740" s="41"/>
      <c r="AG740" s="41"/>
      <c r="AH740" s="41"/>
      <c r="AI740" s="41"/>
      <c r="AJ740" s="41"/>
      <c r="AK740" s="41"/>
      <c r="AL740" s="41"/>
      <c r="AM740" s="41"/>
      <c r="AN740" s="41"/>
      <c r="AO740" s="41"/>
      <c r="AP740" s="41"/>
      <c r="AQ740" s="41"/>
      <c r="AR740" s="41"/>
      <c r="AS740" s="41"/>
      <c r="AT740" s="41"/>
      <c r="AU740" s="41"/>
      <c r="AV740" s="41"/>
      <c r="AW740" s="41"/>
      <c r="AX740" s="41"/>
      <c r="AY740" s="41"/>
      <c r="AZ740" s="41"/>
      <c r="BA740" s="41"/>
      <c r="BB740" s="41"/>
      <c r="BC740" s="41"/>
      <c r="BD740" s="41"/>
      <c r="BE740" s="41"/>
      <c r="BF740" s="41"/>
      <c r="BG740" s="41"/>
      <c r="BH740" s="41"/>
      <c r="BJ740" s="41"/>
      <c r="BK740" s="41"/>
      <c r="BL740" s="41"/>
      <c r="BM740" s="41"/>
      <c r="BN740" s="41"/>
      <c r="BO740" s="41"/>
      <c r="BP740" s="41"/>
      <c r="BQ740" s="41"/>
      <c r="BR740" s="41"/>
      <c r="BS740" s="41"/>
      <c r="BT740" s="41"/>
      <c r="BU740" s="41"/>
      <c r="BV740" s="41"/>
      <c r="BW740" s="41">
        <v>1</v>
      </c>
      <c r="BX740" s="41"/>
      <c r="BY740" s="41"/>
      <c r="BZ740" s="41"/>
      <c r="CA740" s="41"/>
      <c r="CB740" s="41"/>
      <c r="CC740" s="41"/>
      <c r="CD740" s="41"/>
      <c r="CE740" s="41"/>
      <c r="CF740" s="41"/>
      <c r="CG740" s="41"/>
      <c r="CH740" s="41"/>
      <c r="CI740" s="41"/>
      <c r="CJ740" s="41"/>
      <c r="CK740" s="41"/>
      <c r="CL740" s="41"/>
      <c r="CM740" s="41"/>
      <c r="CN740" s="41"/>
      <c r="CO740" s="41"/>
      <c r="CP740" s="41"/>
      <c r="CQ740" s="41"/>
      <c r="CR740" s="41"/>
      <c r="CS740" s="41"/>
      <c r="CT740" s="41"/>
      <c r="CU740" s="41"/>
      <c r="CV740" s="41"/>
      <c r="CW740" s="41"/>
      <c r="CX740" s="41"/>
      <c r="CY740" s="41"/>
      <c r="CZ740" s="41"/>
      <c r="DA740" s="41"/>
      <c r="DB740" s="41"/>
      <c r="DC740" s="41"/>
      <c r="DD740" s="41"/>
      <c r="DE740" s="41"/>
      <c r="DF740" s="41"/>
      <c r="DG740" s="41"/>
      <c r="DH740" s="41"/>
      <c r="DI740" s="41"/>
      <c r="DJ740" s="41"/>
      <c r="DK740" s="41"/>
      <c r="DL740" s="41"/>
      <c r="DM740" s="41"/>
      <c r="DN740" s="41"/>
      <c r="DO740" s="41"/>
      <c r="DP740" s="41"/>
      <c r="DQ740" s="41"/>
      <c r="DR740" s="41"/>
      <c r="DS740" s="43"/>
      <c r="DT740" s="44">
        <f t="shared" ref="DT740" si="722">SUM(F740:DR740)</f>
        <v>1</v>
      </c>
    </row>
    <row r="741" spans="2:124" s="13" customFormat="1">
      <c r="B741" s="4">
        <f>'6.1Personnel List'!B742</f>
        <v>729</v>
      </c>
      <c r="C741" s="45" t="s">
        <v>953</v>
      </c>
      <c r="D741" s="45" t="str">
        <f>'6.1Personnel List'!D742</f>
        <v>Administrative Assistant III</v>
      </c>
      <c r="E741" s="45" t="str">
        <f>'6.1Personnel List'!H742</f>
        <v>FT</v>
      </c>
      <c r="G741" s="41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  <c r="AA741" s="41"/>
      <c r="AB741" s="41"/>
      <c r="AC741" s="41"/>
      <c r="AD741" s="41"/>
      <c r="AE741" s="41"/>
      <c r="AF741" s="41"/>
      <c r="AG741" s="41"/>
      <c r="AH741" s="41"/>
      <c r="AI741" s="41"/>
      <c r="AJ741" s="41"/>
      <c r="AK741" s="41"/>
      <c r="AL741" s="41"/>
      <c r="AM741" s="41"/>
      <c r="AN741" s="41"/>
      <c r="AO741" s="41"/>
      <c r="AP741" s="41"/>
      <c r="AQ741" s="41"/>
      <c r="AR741" s="41"/>
      <c r="AS741" s="41"/>
      <c r="AT741" s="41"/>
      <c r="AU741" s="41"/>
      <c r="AV741" s="41"/>
      <c r="AW741" s="41"/>
      <c r="AX741" s="41"/>
      <c r="AY741" s="41"/>
      <c r="AZ741" s="41"/>
      <c r="BA741" s="41"/>
      <c r="BB741" s="41"/>
      <c r="BC741" s="41"/>
      <c r="BD741" s="41"/>
      <c r="BE741" s="41"/>
      <c r="BF741" s="41"/>
      <c r="BG741" s="41"/>
      <c r="BH741" s="41"/>
      <c r="BJ741" s="41"/>
      <c r="BK741" s="41"/>
      <c r="BL741" s="41"/>
      <c r="BM741" s="41"/>
      <c r="BN741" s="41"/>
      <c r="BO741" s="41"/>
      <c r="BP741" s="41"/>
      <c r="BQ741" s="41"/>
      <c r="BR741" s="41"/>
      <c r="BS741" s="41"/>
      <c r="BT741" s="41"/>
      <c r="BU741" s="41"/>
      <c r="BV741" s="41"/>
      <c r="BW741" s="41">
        <v>1</v>
      </c>
      <c r="BX741" s="41"/>
      <c r="BY741" s="41"/>
      <c r="BZ741" s="41"/>
      <c r="CA741" s="41"/>
      <c r="CB741" s="41"/>
      <c r="CC741" s="41"/>
      <c r="CD741" s="41"/>
      <c r="CE741" s="41"/>
      <c r="CF741" s="41"/>
      <c r="CG741" s="41"/>
      <c r="CH741" s="41"/>
      <c r="CI741" s="41"/>
      <c r="CJ741" s="41"/>
      <c r="CK741" s="41"/>
      <c r="CL741" s="41"/>
      <c r="CM741" s="41"/>
      <c r="CN741" s="41"/>
      <c r="CO741" s="41"/>
      <c r="CP741" s="41"/>
      <c r="CQ741" s="41"/>
      <c r="CR741" s="41"/>
      <c r="CS741" s="41"/>
      <c r="CT741" s="41"/>
      <c r="CU741" s="41"/>
      <c r="CV741" s="41"/>
      <c r="CW741" s="41"/>
      <c r="CX741" s="41"/>
      <c r="CY741" s="41"/>
      <c r="CZ741" s="41"/>
      <c r="DA741" s="41"/>
      <c r="DB741" s="41"/>
      <c r="DC741" s="41"/>
      <c r="DD741" s="41"/>
      <c r="DE741" s="41"/>
      <c r="DF741" s="41"/>
      <c r="DG741" s="41"/>
      <c r="DH741" s="41"/>
      <c r="DI741" s="41"/>
      <c r="DJ741" s="41"/>
      <c r="DK741" s="41"/>
      <c r="DL741" s="41"/>
      <c r="DM741" s="41"/>
      <c r="DN741" s="41"/>
      <c r="DO741" s="41"/>
      <c r="DP741" s="41"/>
      <c r="DQ741" s="41"/>
      <c r="DR741" s="41"/>
      <c r="DS741" s="43"/>
      <c r="DT741" s="44">
        <f t="shared" ref="DT741" si="723">SUM(F741:DR741)</f>
        <v>1</v>
      </c>
    </row>
    <row r="742" spans="2:124" s="13" customFormat="1">
      <c r="B742" s="4">
        <f>'6.1Personnel List'!B743</f>
        <v>730</v>
      </c>
      <c r="C742" s="45" t="s">
        <v>954</v>
      </c>
      <c r="D742" s="45" t="str">
        <f>'6.1Personnel List'!D743</f>
        <v>Administrative Assistant III</v>
      </c>
      <c r="E742" s="45" t="str">
        <f>'6.1Personnel List'!H743</f>
        <v>FT</v>
      </c>
      <c r="G742" s="41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  <c r="AA742" s="41"/>
      <c r="AB742" s="41"/>
      <c r="AC742" s="41"/>
      <c r="AD742" s="41"/>
      <c r="AE742" s="41"/>
      <c r="AF742" s="41"/>
      <c r="AG742" s="41"/>
      <c r="AH742" s="41"/>
      <c r="AI742" s="41"/>
      <c r="AJ742" s="41"/>
      <c r="AK742" s="41"/>
      <c r="AL742" s="41"/>
      <c r="AM742" s="41"/>
      <c r="AN742" s="41"/>
      <c r="AO742" s="41"/>
      <c r="AP742" s="41"/>
      <c r="AQ742" s="41"/>
      <c r="AR742" s="41"/>
      <c r="AS742" s="41"/>
      <c r="AT742" s="41"/>
      <c r="AU742" s="41"/>
      <c r="AV742" s="41"/>
      <c r="AW742" s="41"/>
      <c r="AX742" s="41"/>
      <c r="AY742" s="41"/>
      <c r="AZ742" s="41"/>
      <c r="BA742" s="41"/>
      <c r="BB742" s="41"/>
      <c r="BC742" s="41"/>
      <c r="BD742" s="41"/>
      <c r="BE742" s="41"/>
      <c r="BF742" s="41"/>
      <c r="BG742" s="41"/>
      <c r="BH742" s="41"/>
      <c r="BJ742" s="41"/>
      <c r="BK742" s="41"/>
      <c r="BL742" s="41"/>
      <c r="BM742" s="41"/>
      <c r="BN742" s="41"/>
      <c r="BO742" s="41"/>
      <c r="BP742" s="41"/>
      <c r="BQ742" s="41"/>
      <c r="BR742" s="41"/>
      <c r="BS742" s="41"/>
      <c r="BT742" s="41"/>
      <c r="BU742" s="41"/>
      <c r="BV742" s="41"/>
      <c r="BW742" s="41">
        <v>1</v>
      </c>
      <c r="BX742" s="41"/>
      <c r="BY742" s="41"/>
      <c r="BZ742" s="41"/>
      <c r="CA742" s="41"/>
      <c r="CB742" s="41"/>
      <c r="CC742" s="41"/>
      <c r="CD742" s="41"/>
      <c r="CE742" s="41"/>
      <c r="CF742" s="41"/>
      <c r="CG742" s="41"/>
      <c r="CH742" s="41"/>
      <c r="CI742" s="41"/>
      <c r="CJ742" s="41"/>
      <c r="CK742" s="41"/>
      <c r="CL742" s="41"/>
      <c r="CM742" s="41"/>
      <c r="CN742" s="41"/>
      <c r="CO742" s="41"/>
      <c r="CP742" s="41"/>
      <c r="CQ742" s="41"/>
      <c r="CR742" s="41"/>
      <c r="CS742" s="41"/>
      <c r="CT742" s="41"/>
      <c r="CU742" s="41"/>
      <c r="CV742" s="41"/>
      <c r="CW742" s="41"/>
      <c r="CX742" s="41"/>
      <c r="CY742" s="41"/>
      <c r="CZ742" s="41"/>
      <c r="DA742" s="41"/>
      <c r="DB742" s="41"/>
      <c r="DC742" s="41"/>
      <c r="DD742" s="41"/>
      <c r="DE742" s="41"/>
      <c r="DF742" s="41"/>
      <c r="DG742" s="41"/>
      <c r="DH742" s="41"/>
      <c r="DI742" s="41"/>
      <c r="DJ742" s="41"/>
      <c r="DK742" s="41"/>
      <c r="DL742" s="41"/>
      <c r="DM742" s="41"/>
      <c r="DN742" s="41"/>
      <c r="DO742" s="41"/>
      <c r="DP742" s="41"/>
      <c r="DQ742" s="41"/>
      <c r="DR742" s="41"/>
      <c r="DS742" s="43"/>
      <c r="DT742" s="44">
        <f t="shared" ref="DT742" si="724">SUM(F742:DR742)</f>
        <v>1</v>
      </c>
    </row>
    <row r="743" spans="2:124" s="13" customFormat="1">
      <c r="B743" s="4">
        <f>'6.1Personnel List'!B744</f>
        <v>731</v>
      </c>
      <c r="C743" s="45" t="s">
        <v>955</v>
      </c>
      <c r="D743" s="45" t="str">
        <f>'6.1Personnel List'!D744</f>
        <v>Administrative Assistant III</v>
      </c>
      <c r="E743" s="45" t="str">
        <f>'6.1Personnel List'!H744</f>
        <v>FT</v>
      </c>
      <c r="G743" s="41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  <c r="AA743" s="41"/>
      <c r="AB743" s="41"/>
      <c r="AC743" s="41"/>
      <c r="AD743" s="41"/>
      <c r="AE743" s="41"/>
      <c r="AF743" s="41"/>
      <c r="AG743" s="41"/>
      <c r="AH743" s="41"/>
      <c r="AI743" s="41"/>
      <c r="AJ743" s="41"/>
      <c r="AK743" s="41"/>
      <c r="AL743" s="41"/>
      <c r="AM743" s="41"/>
      <c r="AN743" s="41"/>
      <c r="AO743" s="41"/>
      <c r="AP743" s="41"/>
      <c r="AQ743" s="41"/>
      <c r="AR743" s="41"/>
      <c r="AS743" s="41"/>
      <c r="AT743" s="41"/>
      <c r="AU743" s="41"/>
      <c r="AV743" s="41"/>
      <c r="AW743" s="41"/>
      <c r="AX743" s="41"/>
      <c r="AY743" s="41"/>
      <c r="AZ743" s="41"/>
      <c r="BA743" s="41"/>
      <c r="BB743" s="41"/>
      <c r="BC743" s="41"/>
      <c r="BD743" s="41"/>
      <c r="BE743" s="41"/>
      <c r="BF743" s="41"/>
      <c r="BG743" s="41"/>
      <c r="BH743" s="41"/>
      <c r="BJ743" s="41"/>
      <c r="BK743" s="41"/>
      <c r="BL743" s="41"/>
      <c r="BM743" s="41"/>
      <c r="BN743" s="41"/>
      <c r="BO743" s="41"/>
      <c r="BP743" s="41"/>
      <c r="BQ743" s="41"/>
      <c r="BR743" s="41"/>
      <c r="BS743" s="41"/>
      <c r="BT743" s="41"/>
      <c r="BU743" s="41"/>
      <c r="BV743" s="41"/>
      <c r="BW743" s="41">
        <v>1</v>
      </c>
      <c r="BX743" s="41"/>
      <c r="BY743" s="41"/>
      <c r="BZ743" s="41"/>
      <c r="CA743" s="41"/>
      <c r="CB743" s="41"/>
      <c r="CC743" s="41"/>
      <c r="CD743" s="41"/>
      <c r="CE743" s="41"/>
      <c r="CF743" s="41"/>
      <c r="CG743" s="41"/>
      <c r="CH743" s="41"/>
      <c r="CI743" s="41"/>
      <c r="CJ743" s="41"/>
      <c r="CK743" s="41"/>
      <c r="CL743" s="41"/>
      <c r="CM743" s="41"/>
      <c r="CN743" s="41"/>
      <c r="CO743" s="41"/>
      <c r="CP743" s="41"/>
      <c r="CQ743" s="41"/>
      <c r="CR743" s="41"/>
      <c r="CS743" s="41"/>
      <c r="CT743" s="41"/>
      <c r="CU743" s="41"/>
      <c r="CV743" s="41"/>
      <c r="CW743" s="41"/>
      <c r="CX743" s="41"/>
      <c r="CY743" s="41"/>
      <c r="CZ743" s="41"/>
      <c r="DA743" s="41"/>
      <c r="DB743" s="41"/>
      <c r="DC743" s="41"/>
      <c r="DD743" s="41"/>
      <c r="DE743" s="41"/>
      <c r="DF743" s="41"/>
      <c r="DG743" s="41"/>
      <c r="DH743" s="41"/>
      <c r="DI743" s="41"/>
      <c r="DJ743" s="41"/>
      <c r="DK743" s="41"/>
      <c r="DL743" s="41"/>
      <c r="DM743" s="41"/>
      <c r="DN743" s="41"/>
      <c r="DO743" s="41"/>
      <c r="DP743" s="41"/>
      <c r="DQ743" s="41"/>
      <c r="DR743" s="41"/>
      <c r="DS743" s="43"/>
      <c r="DT743" s="44">
        <f t="shared" ref="DT743" si="725">SUM(F743:DR743)</f>
        <v>1</v>
      </c>
    </row>
    <row r="744" spans="2:124" s="13" customFormat="1">
      <c r="B744" s="4">
        <f>'6.1Personnel List'!B745</f>
        <v>732</v>
      </c>
      <c r="C744" s="45" t="s">
        <v>956</v>
      </c>
      <c r="D744" s="45" t="str">
        <f>'6.1Personnel List'!D745</f>
        <v>Administrative Assistant III</v>
      </c>
      <c r="E744" s="45" t="str">
        <f>'6.1Personnel List'!H745</f>
        <v>FT</v>
      </c>
      <c r="G744" s="41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  <c r="AA744" s="41"/>
      <c r="AB744" s="41"/>
      <c r="AC744" s="41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1"/>
      <c r="AP744" s="41"/>
      <c r="AQ744" s="41"/>
      <c r="AR744" s="41"/>
      <c r="AS744" s="41"/>
      <c r="AT744" s="41"/>
      <c r="AU744" s="41"/>
      <c r="AV744" s="41"/>
      <c r="AW744" s="41"/>
      <c r="AX744" s="41"/>
      <c r="AY744" s="41"/>
      <c r="AZ744" s="41"/>
      <c r="BA744" s="41"/>
      <c r="BB744" s="41"/>
      <c r="BC744" s="41"/>
      <c r="BD744" s="41"/>
      <c r="BE744" s="41"/>
      <c r="BF744" s="41"/>
      <c r="BG744" s="41"/>
      <c r="BH744" s="41"/>
      <c r="BJ744" s="41"/>
      <c r="BK744" s="41"/>
      <c r="BL744" s="41"/>
      <c r="BM744" s="41"/>
      <c r="BN744" s="41"/>
      <c r="BO744" s="41"/>
      <c r="BP744" s="41"/>
      <c r="BQ744" s="41"/>
      <c r="BR744" s="41"/>
      <c r="BS744" s="41"/>
      <c r="BT744" s="41"/>
      <c r="BU744" s="41"/>
      <c r="BV744" s="41"/>
      <c r="BW744" s="41">
        <v>1</v>
      </c>
      <c r="BX744" s="41"/>
      <c r="BY744" s="41"/>
      <c r="BZ744" s="41"/>
      <c r="CA744" s="41"/>
      <c r="CB744" s="41"/>
      <c r="CC744" s="41"/>
      <c r="CD744" s="41"/>
      <c r="CE744" s="41"/>
      <c r="CF744" s="41"/>
      <c r="CG744" s="41"/>
      <c r="CH744" s="41"/>
      <c r="CI744" s="41"/>
      <c r="CJ744" s="41"/>
      <c r="CK744" s="41"/>
      <c r="CL744" s="41"/>
      <c r="CM744" s="41"/>
      <c r="CN744" s="41"/>
      <c r="CO744" s="41"/>
      <c r="CP744" s="41"/>
      <c r="CQ744" s="41"/>
      <c r="CR744" s="41"/>
      <c r="CS744" s="41"/>
      <c r="CT744" s="41"/>
      <c r="CU744" s="41"/>
      <c r="CV744" s="41"/>
      <c r="CW744" s="41"/>
      <c r="CX744" s="41"/>
      <c r="CY744" s="41"/>
      <c r="CZ744" s="41"/>
      <c r="DA744" s="41"/>
      <c r="DB744" s="41"/>
      <c r="DC744" s="41"/>
      <c r="DD744" s="41"/>
      <c r="DE744" s="41"/>
      <c r="DF744" s="41"/>
      <c r="DG744" s="41"/>
      <c r="DH744" s="41"/>
      <c r="DI744" s="41"/>
      <c r="DJ744" s="41"/>
      <c r="DK744" s="41"/>
      <c r="DL744" s="41"/>
      <c r="DM744" s="41"/>
      <c r="DN744" s="41"/>
      <c r="DO744" s="41"/>
      <c r="DP744" s="41"/>
      <c r="DQ744" s="41"/>
      <c r="DR744" s="41"/>
      <c r="DS744" s="43"/>
      <c r="DT744" s="44">
        <f t="shared" ref="DT744" si="726">SUM(F744:DR744)</f>
        <v>1</v>
      </c>
    </row>
    <row r="745" spans="2:124" s="13" customFormat="1">
      <c r="B745" s="4">
        <f>'6.1Personnel List'!B746</f>
        <v>733</v>
      </c>
      <c r="C745" s="45" t="s">
        <v>957</v>
      </c>
      <c r="D745" s="45" t="str">
        <f>'6.1Personnel List'!D746</f>
        <v>Administrative Assistant III</v>
      </c>
      <c r="E745" s="45" t="str">
        <f>'6.1Personnel List'!H746</f>
        <v>FT</v>
      </c>
      <c r="G745" s="41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  <c r="AA745" s="41"/>
      <c r="AB745" s="41"/>
      <c r="AC745" s="41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1"/>
      <c r="AP745" s="41"/>
      <c r="AQ745" s="41"/>
      <c r="AR745" s="41"/>
      <c r="AS745" s="41"/>
      <c r="AT745" s="41"/>
      <c r="AU745" s="41"/>
      <c r="AV745" s="41"/>
      <c r="AW745" s="41"/>
      <c r="AX745" s="41"/>
      <c r="AY745" s="41"/>
      <c r="AZ745" s="41"/>
      <c r="BA745" s="41"/>
      <c r="BB745" s="41"/>
      <c r="BC745" s="41"/>
      <c r="BD745" s="41"/>
      <c r="BE745" s="41"/>
      <c r="BF745" s="41"/>
      <c r="BG745" s="41"/>
      <c r="BH745" s="41"/>
      <c r="BJ745" s="41"/>
      <c r="BK745" s="41"/>
      <c r="BL745" s="41"/>
      <c r="BM745" s="41"/>
      <c r="BN745" s="41"/>
      <c r="BO745" s="41"/>
      <c r="BP745" s="41"/>
      <c r="BQ745" s="41"/>
      <c r="BR745" s="41"/>
      <c r="BS745" s="41"/>
      <c r="BT745" s="41"/>
      <c r="BU745" s="41"/>
      <c r="BV745" s="41"/>
      <c r="BW745" s="41">
        <v>1</v>
      </c>
      <c r="BX745" s="41"/>
      <c r="BY745" s="41"/>
      <c r="BZ745" s="41"/>
      <c r="CA745" s="41"/>
      <c r="CB745" s="41"/>
      <c r="CC745" s="41"/>
      <c r="CD745" s="41"/>
      <c r="CE745" s="41"/>
      <c r="CF745" s="41"/>
      <c r="CG745" s="41"/>
      <c r="CH745" s="41"/>
      <c r="CI745" s="41"/>
      <c r="CJ745" s="41"/>
      <c r="CK745" s="41"/>
      <c r="CL745" s="41"/>
      <c r="CM745" s="41"/>
      <c r="CN745" s="41"/>
      <c r="CO745" s="41"/>
      <c r="CP745" s="41"/>
      <c r="CQ745" s="41"/>
      <c r="CR745" s="41"/>
      <c r="CS745" s="41"/>
      <c r="CT745" s="41"/>
      <c r="CU745" s="41"/>
      <c r="CV745" s="41"/>
      <c r="CW745" s="41"/>
      <c r="CX745" s="41"/>
      <c r="CY745" s="41"/>
      <c r="CZ745" s="41"/>
      <c r="DA745" s="41"/>
      <c r="DB745" s="41"/>
      <c r="DC745" s="41"/>
      <c r="DD745" s="41"/>
      <c r="DE745" s="41"/>
      <c r="DF745" s="41"/>
      <c r="DG745" s="41"/>
      <c r="DH745" s="41"/>
      <c r="DI745" s="41"/>
      <c r="DJ745" s="41"/>
      <c r="DK745" s="41"/>
      <c r="DL745" s="41"/>
      <c r="DM745" s="41"/>
      <c r="DN745" s="41"/>
      <c r="DO745" s="41"/>
      <c r="DP745" s="41"/>
      <c r="DQ745" s="41"/>
      <c r="DR745" s="41"/>
      <c r="DS745" s="43"/>
      <c r="DT745" s="44">
        <f t="shared" ref="DT745" si="727">SUM(F745:DR745)</f>
        <v>1</v>
      </c>
    </row>
    <row r="746" spans="2:124" s="13" customFormat="1">
      <c r="B746" s="4">
        <f>'6.1Personnel List'!B747</f>
        <v>734</v>
      </c>
      <c r="C746" s="45" t="s">
        <v>958</v>
      </c>
      <c r="D746" s="45" t="str">
        <f>'6.1Personnel List'!D747</f>
        <v>Administrative Assistant III</v>
      </c>
      <c r="E746" s="45" t="str">
        <f>'6.1Personnel List'!H747</f>
        <v>FT</v>
      </c>
      <c r="G746" s="41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  <c r="AA746" s="41"/>
      <c r="AB746" s="41"/>
      <c r="AC746" s="41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1"/>
      <c r="AP746" s="41"/>
      <c r="AQ746" s="41"/>
      <c r="AR746" s="41"/>
      <c r="AS746" s="41"/>
      <c r="AT746" s="41"/>
      <c r="AU746" s="41"/>
      <c r="AV746" s="41"/>
      <c r="AW746" s="41"/>
      <c r="AX746" s="41"/>
      <c r="AY746" s="41"/>
      <c r="AZ746" s="41"/>
      <c r="BA746" s="41"/>
      <c r="BB746" s="41"/>
      <c r="BC746" s="41"/>
      <c r="BD746" s="41"/>
      <c r="BE746" s="41"/>
      <c r="BF746" s="41"/>
      <c r="BG746" s="41"/>
      <c r="BH746" s="41"/>
      <c r="BJ746" s="41"/>
      <c r="BK746" s="41"/>
      <c r="BL746" s="41"/>
      <c r="BM746" s="41"/>
      <c r="BN746" s="41"/>
      <c r="BO746" s="41"/>
      <c r="BP746" s="41"/>
      <c r="BQ746" s="41"/>
      <c r="BR746" s="41"/>
      <c r="BS746" s="41"/>
      <c r="BT746" s="41"/>
      <c r="BU746" s="41"/>
      <c r="BV746" s="41"/>
      <c r="BW746" s="41">
        <v>1</v>
      </c>
      <c r="BX746" s="41"/>
      <c r="BY746" s="41"/>
      <c r="BZ746" s="41"/>
      <c r="CA746" s="41"/>
      <c r="CB746" s="41"/>
      <c r="CC746" s="41"/>
      <c r="CD746" s="41"/>
      <c r="CE746" s="41"/>
      <c r="CF746" s="41"/>
      <c r="CG746" s="41"/>
      <c r="CH746" s="41"/>
      <c r="CI746" s="41"/>
      <c r="CJ746" s="41"/>
      <c r="CK746" s="41"/>
      <c r="CL746" s="41"/>
      <c r="CM746" s="41"/>
      <c r="CN746" s="41"/>
      <c r="CO746" s="41"/>
      <c r="CP746" s="41"/>
      <c r="CQ746" s="41"/>
      <c r="CR746" s="41"/>
      <c r="CS746" s="41"/>
      <c r="CT746" s="41"/>
      <c r="CU746" s="41"/>
      <c r="CV746" s="41"/>
      <c r="CW746" s="41"/>
      <c r="CX746" s="41"/>
      <c r="CY746" s="41"/>
      <c r="CZ746" s="41"/>
      <c r="DA746" s="41"/>
      <c r="DB746" s="41"/>
      <c r="DC746" s="41"/>
      <c r="DD746" s="41"/>
      <c r="DE746" s="41"/>
      <c r="DF746" s="41"/>
      <c r="DG746" s="41"/>
      <c r="DH746" s="41"/>
      <c r="DI746" s="41"/>
      <c r="DJ746" s="41"/>
      <c r="DK746" s="41"/>
      <c r="DL746" s="41"/>
      <c r="DM746" s="41"/>
      <c r="DN746" s="41"/>
      <c r="DO746" s="41"/>
      <c r="DP746" s="41"/>
      <c r="DQ746" s="41"/>
      <c r="DR746" s="41"/>
      <c r="DS746" s="43"/>
      <c r="DT746" s="44">
        <f t="shared" ref="DT746" si="728">SUM(F746:DR746)</f>
        <v>1</v>
      </c>
    </row>
    <row r="747" spans="2:124" s="13" customFormat="1">
      <c r="B747" s="4">
        <f>'6.1Personnel List'!B748</f>
        <v>735</v>
      </c>
      <c r="C747" s="45" t="s">
        <v>959</v>
      </c>
      <c r="D747" s="45" t="str">
        <f>'6.1Personnel List'!D748</f>
        <v>Administrative Assistant III</v>
      </c>
      <c r="E747" s="45" t="str">
        <f>'6.1Personnel List'!H748</f>
        <v>FT</v>
      </c>
      <c r="G747" s="41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  <c r="AA747" s="41"/>
      <c r="AB747" s="41"/>
      <c r="AC747" s="41"/>
      <c r="AD747" s="41"/>
      <c r="AE747" s="41"/>
      <c r="AF747" s="41"/>
      <c r="AG747" s="41"/>
      <c r="AH747" s="41"/>
      <c r="AI747" s="41"/>
      <c r="AJ747" s="41"/>
      <c r="AK747" s="41"/>
      <c r="AL747" s="41"/>
      <c r="AM747" s="41"/>
      <c r="AN747" s="41"/>
      <c r="AO747" s="41"/>
      <c r="AP747" s="41"/>
      <c r="AQ747" s="41"/>
      <c r="AR747" s="41"/>
      <c r="AS747" s="41"/>
      <c r="AT747" s="41"/>
      <c r="AU747" s="41"/>
      <c r="AV747" s="41"/>
      <c r="AW747" s="41"/>
      <c r="AX747" s="41"/>
      <c r="AY747" s="41"/>
      <c r="AZ747" s="41"/>
      <c r="BA747" s="41"/>
      <c r="BB747" s="41"/>
      <c r="BC747" s="41"/>
      <c r="BD747" s="41"/>
      <c r="BE747" s="41"/>
      <c r="BF747" s="41"/>
      <c r="BG747" s="41"/>
      <c r="BH747" s="41"/>
      <c r="BJ747" s="41"/>
      <c r="BK747" s="41"/>
      <c r="BL747" s="41"/>
      <c r="BM747" s="41"/>
      <c r="BN747" s="41"/>
      <c r="BO747" s="41"/>
      <c r="BP747" s="41"/>
      <c r="BQ747" s="41"/>
      <c r="BR747" s="41"/>
      <c r="BS747" s="41"/>
      <c r="BT747" s="41"/>
      <c r="BU747" s="41"/>
      <c r="BV747" s="41"/>
      <c r="BW747" s="41">
        <v>1</v>
      </c>
      <c r="BX747" s="41"/>
      <c r="BY747" s="41"/>
      <c r="BZ747" s="41"/>
      <c r="CA747" s="41"/>
      <c r="CB747" s="41"/>
      <c r="CC747" s="41"/>
      <c r="CD747" s="41"/>
      <c r="CE747" s="41"/>
      <c r="CF747" s="41"/>
      <c r="CG747" s="41"/>
      <c r="CH747" s="41"/>
      <c r="CI747" s="41"/>
      <c r="CJ747" s="41"/>
      <c r="CK747" s="41"/>
      <c r="CL747" s="41"/>
      <c r="CM747" s="41"/>
      <c r="CN747" s="41"/>
      <c r="CO747" s="41"/>
      <c r="CP747" s="41"/>
      <c r="CQ747" s="41"/>
      <c r="CR747" s="41"/>
      <c r="CS747" s="41"/>
      <c r="CT747" s="41"/>
      <c r="CU747" s="41"/>
      <c r="CV747" s="41"/>
      <c r="CW747" s="41"/>
      <c r="CX747" s="41"/>
      <c r="CY747" s="41"/>
      <c r="CZ747" s="41"/>
      <c r="DA747" s="41"/>
      <c r="DB747" s="41"/>
      <c r="DC747" s="41"/>
      <c r="DD747" s="41"/>
      <c r="DE747" s="41"/>
      <c r="DF747" s="41"/>
      <c r="DG747" s="41"/>
      <c r="DH747" s="41"/>
      <c r="DI747" s="41"/>
      <c r="DJ747" s="41"/>
      <c r="DK747" s="41"/>
      <c r="DL747" s="41"/>
      <c r="DM747" s="41"/>
      <c r="DN747" s="41"/>
      <c r="DO747" s="41"/>
      <c r="DP747" s="41"/>
      <c r="DQ747" s="41"/>
      <c r="DR747" s="41"/>
      <c r="DS747" s="43"/>
      <c r="DT747" s="44">
        <f t="shared" ref="DT747" si="729">SUM(F747:DR747)</f>
        <v>1</v>
      </c>
    </row>
    <row r="748" spans="2:124" s="13" customFormat="1">
      <c r="B748" s="4">
        <f>'6.1Personnel List'!B749</f>
        <v>736</v>
      </c>
      <c r="C748" s="45" t="s">
        <v>960</v>
      </c>
      <c r="D748" s="45" t="str">
        <f>'6.1Personnel List'!D749</f>
        <v>Administrative Assistant III</v>
      </c>
      <c r="E748" s="45" t="str">
        <f>'6.1Personnel List'!H749</f>
        <v>FT</v>
      </c>
      <c r="G748" s="41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  <c r="AA748" s="41"/>
      <c r="AB748" s="41"/>
      <c r="AC748" s="41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1"/>
      <c r="AP748" s="41"/>
      <c r="AQ748" s="41"/>
      <c r="AR748" s="41"/>
      <c r="AS748" s="41"/>
      <c r="AT748" s="41"/>
      <c r="AU748" s="41"/>
      <c r="AV748" s="41"/>
      <c r="AW748" s="41"/>
      <c r="AX748" s="41"/>
      <c r="AY748" s="41"/>
      <c r="AZ748" s="41"/>
      <c r="BA748" s="41"/>
      <c r="BB748" s="41"/>
      <c r="BC748" s="41"/>
      <c r="BD748" s="41"/>
      <c r="BE748" s="41"/>
      <c r="BF748" s="41"/>
      <c r="BG748" s="41"/>
      <c r="BH748" s="41"/>
      <c r="BJ748" s="41"/>
      <c r="BK748" s="41"/>
      <c r="BL748" s="41"/>
      <c r="BM748" s="41"/>
      <c r="BN748" s="41"/>
      <c r="BO748" s="41"/>
      <c r="BP748" s="41"/>
      <c r="BQ748" s="41"/>
      <c r="BR748" s="41"/>
      <c r="BS748" s="41"/>
      <c r="BT748" s="41"/>
      <c r="BU748" s="41"/>
      <c r="BV748" s="41"/>
      <c r="BW748" s="41">
        <v>1</v>
      </c>
      <c r="BX748" s="41"/>
      <c r="BY748" s="41"/>
      <c r="BZ748" s="41"/>
      <c r="CA748" s="41"/>
      <c r="CB748" s="41"/>
      <c r="CC748" s="41"/>
      <c r="CD748" s="41"/>
      <c r="CE748" s="41"/>
      <c r="CF748" s="41"/>
      <c r="CG748" s="41"/>
      <c r="CH748" s="41"/>
      <c r="CI748" s="41"/>
      <c r="CJ748" s="41"/>
      <c r="CK748" s="41"/>
      <c r="CL748" s="41"/>
      <c r="CM748" s="41"/>
      <c r="CN748" s="41"/>
      <c r="CO748" s="41"/>
      <c r="CP748" s="41"/>
      <c r="CQ748" s="41"/>
      <c r="CR748" s="41"/>
      <c r="CS748" s="41"/>
      <c r="CT748" s="41"/>
      <c r="CU748" s="41"/>
      <c r="CV748" s="41"/>
      <c r="CW748" s="41"/>
      <c r="CX748" s="41"/>
      <c r="CY748" s="41"/>
      <c r="CZ748" s="41"/>
      <c r="DA748" s="41"/>
      <c r="DB748" s="41"/>
      <c r="DC748" s="41"/>
      <c r="DD748" s="41"/>
      <c r="DE748" s="41"/>
      <c r="DF748" s="41"/>
      <c r="DG748" s="41"/>
      <c r="DH748" s="41"/>
      <c r="DI748" s="41"/>
      <c r="DJ748" s="41"/>
      <c r="DK748" s="41"/>
      <c r="DL748" s="41"/>
      <c r="DM748" s="41"/>
      <c r="DN748" s="41"/>
      <c r="DO748" s="41"/>
      <c r="DP748" s="41"/>
      <c r="DQ748" s="41"/>
      <c r="DR748" s="41"/>
      <c r="DS748" s="43"/>
      <c r="DT748" s="44">
        <f t="shared" ref="DT748" si="730">SUM(F748:DR748)</f>
        <v>1</v>
      </c>
    </row>
    <row r="749" spans="2:124" s="13" customFormat="1">
      <c r="B749" s="4">
        <f>'6.1Personnel List'!B750</f>
        <v>737</v>
      </c>
      <c r="C749" s="45" t="s">
        <v>961</v>
      </c>
      <c r="D749" s="45" t="str">
        <f>'6.1Personnel List'!D750</f>
        <v>Administrative Assistant III</v>
      </c>
      <c r="E749" s="45" t="str">
        <f>'6.1Personnel List'!H750</f>
        <v>FT</v>
      </c>
      <c r="G749" s="41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  <c r="AA749" s="41"/>
      <c r="AB749" s="41"/>
      <c r="AC749" s="41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1"/>
      <c r="AP749" s="41"/>
      <c r="AQ749" s="41"/>
      <c r="AR749" s="41"/>
      <c r="AS749" s="41"/>
      <c r="AT749" s="41"/>
      <c r="AU749" s="41"/>
      <c r="AV749" s="41"/>
      <c r="AW749" s="41"/>
      <c r="AX749" s="41"/>
      <c r="AY749" s="41"/>
      <c r="AZ749" s="41"/>
      <c r="BA749" s="41"/>
      <c r="BB749" s="41"/>
      <c r="BC749" s="41"/>
      <c r="BD749" s="41"/>
      <c r="BE749" s="41"/>
      <c r="BF749" s="41"/>
      <c r="BG749" s="41"/>
      <c r="BH749" s="41"/>
      <c r="BJ749" s="41"/>
      <c r="BK749" s="41"/>
      <c r="BL749" s="41"/>
      <c r="BM749" s="41"/>
      <c r="BN749" s="41"/>
      <c r="BO749" s="41"/>
      <c r="BP749" s="41"/>
      <c r="BQ749" s="41"/>
      <c r="BR749" s="41"/>
      <c r="BS749" s="41"/>
      <c r="BT749" s="41"/>
      <c r="BU749" s="41"/>
      <c r="BV749" s="41"/>
      <c r="BW749" s="41">
        <v>1</v>
      </c>
      <c r="BX749" s="41"/>
      <c r="BY749" s="41"/>
      <c r="BZ749" s="41"/>
      <c r="CA749" s="41"/>
      <c r="CB749" s="41"/>
      <c r="CC749" s="41"/>
      <c r="CD749" s="41"/>
      <c r="CE749" s="41"/>
      <c r="CF749" s="41"/>
      <c r="CG749" s="41"/>
      <c r="CH749" s="41"/>
      <c r="CI749" s="41"/>
      <c r="CJ749" s="41"/>
      <c r="CK749" s="41"/>
      <c r="CL749" s="41"/>
      <c r="CM749" s="41"/>
      <c r="CN749" s="41"/>
      <c r="CO749" s="41"/>
      <c r="CP749" s="41"/>
      <c r="CQ749" s="41"/>
      <c r="CR749" s="41"/>
      <c r="CS749" s="41"/>
      <c r="CT749" s="41"/>
      <c r="CU749" s="41"/>
      <c r="CV749" s="41"/>
      <c r="CW749" s="41"/>
      <c r="CX749" s="41"/>
      <c r="CY749" s="41"/>
      <c r="CZ749" s="41"/>
      <c r="DA749" s="41"/>
      <c r="DB749" s="41"/>
      <c r="DC749" s="41"/>
      <c r="DD749" s="41"/>
      <c r="DE749" s="41"/>
      <c r="DF749" s="41"/>
      <c r="DG749" s="41"/>
      <c r="DH749" s="41"/>
      <c r="DI749" s="41"/>
      <c r="DJ749" s="41"/>
      <c r="DK749" s="41"/>
      <c r="DL749" s="41"/>
      <c r="DM749" s="41"/>
      <c r="DN749" s="41"/>
      <c r="DO749" s="41"/>
      <c r="DP749" s="41"/>
      <c r="DQ749" s="41"/>
      <c r="DR749" s="41"/>
      <c r="DS749" s="43"/>
      <c r="DT749" s="44">
        <f t="shared" ref="DT749" si="731">SUM(F749:DR749)</f>
        <v>1</v>
      </c>
    </row>
    <row r="750" spans="2:124" s="13" customFormat="1">
      <c r="B750" s="4">
        <f>'6.1Personnel List'!B751</f>
        <v>738</v>
      </c>
      <c r="C750" s="45" t="s">
        <v>962</v>
      </c>
      <c r="D750" s="45" t="str">
        <f>'6.1Personnel List'!D751</f>
        <v>Administrative Assistant III</v>
      </c>
      <c r="E750" s="45" t="str">
        <f>'6.1Personnel List'!H751</f>
        <v>FT</v>
      </c>
      <c r="G750" s="41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  <c r="AA750" s="41"/>
      <c r="AB750" s="41"/>
      <c r="AC750" s="41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1"/>
      <c r="AP750" s="41"/>
      <c r="AQ750" s="41"/>
      <c r="AR750" s="41"/>
      <c r="AS750" s="41"/>
      <c r="AT750" s="41"/>
      <c r="AU750" s="41"/>
      <c r="AV750" s="41"/>
      <c r="AW750" s="41"/>
      <c r="AX750" s="41"/>
      <c r="AY750" s="41"/>
      <c r="AZ750" s="41"/>
      <c r="BA750" s="41"/>
      <c r="BB750" s="41"/>
      <c r="BC750" s="41"/>
      <c r="BD750" s="41"/>
      <c r="BE750" s="41"/>
      <c r="BF750" s="41"/>
      <c r="BG750" s="41"/>
      <c r="BH750" s="41"/>
      <c r="BJ750" s="41"/>
      <c r="BK750" s="41"/>
      <c r="BL750" s="41"/>
      <c r="BM750" s="41"/>
      <c r="BN750" s="41"/>
      <c r="BO750" s="41"/>
      <c r="BP750" s="41"/>
      <c r="BQ750" s="41"/>
      <c r="BR750" s="41"/>
      <c r="BS750" s="41"/>
      <c r="BT750" s="41"/>
      <c r="BU750" s="41"/>
      <c r="BV750" s="41"/>
      <c r="BW750" s="41">
        <v>1</v>
      </c>
      <c r="BX750" s="41"/>
      <c r="BY750" s="41"/>
      <c r="BZ750" s="41"/>
      <c r="CA750" s="41"/>
      <c r="CB750" s="41"/>
      <c r="CC750" s="41"/>
      <c r="CD750" s="41"/>
      <c r="CE750" s="41"/>
      <c r="CF750" s="41"/>
      <c r="CG750" s="41"/>
      <c r="CH750" s="41"/>
      <c r="CI750" s="41"/>
      <c r="CJ750" s="41"/>
      <c r="CK750" s="41"/>
      <c r="CL750" s="41"/>
      <c r="CM750" s="41"/>
      <c r="CN750" s="41"/>
      <c r="CO750" s="41"/>
      <c r="CP750" s="41"/>
      <c r="CQ750" s="41"/>
      <c r="CR750" s="41"/>
      <c r="CS750" s="41"/>
      <c r="CT750" s="41"/>
      <c r="CU750" s="41"/>
      <c r="CV750" s="41"/>
      <c r="CW750" s="41"/>
      <c r="CX750" s="41"/>
      <c r="CY750" s="41"/>
      <c r="CZ750" s="41"/>
      <c r="DA750" s="41"/>
      <c r="DB750" s="41"/>
      <c r="DC750" s="41"/>
      <c r="DD750" s="41"/>
      <c r="DE750" s="41"/>
      <c r="DF750" s="41"/>
      <c r="DG750" s="41"/>
      <c r="DH750" s="41"/>
      <c r="DI750" s="41"/>
      <c r="DJ750" s="41"/>
      <c r="DK750" s="41"/>
      <c r="DL750" s="41"/>
      <c r="DM750" s="41"/>
      <c r="DN750" s="41"/>
      <c r="DO750" s="41"/>
      <c r="DP750" s="41"/>
      <c r="DQ750" s="41"/>
      <c r="DR750" s="41"/>
      <c r="DS750" s="43"/>
      <c r="DT750" s="44">
        <f t="shared" ref="DT750" si="732">SUM(F750:DR750)</f>
        <v>1</v>
      </c>
    </row>
    <row r="751" spans="2:124" s="13" customFormat="1">
      <c r="B751" s="4">
        <f>'6.1Personnel List'!B752</f>
        <v>739</v>
      </c>
      <c r="C751" s="45" t="s">
        <v>963</v>
      </c>
      <c r="D751" s="45" t="str">
        <f>'6.1Personnel List'!D752</f>
        <v>Administrative Assistant III</v>
      </c>
      <c r="E751" s="45" t="str">
        <f>'6.1Personnel List'!H752</f>
        <v>FT</v>
      </c>
      <c r="G751" s="41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  <c r="AA751" s="41"/>
      <c r="AB751" s="41"/>
      <c r="AC751" s="41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1"/>
      <c r="AP751" s="41"/>
      <c r="AQ751" s="41"/>
      <c r="AR751" s="41"/>
      <c r="AS751" s="41"/>
      <c r="AT751" s="41"/>
      <c r="AU751" s="41"/>
      <c r="AV751" s="41"/>
      <c r="AW751" s="41"/>
      <c r="AX751" s="41"/>
      <c r="AY751" s="41"/>
      <c r="AZ751" s="41"/>
      <c r="BA751" s="41"/>
      <c r="BB751" s="41"/>
      <c r="BC751" s="41"/>
      <c r="BD751" s="41"/>
      <c r="BE751" s="41"/>
      <c r="BF751" s="41"/>
      <c r="BG751" s="41"/>
      <c r="BH751" s="41"/>
      <c r="BJ751" s="41"/>
      <c r="BK751" s="41"/>
      <c r="BL751" s="41"/>
      <c r="BM751" s="41"/>
      <c r="BN751" s="41"/>
      <c r="BO751" s="41"/>
      <c r="BP751" s="41"/>
      <c r="BQ751" s="41"/>
      <c r="BR751" s="41"/>
      <c r="BS751" s="41"/>
      <c r="BT751" s="41"/>
      <c r="BU751" s="41"/>
      <c r="BV751" s="41"/>
      <c r="BW751" s="41">
        <v>1</v>
      </c>
      <c r="BX751" s="41"/>
      <c r="BY751" s="41"/>
      <c r="BZ751" s="41"/>
      <c r="CA751" s="41"/>
      <c r="CB751" s="41"/>
      <c r="CC751" s="41"/>
      <c r="CD751" s="41"/>
      <c r="CE751" s="41"/>
      <c r="CF751" s="41"/>
      <c r="CG751" s="41"/>
      <c r="CH751" s="41"/>
      <c r="CI751" s="41"/>
      <c r="CJ751" s="41"/>
      <c r="CK751" s="41"/>
      <c r="CL751" s="41"/>
      <c r="CM751" s="41"/>
      <c r="CN751" s="41"/>
      <c r="CO751" s="41"/>
      <c r="CP751" s="41"/>
      <c r="CQ751" s="41"/>
      <c r="CR751" s="41"/>
      <c r="CS751" s="41"/>
      <c r="CT751" s="41"/>
      <c r="CU751" s="41"/>
      <c r="CV751" s="41"/>
      <c r="CW751" s="41"/>
      <c r="CX751" s="41"/>
      <c r="CY751" s="41"/>
      <c r="CZ751" s="41"/>
      <c r="DA751" s="41"/>
      <c r="DB751" s="41"/>
      <c r="DC751" s="41"/>
      <c r="DD751" s="41"/>
      <c r="DE751" s="41"/>
      <c r="DF751" s="41"/>
      <c r="DG751" s="41"/>
      <c r="DH751" s="41"/>
      <c r="DI751" s="41"/>
      <c r="DJ751" s="41"/>
      <c r="DK751" s="41"/>
      <c r="DL751" s="41"/>
      <c r="DM751" s="41"/>
      <c r="DN751" s="41"/>
      <c r="DO751" s="41"/>
      <c r="DP751" s="41"/>
      <c r="DQ751" s="41"/>
      <c r="DR751" s="41"/>
      <c r="DS751" s="43"/>
      <c r="DT751" s="44">
        <f t="shared" ref="DT751" si="733">SUM(F751:DR751)</f>
        <v>1</v>
      </c>
    </row>
    <row r="752" spans="2:124" s="13" customFormat="1">
      <c r="B752" s="4">
        <f>'6.1Personnel List'!B753</f>
        <v>740</v>
      </c>
      <c r="C752" s="45" t="s">
        <v>1544</v>
      </c>
      <c r="D752" s="45" t="str">
        <f>'6.1Personnel List'!D753</f>
        <v>Administrative Assistant III</v>
      </c>
      <c r="E752" s="45" t="str">
        <f>'6.1Personnel List'!H753</f>
        <v>FT</v>
      </c>
      <c r="G752" s="41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  <c r="AA752" s="41"/>
      <c r="AB752" s="41"/>
      <c r="AC752" s="41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1"/>
      <c r="AP752" s="41"/>
      <c r="AQ752" s="41"/>
      <c r="AR752" s="41"/>
      <c r="AS752" s="41"/>
      <c r="AT752" s="41"/>
      <c r="AU752" s="41"/>
      <c r="AV752" s="41"/>
      <c r="AW752" s="41"/>
      <c r="AX752" s="41"/>
      <c r="AY752" s="41"/>
      <c r="AZ752" s="41"/>
      <c r="BA752" s="41"/>
      <c r="BB752" s="41"/>
      <c r="BC752" s="41"/>
      <c r="BD752" s="41"/>
      <c r="BE752" s="41"/>
      <c r="BF752" s="41"/>
      <c r="BG752" s="41"/>
      <c r="BH752" s="41"/>
      <c r="BJ752" s="41"/>
      <c r="BK752" s="41"/>
      <c r="BL752" s="41"/>
      <c r="BM752" s="41"/>
      <c r="BN752" s="41"/>
      <c r="BO752" s="41"/>
      <c r="BP752" s="41"/>
      <c r="BQ752" s="41"/>
      <c r="BR752" s="41"/>
      <c r="BS752" s="41"/>
      <c r="BT752" s="41"/>
      <c r="BU752" s="41"/>
      <c r="BV752" s="41"/>
      <c r="BW752" s="41">
        <v>1</v>
      </c>
      <c r="BX752" s="41"/>
      <c r="BY752" s="41"/>
      <c r="BZ752" s="41"/>
      <c r="CA752" s="41"/>
      <c r="CB752" s="41"/>
      <c r="CC752" s="41"/>
      <c r="CD752" s="41"/>
      <c r="CE752" s="41"/>
      <c r="CF752" s="41"/>
      <c r="CG752" s="41"/>
      <c r="CH752" s="41"/>
      <c r="CI752" s="41"/>
      <c r="CJ752" s="41"/>
      <c r="CK752" s="41"/>
      <c r="CL752" s="41"/>
      <c r="CM752" s="41"/>
      <c r="CN752" s="41"/>
      <c r="CO752" s="41"/>
      <c r="CP752" s="41"/>
      <c r="CQ752" s="41"/>
      <c r="CR752" s="41"/>
      <c r="CS752" s="41"/>
      <c r="CT752" s="41"/>
      <c r="CU752" s="41"/>
      <c r="CV752" s="41"/>
      <c r="CW752" s="41"/>
      <c r="CX752" s="41"/>
      <c r="CY752" s="41"/>
      <c r="CZ752" s="41"/>
      <c r="DA752" s="41"/>
      <c r="DB752" s="41"/>
      <c r="DC752" s="41"/>
      <c r="DD752" s="41"/>
      <c r="DE752" s="41"/>
      <c r="DF752" s="41"/>
      <c r="DG752" s="41"/>
      <c r="DH752" s="41"/>
      <c r="DI752" s="41"/>
      <c r="DJ752" s="41"/>
      <c r="DK752" s="41"/>
      <c r="DL752" s="41"/>
      <c r="DM752" s="41"/>
      <c r="DN752" s="41"/>
      <c r="DO752" s="41"/>
      <c r="DP752" s="41"/>
      <c r="DQ752" s="41"/>
      <c r="DR752" s="41"/>
      <c r="DS752" s="43"/>
      <c r="DT752" s="44">
        <f t="shared" ref="DT752" si="734">SUM(F752:DR752)</f>
        <v>1</v>
      </c>
    </row>
    <row r="753" spans="2:124" s="13" customFormat="1">
      <c r="B753" s="4">
        <f>'6.1Personnel List'!B754</f>
        <v>741</v>
      </c>
      <c r="C753" s="45" t="s">
        <v>964</v>
      </c>
      <c r="D753" s="45" t="str">
        <f>'6.1Personnel List'!D754</f>
        <v>Administrative Assistant III</v>
      </c>
      <c r="E753" s="45" t="str">
        <f>'6.1Personnel List'!H754</f>
        <v>FT</v>
      </c>
      <c r="G753" s="41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  <c r="AA753" s="41"/>
      <c r="AB753" s="41"/>
      <c r="AC753" s="41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1"/>
      <c r="AP753" s="41"/>
      <c r="AQ753" s="41"/>
      <c r="AR753" s="41"/>
      <c r="AS753" s="41"/>
      <c r="AT753" s="41"/>
      <c r="AU753" s="41"/>
      <c r="AV753" s="41"/>
      <c r="AW753" s="41"/>
      <c r="AX753" s="41"/>
      <c r="AY753" s="41"/>
      <c r="AZ753" s="41"/>
      <c r="BA753" s="41"/>
      <c r="BB753" s="41"/>
      <c r="BC753" s="41"/>
      <c r="BD753" s="41"/>
      <c r="BE753" s="41"/>
      <c r="BF753" s="41"/>
      <c r="BG753" s="41"/>
      <c r="BH753" s="41"/>
      <c r="BJ753" s="41"/>
      <c r="BK753" s="41"/>
      <c r="BL753" s="41"/>
      <c r="BM753" s="41"/>
      <c r="BN753" s="41"/>
      <c r="BO753" s="41"/>
      <c r="BP753" s="41"/>
      <c r="BQ753" s="41"/>
      <c r="BR753" s="41"/>
      <c r="BS753" s="41"/>
      <c r="BT753" s="41"/>
      <c r="BU753" s="41"/>
      <c r="BV753" s="41"/>
      <c r="BW753" s="41">
        <v>1</v>
      </c>
      <c r="BX753" s="41"/>
      <c r="BY753" s="41"/>
      <c r="BZ753" s="41"/>
      <c r="CA753" s="41"/>
      <c r="CB753" s="41"/>
      <c r="CC753" s="41"/>
      <c r="CD753" s="41"/>
      <c r="CE753" s="41"/>
      <c r="CF753" s="41"/>
      <c r="CG753" s="41"/>
      <c r="CH753" s="41"/>
      <c r="CI753" s="41"/>
      <c r="CJ753" s="41"/>
      <c r="CK753" s="41"/>
      <c r="CL753" s="41"/>
      <c r="CM753" s="41"/>
      <c r="CN753" s="41"/>
      <c r="CO753" s="41"/>
      <c r="CP753" s="41"/>
      <c r="CQ753" s="41"/>
      <c r="CR753" s="41"/>
      <c r="CS753" s="41"/>
      <c r="CT753" s="41"/>
      <c r="CU753" s="41"/>
      <c r="CV753" s="41"/>
      <c r="CW753" s="41"/>
      <c r="CX753" s="41"/>
      <c r="CY753" s="41"/>
      <c r="CZ753" s="41"/>
      <c r="DA753" s="41"/>
      <c r="DB753" s="41"/>
      <c r="DC753" s="41"/>
      <c r="DD753" s="41"/>
      <c r="DE753" s="41"/>
      <c r="DF753" s="41"/>
      <c r="DG753" s="41"/>
      <c r="DH753" s="41"/>
      <c r="DI753" s="41"/>
      <c r="DJ753" s="41"/>
      <c r="DK753" s="41"/>
      <c r="DL753" s="41"/>
      <c r="DM753" s="41"/>
      <c r="DN753" s="41"/>
      <c r="DO753" s="41"/>
      <c r="DP753" s="41"/>
      <c r="DQ753" s="41"/>
      <c r="DR753" s="41"/>
      <c r="DS753" s="43"/>
      <c r="DT753" s="44">
        <f t="shared" ref="DT753" si="735">SUM(F753:DR753)</f>
        <v>1</v>
      </c>
    </row>
    <row r="754" spans="2:124" s="13" customFormat="1">
      <c r="B754" s="4">
        <f>'6.1Personnel List'!B755</f>
        <v>742</v>
      </c>
      <c r="C754" s="45" t="s">
        <v>965</v>
      </c>
      <c r="D754" s="45" t="str">
        <f>'6.1Personnel List'!D755</f>
        <v>Administrative Assistant III</v>
      </c>
      <c r="E754" s="45" t="str">
        <f>'6.1Personnel List'!H755</f>
        <v>FT</v>
      </c>
      <c r="G754" s="41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  <c r="AA754" s="41"/>
      <c r="AB754" s="41"/>
      <c r="AC754" s="41"/>
      <c r="AD754" s="41"/>
      <c r="AE754" s="41"/>
      <c r="AF754" s="41"/>
      <c r="AG754" s="41"/>
      <c r="AH754" s="41"/>
      <c r="AI754" s="41"/>
      <c r="AJ754" s="41"/>
      <c r="AK754" s="41"/>
      <c r="AL754" s="41"/>
      <c r="AM754" s="41"/>
      <c r="AN754" s="41"/>
      <c r="AO754" s="41"/>
      <c r="AP754" s="41"/>
      <c r="AQ754" s="41"/>
      <c r="AR754" s="41"/>
      <c r="AS754" s="41"/>
      <c r="AT754" s="41"/>
      <c r="AU754" s="41"/>
      <c r="AV754" s="41"/>
      <c r="AW754" s="41"/>
      <c r="AX754" s="41"/>
      <c r="AY754" s="41"/>
      <c r="AZ754" s="41"/>
      <c r="BA754" s="41"/>
      <c r="BB754" s="41"/>
      <c r="BC754" s="41"/>
      <c r="BD754" s="41"/>
      <c r="BE754" s="41"/>
      <c r="BF754" s="41"/>
      <c r="BG754" s="41"/>
      <c r="BH754" s="41"/>
      <c r="BJ754" s="41"/>
      <c r="BK754" s="41"/>
      <c r="BL754" s="41"/>
      <c r="BM754" s="41"/>
      <c r="BN754" s="41"/>
      <c r="BO754" s="41"/>
      <c r="BP754" s="41"/>
      <c r="BQ754" s="41"/>
      <c r="BR754" s="41"/>
      <c r="BS754" s="41"/>
      <c r="BT754" s="41"/>
      <c r="BU754" s="41"/>
      <c r="BV754" s="41"/>
      <c r="BW754" s="41">
        <v>1</v>
      </c>
      <c r="BX754" s="41"/>
      <c r="BY754" s="41"/>
      <c r="BZ754" s="41"/>
      <c r="CA754" s="41"/>
      <c r="CB754" s="41"/>
      <c r="CC754" s="41"/>
      <c r="CD754" s="41"/>
      <c r="CE754" s="41"/>
      <c r="CF754" s="41"/>
      <c r="CG754" s="41"/>
      <c r="CH754" s="41"/>
      <c r="CI754" s="41"/>
      <c r="CJ754" s="41"/>
      <c r="CK754" s="41"/>
      <c r="CL754" s="41"/>
      <c r="CM754" s="41"/>
      <c r="CN754" s="41"/>
      <c r="CO754" s="41"/>
      <c r="CP754" s="41"/>
      <c r="CQ754" s="41"/>
      <c r="CR754" s="41"/>
      <c r="CS754" s="41"/>
      <c r="CT754" s="41"/>
      <c r="CU754" s="41"/>
      <c r="CV754" s="41"/>
      <c r="CW754" s="41"/>
      <c r="CX754" s="41"/>
      <c r="CY754" s="41"/>
      <c r="CZ754" s="41"/>
      <c r="DA754" s="41"/>
      <c r="DB754" s="41"/>
      <c r="DC754" s="41"/>
      <c r="DD754" s="41"/>
      <c r="DE754" s="41"/>
      <c r="DF754" s="41"/>
      <c r="DG754" s="41"/>
      <c r="DH754" s="41"/>
      <c r="DI754" s="41"/>
      <c r="DJ754" s="41"/>
      <c r="DK754" s="41"/>
      <c r="DL754" s="41"/>
      <c r="DM754" s="41"/>
      <c r="DN754" s="41"/>
      <c r="DO754" s="41"/>
      <c r="DP754" s="41"/>
      <c r="DQ754" s="41"/>
      <c r="DR754" s="41"/>
      <c r="DS754" s="43"/>
      <c r="DT754" s="44">
        <f t="shared" ref="DT754" si="736">SUM(F754:DR754)</f>
        <v>1</v>
      </c>
    </row>
    <row r="755" spans="2:124" s="13" customFormat="1">
      <c r="B755" s="4">
        <f>'6.1Personnel List'!B756</f>
        <v>743</v>
      </c>
      <c r="C755" s="45" t="s">
        <v>966</v>
      </c>
      <c r="D755" s="45" t="str">
        <f>'6.1Personnel List'!D756</f>
        <v>Administrative Assistant III</v>
      </c>
      <c r="E755" s="45" t="str">
        <f>'6.1Personnel List'!H756</f>
        <v>FT</v>
      </c>
      <c r="G755" s="41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  <c r="AA755" s="41"/>
      <c r="AB755" s="41"/>
      <c r="AC755" s="41"/>
      <c r="AD755" s="41"/>
      <c r="AE755" s="41"/>
      <c r="AF755" s="41"/>
      <c r="AG755" s="41"/>
      <c r="AH755" s="41"/>
      <c r="AI755" s="41"/>
      <c r="AJ755" s="41"/>
      <c r="AK755" s="41"/>
      <c r="AL755" s="41"/>
      <c r="AM755" s="41"/>
      <c r="AN755" s="41"/>
      <c r="AO755" s="41"/>
      <c r="AP755" s="41"/>
      <c r="AQ755" s="41"/>
      <c r="AR755" s="41"/>
      <c r="AS755" s="41"/>
      <c r="AT755" s="41"/>
      <c r="AU755" s="41"/>
      <c r="AV755" s="41"/>
      <c r="AW755" s="41"/>
      <c r="AX755" s="41"/>
      <c r="AY755" s="41"/>
      <c r="AZ755" s="41"/>
      <c r="BA755" s="41"/>
      <c r="BB755" s="41"/>
      <c r="BC755" s="41"/>
      <c r="BD755" s="41"/>
      <c r="BE755" s="41"/>
      <c r="BF755" s="41"/>
      <c r="BG755" s="41"/>
      <c r="BH755" s="41"/>
      <c r="BJ755" s="41"/>
      <c r="BK755" s="41"/>
      <c r="BL755" s="41"/>
      <c r="BM755" s="41"/>
      <c r="BN755" s="41"/>
      <c r="BO755" s="41"/>
      <c r="BP755" s="41"/>
      <c r="BQ755" s="41"/>
      <c r="BR755" s="41"/>
      <c r="BS755" s="41"/>
      <c r="BT755" s="41"/>
      <c r="BU755" s="41"/>
      <c r="BV755" s="41"/>
      <c r="BW755" s="41">
        <v>1</v>
      </c>
      <c r="BX755" s="41"/>
      <c r="BY755" s="41"/>
      <c r="BZ755" s="41"/>
      <c r="CA755" s="41"/>
      <c r="CB755" s="41"/>
      <c r="CC755" s="41"/>
      <c r="CD755" s="41"/>
      <c r="CE755" s="41"/>
      <c r="CF755" s="41"/>
      <c r="CG755" s="41"/>
      <c r="CH755" s="41"/>
      <c r="CI755" s="41"/>
      <c r="CJ755" s="41"/>
      <c r="CK755" s="41"/>
      <c r="CL755" s="41"/>
      <c r="CM755" s="41"/>
      <c r="CN755" s="41"/>
      <c r="CO755" s="41"/>
      <c r="CP755" s="41"/>
      <c r="CQ755" s="41"/>
      <c r="CR755" s="41"/>
      <c r="CS755" s="41"/>
      <c r="CT755" s="41"/>
      <c r="CU755" s="41"/>
      <c r="CV755" s="41"/>
      <c r="CW755" s="41"/>
      <c r="CX755" s="41"/>
      <c r="CY755" s="41"/>
      <c r="CZ755" s="41"/>
      <c r="DA755" s="41"/>
      <c r="DB755" s="41"/>
      <c r="DC755" s="41"/>
      <c r="DD755" s="41"/>
      <c r="DE755" s="41"/>
      <c r="DF755" s="41"/>
      <c r="DG755" s="41"/>
      <c r="DH755" s="41"/>
      <c r="DI755" s="41"/>
      <c r="DJ755" s="41"/>
      <c r="DK755" s="41"/>
      <c r="DL755" s="41"/>
      <c r="DM755" s="41"/>
      <c r="DN755" s="41"/>
      <c r="DO755" s="41"/>
      <c r="DP755" s="41"/>
      <c r="DQ755" s="41"/>
      <c r="DR755" s="41"/>
      <c r="DS755" s="43"/>
      <c r="DT755" s="44">
        <f t="shared" ref="DT755" si="737">SUM(F755:DR755)</f>
        <v>1</v>
      </c>
    </row>
    <row r="756" spans="2:124" s="13" customFormat="1">
      <c r="B756" s="4">
        <f>'6.1Personnel List'!B757</f>
        <v>744</v>
      </c>
      <c r="C756" s="45" t="s">
        <v>967</v>
      </c>
      <c r="D756" s="45" t="str">
        <f>'6.1Personnel List'!D757</f>
        <v>Administrative Assistant II</v>
      </c>
      <c r="E756" s="45" t="str">
        <f>'6.1Personnel List'!H757</f>
        <v>FT</v>
      </c>
      <c r="G756" s="41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  <c r="AA756" s="41"/>
      <c r="AB756" s="41"/>
      <c r="AC756" s="41"/>
      <c r="AD756" s="41"/>
      <c r="AE756" s="41"/>
      <c r="AF756" s="41"/>
      <c r="AG756" s="41"/>
      <c r="AH756" s="41"/>
      <c r="AI756" s="41"/>
      <c r="AJ756" s="41"/>
      <c r="AK756" s="41"/>
      <c r="AL756" s="41"/>
      <c r="AM756" s="41"/>
      <c r="AN756" s="41"/>
      <c r="AO756" s="41"/>
      <c r="AP756" s="41"/>
      <c r="AQ756" s="41"/>
      <c r="AR756" s="41"/>
      <c r="AS756" s="41"/>
      <c r="AT756" s="41"/>
      <c r="AU756" s="41"/>
      <c r="AV756" s="41"/>
      <c r="AW756" s="41"/>
      <c r="AX756" s="41"/>
      <c r="AY756" s="41"/>
      <c r="AZ756" s="41"/>
      <c r="BA756" s="41"/>
      <c r="BB756" s="41"/>
      <c r="BC756" s="41"/>
      <c r="BD756" s="41"/>
      <c r="BE756" s="41"/>
      <c r="BF756" s="41"/>
      <c r="BG756" s="41"/>
      <c r="BH756" s="41"/>
      <c r="BJ756" s="41"/>
      <c r="BK756" s="41"/>
      <c r="BL756" s="41"/>
      <c r="BM756" s="41"/>
      <c r="BN756" s="41"/>
      <c r="BO756" s="41"/>
      <c r="BP756" s="41"/>
      <c r="BQ756" s="41"/>
      <c r="BR756" s="41"/>
      <c r="BS756" s="41"/>
      <c r="BT756" s="41"/>
      <c r="BU756" s="41"/>
      <c r="BV756" s="41"/>
      <c r="BW756" s="41">
        <v>1</v>
      </c>
      <c r="BX756" s="41"/>
      <c r="BY756" s="41"/>
      <c r="BZ756" s="41"/>
      <c r="CA756" s="41"/>
      <c r="CB756" s="41"/>
      <c r="CC756" s="41"/>
      <c r="CD756" s="41"/>
      <c r="CE756" s="41"/>
      <c r="CF756" s="41"/>
      <c r="CG756" s="41"/>
      <c r="CH756" s="41"/>
      <c r="CI756" s="41"/>
      <c r="CJ756" s="41"/>
      <c r="CK756" s="41"/>
      <c r="CL756" s="41"/>
      <c r="CM756" s="41"/>
      <c r="CN756" s="41"/>
      <c r="CO756" s="41"/>
      <c r="CP756" s="41"/>
      <c r="CQ756" s="41"/>
      <c r="CR756" s="41"/>
      <c r="CS756" s="41"/>
      <c r="CT756" s="41"/>
      <c r="CU756" s="41"/>
      <c r="CV756" s="41"/>
      <c r="CW756" s="41"/>
      <c r="CX756" s="41"/>
      <c r="CY756" s="41"/>
      <c r="CZ756" s="41"/>
      <c r="DA756" s="41"/>
      <c r="DB756" s="41"/>
      <c r="DC756" s="41"/>
      <c r="DD756" s="41"/>
      <c r="DE756" s="41"/>
      <c r="DF756" s="41"/>
      <c r="DG756" s="41"/>
      <c r="DH756" s="41"/>
      <c r="DI756" s="41"/>
      <c r="DJ756" s="41"/>
      <c r="DK756" s="41"/>
      <c r="DL756" s="41"/>
      <c r="DM756" s="41"/>
      <c r="DN756" s="41"/>
      <c r="DO756" s="41"/>
      <c r="DP756" s="41"/>
      <c r="DQ756" s="41"/>
      <c r="DR756" s="41"/>
      <c r="DS756" s="43"/>
      <c r="DT756" s="44">
        <f t="shared" ref="DT756" si="738">SUM(F756:DR756)</f>
        <v>1</v>
      </c>
    </row>
    <row r="757" spans="2:124" s="13" customFormat="1">
      <c r="B757" s="4">
        <f>'6.1Personnel List'!B758</f>
        <v>745</v>
      </c>
      <c r="C757" s="45" t="s">
        <v>968</v>
      </c>
      <c r="D757" s="45" t="str">
        <f>'6.1Personnel List'!D758</f>
        <v>Administrative Assistant II</v>
      </c>
      <c r="E757" s="45" t="str">
        <f>'6.1Personnel List'!H758</f>
        <v>FT</v>
      </c>
      <c r="G757" s="41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  <c r="AA757" s="41"/>
      <c r="AB757" s="41"/>
      <c r="AC757" s="41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1"/>
      <c r="AP757" s="41"/>
      <c r="AQ757" s="41"/>
      <c r="AR757" s="41"/>
      <c r="AS757" s="41"/>
      <c r="AT757" s="41"/>
      <c r="AU757" s="41"/>
      <c r="AV757" s="41"/>
      <c r="AW757" s="41"/>
      <c r="AX757" s="41"/>
      <c r="AY757" s="41"/>
      <c r="AZ757" s="41"/>
      <c r="BA757" s="41"/>
      <c r="BB757" s="41"/>
      <c r="BC757" s="41"/>
      <c r="BD757" s="41"/>
      <c r="BE757" s="41"/>
      <c r="BF757" s="41"/>
      <c r="BG757" s="41"/>
      <c r="BH757" s="41"/>
      <c r="BJ757" s="41"/>
      <c r="BK757" s="41"/>
      <c r="BL757" s="41"/>
      <c r="BM757" s="41"/>
      <c r="BN757" s="41"/>
      <c r="BO757" s="41"/>
      <c r="BP757" s="41"/>
      <c r="BQ757" s="41"/>
      <c r="BR757" s="41"/>
      <c r="BS757" s="41"/>
      <c r="BT757" s="41"/>
      <c r="BU757" s="41"/>
      <c r="BV757" s="41"/>
      <c r="BW757" s="41">
        <v>1</v>
      </c>
      <c r="BX757" s="41"/>
      <c r="BY757" s="41"/>
      <c r="BZ757" s="41"/>
      <c r="CA757" s="41"/>
      <c r="CB757" s="41"/>
      <c r="CC757" s="41"/>
      <c r="CD757" s="41"/>
      <c r="CE757" s="41"/>
      <c r="CF757" s="41"/>
      <c r="CG757" s="41"/>
      <c r="CH757" s="41"/>
      <c r="CI757" s="41"/>
      <c r="CJ757" s="41"/>
      <c r="CK757" s="41"/>
      <c r="CL757" s="41"/>
      <c r="CM757" s="41"/>
      <c r="CN757" s="41"/>
      <c r="CO757" s="41"/>
      <c r="CP757" s="41"/>
      <c r="CQ757" s="41"/>
      <c r="CR757" s="41"/>
      <c r="CS757" s="41"/>
      <c r="CT757" s="41"/>
      <c r="CU757" s="41"/>
      <c r="CV757" s="41"/>
      <c r="CW757" s="41"/>
      <c r="CX757" s="41"/>
      <c r="CY757" s="41"/>
      <c r="CZ757" s="41"/>
      <c r="DA757" s="41"/>
      <c r="DB757" s="41"/>
      <c r="DC757" s="41"/>
      <c r="DD757" s="41"/>
      <c r="DE757" s="41"/>
      <c r="DF757" s="41"/>
      <c r="DG757" s="41"/>
      <c r="DH757" s="41"/>
      <c r="DI757" s="41"/>
      <c r="DJ757" s="41"/>
      <c r="DK757" s="41"/>
      <c r="DL757" s="41"/>
      <c r="DM757" s="41"/>
      <c r="DN757" s="41"/>
      <c r="DO757" s="41"/>
      <c r="DP757" s="41"/>
      <c r="DQ757" s="41"/>
      <c r="DR757" s="41"/>
      <c r="DS757" s="43"/>
      <c r="DT757" s="44">
        <f t="shared" ref="DT757" si="739">SUM(F757:DR757)</f>
        <v>1</v>
      </c>
    </row>
    <row r="758" spans="2:124" s="13" customFormat="1">
      <c r="B758" s="4">
        <f>'6.1Personnel List'!B759</f>
        <v>746</v>
      </c>
      <c r="C758" s="45" t="s">
        <v>969</v>
      </c>
      <c r="D758" s="45" t="str">
        <f>'6.1Personnel List'!D759</f>
        <v>Administrative Assistant I</v>
      </c>
      <c r="E758" s="45" t="str">
        <f>'6.1Personnel List'!H759</f>
        <v>FT</v>
      </c>
      <c r="G758" s="41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  <c r="AA758" s="41"/>
      <c r="AB758" s="41"/>
      <c r="AC758" s="41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1"/>
      <c r="AP758" s="41"/>
      <c r="AQ758" s="41"/>
      <c r="AR758" s="41"/>
      <c r="AS758" s="41"/>
      <c r="AT758" s="41"/>
      <c r="AU758" s="41"/>
      <c r="AV758" s="41"/>
      <c r="AW758" s="41"/>
      <c r="AX758" s="41"/>
      <c r="AY758" s="41"/>
      <c r="AZ758" s="41"/>
      <c r="BA758" s="41"/>
      <c r="BB758" s="41"/>
      <c r="BC758" s="41"/>
      <c r="BD758" s="41"/>
      <c r="BE758" s="41"/>
      <c r="BF758" s="41"/>
      <c r="BG758" s="41"/>
      <c r="BH758" s="41"/>
      <c r="BJ758" s="41"/>
      <c r="BK758" s="41"/>
      <c r="BL758" s="41"/>
      <c r="BM758" s="41"/>
      <c r="BN758" s="41"/>
      <c r="BO758" s="41"/>
      <c r="BP758" s="41"/>
      <c r="BQ758" s="41"/>
      <c r="BR758" s="41"/>
      <c r="BS758" s="41"/>
      <c r="BT758" s="41"/>
      <c r="BU758" s="41"/>
      <c r="BV758" s="41"/>
      <c r="BW758" s="41">
        <v>1</v>
      </c>
      <c r="BX758" s="41"/>
      <c r="BY758" s="41"/>
      <c r="BZ758" s="41"/>
      <c r="CA758" s="41"/>
      <c r="CB758" s="41"/>
      <c r="CC758" s="41"/>
      <c r="CD758" s="41"/>
      <c r="CE758" s="41"/>
      <c r="CF758" s="41"/>
      <c r="CG758" s="41"/>
      <c r="CH758" s="41"/>
      <c r="CI758" s="41"/>
      <c r="CJ758" s="41"/>
      <c r="CK758" s="41"/>
      <c r="CL758" s="41"/>
      <c r="CM758" s="41"/>
      <c r="CN758" s="41"/>
      <c r="CO758" s="41"/>
      <c r="CP758" s="41"/>
      <c r="CQ758" s="41"/>
      <c r="CR758" s="41"/>
      <c r="CS758" s="41"/>
      <c r="CT758" s="41"/>
      <c r="CU758" s="41"/>
      <c r="CV758" s="41"/>
      <c r="CW758" s="41"/>
      <c r="CX758" s="41"/>
      <c r="CY758" s="41"/>
      <c r="CZ758" s="41"/>
      <c r="DA758" s="41"/>
      <c r="DB758" s="41"/>
      <c r="DC758" s="41"/>
      <c r="DD758" s="41"/>
      <c r="DE758" s="41"/>
      <c r="DF758" s="41"/>
      <c r="DG758" s="41"/>
      <c r="DH758" s="41"/>
      <c r="DI758" s="41"/>
      <c r="DJ758" s="41"/>
      <c r="DK758" s="41"/>
      <c r="DL758" s="41"/>
      <c r="DM758" s="41"/>
      <c r="DN758" s="41"/>
      <c r="DO758" s="41"/>
      <c r="DP758" s="41"/>
      <c r="DQ758" s="41"/>
      <c r="DR758" s="41"/>
      <c r="DS758" s="43"/>
      <c r="DT758" s="44">
        <f t="shared" ref="DT758" si="740">SUM(F758:DR758)</f>
        <v>1</v>
      </c>
    </row>
    <row r="759" spans="2:124" s="13" customFormat="1">
      <c r="B759" s="4">
        <f>'6.1Personnel List'!B760</f>
        <v>747</v>
      </c>
      <c r="C759" s="45" t="s">
        <v>970</v>
      </c>
      <c r="D759" s="45" t="str">
        <f>'6.1Personnel List'!D760</f>
        <v>Administrative Aide III</v>
      </c>
      <c r="E759" s="45" t="str">
        <f>'6.1Personnel List'!H760</f>
        <v>FT</v>
      </c>
      <c r="G759" s="41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  <c r="AA759" s="41"/>
      <c r="AB759" s="41"/>
      <c r="AC759" s="41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1"/>
      <c r="AP759" s="41"/>
      <c r="AQ759" s="41"/>
      <c r="AR759" s="41"/>
      <c r="AS759" s="41"/>
      <c r="AT759" s="41"/>
      <c r="AU759" s="41"/>
      <c r="AV759" s="41"/>
      <c r="AW759" s="41"/>
      <c r="AX759" s="41"/>
      <c r="AY759" s="41"/>
      <c r="AZ759" s="41"/>
      <c r="BA759" s="41"/>
      <c r="BB759" s="41"/>
      <c r="BC759" s="41"/>
      <c r="BD759" s="41"/>
      <c r="BE759" s="41"/>
      <c r="BF759" s="41"/>
      <c r="BG759" s="41"/>
      <c r="BH759" s="41"/>
      <c r="BJ759" s="41"/>
      <c r="BK759" s="41"/>
      <c r="BL759" s="41"/>
      <c r="BM759" s="41"/>
      <c r="BN759" s="41"/>
      <c r="BO759" s="41"/>
      <c r="BP759" s="41"/>
      <c r="BQ759" s="41"/>
      <c r="BR759" s="41"/>
      <c r="BS759" s="41"/>
      <c r="BT759" s="41"/>
      <c r="BU759" s="41"/>
      <c r="BV759" s="41"/>
      <c r="BW759" s="41">
        <v>1</v>
      </c>
      <c r="BX759" s="41"/>
      <c r="BY759" s="41"/>
      <c r="BZ759" s="41"/>
      <c r="CA759" s="41"/>
      <c r="CB759" s="41"/>
      <c r="CC759" s="41"/>
      <c r="CD759" s="41"/>
      <c r="CE759" s="41"/>
      <c r="CF759" s="41"/>
      <c r="CG759" s="41"/>
      <c r="CH759" s="41"/>
      <c r="CI759" s="41"/>
      <c r="CJ759" s="41"/>
      <c r="CK759" s="41"/>
      <c r="CL759" s="41"/>
      <c r="CM759" s="41"/>
      <c r="CN759" s="41"/>
      <c r="CO759" s="41"/>
      <c r="CP759" s="41"/>
      <c r="CQ759" s="41"/>
      <c r="CR759" s="41"/>
      <c r="CS759" s="41"/>
      <c r="CT759" s="41"/>
      <c r="CU759" s="41"/>
      <c r="CV759" s="41"/>
      <c r="CW759" s="41"/>
      <c r="CX759" s="41"/>
      <c r="CY759" s="41"/>
      <c r="CZ759" s="41"/>
      <c r="DA759" s="41"/>
      <c r="DB759" s="41"/>
      <c r="DC759" s="41"/>
      <c r="DD759" s="41"/>
      <c r="DE759" s="41"/>
      <c r="DF759" s="41"/>
      <c r="DG759" s="41"/>
      <c r="DH759" s="41"/>
      <c r="DI759" s="41"/>
      <c r="DJ759" s="41"/>
      <c r="DK759" s="41"/>
      <c r="DL759" s="41"/>
      <c r="DM759" s="41"/>
      <c r="DN759" s="41"/>
      <c r="DO759" s="41"/>
      <c r="DP759" s="41"/>
      <c r="DQ759" s="41"/>
      <c r="DR759" s="41"/>
      <c r="DS759" s="43"/>
      <c r="DT759" s="44">
        <f t="shared" ref="DT759" si="741">SUM(F759:DR759)</f>
        <v>1</v>
      </c>
    </row>
    <row r="760" spans="2:124" s="13" customFormat="1">
      <c r="B760" s="4">
        <f>'6.1Personnel List'!B761</f>
        <v>748</v>
      </c>
      <c r="C760" s="45" t="s">
        <v>971</v>
      </c>
      <c r="D760" s="45" t="str">
        <f>'6.1Personnel List'!D761</f>
        <v>Administrative Aide I</v>
      </c>
      <c r="E760" s="45" t="str">
        <f>'6.1Personnel List'!H761</f>
        <v>FT</v>
      </c>
      <c r="G760" s="41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  <c r="AA760" s="41"/>
      <c r="AB760" s="41"/>
      <c r="AC760" s="41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1"/>
      <c r="AP760" s="41"/>
      <c r="AQ760" s="41"/>
      <c r="AR760" s="41"/>
      <c r="AS760" s="41"/>
      <c r="AT760" s="41"/>
      <c r="AU760" s="41"/>
      <c r="AV760" s="41"/>
      <c r="AW760" s="41"/>
      <c r="AX760" s="41"/>
      <c r="AY760" s="41"/>
      <c r="AZ760" s="41"/>
      <c r="BA760" s="41"/>
      <c r="BB760" s="41"/>
      <c r="BC760" s="41"/>
      <c r="BD760" s="41"/>
      <c r="BE760" s="41"/>
      <c r="BF760" s="41"/>
      <c r="BG760" s="41"/>
      <c r="BH760" s="41"/>
      <c r="BJ760" s="41"/>
      <c r="BK760" s="41"/>
      <c r="BL760" s="41"/>
      <c r="BM760" s="41"/>
      <c r="BN760" s="41"/>
      <c r="BO760" s="41"/>
      <c r="BP760" s="41"/>
      <c r="BQ760" s="41"/>
      <c r="BR760" s="41"/>
      <c r="BS760" s="41"/>
      <c r="BT760" s="41"/>
      <c r="BU760" s="41"/>
      <c r="BV760" s="41"/>
      <c r="BW760" s="41">
        <v>1</v>
      </c>
      <c r="BX760" s="41"/>
      <c r="BY760" s="41"/>
      <c r="BZ760" s="41"/>
      <c r="CA760" s="41"/>
      <c r="CB760" s="41"/>
      <c r="CC760" s="41"/>
      <c r="CD760" s="41"/>
      <c r="CE760" s="41"/>
      <c r="CF760" s="41"/>
      <c r="CG760" s="41"/>
      <c r="CH760" s="41"/>
      <c r="CI760" s="41"/>
      <c r="CJ760" s="41"/>
      <c r="CK760" s="41"/>
      <c r="CL760" s="41"/>
      <c r="CM760" s="41"/>
      <c r="CN760" s="41"/>
      <c r="CO760" s="41"/>
      <c r="CP760" s="41"/>
      <c r="CQ760" s="41"/>
      <c r="CR760" s="41"/>
      <c r="CS760" s="41"/>
      <c r="CT760" s="41"/>
      <c r="CU760" s="41"/>
      <c r="CV760" s="41"/>
      <c r="CW760" s="41"/>
      <c r="CX760" s="41"/>
      <c r="CY760" s="41"/>
      <c r="CZ760" s="41"/>
      <c r="DA760" s="41"/>
      <c r="DB760" s="41"/>
      <c r="DC760" s="41"/>
      <c r="DD760" s="41"/>
      <c r="DE760" s="41"/>
      <c r="DF760" s="41"/>
      <c r="DG760" s="41"/>
      <c r="DH760" s="41"/>
      <c r="DI760" s="41"/>
      <c r="DJ760" s="41"/>
      <c r="DK760" s="41"/>
      <c r="DL760" s="41"/>
      <c r="DM760" s="41"/>
      <c r="DN760" s="41"/>
      <c r="DO760" s="41"/>
      <c r="DP760" s="41"/>
      <c r="DQ760" s="41"/>
      <c r="DR760" s="41"/>
      <c r="DS760" s="43"/>
      <c r="DT760" s="44">
        <f t="shared" ref="DT760" si="742">SUM(F760:DR760)</f>
        <v>1</v>
      </c>
    </row>
    <row r="761" spans="2:124" s="13" customFormat="1">
      <c r="B761" s="4">
        <f>'6.1Personnel List'!B762</f>
        <v>749</v>
      </c>
      <c r="C761" s="45" t="s">
        <v>972</v>
      </c>
      <c r="D761" s="45" t="str">
        <f>'6.1Personnel List'!D762</f>
        <v>Administrative Aide I</v>
      </c>
      <c r="E761" s="45" t="str">
        <f>'6.1Personnel List'!H762</f>
        <v>FT</v>
      </c>
      <c r="G761" s="41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  <c r="AA761" s="41"/>
      <c r="AB761" s="41"/>
      <c r="AC761" s="41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1"/>
      <c r="AP761" s="41"/>
      <c r="AQ761" s="41"/>
      <c r="AR761" s="41"/>
      <c r="AS761" s="41"/>
      <c r="AT761" s="41"/>
      <c r="AU761" s="41"/>
      <c r="AV761" s="41"/>
      <c r="AW761" s="41"/>
      <c r="AX761" s="41"/>
      <c r="AY761" s="41"/>
      <c r="AZ761" s="41"/>
      <c r="BA761" s="41"/>
      <c r="BB761" s="41"/>
      <c r="BC761" s="41"/>
      <c r="BD761" s="41"/>
      <c r="BE761" s="41"/>
      <c r="BF761" s="41"/>
      <c r="BG761" s="41"/>
      <c r="BH761" s="41"/>
      <c r="BJ761" s="41"/>
      <c r="BK761" s="41"/>
      <c r="BL761" s="41"/>
      <c r="BM761" s="41"/>
      <c r="BN761" s="41"/>
      <c r="BO761" s="41"/>
      <c r="BP761" s="41"/>
      <c r="BQ761" s="41"/>
      <c r="BR761" s="41"/>
      <c r="BS761" s="41"/>
      <c r="BT761" s="41"/>
      <c r="BU761" s="41"/>
      <c r="BV761" s="41"/>
      <c r="BW761" s="41">
        <v>1</v>
      </c>
      <c r="BX761" s="41"/>
      <c r="BY761" s="41"/>
      <c r="BZ761" s="41"/>
      <c r="CA761" s="41"/>
      <c r="CB761" s="41"/>
      <c r="CC761" s="41"/>
      <c r="CD761" s="41"/>
      <c r="CE761" s="41"/>
      <c r="CF761" s="41"/>
      <c r="CG761" s="41"/>
      <c r="CH761" s="41"/>
      <c r="CI761" s="41"/>
      <c r="CJ761" s="41"/>
      <c r="CK761" s="41"/>
      <c r="CL761" s="41"/>
      <c r="CM761" s="41"/>
      <c r="CN761" s="41"/>
      <c r="CO761" s="41"/>
      <c r="CP761" s="41"/>
      <c r="CQ761" s="41"/>
      <c r="CR761" s="41"/>
      <c r="CS761" s="41"/>
      <c r="CT761" s="41"/>
      <c r="CU761" s="41"/>
      <c r="CV761" s="41"/>
      <c r="CW761" s="41"/>
      <c r="CX761" s="41"/>
      <c r="CY761" s="41"/>
      <c r="CZ761" s="41"/>
      <c r="DA761" s="41"/>
      <c r="DB761" s="41"/>
      <c r="DC761" s="41"/>
      <c r="DD761" s="41"/>
      <c r="DE761" s="41"/>
      <c r="DF761" s="41"/>
      <c r="DG761" s="41"/>
      <c r="DH761" s="41"/>
      <c r="DI761" s="41"/>
      <c r="DJ761" s="41"/>
      <c r="DK761" s="41"/>
      <c r="DL761" s="41"/>
      <c r="DM761" s="41"/>
      <c r="DN761" s="41"/>
      <c r="DO761" s="41"/>
      <c r="DP761" s="41"/>
      <c r="DQ761" s="41"/>
      <c r="DR761" s="41"/>
      <c r="DS761" s="43"/>
      <c r="DT761" s="44">
        <f t="shared" ref="DT761" si="743">SUM(F761:DR761)</f>
        <v>1</v>
      </c>
    </row>
    <row r="762" spans="2:124" s="13" customFormat="1">
      <c r="B762" s="4">
        <f>'6.1Personnel List'!B763</f>
        <v>750</v>
      </c>
      <c r="C762" s="45" t="s">
        <v>973</v>
      </c>
      <c r="D762" s="45" t="str">
        <f>'6.1Personnel List'!D763</f>
        <v>Administrative Aide I</v>
      </c>
      <c r="E762" s="45" t="str">
        <f>'6.1Personnel List'!H763</f>
        <v>FT</v>
      </c>
      <c r="G762" s="41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  <c r="AA762" s="41"/>
      <c r="AB762" s="41"/>
      <c r="AC762" s="41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1"/>
      <c r="AP762" s="41"/>
      <c r="AQ762" s="41"/>
      <c r="AR762" s="41"/>
      <c r="AS762" s="41"/>
      <c r="AT762" s="41"/>
      <c r="AU762" s="41"/>
      <c r="AV762" s="41"/>
      <c r="AW762" s="41"/>
      <c r="AX762" s="41"/>
      <c r="AY762" s="41"/>
      <c r="AZ762" s="41"/>
      <c r="BA762" s="41"/>
      <c r="BB762" s="41"/>
      <c r="BC762" s="41"/>
      <c r="BD762" s="41"/>
      <c r="BE762" s="41"/>
      <c r="BF762" s="41"/>
      <c r="BG762" s="41"/>
      <c r="BH762" s="41"/>
      <c r="BJ762" s="41"/>
      <c r="BK762" s="41"/>
      <c r="BL762" s="41"/>
      <c r="BM762" s="41"/>
      <c r="BN762" s="41"/>
      <c r="BO762" s="41"/>
      <c r="BP762" s="41"/>
      <c r="BQ762" s="41"/>
      <c r="BR762" s="41"/>
      <c r="BS762" s="41"/>
      <c r="BT762" s="41"/>
      <c r="BU762" s="41"/>
      <c r="BV762" s="41"/>
      <c r="BW762" s="41">
        <v>1</v>
      </c>
      <c r="BX762" s="41"/>
      <c r="BY762" s="41"/>
      <c r="BZ762" s="41"/>
      <c r="CA762" s="41"/>
      <c r="CB762" s="41"/>
      <c r="CC762" s="41"/>
      <c r="CD762" s="41"/>
      <c r="CE762" s="41"/>
      <c r="CF762" s="41"/>
      <c r="CG762" s="41"/>
      <c r="CH762" s="41"/>
      <c r="CI762" s="41"/>
      <c r="CJ762" s="41"/>
      <c r="CK762" s="41"/>
      <c r="CL762" s="41"/>
      <c r="CM762" s="41"/>
      <c r="CN762" s="41"/>
      <c r="CO762" s="41"/>
      <c r="CP762" s="41"/>
      <c r="CQ762" s="41"/>
      <c r="CR762" s="41"/>
      <c r="CS762" s="41"/>
      <c r="CT762" s="41"/>
      <c r="CU762" s="41"/>
      <c r="CV762" s="41"/>
      <c r="CW762" s="41"/>
      <c r="CX762" s="41"/>
      <c r="CY762" s="41"/>
      <c r="CZ762" s="41"/>
      <c r="DA762" s="41"/>
      <c r="DB762" s="41"/>
      <c r="DC762" s="41"/>
      <c r="DD762" s="41"/>
      <c r="DE762" s="41"/>
      <c r="DF762" s="41"/>
      <c r="DG762" s="41"/>
      <c r="DH762" s="41"/>
      <c r="DI762" s="41"/>
      <c r="DJ762" s="41"/>
      <c r="DK762" s="41"/>
      <c r="DL762" s="41"/>
      <c r="DM762" s="41"/>
      <c r="DN762" s="41"/>
      <c r="DO762" s="41"/>
      <c r="DP762" s="41"/>
      <c r="DQ762" s="41"/>
      <c r="DR762" s="41"/>
      <c r="DS762" s="43"/>
      <c r="DT762" s="44">
        <f t="shared" ref="DT762" si="744">SUM(F762:DR762)</f>
        <v>1</v>
      </c>
    </row>
    <row r="763" spans="2:124" s="13" customFormat="1">
      <c r="B763" s="4">
        <f>'6.1Personnel List'!B764</f>
        <v>751</v>
      </c>
      <c r="C763" s="45" t="s">
        <v>974</v>
      </c>
      <c r="D763" s="45" t="str">
        <f>'6.1Personnel List'!D764</f>
        <v>Job Order</v>
      </c>
      <c r="E763" s="45" t="str">
        <f>'6.1Personnel List'!H764</f>
        <v>FT</v>
      </c>
      <c r="G763" s="41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  <c r="AA763" s="41"/>
      <c r="AB763" s="41"/>
      <c r="AC763" s="41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1"/>
      <c r="AP763" s="41"/>
      <c r="AQ763" s="41"/>
      <c r="AR763" s="41"/>
      <c r="AS763" s="41"/>
      <c r="AT763" s="41"/>
      <c r="AU763" s="41"/>
      <c r="AV763" s="41"/>
      <c r="AW763" s="41"/>
      <c r="AX763" s="41"/>
      <c r="AY763" s="41"/>
      <c r="AZ763" s="41"/>
      <c r="BA763" s="41"/>
      <c r="BB763" s="41"/>
      <c r="BC763" s="41"/>
      <c r="BD763" s="41"/>
      <c r="BE763" s="41"/>
      <c r="BF763" s="41"/>
      <c r="BG763" s="41"/>
      <c r="BH763" s="41"/>
      <c r="BJ763" s="41"/>
      <c r="BK763" s="41"/>
      <c r="BL763" s="41"/>
      <c r="BM763" s="41"/>
      <c r="BN763" s="41"/>
      <c r="BO763" s="41"/>
      <c r="BP763" s="41"/>
      <c r="BQ763" s="41"/>
      <c r="BR763" s="41"/>
      <c r="BS763" s="41"/>
      <c r="BT763" s="41"/>
      <c r="BU763" s="41"/>
      <c r="BV763" s="41"/>
      <c r="BW763" s="41">
        <v>1</v>
      </c>
      <c r="BX763" s="41"/>
      <c r="BY763" s="41"/>
      <c r="BZ763" s="41"/>
      <c r="CA763" s="41"/>
      <c r="CB763" s="41"/>
      <c r="CC763" s="41"/>
      <c r="CD763" s="41"/>
      <c r="CE763" s="41"/>
      <c r="CF763" s="41"/>
      <c r="CG763" s="41"/>
      <c r="CH763" s="41"/>
      <c r="CI763" s="41"/>
      <c r="CJ763" s="41"/>
      <c r="CK763" s="41"/>
      <c r="CL763" s="41"/>
      <c r="CM763" s="41"/>
      <c r="CN763" s="41"/>
      <c r="CO763" s="41"/>
      <c r="CP763" s="41"/>
      <c r="CQ763" s="41"/>
      <c r="CR763" s="41"/>
      <c r="CS763" s="41"/>
      <c r="CT763" s="41"/>
      <c r="CU763" s="41"/>
      <c r="CV763" s="41"/>
      <c r="CW763" s="41"/>
      <c r="CX763" s="41"/>
      <c r="CY763" s="41"/>
      <c r="CZ763" s="41"/>
      <c r="DA763" s="41"/>
      <c r="DB763" s="41"/>
      <c r="DC763" s="41"/>
      <c r="DD763" s="41"/>
      <c r="DE763" s="41"/>
      <c r="DF763" s="41"/>
      <c r="DG763" s="41"/>
      <c r="DH763" s="41"/>
      <c r="DI763" s="41"/>
      <c r="DJ763" s="41"/>
      <c r="DK763" s="41"/>
      <c r="DL763" s="41"/>
      <c r="DM763" s="41"/>
      <c r="DN763" s="41"/>
      <c r="DO763" s="41"/>
      <c r="DP763" s="41"/>
      <c r="DQ763" s="41"/>
      <c r="DR763" s="41"/>
      <c r="DS763" s="43"/>
      <c r="DT763" s="44">
        <f t="shared" ref="DT763" si="745">SUM(F763:DR763)</f>
        <v>1</v>
      </c>
    </row>
    <row r="764" spans="2:124" s="13" customFormat="1">
      <c r="B764" s="4">
        <f>'6.1Personnel List'!B765</f>
        <v>752</v>
      </c>
      <c r="C764" s="45" t="s">
        <v>976</v>
      </c>
      <c r="D764" s="45" t="str">
        <f>'6.1Personnel List'!D765</f>
        <v>Nurse VII</v>
      </c>
      <c r="E764" s="45" t="str">
        <f>'6.1Personnel List'!H765</f>
        <v>FT</v>
      </c>
      <c r="G764" s="41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  <c r="AA764" s="41"/>
      <c r="AB764" s="41"/>
      <c r="AC764" s="41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1"/>
      <c r="AP764" s="41"/>
      <c r="AQ764" s="41"/>
      <c r="AR764" s="41"/>
      <c r="AS764" s="41"/>
      <c r="AT764" s="41"/>
      <c r="AU764" s="41"/>
      <c r="AV764" s="41"/>
      <c r="AW764" s="41"/>
      <c r="AX764" s="41"/>
      <c r="AY764" s="41"/>
      <c r="AZ764" s="41"/>
      <c r="BA764" s="41"/>
      <c r="BB764" s="41"/>
      <c r="BC764" s="41"/>
      <c r="BD764" s="41"/>
      <c r="BE764" s="41"/>
      <c r="BF764" s="41"/>
      <c r="BG764" s="41"/>
      <c r="BH764" s="41"/>
      <c r="BJ764" s="41"/>
      <c r="BK764" s="41"/>
      <c r="BL764" s="41"/>
      <c r="BM764" s="41"/>
      <c r="BN764" s="41"/>
      <c r="BO764" s="41"/>
      <c r="BP764" s="41"/>
      <c r="BQ764" s="41"/>
      <c r="BR764" s="41"/>
      <c r="BS764" s="41"/>
      <c r="BT764" s="41">
        <v>1</v>
      </c>
      <c r="BU764" s="41"/>
      <c r="BV764" s="41"/>
      <c r="BW764" s="41"/>
      <c r="BX764" s="41"/>
      <c r="BY764" s="41"/>
      <c r="BZ764" s="41"/>
      <c r="CA764" s="41"/>
      <c r="CB764" s="41"/>
      <c r="CC764" s="41"/>
      <c r="CD764" s="41"/>
      <c r="CE764" s="41"/>
      <c r="CF764" s="41"/>
      <c r="CG764" s="41"/>
      <c r="CH764" s="41"/>
      <c r="CI764" s="41"/>
      <c r="CJ764" s="41"/>
      <c r="CK764" s="41"/>
      <c r="CL764" s="41"/>
      <c r="CM764" s="41"/>
      <c r="CN764" s="41"/>
      <c r="CO764" s="41"/>
      <c r="CP764" s="41"/>
      <c r="CQ764" s="41"/>
      <c r="CR764" s="41"/>
      <c r="CS764" s="41"/>
      <c r="CT764" s="41"/>
      <c r="CU764" s="41"/>
      <c r="CV764" s="41"/>
      <c r="CW764" s="41"/>
      <c r="CX764" s="41"/>
      <c r="CY764" s="41"/>
      <c r="CZ764" s="41"/>
      <c r="DA764" s="41"/>
      <c r="DB764" s="41"/>
      <c r="DC764" s="41"/>
      <c r="DD764" s="41"/>
      <c r="DE764" s="41"/>
      <c r="DF764" s="41"/>
      <c r="DG764" s="41"/>
      <c r="DH764" s="41"/>
      <c r="DI764" s="41"/>
      <c r="DJ764" s="41"/>
      <c r="DK764" s="41"/>
      <c r="DL764" s="41"/>
      <c r="DM764" s="41"/>
      <c r="DN764" s="41"/>
      <c r="DO764" s="41"/>
      <c r="DP764" s="41"/>
      <c r="DQ764" s="41"/>
      <c r="DR764" s="41"/>
      <c r="DS764" s="43"/>
      <c r="DT764" s="44">
        <f t="shared" ref="DT764" si="746">SUM(F764:DR764)</f>
        <v>1</v>
      </c>
    </row>
    <row r="765" spans="2:124" s="13" customFormat="1">
      <c r="B765" s="4">
        <f>'6.1Personnel List'!B766</f>
        <v>753</v>
      </c>
      <c r="C765" s="45" t="s">
        <v>978</v>
      </c>
      <c r="D765" s="45" t="str">
        <f>'6.1Personnel List'!D766</f>
        <v>Nurse VI</v>
      </c>
      <c r="E765" s="45" t="str">
        <f>'6.1Personnel List'!H766</f>
        <v>FT</v>
      </c>
      <c r="G765" s="41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  <c r="AA765" s="41"/>
      <c r="AB765" s="41"/>
      <c r="AC765" s="41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1"/>
      <c r="AP765" s="41"/>
      <c r="AQ765" s="41"/>
      <c r="AR765" s="41"/>
      <c r="AS765" s="41"/>
      <c r="AT765" s="41"/>
      <c r="AU765" s="41"/>
      <c r="AV765" s="41"/>
      <c r="AW765" s="41"/>
      <c r="AX765" s="41"/>
      <c r="AY765" s="41"/>
      <c r="AZ765" s="41"/>
      <c r="BA765" s="41"/>
      <c r="BB765" s="41"/>
      <c r="BC765" s="41"/>
      <c r="BD765" s="41"/>
      <c r="BE765" s="41"/>
      <c r="BF765" s="41"/>
      <c r="BG765" s="41"/>
      <c r="BH765" s="41"/>
      <c r="BJ765" s="41"/>
      <c r="BK765" s="41"/>
      <c r="BL765" s="41"/>
      <c r="BM765" s="41"/>
      <c r="BN765" s="41"/>
      <c r="BO765" s="41"/>
      <c r="BP765" s="41"/>
      <c r="BQ765" s="41"/>
      <c r="BR765" s="41"/>
      <c r="BS765" s="41"/>
      <c r="BT765" s="41">
        <v>1</v>
      </c>
      <c r="BU765" s="41"/>
      <c r="BV765" s="41"/>
      <c r="BW765" s="41"/>
      <c r="BX765" s="41"/>
      <c r="BY765" s="41"/>
      <c r="BZ765" s="41"/>
      <c r="CA765" s="41"/>
      <c r="CB765" s="41"/>
      <c r="CC765" s="41"/>
      <c r="CD765" s="41"/>
      <c r="CE765" s="41"/>
      <c r="CF765" s="41"/>
      <c r="CG765" s="41"/>
      <c r="CH765" s="41"/>
      <c r="CI765" s="41"/>
      <c r="CJ765" s="41"/>
      <c r="CK765" s="41"/>
      <c r="CL765" s="41"/>
      <c r="CM765" s="41"/>
      <c r="CN765" s="41"/>
      <c r="CO765" s="41"/>
      <c r="CP765" s="41"/>
      <c r="CQ765" s="41"/>
      <c r="CR765" s="41"/>
      <c r="CS765" s="41"/>
      <c r="CT765" s="41"/>
      <c r="CU765" s="41"/>
      <c r="CV765" s="41"/>
      <c r="CW765" s="41"/>
      <c r="CX765" s="41"/>
      <c r="CY765" s="41"/>
      <c r="CZ765" s="41"/>
      <c r="DA765" s="41"/>
      <c r="DB765" s="41"/>
      <c r="DC765" s="41"/>
      <c r="DD765" s="41"/>
      <c r="DE765" s="41"/>
      <c r="DF765" s="41"/>
      <c r="DG765" s="41"/>
      <c r="DH765" s="41"/>
      <c r="DI765" s="41"/>
      <c r="DJ765" s="41"/>
      <c r="DK765" s="41"/>
      <c r="DL765" s="41"/>
      <c r="DM765" s="41"/>
      <c r="DN765" s="41"/>
      <c r="DO765" s="41"/>
      <c r="DP765" s="41"/>
      <c r="DQ765" s="41"/>
      <c r="DR765" s="41"/>
      <c r="DS765" s="43"/>
      <c r="DT765" s="44">
        <f t="shared" ref="DT765" si="747">SUM(F765:DR765)</f>
        <v>1</v>
      </c>
    </row>
    <row r="766" spans="2:124" s="13" customFormat="1">
      <c r="B766" s="4">
        <f>'6.1Personnel List'!B767</f>
        <v>754</v>
      </c>
      <c r="C766" s="45" t="s">
        <v>980</v>
      </c>
      <c r="D766" s="45" t="str">
        <f>'6.1Personnel List'!D767</f>
        <v>Nurse VI</v>
      </c>
      <c r="E766" s="45" t="str">
        <f>'6.1Personnel List'!H767</f>
        <v>FT</v>
      </c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  <c r="AA766" s="41"/>
      <c r="AB766" s="41"/>
      <c r="AC766" s="41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1"/>
      <c r="AP766" s="41"/>
      <c r="AQ766" s="41"/>
      <c r="AR766" s="41"/>
      <c r="AS766" s="41"/>
      <c r="AT766" s="41"/>
      <c r="AU766" s="41"/>
      <c r="AV766" s="41"/>
      <c r="AW766" s="41"/>
      <c r="AX766" s="41"/>
      <c r="AY766" s="41"/>
      <c r="AZ766" s="41"/>
      <c r="BA766" s="41"/>
      <c r="BB766" s="41"/>
      <c r="BC766" s="41"/>
      <c r="BD766" s="41"/>
      <c r="BE766" s="41"/>
      <c r="BF766" s="41"/>
      <c r="BG766" s="41"/>
      <c r="BH766" s="41"/>
      <c r="BJ766" s="41"/>
      <c r="BK766" s="41"/>
      <c r="BL766" s="41"/>
      <c r="BM766" s="41"/>
      <c r="BN766" s="41"/>
      <c r="BO766" s="41"/>
      <c r="BP766" s="41"/>
      <c r="BQ766" s="41"/>
      <c r="BR766" s="41"/>
      <c r="BS766" s="41"/>
      <c r="BT766" s="41">
        <v>1</v>
      </c>
      <c r="BU766" s="41"/>
      <c r="BV766" s="41"/>
      <c r="BW766" s="41"/>
      <c r="BX766" s="41"/>
      <c r="BY766" s="41"/>
      <c r="BZ766" s="41"/>
      <c r="CA766" s="41"/>
      <c r="CB766" s="41"/>
      <c r="CC766" s="41"/>
      <c r="CD766" s="41"/>
      <c r="CE766" s="41"/>
      <c r="CF766" s="41"/>
      <c r="CG766" s="41"/>
      <c r="CH766" s="41"/>
      <c r="CI766" s="41"/>
      <c r="CJ766" s="41"/>
      <c r="CK766" s="41"/>
      <c r="CL766" s="41"/>
      <c r="CM766" s="41"/>
      <c r="CN766" s="41"/>
      <c r="CO766" s="41"/>
      <c r="CP766" s="41"/>
      <c r="CQ766" s="41"/>
      <c r="CR766" s="41"/>
      <c r="CS766" s="41"/>
      <c r="CT766" s="41"/>
      <c r="CU766" s="41"/>
      <c r="CV766" s="41"/>
      <c r="CW766" s="41"/>
      <c r="CX766" s="41"/>
      <c r="CY766" s="41"/>
      <c r="CZ766" s="41"/>
      <c r="DA766" s="41"/>
      <c r="DB766" s="41"/>
      <c r="DC766" s="41"/>
      <c r="DD766" s="41"/>
      <c r="DE766" s="41"/>
      <c r="DF766" s="41"/>
      <c r="DG766" s="41"/>
      <c r="DH766" s="41"/>
      <c r="DI766" s="41"/>
      <c r="DJ766" s="41"/>
      <c r="DK766" s="41"/>
      <c r="DL766" s="41"/>
      <c r="DM766" s="41"/>
      <c r="DN766" s="41"/>
      <c r="DO766" s="41"/>
      <c r="DP766" s="41"/>
      <c r="DQ766" s="41"/>
      <c r="DR766" s="41"/>
      <c r="DS766" s="43"/>
      <c r="DT766" s="44">
        <f t="shared" ref="DT766" si="748">SUM(F766:DR766)</f>
        <v>1</v>
      </c>
    </row>
    <row r="767" spans="2:124" s="13" customFormat="1">
      <c r="B767" s="4">
        <f>'6.1Personnel List'!B768</f>
        <v>755</v>
      </c>
      <c r="C767" s="45" t="s">
        <v>981</v>
      </c>
      <c r="D767" s="45" t="str">
        <f>'6.1Personnel List'!D768</f>
        <v>Nurse V</v>
      </c>
      <c r="E767" s="45" t="str">
        <f>'6.1Personnel List'!H768</f>
        <v>FT</v>
      </c>
      <c r="G767" s="41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  <c r="AA767" s="41"/>
      <c r="AB767" s="41"/>
      <c r="AC767" s="41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1"/>
      <c r="AP767" s="41"/>
      <c r="AQ767" s="41"/>
      <c r="AR767" s="41"/>
      <c r="AS767" s="41"/>
      <c r="AT767" s="41"/>
      <c r="AU767" s="41"/>
      <c r="AV767" s="41"/>
      <c r="AW767" s="41"/>
      <c r="AX767" s="41"/>
      <c r="AY767" s="41"/>
      <c r="AZ767" s="41"/>
      <c r="BA767" s="41"/>
      <c r="BB767" s="41"/>
      <c r="BC767" s="41"/>
      <c r="BD767" s="41"/>
      <c r="BE767" s="41"/>
      <c r="BF767" s="41"/>
      <c r="BG767" s="41"/>
      <c r="BH767" s="41"/>
      <c r="BJ767" s="41"/>
      <c r="BK767" s="41"/>
      <c r="BL767" s="41"/>
      <c r="BM767" s="41"/>
      <c r="BN767" s="41"/>
      <c r="BO767" s="41"/>
      <c r="BP767" s="41"/>
      <c r="BQ767" s="41"/>
      <c r="BR767" s="41"/>
      <c r="BS767" s="41"/>
      <c r="BT767" s="41">
        <v>0.8</v>
      </c>
      <c r="BU767" s="41"/>
      <c r="BV767" s="41"/>
      <c r="BW767" s="41"/>
      <c r="BX767" s="41"/>
      <c r="BY767" s="41"/>
      <c r="BZ767" s="41"/>
      <c r="CA767" s="41"/>
      <c r="CB767" s="41"/>
      <c r="CC767" s="41"/>
      <c r="CD767" s="41"/>
      <c r="CE767" s="41"/>
      <c r="CF767" s="41"/>
      <c r="CG767" s="41"/>
      <c r="CH767" s="41"/>
      <c r="CI767" s="41"/>
      <c r="CJ767" s="41"/>
      <c r="CK767" s="41"/>
      <c r="CL767" s="41"/>
      <c r="CM767" s="41"/>
      <c r="CN767" s="41"/>
      <c r="CO767" s="41"/>
      <c r="CP767" s="41"/>
      <c r="CQ767" s="41"/>
      <c r="CR767" s="41"/>
      <c r="CS767" s="41"/>
      <c r="CT767" s="41">
        <v>0.2</v>
      </c>
      <c r="CU767" s="41"/>
      <c r="CV767" s="41"/>
      <c r="CW767" s="41"/>
      <c r="CX767" s="41"/>
      <c r="CY767" s="41"/>
      <c r="CZ767" s="41"/>
      <c r="DA767" s="41"/>
      <c r="DB767" s="41"/>
      <c r="DC767" s="41"/>
      <c r="DD767" s="41"/>
      <c r="DE767" s="41"/>
      <c r="DF767" s="41"/>
      <c r="DG767" s="41"/>
      <c r="DH767" s="41"/>
      <c r="DI767" s="41"/>
      <c r="DJ767" s="41"/>
      <c r="DK767" s="41"/>
      <c r="DL767" s="41"/>
      <c r="DM767" s="41"/>
      <c r="DN767" s="41"/>
      <c r="DO767" s="41"/>
      <c r="DP767" s="41"/>
      <c r="DQ767" s="41"/>
      <c r="DR767" s="41"/>
      <c r="DS767" s="43"/>
      <c r="DT767" s="44">
        <f t="shared" ref="DT767" si="749">SUM(F767:DR767)</f>
        <v>1</v>
      </c>
    </row>
    <row r="768" spans="2:124" s="13" customFormat="1">
      <c r="B768" s="4">
        <f>'6.1Personnel List'!B769</f>
        <v>756</v>
      </c>
      <c r="C768" s="45" t="s">
        <v>983</v>
      </c>
      <c r="D768" s="45" t="str">
        <f>'6.1Personnel List'!D769</f>
        <v>Nurse V</v>
      </c>
      <c r="E768" s="45" t="str">
        <f>'6.1Personnel List'!H769</f>
        <v>FT</v>
      </c>
      <c r="G768" s="41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  <c r="AA768" s="41"/>
      <c r="AB768" s="41"/>
      <c r="AC768" s="41"/>
      <c r="AD768" s="41"/>
      <c r="AE768" s="41"/>
      <c r="AF768" s="41"/>
      <c r="AG768" s="41"/>
      <c r="AH768" s="41"/>
      <c r="AI768" s="41"/>
      <c r="AJ768" s="41"/>
      <c r="AK768" s="41"/>
      <c r="AL768" s="41"/>
      <c r="AM768" s="41"/>
      <c r="AN768" s="41"/>
      <c r="AO768" s="41"/>
      <c r="AP768" s="41"/>
      <c r="AQ768" s="41"/>
      <c r="AR768" s="41"/>
      <c r="AS768" s="41"/>
      <c r="AT768" s="41"/>
      <c r="AU768" s="41"/>
      <c r="AV768" s="41"/>
      <c r="AW768" s="41"/>
      <c r="AX768" s="41"/>
      <c r="AY768" s="41"/>
      <c r="AZ768" s="41"/>
      <c r="BA768" s="41"/>
      <c r="BB768" s="41"/>
      <c r="BC768" s="41"/>
      <c r="BD768" s="41"/>
      <c r="BE768" s="41"/>
      <c r="BF768" s="41"/>
      <c r="BG768" s="41"/>
      <c r="BH768" s="41"/>
      <c r="BJ768" s="41"/>
      <c r="BK768" s="41"/>
      <c r="BL768" s="41"/>
      <c r="BM768" s="41"/>
      <c r="BN768" s="41"/>
      <c r="BO768" s="41"/>
      <c r="BP768" s="41"/>
      <c r="BQ768" s="41"/>
      <c r="BR768" s="41"/>
      <c r="BS768" s="41"/>
      <c r="BT768" s="41">
        <v>1</v>
      </c>
      <c r="BU768" s="41"/>
      <c r="BV768" s="41"/>
      <c r="BW768" s="41"/>
      <c r="BX768" s="41"/>
      <c r="BY768" s="41"/>
      <c r="BZ768" s="41"/>
      <c r="CA768" s="41"/>
      <c r="CB768" s="41"/>
      <c r="CC768" s="41"/>
      <c r="CD768" s="41"/>
      <c r="CE768" s="41"/>
      <c r="CF768" s="41"/>
      <c r="CG768" s="41"/>
      <c r="CH768" s="41"/>
      <c r="CI768" s="41"/>
      <c r="CJ768" s="41"/>
      <c r="CK768" s="41"/>
      <c r="CL768" s="41"/>
      <c r="CM768" s="41"/>
      <c r="CN768" s="41"/>
      <c r="CO768" s="41"/>
      <c r="CP768" s="41"/>
      <c r="CQ768" s="41"/>
      <c r="CR768" s="41"/>
      <c r="CS768" s="41"/>
      <c r="CT768" s="41"/>
      <c r="CU768" s="41"/>
      <c r="CV768" s="41"/>
      <c r="CW768" s="41"/>
      <c r="CX768" s="41"/>
      <c r="CY768" s="41"/>
      <c r="CZ768" s="41"/>
      <c r="DA768" s="41"/>
      <c r="DB768" s="41"/>
      <c r="DC768" s="41"/>
      <c r="DD768" s="41"/>
      <c r="DE768" s="41"/>
      <c r="DF768" s="41"/>
      <c r="DG768" s="41"/>
      <c r="DH768" s="41"/>
      <c r="DI768" s="41"/>
      <c r="DJ768" s="41"/>
      <c r="DK768" s="41"/>
      <c r="DL768" s="41"/>
      <c r="DM768" s="41"/>
      <c r="DN768" s="41"/>
      <c r="DO768" s="41"/>
      <c r="DP768" s="41"/>
      <c r="DQ768" s="41"/>
      <c r="DR768" s="41"/>
      <c r="DS768" s="43"/>
      <c r="DT768" s="44">
        <f t="shared" ref="DT768" si="750">SUM(F768:DR768)</f>
        <v>1</v>
      </c>
    </row>
    <row r="769" spans="2:124" s="13" customFormat="1">
      <c r="B769" s="4">
        <f>'6.1Personnel List'!B770</f>
        <v>757</v>
      </c>
      <c r="C769" s="45" t="s">
        <v>984</v>
      </c>
      <c r="D769" s="45" t="str">
        <f>'6.1Personnel List'!D770</f>
        <v>Nurse IV</v>
      </c>
      <c r="E769" s="45" t="str">
        <f>'6.1Personnel List'!H770</f>
        <v>FT</v>
      </c>
      <c r="G769" s="41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  <c r="AA769" s="41"/>
      <c r="AB769" s="41"/>
      <c r="AC769" s="41"/>
      <c r="AD769" s="41"/>
      <c r="AE769" s="41"/>
      <c r="AF769" s="41"/>
      <c r="AG769" s="41"/>
      <c r="AH769" s="41"/>
      <c r="AI769" s="41"/>
      <c r="AJ769" s="41"/>
      <c r="AK769" s="41"/>
      <c r="AL769" s="41"/>
      <c r="AM769" s="41"/>
      <c r="AN769" s="41"/>
      <c r="AO769" s="41"/>
      <c r="AP769" s="41"/>
      <c r="AQ769" s="41"/>
      <c r="AR769" s="41"/>
      <c r="AS769" s="41"/>
      <c r="AT769" s="41"/>
      <c r="AU769" s="41"/>
      <c r="AV769" s="41"/>
      <c r="AW769" s="41"/>
      <c r="AX769" s="41"/>
      <c r="AY769" s="41"/>
      <c r="AZ769" s="41"/>
      <c r="BA769" s="41"/>
      <c r="BB769" s="41"/>
      <c r="BC769" s="41"/>
      <c r="BD769" s="41"/>
      <c r="BE769" s="41"/>
      <c r="BF769" s="41"/>
      <c r="BG769" s="41"/>
      <c r="BH769" s="41"/>
      <c r="BJ769" s="41"/>
      <c r="BK769" s="41"/>
      <c r="BL769" s="41"/>
      <c r="BM769" s="41"/>
      <c r="BN769" s="41"/>
      <c r="BO769" s="41"/>
      <c r="BP769" s="41"/>
      <c r="BQ769" s="41"/>
      <c r="BR769" s="41"/>
      <c r="BS769" s="41"/>
      <c r="BT769" s="41"/>
      <c r="BU769" s="41"/>
      <c r="BV769" s="41"/>
      <c r="BW769" s="41"/>
      <c r="BX769" s="41"/>
      <c r="BY769" s="41"/>
      <c r="BZ769" s="41"/>
      <c r="CA769" s="41"/>
      <c r="CB769" s="41"/>
      <c r="CC769" s="41"/>
      <c r="CD769" s="41"/>
      <c r="CE769" s="41"/>
      <c r="CF769" s="41"/>
      <c r="CG769" s="41"/>
      <c r="CH769" s="41"/>
      <c r="CI769" s="41"/>
      <c r="CJ769" s="41"/>
      <c r="CK769" s="41"/>
      <c r="CL769" s="41">
        <v>1</v>
      </c>
      <c r="CM769" s="41"/>
      <c r="CN769" s="41"/>
      <c r="CO769" s="41"/>
      <c r="CP769" s="41"/>
      <c r="CQ769" s="41"/>
      <c r="CR769" s="41"/>
      <c r="CS769" s="41"/>
      <c r="CT769" s="41"/>
      <c r="CU769" s="41"/>
      <c r="CV769" s="41"/>
      <c r="CW769" s="41"/>
      <c r="CX769" s="41"/>
      <c r="CY769" s="41"/>
      <c r="CZ769" s="41"/>
      <c r="DA769" s="41"/>
      <c r="DB769" s="41"/>
      <c r="DC769" s="41"/>
      <c r="DD769" s="41"/>
      <c r="DE769" s="41"/>
      <c r="DF769" s="41"/>
      <c r="DG769" s="41"/>
      <c r="DH769" s="41"/>
      <c r="DI769" s="41"/>
      <c r="DJ769" s="41"/>
      <c r="DK769" s="41"/>
      <c r="DL769" s="41"/>
      <c r="DM769" s="41"/>
      <c r="DN769" s="41"/>
      <c r="DO769" s="41"/>
      <c r="DP769" s="41"/>
      <c r="DQ769" s="41"/>
      <c r="DR769" s="41"/>
      <c r="DS769" s="43"/>
      <c r="DT769" s="44">
        <f t="shared" ref="DT769" si="751">SUM(F769:DR769)</f>
        <v>1</v>
      </c>
    </row>
    <row r="770" spans="2:124" s="13" customFormat="1">
      <c r="B770" s="4">
        <f>'6.1Personnel List'!B771</f>
        <v>758</v>
      </c>
      <c r="C770" s="45" t="s">
        <v>986</v>
      </c>
      <c r="D770" s="45" t="str">
        <f>'6.1Personnel List'!D771</f>
        <v>Nurse IV</v>
      </c>
      <c r="E770" s="45" t="str">
        <f>'6.1Personnel List'!H771</f>
        <v>FT</v>
      </c>
      <c r="G770" s="41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  <c r="AA770" s="41"/>
      <c r="AB770" s="41"/>
      <c r="AC770" s="41"/>
      <c r="AD770" s="41"/>
      <c r="AE770" s="41"/>
      <c r="AF770" s="41"/>
      <c r="AG770" s="41"/>
      <c r="AH770" s="41"/>
      <c r="AI770" s="41"/>
      <c r="AJ770" s="41"/>
      <c r="AK770" s="41"/>
      <c r="AL770" s="41"/>
      <c r="AM770" s="41"/>
      <c r="AN770" s="41"/>
      <c r="AO770" s="41"/>
      <c r="AP770" s="41"/>
      <c r="AQ770" s="41"/>
      <c r="AR770" s="41"/>
      <c r="AS770" s="41"/>
      <c r="AT770" s="41"/>
      <c r="AU770" s="41"/>
      <c r="AV770" s="41"/>
      <c r="AW770" s="41"/>
      <c r="AX770" s="41"/>
      <c r="AY770" s="41"/>
      <c r="AZ770" s="41"/>
      <c r="BA770" s="41"/>
      <c r="BB770" s="41"/>
      <c r="BC770" s="41"/>
      <c r="BD770" s="41"/>
      <c r="BE770" s="41"/>
      <c r="BF770" s="41"/>
      <c r="BG770" s="41"/>
      <c r="BH770" s="41"/>
      <c r="BJ770" s="41"/>
      <c r="BK770" s="41"/>
      <c r="BL770" s="41"/>
      <c r="BM770" s="41"/>
      <c r="BN770" s="41"/>
      <c r="BO770" s="41"/>
      <c r="BP770" s="41"/>
      <c r="BQ770" s="41"/>
      <c r="BR770" s="41"/>
      <c r="BS770" s="41"/>
      <c r="BT770" s="41"/>
      <c r="BU770" s="41"/>
      <c r="BV770" s="41"/>
      <c r="BW770" s="41"/>
      <c r="BX770" s="41"/>
      <c r="BY770" s="41"/>
      <c r="BZ770" s="41"/>
      <c r="CA770" s="41"/>
      <c r="CB770" s="41"/>
      <c r="CC770" s="41"/>
      <c r="CD770" s="41"/>
      <c r="CE770" s="41"/>
      <c r="CF770" s="41"/>
      <c r="CG770" s="41"/>
      <c r="CH770" s="41"/>
      <c r="CI770" s="41"/>
      <c r="CJ770" s="41"/>
      <c r="CK770" s="41"/>
      <c r="CL770" s="41"/>
      <c r="CM770" s="41"/>
      <c r="CN770" s="41"/>
      <c r="CO770" s="41"/>
      <c r="CP770" s="41"/>
      <c r="CQ770" s="41"/>
      <c r="CR770" s="41"/>
      <c r="CS770" s="41"/>
      <c r="CT770" s="41"/>
      <c r="CU770" s="41"/>
      <c r="CV770" s="41"/>
      <c r="CW770" s="41"/>
      <c r="CX770" s="41"/>
      <c r="CY770" s="41"/>
      <c r="CZ770" s="41"/>
      <c r="DA770" s="41"/>
      <c r="DB770" s="41"/>
      <c r="DC770" s="41"/>
      <c r="DD770" s="41"/>
      <c r="DE770" s="41">
        <v>1</v>
      </c>
      <c r="DF770" s="41"/>
      <c r="DG770" s="41"/>
      <c r="DH770" s="41"/>
      <c r="DI770" s="41"/>
      <c r="DJ770" s="41"/>
      <c r="DK770" s="41"/>
      <c r="DL770" s="41"/>
      <c r="DM770" s="41"/>
      <c r="DN770" s="41"/>
      <c r="DO770" s="41"/>
      <c r="DP770" s="41"/>
      <c r="DQ770" s="41"/>
      <c r="DR770" s="41"/>
      <c r="DS770" s="43"/>
      <c r="DT770" s="44">
        <f t="shared" ref="DT770" si="752">SUM(F770:DR770)</f>
        <v>1</v>
      </c>
    </row>
    <row r="771" spans="2:124" s="13" customFormat="1">
      <c r="B771" s="4">
        <f>'6.1Personnel List'!B772</f>
        <v>759</v>
      </c>
      <c r="C771" s="45" t="s">
        <v>987</v>
      </c>
      <c r="D771" s="45" t="str">
        <f>'6.1Personnel List'!D772</f>
        <v>Nurse III</v>
      </c>
      <c r="E771" s="45" t="str">
        <f>'6.1Personnel List'!H772</f>
        <v>FT</v>
      </c>
      <c r="G771" s="41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  <c r="AA771" s="41"/>
      <c r="AB771" s="41"/>
      <c r="AC771" s="41"/>
      <c r="AD771" s="41"/>
      <c r="AE771" s="41"/>
      <c r="AF771" s="41"/>
      <c r="AG771" s="41"/>
      <c r="AH771" s="41"/>
      <c r="AI771" s="41"/>
      <c r="AJ771" s="41"/>
      <c r="AK771" s="41"/>
      <c r="AL771" s="41"/>
      <c r="AM771" s="41"/>
      <c r="AN771" s="41"/>
      <c r="AO771" s="41"/>
      <c r="AP771" s="41"/>
      <c r="AQ771" s="41"/>
      <c r="AR771" s="41"/>
      <c r="AS771" s="41"/>
      <c r="AT771" s="41"/>
      <c r="AU771" s="41"/>
      <c r="AV771" s="41"/>
      <c r="AW771" s="41"/>
      <c r="AX771" s="41"/>
      <c r="AY771" s="41"/>
      <c r="AZ771" s="41"/>
      <c r="BA771" s="41"/>
      <c r="BB771" s="41"/>
      <c r="BC771" s="41"/>
      <c r="BD771" s="41"/>
      <c r="BE771" s="41"/>
      <c r="BF771" s="41"/>
      <c r="BG771" s="41"/>
      <c r="BH771" s="41"/>
      <c r="BJ771" s="41"/>
      <c r="BK771" s="41"/>
      <c r="BL771" s="41"/>
      <c r="BM771" s="41"/>
      <c r="BN771" s="41"/>
      <c r="BO771" s="41"/>
      <c r="BP771" s="41"/>
      <c r="BQ771" s="41"/>
      <c r="BR771" s="41"/>
      <c r="BS771" s="41">
        <v>0.05</v>
      </c>
      <c r="BT771" s="41">
        <v>0.1</v>
      </c>
      <c r="BU771" s="41"/>
      <c r="BV771" s="41">
        <v>0.05</v>
      </c>
      <c r="BW771" s="41">
        <v>0.05</v>
      </c>
      <c r="BX771" s="41"/>
      <c r="BY771" s="41"/>
      <c r="BZ771" s="41"/>
      <c r="CA771" s="41"/>
      <c r="CB771" s="41"/>
      <c r="CC771" s="41"/>
      <c r="CD771" s="41"/>
      <c r="CE771" s="41">
        <v>0.1</v>
      </c>
      <c r="CF771" s="41">
        <v>0.05</v>
      </c>
      <c r="CG771" s="41">
        <v>0.05</v>
      </c>
      <c r="CH771" s="41">
        <v>0.05</v>
      </c>
      <c r="CI771" s="41"/>
      <c r="CJ771" s="41">
        <v>0.05</v>
      </c>
      <c r="CK771" s="41"/>
      <c r="CL771" s="41">
        <v>0.2</v>
      </c>
      <c r="CM771" s="41"/>
      <c r="CN771" s="41"/>
      <c r="CO771" s="41"/>
      <c r="CP771" s="41"/>
      <c r="CQ771" s="41"/>
      <c r="CR771" s="41"/>
      <c r="CS771" s="41"/>
      <c r="CT771" s="41"/>
      <c r="CU771" s="41">
        <v>0.05</v>
      </c>
      <c r="CV771" s="41"/>
      <c r="CW771" s="41"/>
      <c r="CX771" s="41"/>
      <c r="CY771" s="41"/>
      <c r="CZ771" s="41"/>
      <c r="DA771" s="41"/>
      <c r="DB771" s="41"/>
      <c r="DC771" s="41"/>
      <c r="DD771" s="41">
        <v>0.05</v>
      </c>
      <c r="DE771" s="41"/>
      <c r="DF771" s="41"/>
      <c r="DG771" s="41"/>
      <c r="DH771" s="41"/>
      <c r="DI771" s="41"/>
      <c r="DJ771" s="41"/>
      <c r="DK771" s="41"/>
      <c r="DL771" s="41">
        <v>0.15</v>
      </c>
      <c r="DM771" s="41"/>
      <c r="DN771" s="41"/>
      <c r="DO771" s="41"/>
      <c r="DP771" s="41"/>
      <c r="DQ771" s="41"/>
      <c r="DR771" s="41"/>
      <c r="DS771" s="43"/>
      <c r="DT771" s="44">
        <f t="shared" ref="DT771" si="753">SUM(F771:DR771)</f>
        <v>1</v>
      </c>
    </row>
    <row r="772" spans="2:124" s="13" customFormat="1">
      <c r="B772" s="4">
        <f>'6.1Personnel List'!B773</f>
        <v>760</v>
      </c>
      <c r="C772" s="45" t="s">
        <v>989</v>
      </c>
      <c r="D772" s="45" t="str">
        <f>'6.1Personnel List'!D773</f>
        <v>Nurse III</v>
      </c>
      <c r="E772" s="45" t="str">
        <f>'6.1Personnel List'!H773</f>
        <v>FT</v>
      </c>
      <c r="G772" s="41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  <c r="AA772" s="41"/>
      <c r="AB772" s="41"/>
      <c r="AC772" s="41"/>
      <c r="AD772" s="41"/>
      <c r="AE772" s="41"/>
      <c r="AF772" s="41"/>
      <c r="AG772" s="41"/>
      <c r="AH772" s="41"/>
      <c r="AI772" s="41"/>
      <c r="AJ772" s="41"/>
      <c r="AK772" s="41"/>
      <c r="AL772" s="41"/>
      <c r="AM772" s="41"/>
      <c r="AN772" s="41"/>
      <c r="AO772" s="41"/>
      <c r="AP772" s="41"/>
      <c r="AQ772" s="41"/>
      <c r="AR772" s="41"/>
      <c r="AS772" s="41"/>
      <c r="AT772" s="41"/>
      <c r="AU772" s="41"/>
      <c r="AV772" s="41"/>
      <c r="AW772" s="41"/>
      <c r="AX772" s="41"/>
      <c r="AY772" s="41"/>
      <c r="AZ772" s="41"/>
      <c r="BA772" s="41"/>
      <c r="BB772" s="41"/>
      <c r="BC772" s="41"/>
      <c r="BD772" s="41"/>
      <c r="BE772" s="41"/>
      <c r="BF772" s="41"/>
      <c r="BG772" s="41"/>
      <c r="BH772" s="41"/>
      <c r="BJ772" s="41"/>
      <c r="BK772" s="41"/>
      <c r="BL772" s="41"/>
      <c r="BM772" s="41"/>
      <c r="BN772" s="41"/>
      <c r="BO772" s="41"/>
      <c r="BP772" s="41"/>
      <c r="BQ772" s="41"/>
      <c r="BR772" s="41"/>
      <c r="BS772" s="41"/>
      <c r="BT772" s="41"/>
      <c r="BU772" s="41"/>
      <c r="BV772" s="41"/>
      <c r="BW772" s="41"/>
      <c r="BX772" s="41"/>
      <c r="BY772" s="41"/>
      <c r="BZ772" s="41"/>
      <c r="CA772" s="41"/>
      <c r="CB772" s="41"/>
      <c r="CC772" s="41"/>
      <c r="CD772" s="41"/>
      <c r="CE772" s="41"/>
      <c r="CF772" s="41"/>
      <c r="CG772" s="41"/>
      <c r="CH772" s="41"/>
      <c r="CI772" s="41"/>
      <c r="CJ772" s="41"/>
      <c r="CK772" s="41"/>
      <c r="CL772" s="41"/>
      <c r="CM772" s="41"/>
      <c r="CN772" s="41"/>
      <c r="CO772" s="41"/>
      <c r="CP772" s="41"/>
      <c r="CQ772" s="41"/>
      <c r="CR772" s="41"/>
      <c r="CS772" s="41"/>
      <c r="CT772" s="41"/>
      <c r="CU772" s="41"/>
      <c r="CV772" s="41"/>
      <c r="CW772" s="41"/>
      <c r="CX772" s="41"/>
      <c r="CY772" s="41"/>
      <c r="CZ772" s="41"/>
      <c r="DA772" s="41"/>
      <c r="DB772" s="41"/>
      <c r="DC772" s="41"/>
      <c r="DD772" s="41"/>
      <c r="DE772" s="41"/>
      <c r="DF772" s="41"/>
      <c r="DG772" s="41"/>
      <c r="DH772" s="41"/>
      <c r="DI772" s="41"/>
      <c r="DJ772" s="41">
        <v>1</v>
      </c>
      <c r="DK772" s="41"/>
      <c r="DL772" s="41"/>
      <c r="DM772" s="41"/>
      <c r="DN772" s="41"/>
      <c r="DO772" s="41"/>
      <c r="DP772" s="41"/>
      <c r="DQ772" s="41"/>
      <c r="DR772" s="41"/>
      <c r="DS772" s="43"/>
      <c r="DT772" s="44">
        <f t="shared" ref="DT772" si="754">SUM(F772:DR772)</f>
        <v>1</v>
      </c>
    </row>
    <row r="773" spans="2:124" s="13" customFormat="1">
      <c r="B773" s="4">
        <f>'6.1Personnel List'!B774</f>
        <v>761</v>
      </c>
      <c r="C773" s="45" t="s">
        <v>990</v>
      </c>
      <c r="D773" s="45" t="str">
        <f>'6.1Personnel List'!D774</f>
        <v>Nurse III</v>
      </c>
      <c r="E773" s="45" t="str">
        <f>'6.1Personnel List'!H774</f>
        <v>FT</v>
      </c>
      <c r="G773" s="41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  <c r="AA773" s="41"/>
      <c r="AB773" s="41"/>
      <c r="AC773" s="41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1"/>
      <c r="AP773" s="41"/>
      <c r="AQ773" s="41"/>
      <c r="AR773" s="41"/>
      <c r="AS773" s="41"/>
      <c r="AT773" s="41"/>
      <c r="AU773" s="41"/>
      <c r="AV773" s="41"/>
      <c r="AW773" s="41"/>
      <c r="AX773" s="41"/>
      <c r="AY773" s="41"/>
      <c r="AZ773" s="41"/>
      <c r="BA773" s="41"/>
      <c r="BB773" s="41"/>
      <c r="BC773" s="41"/>
      <c r="BD773" s="41"/>
      <c r="BE773" s="41"/>
      <c r="BF773" s="41"/>
      <c r="BG773" s="41"/>
      <c r="BH773" s="41"/>
      <c r="BJ773" s="41"/>
      <c r="BK773" s="41"/>
      <c r="BL773" s="41"/>
      <c r="BM773" s="41"/>
      <c r="BN773" s="41"/>
      <c r="BO773" s="41"/>
      <c r="BP773" s="41"/>
      <c r="BQ773" s="41"/>
      <c r="BR773" s="41"/>
      <c r="BS773" s="41"/>
      <c r="BT773" s="41"/>
      <c r="BU773" s="41"/>
      <c r="BV773" s="41">
        <v>0.02</v>
      </c>
      <c r="BW773" s="41">
        <v>0.3</v>
      </c>
      <c r="BX773" s="41"/>
      <c r="BY773" s="41"/>
      <c r="BZ773" s="41"/>
      <c r="CA773" s="41"/>
      <c r="CB773" s="41"/>
      <c r="CC773" s="41"/>
      <c r="CD773" s="41"/>
      <c r="CE773" s="41">
        <v>0.02</v>
      </c>
      <c r="CF773" s="41">
        <v>0.02</v>
      </c>
      <c r="CG773" s="41">
        <v>0.02</v>
      </c>
      <c r="CH773" s="41"/>
      <c r="CI773" s="41"/>
      <c r="CJ773" s="41"/>
      <c r="CK773" s="41">
        <v>0.02</v>
      </c>
      <c r="CL773" s="41"/>
      <c r="CM773" s="41"/>
      <c r="CN773" s="41"/>
      <c r="CO773" s="41"/>
      <c r="CP773" s="41"/>
      <c r="CQ773" s="41"/>
      <c r="CR773" s="41"/>
      <c r="CS773" s="41"/>
      <c r="CT773" s="41"/>
      <c r="CU773" s="41"/>
      <c r="CV773" s="41"/>
      <c r="CW773" s="41"/>
      <c r="CX773" s="41"/>
      <c r="CY773" s="41"/>
      <c r="CZ773" s="41"/>
      <c r="DA773" s="41"/>
      <c r="DB773" s="41"/>
      <c r="DC773" s="41"/>
      <c r="DD773" s="41"/>
      <c r="DE773" s="41"/>
      <c r="DF773" s="41"/>
      <c r="DG773" s="41"/>
      <c r="DH773" s="41"/>
      <c r="DI773" s="41"/>
      <c r="DJ773" s="41"/>
      <c r="DK773" s="41"/>
      <c r="DL773" s="41"/>
      <c r="DM773" s="41">
        <v>0.6</v>
      </c>
      <c r="DN773" s="41"/>
      <c r="DO773" s="41"/>
      <c r="DP773" s="41"/>
      <c r="DQ773" s="41"/>
      <c r="DR773" s="41"/>
      <c r="DS773" s="43"/>
      <c r="DT773" s="44">
        <f t="shared" ref="DT773" si="755">SUM(F773:DR773)</f>
        <v>1</v>
      </c>
    </row>
    <row r="774" spans="2:124" s="13" customFormat="1">
      <c r="B774" s="4">
        <f>'6.1Personnel List'!B775</f>
        <v>762</v>
      </c>
      <c r="C774" s="45" t="s">
        <v>991</v>
      </c>
      <c r="D774" s="45" t="str">
        <f>'6.1Personnel List'!D775</f>
        <v>Nurse III</v>
      </c>
      <c r="E774" s="45" t="str">
        <f>'6.1Personnel List'!H775</f>
        <v>FT</v>
      </c>
      <c r="G774" s="41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  <c r="AA774" s="41"/>
      <c r="AB774" s="41"/>
      <c r="AC774" s="41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1"/>
      <c r="AP774" s="41"/>
      <c r="AQ774" s="41"/>
      <c r="AR774" s="41"/>
      <c r="AS774" s="41"/>
      <c r="AT774" s="41"/>
      <c r="AU774" s="41"/>
      <c r="AV774" s="41"/>
      <c r="AW774" s="41"/>
      <c r="AX774" s="41"/>
      <c r="AY774" s="41"/>
      <c r="AZ774" s="41"/>
      <c r="BA774" s="41"/>
      <c r="BB774" s="41"/>
      <c r="BC774" s="41"/>
      <c r="BD774" s="41"/>
      <c r="BE774" s="41"/>
      <c r="BF774" s="41"/>
      <c r="BG774" s="41"/>
      <c r="BH774" s="41"/>
      <c r="BJ774" s="41"/>
      <c r="BK774" s="41"/>
      <c r="BL774" s="41"/>
      <c r="BM774" s="41"/>
      <c r="BN774" s="41"/>
      <c r="BO774" s="41"/>
      <c r="BP774" s="41"/>
      <c r="BQ774" s="41"/>
      <c r="BR774" s="41"/>
      <c r="BS774" s="41">
        <v>0.05</v>
      </c>
      <c r="BT774" s="41">
        <v>0.1</v>
      </c>
      <c r="BU774" s="41"/>
      <c r="BV774" s="41">
        <v>0.05</v>
      </c>
      <c r="BW774" s="41">
        <v>0.05</v>
      </c>
      <c r="BX774" s="41"/>
      <c r="BY774" s="41"/>
      <c r="BZ774" s="41"/>
      <c r="CA774" s="41"/>
      <c r="CB774" s="41"/>
      <c r="CC774" s="41"/>
      <c r="CD774" s="41"/>
      <c r="CE774" s="41">
        <v>0.1</v>
      </c>
      <c r="CF774" s="41">
        <v>0.05</v>
      </c>
      <c r="CG774" s="41">
        <v>0.05</v>
      </c>
      <c r="CH774" s="41">
        <v>0.05</v>
      </c>
      <c r="CI774" s="41"/>
      <c r="CJ774" s="41">
        <v>0.05</v>
      </c>
      <c r="CK774" s="41"/>
      <c r="CL774" s="41">
        <v>0.2</v>
      </c>
      <c r="CM774" s="41"/>
      <c r="CN774" s="41"/>
      <c r="CO774" s="41"/>
      <c r="CP774" s="41"/>
      <c r="CQ774" s="41"/>
      <c r="CR774" s="41"/>
      <c r="CS774" s="41"/>
      <c r="CT774" s="41"/>
      <c r="CU774" s="41">
        <v>0.05</v>
      </c>
      <c r="CV774" s="41"/>
      <c r="CW774" s="41"/>
      <c r="CX774" s="41"/>
      <c r="CY774" s="41"/>
      <c r="CZ774" s="41"/>
      <c r="DA774" s="41"/>
      <c r="DB774" s="41"/>
      <c r="DC774" s="41"/>
      <c r="DD774" s="41">
        <v>0.05</v>
      </c>
      <c r="DE774" s="41"/>
      <c r="DF774" s="41"/>
      <c r="DG774" s="41"/>
      <c r="DH774" s="41"/>
      <c r="DI774" s="41"/>
      <c r="DJ774" s="41"/>
      <c r="DK774" s="41"/>
      <c r="DL774" s="41">
        <v>0.15</v>
      </c>
      <c r="DM774" s="41"/>
      <c r="DN774" s="41"/>
      <c r="DO774" s="41"/>
      <c r="DP774" s="41"/>
      <c r="DQ774" s="41"/>
      <c r="DR774" s="41"/>
      <c r="DS774" s="43"/>
      <c r="DT774" s="44">
        <f t="shared" ref="DT774" si="756">SUM(F774:DR774)</f>
        <v>1</v>
      </c>
    </row>
    <row r="775" spans="2:124" s="13" customFormat="1">
      <c r="B775" s="4">
        <f>'6.1Personnel List'!B776</f>
        <v>763</v>
      </c>
      <c r="C775" s="45" t="s">
        <v>992</v>
      </c>
      <c r="D775" s="45" t="str">
        <f>'6.1Personnel List'!D776</f>
        <v>Nurse III</v>
      </c>
      <c r="E775" s="45" t="str">
        <f>'6.1Personnel List'!H776</f>
        <v>FT</v>
      </c>
      <c r="G775" s="41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  <c r="AA775" s="41"/>
      <c r="AB775" s="41"/>
      <c r="AC775" s="41"/>
      <c r="AD775" s="41"/>
      <c r="AE775" s="41"/>
      <c r="AF775" s="41"/>
      <c r="AG775" s="41"/>
      <c r="AH775" s="41"/>
      <c r="AI775" s="41"/>
      <c r="AJ775" s="41"/>
      <c r="AK775" s="41"/>
      <c r="AL775" s="41"/>
      <c r="AM775" s="41"/>
      <c r="AN775" s="41"/>
      <c r="AO775" s="41"/>
      <c r="AP775" s="41"/>
      <c r="AQ775" s="41"/>
      <c r="AR775" s="41"/>
      <c r="AS775" s="41"/>
      <c r="AT775" s="41"/>
      <c r="AU775" s="41"/>
      <c r="AV775" s="41"/>
      <c r="AW775" s="41"/>
      <c r="AX775" s="41"/>
      <c r="AY775" s="41"/>
      <c r="AZ775" s="41"/>
      <c r="BA775" s="41"/>
      <c r="BB775" s="41"/>
      <c r="BC775" s="41"/>
      <c r="BD775" s="41"/>
      <c r="BE775" s="41"/>
      <c r="BF775" s="41"/>
      <c r="BG775" s="41"/>
      <c r="BH775" s="41"/>
      <c r="BJ775" s="41"/>
      <c r="BK775" s="94"/>
      <c r="BL775" s="94"/>
      <c r="BM775" s="94"/>
      <c r="BN775" s="94"/>
      <c r="BO775" s="94"/>
      <c r="BP775" s="94"/>
      <c r="BQ775" s="94"/>
      <c r="BR775" s="94"/>
      <c r="BS775" s="94"/>
      <c r="BT775" s="94"/>
      <c r="BU775" s="94"/>
      <c r="BV775" s="94"/>
      <c r="BW775" s="94"/>
      <c r="BX775" s="94"/>
      <c r="BY775" s="94"/>
      <c r="BZ775" s="94"/>
      <c r="CA775" s="94"/>
      <c r="CB775" s="94"/>
      <c r="CC775" s="94"/>
      <c r="CD775" s="94"/>
      <c r="CE775" s="94"/>
      <c r="CF775" s="94"/>
      <c r="CG775" s="94"/>
      <c r="CH775" s="94"/>
      <c r="CI775" s="94"/>
      <c r="CJ775" s="94"/>
      <c r="CK775" s="94"/>
      <c r="CL775" s="94"/>
      <c r="CM775" s="94"/>
      <c r="CN775" s="94"/>
      <c r="CO775" s="94"/>
      <c r="CP775" s="94"/>
      <c r="CQ775" s="94"/>
      <c r="CR775" s="94"/>
      <c r="CS775" s="94"/>
      <c r="CT775" s="94"/>
      <c r="CU775" s="94"/>
      <c r="CV775" s="94"/>
      <c r="CW775" s="94"/>
      <c r="CX775" s="94"/>
      <c r="CY775" s="94"/>
      <c r="CZ775" s="94"/>
      <c r="DA775" s="94"/>
      <c r="DB775" s="94"/>
      <c r="DC775" s="94"/>
      <c r="DD775" s="94"/>
      <c r="DE775" s="94"/>
      <c r="DF775" s="94"/>
      <c r="DG775" s="94"/>
      <c r="DH775" s="94"/>
      <c r="DI775" s="94"/>
      <c r="DJ775" s="94"/>
      <c r="DK775" s="41">
        <v>1</v>
      </c>
      <c r="DL775" s="41"/>
      <c r="DM775" s="41"/>
      <c r="DN775" s="41"/>
      <c r="DO775" s="41"/>
      <c r="DP775" s="41"/>
      <c r="DQ775" s="41"/>
      <c r="DR775" s="41"/>
      <c r="DS775" s="43"/>
      <c r="DT775" s="44">
        <f t="shared" ref="DT775" si="757">SUM(F775:DR775)</f>
        <v>1</v>
      </c>
    </row>
    <row r="776" spans="2:124" s="13" customFormat="1">
      <c r="B776" s="4">
        <f>'6.1Personnel List'!B777</f>
        <v>764</v>
      </c>
      <c r="C776" s="45" t="s">
        <v>993</v>
      </c>
      <c r="D776" s="45" t="str">
        <f>'6.1Personnel List'!D777</f>
        <v>Nurse III</v>
      </c>
      <c r="E776" s="45" t="str">
        <f>'6.1Personnel List'!H777</f>
        <v>FT</v>
      </c>
      <c r="G776" s="41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  <c r="AA776" s="41"/>
      <c r="AB776" s="41"/>
      <c r="AC776" s="41"/>
      <c r="AD776" s="41"/>
      <c r="AE776" s="41"/>
      <c r="AF776" s="41"/>
      <c r="AG776" s="41"/>
      <c r="AH776" s="41"/>
      <c r="AI776" s="41"/>
      <c r="AJ776" s="41"/>
      <c r="AK776" s="41"/>
      <c r="AL776" s="41"/>
      <c r="AM776" s="41"/>
      <c r="AN776" s="41"/>
      <c r="AO776" s="41"/>
      <c r="AP776" s="41"/>
      <c r="AQ776" s="41"/>
      <c r="AR776" s="41"/>
      <c r="AS776" s="41"/>
      <c r="AT776" s="41"/>
      <c r="AU776" s="41"/>
      <c r="AV776" s="41"/>
      <c r="AW776" s="41"/>
      <c r="AX776" s="41"/>
      <c r="AY776" s="41"/>
      <c r="AZ776" s="41"/>
      <c r="BA776" s="41"/>
      <c r="BB776" s="41"/>
      <c r="BC776" s="41"/>
      <c r="BD776" s="41"/>
      <c r="BE776" s="41"/>
      <c r="BF776" s="41"/>
      <c r="BG776" s="41"/>
      <c r="BH776" s="41"/>
      <c r="BJ776" s="41"/>
      <c r="BK776" s="41"/>
      <c r="BL776" s="41"/>
      <c r="BM776" s="41"/>
      <c r="BN776" s="41"/>
      <c r="BO776" s="41"/>
      <c r="BP776" s="41">
        <v>0.05</v>
      </c>
      <c r="BQ776" s="41"/>
      <c r="BR776" s="41"/>
      <c r="BS776" s="41">
        <v>0.1</v>
      </c>
      <c r="BT776" s="41"/>
      <c r="BU776" s="41">
        <v>0.05</v>
      </c>
      <c r="BV776" s="41">
        <v>0.05</v>
      </c>
      <c r="BW776" s="41">
        <v>0.1</v>
      </c>
      <c r="BX776" s="41"/>
      <c r="BY776" s="41"/>
      <c r="BZ776" s="41"/>
      <c r="CA776" s="41"/>
      <c r="CB776" s="41"/>
      <c r="CC776" s="41"/>
      <c r="CD776" s="41"/>
      <c r="CE776" s="41">
        <v>0.05</v>
      </c>
      <c r="CF776" s="41">
        <v>0.05</v>
      </c>
      <c r="CG776" s="41">
        <v>0.05</v>
      </c>
      <c r="CH776" s="41">
        <v>0.05</v>
      </c>
      <c r="CI776" s="41"/>
      <c r="CJ776" s="41"/>
      <c r="CK776" s="41"/>
      <c r="CL776" s="41"/>
      <c r="CM776" s="41"/>
      <c r="CN776" s="41"/>
      <c r="CO776" s="41"/>
      <c r="CP776" s="41"/>
      <c r="CQ776" s="41"/>
      <c r="CR776" s="41"/>
      <c r="CS776" s="41"/>
      <c r="CT776" s="41"/>
      <c r="CU776" s="41"/>
      <c r="CV776" s="41"/>
      <c r="CW776" s="41"/>
      <c r="CX776" s="41"/>
      <c r="CY776" s="41"/>
      <c r="CZ776" s="41"/>
      <c r="DA776" s="41"/>
      <c r="DB776" s="41"/>
      <c r="DC776" s="41"/>
      <c r="DD776" s="41"/>
      <c r="DE776" s="41"/>
      <c r="DF776" s="41"/>
      <c r="DG776" s="41"/>
      <c r="DH776" s="41"/>
      <c r="DI776" s="41"/>
      <c r="DJ776" s="41"/>
      <c r="DK776" s="41">
        <v>0.45</v>
      </c>
      <c r="DL776" s="41"/>
      <c r="DM776" s="41"/>
      <c r="DN776" s="41"/>
      <c r="DO776" s="41"/>
      <c r="DP776" s="41"/>
      <c r="DQ776" s="41"/>
      <c r="DR776" s="41"/>
      <c r="DS776" s="43"/>
      <c r="DT776" s="44">
        <f t="shared" ref="DT776" si="758">SUM(F776:DR776)</f>
        <v>1</v>
      </c>
    </row>
    <row r="777" spans="2:124" s="13" customFormat="1">
      <c r="B777" s="4">
        <f>'6.1Personnel List'!B778</f>
        <v>765</v>
      </c>
      <c r="C777" s="45" t="s">
        <v>994</v>
      </c>
      <c r="D777" s="45" t="str">
        <f>'6.1Personnel List'!D778</f>
        <v>Nurse III</v>
      </c>
      <c r="E777" s="45" t="str">
        <f>'6.1Personnel List'!H778</f>
        <v>FT</v>
      </c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  <c r="AA777" s="41"/>
      <c r="AB777" s="41"/>
      <c r="AC777" s="41"/>
      <c r="AD777" s="41"/>
      <c r="AE777" s="41"/>
      <c r="AF777" s="41"/>
      <c r="AG777" s="41"/>
      <c r="AH777" s="41"/>
      <c r="AI777" s="41"/>
      <c r="AJ777" s="41"/>
      <c r="AK777" s="41"/>
      <c r="AL777" s="41"/>
      <c r="AM777" s="41"/>
      <c r="AN777" s="41"/>
      <c r="AO777" s="41"/>
      <c r="AP777" s="41"/>
      <c r="AQ777" s="41"/>
      <c r="AR777" s="41"/>
      <c r="AS777" s="41"/>
      <c r="AT777" s="41"/>
      <c r="AU777" s="41"/>
      <c r="AV777" s="41"/>
      <c r="AW777" s="41"/>
      <c r="AX777" s="41"/>
      <c r="AY777" s="41"/>
      <c r="AZ777" s="41"/>
      <c r="BA777" s="41"/>
      <c r="BB777" s="41"/>
      <c r="BC777" s="41"/>
      <c r="BD777" s="41"/>
      <c r="BE777" s="41"/>
      <c r="BF777" s="41"/>
      <c r="BG777" s="41"/>
      <c r="BH777" s="41"/>
      <c r="BJ777" s="41"/>
      <c r="BK777" s="41"/>
      <c r="BL777" s="41"/>
      <c r="BM777" s="41"/>
      <c r="BN777" s="41"/>
      <c r="BO777" s="41"/>
      <c r="BP777" s="41"/>
      <c r="BQ777" s="41"/>
      <c r="BR777" s="41"/>
      <c r="BS777" s="41">
        <v>0.05</v>
      </c>
      <c r="BT777" s="41">
        <v>0.1</v>
      </c>
      <c r="BU777" s="41"/>
      <c r="BV777" s="41">
        <v>0.05</v>
      </c>
      <c r="BW777" s="41">
        <v>0.05</v>
      </c>
      <c r="BX777" s="41"/>
      <c r="BY777" s="41"/>
      <c r="BZ777" s="41"/>
      <c r="CA777" s="41"/>
      <c r="CB777" s="41"/>
      <c r="CC777" s="41"/>
      <c r="CD777" s="41"/>
      <c r="CE777" s="41">
        <v>0.1</v>
      </c>
      <c r="CF777" s="41">
        <v>0.05</v>
      </c>
      <c r="CG777" s="41">
        <v>0.05</v>
      </c>
      <c r="CH777" s="41">
        <v>0.05</v>
      </c>
      <c r="CI777" s="41"/>
      <c r="CJ777" s="41">
        <v>0.05</v>
      </c>
      <c r="CK777" s="41"/>
      <c r="CL777" s="41">
        <v>0.2</v>
      </c>
      <c r="CM777" s="41"/>
      <c r="CN777" s="41"/>
      <c r="CO777" s="41"/>
      <c r="CP777" s="41"/>
      <c r="CQ777" s="41"/>
      <c r="CR777" s="41"/>
      <c r="CS777" s="41"/>
      <c r="CT777" s="41"/>
      <c r="CU777" s="41">
        <v>0.05</v>
      </c>
      <c r="CV777" s="41"/>
      <c r="CW777" s="41"/>
      <c r="CX777" s="41"/>
      <c r="CY777" s="41"/>
      <c r="CZ777" s="41"/>
      <c r="DA777" s="41"/>
      <c r="DB777" s="41"/>
      <c r="DC777" s="41"/>
      <c r="DD777" s="41">
        <v>0.05</v>
      </c>
      <c r="DE777" s="41"/>
      <c r="DF777" s="41"/>
      <c r="DG777" s="41"/>
      <c r="DH777" s="41"/>
      <c r="DI777" s="41"/>
      <c r="DJ777" s="41"/>
      <c r="DK777" s="41"/>
      <c r="DL777" s="41">
        <v>0.15</v>
      </c>
      <c r="DM777" s="41"/>
      <c r="DN777" s="41"/>
      <c r="DO777" s="41"/>
      <c r="DP777" s="41"/>
      <c r="DQ777" s="41"/>
      <c r="DR777" s="41"/>
      <c r="DS777" s="43"/>
      <c r="DT777" s="44">
        <f t="shared" ref="DT777" si="759">SUM(F777:DR777)</f>
        <v>1</v>
      </c>
    </row>
    <row r="778" spans="2:124" s="13" customFormat="1">
      <c r="B778" s="4">
        <f>'6.1Personnel List'!B779</f>
        <v>766</v>
      </c>
      <c r="C778" s="45" t="s">
        <v>995</v>
      </c>
      <c r="D778" s="45" t="str">
        <f>'6.1Personnel List'!D779</f>
        <v>Nurse III</v>
      </c>
      <c r="E778" s="45" t="str">
        <f>'6.1Personnel List'!H779</f>
        <v>FT</v>
      </c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  <c r="AA778" s="41"/>
      <c r="AB778" s="41"/>
      <c r="AC778" s="41"/>
      <c r="AD778" s="41"/>
      <c r="AE778" s="41"/>
      <c r="AF778" s="41"/>
      <c r="AG778" s="41"/>
      <c r="AH778" s="41"/>
      <c r="AI778" s="41"/>
      <c r="AJ778" s="41"/>
      <c r="AK778" s="41"/>
      <c r="AL778" s="41"/>
      <c r="AM778" s="41"/>
      <c r="AN778" s="41"/>
      <c r="AO778" s="41"/>
      <c r="AP778" s="41"/>
      <c r="AQ778" s="41"/>
      <c r="AR778" s="41"/>
      <c r="AS778" s="41"/>
      <c r="AT778" s="41"/>
      <c r="AU778" s="41"/>
      <c r="AV778" s="41"/>
      <c r="AW778" s="41"/>
      <c r="AX778" s="41"/>
      <c r="AY778" s="41"/>
      <c r="AZ778" s="41"/>
      <c r="BA778" s="41"/>
      <c r="BB778" s="41"/>
      <c r="BC778" s="41"/>
      <c r="BD778" s="41"/>
      <c r="BE778" s="41"/>
      <c r="BF778" s="41"/>
      <c r="BG778" s="41"/>
      <c r="BH778" s="41"/>
      <c r="BJ778" s="41"/>
      <c r="BK778" s="41"/>
      <c r="BL778" s="41"/>
      <c r="BM778" s="41"/>
      <c r="BN778" s="41"/>
      <c r="BO778" s="41"/>
      <c r="BP778" s="41"/>
      <c r="BQ778" s="41"/>
      <c r="BR778" s="41"/>
      <c r="BS778" s="41"/>
      <c r="BT778" s="41">
        <v>0.05</v>
      </c>
      <c r="BU778" s="41"/>
      <c r="BV778" s="41">
        <v>0.05</v>
      </c>
      <c r="BW778" s="41"/>
      <c r="BX778" s="41"/>
      <c r="BY778" s="41"/>
      <c r="BZ778" s="41"/>
      <c r="CA778" s="41"/>
      <c r="CB778" s="41">
        <v>0.05</v>
      </c>
      <c r="CC778" s="41"/>
      <c r="CD778" s="41"/>
      <c r="CE778" s="41">
        <v>0.05</v>
      </c>
      <c r="CF778" s="41">
        <v>0.02</v>
      </c>
      <c r="CG778" s="41">
        <v>0.03</v>
      </c>
      <c r="CH778" s="41"/>
      <c r="CI778" s="41"/>
      <c r="CJ778" s="41"/>
      <c r="CK778" s="41"/>
      <c r="CL778" s="41">
        <v>0.75</v>
      </c>
      <c r="CM778" s="41"/>
      <c r="CN778" s="41"/>
      <c r="CO778" s="41"/>
      <c r="CP778" s="41"/>
      <c r="CQ778" s="41"/>
      <c r="CR778" s="41"/>
      <c r="CS778" s="41"/>
      <c r="CT778" s="41"/>
      <c r="CU778" s="41"/>
      <c r="CV778" s="41"/>
      <c r="CW778" s="41"/>
      <c r="CX778" s="41"/>
      <c r="CY778" s="41"/>
      <c r="CZ778" s="41"/>
      <c r="DA778" s="41"/>
      <c r="DB778" s="41"/>
      <c r="DC778" s="41"/>
      <c r="DD778" s="41"/>
      <c r="DE778" s="41"/>
      <c r="DF778" s="41"/>
      <c r="DG778" s="41"/>
      <c r="DH778" s="41"/>
      <c r="DI778" s="41"/>
      <c r="DJ778" s="41"/>
      <c r="DK778" s="41"/>
      <c r="DL778" s="41"/>
      <c r="DM778" s="41"/>
      <c r="DN778" s="41"/>
      <c r="DO778" s="41"/>
      <c r="DP778" s="41"/>
      <c r="DQ778" s="41"/>
      <c r="DR778" s="41"/>
      <c r="DS778" s="43"/>
      <c r="DT778" s="44">
        <f t="shared" ref="DT778" si="760">SUM(F778:DR778)</f>
        <v>1</v>
      </c>
    </row>
    <row r="779" spans="2:124" s="13" customFormat="1">
      <c r="B779" s="4">
        <f>'6.1Personnel List'!B780</f>
        <v>767</v>
      </c>
      <c r="C779" s="45" t="s">
        <v>996</v>
      </c>
      <c r="D779" s="45" t="str">
        <f>'6.1Personnel List'!D780</f>
        <v>Nurse III</v>
      </c>
      <c r="E779" s="45" t="str">
        <f>'6.1Personnel List'!H780</f>
        <v>FT</v>
      </c>
      <c r="G779" s="41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  <c r="AA779" s="41"/>
      <c r="AB779" s="41"/>
      <c r="AC779" s="41"/>
      <c r="AD779" s="41"/>
      <c r="AE779" s="41"/>
      <c r="AF779" s="41"/>
      <c r="AG779" s="41"/>
      <c r="AH779" s="41"/>
      <c r="AI779" s="41"/>
      <c r="AJ779" s="41"/>
      <c r="AK779" s="41"/>
      <c r="AL779" s="41"/>
      <c r="AM779" s="41"/>
      <c r="AN779" s="41"/>
      <c r="AO779" s="41"/>
      <c r="AP779" s="41"/>
      <c r="AQ779" s="41"/>
      <c r="AR779" s="41"/>
      <c r="AS779" s="41"/>
      <c r="AT779" s="41"/>
      <c r="AU779" s="41"/>
      <c r="AV779" s="41"/>
      <c r="AW779" s="41"/>
      <c r="AX779" s="41"/>
      <c r="AY779" s="41"/>
      <c r="AZ779" s="41"/>
      <c r="BA779" s="41"/>
      <c r="BB779" s="41"/>
      <c r="BC779" s="41"/>
      <c r="BD779" s="41"/>
      <c r="BE779" s="41"/>
      <c r="BF779" s="41"/>
      <c r="BG779" s="41"/>
      <c r="BH779" s="41"/>
      <c r="BJ779" s="41"/>
      <c r="BK779" s="41"/>
      <c r="BL779" s="41"/>
      <c r="BM779" s="41"/>
      <c r="BN779" s="41"/>
      <c r="BO779" s="41"/>
      <c r="BP779" s="41"/>
      <c r="BQ779" s="41"/>
      <c r="BR779" s="41"/>
      <c r="BS779" s="41"/>
      <c r="BT779" s="41"/>
      <c r="BU779" s="41"/>
      <c r="BV779" s="41"/>
      <c r="BW779" s="41"/>
      <c r="BX779" s="41"/>
      <c r="BY779" s="41"/>
      <c r="BZ779" s="41"/>
      <c r="CA779" s="41"/>
      <c r="CB779" s="41"/>
      <c r="CC779" s="41"/>
      <c r="CD779" s="41"/>
      <c r="CE779" s="41"/>
      <c r="CF779" s="41"/>
      <c r="CG779" s="41"/>
      <c r="CH779" s="41"/>
      <c r="CI779" s="41"/>
      <c r="CJ779" s="41"/>
      <c r="CK779" s="41"/>
      <c r="CL779" s="41"/>
      <c r="CM779" s="41"/>
      <c r="CN779" s="41"/>
      <c r="CO779" s="41"/>
      <c r="CP779" s="41"/>
      <c r="CQ779" s="41"/>
      <c r="CR779" s="41"/>
      <c r="CS779" s="41"/>
      <c r="CT779" s="41"/>
      <c r="CU779" s="41"/>
      <c r="CV779" s="41"/>
      <c r="CW779" s="41"/>
      <c r="CX779" s="41"/>
      <c r="CY779" s="41"/>
      <c r="CZ779" s="41"/>
      <c r="DA779" s="41"/>
      <c r="DB779" s="41"/>
      <c r="DC779" s="41"/>
      <c r="DD779" s="41"/>
      <c r="DE779" s="41"/>
      <c r="DF779" s="41"/>
      <c r="DG779" s="41"/>
      <c r="DH779" s="41"/>
      <c r="DI779" s="41"/>
      <c r="DJ779" s="41">
        <v>1</v>
      </c>
      <c r="DK779" s="41"/>
      <c r="DL779" s="41"/>
      <c r="DM779" s="41"/>
      <c r="DN779" s="41"/>
      <c r="DO779" s="41"/>
      <c r="DP779" s="41"/>
      <c r="DQ779" s="41"/>
      <c r="DR779" s="41"/>
      <c r="DS779" s="43"/>
      <c r="DT779" s="44">
        <f t="shared" ref="DT779" si="761">SUM(F779:DR779)</f>
        <v>1</v>
      </c>
    </row>
    <row r="780" spans="2:124" s="13" customFormat="1">
      <c r="B780" s="4">
        <f>'6.1Personnel List'!B781</f>
        <v>768</v>
      </c>
      <c r="C780" s="45" t="s">
        <v>997</v>
      </c>
      <c r="D780" s="45" t="str">
        <f>'6.1Personnel List'!D781</f>
        <v>Nurse III</v>
      </c>
      <c r="E780" s="45" t="str">
        <f>'6.1Personnel List'!H781</f>
        <v>FT</v>
      </c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  <c r="AA780" s="41"/>
      <c r="AB780" s="41"/>
      <c r="AC780" s="41"/>
      <c r="AD780" s="41"/>
      <c r="AE780" s="41"/>
      <c r="AF780" s="41"/>
      <c r="AG780" s="41"/>
      <c r="AH780" s="41"/>
      <c r="AI780" s="41"/>
      <c r="AJ780" s="41"/>
      <c r="AK780" s="41"/>
      <c r="AL780" s="41"/>
      <c r="AM780" s="41"/>
      <c r="AN780" s="41"/>
      <c r="AO780" s="41"/>
      <c r="AP780" s="41"/>
      <c r="AQ780" s="41"/>
      <c r="AR780" s="41"/>
      <c r="AS780" s="41"/>
      <c r="AT780" s="41"/>
      <c r="AU780" s="41"/>
      <c r="AV780" s="41"/>
      <c r="AW780" s="41"/>
      <c r="AX780" s="41"/>
      <c r="AY780" s="41"/>
      <c r="AZ780" s="41"/>
      <c r="BA780" s="41"/>
      <c r="BB780" s="41"/>
      <c r="BC780" s="41"/>
      <c r="BD780" s="41"/>
      <c r="BE780" s="41"/>
      <c r="BF780" s="41"/>
      <c r="BG780" s="41"/>
      <c r="BH780" s="41"/>
      <c r="BJ780" s="41"/>
      <c r="BK780" s="41"/>
      <c r="BL780" s="41"/>
      <c r="BM780" s="41"/>
      <c r="BN780" s="41"/>
      <c r="BO780" s="41"/>
      <c r="BP780" s="41"/>
      <c r="BQ780" s="41"/>
      <c r="BR780" s="41"/>
      <c r="BS780" s="41"/>
      <c r="BT780" s="41"/>
      <c r="BU780" s="41"/>
      <c r="BV780" s="41">
        <v>0.02</v>
      </c>
      <c r="BW780" s="41">
        <v>0.3</v>
      </c>
      <c r="BX780" s="41"/>
      <c r="BY780" s="41"/>
      <c r="BZ780" s="41"/>
      <c r="CA780" s="41"/>
      <c r="CB780" s="41"/>
      <c r="CC780" s="41"/>
      <c r="CD780" s="41"/>
      <c r="CE780" s="41">
        <v>0.02</v>
      </c>
      <c r="CF780" s="41">
        <v>0.02</v>
      </c>
      <c r="CG780" s="41">
        <v>0.02</v>
      </c>
      <c r="CH780" s="41"/>
      <c r="CI780" s="41"/>
      <c r="CJ780" s="41"/>
      <c r="CK780" s="41">
        <v>0.02</v>
      </c>
      <c r="CL780" s="41"/>
      <c r="CM780" s="41"/>
      <c r="CN780" s="41"/>
      <c r="CO780" s="41"/>
      <c r="CP780" s="41"/>
      <c r="CQ780" s="41"/>
      <c r="CR780" s="41"/>
      <c r="CS780" s="41"/>
      <c r="CT780" s="41"/>
      <c r="CU780" s="41"/>
      <c r="CV780" s="41"/>
      <c r="CW780" s="41"/>
      <c r="CX780" s="41"/>
      <c r="CY780" s="41"/>
      <c r="CZ780" s="41"/>
      <c r="DA780" s="41"/>
      <c r="DB780" s="41"/>
      <c r="DC780" s="41"/>
      <c r="DD780" s="41"/>
      <c r="DE780" s="41"/>
      <c r="DF780" s="41"/>
      <c r="DG780" s="41"/>
      <c r="DH780" s="41"/>
      <c r="DI780" s="41"/>
      <c r="DJ780" s="41"/>
      <c r="DK780" s="41"/>
      <c r="DL780" s="41"/>
      <c r="DM780" s="41">
        <v>0.6</v>
      </c>
      <c r="DN780" s="41"/>
      <c r="DO780" s="41"/>
      <c r="DP780" s="41"/>
      <c r="DQ780" s="41"/>
      <c r="DR780" s="41"/>
      <c r="DS780" s="43"/>
      <c r="DT780" s="44">
        <f t="shared" ref="DT780" si="762">SUM(F780:DR780)</f>
        <v>1</v>
      </c>
    </row>
    <row r="781" spans="2:124" s="13" customFormat="1">
      <c r="B781" s="4">
        <f>'6.1Personnel List'!B782</f>
        <v>769</v>
      </c>
      <c r="C781" s="45" t="s">
        <v>998</v>
      </c>
      <c r="D781" s="45" t="str">
        <f>'6.1Personnel List'!D782</f>
        <v>Nurse III</v>
      </c>
      <c r="E781" s="45" t="str">
        <f>'6.1Personnel List'!H782</f>
        <v>FT</v>
      </c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  <c r="AA781" s="41"/>
      <c r="AB781" s="41"/>
      <c r="AC781" s="41"/>
      <c r="AD781" s="41"/>
      <c r="AE781" s="41"/>
      <c r="AF781" s="41"/>
      <c r="AG781" s="41"/>
      <c r="AH781" s="41"/>
      <c r="AI781" s="41"/>
      <c r="AJ781" s="41"/>
      <c r="AK781" s="41"/>
      <c r="AL781" s="41"/>
      <c r="AM781" s="41"/>
      <c r="AN781" s="41"/>
      <c r="AO781" s="41"/>
      <c r="AP781" s="41"/>
      <c r="AQ781" s="41"/>
      <c r="AR781" s="41"/>
      <c r="AS781" s="41"/>
      <c r="AT781" s="41"/>
      <c r="AU781" s="41"/>
      <c r="AV781" s="41"/>
      <c r="AW781" s="41"/>
      <c r="AX781" s="41"/>
      <c r="AY781" s="41"/>
      <c r="AZ781" s="41"/>
      <c r="BA781" s="41"/>
      <c r="BB781" s="41"/>
      <c r="BC781" s="41"/>
      <c r="BD781" s="41"/>
      <c r="BE781" s="41"/>
      <c r="BF781" s="41"/>
      <c r="BG781" s="41"/>
      <c r="BH781" s="41"/>
      <c r="BJ781" s="41"/>
      <c r="BK781" s="94"/>
      <c r="BL781" s="94"/>
      <c r="BM781" s="94"/>
      <c r="BN781" s="94"/>
      <c r="BO781" s="94"/>
      <c r="BP781" s="94"/>
      <c r="BQ781" s="94"/>
      <c r="BR781" s="94"/>
      <c r="BS781" s="94"/>
      <c r="BT781" s="94"/>
      <c r="BU781" s="94"/>
      <c r="BV781" s="94"/>
      <c r="BW781" s="94"/>
      <c r="BX781" s="94"/>
      <c r="BY781" s="94"/>
      <c r="BZ781" s="94"/>
      <c r="CA781" s="94"/>
      <c r="CB781" s="94"/>
      <c r="CC781" s="94"/>
      <c r="CD781" s="94"/>
      <c r="CE781" s="94"/>
      <c r="CF781" s="94"/>
      <c r="CG781" s="94"/>
      <c r="CH781" s="94"/>
      <c r="CI781" s="94"/>
      <c r="CJ781" s="94"/>
      <c r="CK781" s="94"/>
      <c r="CL781" s="94"/>
      <c r="CM781" s="94"/>
      <c r="CN781" s="94"/>
      <c r="CO781" s="94"/>
      <c r="CP781" s="94"/>
      <c r="CQ781" s="94"/>
      <c r="CR781" s="94"/>
      <c r="CS781" s="94"/>
      <c r="CT781" s="94"/>
      <c r="CU781" s="94"/>
      <c r="CV781" s="94"/>
      <c r="CW781" s="94"/>
      <c r="CX781" s="94"/>
      <c r="CY781" s="94"/>
      <c r="CZ781" s="94"/>
      <c r="DA781" s="94"/>
      <c r="DB781" s="94"/>
      <c r="DC781" s="94"/>
      <c r="DD781" s="94"/>
      <c r="DE781" s="94"/>
      <c r="DF781" s="94"/>
      <c r="DG781" s="94"/>
      <c r="DH781" s="94"/>
      <c r="DI781" s="94"/>
      <c r="DJ781" s="94"/>
      <c r="DK781" s="41">
        <v>1</v>
      </c>
      <c r="DL781" s="41"/>
      <c r="DM781" s="41"/>
      <c r="DN781" s="41"/>
      <c r="DO781" s="41"/>
      <c r="DP781" s="41"/>
      <c r="DQ781" s="41"/>
      <c r="DR781" s="41"/>
      <c r="DS781" s="43"/>
      <c r="DT781" s="44">
        <f t="shared" ref="DT781" si="763">SUM(F781:DR781)</f>
        <v>1</v>
      </c>
    </row>
    <row r="782" spans="2:124" s="13" customFormat="1">
      <c r="B782" s="4">
        <f>'6.1Personnel List'!B783</f>
        <v>770</v>
      </c>
      <c r="C782" s="45" t="s">
        <v>999</v>
      </c>
      <c r="D782" s="45" t="str">
        <f>'6.1Personnel List'!D783</f>
        <v>Nurse III</v>
      </c>
      <c r="E782" s="45" t="str">
        <f>'6.1Personnel List'!H783</f>
        <v>FT</v>
      </c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  <c r="AA782" s="41"/>
      <c r="AB782" s="41"/>
      <c r="AC782" s="41"/>
      <c r="AD782" s="41"/>
      <c r="AE782" s="41"/>
      <c r="AF782" s="41"/>
      <c r="AG782" s="41"/>
      <c r="AH782" s="41"/>
      <c r="AI782" s="41"/>
      <c r="AJ782" s="41"/>
      <c r="AK782" s="41"/>
      <c r="AL782" s="41"/>
      <c r="AM782" s="41"/>
      <c r="AN782" s="41"/>
      <c r="AO782" s="41"/>
      <c r="AP782" s="41"/>
      <c r="AQ782" s="41"/>
      <c r="AR782" s="41"/>
      <c r="AS782" s="41"/>
      <c r="AT782" s="41"/>
      <c r="AU782" s="41"/>
      <c r="AV782" s="41"/>
      <c r="AW782" s="41"/>
      <c r="AX782" s="41"/>
      <c r="AY782" s="41"/>
      <c r="AZ782" s="41"/>
      <c r="BA782" s="41"/>
      <c r="BB782" s="41"/>
      <c r="BC782" s="41"/>
      <c r="BD782" s="41"/>
      <c r="BE782" s="41"/>
      <c r="BF782" s="41"/>
      <c r="BG782" s="41"/>
      <c r="BH782" s="41"/>
      <c r="BJ782" s="41"/>
      <c r="BK782" s="41"/>
      <c r="BL782" s="41"/>
      <c r="BM782" s="41"/>
      <c r="BN782" s="41"/>
      <c r="BO782" s="41"/>
      <c r="BP782" s="41"/>
      <c r="BQ782" s="41"/>
      <c r="BR782" s="41"/>
      <c r="BS782" s="41">
        <v>0.05</v>
      </c>
      <c r="BT782" s="41">
        <v>0.1</v>
      </c>
      <c r="BU782" s="41"/>
      <c r="BV782" s="41">
        <v>0.05</v>
      </c>
      <c r="BW782" s="41">
        <v>0.05</v>
      </c>
      <c r="BX782" s="41"/>
      <c r="BY782" s="41"/>
      <c r="BZ782" s="41"/>
      <c r="CA782" s="41"/>
      <c r="CB782" s="41"/>
      <c r="CC782" s="41"/>
      <c r="CD782" s="41"/>
      <c r="CE782" s="41">
        <v>0.1</v>
      </c>
      <c r="CF782" s="41">
        <v>0.05</v>
      </c>
      <c r="CG782" s="41">
        <v>0.05</v>
      </c>
      <c r="CH782" s="41">
        <v>0.05</v>
      </c>
      <c r="CI782" s="41"/>
      <c r="CJ782" s="41">
        <v>0.05</v>
      </c>
      <c r="CK782" s="41"/>
      <c r="CL782" s="41">
        <v>0.2</v>
      </c>
      <c r="CM782" s="41"/>
      <c r="CN782" s="41"/>
      <c r="CO782" s="41"/>
      <c r="CP782" s="41"/>
      <c r="CQ782" s="41"/>
      <c r="CR782" s="41"/>
      <c r="CS782" s="41"/>
      <c r="CT782" s="41"/>
      <c r="CU782" s="41">
        <v>0.05</v>
      </c>
      <c r="CV782" s="41"/>
      <c r="CW782" s="41"/>
      <c r="CX782" s="41"/>
      <c r="CY782" s="41"/>
      <c r="CZ782" s="41"/>
      <c r="DA782" s="41"/>
      <c r="DB782" s="41"/>
      <c r="DC782" s="41"/>
      <c r="DD782" s="41">
        <v>0.05</v>
      </c>
      <c r="DE782" s="41"/>
      <c r="DF782" s="41"/>
      <c r="DG782" s="41"/>
      <c r="DH782" s="41"/>
      <c r="DI782" s="41"/>
      <c r="DJ782" s="41"/>
      <c r="DK782" s="41"/>
      <c r="DL782" s="41"/>
      <c r="DM782" s="41"/>
      <c r="DN782" s="41"/>
      <c r="DO782" s="41"/>
      <c r="DP782" s="41">
        <v>0.15</v>
      </c>
      <c r="DQ782" s="41"/>
      <c r="DR782" s="41"/>
      <c r="DS782" s="43"/>
      <c r="DT782" s="44">
        <f t="shared" ref="DT782" si="764">SUM(F782:DR782)</f>
        <v>1</v>
      </c>
    </row>
    <row r="783" spans="2:124" s="13" customFormat="1">
      <c r="B783" s="4">
        <f>'6.1Personnel List'!B784</f>
        <v>771</v>
      </c>
      <c r="C783" s="45" t="s">
        <v>1000</v>
      </c>
      <c r="D783" s="45" t="str">
        <f>'6.1Personnel List'!D784</f>
        <v>Nurse III</v>
      </c>
      <c r="E783" s="45" t="str">
        <f>'6.1Personnel List'!H784</f>
        <v>FT</v>
      </c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  <c r="AA783" s="41"/>
      <c r="AB783" s="41"/>
      <c r="AC783" s="41"/>
      <c r="AD783" s="41"/>
      <c r="AE783" s="41"/>
      <c r="AF783" s="41"/>
      <c r="AG783" s="41"/>
      <c r="AH783" s="41"/>
      <c r="AI783" s="41"/>
      <c r="AJ783" s="41"/>
      <c r="AK783" s="41"/>
      <c r="AL783" s="41"/>
      <c r="AM783" s="41"/>
      <c r="AN783" s="41"/>
      <c r="AO783" s="41"/>
      <c r="AP783" s="41"/>
      <c r="AQ783" s="41"/>
      <c r="AR783" s="41"/>
      <c r="AS783" s="41"/>
      <c r="AT783" s="41"/>
      <c r="AU783" s="41"/>
      <c r="AV783" s="41"/>
      <c r="AW783" s="41"/>
      <c r="AX783" s="41"/>
      <c r="AY783" s="41"/>
      <c r="AZ783" s="41"/>
      <c r="BA783" s="41"/>
      <c r="BB783" s="41"/>
      <c r="BC783" s="41"/>
      <c r="BD783" s="41"/>
      <c r="BE783" s="41"/>
      <c r="BF783" s="41"/>
      <c r="BG783" s="41"/>
      <c r="BH783" s="41"/>
      <c r="BJ783" s="41"/>
      <c r="BK783" s="41"/>
      <c r="BL783" s="41"/>
      <c r="BM783" s="41"/>
      <c r="BN783" s="41"/>
      <c r="BO783" s="41"/>
      <c r="BP783" s="41"/>
      <c r="BQ783" s="41"/>
      <c r="BR783" s="41"/>
      <c r="BS783" s="41">
        <v>0.05</v>
      </c>
      <c r="BT783" s="41">
        <v>0.1</v>
      </c>
      <c r="BU783" s="41"/>
      <c r="BV783" s="41">
        <v>0.05</v>
      </c>
      <c r="BW783" s="41">
        <v>0.05</v>
      </c>
      <c r="BX783" s="41"/>
      <c r="BY783" s="41"/>
      <c r="BZ783" s="41"/>
      <c r="CA783" s="41"/>
      <c r="CB783" s="41"/>
      <c r="CC783" s="41"/>
      <c r="CD783" s="41"/>
      <c r="CE783" s="41">
        <v>0.1</v>
      </c>
      <c r="CF783" s="41">
        <v>0.05</v>
      </c>
      <c r="CG783" s="41">
        <v>0.05</v>
      </c>
      <c r="CH783" s="41">
        <v>0.05</v>
      </c>
      <c r="CI783" s="41"/>
      <c r="CJ783" s="41">
        <v>0.05</v>
      </c>
      <c r="CK783" s="41"/>
      <c r="CL783" s="41">
        <v>0.2</v>
      </c>
      <c r="CM783" s="41"/>
      <c r="CN783" s="41"/>
      <c r="CO783" s="41"/>
      <c r="CP783" s="41"/>
      <c r="CQ783" s="41"/>
      <c r="CR783" s="41"/>
      <c r="CS783" s="41"/>
      <c r="CT783" s="41"/>
      <c r="CU783" s="41">
        <v>0.05</v>
      </c>
      <c r="CV783" s="41"/>
      <c r="CW783" s="41"/>
      <c r="CX783" s="41"/>
      <c r="CY783" s="41"/>
      <c r="CZ783" s="41"/>
      <c r="DA783" s="41"/>
      <c r="DB783" s="41"/>
      <c r="DC783" s="41"/>
      <c r="DD783" s="41">
        <v>0.05</v>
      </c>
      <c r="DE783" s="41"/>
      <c r="DF783" s="41"/>
      <c r="DG783" s="41"/>
      <c r="DH783" s="41"/>
      <c r="DI783" s="41"/>
      <c r="DJ783" s="41"/>
      <c r="DK783" s="41"/>
      <c r="DL783" s="41">
        <v>0.15</v>
      </c>
      <c r="DM783" s="41"/>
      <c r="DN783" s="41"/>
      <c r="DO783" s="41"/>
      <c r="DP783" s="41"/>
      <c r="DQ783" s="41"/>
      <c r="DR783" s="41"/>
      <c r="DS783" s="43"/>
      <c r="DT783" s="44">
        <f t="shared" ref="DT783" si="765">SUM(F783:DR783)</f>
        <v>1</v>
      </c>
    </row>
    <row r="784" spans="2:124" s="13" customFormat="1">
      <c r="B784" s="4">
        <f>'6.1Personnel List'!B785</f>
        <v>772</v>
      </c>
      <c r="C784" s="45" t="s">
        <v>1001</v>
      </c>
      <c r="D784" s="45" t="str">
        <f>'6.1Personnel List'!D785</f>
        <v>Nurse III</v>
      </c>
      <c r="E784" s="45" t="str">
        <f>'6.1Personnel List'!H785</f>
        <v>FT</v>
      </c>
      <c r="G784" s="4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  <c r="AA784" s="41"/>
      <c r="AB784" s="41"/>
      <c r="AC784" s="41"/>
      <c r="AD784" s="41"/>
      <c r="AE784" s="41"/>
      <c r="AF784" s="41"/>
      <c r="AG784" s="41"/>
      <c r="AH784" s="41"/>
      <c r="AI784" s="41"/>
      <c r="AJ784" s="41"/>
      <c r="AK784" s="41"/>
      <c r="AL784" s="41"/>
      <c r="AM784" s="41"/>
      <c r="AN784" s="41"/>
      <c r="AO784" s="41"/>
      <c r="AP784" s="41"/>
      <c r="AQ784" s="41"/>
      <c r="AR784" s="41"/>
      <c r="AS784" s="41"/>
      <c r="AT784" s="41"/>
      <c r="AU784" s="41"/>
      <c r="AV784" s="41"/>
      <c r="AW784" s="41"/>
      <c r="AX784" s="41"/>
      <c r="AY784" s="41"/>
      <c r="AZ784" s="41"/>
      <c r="BA784" s="41"/>
      <c r="BB784" s="41"/>
      <c r="BC784" s="41"/>
      <c r="BD784" s="41"/>
      <c r="BE784" s="41"/>
      <c r="BF784" s="41"/>
      <c r="BG784" s="41"/>
      <c r="BH784" s="41"/>
      <c r="BJ784" s="41"/>
      <c r="BK784" s="41"/>
      <c r="BL784" s="41"/>
      <c r="BM784" s="41"/>
      <c r="BN784" s="41"/>
      <c r="BO784" s="41"/>
      <c r="BP784" s="41"/>
      <c r="BQ784" s="41"/>
      <c r="BR784" s="41"/>
      <c r="BS784" s="41"/>
      <c r="BT784" s="41"/>
      <c r="BU784" s="41"/>
      <c r="BV784" s="41">
        <v>0.02</v>
      </c>
      <c r="BW784" s="41">
        <v>0.3</v>
      </c>
      <c r="BX784" s="41"/>
      <c r="BY784" s="41"/>
      <c r="BZ784" s="41"/>
      <c r="CA784" s="41"/>
      <c r="CB784" s="41"/>
      <c r="CC784" s="41"/>
      <c r="CD784" s="41"/>
      <c r="CE784" s="41">
        <v>0.02</v>
      </c>
      <c r="CF784" s="41">
        <v>0.02</v>
      </c>
      <c r="CG784" s="41">
        <v>0.02</v>
      </c>
      <c r="CH784" s="41"/>
      <c r="CI784" s="41"/>
      <c r="CJ784" s="41"/>
      <c r="CK784" s="41">
        <v>0.02</v>
      </c>
      <c r="CL784" s="41"/>
      <c r="CM784" s="41"/>
      <c r="CN784" s="41"/>
      <c r="CO784" s="41"/>
      <c r="CP784" s="41"/>
      <c r="CQ784" s="41"/>
      <c r="CR784" s="41"/>
      <c r="CS784" s="41"/>
      <c r="CT784" s="41"/>
      <c r="CU784" s="41"/>
      <c r="CV784" s="41"/>
      <c r="CW784" s="41"/>
      <c r="CX784" s="41"/>
      <c r="CY784" s="41"/>
      <c r="CZ784" s="41"/>
      <c r="DA784" s="41"/>
      <c r="DB784" s="41"/>
      <c r="DC784" s="41"/>
      <c r="DD784" s="41"/>
      <c r="DE784" s="41"/>
      <c r="DF784" s="41"/>
      <c r="DG784" s="41"/>
      <c r="DH784" s="41"/>
      <c r="DI784" s="41"/>
      <c r="DJ784" s="41"/>
      <c r="DK784" s="41"/>
      <c r="DL784" s="41"/>
      <c r="DM784" s="41">
        <v>0.6</v>
      </c>
      <c r="DN784" s="41"/>
      <c r="DO784" s="41"/>
      <c r="DP784" s="41"/>
      <c r="DQ784" s="41"/>
      <c r="DR784" s="41"/>
      <c r="DS784" s="43"/>
      <c r="DT784" s="44">
        <f t="shared" ref="DT784" si="766">SUM(F784:DR784)</f>
        <v>1</v>
      </c>
    </row>
    <row r="785" spans="2:124" s="13" customFormat="1">
      <c r="B785" s="4">
        <f>'6.1Personnel List'!B786</f>
        <v>773</v>
      </c>
      <c r="C785" s="45" t="s">
        <v>1002</v>
      </c>
      <c r="D785" s="45" t="str">
        <f>'6.1Personnel List'!D786</f>
        <v>Nurse III</v>
      </c>
      <c r="E785" s="45" t="str">
        <f>'6.1Personnel List'!H786</f>
        <v>FT</v>
      </c>
      <c r="G785" s="41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1"/>
      <c r="AH785" s="41"/>
      <c r="AI785" s="41"/>
      <c r="AJ785" s="41"/>
      <c r="AK785" s="41"/>
      <c r="AL785" s="41"/>
      <c r="AM785" s="41"/>
      <c r="AN785" s="41"/>
      <c r="AO785" s="41"/>
      <c r="AP785" s="41"/>
      <c r="AQ785" s="41"/>
      <c r="AR785" s="41"/>
      <c r="AS785" s="41"/>
      <c r="AT785" s="41"/>
      <c r="AU785" s="41"/>
      <c r="AV785" s="41"/>
      <c r="AW785" s="41"/>
      <c r="AX785" s="41"/>
      <c r="AY785" s="41"/>
      <c r="AZ785" s="41"/>
      <c r="BA785" s="41"/>
      <c r="BB785" s="41"/>
      <c r="BC785" s="41"/>
      <c r="BD785" s="41"/>
      <c r="BE785" s="41"/>
      <c r="BF785" s="41"/>
      <c r="BG785" s="41"/>
      <c r="BH785" s="41"/>
      <c r="BJ785" s="41"/>
      <c r="BK785" s="94"/>
      <c r="BL785" s="94"/>
      <c r="BM785" s="94"/>
      <c r="BN785" s="94"/>
      <c r="BO785" s="94"/>
      <c r="BP785" s="94"/>
      <c r="BQ785" s="94"/>
      <c r="BR785" s="94"/>
      <c r="BS785" s="94"/>
      <c r="BT785" s="94"/>
      <c r="BU785" s="94"/>
      <c r="BV785" s="94"/>
      <c r="BW785" s="94">
        <v>0.5</v>
      </c>
      <c r="BX785" s="94"/>
      <c r="BY785" s="94"/>
      <c r="BZ785" s="94"/>
      <c r="CA785" s="94">
        <v>0.5</v>
      </c>
      <c r="CB785" s="94"/>
      <c r="CC785" s="94"/>
      <c r="CD785" s="94"/>
      <c r="CE785" s="94"/>
      <c r="CF785" s="94"/>
      <c r="CG785" s="94"/>
      <c r="CH785" s="94"/>
      <c r="CI785" s="94"/>
      <c r="CJ785" s="94"/>
      <c r="CK785" s="94"/>
      <c r="CL785" s="94"/>
      <c r="CM785" s="94"/>
      <c r="CN785" s="94"/>
      <c r="CO785" s="94"/>
      <c r="CP785" s="94"/>
      <c r="CQ785" s="94"/>
      <c r="CR785" s="94"/>
      <c r="CS785" s="94"/>
      <c r="CT785" s="94"/>
      <c r="CU785" s="94"/>
      <c r="CV785" s="94"/>
      <c r="CW785" s="94"/>
      <c r="CX785" s="94"/>
      <c r="CY785" s="94"/>
      <c r="CZ785" s="94"/>
      <c r="DA785" s="94"/>
      <c r="DB785" s="94"/>
      <c r="DC785" s="94"/>
      <c r="DD785" s="94"/>
      <c r="DE785" s="94"/>
      <c r="DF785" s="94"/>
      <c r="DG785" s="94"/>
      <c r="DH785" s="94"/>
      <c r="DI785" s="94"/>
      <c r="DJ785" s="94"/>
      <c r="DK785" s="41"/>
      <c r="DL785" s="41"/>
      <c r="DM785" s="41"/>
      <c r="DN785" s="41"/>
      <c r="DO785" s="41"/>
      <c r="DP785" s="41"/>
      <c r="DQ785" s="41"/>
      <c r="DR785" s="41"/>
      <c r="DS785" s="43"/>
      <c r="DT785" s="44">
        <f t="shared" ref="DT785" si="767">SUM(F785:DR785)</f>
        <v>1</v>
      </c>
    </row>
    <row r="786" spans="2:124" s="13" customFormat="1">
      <c r="B786" s="4">
        <f>'6.1Personnel List'!B787</f>
        <v>774</v>
      </c>
      <c r="C786" s="45" t="s">
        <v>1003</v>
      </c>
      <c r="D786" s="45" t="str">
        <f>'6.1Personnel List'!D787</f>
        <v>Nurse III</v>
      </c>
      <c r="E786" s="45" t="str">
        <f>'6.1Personnel List'!H787</f>
        <v>FT</v>
      </c>
      <c r="G786" s="41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  <c r="AA786" s="41"/>
      <c r="AB786" s="41"/>
      <c r="AC786" s="41"/>
      <c r="AD786" s="41"/>
      <c r="AE786" s="41"/>
      <c r="AF786" s="41"/>
      <c r="AG786" s="41"/>
      <c r="AH786" s="41"/>
      <c r="AI786" s="41"/>
      <c r="AJ786" s="41"/>
      <c r="AK786" s="41"/>
      <c r="AL786" s="41"/>
      <c r="AM786" s="41"/>
      <c r="AN786" s="41"/>
      <c r="AO786" s="41"/>
      <c r="AP786" s="41"/>
      <c r="AQ786" s="41"/>
      <c r="AR786" s="41"/>
      <c r="AS786" s="41"/>
      <c r="AT786" s="41"/>
      <c r="AU786" s="41"/>
      <c r="AV786" s="41"/>
      <c r="AW786" s="41"/>
      <c r="AX786" s="41"/>
      <c r="AY786" s="41"/>
      <c r="AZ786" s="41"/>
      <c r="BA786" s="41"/>
      <c r="BB786" s="41"/>
      <c r="BC786" s="41"/>
      <c r="BD786" s="41"/>
      <c r="BE786" s="41"/>
      <c r="BF786" s="41"/>
      <c r="BG786" s="41"/>
      <c r="BH786" s="41"/>
      <c r="BJ786" s="41"/>
      <c r="BK786" s="41"/>
      <c r="BL786" s="41"/>
      <c r="BM786" s="41"/>
      <c r="BN786" s="41"/>
      <c r="BO786" s="41"/>
      <c r="BP786" s="41"/>
      <c r="BQ786" s="41"/>
      <c r="BR786" s="41"/>
      <c r="BS786" s="41"/>
      <c r="BT786" s="41"/>
      <c r="BU786" s="41"/>
      <c r="BV786" s="41"/>
      <c r="BW786" s="41"/>
      <c r="BX786" s="41"/>
      <c r="BY786" s="41"/>
      <c r="BZ786" s="41"/>
      <c r="CA786" s="41"/>
      <c r="CB786" s="41"/>
      <c r="CC786" s="41"/>
      <c r="CD786" s="41"/>
      <c r="CE786" s="41"/>
      <c r="CF786" s="41"/>
      <c r="CG786" s="41"/>
      <c r="CH786" s="41"/>
      <c r="CI786" s="41"/>
      <c r="CJ786" s="41"/>
      <c r="CK786" s="41"/>
      <c r="CL786" s="41"/>
      <c r="CM786" s="41"/>
      <c r="CN786" s="41">
        <v>1</v>
      </c>
      <c r="CO786" s="41"/>
      <c r="CP786" s="41"/>
      <c r="CQ786" s="41"/>
      <c r="CR786" s="41"/>
      <c r="CS786" s="41"/>
      <c r="CT786" s="41"/>
      <c r="CU786" s="41"/>
      <c r="CV786" s="41"/>
      <c r="CW786" s="41"/>
      <c r="CX786" s="41"/>
      <c r="CY786" s="41"/>
      <c r="CZ786" s="41"/>
      <c r="DA786" s="41"/>
      <c r="DB786" s="41"/>
      <c r="DC786" s="41"/>
      <c r="DD786" s="41"/>
      <c r="DE786" s="41"/>
      <c r="DF786" s="41"/>
      <c r="DG786" s="41"/>
      <c r="DH786" s="41"/>
      <c r="DI786" s="41"/>
      <c r="DJ786" s="41"/>
      <c r="DK786" s="41"/>
      <c r="DL786" s="41"/>
      <c r="DM786" s="41"/>
      <c r="DN786" s="41"/>
      <c r="DO786" s="41"/>
      <c r="DP786" s="41"/>
      <c r="DQ786" s="41"/>
      <c r="DR786" s="41"/>
      <c r="DS786" s="43"/>
      <c r="DT786" s="44">
        <f t="shared" ref="DT786" si="768">SUM(F786:DR786)</f>
        <v>1</v>
      </c>
    </row>
    <row r="787" spans="2:124" s="13" customFormat="1">
      <c r="B787" s="4">
        <f>'6.1Personnel List'!B788</f>
        <v>775</v>
      </c>
      <c r="C787" s="45" t="s">
        <v>1004</v>
      </c>
      <c r="D787" s="45" t="str">
        <f>'6.1Personnel List'!D788</f>
        <v>Nurse III</v>
      </c>
      <c r="E787" s="45" t="str">
        <f>'6.1Personnel List'!H788</f>
        <v>FT</v>
      </c>
      <c r="G787" s="41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  <c r="AA787" s="41"/>
      <c r="AB787" s="41"/>
      <c r="AC787" s="41"/>
      <c r="AD787" s="41"/>
      <c r="AE787" s="41"/>
      <c r="AF787" s="41"/>
      <c r="AG787" s="41"/>
      <c r="AH787" s="41"/>
      <c r="AI787" s="41"/>
      <c r="AJ787" s="41"/>
      <c r="AK787" s="41"/>
      <c r="AL787" s="41"/>
      <c r="AM787" s="41"/>
      <c r="AN787" s="41"/>
      <c r="AO787" s="41"/>
      <c r="AP787" s="41"/>
      <c r="AQ787" s="41"/>
      <c r="AR787" s="41"/>
      <c r="AS787" s="41"/>
      <c r="AT787" s="41"/>
      <c r="AU787" s="41"/>
      <c r="AV787" s="41"/>
      <c r="AW787" s="41"/>
      <c r="AX787" s="41"/>
      <c r="AY787" s="41"/>
      <c r="AZ787" s="41"/>
      <c r="BA787" s="41"/>
      <c r="BB787" s="41"/>
      <c r="BC787" s="41"/>
      <c r="BD787" s="41"/>
      <c r="BE787" s="41"/>
      <c r="BF787" s="41"/>
      <c r="BG787" s="41"/>
      <c r="BH787" s="41"/>
      <c r="BJ787" s="41"/>
      <c r="BK787" s="94"/>
      <c r="BL787" s="94"/>
      <c r="BM787" s="94"/>
      <c r="BN787" s="94"/>
      <c r="BO787" s="94"/>
      <c r="BP787" s="94"/>
      <c r="BQ787" s="94"/>
      <c r="BR787" s="94"/>
      <c r="BS787" s="94"/>
      <c r="BT787" s="94"/>
      <c r="BU787" s="94"/>
      <c r="BV787" s="94">
        <v>1</v>
      </c>
      <c r="BW787" s="94"/>
      <c r="BX787" s="94"/>
      <c r="BY787" s="94"/>
      <c r="BZ787" s="94"/>
      <c r="CA787" s="94"/>
      <c r="CB787" s="94"/>
      <c r="CC787" s="94"/>
      <c r="CD787" s="94"/>
      <c r="CE787" s="94"/>
      <c r="CF787" s="94"/>
      <c r="CG787" s="94"/>
      <c r="CH787" s="94"/>
      <c r="CI787" s="94"/>
      <c r="CJ787" s="94"/>
      <c r="CK787" s="94"/>
      <c r="CL787" s="94"/>
      <c r="CM787" s="94"/>
      <c r="CN787" s="94"/>
      <c r="CO787" s="94"/>
      <c r="CP787" s="94"/>
      <c r="CQ787" s="94"/>
      <c r="CR787" s="94"/>
      <c r="CS787" s="94"/>
      <c r="CT787" s="94"/>
      <c r="CU787" s="94"/>
      <c r="CV787" s="94"/>
      <c r="CW787" s="94"/>
      <c r="CX787" s="94"/>
      <c r="CY787" s="94"/>
      <c r="CZ787" s="94"/>
      <c r="DA787" s="94"/>
      <c r="DB787" s="94"/>
      <c r="DC787" s="94"/>
      <c r="DD787" s="94"/>
      <c r="DE787" s="94"/>
      <c r="DF787" s="94"/>
      <c r="DG787" s="94"/>
      <c r="DH787" s="94"/>
      <c r="DI787" s="94"/>
      <c r="DJ787" s="94"/>
      <c r="DK787" s="41"/>
      <c r="DL787" s="41"/>
      <c r="DM787" s="41"/>
      <c r="DN787" s="41"/>
      <c r="DO787" s="41"/>
      <c r="DP787" s="41"/>
      <c r="DQ787" s="41"/>
      <c r="DR787" s="41"/>
      <c r="DS787" s="43"/>
      <c r="DT787" s="44">
        <f t="shared" ref="DT787" si="769">SUM(F787:DR787)</f>
        <v>1</v>
      </c>
    </row>
    <row r="788" spans="2:124" s="13" customFormat="1">
      <c r="B788" s="4">
        <f>'6.1Personnel List'!B789</f>
        <v>776</v>
      </c>
      <c r="C788" s="45" t="s">
        <v>1005</v>
      </c>
      <c r="D788" s="45" t="str">
        <f>'6.1Personnel List'!D789</f>
        <v>Nurse III</v>
      </c>
      <c r="E788" s="45" t="str">
        <f>'6.1Personnel List'!H789</f>
        <v>FT</v>
      </c>
      <c r="G788" s="41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1"/>
      <c r="AH788" s="41"/>
      <c r="AI788" s="41"/>
      <c r="AJ788" s="41"/>
      <c r="AK788" s="41"/>
      <c r="AL788" s="41"/>
      <c r="AM788" s="41"/>
      <c r="AN788" s="41"/>
      <c r="AO788" s="41"/>
      <c r="AP788" s="41"/>
      <c r="AQ788" s="41"/>
      <c r="AR788" s="41"/>
      <c r="AS788" s="41"/>
      <c r="AT788" s="41"/>
      <c r="AU788" s="41"/>
      <c r="AV788" s="41"/>
      <c r="AW788" s="41"/>
      <c r="AX788" s="41"/>
      <c r="AY788" s="41"/>
      <c r="AZ788" s="41"/>
      <c r="BA788" s="41"/>
      <c r="BB788" s="41"/>
      <c r="BC788" s="41"/>
      <c r="BD788" s="41"/>
      <c r="BE788" s="41"/>
      <c r="BF788" s="41"/>
      <c r="BG788" s="41"/>
      <c r="BH788" s="41"/>
      <c r="BJ788" s="41"/>
      <c r="BK788" s="41"/>
      <c r="BL788" s="41"/>
      <c r="BM788" s="41"/>
      <c r="BN788" s="41"/>
      <c r="BO788" s="41"/>
      <c r="BP788" s="41"/>
      <c r="BQ788" s="41"/>
      <c r="BR788" s="41"/>
      <c r="BS788" s="41"/>
      <c r="BT788" s="41"/>
      <c r="BU788" s="41"/>
      <c r="BV788" s="41"/>
      <c r="BW788" s="41"/>
      <c r="BX788" s="41"/>
      <c r="BY788" s="41"/>
      <c r="BZ788" s="41"/>
      <c r="CA788" s="41"/>
      <c r="CB788" s="41">
        <v>0.01</v>
      </c>
      <c r="CC788" s="41"/>
      <c r="CD788" s="41"/>
      <c r="CE788" s="41">
        <v>0.02</v>
      </c>
      <c r="CF788" s="41">
        <v>0.02</v>
      </c>
      <c r="CG788" s="41">
        <v>0.1</v>
      </c>
      <c r="CH788" s="41">
        <v>0.1</v>
      </c>
      <c r="CI788" s="41">
        <v>0.02</v>
      </c>
      <c r="CJ788" s="41"/>
      <c r="CK788" s="41">
        <v>0.01</v>
      </c>
      <c r="CL788" s="41">
        <v>0.05</v>
      </c>
      <c r="CM788" s="41"/>
      <c r="CN788" s="41">
        <v>0.05</v>
      </c>
      <c r="CO788" s="41">
        <v>0.05</v>
      </c>
      <c r="CP788" s="41">
        <v>0.05</v>
      </c>
      <c r="CQ788" s="41">
        <v>0.05</v>
      </c>
      <c r="CR788" s="41">
        <v>0.02</v>
      </c>
      <c r="CS788" s="41">
        <v>0.01</v>
      </c>
      <c r="CT788" s="41"/>
      <c r="CU788" s="41"/>
      <c r="CV788" s="41">
        <v>0.02</v>
      </c>
      <c r="CW788" s="41"/>
      <c r="CX788" s="41"/>
      <c r="CY788" s="41"/>
      <c r="CZ788" s="41"/>
      <c r="DA788" s="41"/>
      <c r="DB788" s="41"/>
      <c r="DC788" s="41"/>
      <c r="DD788" s="41">
        <v>0.12</v>
      </c>
      <c r="DE788" s="41"/>
      <c r="DF788" s="41"/>
      <c r="DG788" s="41"/>
      <c r="DH788" s="41"/>
      <c r="DI788" s="41"/>
      <c r="DJ788" s="41">
        <v>0.05</v>
      </c>
      <c r="DK788" s="41">
        <v>0.05</v>
      </c>
      <c r="DL788" s="41">
        <v>0.05</v>
      </c>
      <c r="DM788" s="41">
        <v>0.05</v>
      </c>
      <c r="DN788" s="41"/>
      <c r="DO788" s="41"/>
      <c r="DP788" s="41">
        <v>0.05</v>
      </c>
      <c r="DQ788" s="41"/>
      <c r="DR788" s="41">
        <v>0.05</v>
      </c>
      <c r="DS788" s="43"/>
      <c r="DT788" s="44">
        <f t="shared" ref="DT788" si="770">SUM(F788:DR788)</f>
        <v>1.0000000000000002</v>
      </c>
    </row>
    <row r="789" spans="2:124" s="13" customFormat="1">
      <c r="B789" s="4">
        <f>'6.1Personnel List'!B790</f>
        <v>777</v>
      </c>
      <c r="C789" s="45" t="s">
        <v>1006</v>
      </c>
      <c r="D789" s="45" t="str">
        <f>'6.1Personnel List'!D790</f>
        <v>Nurse III</v>
      </c>
      <c r="E789" s="45" t="str">
        <f>'6.1Personnel List'!H790</f>
        <v>FT</v>
      </c>
      <c r="G789" s="41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1"/>
      <c r="AH789" s="41"/>
      <c r="AI789" s="41"/>
      <c r="AJ789" s="41"/>
      <c r="AK789" s="41"/>
      <c r="AL789" s="41"/>
      <c r="AM789" s="41"/>
      <c r="AN789" s="41"/>
      <c r="AO789" s="41"/>
      <c r="AP789" s="41"/>
      <c r="AQ789" s="41"/>
      <c r="AR789" s="41"/>
      <c r="AS789" s="41"/>
      <c r="AT789" s="41"/>
      <c r="AU789" s="41"/>
      <c r="AV789" s="41"/>
      <c r="AW789" s="41"/>
      <c r="AX789" s="41"/>
      <c r="AY789" s="41"/>
      <c r="AZ789" s="41"/>
      <c r="BA789" s="41"/>
      <c r="BB789" s="41"/>
      <c r="BC789" s="41"/>
      <c r="BD789" s="41"/>
      <c r="BE789" s="41"/>
      <c r="BF789" s="41"/>
      <c r="BG789" s="41"/>
      <c r="BH789" s="41"/>
      <c r="BJ789" s="41"/>
      <c r="BK789" s="41"/>
      <c r="BL789" s="41"/>
      <c r="BM789" s="41"/>
      <c r="BN789" s="41"/>
      <c r="BO789" s="41"/>
      <c r="BP789" s="41"/>
      <c r="BQ789" s="41"/>
      <c r="BR789" s="41"/>
      <c r="BS789" s="41"/>
      <c r="BT789" s="41"/>
      <c r="BU789" s="41"/>
      <c r="BV789" s="41">
        <v>0.02</v>
      </c>
      <c r="BW789" s="41">
        <v>0.3</v>
      </c>
      <c r="BX789" s="41"/>
      <c r="BY789" s="41"/>
      <c r="BZ789" s="41"/>
      <c r="CA789" s="41"/>
      <c r="CB789" s="41"/>
      <c r="CC789" s="41"/>
      <c r="CD789" s="41"/>
      <c r="CE789" s="41">
        <v>0.02</v>
      </c>
      <c r="CF789" s="41">
        <v>0.02</v>
      </c>
      <c r="CG789" s="41">
        <v>0.02</v>
      </c>
      <c r="CH789" s="41"/>
      <c r="CI789" s="41"/>
      <c r="CJ789" s="41"/>
      <c r="CK789" s="41">
        <v>0.02</v>
      </c>
      <c r="CL789" s="41"/>
      <c r="CM789" s="41"/>
      <c r="CN789" s="41"/>
      <c r="CO789" s="41"/>
      <c r="CP789" s="41"/>
      <c r="CQ789" s="41"/>
      <c r="CR789" s="41"/>
      <c r="CS789" s="41"/>
      <c r="CT789" s="41"/>
      <c r="CU789" s="41"/>
      <c r="CV789" s="41"/>
      <c r="CW789" s="41"/>
      <c r="CX789" s="41"/>
      <c r="CY789" s="41"/>
      <c r="CZ789" s="41"/>
      <c r="DA789" s="41"/>
      <c r="DB789" s="41"/>
      <c r="DC789" s="41"/>
      <c r="DD789" s="41"/>
      <c r="DE789" s="41"/>
      <c r="DF789" s="41"/>
      <c r="DG789" s="41"/>
      <c r="DH789" s="41"/>
      <c r="DI789" s="41"/>
      <c r="DJ789" s="41"/>
      <c r="DK789" s="41"/>
      <c r="DL789" s="41"/>
      <c r="DM789" s="41">
        <v>0.6</v>
      </c>
      <c r="DN789" s="41"/>
      <c r="DO789" s="41"/>
      <c r="DP789" s="41"/>
      <c r="DQ789" s="41"/>
      <c r="DR789" s="41"/>
      <c r="DS789" s="43"/>
      <c r="DT789" s="44">
        <f t="shared" ref="DT789" si="771">SUM(F789:DR789)</f>
        <v>1</v>
      </c>
    </row>
    <row r="790" spans="2:124" s="13" customFormat="1">
      <c r="B790" s="4">
        <f>'6.1Personnel List'!B791</f>
        <v>778</v>
      </c>
      <c r="C790" s="45" t="s">
        <v>1007</v>
      </c>
      <c r="D790" s="45" t="str">
        <f>'6.1Personnel List'!D791</f>
        <v>Nurse III</v>
      </c>
      <c r="E790" s="45" t="str">
        <f>'6.1Personnel List'!H791</f>
        <v>FT</v>
      </c>
      <c r="G790" s="41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1"/>
      <c r="AH790" s="41"/>
      <c r="AI790" s="41"/>
      <c r="AJ790" s="41"/>
      <c r="AK790" s="41"/>
      <c r="AL790" s="41"/>
      <c r="AM790" s="41"/>
      <c r="AN790" s="41"/>
      <c r="AO790" s="41"/>
      <c r="AP790" s="41"/>
      <c r="AQ790" s="41"/>
      <c r="AR790" s="41"/>
      <c r="AS790" s="41"/>
      <c r="AT790" s="41"/>
      <c r="AU790" s="41"/>
      <c r="AV790" s="41"/>
      <c r="AW790" s="41"/>
      <c r="AX790" s="41"/>
      <c r="AY790" s="41"/>
      <c r="AZ790" s="41"/>
      <c r="BA790" s="41"/>
      <c r="BB790" s="41"/>
      <c r="BC790" s="41"/>
      <c r="BD790" s="41"/>
      <c r="BE790" s="41"/>
      <c r="BF790" s="41"/>
      <c r="BG790" s="41"/>
      <c r="BH790" s="41"/>
      <c r="BJ790" s="41"/>
      <c r="BK790" s="94"/>
      <c r="BL790" s="94"/>
      <c r="BM790" s="94"/>
      <c r="BN790" s="94"/>
      <c r="BO790" s="94"/>
      <c r="BP790" s="94"/>
      <c r="BQ790" s="94"/>
      <c r="BR790" s="94"/>
      <c r="BS790" s="94"/>
      <c r="BT790" s="94"/>
      <c r="BU790" s="94"/>
      <c r="BV790" s="94"/>
      <c r="BW790" s="94"/>
      <c r="BX790" s="94"/>
      <c r="BY790" s="94"/>
      <c r="BZ790" s="94"/>
      <c r="CA790" s="94"/>
      <c r="CB790" s="94"/>
      <c r="CC790" s="94"/>
      <c r="CD790" s="94"/>
      <c r="CE790" s="94"/>
      <c r="CF790" s="94"/>
      <c r="CG790" s="94"/>
      <c r="CH790" s="94"/>
      <c r="CI790" s="94"/>
      <c r="CJ790" s="94"/>
      <c r="CK790" s="94"/>
      <c r="CL790" s="94"/>
      <c r="CM790" s="94"/>
      <c r="CN790" s="94"/>
      <c r="CO790" s="94"/>
      <c r="CP790" s="94"/>
      <c r="CQ790" s="94"/>
      <c r="CR790" s="94"/>
      <c r="CS790" s="94"/>
      <c r="CT790" s="94"/>
      <c r="CU790" s="94"/>
      <c r="CV790" s="94"/>
      <c r="CW790" s="94"/>
      <c r="CX790" s="94"/>
      <c r="CY790" s="94"/>
      <c r="CZ790" s="94"/>
      <c r="DA790" s="94"/>
      <c r="DB790" s="94"/>
      <c r="DC790" s="94"/>
      <c r="DD790" s="94"/>
      <c r="DE790" s="94">
        <v>1</v>
      </c>
      <c r="DF790" s="94"/>
      <c r="DG790" s="94"/>
      <c r="DH790" s="94"/>
      <c r="DI790" s="94"/>
      <c r="DJ790" s="94"/>
      <c r="DK790" s="41"/>
      <c r="DL790" s="41"/>
      <c r="DM790" s="41"/>
      <c r="DN790" s="41"/>
      <c r="DO790" s="41"/>
      <c r="DP790" s="41"/>
      <c r="DQ790" s="41"/>
      <c r="DR790" s="41"/>
      <c r="DS790" s="43"/>
      <c r="DT790" s="44">
        <f t="shared" ref="DT790" si="772">SUM(F790:DR790)</f>
        <v>1</v>
      </c>
    </row>
    <row r="791" spans="2:124" s="13" customFormat="1">
      <c r="B791" s="4">
        <f>'6.1Personnel List'!B792</f>
        <v>779</v>
      </c>
      <c r="C791" s="45" t="s">
        <v>1008</v>
      </c>
      <c r="D791" s="45" t="str">
        <f>'6.1Personnel List'!D792</f>
        <v>Nurse III</v>
      </c>
      <c r="E791" s="45" t="str">
        <f>'6.1Personnel List'!H792</f>
        <v>FT</v>
      </c>
      <c r="G791" s="41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1"/>
      <c r="AH791" s="41"/>
      <c r="AI791" s="41"/>
      <c r="AJ791" s="41"/>
      <c r="AK791" s="41"/>
      <c r="AL791" s="41"/>
      <c r="AM791" s="41"/>
      <c r="AN791" s="41"/>
      <c r="AO791" s="41"/>
      <c r="AP791" s="41"/>
      <c r="AQ791" s="41"/>
      <c r="AR791" s="41"/>
      <c r="AS791" s="41"/>
      <c r="AT791" s="41"/>
      <c r="AU791" s="41"/>
      <c r="AV791" s="41"/>
      <c r="AW791" s="41"/>
      <c r="AX791" s="41"/>
      <c r="AY791" s="41"/>
      <c r="AZ791" s="41"/>
      <c r="BA791" s="41"/>
      <c r="BB791" s="41"/>
      <c r="BC791" s="41"/>
      <c r="BD791" s="41"/>
      <c r="BE791" s="41"/>
      <c r="BF791" s="41"/>
      <c r="BG791" s="41"/>
      <c r="BH791" s="41"/>
      <c r="BJ791" s="41"/>
      <c r="BK791" s="41"/>
      <c r="BL791" s="41"/>
      <c r="BM791" s="41"/>
      <c r="BN791" s="41"/>
      <c r="BO791" s="41"/>
      <c r="BP791" s="41"/>
      <c r="BQ791" s="41"/>
      <c r="BR791" s="41"/>
      <c r="BS791" s="41"/>
      <c r="BT791" s="41"/>
      <c r="BU791" s="41"/>
      <c r="BV791" s="41">
        <v>0.05</v>
      </c>
      <c r="BW791" s="41"/>
      <c r="BX791" s="41"/>
      <c r="BY791" s="41"/>
      <c r="BZ791" s="41"/>
      <c r="CA791" s="41"/>
      <c r="CB791" s="41">
        <v>0.05</v>
      </c>
      <c r="CC791" s="41"/>
      <c r="CD791" s="41"/>
      <c r="CE791" s="41">
        <v>0.05</v>
      </c>
      <c r="CF791" s="41">
        <v>0.05</v>
      </c>
      <c r="CG791" s="41"/>
      <c r="CH791" s="41"/>
      <c r="CI791" s="41"/>
      <c r="CJ791" s="41"/>
      <c r="CK791" s="41"/>
      <c r="CL791" s="41">
        <v>0.8</v>
      </c>
      <c r="CM791" s="41"/>
      <c r="CN791" s="41"/>
      <c r="CO791" s="41"/>
      <c r="CP791" s="41"/>
      <c r="CQ791" s="41"/>
      <c r="CR791" s="41"/>
      <c r="CS791" s="41"/>
      <c r="CT791" s="41"/>
      <c r="CU791" s="41"/>
      <c r="CV791" s="41"/>
      <c r="CW791" s="41"/>
      <c r="CX791" s="41"/>
      <c r="CY791" s="41"/>
      <c r="CZ791" s="41"/>
      <c r="DA791" s="41"/>
      <c r="DB791" s="41"/>
      <c r="DC791" s="41"/>
      <c r="DD791" s="41"/>
      <c r="DE791" s="41"/>
      <c r="DF791" s="41"/>
      <c r="DG791" s="41"/>
      <c r="DH791" s="41"/>
      <c r="DI791" s="41"/>
      <c r="DJ791" s="41"/>
      <c r="DK791" s="41"/>
      <c r="DL791" s="41"/>
      <c r="DM791" s="41"/>
      <c r="DN791" s="41"/>
      <c r="DO791" s="41"/>
      <c r="DP791" s="41"/>
      <c r="DQ791" s="41"/>
      <c r="DR791" s="41"/>
      <c r="DS791" s="43"/>
      <c r="DT791" s="44">
        <f t="shared" ref="DT791" si="773">SUM(F791:DR791)</f>
        <v>1</v>
      </c>
    </row>
    <row r="792" spans="2:124" s="13" customFormat="1">
      <c r="B792" s="4">
        <f>'6.1Personnel List'!B793</f>
        <v>780</v>
      </c>
      <c r="C792" s="45" t="s">
        <v>1009</v>
      </c>
      <c r="D792" s="45" t="str">
        <f>'6.1Personnel List'!D793</f>
        <v>Nurse III</v>
      </c>
      <c r="E792" s="45" t="str">
        <f>'6.1Personnel List'!H793</f>
        <v>FT</v>
      </c>
      <c r="G792" s="41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1"/>
      <c r="AH792" s="41"/>
      <c r="AI792" s="41"/>
      <c r="AJ792" s="41"/>
      <c r="AK792" s="41"/>
      <c r="AL792" s="41"/>
      <c r="AM792" s="41"/>
      <c r="AN792" s="41"/>
      <c r="AO792" s="41"/>
      <c r="AP792" s="41"/>
      <c r="AQ792" s="41"/>
      <c r="AR792" s="41"/>
      <c r="AS792" s="41"/>
      <c r="AT792" s="41"/>
      <c r="AU792" s="41"/>
      <c r="AV792" s="41"/>
      <c r="AW792" s="41"/>
      <c r="AX792" s="41"/>
      <c r="AY792" s="41"/>
      <c r="AZ792" s="41"/>
      <c r="BA792" s="41"/>
      <c r="BB792" s="41"/>
      <c r="BC792" s="41"/>
      <c r="BD792" s="41"/>
      <c r="BE792" s="41"/>
      <c r="BF792" s="41"/>
      <c r="BG792" s="41"/>
      <c r="BH792" s="41"/>
      <c r="BJ792" s="41"/>
      <c r="BK792" s="41"/>
      <c r="BL792" s="41"/>
      <c r="BM792" s="41"/>
      <c r="BN792" s="41"/>
      <c r="BO792" s="41"/>
      <c r="BP792" s="41"/>
      <c r="BQ792" s="41"/>
      <c r="BR792" s="41"/>
      <c r="BS792" s="41"/>
      <c r="BT792" s="41"/>
      <c r="BU792" s="41"/>
      <c r="BV792" s="41"/>
      <c r="BW792" s="41"/>
      <c r="BX792" s="41"/>
      <c r="BY792" s="41"/>
      <c r="BZ792" s="41"/>
      <c r="CA792" s="41"/>
      <c r="CB792" s="41"/>
      <c r="CC792" s="41"/>
      <c r="CD792" s="41"/>
      <c r="CE792" s="41"/>
      <c r="CF792" s="41"/>
      <c r="CG792" s="41"/>
      <c r="CH792" s="41"/>
      <c r="CI792" s="41"/>
      <c r="CJ792" s="41"/>
      <c r="CK792" s="41"/>
      <c r="CL792" s="41"/>
      <c r="CM792" s="41"/>
      <c r="CN792" s="41">
        <v>1</v>
      </c>
      <c r="CO792" s="41"/>
      <c r="CP792" s="41"/>
      <c r="CQ792" s="41"/>
      <c r="CR792" s="41"/>
      <c r="CS792" s="41"/>
      <c r="CT792" s="41"/>
      <c r="CU792" s="41"/>
      <c r="CV792" s="41"/>
      <c r="CW792" s="41"/>
      <c r="CX792" s="41"/>
      <c r="CY792" s="41"/>
      <c r="CZ792" s="41"/>
      <c r="DA792" s="41"/>
      <c r="DB792" s="41"/>
      <c r="DC792" s="41"/>
      <c r="DD792" s="41"/>
      <c r="DE792" s="41"/>
      <c r="DF792" s="41"/>
      <c r="DG792" s="41"/>
      <c r="DH792" s="41"/>
      <c r="DI792" s="41"/>
      <c r="DJ792" s="41"/>
      <c r="DK792" s="41"/>
      <c r="DL792" s="41"/>
      <c r="DM792" s="41"/>
      <c r="DN792" s="41"/>
      <c r="DO792" s="41"/>
      <c r="DP792" s="41"/>
      <c r="DQ792" s="41"/>
      <c r="DR792" s="41"/>
      <c r="DS792" s="43"/>
      <c r="DT792" s="44">
        <f t="shared" ref="DT792" si="774">SUM(F792:DR792)</f>
        <v>1</v>
      </c>
    </row>
    <row r="793" spans="2:124" s="13" customFormat="1">
      <c r="B793" s="4">
        <f>'6.1Personnel List'!B794</f>
        <v>781</v>
      </c>
      <c r="C793" s="45" t="s">
        <v>1010</v>
      </c>
      <c r="D793" s="45" t="str">
        <f>'6.1Personnel List'!D794</f>
        <v>Nurse III</v>
      </c>
      <c r="E793" s="45" t="str">
        <f>'6.1Personnel List'!H794</f>
        <v>FT</v>
      </c>
      <c r="G793" s="41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  <c r="AA793" s="41"/>
      <c r="AB793" s="41"/>
      <c r="AC793" s="41"/>
      <c r="AD793" s="41"/>
      <c r="AE793" s="41"/>
      <c r="AF793" s="41"/>
      <c r="AG793" s="41"/>
      <c r="AH793" s="41"/>
      <c r="AI793" s="41"/>
      <c r="AJ793" s="41"/>
      <c r="AK793" s="41"/>
      <c r="AL793" s="41"/>
      <c r="AM793" s="41"/>
      <c r="AN793" s="41"/>
      <c r="AO793" s="41"/>
      <c r="AP793" s="41"/>
      <c r="AQ793" s="41"/>
      <c r="AR793" s="41"/>
      <c r="AS793" s="41"/>
      <c r="AT793" s="41"/>
      <c r="AU793" s="41"/>
      <c r="AV793" s="41"/>
      <c r="AW793" s="41"/>
      <c r="AX793" s="41"/>
      <c r="AY793" s="41"/>
      <c r="AZ793" s="41"/>
      <c r="BA793" s="41"/>
      <c r="BB793" s="41"/>
      <c r="BC793" s="41"/>
      <c r="BD793" s="41"/>
      <c r="BE793" s="41"/>
      <c r="BF793" s="41"/>
      <c r="BG793" s="41"/>
      <c r="BH793" s="41"/>
      <c r="BJ793" s="41"/>
      <c r="BK793" s="94"/>
      <c r="BL793" s="94"/>
      <c r="BM793" s="94"/>
      <c r="BN793" s="94"/>
      <c r="BO793" s="94"/>
      <c r="BP793" s="94"/>
      <c r="BQ793" s="94"/>
      <c r="BR793" s="94"/>
      <c r="BS793" s="94"/>
      <c r="BT793" s="94"/>
      <c r="BU793" s="94"/>
      <c r="BV793" s="94"/>
      <c r="BW793" s="94"/>
      <c r="BX793" s="94"/>
      <c r="BY793" s="94"/>
      <c r="BZ793" s="94"/>
      <c r="CA793" s="94"/>
      <c r="CB793" s="94"/>
      <c r="CC793" s="94"/>
      <c r="CD793" s="94"/>
      <c r="CE793" s="94"/>
      <c r="CF793" s="94"/>
      <c r="CG793" s="94"/>
      <c r="CH793" s="94"/>
      <c r="CI793" s="94"/>
      <c r="CJ793" s="94"/>
      <c r="CK793" s="94"/>
      <c r="CL793" s="94"/>
      <c r="CM793" s="94"/>
      <c r="CN793" s="94"/>
      <c r="CO793" s="94"/>
      <c r="CP793" s="94"/>
      <c r="CQ793" s="94"/>
      <c r="CR793" s="94"/>
      <c r="CS793" s="94"/>
      <c r="CT793" s="94"/>
      <c r="CU793" s="94">
        <v>1</v>
      </c>
      <c r="CV793" s="94"/>
      <c r="CW793" s="94"/>
      <c r="CX793" s="94"/>
      <c r="CY793" s="94"/>
      <c r="CZ793" s="94"/>
      <c r="DA793" s="94"/>
      <c r="DB793" s="94"/>
      <c r="DC793" s="94"/>
      <c r="DD793" s="94"/>
      <c r="DE793" s="94"/>
      <c r="DF793" s="94"/>
      <c r="DG793" s="94"/>
      <c r="DH793" s="94"/>
      <c r="DI793" s="94"/>
      <c r="DJ793" s="94"/>
      <c r="DK793" s="41"/>
      <c r="DL793" s="41"/>
      <c r="DM793" s="41"/>
      <c r="DN793" s="41"/>
      <c r="DO793" s="41"/>
      <c r="DP793" s="41"/>
      <c r="DQ793" s="41"/>
      <c r="DR793" s="41"/>
      <c r="DS793" s="43"/>
      <c r="DT793" s="44">
        <f t="shared" ref="DT793" si="775">SUM(F793:DR793)</f>
        <v>1</v>
      </c>
    </row>
    <row r="794" spans="2:124" s="13" customFormat="1">
      <c r="B794" s="4">
        <f>'6.1Personnel List'!B795</f>
        <v>782</v>
      </c>
      <c r="C794" s="45" t="s">
        <v>1011</v>
      </c>
      <c r="D794" s="45" t="str">
        <f>'6.1Personnel List'!D795</f>
        <v>Nurse III</v>
      </c>
      <c r="E794" s="45" t="str">
        <f>'6.1Personnel List'!H795</f>
        <v>FT</v>
      </c>
      <c r="G794" s="41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  <c r="AA794" s="41"/>
      <c r="AB794" s="41"/>
      <c r="AC794" s="41"/>
      <c r="AD794" s="41"/>
      <c r="AE794" s="41"/>
      <c r="AF794" s="41"/>
      <c r="AG794" s="41"/>
      <c r="AH794" s="41"/>
      <c r="AI794" s="41"/>
      <c r="AJ794" s="41"/>
      <c r="AK794" s="41"/>
      <c r="AL794" s="41"/>
      <c r="AM794" s="41"/>
      <c r="AN794" s="41"/>
      <c r="AO794" s="41"/>
      <c r="AP794" s="41"/>
      <c r="AQ794" s="41"/>
      <c r="AR794" s="41"/>
      <c r="AS794" s="41"/>
      <c r="AT794" s="41"/>
      <c r="AU794" s="41"/>
      <c r="AV794" s="41"/>
      <c r="AW794" s="41"/>
      <c r="AX794" s="41"/>
      <c r="AY794" s="41"/>
      <c r="AZ794" s="41"/>
      <c r="BA794" s="41"/>
      <c r="BB794" s="41"/>
      <c r="BC794" s="41"/>
      <c r="BD794" s="41"/>
      <c r="BE794" s="41"/>
      <c r="BF794" s="41"/>
      <c r="BG794" s="41"/>
      <c r="BH794" s="41"/>
      <c r="BJ794" s="41"/>
      <c r="BK794" s="41"/>
      <c r="BL794" s="41"/>
      <c r="BM794" s="41"/>
      <c r="BN794" s="41"/>
      <c r="BO794" s="41"/>
      <c r="BP794" s="41"/>
      <c r="BQ794" s="41"/>
      <c r="BR794" s="41"/>
      <c r="BS794" s="41"/>
      <c r="BT794" s="41"/>
      <c r="BU794" s="41"/>
      <c r="BV794" s="41"/>
      <c r="BW794" s="41"/>
      <c r="BX794" s="41"/>
      <c r="BY794" s="41"/>
      <c r="BZ794" s="41"/>
      <c r="CA794" s="41"/>
      <c r="CB794" s="41">
        <v>0.01</v>
      </c>
      <c r="CC794" s="41"/>
      <c r="CD794" s="41"/>
      <c r="CE794" s="41">
        <v>0.02</v>
      </c>
      <c r="CF794" s="41">
        <v>0.02</v>
      </c>
      <c r="CG794" s="41">
        <v>0.1</v>
      </c>
      <c r="CH794" s="41">
        <v>0.1</v>
      </c>
      <c r="CI794" s="41">
        <v>0.02</v>
      </c>
      <c r="CJ794" s="41"/>
      <c r="CK794" s="41">
        <v>0.01</v>
      </c>
      <c r="CL794" s="41">
        <v>0.05</v>
      </c>
      <c r="CM794" s="41"/>
      <c r="CN794" s="41">
        <v>0.05</v>
      </c>
      <c r="CO794" s="41">
        <v>0.05</v>
      </c>
      <c r="CP794" s="41">
        <v>0.05</v>
      </c>
      <c r="CQ794" s="41">
        <v>0.05</v>
      </c>
      <c r="CR794" s="41">
        <v>0.02</v>
      </c>
      <c r="CS794" s="41">
        <v>0.01</v>
      </c>
      <c r="CT794" s="41"/>
      <c r="CU794" s="41"/>
      <c r="CV794" s="41">
        <v>0.02</v>
      </c>
      <c r="CW794" s="41"/>
      <c r="CX794" s="41"/>
      <c r="CY794" s="41"/>
      <c r="CZ794" s="41"/>
      <c r="DA794" s="41"/>
      <c r="DB794" s="41"/>
      <c r="DC794" s="41"/>
      <c r="DD794" s="41">
        <v>0.12</v>
      </c>
      <c r="DE794" s="41"/>
      <c r="DF794" s="41"/>
      <c r="DG794" s="41"/>
      <c r="DH794" s="41"/>
      <c r="DI794" s="41"/>
      <c r="DJ794" s="41">
        <v>0.05</v>
      </c>
      <c r="DK794" s="41">
        <v>0.05</v>
      </c>
      <c r="DL794" s="41">
        <v>0.05</v>
      </c>
      <c r="DM794" s="41">
        <v>0.05</v>
      </c>
      <c r="DN794" s="41"/>
      <c r="DO794" s="41"/>
      <c r="DP794" s="41">
        <v>0.05</v>
      </c>
      <c r="DQ794" s="41"/>
      <c r="DR794" s="41">
        <v>0.05</v>
      </c>
      <c r="DS794" s="43"/>
      <c r="DT794" s="44">
        <f t="shared" ref="DT794" si="776">SUM(F794:DR794)</f>
        <v>1.0000000000000002</v>
      </c>
    </row>
    <row r="795" spans="2:124" s="13" customFormat="1">
      <c r="B795" s="4">
        <f>'6.1Personnel List'!B796</f>
        <v>783</v>
      </c>
      <c r="C795" s="45" t="s">
        <v>1012</v>
      </c>
      <c r="D795" s="45" t="str">
        <f>'6.1Personnel List'!D796</f>
        <v>Nurse III</v>
      </c>
      <c r="E795" s="45" t="str">
        <f>'6.1Personnel List'!H796</f>
        <v>FT</v>
      </c>
      <c r="G795" s="41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  <c r="AA795" s="41"/>
      <c r="AB795" s="41"/>
      <c r="AC795" s="41"/>
      <c r="AD795" s="41"/>
      <c r="AE795" s="41"/>
      <c r="AF795" s="41"/>
      <c r="AG795" s="41"/>
      <c r="AH795" s="41"/>
      <c r="AI795" s="41"/>
      <c r="AJ795" s="41"/>
      <c r="AK795" s="41"/>
      <c r="AL795" s="41"/>
      <c r="AM795" s="41"/>
      <c r="AN795" s="41"/>
      <c r="AO795" s="41"/>
      <c r="AP795" s="41"/>
      <c r="AQ795" s="41"/>
      <c r="AR795" s="41"/>
      <c r="AS795" s="41"/>
      <c r="AT795" s="41"/>
      <c r="AU795" s="41"/>
      <c r="AV795" s="41"/>
      <c r="AW795" s="41"/>
      <c r="AX795" s="41"/>
      <c r="AY795" s="41"/>
      <c r="AZ795" s="41"/>
      <c r="BA795" s="41"/>
      <c r="BB795" s="41"/>
      <c r="BC795" s="41"/>
      <c r="BD795" s="41"/>
      <c r="BE795" s="41"/>
      <c r="BF795" s="41"/>
      <c r="BG795" s="41"/>
      <c r="BH795" s="41"/>
      <c r="BJ795" s="41"/>
      <c r="BK795" s="41"/>
      <c r="BL795" s="41"/>
      <c r="BM795" s="41"/>
      <c r="BN795" s="41"/>
      <c r="BO795" s="41"/>
      <c r="BP795" s="41"/>
      <c r="BQ795" s="41"/>
      <c r="BR795" s="41"/>
      <c r="BS795" s="41"/>
      <c r="BT795" s="41"/>
      <c r="BU795" s="41"/>
      <c r="BV795" s="41"/>
      <c r="BW795" s="41"/>
      <c r="BX795" s="41"/>
      <c r="BY795" s="41"/>
      <c r="BZ795" s="41"/>
      <c r="CA795" s="41"/>
      <c r="CB795" s="41"/>
      <c r="CC795" s="41"/>
      <c r="CD795" s="41"/>
      <c r="CE795" s="41"/>
      <c r="CF795" s="41"/>
      <c r="CG795" s="41"/>
      <c r="CH795" s="41"/>
      <c r="CI795" s="41"/>
      <c r="CJ795" s="41"/>
      <c r="CK795" s="41"/>
      <c r="CL795" s="41"/>
      <c r="CM795" s="41"/>
      <c r="CN795" s="41">
        <v>1</v>
      </c>
      <c r="CO795" s="41"/>
      <c r="CP795" s="41"/>
      <c r="CQ795" s="41"/>
      <c r="CR795" s="41"/>
      <c r="CS795" s="41"/>
      <c r="CT795" s="41"/>
      <c r="CU795" s="41"/>
      <c r="CV795" s="41"/>
      <c r="CW795" s="41"/>
      <c r="CX795" s="41"/>
      <c r="CY795" s="41"/>
      <c r="CZ795" s="41"/>
      <c r="DA795" s="41"/>
      <c r="DB795" s="41"/>
      <c r="DC795" s="41"/>
      <c r="DD795" s="41"/>
      <c r="DE795" s="41"/>
      <c r="DF795" s="41"/>
      <c r="DG795" s="41"/>
      <c r="DH795" s="41"/>
      <c r="DI795" s="41"/>
      <c r="DJ795" s="41"/>
      <c r="DK795" s="41"/>
      <c r="DL795" s="41"/>
      <c r="DM795" s="41"/>
      <c r="DN795" s="41"/>
      <c r="DO795" s="41"/>
      <c r="DP795" s="41"/>
      <c r="DQ795" s="41"/>
      <c r="DR795" s="41"/>
      <c r="DS795" s="43"/>
      <c r="DT795" s="44">
        <f t="shared" ref="DT795" si="777">SUM(F795:DR795)</f>
        <v>1</v>
      </c>
    </row>
    <row r="796" spans="2:124" s="13" customFormat="1">
      <c r="B796" s="4">
        <f>'6.1Personnel List'!B797</f>
        <v>784</v>
      </c>
      <c r="C796" s="45" t="s">
        <v>1013</v>
      </c>
      <c r="D796" s="45" t="str">
        <f>'6.1Personnel List'!D797</f>
        <v>Nurse III</v>
      </c>
      <c r="E796" s="45" t="str">
        <f>'6.1Personnel List'!H797</f>
        <v>FT</v>
      </c>
      <c r="G796" s="41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  <c r="AA796" s="41"/>
      <c r="AB796" s="41"/>
      <c r="AC796" s="41"/>
      <c r="AD796" s="41"/>
      <c r="AE796" s="41"/>
      <c r="AF796" s="41"/>
      <c r="AG796" s="41"/>
      <c r="AH796" s="41"/>
      <c r="AI796" s="41"/>
      <c r="AJ796" s="41"/>
      <c r="AK796" s="41"/>
      <c r="AL796" s="41"/>
      <c r="AM796" s="41"/>
      <c r="AN796" s="41"/>
      <c r="AO796" s="41"/>
      <c r="AP796" s="41"/>
      <c r="AQ796" s="41"/>
      <c r="AR796" s="41"/>
      <c r="AS796" s="41"/>
      <c r="AT796" s="41"/>
      <c r="AU796" s="41"/>
      <c r="AV796" s="41"/>
      <c r="AW796" s="41"/>
      <c r="AX796" s="41"/>
      <c r="AY796" s="41"/>
      <c r="AZ796" s="41"/>
      <c r="BA796" s="41"/>
      <c r="BB796" s="41"/>
      <c r="BC796" s="41"/>
      <c r="BD796" s="41"/>
      <c r="BE796" s="41"/>
      <c r="BF796" s="41"/>
      <c r="BG796" s="41"/>
      <c r="BH796" s="41"/>
      <c r="BJ796" s="41"/>
      <c r="BK796" s="41"/>
      <c r="BL796" s="41"/>
      <c r="BM796" s="41"/>
      <c r="BN796" s="41"/>
      <c r="BO796" s="41"/>
      <c r="BP796" s="41">
        <v>0.05</v>
      </c>
      <c r="BQ796" s="41"/>
      <c r="BR796" s="41"/>
      <c r="BS796" s="41">
        <v>0.1</v>
      </c>
      <c r="BT796" s="41"/>
      <c r="BU796" s="41">
        <v>0.05</v>
      </c>
      <c r="BV796" s="41">
        <v>0.05</v>
      </c>
      <c r="BW796" s="41">
        <v>0.1</v>
      </c>
      <c r="BX796" s="41"/>
      <c r="BY796" s="41"/>
      <c r="BZ796" s="41"/>
      <c r="CA796" s="41"/>
      <c r="CB796" s="41"/>
      <c r="CC796" s="41"/>
      <c r="CD796" s="41"/>
      <c r="CE796" s="41">
        <v>0.05</v>
      </c>
      <c r="CF796" s="41">
        <v>0.05</v>
      </c>
      <c r="CG796" s="41">
        <v>0.05</v>
      </c>
      <c r="CH796" s="41">
        <v>0.05</v>
      </c>
      <c r="CI796" s="41"/>
      <c r="CJ796" s="41"/>
      <c r="CK796" s="41"/>
      <c r="CL796" s="41"/>
      <c r="CM796" s="41"/>
      <c r="CN796" s="41"/>
      <c r="CO796" s="41"/>
      <c r="CP796" s="41"/>
      <c r="CQ796" s="41"/>
      <c r="CR796" s="41"/>
      <c r="CS796" s="41"/>
      <c r="CT796" s="41"/>
      <c r="CU796" s="41"/>
      <c r="CV796" s="41"/>
      <c r="CW796" s="41"/>
      <c r="CX796" s="41"/>
      <c r="CY796" s="41"/>
      <c r="CZ796" s="41"/>
      <c r="DA796" s="41"/>
      <c r="DB796" s="41"/>
      <c r="DC796" s="41"/>
      <c r="DD796" s="41"/>
      <c r="DE796" s="41"/>
      <c r="DF796" s="41"/>
      <c r="DG796" s="41"/>
      <c r="DH796" s="41"/>
      <c r="DI796" s="41"/>
      <c r="DJ796" s="41"/>
      <c r="DK796" s="41">
        <v>0.45</v>
      </c>
      <c r="DL796" s="41"/>
      <c r="DM796" s="41"/>
      <c r="DN796" s="41"/>
      <c r="DO796" s="41"/>
      <c r="DP796" s="41"/>
      <c r="DQ796" s="41"/>
      <c r="DR796" s="41"/>
      <c r="DS796" s="43"/>
      <c r="DT796" s="44">
        <f t="shared" ref="DT796" si="778">SUM(F796:DR796)</f>
        <v>1</v>
      </c>
    </row>
    <row r="797" spans="2:124" s="13" customFormat="1">
      <c r="B797" s="4">
        <f>'6.1Personnel List'!B798</f>
        <v>785</v>
      </c>
      <c r="C797" s="45" t="s">
        <v>1014</v>
      </c>
      <c r="D797" s="45" t="str">
        <f>'6.1Personnel List'!D798</f>
        <v>Nurse III</v>
      </c>
      <c r="E797" s="45" t="str">
        <f>'6.1Personnel List'!H798</f>
        <v>FT</v>
      </c>
      <c r="G797" s="41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  <c r="AA797" s="41"/>
      <c r="AB797" s="41"/>
      <c r="AC797" s="41"/>
      <c r="AD797" s="41"/>
      <c r="AE797" s="41"/>
      <c r="AF797" s="41"/>
      <c r="AG797" s="41"/>
      <c r="AH797" s="41"/>
      <c r="AI797" s="41"/>
      <c r="AJ797" s="41"/>
      <c r="AK797" s="41"/>
      <c r="AL797" s="41"/>
      <c r="AM797" s="41"/>
      <c r="AN797" s="41"/>
      <c r="AO797" s="41"/>
      <c r="AP797" s="41"/>
      <c r="AQ797" s="41"/>
      <c r="AR797" s="41"/>
      <c r="AS797" s="41"/>
      <c r="AT797" s="41"/>
      <c r="AU797" s="41"/>
      <c r="AV797" s="41"/>
      <c r="AW797" s="41"/>
      <c r="AX797" s="41"/>
      <c r="AY797" s="41"/>
      <c r="AZ797" s="41"/>
      <c r="BA797" s="41"/>
      <c r="BB797" s="41"/>
      <c r="BC797" s="41"/>
      <c r="BD797" s="41"/>
      <c r="BE797" s="41"/>
      <c r="BF797" s="41"/>
      <c r="BG797" s="41"/>
      <c r="BH797" s="41"/>
      <c r="BJ797" s="41"/>
      <c r="BK797" s="41"/>
      <c r="BL797" s="41"/>
      <c r="BM797" s="41"/>
      <c r="BN797" s="41"/>
      <c r="BO797" s="41"/>
      <c r="BP797" s="41">
        <v>0.05</v>
      </c>
      <c r="BQ797" s="41"/>
      <c r="BR797" s="41"/>
      <c r="BS797" s="41">
        <v>0.1</v>
      </c>
      <c r="BT797" s="41"/>
      <c r="BU797" s="41">
        <v>0.05</v>
      </c>
      <c r="BV797" s="41">
        <v>0.05</v>
      </c>
      <c r="BW797" s="41">
        <v>0.1</v>
      </c>
      <c r="BX797" s="41"/>
      <c r="BY797" s="41"/>
      <c r="BZ797" s="41"/>
      <c r="CA797" s="41"/>
      <c r="CB797" s="41"/>
      <c r="CC797" s="41"/>
      <c r="CD797" s="41"/>
      <c r="CE797" s="41">
        <v>0.05</v>
      </c>
      <c r="CF797" s="41">
        <v>0.05</v>
      </c>
      <c r="CG797" s="41">
        <v>0.05</v>
      </c>
      <c r="CH797" s="41">
        <v>0.05</v>
      </c>
      <c r="CI797" s="41"/>
      <c r="CJ797" s="41"/>
      <c r="CK797" s="41"/>
      <c r="CL797" s="41"/>
      <c r="CM797" s="41"/>
      <c r="CN797" s="41"/>
      <c r="CO797" s="41"/>
      <c r="CP797" s="41"/>
      <c r="CQ797" s="41"/>
      <c r="CR797" s="41"/>
      <c r="CS797" s="41"/>
      <c r="CT797" s="41"/>
      <c r="CU797" s="41"/>
      <c r="CV797" s="41"/>
      <c r="CW797" s="41"/>
      <c r="CX797" s="41"/>
      <c r="CY797" s="41"/>
      <c r="CZ797" s="41"/>
      <c r="DA797" s="41"/>
      <c r="DB797" s="41"/>
      <c r="DC797" s="41"/>
      <c r="DD797" s="41"/>
      <c r="DE797" s="41"/>
      <c r="DF797" s="41"/>
      <c r="DG797" s="41"/>
      <c r="DH797" s="41"/>
      <c r="DI797" s="41"/>
      <c r="DJ797" s="41"/>
      <c r="DK797" s="41">
        <v>0.45</v>
      </c>
      <c r="DL797" s="41"/>
      <c r="DM797" s="41"/>
      <c r="DN797" s="41"/>
      <c r="DO797" s="41"/>
      <c r="DP797" s="41"/>
      <c r="DQ797" s="41"/>
      <c r="DR797" s="41"/>
      <c r="DS797" s="43"/>
      <c r="DT797" s="44">
        <f t="shared" ref="DT797" si="779">SUM(F797:DR797)</f>
        <v>1</v>
      </c>
    </row>
    <row r="798" spans="2:124" s="13" customFormat="1">
      <c r="B798" s="4">
        <f>'6.1Personnel List'!B799</f>
        <v>786</v>
      </c>
      <c r="C798" s="45" t="s">
        <v>1015</v>
      </c>
      <c r="D798" s="45" t="str">
        <f>'6.1Personnel List'!D799</f>
        <v>Nurse III</v>
      </c>
      <c r="E798" s="45" t="str">
        <f>'6.1Personnel List'!H799</f>
        <v>FT</v>
      </c>
      <c r="G798" s="41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  <c r="AA798" s="41"/>
      <c r="AB798" s="41"/>
      <c r="AC798" s="41"/>
      <c r="AD798" s="41"/>
      <c r="AE798" s="41"/>
      <c r="AF798" s="41"/>
      <c r="AG798" s="41"/>
      <c r="AH798" s="41"/>
      <c r="AI798" s="41"/>
      <c r="AJ798" s="41"/>
      <c r="AK798" s="41"/>
      <c r="AL798" s="41"/>
      <c r="AM798" s="41"/>
      <c r="AN798" s="41"/>
      <c r="AO798" s="41"/>
      <c r="AP798" s="41"/>
      <c r="AQ798" s="41"/>
      <c r="AR798" s="41"/>
      <c r="AS798" s="41"/>
      <c r="AT798" s="41"/>
      <c r="AU798" s="41"/>
      <c r="AV798" s="41"/>
      <c r="AW798" s="41"/>
      <c r="AX798" s="41"/>
      <c r="AY798" s="41"/>
      <c r="AZ798" s="41"/>
      <c r="BA798" s="41"/>
      <c r="BB798" s="41"/>
      <c r="BC798" s="41"/>
      <c r="BD798" s="41"/>
      <c r="BE798" s="41"/>
      <c r="BF798" s="41"/>
      <c r="BG798" s="41"/>
      <c r="BH798" s="41"/>
      <c r="BJ798" s="41"/>
      <c r="BK798" s="41"/>
      <c r="BL798" s="41"/>
      <c r="BM798" s="41"/>
      <c r="BN798" s="41"/>
      <c r="BO798" s="41"/>
      <c r="BP798" s="41">
        <v>0.05</v>
      </c>
      <c r="BQ798" s="41"/>
      <c r="BR798" s="41"/>
      <c r="BS798" s="41">
        <v>0.1</v>
      </c>
      <c r="BT798" s="41"/>
      <c r="BU798" s="41">
        <v>0.05</v>
      </c>
      <c r="BV798" s="41">
        <v>0.05</v>
      </c>
      <c r="BW798" s="41">
        <v>0.1</v>
      </c>
      <c r="BX798" s="41"/>
      <c r="BY798" s="41"/>
      <c r="BZ798" s="41"/>
      <c r="CA798" s="41"/>
      <c r="CB798" s="41"/>
      <c r="CC798" s="41"/>
      <c r="CD798" s="41"/>
      <c r="CE798" s="41">
        <v>0.05</v>
      </c>
      <c r="CF798" s="41">
        <v>0.05</v>
      </c>
      <c r="CG798" s="41">
        <v>0.05</v>
      </c>
      <c r="CH798" s="41">
        <v>0.05</v>
      </c>
      <c r="CI798" s="41"/>
      <c r="CJ798" s="41"/>
      <c r="CK798" s="41"/>
      <c r="CL798" s="41"/>
      <c r="CM798" s="41"/>
      <c r="CN798" s="41"/>
      <c r="CO798" s="41"/>
      <c r="CP798" s="41"/>
      <c r="CQ798" s="41"/>
      <c r="CR798" s="41"/>
      <c r="CS798" s="41"/>
      <c r="CT798" s="41"/>
      <c r="CU798" s="41"/>
      <c r="CV798" s="41"/>
      <c r="CW798" s="41"/>
      <c r="CX798" s="41"/>
      <c r="CY798" s="41"/>
      <c r="CZ798" s="41"/>
      <c r="DA798" s="41"/>
      <c r="DB798" s="41"/>
      <c r="DC798" s="41"/>
      <c r="DD798" s="41"/>
      <c r="DE798" s="41"/>
      <c r="DF798" s="41"/>
      <c r="DG798" s="41"/>
      <c r="DH798" s="41"/>
      <c r="DI798" s="41"/>
      <c r="DJ798" s="41"/>
      <c r="DK798" s="41">
        <v>0.45</v>
      </c>
      <c r="DL798" s="41"/>
      <c r="DM798" s="41"/>
      <c r="DN798" s="41"/>
      <c r="DO798" s="41"/>
      <c r="DP798" s="41"/>
      <c r="DQ798" s="41"/>
      <c r="DR798" s="41"/>
      <c r="DS798" s="43"/>
      <c r="DT798" s="44">
        <f t="shared" ref="DT798" si="780">SUM(F798:DR798)</f>
        <v>1</v>
      </c>
    </row>
    <row r="799" spans="2:124" s="13" customFormat="1">
      <c r="B799" s="4">
        <f>'6.1Personnel List'!B800</f>
        <v>787</v>
      </c>
      <c r="C799" s="45" t="s">
        <v>1016</v>
      </c>
      <c r="D799" s="45" t="str">
        <f>'6.1Personnel List'!D800</f>
        <v>Nurse III</v>
      </c>
      <c r="E799" s="45" t="str">
        <f>'6.1Personnel List'!H800</f>
        <v>FT</v>
      </c>
      <c r="G799" s="41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  <c r="AA799" s="41"/>
      <c r="AB799" s="41"/>
      <c r="AC799" s="41"/>
      <c r="AD799" s="41"/>
      <c r="AE799" s="41"/>
      <c r="AF799" s="41"/>
      <c r="AG799" s="41"/>
      <c r="AH799" s="41"/>
      <c r="AI799" s="41"/>
      <c r="AJ799" s="41"/>
      <c r="AK799" s="41"/>
      <c r="AL799" s="41"/>
      <c r="AM799" s="41"/>
      <c r="AN799" s="41"/>
      <c r="AO799" s="41"/>
      <c r="AP799" s="41"/>
      <c r="AQ799" s="41"/>
      <c r="AR799" s="41"/>
      <c r="AS799" s="41"/>
      <c r="AT799" s="41"/>
      <c r="AU799" s="41"/>
      <c r="AV799" s="41"/>
      <c r="AW799" s="41"/>
      <c r="AX799" s="41"/>
      <c r="AY799" s="41"/>
      <c r="AZ799" s="41"/>
      <c r="BA799" s="41"/>
      <c r="BB799" s="41"/>
      <c r="BC799" s="41"/>
      <c r="BD799" s="41"/>
      <c r="BE799" s="41"/>
      <c r="BF799" s="41"/>
      <c r="BG799" s="41"/>
      <c r="BH799" s="41"/>
      <c r="BJ799" s="41"/>
      <c r="BK799" s="94"/>
      <c r="BL799" s="94"/>
      <c r="BM799" s="94"/>
      <c r="BN799" s="94"/>
      <c r="BO799" s="94"/>
      <c r="BP799" s="94"/>
      <c r="BQ799" s="94"/>
      <c r="BR799" s="94"/>
      <c r="BS799" s="94"/>
      <c r="BT799" s="94"/>
      <c r="BU799" s="94"/>
      <c r="BV799" s="94"/>
      <c r="BW799" s="94"/>
      <c r="BX799" s="94"/>
      <c r="BY799" s="94"/>
      <c r="BZ799" s="94"/>
      <c r="CA799" s="94"/>
      <c r="CB799" s="94"/>
      <c r="CC799" s="94"/>
      <c r="CD799" s="94"/>
      <c r="CE799" s="94"/>
      <c r="CF799" s="94"/>
      <c r="CG799" s="94"/>
      <c r="CH799" s="94"/>
      <c r="CI799" s="94"/>
      <c r="CJ799" s="94"/>
      <c r="CK799" s="94"/>
      <c r="CL799" s="94"/>
      <c r="CM799" s="94"/>
      <c r="CN799" s="94"/>
      <c r="CO799" s="94"/>
      <c r="CP799" s="94"/>
      <c r="CQ799" s="94"/>
      <c r="CR799" s="94"/>
      <c r="CS799" s="94"/>
      <c r="CT799" s="94"/>
      <c r="CU799" s="94"/>
      <c r="CV799" s="94"/>
      <c r="CW799" s="94"/>
      <c r="CX799" s="94"/>
      <c r="CY799" s="94"/>
      <c r="CZ799" s="94"/>
      <c r="DA799" s="94"/>
      <c r="DB799" s="94"/>
      <c r="DC799" s="94"/>
      <c r="DD799" s="94"/>
      <c r="DE799" s="94"/>
      <c r="DF799" s="94"/>
      <c r="DG799" s="94"/>
      <c r="DH799" s="94"/>
      <c r="DI799" s="94"/>
      <c r="DJ799" s="94"/>
      <c r="DK799" s="41">
        <v>1</v>
      </c>
      <c r="DL799" s="41"/>
      <c r="DM799" s="41"/>
      <c r="DN799" s="41"/>
      <c r="DO799" s="41"/>
      <c r="DP799" s="41"/>
      <c r="DQ799" s="41"/>
      <c r="DR799" s="41"/>
      <c r="DS799" s="43"/>
      <c r="DT799" s="44">
        <f t="shared" ref="DT799" si="781">SUM(F799:DR799)</f>
        <v>1</v>
      </c>
    </row>
    <row r="800" spans="2:124" s="13" customFormat="1">
      <c r="B800" s="4">
        <f>'6.1Personnel List'!B801</f>
        <v>788</v>
      </c>
      <c r="C800" s="45" t="s">
        <v>1017</v>
      </c>
      <c r="D800" s="45" t="str">
        <f>'6.1Personnel List'!D801</f>
        <v>Nurse III</v>
      </c>
      <c r="E800" s="45" t="str">
        <f>'6.1Personnel List'!H801</f>
        <v>FT</v>
      </c>
      <c r="G800" s="41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  <c r="AA800" s="41"/>
      <c r="AB800" s="41"/>
      <c r="AC800" s="41"/>
      <c r="AD800" s="41"/>
      <c r="AE800" s="41"/>
      <c r="AF800" s="41"/>
      <c r="AG800" s="41"/>
      <c r="AH800" s="41"/>
      <c r="AI800" s="41"/>
      <c r="AJ800" s="41"/>
      <c r="AK800" s="41"/>
      <c r="AL800" s="41"/>
      <c r="AM800" s="41"/>
      <c r="AN800" s="41"/>
      <c r="AO800" s="41"/>
      <c r="AP800" s="41"/>
      <c r="AQ800" s="41"/>
      <c r="AR800" s="41"/>
      <c r="AS800" s="41"/>
      <c r="AT800" s="41"/>
      <c r="AU800" s="41"/>
      <c r="AV800" s="41"/>
      <c r="AW800" s="41"/>
      <c r="AX800" s="41"/>
      <c r="AY800" s="41"/>
      <c r="AZ800" s="41"/>
      <c r="BA800" s="41"/>
      <c r="BB800" s="41"/>
      <c r="BC800" s="41"/>
      <c r="BD800" s="41"/>
      <c r="BE800" s="41"/>
      <c r="BF800" s="41"/>
      <c r="BG800" s="41"/>
      <c r="BH800" s="41"/>
      <c r="BJ800" s="41"/>
      <c r="BK800" s="41"/>
      <c r="BL800" s="41"/>
      <c r="BM800" s="41"/>
      <c r="BN800" s="41"/>
      <c r="BO800" s="41"/>
      <c r="BP800" s="41"/>
      <c r="BQ800" s="41"/>
      <c r="BR800" s="41"/>
      <c r="BS800" s="41"/>
      <c r="BT800" s="41"/>
      <c r="BU800" s="41"/>
      <c r="BV800" s="41">
        <v>0.05</v>
      </c>
      <c r="BW800" s="41"/>
      <c r="BX800" s="41"/>
      <c r="BY800" s="41"/>
      <c r="BZ800" s="41"/>
      <c r="CA800" s="41"/>
      <c r="CB800" s="41">
        <v>0.05</v>
      </c>
      <c r="CC800" s="41"/>
      <c r="CD800" s="41"/>
      <c r="CE800" s="41">
        <v>0.05</v>
      </c>
      <c r="CF800" s="41">
        <v>0.05</v>
      </c>
      <c r="CG800" s="41"/>
      <c r="CH800" s="41"/>
      <c r="CI800" s="41"/>
      <c r="CJ800" s="41"/>
      <c r="CK800" s="41"/>
      <c r="CL800" s="41">
        <v>0.8</v>
      </c>
      <c r="CM800" s="41"/>
      <c r="CN800" s="41"/>
      <c r="CO800" s="41"/>
      <c r="CP800" s="41"/>
      <c r="CQ800" s="41"/>
      <c r="CR800" s="41"/>
      <c r="CS800" s="41"/>
      <c r="CT800" s="41"/>
      <c r="CU800" s="41"/>
      <c r="CV800" s="41"/>
      <c r="CW800" s="41"/>
      <c r="CX800" s="41"/>
      <c r="CY800" s="41"/>
      <c r="CZ800" s="41"/>
      <c r="DA800" s="41"/>
      <c r="DB800" s="41"/>
      <c r="DC800" s="41"/>
      <c r="DD800" s="41"/>
      <c r="DE800" s="41"/>
      <c r="DF800" s="41"/>
      <c r="DG800" s="41"/>
      <c r="DH800" s="41"/>
      <c r="DI800" s="41"/>
      <c r="DJ800" s="41"/>
      <c r="DK800" s="41"/>
      <c r="DL800" s="41"/>
      <c r="DM800" s="41"/>
      <c r="DN800" s="41"/>
      <c r="DO800" s="41"/>
      <c r="DP800" s="41"/>
      <c r="DQ800" s="41"/>
      <c r="DR800" s="41"/>
      <c r="DS800" s="43"/>
      <c r="DT800" s="44">
        <f t="shared" ref="DT800" si="782">SUM(F800:DR800)</f>
        <v>1</v>
      </c>
    </row>
    <row r="801" spans="2:124" s="13" customFormat="1">
      <c r="B801" s="4">
        <f>'6.1Personnel List'!B802</f>
        <v>789</v>
      </c>
      <c r="C801" s="45" t="s">
        <v>1018</v>
      </c>
      <c r="D801" s="45" t="str">
        <f>'6.1Personnel List'!D802</f>
        <v>Nurse III</v>
      </c>
      <c r="E801" s="45" t="str">
        <f>'6.1Personnel List'!H802</f>
        <v>FT</v>
      </c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1"/>
      <c r="AP801" s="41"/>
      <c r="AQ801" s="41"/>
      <c r="AR801" s="41"/>
      <c r="AS801" s="41"/>
      <c r="AT801" s="41"/>
      <c r="AU801" s="41"/>
      <c r="AV801" s="41"/>
      <c r="AW801" s="41"/>
      <c r="AX801" s="41"/>
      <c r="AY801" s="41"/>
      <c r="AZ801" s="41"/>
      <c r="BA801" s="41"/>
      <c r="BB801" s="41"/>
      <c r="BC801" s="41"/>
      <c r="BD801" s="41"/>
      <c r="BE801" s="41"/>
      <c r="BF801" s="41"/>
      <c r="BG801" s="41"/>
      <c r="BH801" s="41"/>
      <c r="BJ801" s="41"/>
      <c r="BK801" s="41"/>
      <c r="BL801" s="41"/>
      <c r="BM801" s="41"/>
      <c r="BN801" s="41"/>
      <c r="BO801" s="41"/>
      <c r="BP801" s="41">
        <v>0.05</v>
      </c>
      <c r="BQ801" s="41"/>
      <c r="BR801" s="41"/>
      <c r="BS801" s="41">
        <v>0.1</v>
      </c>
      <c r="BT801" s="41"/>
      <c r="BU801" s="41">
        <v>0.05</v>
      </c>
      <c r="BV801" s="41">
        <v>0.05</v>
      </c>
      <c r="BW801" s="41">
        <v>0.1</v>
      </c>
      <c r="BX801" s="41"/>
      <c r="BY801" s="41"/>
      <c r="BZ801" s="41"/>
      <c r="CA801" s="41"/>
      <c r="CB801" s="41"/>
      <c r="CC801" s="41"/>
      <c r="CD801" s="41"/>
      <c r="CE801" s="41">
        <v>0.05</v>
      </c>
      <c r="CF801" s="41">
        <v>0.05</v>
      </c>
      <c r="CG801" s="41">
        <v>0.05</v>
      </c>
      <c r="CH801" s="41">
        <v>0.05</v>
      </c>
      <c r="CI801" s="41"/>
      <c r="CJ801" s="41"/>
      <c r="CK801" s="41"/>
      <c r="CL801" s="41"/>
      <c r="CM801" s="41"/>
      <c r="CN801" s="41"/>
      <c r="CO801" s="41"/>
      <c r="CP801" s="41"/>
      <c r="CQ801" s="41"/>
      <c r="CR801" s="41"/>
      <c r="CS801" s="41"/>
      <c r="CT801" s="41"/>
      <c r="CU801" s="41"/>
      <c r="CV801" s="41"/>
      <c r="CW801" s="41"/>
      <c r="CX801" s="41"/>
      <c r="CY801" s="41"/>
      <c r="CZ801" s="41"/>
      <c r="DA801" s="41"/>
      <c r="DB801" s="41"/>
      <c r="DC801" s="41"/>
      <c r="DD801" s="41"/>
      <c r="DE801" s="41"/>
      <c r="DF801" s="41"/>
      <c r="DG801" s="41"/>
      <c r="DH801" s="41"/>
      <c r="DI801" s="41"/>
      <c r="DJ801" s="41"/>
      <c r="DK801" s="41">
        <v>0.45</v>
      </c>
      <c r="DL801" s="41"/>
      <c r="DM801" s="41"/>
      <c r="DN801" s="41"/>
      <c r="DO801" s="41"/>
      <c r="DP801" s="41"/>
      <c r="DQ801" s="41"/>
      <c r="DR801" s="41"/>
      <c r="DS801" s="43"/>
      <c r="DT801" s="44">
        <f t="shared" ref="DT801" si="783">SUM(F801:DR801)</f>
        <v>1</v>
      </c>
    </row>
    <row r="802" spans="2:124" s="13" customFormat="1">
      <c r="B802" s="4">
        <f>'6.1Personnel List'!B803</f>
        <v>790</v>
      </c>
      <c r="C802" s="45" t="s">
        <v>1019</v>
      </c>
      <c r="D802" s="45" t="str">
        <f>'6.1Personnel List'!D803</f>
        <v>Nurse III</v>
      </c>
      <c r="E802" s="45" t="str">
        <f>'6.1Personnel List'!H803</f>
        <v>FT</v>
      </c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1"/>
      <c r="AP802" s="41"/>
      <c r="AQ802" s="41"/>
      <c r="AR802" s="41"/>
      <c r="AS802" s="41"/>
      <c r="AT802" s="41"/>
      <c r="AU802" s="41"/>
      <c r="AV802" s="41"/>
      <c r="AW802" s="41"/>
      <c r="AX802" s="41"/>
      <c r="AY802" s="41"/>
      <c r="AZ802" s="41"/>
      <c r="BA802" s="41"/>
      <c r="BB802" s="41"/>
      <c r="BC802" s="41"/>
      <c r="BD802" s="41"/>
      <c r="BE802" s="41"/>
      <c r="BF802" s="41"/>
      <c r="BG802" s="41"/>
      <c r="BH802" s="41"/>
      <c r="BJ802" s="41"/>
      <c r="BK802" s="41"/>
      <c r="BL802" s="41"/>
      <c r="BM802" s="41"/>
      <c r="BN802" s="41"/>
      <c r="BO802" s="41"/>
      <c r="BP802" s="41"/>
      <c r="BQ802" s="41"/>
      <c r="BR802" s="41"/>
      <c r="BS802" s="41">
        <v>0.05</v>
      </c>
      <c r="BT802" s="41">
        <v>0.1</v>
      </c>
      <c r="BU802" s="41"/>
      <c r="BV802" s="41">
        <v>0.05</v>
      </c>
      <c r="BW802" s="41">
        <v>0.05</v>
      </c>
      <c r="BX802" s="41"/>
      <c r="BY802" s="41"/>
      <c r="BZ802" s="41"/>
      <c r="CA802" s="41"/>
      <c r="CB802" s="41"/>
      <c r="CC802" s="41"/>
      <c r="CD802" s="41"/>
      <c r="CE802" s="41">
        <v>0.1</v>
      </c>
      <c r="CF802" s="41">
        <v>0.05</v>
      </c>
      <c r="CG802" s="41">
        <v>0.05</v>
      </c>
      <c r="CH802" s="41">
        <v>0.05</v>
      </c>
      <c r="CI802" s="41"/>
      <c r="CJ802" s="41">
        <v>0.05</v>
      </c>
      <c r="CK802" s="41"/>
      <c r="CL802" s="41">
        <v>0.2</v>
      </c>
      <c r="CM802" s="41"/>
      <c r="CN802" s="41"/>
      <c r="CO802" s="41"/>
      <c r="CP802" s="41"/>
      <c r="CQ802" s="41"/>
      <c r="CR802" s="41"/>
      <c r="CS802" s="41"/>
      <c r="CT802" s="41"/>
      <c r="CU802" s="41">
        <v>0.05</v>
      </c>
      <c r="CV802" s="41"/>
      <c r="CW802" s="41"/>
      <c r="CX802" s="41"/>
      <c r="CY802" s="41"/>
      <c r="CZ802" s="41"/>
      <c r="DA802" s="41"/>
      <c r="DB802" s="41"/>
      <c r="DC802" s="41"/>
      <c r="DD802" s="41">
        <v>0.05</v>
      </c>
      <c r="DE802" s="41"/>
      <c r="DF802" s="41"/>
      <c r="DG802" s="41"/>
      <c r="DH802" s="41"/>
      <c r="DI802" s="41"/>
      <c r="DJ802" s="41"/>
      <c r="DK802" s="41"/>
      <c r="DL802" s="41"/>
      <c r="DM802" s="41"/>
      <c r="DN802" s="41"/>
      <c r="DO802" s="41"/>
      <c r="DP802" s="41">
        <v>0.15</v>
      </c>
      <c r="DQ802" s="41"/>
      <c r="DR802" s="41"/>
      <c r="DS802" s="43"/>
      <c r="DT802" s="44">
        <f t="shared" ref="DT802" si="784">SUM(F802:DR802)</f>
        <v>1</v>
      </c>
    </row>
    <row r="803" spans="2:124" s="13" customFormat="1">
      <c r="B803" s="4">
        <f>'6.1Personnel List'!B804</f>
        <v>791</v>
      </c>
      <c r="C803" s="45" t="s">
        <v>1551</v>
      </c>
      <c r="D803" s="45" t="str">
        <f>'6.1Personnel List'!D804</f>
        <v>Nurse III</v>
      </c>
      <c r="E803" s="45" t="str">
        <f>'6.1Personnel List'!H804</f>
        <v>FT</v>
      </c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1"/>
      <c r="AP803" s="41"/>
      <c r="AQ803" s="41"/>
      <c r="AR803" s="41"/>
      <c r="AS803" s="41"/>
      <c r="AT803" s="41"/>
      <c r="AU803" s="41"/>
      <c r="AV803" s="41"/>
      <c r="AW803" s="41"/>
      <c r="AX803" s="41"/>
      <c r="AY803" s="41"/>
      <c r="AZ803" s="41"/>
      <c r="BA803" s="41"/>
      <c r="BB803" s="41"/>
      <c r="BC803" s="41"/>
      <c r="BD803" s="41"/>
      <c r="BE803" s="41"/>
      <c r="BF803" s="41"/>
      <c r="BG803" s="41"/>
      <c r="BH803" s="41"/>
      <c r="BJ803" s="41"/>
      <c r="BK803" s="94"/>
      <c r="BL803" s="94"/>
      <c r="BM803" s="94"/>
      <c r="BN803" s="94"/>
      <c r="BO803" s="94"/>
      <c r="BP803" s="94"/>
      <c r="BQ803" s="94"/>
      <c r="BR803" s="94"/>
      <c r="BS803" s="94"/>
      <c r="BT803" s="94"/>
      <c r="BU803" s="94"/>
      <c r="BV803" s="94"/>
      <c r="BW803" s="94"/>
      <c r="BX803" s="94"/>
      <c r="BY803" s="94"/>
      <c r="BZ803" s="94"/>
      <c r="CA803" s="94"/>
      <c r="CB803" s="94"/>
      <c r="CC803" s="94"/>
      <c r="CD803" s="94"/>
      <c r="CE803" s="94"/>
      <c r="CF803" s="94"/>
      <c r="CG803" s="94"/>
      <c r="CH803" s="94"/>
      <c r="CI803" s="94"/>
      <c r="CJ803" s="94"/>
      <c r="CK803" s="94"/>
      <c r="CL803" s="94"/>
      <c r="CM803" s="94"/>
      <c r="CN803" s="94"/>
      <c r="CO803" s="94"/>
      <c r="CP803" s="94"/>
      <c r="CQ803" s="94"/>
      <c r="CR803" s="94"/>
      <c r="CS803" s="94"/>
      <c r="CT803" s="94"/>
      <c r="CU803" s="94">
        <v>1</v>
      </c>
      <c r="CV803" s="94"/>
      <c r="CW803" s="94"/>
      <c r="CX803" s="94"/>
      <c r="CY803" s="94"/>
      <c r="CZ803" s="94"/>
      <c r="DA803" s="94"/>
      <c r="DB803" s="94"/>
      <c r="DC803" s="94"/>
      <c r="DD803" s="94"/>
      <c r="DE803" s="94"/>
      <c r="DF803" s="94"/>
      <c r="DG803" s="94"/>
      <c r="DH803" s="94"/>
      <c r="DI803" s="94"/>
      <c r="DJ803" s="94"/>
      <c r="DK803" s="41"/>
      <c r="DL803" s="41"/>
      <c r="DM803" s="41"/>
      <c r="DN803" s="41"/>
      <c r="DO803" s="41"/>
      <c r="DP803" s="41"/>
      <c r="DQ803" s="41"/>
      <c r="DR803" s="41"/>
      <c r="DS803" s="43"/>
      <c r="DT803" s="44">
        <f t="shared" ref="DT803" si="785">SUM(F803:DR803)</f>
        <v>1</v>
      </c>
    </row>
    <row r="804" spans="2:124" s="13" customFormat="1">
      <c r="B804" s="4">
        <f>'6.1Personnel List'!B805</f>
        <v>792</v>
      </c>
      <c r="C804" s="45" t="s">
        <v>1020</v>
      </c>
      <c r="D804" s="45" t="str">
        <f>'6.1Personnel List'!D805</f>
        <v>Nurse III</v>
      </c>
      <c r="E804" s="45" t="str">
        <f>'6.1Personnel List'!H805</f>
        <v>FT</v>
      </c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1"/>
      <c r="AP804" s="41"/>
      <c r="AQ804" s="41"/>
      <c r="AR804" s="41"/>
      <c r="AS804" s="41"/>
      <c r="AT804" s="41"/>
      <c r="AU804" s="41"/>
      <c r="AV804" s="41"/>
      <c r="AW804" s="41"/>
      <c r="AX804" s="41"/>
      <c r="AY804" s="41"/>
      <c r="AZ804" s="41"/>
      <c r="BA804" s="41"/>
      <c r="BB804" s="41"/>
      <c r="BC804" s="41"/>
      <c r="BD804" s="41"/>
      <c r="BE804" s="41"/>
      <c r="BF804" s="41"/>
      <c r="BG804" s="41"/>
      <c r="BH804" s="41"/>
      <c r="BJ804" s="41"/>
      <c r="BK804" s="41"/>
      <c r="BL804" s="41"/>
      <c r="BM804" s="41"/>
      <c r="BN804" s="41"/>
      <c r="BO804" s="41"/>
      <c r="BP804" s="41"/>
      <c r="BQ804" s="41"/>
      <c r="BR804" s="41"/>
      <c r="BS804" s="41"/>
      <c r="BT804" s="41"/>
      <c r="BU804" s="41"/>
      <c r="BV804" s="41">
        <v>0.05</v>
      </c>
      <c r="BW804" s="41"/>
      <c r="BX804" s="41"/>
      <c r="BY804" s="41"/>
      <c r="BZ804" s="41"/>
      <c r="CA804" s="41"/>
      <c r="CB804" s="41">
        <v>0.05</v>
      </c>
      <c r="CC804" s="41"/>
      <c r="CD804" s="41"/>
      <c r="CE804" s="41">
        <v>0.05</v>
      </c>
      <c r="CF804" s="41">
        <v>0.05</v>
      </c>
      <c r="CG804" s="41"/>
      <c r="CH804" s="41"/>
      <c r="CI804" s="41"/>
      <c r="CJ804" s="41"/>
      <c r="CK804" s="41"/>
      <c r="CL804" s="41">
        <v>0.8</v>
      </c>
      <c r="CM804" s="41"/>
      <c r="CN804" s="41"/>
      <c r="CO804" s="41"/>
      <c r="CP804" s="41"/>
      <c r="CQ804" s="41"/>
      <c r="CR804" s="41"/>
      <c r="CS804" s="41"/>
      <c r="CT804" s="41"/>
      <c r="CU804" s="41"/>
      <c r="CV804" s="41"/>
      <c r="CW804" s="41"/>
      <c r="CX804" s="41"/>
      <c r="CY804" s="41"/>
      <c r="CZ804" s="41"/>
      <c r="DA804" s="41"/>
      <c r="DB804" s="41"/>
      <c r="DC804" s="41"/>
      <c r="DD804" s="41"/>
      <c r="DE804" s="41"/>
      <c r="DF804" s="41"/>
      <c r="DG804" s="41"/>
      <c r="DH804" s="41"/>
      <c r="DI804" s="41"/>
      <c r="DJ804" s="41"/>
      <c r="DK804" s="41"/>
      <c r="DL804" s="41"/>
      <c r="DM804" s="41"/>
      <c r="DN804" s="41"/>
      <c r="DO804" s="41"/>
      <c r="DP804" s="41"/>
      <c r="DQ804" s="41"/>
      <c r="DR804" s="41"/>
      <c r="DS804" s="43"/>
      <c r="DT804" s="44">
        <f t="shared" ref="DT804" si="786">SUM(F804:DR804)</f>
        <v>1</v>
      </c>
    </row>
    <row r="805" spans="2:124" s="13" customFormat="1">
      <c r="B805" s="4">
        <f>'6.1Personnel List'!B806</f>
        <v>793</v>
      </c>
      <c r="C805" s="45" t="s">
        <v>1021</v>
      </c>
      <c r="D805" s="45" t="str">
        <f>'6.1Personnel List'!D806</f>
        <v>Nurse III</v>
      </c>
      <c r="E805" s="45" t="str">
        <f>'6.1Personnel List'!H806</f>
        <v>FT</v>
      </c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1"/>
      <c r="AP805" s="41"/>
      <c r="AQ805" s="41"/>
      <c r="AR805" s="41"/>
      <c r="AS805" s="41"/>
      <c r="AT805" s="41"/>
      <c r="AU805" s="41"/>
      <c r="AV805" s="41"/>
      <c r="AW805" s="41"/>
      <c r="AX805" s="41"/>
      <c r="AY805" s="41"/>
      <c r="AZ805" s="41"/>
      <c r="BA805" s="41"/>
      <c r="BB805" s="41"/>
      <c r="BC805" s="41"/>
      <c r="BD805" s="41"/>
      <c r="BE805" s="41"/>
      <c r="BF805" s="41"/>
      <c r="BG805" s="41"/>
      <c r="BH805" s="41"/>
      <c r="BJ805" s="41"/>
      <c r="BK805" s="41"/>
      <c r="BL805" s="41"/>
      <c r="BM805" s="41"/>
      <c r="BN805" s="41"/>
      <c r="BO805" s="41"/>
      <c r="BP805" s="41"/>
      <c r="BQ805" s="41"/>
      <c r="BR805" s="41"/>
      <c r="BS805" s="41"/>
      <c r="BT805" s="41"/>
      <c r="BU805" s="41"/>
      <c r="BV805" s="41">
        <v>0.02</v>
      </c>
      <c r="BW805" s="41">
        <v>0.3</v>
      </c>
      <c r="BX805" s="41"/>
      <c r="BY805" s="41"/>
      <c r="BZ805" s="41"/>
      <c r="CA805" s="41"/>
      <c r="CB805" s="41"/>
      <c r="CC805" s="41"/>
      <c r="CD805" s="41"/>
      <c r="CE805" s="41">
        <v>0.02</v>
      </c>
      <c r="CF805" s="41">
        <v>0.02</v>
      </c>
      <c r="CG805" s="41">
        <v>0.02</v>
      </c>
      <c r="CH805" s="41"/>
      <c r="CI805" s="41"/>
      <c r="CJ805" s="41"/>
      <c r="CK805" s="41">
        <v>0.02</v>
      </c>
      <c r="CL805" s="41"/>
      <c r="CM805" s="41"/>
      <c r="CN805" s="41"/>
      <c r="CO805" s="41"/>
      <c r="CP805" s="41"/>
      <c r="CQ805" s="41"/>
      <c r="CR805" s="41"/>
      <c r="CS805" s="41"/>
      <c r="CT805" s="41"/>
      <c r="CU805" s="41"/>
      <c r="CV805" s="41"/>
      <c r="CW805" s="41"/>
      <c r="CX805" s="41"/>
      <c r="CY805" s="41"/>
      <c r="CZ805" s="41"/>
      <c r="DA805" s="41"/>
      <c r="DB805" s="41"/>
      <c r="DC805" s="41"/>
      <c r="DD805" s="41"/>
      <c r="DE805" s="41"/>
      <c r="DF805" s="41"/>
      <c r="DG805" s="41"/>
      <c r="DH805" s="41"/>
      <c r="DI805" s="41"/>
      <c r="DJ805" s="41"/>
      <c r="DK805" s="41"/>
      <c r="DL805" s="41"/>
      <c r="DM805" s="41">
        <v>0.6</v>
      </c>
      <c r="DN805" s="41"/>
      <c r="DO805" s="41"/>
      <c r="DP805" s="41"/>
      <c r="DQ805" s="41"/>
      <c r="DR805" s="41"/>
      <c r="DS805" s="43"/>
      <c r="DT805" s="44">
        <f t="shared" ref="DT805" si="787">SUM(F805:DR805)</f>
        <v>1</v>
      </c>
    </row>
    <row r="806" spans="2:124" s="13" customFormat="1">
      <c r="B806" s="4">
        <f>'6.1Personnel List'!B807</f>
        <v>794</v>
      </c>
      <c r="C806" s="45" t="s">
        <v>1022</v>
      </c>
      <c r="D806" s="45" t="str">
        <f>'6.1Personnel List'!D807</f>
        <v>Nurse III</v>
      </c>
      <c r="E806" s="45" t="str">
        <f>'6.1Personnel List'!H807</f>
        <v>FT</v>
      </c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1"/>
      <c r="AP806" s="41"/>
      <c r="AQ806" s="41"/>
      <c r="AR806" s="41"/>
      <c r="AS806" s="41"/>
      <c r="AT806" s="41"/>
      <c r="AU806" s="41"/>
      <c r="AV806" s="41"/>
      <c r="AW806" s="41"/>
      <c r="AX806" s="41"/>
      <c r="AY806" s="41"/>
      <c r="AZ806" s="41"/>
      <c r="BA806" s="41"/>
      <c r="BB806" s="41"/>
      <c r="BC806" s="41"/>
      <c r="BD806" s="41"/>
      <c r="BE806" s="41"/>
      <c r="BF806" s="41"/>
      <c r="BG806" s="41"/>
      <c r="BH806" s="41"/>
      <c r="BJ806" s="41"/>
      <c r="BK806" s="41"/>
      <c r="BL806" s="41"/>
      <c r="BM806" s="41"/>
      <c r="BN806" s="41"/>
      <c r="BO806" s="41"/>
      <c r="BP806" s="41"/>
      <c r="BQ806" s="41"/>
      <c r="BR806" s="41"/>
      <c r="BS806" s="41">
        <v>0.05</v>
      </c>
      <c r="BT806" s="41">
        <v>0.1</v>
      </c>
      <c r="BU806" s="41"/>
      <c r="BV806" s="41">
        <v>0.05</v>
      </c>
      <c r="BW806" s="41">
        <v>0.05</v>
      </c>
      <c r="BX806" s="41"/>
      <c r="BY806" s="41"/>
      <c r="BZ806" s="41"/>
      <c r="CA806" s="41"/>
      <c r="CB806" s="41"/>
      <c r="CC806" s="41"/>
      <c r="CD806" s="41"/>
      <c r="CE806" s="41">
        <v>0.1</v>
      </c>
      <c r="CF806" s="41">
        <v>0.05</v>
      </c>
      <c r="CG806" s="41">
        <v>0.05</v>
      </c>
      <c r="CH806" s="41">
        <v>0.05</v>
      </c>
      <c r="CI806" s="41"/>
      <c r="CJ806" s="41">
        <v>0.05</v>
      </c>
      <c r="CK806" s="41"/>
      <c r="CL806" s="41">
        <v>0.2</v>
      </c>
      <c r="CM806" s="41"/>
      <c r="CN806" s="41"/>
      <c r="CO806" s="41"/>
      <c r="CP806" s="41"/>
      <c r="CQ806" s="41"/>
      <c r="CR806" s="41"/>
      <c r="CS806" s="41"/>
      <c r="CT806" s="41"/>
      <c r="CU806" s="41">
        <v>0.05</v>
      </c>
      <c r="CV806" s="41"/>
      <c r="CW806" s="41"/>
      <c r="CX806" s="41"/>
      <c r="CY806" s="41"/>
      <c r="CZ806" s="41"/>
      <c r="DA806" s="41"/>
      <c r="DB806" s="41"/>
      <c r="DC806" s="41"/>
      <c r="DD806" s="41">
        <v>0.05</v>
      </c>
      <c r="DE806" s="41"/>
      <c r="DF806" s="41"/>
      <c r="DG806" s="41"/>
      <c r="DH806" s="41"/>
      <c r="DI806" s="41"/>
      <c r="DJ806" s="41"/>
      <c r="DK806" s="41"/>
      <c r="DL806" s="41"/>
      <c r="DM806" s="41"/>
      <c r="DN806" s="41"/>
      <c r="DO806" s="41"/>
      <c r="DP806" s="41">
        <v>0.15</v>
      </c>
      <c r="DQ806" s="41"/>
      <c r="DR806" s="41"/>
      <c r="DS806" s="43"/>
      <c r="DT806" s="44">
        <f t="shared" ref="DT806" si="788">SUM(F806:DR806)</f>
        <v>1</v>
      </c>
    </row>
    <row r="807" spans="2:124" s="13" customFormat="1">
      <c r="B807" s="4">
        <f>'6.1Personnel List'!B808</f>
        <v>795</v>
      </c>
      <c r="C807" s="45" t="s">
        <v>1023</v>
      </c>
      <c r="D807" s="45" t="str">
        <f>'6.1Personnel List'!D808</f>
        <v>Nurse III</v>
      </c>
      <c r="E807" s="45" t="str">
        <f>'6.1Personnel List'!H808</f>
        <v>FT</v>
      </c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  <c r="AA807" s="41"/>
      <c r="AB807" s="41"/>
      <c r="AC807" s="41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1"/>
      <c r="AP807" s="41"/>
      <c r="AQ807" s="41"/>
      <c r="AR807" s="41"/>
      <c r="AS807" s="41"/>
      <c r="AT807" s="41"/>
      <c r="AU807" s="41"/>
      <c r="AV807" s="41"/>
      <c r="AW807" s="41"/>
      <c r="AX807" s="41"/>
      <c r="AY807" s="41"/>
      <c r="AZ807" s="41"/>
      <c r="BA807" s="41"/>
      <c r="BB807" s="41"/>
      <c r="BC807" s="41"/>
      <c r="BD807" s="41"/>
      <c r="BE807" s="41"/>
      <c r="BF807" s="41"/>
      <c r="BG807" s="41"/>
      <c r="BH807" s="41"/>
      <c r="BJ807" s="41"/>
      <c r="BK807" s="41"/>
      <c r="BL807" s="41"/>
      <c r="BM807" s="41"/>
      <c r="BN807" s="41"/>
      <c r="BO807" s="41"/>
      <c r="BP807" s="41"/>
      <c r="BQ807" s="41"/>
      <c r="BR807" s="41"/>
      <c r="BS807" s="41"/>
      <c r="BT807" s="41"/>
      <c r="BU807" s="41"/>
      <c r="BV807" s="41"/>
      <c r="BW807" s="41"/>
      <c r="BX807" s="41"/>
      <c r="BY807" s="41"/>
      <c r="BZ807" s="41"/>
      <c r="CA807" s="41"/>
      <c r="CB807" s="41">
        <v>0.01</v>
      </c>
      <c r="CC807" s="41"/>
      <c r="CD807" s="41"/>
      <c r="CE807" s="41">
        <v>0.02</v>
      </c>
      <c r="CF807" s="41">
        <v>0.02</v>
      </c>
      <c r="CG807" s="41">
        <v>0.1</v>
      </c>
      <c r="CH807" s="41">
        <v>0.1</v>
      </c>
      <c r="CI807" s="41">
        <v>0.02</v>
      </c>
      <c r="CJ807" s="41"/>
      <c r="CK807" s="41">
        <v>0.01</v>
      </c>
      <c r="CL807" s="41">
        <v>0.05</v>
      </c>
      <c r="CM807" s="41"/>
      <c r="CN807" s="41">
        <v>0.05</v>
      </c>
      <c r="CO807" s="41">
        <v>0.05</v>
      </c>
      <c r="CP807" s="41">
        <v>0.05</v>
      </c>
      <c r="CQ807" s="41">
        <v>0.05</v>
      </c>
      <c r="CR807" s="41">
        <v>0.02</v>
      </c>
      <c r="CS807" s="41">
        <v>0.01</v>
      </c>
      <c r="CT807" s="41"/>
      <c r="CU807" s="41"/>
      <c r="CV807" s="41">
        <v>0.02</v>
      </c>
      <c r="CW807" s="41"/>
      <c r="CX807" s="41"/>
      <c r="CY807" s="41"/>
      <c r="CZ807" s="41"/>
      <c r="DA807" s="41"/>
      <c r="DB807" s="41"/>
      <c r="DC807" s="41"/>
      <c r="DD807" s="41">
        <v>0.12</v>
      </c>
      <c r="DE807" s="41"/>
      <c r="DF807" s="41"/>
      <c r="DG807" s="41"/>
      <c r="DH807" s="41"/>
      <c r="DI807" s="41"/>
      <c r="DJ807" s="41">
        <v>0.05</v>
      </c>
      <c r="DK807" s="41">
        <v>0.05</v>
      </c>
      <c r="DL807" s="41">
        <v>0.05</v>
      </c>
      <c r="DM807" s="41">
        <v>0.05</v>
      </c>
      <c r="DN807" s="41"/>
      <c r="DO807" s="41"/>
      <c r="DP807" s="41">
        <v>0.05</v>
      </c>
      <c r="DQ807" s="41"/>
      <c r="DR807" s="41">
        <v>0.05</v>
      </c>
      <c r="DS807" s="43"/>
      <c r="DT807" s="44">
        <f t="shared" ref="DT807" si="789">SUM(F807:DR807)</f>
        <v>1.0000000000000002</v>
      </c>
    </row>
    <row r="808" spans="2:124" s="13" customFormat="1">
      <c r="B808" s="4">
        <f>'6.1Personnel List'!B809</f>
        <v>796</v>
      </c>
      <c r="C808" s="45" t="s">
        <v>1024</v>
      </c>
      <c r="D808" s="45" t="str">
        <f>'6.1Personnel List'!D809</f>
        <v>Nurse III</v>
      </c>
      <c r="E808" s="45" t="str">
        <f>'6.1Personnel List'!H809</f>
        <v>FT</v>
      </c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  <c r="AA808" s="41"/>
      <c r="AB808" s="41"/>
      <c r="AC808" s="41"/>
      <c r="AD808" s="41"/>
      <c r="AE808" s="41"/>
      <c r="AF808" s="41"/>
      <c r="AG808" s="41"/>
      <c r="AH808" s="41"/>
      <c r="AI808" s="41"/>
      <c r="AJ808" s="41"/>
      <c r="AK808" s="41"/>
      <c r="AL808" s="41"/>
      <c r="AM808" s="41"/>
      <c r="AN808" s="41"/>
      <c r="AO808" s="41"/>
      <c r="AP808" s="41"/>
      <c r="AQ808" s="41"/>
      <c r="AR808" s="41"/>
      <c r="AS808" s="41"/>
      <c r="AT808" s="41"/>
      <c r="AU808" s="41"/>
      <c r="AV808" s="41"/>
      <c r="AW808" s="41"/>
      <c r="AX808" s="41"/>
      <c r="AY808" s="41"/>
      <c r="AZ808" s="41"/>
      <c r="BA808" s="41"/>
      <c r="BB808" s="41"/>
      <c r="BC808" s="41"/>
      <c r="BD808" s="41"/>
      <c r="BE808" s="41"/>
      <c r="BF808" s="41"/>
      <c r="BG808" s="41"/>
      <c r="BH808" s="41"/>
      <c r="BJ808" s="41"/>
      <c r="BK808" s="41"/>
      <c r="BL808" s="41"/>
      <c r="BM808" s="41"/>
      <c r="BN808" s="41"/>
      <c r="BO808" s="41"/>
      <c r="BP808" s="41"/>
      <c r="BQ808" s="41"/>
      <c r="BR808" s="41"/>
      <c r="BS808" s="41"/>
      <c r="BT808" s="41"/>
      <c r="BU808" s="41"/>
      <c r="BV808" s="41"/>
      <c r="BW808" s="41"/>
      <c r="BX808" s="41"/>
      <c r="BY808" s="41"/>
      <c r="BZ808" s="41"/>
      <c r="CA808" s="41"/>
      <c r="CB808" s="41"/>
      <c r="CC808" s="41"/>
      <c r="CD808" s="41"/>
      <c r="CE808" s="41"/>
      <c r="CF808" s="41"/>
      <c r="CG808" s="41"/>
      <c r="CH808" s="41"/>
      <c r="CI808" s="41"/>
      <c r="CJ808" s="41"/>
      <c r="CK808" s="41"/>
      <c r="CL808" s="41"/>
      <c r="CM808" s="41"/>
      <c r="CN808" s="41">
        <v>1</v>
      </c>
      <c r="CO808" s="41"/>
      <c r="CP808" s="41"/>
      <c r="CQ808" s="41"/>
      <c r="CR808" s="41"/>
      <c r="CS808" s="41"/>
      <c r="CT808" s="41"/>
      <c r="CU808" s="41"/>
      <c r="CV808" s="41"/>
      <c r="CW808" s="41"/>
      <c r="CX808" s="41"/>
      <c r="CY808" s="41"/>
      <c r="CZ808" s="41"/>
      <c r="DA808" s="41"/>
      <c r="DB808" s="41"/>
      <c r="DC808" s="41"/>
      <c r="DD808" s="41"/>
      <c r="DE808" s="41"/>
      <c r="DF808" s="41"/>
      <c r="DG808" s="41"/>
      <c r="DH808" s="41"/>
      <c r="DI808" s="41"/>
      <c r="DJ808" s="41"/>
      <c r="DK808" s="41"/>
      <c r="DL808" s="41"/>
      <c r="DM808" s="41"/>
      <c r="DN808" s="41"/>
      <c r="DO808" s="41"/>
      <c r="DP808" s="41"/>
      <c r="DQ808" s="41"/>
      <c r="DR808" s="41"/>
      <c r="DS808" s="43"/>
      <c r="DT808" s="44">
        <f t="shared" ref="DT808" si="790">SUM(F808:DR808)</f>
        <v>1</v>
      </c>
    </row>
    <row r="809" spans="2:124" s="13" customFormat="1">
      <c r="B809" s="4">
        <f>'6.1Personnel List'!B810</f>
        <v>797</v>
      </c>
      <c r="C809" s="45" t="s">
        <v>1025</v>
      </c>
      <c r="D809" s="45" t="str">
        <f>'6.1Personnel List'!D810</f>
        <v>Nurse III</v>
      </c>
      <c r="E809" s="45" t="str">
        <f>'6.1Personnel List'!H810</f>
        <v>FT</v>
      </c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  <c r="AA809" s="41"/>
      <c r="AB809" s="41"/>
      <c r="AC809" s="41"/>
      <c r="AD809" s="41"/>
      <c r="AE809" s="41"/>
      <c r="AF809" s="41"/>
      <c r="AG809" s="41"/>
      <c r="AH809" s="41"/>
      <c r="AI809" s="41"/>
      <c r="AJ809" s="41"/>
      <c r="AK809" s="41"/>
      <c r="AL809" s="41"/>
      <c r="AM809" s="41"/>
      <c r="AN809" s="41"/>
      <c r="AO809" s="41"/>
      <c r="AP809" s="41"/>
      <c r="AQ809" s="41"/>
      <c r="AR809" s="41"/>
      <c r="AS809" s="41"/>
      <c r="AT809" s="41"/>
      <c r="AU809" s="41"/>
      <c r="AV809" s="41"/>
      <c r="AW809" s="41"/>
      <c r="AX809" s="41"/>
      <c r="AY809" s="41"/>
      <c r="AZ809" s="41"/>
      <c r="BA809" s="41"/>
      <c r="BB809" s="41"/>
      <c r="BC809" s="41"/>
      <c r="BD809" s="41"/>
      <c r="BE809" s="41"/>
      <c r="BF809" s="41"/>
      <c r="BG809" s="41"/>
      <c r="BH809" s="41"/>
      <c r="BJ809" s="41"/>
      <c r="BK809" s="41"/>
      <c r="BL809" s="41"/>
      <c r="BM809" s="41"/>
      <c r="BN809" s="41"/>
      <c r="BO809" s="41"/>
      <c r="BP809" s="41"/>
      <c r="BQ809" s="41"/>
      <c r="BR809" s="41"/>
      <c r="BS809" s="41"/>
      <c r="BT809" s="41"/>
      <c r="BU809" s="41"/>
      <c r="BV809" s="41"/>
      <c r="BW809" s="41"/>
      <c r="BX809" s="41"/>
      <c r="BY809" s="41"/>
      <c r="BZ809" s="41"/>
      <c r="CA809" s="41"/>
      <c r="CB809" s="41">
        <v>0.01</v>
      </c>
      <c r="CC809" s="41"/>
      <c r="CD809" s="41"/>
      <c r="CE809" s="41">
        <v>0.02</v>
      </c>
      <c r="CF809" s="41">
        <v>0.02</v>
      </c>
      <c r="CG809" s="41">
        <v>0.1</v>
      </c>
      <c r="CH809" s="41">
        <v>0.1</v>
      </c>
      <c r="CI809" s="41">
        <v>0.02</v>
      </c>
      <c r="CJ809" s="41"/>
      <c r="CK809" s="41">
        <v>0.01</v>
      </c>
      <c r="CL809" s="41">
        <v>0.05</v>
      </c>
      <c r="CM809" s="41"/>
      <c r="CN809" s="41">
        <v>0.05</v>
      </c>
      <c r="CO809" s="41">
        <v>0.05</v>
      </c>
      <c r="CP809" s="41">
        <v>0.05</v>
      </c>
      <c r="CQ809" s="41">
        <v>0.05</v>
      </c>
      <c r="CR809" s="41">
        <v>0.02</v>
      </c>
      <c r="CS809" s="41">
        <v>0.01</v>
      </c>
      <c r="CT809" s="41"/>
      <c r="CU809" s="41"/>
      <c r="CV809" s="41">
        <v>0.02</v>
      </c>
      <c r="CW809" s="41"/>
      <c r="CX809" s="41"/>
      <c r="CY809" s="41"/>
      <c r="CZ809" s="41"/>
      <c r="DA809" s="41"/>
      <c r="DB809" s="41"/>
      <c r="DC809" s="41"/>
      <c r="DD809" s="41">
        <v>0.12</v>
      </c>
      <c r="DE809" s="41"/>
      <c r="DF809" s="41"/>
      <c r="DG809" s="41"/>
      <c r="DH809" s="41"/>
      <c r="DI809" s="41"/>
      <c r="DJ809" s="41">
        <v>0.05</v>
      </c>
      <c r="DK809" s="41">
        <v>0.05</v>
      </c>
      <c r="DL809" s="41">
        <v>0.05</v>
      </c>
      <c r="DM809" s="41">
        <v>0.05</v>
      </c>
      <c r="DN809" s="41"/>
      <c r="DO809" s="41"/>
      <c r="DP809" s="41">
        <v>0.05</v>
      </c>
      <c r="DQ809" s="41"/>
      <c r="DR809" s="41">
        <v>0.05</v>
      </c>
      <c r="DS809" s="43"/>
      <c r="DT809" s="44">
        <f t="shared" ref="DT809" si="791">SUM(F809:DR809)</f>
        <v>1.0000000000000002</v>
      </c>
    </row>
    <row r="810" spans="2:124" s="13" customFormat="1">
      <c r="B810" s="4">
        <f>'6.1Personnel List'!B811</f>
        <v>798</v>
      </c>
      <c r="C810" s="45" t="s">
        <v>1026</v>
      </c>
      <c r="D810" s="45" t="str">
        <f>'6.1Personnel List'!D811</f>
        <v>Nurse III</v>
      </c>
      <c r="E810" s="45" t="str">
        <f>'6.1Personnel List'!H811</f>
        <v>FT</v>
      </c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  <c r="AA810" s="41"/>
      <c r="AB810" s="41"/>
      <c r="AC810" s="41"/>
      <c r="AD810" s="41"/>
      <c r="AE810" s="41"/>
      <c r="AF810" s="41"/>
      <c r="AG810" s="41"/>
      <c r="AH810" s="41"/>
      <c r="AI810" s="41"/>
      <c r="AJ810" s="41"/>
      <c r="AK810" s="41"/>
      <c r="AL810" s="41"/>
      <c r="AM810" s="41"/>
      <c r="AN810" s="41"/>
      <c r="AO810" s="41"/>
      <c r="AP810" s="41"/>
      <c r="AQ810" s="41"/>
      <c r="AR810" s="41"/>
      <c r="AS810" s="41"/>
      <c r="AT810" s="41"/>
      <c r="AU810" s="41"/>
      <c r="AV810" s="41"/>
      <c r="AW810" s="41"/>
      <c r="AX810" s="41"/>
      <c r="AY810" s="41"/>
      <c r="AZ810" s="41"/>
      <c r="BA810" s="41"/>
      <c r="BB810" s="41"/>
      <c r="BC810" s="41"/>
      <c r="BD810" s="41"/>
      <c r="BE810" s="41"/>
      <c r="BF810" s="41"/>
      <c r="BG810" s="41"/>
      <c r="BH810" s="41"/>
      <c r="BJ810" s="41"/>
      <c r="BK810" s="94"/>
      <c r="BL810" s="94"/>
      <c r="BM810" s="94"/>
      <c r="BN810" s="94"/>
      <c r="BO810" s="94"/>
      <c r="BP810" s="94"/>
      <c r="BQ810" s="94"/>
      <c r="BR810" s="94"/>
      <c r="BS810" s="94"/>
      <c r="BT810" s="94">
        <v>1</v>
      </c>
      <c r="BU810" s="94"/>
      <c r="BV810" s="94"/>
      <c r="BW810" s="94"/>
      <c r="BX810" s="94"/>
      <c r="BY810" s="94"/>
      <c r="BZ810" s="94"/>
      <c r="CA810" s="94"/>
      <c r="CB810" s="94"/>
      <c r="CC810" s="94"/>
      <c r="CD810" s="94"/>
      <c r="CE810" s="94"/>
      <c r="CF810" s="94"/>
      <c r="CG810" s="94"/>
      <c r="CH810" s="94"/>
      <c r="CI810" s="94"/>
      <c r="CJ810" s="94"/>
      <c r="CK810" s="94"/>
      <c r="CL810" s="94"/>
      <c r="CM810" s="94"/>
      <c r="CN810" s="94"/>
      <c r="CO810" s="94"/>
      <c r="CP810" s="94"/>
      <c r="CQ810" s="94"/>
      <c r="CR810" s="94"/>
      <c r="CS810" s="94"/>
      <c r="CT810" s="94"/>
      <c r="CU810" s="94"/>
      <c r="CV810" s="94"/>
      <c r="CW810" s="94"/>
      <c r="CX810" s="94"/>
      <c r="CY810" s="94"/>
      <c r="CZ810" s="94"/>
      <c r="DA810" s="94"/>
      <c r="DB810" s="94"/>
      <c r="DC810" s="94"/>
      <c r="DD810" s="94"/>
      <c r="DE810" s="94"/>
      <c r="DF810" s="94"/>
      <c r="DG810" s="94"/>
      <c r="DH810" s="94"/>
      <c r="DI810" s="94"/>
      <c r="DJ810" s="94"/>
      <c r="DK810" s="41"/>
      <c r="DL810" s="41"/>
      <c r="DM810" s="41"/>
      <c r="DN810" s="41"/>
      <c r="DO810" s="41"/>
      <c r="DP810" s="41"/>
      <c r="DQ810" s="41"/>
      <c r="DR810" s="41"/>
      <c r="DS810" s="43"/>
      <c r="DT810" s="44">
        <f t="shared" ref="DT810" si="792">SUM(F810:DR810)</f>
        <v>1</v>
      </c>
    </row>
    <row r="811" spans="2:124" s="13" customFormat="1">
      <c r="B811" s="4">
        <f>'6.1Personnel List'!B812</f>
        <v>799</v>
      </c>
      <c r="C811" s="45" t="s">
        <v>1027</v>
      </c>
      <c r="D811" s="45" t="str">
        <f>'6.1Personnel List'!D812</f>
        <v>Nurse III</v>
      </c>
      <c r="E811" s="45" t="str">
        <f>'6.1Personnel List'!H812</f>
        <v>FT</v>
      </c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  <c r="AA811" s="41"/>
      <c r="AB811" s="41"/>
      <c r="AC811" s="41"/>
      <c r="AD811" s="41"/>
      <c r="AE811" s="41"/>
      <c r="AF811" s="41"/>
      <c r="AG811" s="41"/>
      <c r="AH811" s="41"/>
      <c r="AI811" s="41"/>
      <c r="AJ811" s="41"/>
      <c r="AK811" s="41"/>
      <c r="AL811" s="41"/>
      <c r="AM811" s="41"/>
      <c r="AN811" s="41"/>
      <c r="AO811" s="41"/>
      <c r="AP811" s="41"/>
      <c r="AQ811" s="41"/>
      <c r="AR811" s="41"/>
      <c r="AS811" s="41"/>
      <c r="AT811" s="41"/>
      <c r="AU811" s="41"/>
      <c r="AV811" s="41"/>
      <c r="AW811" s="41"/>
      <c r="AX811" s="41"/>
      <c r="AY811" s="41"/>
      <c r="AZ811" s="41"/>
      <c r="BA811" s="41"/>
      <c r="BB811" s="41"/>
      <c r="BC811" s="41"/>
      <c r="BD811" s="41"/>
      <c r="BE811" s="41"/>
      <c r="BF811" s="41"/>
      <c r="BG811" s="41"/>
      <c r="BH811" s="41"/>
      <c r="BJ811" s="41"/>
      <c r="BK811" s="41"/>
      <c r="BL811" s="41"/>
      <c r="BM811" s="41"/>
      <c r="BN811" s="41"/>
      <c r="BO811" s="41"/>
      <c r="BP811" s="41">
        <v>0.05</v>
      </c>
      <c r="BQ811" s="41"/>
      <c r="BR811" s="41"/>
      <c r="BS811" s="41">
        <v>0.1</v>
      </c>
      <c r="BT811" s="41"/>
      <c r="BU811" s="41">
        <v>0.05</v>
      </c>
      <c r="BV811" s="41">
        <v>0.05</v>
      </c>
      <c r="BW811" s="41">
        <v>0.1</v>
      </c>
      <c r="BX811" s="41"/>
      <c r="BY811" s="41"/>
      <c r="BZ811" s="41"/>
      <c r="CA811" s="41"/>
      <c r="CB811" s="41"/>
      <c r="CC811" s="41"/>
      <c r="CD811" s="41"/>
      <c r="CE811" s="41">
        <v>0.05</v>
      </c>
      <c r="CF811" s="41">
        <v>0.05</v>
      </c>
      <c r="CG811" s="41">
        <v>0.05</v>
      </c>
      <c r="CH811" s="41">
        <v>0.05</v>
      </c>
      <c r="CI811" s="41"/>
      <c r="CJ811" s="41"/>
      <c r="CK811" s="41"/>
      <c r="CL811" s="41"/>
      <c r="CM811" s="41"/>
      <c r="CN811" s="41"/>
      <c r="CO811" s="41"/>
      <c r="CP811" s="41"/>
      <c r="CQ811" s="41"/>
      <c r="CR811" s="41"/>
      <c r="CS811" s="41"/>
      <c r="CT811" s="41"/>
      <c r="CU811" s="41"/>
      <c r="CV811" s="41"/>
      <c r="CW811" s="41"/>
      <c r="CX811" s="41"/>
      <c r="CY811" s="41"/>
      <c r="CZ811" s="41"/>
      <c r="DA811" s="41"/>
      <c r="DB811" s="41"/>
      <c r="DC811" s="41"/>
      <c r="DD811" s="41"/>
      <c r="DE811" s="41"/>
      <c r="DF811" s="41"/>
      <c r="DG811" s="41"/>
      <c r="DH811" s="41"/>
      <c r="DI811" s="41"/>
      <c r="DJ811" s="41"/>
      <c r="DK811" s="41">
        <v>0.45</v>
      </c>
      <c r="DL811" s="41"/>
      <c r="DM811" s="41"/>
      <c r="DN811" s="41"/>
      <c r="DO811" s="41"/>
      <c r="DP811" s="41"/>
      <c r="DQ811" s="41"/>
      <c r="DR811" s="41"/>
      <c r="DS811" s="43"/>
      <c r="DT811" s="44">
        <f t="shared" ref="DT811" si="793">SUM(F811:DR811)</f>
        <v>1</v>
      </c>
    </row>
    <row r="812" spans="2:124" s="13" customFormat="1">
      <c r="B812" s="4">
        <f>'6.1Personnel List'!B813</f>
        <v>800</v>
      </c>
      <c r="C812" s="45" t="s">
        <v>1028</v>
      </c>
      <c r="D812" s="45" t="str">
        <f>'6.1Personnel List'!D813</f>
        <v>Nurse III</v>
      </c>
      <c r="E812" s="45" t="str">
        <f>'6.1Personnel List'!H813</f>
        <v>FT</v>
      </c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  <c r="AA812" s="41"/>
      <c r="AB812" s="41"/>
      <c r="AC812" s="41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1"/>
      <c r="AP812" s="41"/>
      <c r="AQ812" s="41"/>
      <c r="AR812" s="41"/>
      <c r="AS812" s="41"/>
      <c r="AT812" s="41"/>
      <c r="AU812" s="41"/>
      <c r="AV812" s="41"/>
      <c r="AW812" s="41"/>
      <c r="AX812" s="41"/>
      <c r="AY812" s="41"/>
      <c r="AZ812" s="41"/>
      <c r="BA812" s="41"/>
      <c r="BB812" s="41"/>
      <c r="BC812" s="41"/>
      <c r="BD812" s="41"/>
      <c r="BE812" s="41"/>
      <c r="BF812" s="41"/>
      <c r="BG812" s="41"/>
      <c r="BH812" s="41"/>
      <c r="BJ812" s="41"/>
      <c r="BK812" s="41"/>
      <c r="BL812" s="41"/>
      <c r="BM812" s="41"/>
      <c r="BN812" s="41"/>
      <c r="BO812" s="41"/>
      <c r="BP812" s="41"/>
      <c r="BQ812" s="41"/>
      <c r="BR812" s="41"/>
      <c r="BS812" s="41"/>
      <c r="BT812" s="41">
        <v>0.05</v>
      </c>
      <c r="BU812" s="41"/>
      <c r="BV812" s="41">
        <v>0.05</v>
      </c>
      <c r="BW812" s="41"/>
      <c r="BX812" s="41"/>
      <c r="BY812" s="41"/>
      <c r="BZ812" s="41"/>
      <c r="CA812" s="41"/>
      <c r="CB812" s="41">
        <v>0.05</v>
      </c>
      <c r="CC812" s="41"/>
      <c r="CD812" s="41"/>
      <c r="CE812" s="41">
        <v>0.05</v>
      </c>
      <c r="CF812" s="41">
        <v>0.02</v>
      </c>
      <c r="CG812" s="41">
        <v>0.03</v>
      </c>
      <c r="CH812" s="41"/>
      <c r="CI812" s="41"/>
      <c r="CJ812" s="41"/>
      <c r="CK812" s="41"/>
      <c r="CL812" s="41">
        <v>0.75</v>
      </c>
      <c r="CM812" s="41"/>
      <c r="CN812" s="41"/>
      <c r="CO812" s="41"/>
      <c r="CP812" s="41"/>
      <c r="CQ812" s="41"/>
      <c r="CR812" s="41"/>
      <c r="CS812" s="41"/>
      <c r="CT812" s="41"/>
      <c r="CU812" s="41"/>
      <c r="CV812" s="41"/>
      <c r="CW812" s="41"/>
      <c r="CX812" s="41"/>
      <c r="CY812" s="41"/>
      <c r="CZ812" s="41"/>
      <c r="DA812" s="41"/>
      <c r="DB812" s="41"/>
      <c r="DC812" s="41"/>
      <c r="DD812" s="41"/>
      <c r="DE812" s="41"/>
      <c r="DF812" s="41"/>
      <c r="DG812" s="41"/>
      <c r="DH812" s="41"/>
      <c r="DI812" s="41"/>
      <c r="DJ812" s="41"/>
      <c r="DK812" s="41"/>
      <c r="DL812" s="41"/>
      <c r="DM812" s="41"/>
      <c r="DN812" s="41"/>
      <c r="DO812" s="41"/>
      <c r="DP812" s="41"/>
      <c r="DQ812" s="41"/>
      <c r="DR812" s="41"/>
      <c r="DS812" s="43"/>
      <c r="DT812" s="44">
        <f t="shared" ref="DT812" si="794">SUM(F812:DR812)</f>
        <v>1</v>
      </c>
    </row>
    <row r="813" spans="2:124" s="13" customFormat="1">
      <c r="B813" s="4">
        <f>'6.1Personnel List'!B814</f>
        <v>801</v>
      </c>
      <c r="C813" s="45" t="s">
        <v>1029</v>
      </c>
      <c r="D813" s="45" t="str">
        <f>'6.1Personnel List'!D814</f>
        <v>Nurse III</v>
      </c>
      <c r="E813" s="45" t="str">
        <f>'6.1Personnel List'!H814</f>
        <v>FT</v>
      </c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  <c r="AA813" s="41"/>
      <c r="AB813" s="41"/>
      <c r="AC813" s="41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1"/>
      <c r="AP813" s="41"/>
      <c r="AQ813" s="41"/>
      <c r="AR813" s="41"/>
      <c r="AS813" s="41"/>
      <c r="AT813" s="41"/>
      <c r="AU813" s="41"/>
      <c r="AV813" s="41"/>
      <c r="AW813" s="41"/>
      <c r="AX813" s="41"/>
      <c r="AY813" s="41"/>
      <c r="AZ813" s="41"/>
      <c r="BA813" s="41"/>
      <c r="BB813" s="41"/>
      <c r="BC813" s="41"/>
      <c r="BD813" s="41"/>
      <c r="BE813" s="41"/>
      <c r="BF813" s="41"/>
      <c r="BG813" s="41"/>
      <c r="BH813" s="41"/>
      <c r="BJ813" s="41"/>
      <c r="BK813" s="41"/>
      <c r="BL813" s="41"/>
      <c r="BM813" s="41"/>
      <c r="BN813" s="41"/>
      <c r="BO813" s="41"/>
      <c r="BP813" s="41"/>
      <c r="BQ813" s="41"/>
      <c r="BR813" s="41"/>
      <c r="BS813" s="41"/>
      <c r="BT813" s="41"/>
      <c r="BU813" s="41"/>
      <c r="BV813" s="41"/>
      <c r="BW813" s="41"/>
      <c r="BX813" s="41"/>
      <c r="BY813" s="41"/>
      <c r="BZ813" s="41"/>
      <c r="CA813" s="41"/>
      <c r="CB813" s="41"/>
      <c r="CC813" s="41"/>
      <c r="CD813" s="41"/>
      <c r="CE813" s="41"/>
      <c r="CF813" s="41"/>
      <c r="CG813" s="41"/>
      <c r="CH813" s="41"/>
      <c r="CI813" s="41"/>
      <c r="CJ813" s="41"/>
      <c r="CK813" s="41"/>
      <c r="CL813" s="41"/>
      <c r="CM813" s="41"/>
      <c r="CN813" s="41"/>
      <c r="CO813" s="41"/>
      <c r="CP813" s="41"/>
      <c r="CQ813" s="41"/>
      <c r="CR813" s="41"/>
      <c r="CS813" s="41"/>
      <c r="CT813" s="41"/>
      <c r="CU813" s="41"/>
      <c r="CV813" s="41"/>
      <c r="CW813" s="41"/>
      <c r="CX813" s="41"/>
      <c r="CY813" s="41"/>
      <c r="CZ813" s="41"/>
      <c r="DA813" s="41"/>
      <c r="DB813" s="41"/>
      <c r="DC813" s="41"/>
      <c r="DD813" s="41"/>
      <c r="DE813" s="41"/>
      <c r="DF813" s="41"/>
      <c r="DG813" s="41"/>
      <c r="DH813" s="41"/>
      <c r="DI813" s="41"/>
      <c r="DJ813" s="41">
        <v>1</v>
      </c>
      <c r="DK813" s="41"/>
      <c r="DL813" s="41"/>
      <c r="DM813" s="41"/>
      <c r="DN813" s="41"/>
      <c r="DO813" s="41"/>
      <c r="DP813" s="41"/>
      <c r="DQ813" s="41"/>
      <c r="DR813" s="41"/>
      <c r="DS813" s="43"/>
      <c r="DT813" s="44">
        <f t="shared" ref="DT813" si="795">SUM(F813:DR813)</f>
        <v>1</v>
      </c>
    </row>
    <row r="814" spans="2:124" s="13" customFormat="1">
      <c r="B814" s="4">
        <f>'6.1Personnel List'!B815</f>
        <v>802</v>
      </c>
      <c r="C814" s="45" t="s">
        <v>1030</v>
      </c>
      <c r="D814" s="45" t="str">
        <f>'6.1Personnel List'!D815</f>
        <v>Nurse III</v>
      </c>
      <c r="E814" s="45" t="str">
        <f>'6.1Personnel List'!H815</f>
        <v>FT</v>
      </c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  <c r="AA814" s="41"/>
      <c r="AB814" s="41"/>
      <c r="AC814" s="41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1"/>
      <c r="AP814" s="41"/>
      <c r="AQ814" s="41"/>
      <c r="AR814" s="41"/>
      <c r="AS814" s="41"/>
      <c r="AT814" s="41"/>
      <c r="AU814" s="41"/>
      <c r="AV814" s="41"/>
      <c r="AW814" s="41"/>
      <c r="AX814" s="41"/>
      <c r="AY814" s="41"/>
      <c r="AZ814" s="41"/>
      <c r="BA814" s="41"/>
      <c r="BB814" s="41"/>
      <c r="BC814" s="41"/>
      <c r="BD814" s="41"/>
      <c r="BE814" s="41"/>
      <c r="BF814" s="41"/>
      <c r="BG814" s="41"/>
      <c r="BH814" s="41"/>
      <c r="BJ814" s="41"/>
      <c r="BK814" s="41"/>
      <c r="BL814" s="41"/>
      <c r="BM814" s="41"/>
      <c r="BN814" s="41"/>
      <c r="BO814" s="41"/>
      <c r="BP814" s="41"/>
      <c r="BQ814" s="41"/>
      <c r="BR814" s="41"/>
      <c r="BS814" s="41"/>
      <c r="BT814" s="41"/>
      <c r="BU814" s="41"/>
      <c r="BV814" s="41">
        <v>0.05</v>
      </c>
      <c r="BW814" s="41"/>
      <c r="BX814" s="41"/>
      <c r="BY814" s="41"/>
      <c r="BZ814" s="41"/>
      <c r="CA814" s="41"/>
      <c r="CB814" s="41">
        <v>0.05</v>
      </c>
      <c r="CC814" s="41"/>
      <c r="CD814" s="41"/>
      <c r="CE814" s="41">
        <v>0.05</v>
      </c>
      <c r="CF814" s="41">
        <v>0.05</v>
      </c>
      <c r="CG814" s="41"/>
      <c r="CH814" s="41"/>
      <c r="CI814" s="41"/>
      <c r="CJ814" s="41"/>
      <c r="CK814" s="41"/>
      <c r="CL814" s="41">
        <v>0.8</v>
      </c>
      <c r="CM814" s="41"/>
      <c r="CN814" s="41"/>
      <c r="CO814" s="41"/>
      <c r="CP814" s="41"/>
      <c r="CQ814" s="41"/>
      <c r="CR814" s="41"/>
      <c r="CS814" s="41"/>
      <c r="CT814" s="41"/>
      <c r="CU814" s="41"/>
      <c r="CV814" s="41"/>
      <c r="CW814" s="41"/>
      <c r="CX814" s="41"/>
      <c r="CY814" s="41"/>
      <c r="CZ814" s="41"/>
      <c r="DA814" s="41"/>
      <c r="DB814" s="41"/>
      <c r="DC814" s="41"/>
      <c r="DD814" s="41"/>
      <c r="DE814" s="41"/>
      <c r="DF814" s="41"/>
      <c r="DG814" s="41"/>
      <c r="DH814" s="41"/>
      <c r="DI814" s="41"/>
      <c r="DJ814" s="41"/>
      <c r="DK814" s="41"/>
      <c r="DL814" s="41"/>
      <c r="DM814" s="41"/>
      <c r="DN814" s="41"/>
      <c r="DO814" s="41"/>
      <c r="DP814" s="41"/>
      <c r="DQ814" s="41"/>
      <c r="DR814" s="41"/>
      <c r="DS814" s="43"/>
      <c r="DT814" s="44">
        <f t="shared" ref="DT814" si="796">SUM(F814:DR814)</f>
        <v>1</v>
      </c>
    </row>
    <row r="815" spans="2:124" s="13" customFormat="1">
      <c r="B815" s="4">
        <f>'6.1Personnel List'!B816</f>
        <v>803</v>
      </c>
      <c r="C815" s="45" t="s">
        <v>1031</v>
      </c>
      <c r="D815" s="45" t="str">
        <f>'6.1Personnel List'!D816</f>
        <v>Nurse III</v>
      </c>
      <c r="E815" s="45" t="str">
        <f>'6.1Personnel List'!H816</f>
        <v>FT</v>
      </c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  <c r="AA815" s="41"/>
      <c r="AB815" s="41"/>
      <c r="AC815" s="41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1"/>
      <c r="AP815" s="41"/>
      <c r="AQ815" s="41"/>
      <c r="AR815" s="41"/>
      <c r="AS815" s="41"/>
      <c r="AT815" s="41"/>
      <c r="AU815" s="41"/>
      <c r="AV815" s="41"/>
      <c r="AW815" s="41"/>
      <c r="AX815" s="41"/>
      <c r="AY815" s="41"/>
      <c r="AZ815" s="41"/>
      <c r="BA815" s="41"/>
      <c r="BB815" s="41"/>
      <c r="BC815" s="41"/>
      <c r="BD815" s="41"/>
      <c r="BE815" s="41"/>
      <c r="BF815" s="41"/>
      <c r="BG815" s="41"/>
      <c r="BH815" s="41"/>
      <c r="BJ815" s="41"/>
      <c r="BK815" s="41"/>
      <c r="BL815" s="41"/>
      <c r="BM815" s="41"/>
      <c r="BN815" s="41"/>
      <c r="BO815" s="41"/>
      <c r="BP815" s="41"/>
      <c r="BQ815" s="41"/>
      <c r="BR815" s="41"/>
      <c r="BS815" s="41"/>
      <c r="BT815" s="41"/>
      <c r="BU815" s="41"/>
      <c r="BV815" s="41">
        <v>0.05</v>
      </c>
      <c r="BW815" s="41"/>
      <c r="BX815" s="41"/>
      <c r="BY815" s="41"/>
      <c r="BZ815" s="41"/>
      <c r="CA815" s="41"/>
      <c r="CB815" s="41">
        <v>0.05</v>
      </c>
      <c r="CC815" s="41"/>
      <c r="CD815" s="41"/>
      <c r="CE815" s="41">
        <v>0.05</v>
      </c>
      <c r="CF815" s="41">
        <v>0.05</v>
      </c>
      <c r="CG815" s="41"/>
      <c r="CH815" s="41"/>
      <c r="CI815" s="41"/>
      <c r="CJ815" s="41"/>
      <c r="CK815" s="41"/>
      <c r="CL815" s="41">
        <v>0.8</v>
      </c>
      <c r="CM815" s="41"/>
      <c r="CN815" s="41"/>
      <c r="CO815" s="41"/>
      <c r="CP815" s="41"/>
      <c r="CQ815" s="41"/>
      <c r="CR815" s="41"/>
      <c r="CS815" s="41"/>
      <c r="CT815" s="41"/>
      <c r="CU815" s="41"/>
      <c r="CV815" s="41"/>
      <c r="CW815" s="41"/>
      <c r="CX815" s="41"/>
      <c r="CY815" s="41"/>
      <c r="CZ815" s="41"/>
      <c r="DA815" s="41"/>
      <c r="DB815" s="41"/>
      <c r="DC815" s="41"/>
      <c r="DD815" s="41"/>
      <c r="DE815" s="41"/>
      <c r="DF815" s="41"/>
      <c r="DG815" s="41"/>
      <c r="DH815" s="41"/>
      <c r="DI815" s="41"/>
      <c r="DJ815" s="41"/>
      <c r="DK815" s="41"/>
      <c r="DL815" s="41"/>
      <c r="DM815" s="41"/>
      <c r="DN815" s="41"/>
      <c r="DO815" s="41"/>
      <c r="DP815" s="41"/>
      <c r="DQ815" s="41"/>
      <c r="DR815" s="41"/>
      <c r="DS815" s="43"/>
      <c r="DT815" s="44">
        <f t="shared" ref="DT815" si="797">SUM(F815:DR815)</f>
        <v>1</v>
      </c>
    </row>
    <row r="816" spans="2:124" s="13" customFormat="1">
      <c r="B816" s="4">
        <f>'6.1Personnel List'!B817</f>
        <v>804</v>
      </c>
      <c r="C816" s="45" t="s">
        <v>1032</v>
      </c>
      <c r="D816" s="45" t="str">
        <f>'6.1Personnel List'!D817</f>
        <v>Nurse III</v>
      </c>
      <c r="E816" s="45" t="str">
        <f>'6.1Personnel List'!H817</f>
        <v>FT</v>
      </c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  <c r="AA816" s="41"/>
      <c r="AB816" s="41"/>
      <c r="AC816" s="41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1"/>
      <c r="AP816" s="41"/>
      <c r="AQ816" s="41"/>
      <c r="AR816" s="41"/>
      <c r="AS816" s="41"/>
      <c r="AT816" s="41"/>
      <c r="AU816" s="41"/>
      <c r="AV816" s="41"/>
      <c r="AW816" s="41"/>
      <c r="AX816" s="41"/>
      <c r="AY816" s="41"/>
      <c r="AZ816" s="41"/>
      <c r="BA816" s="41"/>
      <c r="BB816" s="41"/>
      <c r="BC816" s="41"/>
      <c r="BD816" s="41"/>
      <c r="BE816" s="41"/>
      <c r="BF816" s="41"/>
      <c r="BG816" s="41"/>
      <c r="BH816" s="41"/>
      <c r="BJ816" s="41"/>
      <c r="BK816" s="94"/>
      <c r="BL816" s="94"/>
      <c r="BM816" s="94"/>
      <c r="BN816" s="94"/>
      <c r="BO816" s="94"/>
      <c r="BP816" s="94"/>
      <c r="BQ816" s="94"/>
      <c r="BR816" s="94"/>
      <c r="BS816" s="94"/>
      <c r="BT816" s="94"/>
      <c r="BU816" s="94"/>
      <c r="BV816" s="94"/>
      <c r="BW816" s="94"/>
      <c r="BX816" s="94"/>
      <c r="BY816" s="94"/>
      <c r="BZ816" s="94"/>
      <c r="CA816" s="94"/>
      <c r="CB816" s="94"/>
      <c r="CC816" s="94"/>
      <c r="CD816" s="94"/>
      <c r="CE816" s="94"/>
      <c r="CF816" s="94"/>
      <c r="CG816" s="94"/>
      <c r="CH816" s="94"/>
      <c r="CI816" s="94"/>
      <c r="CJ816" s="94"/>
      <c r="CK816" s="94"/>
      <c r="CL816" s="94"/>
      <c r="CM816" s="94"/>
      <c r="CN816" s="94"/>
      <c r="CO816" s="94"/>
      <c r="CP816" s="94"/>
      <c r="CQ816" s="94"/>
      <c r="CR816" s="94"/>
      <c r="CS816" s="94"/>
      <c r="CT816" s="94"/>
      <c r="CU816" s="94"/>
      <c r="CV816" s="94"/>
      <c r="CW816" s="94"/>
      <c r="CX816" s="94"/>
      <c r="CY816" s="94"/>
      <c r="CZ816" s="94"/>
      <c r="DA816" s="94"/>
      <c r="DB816" s="94"/>
      <c r="DC816" s="94"/>
      <c r="DD816" s="94"/>
      <c r="DE816" s="94"/>
      <c r="DF816" s="94"/>
      <c r="DG816" s="94"/>
      <c r="DH816" s="94"/>
      <c r="DI816" s="94"/>
      <c r="DJ816" s="94"/>
      <c r="DK816" s="41"/>
      <c r="DL816" s="41">
        <v>1</v>
      </c>
      <c r="DM816" s="41"/>
      <c r="DN816" s="41"/>
      <c r="DO816" s="41"/>
      <c r="DP816" s="41"/>
      <c r="DQ816" s="41"/>
      <c r="DR816" s="41"/>
      <c r="DS816" s="43"/>
      <c r="DT816" s="44">
        <f t="shared" ref="DT816" si="798">SUM(F816:DR816)</f>
        <v>1</v>
      </c>
    </row>
    <row r="817" spans="2:124" s="13" customFormat="1">
      <c r="B817" s="4">
        <f>'6.1Personnel List'!B818</f>
        <v>805</v>
      </c>
      <c r="C817" s="45" t="s">
        <v>1033</v>
      </c>
      <c r="D817" s="45" t="str">
        <f>'6.1Personnel List'!D818</f>
        <v>Nurse III</v>
      </c>
      <c r="E817" s="45" t="str">
        <f>'6.1Personnel List'!H818</f>
        <v>FT</v>
      </c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  <c r="AA817" s="41"/>
      <c r="AB817" s="41"/>
      <c r="AC817" s="41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1"/>
      <c r="AP817" s="41"/>
      <c r="AQ817" s="41"/>
      <c r="AR817" s="41"/>
      <c r="AS817" s="41"/>
      <c r="AT817" s="41"/>
      <c r="AU817" s="41"/>
      <c r="AV817" s="41"/>
      <c r="AW817" s="41"/>
      <c r="AX817" s="41"/>
      <c r="AY817" s="41"/>
      <c r="AZ817" s="41"/>
      <c r="BA817" s="41"/>
      <c r="BB817" s="41"/>
      <c r="BC817" s="41"/>
      <c r="BD817" s="41"/>
      <c r="BE817" s="41"/>
      <c r="BF817" s="41"/>
      <c r="BG817" s="41"/>
      <c r="BH817" s="41"/>
      <c r="BJ817" s="41"/>
      <c r="BK817" s="94"/>
      <c r="BL817" s="94"/>
      <c r="BM817" s="94"/>
      <c r="BN817" s="94"/>
      <c r="BO817" s="94"/>
      <c r="BP817" s="94"/>
      <c r="BQ817" s="94"/>
      <c r="BR817" s="94"/>
      <c r="BS817" s="94"/>
      <c r="BT817" s="94"/>
      <c r="BU817" s="94"/>
      <c r="BV817" s="94"/>
      <c r="BW817" s="94"/>
      <c r="BX817" s="94"/>
      <c r="BY817" s="94"/>
      <c r="BZ817" s="94"/>
      <c r="CA817" s="94"/>
      <c r="CB817" s="94"/>
      <c r="CC817" s="94"/>
      <c r="CD817" s="94"/>
      <c r="CE817" s="94"/>
      <c r="CF817" s="94"/>
      <c r="CG817" s="94"/>
      <c r="CH817" s="94"/>
      <c r="CI817" s="94"/>
      <c r="CJ817" s="94"/>
      <c r="CK817" s="94"/>
      <c r="CL817" s="94"/>
      <c r="CM817" s="94"/>
      <c r="CN817" s="94"/>
      <c r="CO817" s="94"/>
      <c r="CP817" s="94"/>
      <c r="CQ817" s="94"/>
      <c r="CR817" s="94"/>
      <c r="CS817" s="94"/>
      <c r="CT817" s="94"/>
      <c r="CU817" s="94"/>
      <c r="CV817" s="94"/>
      <c r="CW817" s="94"/>
      <c r="CX817" s="94"/>
      <c r="CY817" s="94"/>
      <c r="CZ817" s="94"/>
      <c r="DA817" s="94"/>
      <c r="DB817" s="94"/>
      <c r="DC817" s="94"/>
      <c r="DD817" s="94"/>
      <c r="DE817" s="94"/>
      <c r="DF817" s="94"/>
      <c r="DG817" s="94"/>
      <c r="DH817" s="94"/>
      <c r="DI817" s="94"/>
      <c r="DJ817" s="94"/>
      <c r="DK817" s="41">
        <v>1</v>
      </c>
      <c r="DL817" s="41"/>
      <c r="DM817" s="41"/>
      <c r="DN817" s="41"/>
      <c r="DO817" s="41"/>
      <c r="DP817" s="41"/>
      <c r="DQ817" s="41"/>
      <c r="DR817" s="41"/>
      <c r="DS817" s="43"/>
      <c r="DT817" s="44">
        <f t="shared" ref="DT817" si="799">SUM(F817:DR817)</f>
        <v>1</v>
      </c>
    </row>
    <row r="818" spans="2:124" s="13" customFormat="1">
      <c r="B818" s="4">
        <f>'6.1Personnel List'!B819</f>
        <v>806</v>
      </c>
      <c r="C818" s="45" t="s">
        <v>1034</v>
      </c>
      <c r="D818" s="45" t="str">
        <f>'6.1Personnel List'!D819</f>
        <v>Nurse III</v>
      </c>
      <c r="E818" s="45" t="str">
        <f>'6.1Personnel List'!H819</f>
        <v>FT</v>
      </c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  <c r="AA818" s="41"/>
      <c r="AB818" s="41"/>
      <c r="AC818" s="41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1"/>
      <c r="AP818" s="41"/>
      <c r="AQ818" s="41"/>
      <c r="AR818" s="41"/>
      <c r="AS818" s="41"/>
      <c r="AT818" s="41"/>
      <c r="AU818" s="41"/>
      <c r="AV818" s="41"/>
      <c r="AW818" s="41"/>
      <c r="AX818" s="41"/>
      <c r="AY818" s="41"/>
      <c r="AZ818" s="41"/>
      <c r="BA818" s="41"/>
      <c r="BB818" s="41"/>
      <c r="BC818" s="41"/>
      <c r="BD818" s="41"/>
      <c r="BE818" s="41"/>
      <c r="BF818" s="41"/>
      <c r="BG818" s="41"/>
      <c r="BH818" s="41"/>
      <c r="BJ818" s="41"/>
      <c r="BK818" s="41"/>
      <c r="BL818" s="41"/>
      <c r="BM818" s="41"/>
      <c r="BN818" s="41"/>
      <c r="BO818" s="41"/>
      <c r="BP818" s="41"/>
      <c r="BQ818" s="41"/>
      <c r="BR818" s="41"/>
      <c r="BS818" s="41"/>
      <c r="BT818" s="41">
        <v>0.05</v>
      </c>
      <c r="BU818" s="41"/>
      <c r="BV818" s="41">
        <v>0.05</v>
      </c>
      <c r="BW818" s="41"/>
      <c r="BX818" s="41"/>
      <c r="BY818" s="41"/>
      <c r="BZ818" s="41"/>
      <c r="CA818" s="41"/>
      <c r="CB818" s="41">
        <v>0.05</v>
      </c>
      <c r="CC818" s="41"/>
      <c r="CD818" s="41"/>
      <c r="CE818" s="41">
        <v>0.05</v>
      </c>
      <c r="CF818" s="41">
        <v>0.02</v>
      </c>
      <c r="CG818" s="41">
        <v>0.03</v>
      </c>
      <c r="CH818" s="41"/>
      <c r="CI818" s="41"/>
      <c r="CJ818" s="41"/>
      <c r="CK818" s="41"/>
      <c r="CL818" s="41">
        <v>0.75</v>
      </c>
      <c r="CM818" s="41"/>
      <c r="CN818" s="41"/>
      <c r="CO818" s="41"/>
      <c r="CP818" s="41"/>
      <c r="CQ818" s="41"/>
      <c r="CR818" s="41"/>
      <c r="CS818" s="41"/>
      <c r="CT818" s="41"/>
      <c r="CU818" s="41"/>
      <c r="CV818" s="41"/>
      <c r="CW818" s="41"/>
      <c r="CX818" s="41"/>
      <c r="CY818" s="41"/>
      <c r="CZ818" s="41"/>
      <c r="DA818" s="41"/>
      <c r="DB818" s="41"/>
      <c r="DC818" s="41"/>
      <c r="DD818" s="41"/>
      <c r="DE818" s="41"/>
      <c r="DF818" s="41"/>
      <c r="DG818" s="41"/>
      <c r="DH818" s="41"/>
      <c r="DI818" s="41"/>
      <c r="DJ818" s="41"/>
      <c r="DK818" s="41"/>
      <c r="DL818" s="41"/>
      <c r="DM818" s="41"/>
      <c r="DN818" s="41"/>
      <c r="DO818" s="41"/>
      <c r="DP818" s="41"/>
      <c r="DQ818" s="41"/>
      <c r="DR818" s="41"/>
      <c r="DS818" s="43"/>
      <c r="DT818" s="44">
        <f t="shared" ref="DT818" si="800">SUM(F818:DR818)</f>
        <v>1</v>
      </c>
    </row>
    <row r="819" spans="2:124" s="13" customFormat="1">
      <c r="B819" s="4">
        <f>'6.1Personnel List'!B820</f>
        <v>807</v>
      </c>
      <c r="C819" s="45" t="s">
        <v>1035</v>
      </c>
      <c r="D819" s="45" t="str">
        <f>'6.1Personnel List'!D820</f>
        <v>Nurse III</v>
      </c>
      <c r="E819" s="45" t="str">
        <f>'6.1Personnel List'!H820</f>
        <v>FT</v>
      </c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  <c r="AA819" s="41"/>
      <c r="AB819" s="41"/>
      <c r="AC819" s="41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1"/>
      <c r="AP819" s="41"/>
      <c r="AQ819" s="41"/>
      <c r="AR819" s="41"/>
      <c r="AS819" s="41"/>
      <c r="AT819" s="41"/>
      <c r="AU819" s="41"/>
      <c r="AV819" s="41"/>
      <c r="AW819" s="41"/>
      <c r="AX819" s="41"/>
      <c r="AY819" s="41"/>
      <c r="AZ819" s="41"/>
      <c r="BA819" s="41"/>
      <c r="BB819" s="41"/>
      <c r="BC819" s="41"/>
      <c r="BD819" s="41"/>
      <c r="BE819" s="41"/>
      <c r="BF819" s="41"/>
      <c r="BG819" s="41"/>
      <c r="BH819" s="41"/>
      <c r="BJ819" s="41"/>
      <c r="BK819" s="41"/>
      <c r="BL819" s="41"/>
      <c r="BM819" s="41"/>
      <c r="BN819" s="41"/>
      <c r="BO819" s="41"/>
      <c r="BP819" s="41"/>
      <c r="BQ819" s="41"/>
      <c r="BR819" s="41"/>
      <c r="BS819" s="41">
        <v>0.05</v>
      </c>
      <c r="BT819" s="41">
        <v>0.1</v>
      </c>
      <c r="BU819" s="41"/>
      <c r="BV819" s="41">
        <v>0.05</v>
      </c>
      <c r="BW819" s="41">
        <v>0.05</v>
      </c>
      <c r="BX819" s="41"/>
      <c r="BY819" s="41"/>
      <c r="BZ819" s="41"/>
      <c r="CA819" s="41"/>
      <c r="CB819" s="41"/>
      <c r="CC819" s="41"/>
      <c r="CD819" s="41"/>
      <c r="CE819" s="41">
        <v>0.1</v>
      </c>
      <c r="CF819" s="41">
        <v>0.05</v>
      </c>
      <c r="CG819" s="41">
        <v>0.05</v>
      </c>
      <c r="CH819" s="41">
        <v>0.05</v>
      </c>
      <c r="CI819" s="41"/>
      <c r="CJ819" s="41">
        <v>0.05</v>
      </c>
      <c r="CK819" s="41"/>
      <c r="CL819" s="41">
        <v>0.2</v>
      </c>
      <c r="CM819" s="41"/>
      <c r="CN819" s="41"/>
      <c r="CO819" s="41"/>
      <c r="CP819" s="41"/>
      <c r="CQ819" s="41"/>
      <c r="CR819" s="41"/>
      <c r="CS819" s="41"/>
      <c r="CT819" s="41"/>
      <c r="CU819" s="41">
        <v>0.05</v>
      </c>
      <c r="CV819" s="41"/>
      <c r="CW819" s="41"/>
      <c r="CX819" s="41"/>
      <c r="CY819" s="41"/>
      <c r="CZ819" s="41"/>
      <c r="DA819" s="41"/>
      <c r="DB819" s="41"/>
      <c r="DC819" s="41"/>
      <c r="DD819" s="41">
        <v>0.05</v>
      </c>
      <c r="DE819" s="41"/>
      <c r="DF819" s="41"/>
      <c r="DG819" s="41"/>
      <c r="DH819" s="41"/>
      <c r="DI819" s="41"/>
      <c r="DJ819" s="41"/>
      <c r="DK819" s="41"/>
      <c r="DL819" s="41">
        <v>0.15</v>
      </c>
      <c r="DM819" s="41"/>
      <c r="DN819" s="41"/>
      <c r="DO819" s="41"/>
      <c r="DP819" s="41"/>
      <c r="DQ819" s="41"/>
      <c r="DR819" s="41"/>
      <c r="DS819" s="43"/>
      <c r="DT819" s="44">
        <f t="shared" ref="DT819" si="801">SUM(F819:DR819)</f>
        <v>1</v>
      </c>
    </row>
    <row r="820" spans="2:124" s="13" customFormat="1">
      <c r="B820" s="4">
        <f>'6.1Personnel List'!B821</f>
        <v>808</v>
      </c>
      <c r="C820" s="45" t="s">
        <v>1036</v>
      </c>
      <c r="D820" s="45" t="str">
        <f>'6.1Personnel List'!D821</f>
        <v>Nurse III</v>
      </c>
      <c r="E820" s="45" t="str">
        <f>'6.1Personnel List'!H821</f>
        <v>FT</v>
      </c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  <c r="AA820" s="41"/>
      <c r="AB820" s="41"/>
      <c r="AC820" s="41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1"/>
      <c r="AP820" s="41"/>
      <c r="AQ820" s="41"/>
      <c r="AR820" s="41"/>
      <c r="AS820" s="41"/>
      <c r="AT820" s="41"/>
      <c r="AU820" s="41"/>
      <c r="AV820" s="41"/>
      <c r="AW820" s="41"/>
      <c r="AX820" s="41"/>
      <c r="AY820" s="41"/>
      <c r="AZ820" s="41"/>
      <c r="BA820" s="41"/>
      <c r="BB820" s="41"/>
      <c r="BC820" s="41"/>
      <c r="BD820" s="41"/>
      <c r="BE820" s="41"/>
      <c r="BF820" s="41"/>
      <c r="BG820" s="41"/>
      <c r="BH820" s="41"/>
      <c r="BJ820" s="41"/>
      <c r="BK820" s="41"/>
      <c r="BL820" s="41"/>
      <c r="BM820" s="41"/>
      <c r="BN820" s="41"/>
      <c r="BO820" s="41"/>
      <c r="BP820" s="41"/>
      <c r="BQ820" s="41"/>
      <c r="BR820" s="41"/>
      <c r="BS820" s="41"/>
      <c r="BT820" s="41"/>
      <c r="BU820" s="41"/>
      <c r="BV820" s="41">
        <v>0.05</v>
      </c>
      <c r="BW820" s="41"/>
      <c r="BX820" s="41"/>
      <c r="BY820" s="41"/>
      <c r="BZ820" s="41"/>
      <c r="CA820" s="41"/>
      <c r="CB820" s="41">
        <v>0.05</v>
      </c>
      <c r="CC820" s="41"/>
      <c r="CD820" s="41"/>
      <c r="CE820" s="41">
        <v>0.05</v>
      </c>
      <c r="CF820" s="41">
        <v>0.05</v>
      </c>
      <c r="CG820" s="41"/>
      <c r="CH820" s="41"/>
      <c r="CI820" s="41"/>
      <c r="CJ820" s="41"/>
      <c r="CK820" s="41"/>
      <c r="CL820" s="41">
        <v>0.8</v>
      </c>
      <c r="CM820" s="41"/>
      <c r="CN820" s="41"/>
      <c r="CO820" s="41"/>
      <c r="CP820" s="41"/>
      <c r="CQ820" s="41"/>
      <c r="CR820" s="41"/>
      <c r="CS820" s="41"/>
      <c r="CT820" s="41"/>
      <c r="CU820" s="41"/>
      <c r="CV820" s="41"/>
      <c r="CW820" s="41"/>
      <c r="CX820" s="41"/>
      <c r="CY820" s="41"/>
      <c r="CZ820" s="41"/>
      <c r="DA820" s="41"/>
      <c r="DB820" s="41"/>
      <c r="DC820" s="41"/>
      <c r="DD820" s="41"/>
      <c r="DE820" s="41"/>
      <c r="DF820" s="41"/>
      <c r="DG820" s="41"/>
      <c r="DH820" s="41"/>
      <c r="DI820" s="41"/>
      <c r="DJ820" s="41"/>
      <c r="DK820" s="41"/>
      <c r="DL820" s="41"/>
      <c r="DM820" s="41"/>
      <c r="DN820" s="41"/>
      <c r="DO820" s="41"/>
      <c r="DP820" s="41"/>
      <c r="DQ820" s="41"/>
      <c r="DR820" s="41"/>
      <c r="DS820" s="43"/>
      <c r="DT820" s="44">
        <f t="shared" ref="DT820" si="802">SUM(F820:DR820)</f>
        <v>1</v>
      </c>
    </row>
    <row r="821" spans="2:124" s="13" customFormat="1">
      <c r="B821" s="4">
        <f>'6.1Personnel List'!B822</f>
        <v>809</v>
      </c>
      <c r="C821" s="45" t="s">
        <v>1037</v>
      </c>
      <c r="D821" s="45" t="str">
        <f>'6.1Personnel List'!D822</f>
        <v>Nurse III</v>
      </c>
      <c r="E821" s="45" t="str">
        <f>'6.1Personnel List'!H822</f>
        <v>FT</v>
      </c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  <c r="AA821" s="41"/>
      <c r="AB821" s="41"/>
      <c r="AC821" s="41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1"/>
      <c r="AP821" s="41"/>
      <c r="AQ821" s="41"/>
      <c r="AR821" s="41"/>
      <c r="AS821" s="41"/>
      <c r="AT821" s="41"/>
      <c r="AU821" s="41"/>
      <c r="AV821" s="41"/>
      <c r="AW821" s="41"/>
      <c r="AX821" s="41"/>
      <c r="AY821" s="41"/>
      <c r="AZ821" s="41"/>
      <c r="BA821" s="41"/>
      <c r="BB821" s="41"/>
      <c r="BC821" s="41"/>
      <c r="BD821" s="41"/>
      <c r="BE821" s="41"/>
      <c r="BF821" s="41"/>
      <c r="BG821" s="41"/>
      <c r="BH821" s="41"/>
      <c r="BJ821" s="41"/>
      <c r="BK821" s="41"/>
      <c r="BL821" s="41"/>
      <c r="BM821" s="41"/>
      <c r="BN821" s="41"/>
      <c r="BO821" s="41"/>
      <c r="BP821" s="41"/>
      <c r="BQ821" s="41"/>
      <c r="BR821" s="41"/>
      <c r="BS821" s="41"/>
      <c r="BT821" s="41"/>
      <c r="BU821" s="41"/>
      <c r="BV821" s="41">
        <v>0.05</v>
      </c>
      <c r="BW821" s="41"/>
      <c r="BX821" s="41"/>
      <c r="BY821" s="41"/>
      <c r="BZ821" s="41"/>
      <c r="CA821" s="41"/>
      <c r="CB821" s="41">
        <v>0.05</v>
      </c>
      <c r="CC821" s="41"/>
      <c r="CD821" s="41"/>
      <c r="CE821" s="41">
        <v>0.05</v>
      </c>
      <c r="CF821" s="41">
        <v>0.05</v>
      </c>
      <c r="CG821" s="41"/>
      <c r="CH821" s="41"/>
      <c r="CI821" s="41"/>
      <c r="CJ821" s="41"/>
      <c r="CK821" s="41"/>
      <c r="CL821" s="41">
        <v>0.8</v>
      </c>
      <c r="CM821" s="41"/>
      <c r="CN821" s="41"/>
      <c r="CO821" s="41"/>
      <c r="CP821" s="41"/>
      <c r="CQ821" s="41"/>
      <c r="CR821" s="41"/>
      <c r="CS821" s="41"/>
      <c r="CT821" s="41"/>
      <c r="CU821" s="41"/>
      <c r="CV821" s="41"/>
      <c r="CW821" s="41"/>
      <c r="CX821" s="41"/>
      <c r="CY821" s="41"/>
      <c r="CZ821" s="41"/>
      <c r="DA821" s="41"/>
      <c r="DB821" s="41"/>
      <c r="DC821" s="41"/>
      <c r="DD821" s="41"/>
      <c r="DE821" s="41"/>
      <c r="DF821" s="41"/>
      <c r="DG821" s="41"/>
      <c r="DH821" s="41"/>
      <c r="DI821" s="41"/>
      <c r="DJ821" s="41"/>
      <c r="DK821" s="41"/>
      <c r="DL821" s="41"/>
      <c r="DM821" s="41"/>
      <c r="DN821" s="41"/>
      <c r="DO821" s="41"/>
      <c r="DP821" s="41"/>
      <c r="DQ821" s="41"/>
      <c r="DR821" s="41"/>
      <c r="DS821" s="43"/>
      <c r="DT821" s="44">
        <f t="shared" ref="DT821" si="803">SUM(F821:DR821)</f>
        <v>1</v>
      </c>
    </row>
    <row r="822" spans="2:124" s="13" customFormat="1">
      <c r="B822" s="4">
        <f>'6.1Personnel List'!B823</f>
        <v>810</v>
      </c>
      <c r="C822" s="45" t="s">
        <v>1038</v>
      </c>
      <c r="D822" s="45" t="str">
        <f>'6.1Personnel List'!D823</f>
        <v>Nurse III</v>
      </c>
      <c r="E822" s="45" t="str">
        <f>'6.1Personnel List'!H823</f>
        <v>FT</v>
      </c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  <c r="AA822" s="41"/>
      <c r="AB822" s="41"/>
      <c r="AC822" s="41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1"/>
      <c r="AP822" s="41"/>
      <c r="AQ822" s="41"/>
      <c r="AR822" s="41"/>
      <c r="AS822" s="41"/>
      <c r="AT822" s="41"/>
      <c r="AU822" s="41"/>
      <c r="AV822" s="41"/>
      <c r="AW822" s="41"/>
      <c r="AX822" s="41"/>
      <c r="AY822" s="41"/>
      <c r="AZ822" s="41"/>
      <c r="BA822" s="41"/>
      <c r="BB822" s="41"/>
      <c r="BC822" s="41"/>
      <c r="BD822" s="41"/>
      <c r="BE822" s="41"/>
      <c r="BF822" s="41"/>
      <c r="BG822" s="41"/>
      <c r="BH822" s="41"/>
      <c r="BJ822" s="41"/>
      <c r="BK822" s="94"/>
      <c r="BL822" s="94"/>
      <c r="BM822" s="94"/>
      <c r="BN822" s="94"/>
      <c r="BO822" s="94"/>
      <c r="BP822" s="94"/>
      <c r="BQ822" s="94"/>
      <c r="BR822" s="94"/>
      <c r="BS822" s="94"/>
      <c r="BT822" s="94">
        <v>1</v>
      </c>
      <c r="BU822" s="94"/>
      <c r="BV822" s="94"/>
      <c r="BW822" s="94"/>
      <c r="BX822" s="94"/>
      <c r="BY822" s="94"/>
      <c r="BZ822" s="94"/>
      <c r="CA822" s="94"/>
      <c r="CB822" s="94"/>
      <c r="CC822" s="94"/>
      <c r="CD822" s="94"/>
      <c r="CE822" s="94"/>
      <c r="CF822" s="94"/>
      <c r="CG822" s="94"/>
      <c r="CH822" s="94"/>
      <c r="CI822" s="94"/>
      <c r="CJ822" s="94"/>
      <c r="CK822" s="94"/>
      <c r="CL822" s="94"/>
      <c r="CM822" s="94"/>
      <c r="CN822" s="94"/>
      <c r="CO822" s="94"/>
      <c r="CP822" s="94"/>
      <c r="CQ822" s="94"/>
      <c r="CR822" s="94"/>
      <c r="CS822" s="94"/>
      <c r="CT822" s="94"/>
      <c r="CU822" s="94"/>
      <c r="CV822" s="94"/>
      <c r="CW822" s="94"/>
      <c r="CX822" s="94"/>
      <c r="CY822" s="94"/>
      <c r="CZ822" s="94"/>
      <c r="DA822" s="94"/>
      <c r="DB822" s="94"/>
      <c r="DC822" s="94"/>
      <c r="DD822" s="94"/>
      <c r="DE822" s="94"/>
      <c r="DF822" s="94"/>
      <c r="DG822" s="94"/>
      <c r="DH822" s="94"/>
      <c r="DI822" s="94"/>
      <c r="DJ822" s="94"/>
      <c r="DK822" s="41"/>
      <c r="DL822" s="41"/>
      <c r="DM822" s="41"/>
      <c r="DN822" s="41"/>
      <c r="DO822" s="41"/>
      <c r="DP822" s="41"/>
      <c r="DQ822" s="41"/>
      <c r="DR822" s="41"/>
      <c r="DS822" s="43"/>
      <c r="DT822" s="44">
        <f t="shared" ref="DT822" si="804">SUM(F822:DR822)</f>
        <v>1</v>
      </c>
    </row>
    <row r="823" spans="2:124" s="13" customFormat="1">
      <c r="B823" s="4">
        <f>'6.1Personnel List'!B824</f>
        <v>811</v>
      </c>
      <c r="C823" s="45" t="s">
        <v>1039</v>
      </c>
      <c r="D823" s="45" t="str">
        <f>'6.1Personnel List'!D824</f>
        <v>Nurse II</v>
      </c>
      <c r="E823" s="45" t="str">
        <f>'6.1Personnel List'!H824</f>
        <v>FT</v>
      </c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  <c r="AA823" s="41"/>
      <c r="AB823" s="41"/>
      <c r="AC823" s="41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1"/>
      <c r="AP823" s="41"/>
      <c r="AQ823" s="41"/>
      <c r="AR823" s="41"/>
      <c r="AS823" s="41"/>
      <c r="AT823" s="41"/>
      <c r="AU823" s="41"/>
      <c r="AV823" s="41"/>
      <c r="AW823" s="41"/>
      <c r="AX823" s="41"/>
      <c r="AY823" s="41"/>
      <c r="AZ823" s="41"/>
      <c r="BA823" s="41"/>
      <c r="BB823" s="41"/>
      <c r="BC823" s="41"/>
      <c r="BD823" s="41"/>
      <c r="BE823" s="41"/>
      <c r="BF823" s="41"/>
      <c r="BG823" s="41"/>
      <c r="BH823" s="41"/>
      <c r="BJ823" s="41"/>
      <c r="BK823" s="41"/>
      <c r="BL823" s="41"/>
      <c r="BM823" s="41"/>
      <c r="BN823" s="41"/>
      <c r="BO823" s="41"/>
      <c r="BP823" s="41"/>
      <c r="BQ823" s="41"/>
      <c r="BR823" s="41"/>
      <c r="BS823" s="41"/>
      <c r="BT823" s="41"/>
      <c r="BU823" s="41"/>
      <c r="BV823" s="41">
        <v>0.05</v>
      </c>
      <c r="BW823" s="41"/>
      <c r="BX823" s="41"/>
      <c r="BY823" s="41"/>
      <c r="BZ823" s="41"/>
      <c r="CA823" s="41"/>
      <c r="CB823" s="41">
        <v>0.05</v>
      </c>
      <c r="CC823" s="41"/>
      <c r="CD823" s="41"/>
      <c r="CE823" s="41">
        <v>0.05</v>
      </c>
      <c r="CF823" s="41">
        <v>0.05</v>
      </c>
      <c r="CG823" s="41"/>
      <c r="CH823" s="41"/>
      <c r="CI823" s="41"/>
      <c r="CJ823" s="41"/>
      <c r="CK823" s="41"/>
      <c r="CL823" s="41">
        <v>0.8</v>
      </c>
      <c r="CM823" s="41"/>
      <c r="CN823" s="41"/>
      <c r="CO823" s="41"/>
      <c r="CP823" s="41"/>
      <c r="CQ823" s="41"/>
      <c r="CR823" s="41"/>
      <c r="CS823" s="41"/>
      <c r="CT823" s="41"/>
      <c r="CU823" s="41"/>
      <c r="CV823" s="41"/>
      <c r="CW823" s="41"/>
      <c r="CX823" s="41"/>
      <c r="CY823" s="41"/>
      <c r="CZ823" s="41"/>
      <c r="DA823" s="41"/>
      <c r="DB823" s="41"/>
      <c r="DC823" s="41"/>
      <c r="DD823" s="41"/>
      <c r="DE823" s="41"/>
      <c r="DF823" s="41"/>
      <c r="DG823" s="41"/>
      <c r="DH823" s="41"/>
      <c r="DI823" s="41"/>
      <c r="DJ823" s="41"/>
      <c r="DK823" s="41"/>
      <c r="DL823" s="41"/>
      <c r="DM823" s="41"/>
      <c r="DN823" s="41"/>
      <c r="DO823" s="41"/>
      <c r="DP823" s="41"/>
      <c r="DQ823" s="41"/>
      <c r="DR823" s="41"/>
      <c r="DS823" s="43"/>
      <c r="DT823" s="44">
        <f t="shared" ref="DT823" si="805">SUM(F823:DR823)</f>
        <v>1</v>
      </c>
    </row>
    <row r="824" spans="2:124" s="13" customFormat="1">
      <c r="B824" s="4">
        <f>'6.1Personnel List'!B825</f>
        <v>812</v>
      </c>
      <c r="C824" s="45" t="s">
        <v>1040</v>
      </c>
      <c r="D824" s="45" t="str">
        <f>'6.1Personnel List'!D825</f>
        <v>Nurse II</v>
      </c>
      <c r="E824" s="45" t="str">
        <f>'6.1Personnel List'!H825</f>
        <v>FT</v>
      </c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  <c r="AA824" s="41"/>
      <c r="AB824" s="41"/>
      <c r="AC824" s="41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1"/>
      <c r="AP824" s="41"/>
      <c r="AQ824" s="41"/>
      <c r="AR824" s="41"/>
      <c r="AS824" s="41"/>
      <c r="AT824" s="41"/>
      <c r="AU824" s="41"/>
      <c r="AV824" s="41"/>
      <c r="AW824" s="41"/>
      <c r="AX824" s="41"/>
      <c r="AY824" s="41"/>
      <c r="AZ824" s="41"/>
      <c r="BA824" s="41"/>
      <c r="BB824" s="41"/>
      <c r="BC824" s="41"/>
      <c r="BD824" s="41"/>
      <c r="BE824" s="41"/>
      <c r="BF824" s="41"/>
      <c r="BG824" s="41"/>
      <c r="BH824" s="41"/>
      <c r="BJ824" s="41"/>
      <c r="BK824" s="41"/>
      <c r="BL824" s="41"/>
      <c r="BM824" s="41"/>
      <c r="BN824" s="41"/>
      <c r="BO824" s="41"/>
      <c r="BP824" s="41"/>
      <c r="BQ824" s="41"/>
      <c r="BR824" s="41"/>
      <c r="BS824" s="41"/>
      <c r="BT824" s="41"/>
      <c r="BU824" s="41"/>
      <c r="BV824" s="41">
        <v>0.05</v>
      </c>
      <c r="BW824" s="41"/>
      <c r="BX824" s="41"/>
      <c r="BY824" s="41"/>
      <c r="BZ824" s="41"/>
      <c r="CA824" s="41"/>
      <c r="CB824" s="41">
        <v>0.05</v>
      </c>
      <c r="CC824" s="41"/>
      <c r="CD824" s="41"/>
      <c r="CE824" s="41">
        <v>0.05</v>
      </c>
      <c r="CF824" s="41">
        <v>0.05</v>
      </c>
      <c r="CG824" s="41"/>
      <c r="CH824" s="41"/>
      <c r="CI824" s="41"/>
      <c r="CJ824" s="41"/>
      <c r="CK824" s="41"/>
      <c r="CL824" s="41">
        <v>0.8</v>
      </c>
      <c r="CM824" s="41"/>
      <c r="CN824" s="41"/>
      <c r="CO824" s="41"/>
      <c r="CP824" s="41"/>
      <c r="CQ824" s="41"/>
      <c r="CR824" s="41"/>
      <c r="CS824" s="41"/>
      <c r="CT824" s="41"/>
      <c r="CU824" s="41"/>
      <c r="CV824" s="41"/>
      <c r="CW824" s="41"/>
      <c r="CX824" s="41"/>
      <c r="CY824" s="41"/>
      <c r="CZ824" s="41"/>
      <c r="DA824" s="41"/>
      <c r="DB824" s="41"/>
      <c r="DC824" s="41"/>
      <c r="DD824" s="41"/>
      <c r="DE824" s="41"/>
      <c r="DF824" s="41"/>
      <c r="DG824" s="41"/>
      <c r="DH824" s="41"/>
      <c r="DI824" s="41"/>
      <c r="DJ824" s="41"/>
      <c r="DK824" s="41"/>
      <c r="DL824" s="41"/>
      <c r="DM824" s="41"/>
      <c r="DN824" s="41"/>
      <c r="DO824" s="41"/>
      <c r="DP824" s="41"/>
      <c r="DQ824" s="41"/>
      <c r="DR824" s="41"/>
      <c r="DS824" s="43"/>
      <c r="DT824" s="44">
        <f t="shared" ref="DT824" si="806">SUM(F824:DR824)</f>
        <v>1</v>
      </c>
    </row>
    <row r="825" spans="2:124" s="13" customFormat="1">
      <c r="B825" s="4">
        <f>'6.1Personnel List'!B826</f>
        <v>813</v>
      </c>
      <c r="C825" s="45" t="s">
        <v>1041</v>
      </c>
      <c r="D825" s="45" t="str">
        <f>'6.1Personnel List'!D826</f>
        <v>Nurse II</v>
      </c>
      <c r="E825" s="45" t="str">
        <f>'6.1Personnel List'!H826</f>
        <v>FT</v>
      </c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  <c r="AA825" s="41"/>
      <c r="AB825" s="41"/>
      <c r="AC825" s="41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1"/>
      <c r="AP825" s="41"/>
      <c r="AQ825" s="41"/>
      <c r="AR825" s="41"/>
      <c r="AS825" s="41"/>
      <c r="AT825" s="41"/>
      <c r="AU825" s="41"/>
      <c r="AV825" s="41"/>
      <c r="AW825" s="41"/>
      <c r="AX825" s="41"/>
      <c r="AY825" s="41"/>
      <c r="AZ825" s="41"/>
      <c r="BA825" s="41"/>
      <c r="BB825" s="41"/>
      <c r="BC825" s="41"/>
      <c r="BD825" s="41"/>
      <c r="BE825" s="41"/>
      <c r="BF825" s="41"/>
      <c r="BG825" s="41"/>
      <c r="BH825" s="41"/>
      <c r="BJ825" s="41"/>
      <c r="BK825" s="41"/>
      <c r="BL825" s="41"/>
      <c r="BM825" s="41"/>
      <c r="BN825" s="41"/>
      <c r="BO825" s="41"/>
      <c r="BP825" s="41"/>
      <c r="BQ825" s="41"/>
      <c r="BR825" s="41"/>
      <c r="BS825" s="41"/>
      <c r="BT825" s="41"/>
      <c r="BU825" s="41"/>
      <c r="BV825" s="41"/>
      <c r="BW825" s="41"/>
      <c r="BX825" s="41"/>
      <c r="BY825" s="41"/>
      <c r="BZ825" s="41"/>
      <c r="CA825" s="41"/>
      <c r="CB825" s="41"/>
      <c r="CC825" s="41"/>
      <c r="CD825" s="41"/>
      <c r="CE825" s="41"/>
      <c r="CF825" s="41"/>
      <c r="CG825" s="41"/>
      <c r="CH825" s="41"/>
      <c r="CI825" s="41"/>
      <c r="CJ825" s="41"/>
      <c r="CK825" s="41"/>
      <c r="CL825" s="41"/>
      <c r="CM825" s="41"/>
      <c r="CN825" s="92">
        <v>0.25</v>
      </c>
      <c r="CO825" s="41"/>
      <c r="CP825" s="41"/>
      <c r="CQ825" s="41"/>
      <c r="CR825" s="41"/>
      <c r="CS825" s="41"/>
      <c r="CT825" s="41"/>
      <c r="CU825" s="41"/>
      <c r="CV825" s="41"/>
      <c r="CW825" s="41"/>
      <c r="CX825" s="41"/>
      <c r="CY825" s="41"/>
      <c r="CZ825" s="41"/>
      <c r="DA825" s="41"/>
      <c r="DB825" s="92">
        <v>0.25</v>
      </c>
      <c r="DC825" s="92">
        <v>0.25</v>
      </c>
      <c r="DD825" s="41"/>
      <c r="DE825" s="41"/>
      <c r="DF825" s="41"/>
      <c r="DG825" s="41"/>
      <c r="DH825" s="41"/>
      <c r="DI825" s="41"/>
      <c r="DJ825" s="92">
        <v>0.25</v>
      </c>
      <c r="DK825" s="41"/>
      <c r="DL825" s="41"/>
      <c r="DM825" s="41"/>
      <c r="DN825" s="41"/>
      <c r="DO825" s="41"/>
      <c r="DP825" s="41"/>
      <c r="DQ825" s="41"/>
      <c r="DR825" s="41"/>
      <c r="DS825" s="43"/>
      <c r="DT825" s="44">
        <f t="shared" ref="DT825" si="807">SUM(F825:DR825)</f>
        <v>1</v>
      </c>
    </row>
    <row r="826" spans="2:124" s="13" customFormat="1">
      <c r="B826" s="4">
        <f>'6.1Personnel List'!B827</f>
        <v>814</v>
      </c>
      <c r="C826" s="45" t="s">
        <v>1042</v>
      </c>
      <c r="D826" s="45" t="str">
        <f>'6.1Personnel List'!D827</f>
        <v>Nurse II</v>
      </c>
      <c r="E826" s="45" t="str">
        <f>'6.1Personnel List'!H827</f>
        <v>FT</v>
      </c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  <c r="AA826" s="41"/>
      <c r="AB826" s="41"/>
      <c r="AC826" s="41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1"/>
      <c r="AP826" s="41"/>
      <c r="AQ826" s="41"/>
      <c r="AR826" s="41"/>
      <c r="AS826" s="41"/>
      <c r="AT826" s="41"/>
      <c r="AU826" s="41"/>
      <c r="AV826" s="41"/>
      <c r="AW826" s="41"/>
      <c r="AX826" s="41"/>
      <c r="AY826" s="41"/>
      <c r="AZ826" s="41"/>
      <c r="BA826" s="41"/>
      <c r="BB826" s="41"/>
      <c r="BC826" s="41"/>
      <c r="BD826" s="41"/>
      <c r="BE826" s="41"/>
      <c r="BF826" s="41"/>
      <c r="BG826" s="41"/>
      <c r="BH826" s="41"/>
      <c r="BJ826" s="41"/>
      <c r="BK826" s="94"/>
      <c r="BL826" s="94"/>
      <c r="BM826" s="94"/>
      <c r="BN826" s="94"/>
      <c r="BO826" s="94"/>
      <c r="BP826" s="94"/>
      <c r="BQ826" s="94"/>
      <c r="BR826" s="94"/>
      <c r="BS826" s="94"/>
      <c r="BT826" s="94"/>
      <c r="BU826" s="94"/>
      <c r="BV826" s="94"/>
      <c r="BW826" s="94"/>
      <c r="BX826" s="94"/>
      <c r="BY826" s="94"/>
      <c r="BZ826" s="94"/>
      <c r="CA826" s="94"/>
      <c r="CB826" s="94"/>
      <c r="CC826" s="94"/>
      <c r="CD826" s="94"/>
      <c r="CE826" s="94"/>
      <c r="CF826" s="94"/>
      <c r="CG826" s="94"/>
      <c r="CH826" s="94"/>
      <c r="CI826" s="94"/>
      <c r="CJ826" s="94"/>
      <c r="CK826" s="94"/>
      <c r="CL826" s="94"/>
      <c r="CM826" s="94"/>
      <c r="CN826" s="94"/>
      <c r="CO826" s="94"/>
      <c r="CP826" s="94"/>
      <c r="CQ826" s="94"/>
      <c r="CR826" s="94"/>
      <c r="CS826" s="94"/>
      <c r="CT826" s="94"/>
      <c r="CU826" s="94">
        <v>1</v>
      </c>
      <c r="CV826" s="94"/>
      <c r="CW826" s="94"/>
      <c r="CX826" s="94"/>
      <c r="CY826" s="94"/>
      <c r="CZ826" s="94"/>
      <c r="DA826" s="94"/>
      <c r="DB826" s="94"/>
      <c r="DC826" s="94"/>
      <c r="DD826" s="94"/>
      <c r="DE826" s="94"/>
      <c r="DF826" s="94"/>
      <c r="DG826" s="94"/>
      <c r="DH826" s="94"/>
      <c r="DI826" s="94"/>
      <c r="DJ826" s="94"/>
      <c r="DK826" s="41"/>
      <c r="DL826" s="41"/>
      <c r="DM826" s="41"/>
      <c r="DN826" s="41"/>
      <c r="DO826" s="41"/>
      <c r="DP826" s="41"/>
      <c r="DQ826" s="41"/>
      <c r="DR826" s="41"/>
      <c r="DS826" s="43"/>
      <c r="DT826" s="44">
        <f t="shared" ref="DT826" si="808">SUM(F826:DR826)</f>
        <v>1</v>
      </c>
    </row>
    <row r="827" spans="2:124" s="13" customFormat="1">
      <c r="B827" s="4">
        <f>'6.1Personnel List'!B828</f>
        <v>815</v>
      </c>
      <c r="C827" s="45" t="s">
        <v>1043</v>
      </c>
      <c r="D827" s="45" t="str">
        <f>'6.1Personnel List'!D828</f>
        <v>Nurse II</v>
      </c>
      <c r="E827" s="45" t="str">
        <f>'6.1Personnel List'!H828</f>
        <v>FT</v>
      </c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  <c r="AA827" s="41"/>
      <c r="AB827" s="41"/>
      <c r="AC827" s="41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1"/>
      <c r="AP827" s="41"/>
      <c r="AQ827" s="41"/>
      <c r="AR827" s="41"/>
      <c r="AS827" s="41"/>
      <c r="AT827" s="41"/>
      <c r="AU827" s="41"/>
      <c r="AV827" s="41"/>
      <c r="AW827" s="41"/>
      <c r="AX827" s="41"/>
      <c r="AY827" s="41"/>
      <c r="AZ827" s="41"/>
      <c r="BA827" s="41"/>
      <c r="BB827" s="41"/>
      <c r="BC827" s="41"/>
      <c r="BD827" s="41"/>
      <c r="BE827" s="41"/>
      <c r="BF827" s="41"/>
      <c r="BG827" s="41"/>
      <c r="BH827" s="41"/>
      <c r="BJ827" s="41"/>
      <c r="BK827" s="41"/>
      <c r="BL827" s="41"/>
      <c r="BM827" s="41"/>
      <c r="BN827" s="41"/>
      <c r="BO827" s="41"/>
      <c r="BP827" s="41"/>
      <c r="BQ827" s="41"/>
      <c r="BR827" s="41"/>
      <c r="BS827" s="41"/>
      <c r="BT827" s="41"/>
      <c r="BU827" s="41"/>
      <c r="BV827" s="41">
        <v>0.05</v>
      </c>
      <c r="BW827" s="41"/>
      <c r="BX827" s="41"/>
      <c r="BY827" s="41"/>
      <c r="BZ827" s="41"/>
      <c r="CA827" s="41"/>
      <c r="CB827" s="41">
        <v>0.05</v>
      </c>
      <c r="CC827" s="41"/>
      <c r="CD827" s="41"/>
      <c r="CE827" s="41">
        <v>0.05</v>
      </c>
      <c r="CF827" s="41">
        <v>0.02</v>
      </c>
      <c r="CG827" s="41">
        <v>0.03</v>
      </c>
      <c r="CH827" s="41"/>
      <c r="CI827" s="41"/>
      <c r="CJ827" s="41"/>
      <c r="CK827" s="41"/>
      <c r="CL827" s="41">
        <v>0.8</v>
      </c>
      <c r="CM827" s="41"/>
      <c r="CN827" s="41"/>
      <c r="CO827" s="41"/>
      <c r="CP827" s="41"/>
      <c r="CQ827" s="41"/>
      <c r="CR827" s="41"/>
      <c r="CS827" s="41"/>
      <c r="CT827" s="41"/>
      <c r="CU827" s="41"/>
      <c r="CV827" s="41"/>
      <c r="CW827" s="41"/>
      <c r="CX827" s="41"/>
      <c r="CY827" s="41"/>
      <c r="CZ827" s="41"/>
      <c r="DA827" s="41"/>
      <c r="DB827" s="41"/>
      <c r="DC827" s="41"/>
      <c r="DD827" s="41"/>
      <c r="DE827" s="41"/>
      <c r="DF827" s="41"/>
      <c r="DG827" s="41"/>
      <c r="DH827" s="41"/>
      <c r="DI827" s="41"/>
      <c r="DJ827" s="41"/>
      <c r="DK827" s="41"/>
      <c r="DL827" s="41"/>
      <c r="DM827" s="41"/>
      <c r="DN827" s="41"/>
      <c r="DO827" s="41"/>
      <c r="DP827" s="41"/>
      <c r="DQ827" s="41"/>
      <c r="DR827" s="41"/>
      <c r="DS827" s="43"/>
      <c r="DT827" s="44">
        <f t="shared" ref="DT827" si="809">SUM(F827:DR827)</f>
        <v>1</v>
      </c>
    </row>
    <row r="828" spans="2:124" s="13" customFormat="1">
      <c r="B828" s="4">
        <f>'6.1Personnel List'!B829</f>
        <v>816</v>
      </c>
      <c r="C828" s="45" t="s">
        <v>1044</v>
      </c>
      <c r="D828" s="45" t="str">
        <f>'6.1Personnel List'!D829</f>
        <v>Nurse II</v>
      </c>
      <c r="E828" s="45" t="str">
        <f>'6.1Personnel List'!H829</f>
        <v>FT</v>
      </c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  <c r="AA828" s="41"/>
      <c r="AB828" s="41"/>
      <c r="AC828" s="41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1"/>
      <c r="AP828" s="41"/>
      <c r="AQ828" s="41"/>
      <c r="AR828" s="41"/>
      <c r="AS828" s="41"/>
      <c r="AT828" s="41"/>
      <c r="AU828" s="41"/>
      <c r="AV828" s="41"/>
      <c r="AW828" s="41"/>
      <c r="AX828" s="41"/>
      <c r="AY828" s="41"/>
      <c r="AZ828" s="41"/>
      <c r="BA828" s="41"/>
      <c r="BB828" s="41"/>
      <c r="BC828" s="41"/>
      <c r="BD828" s="41"/>
      <c r="BE828" s="41"/>
      <c r="BF828" s="41"/>
      <c r="BG828" s="41"/>
      <c r="BH828" s="41"/>
      <c r="BJ828" s="41"/>
      <c r="BK828" s="41"/>
      <c r="BL828" s="41"/>
      <c r="BM828" s="41"/>
      <c r="BN828" s="41"/>
      <c r="BO828" s="41"/>
      <c r="BP828" s="41"/>
      <c r="BQ828" s="41"/>
      <c r="BR828" s="41"/>
      <c r="BS828" s="41"/>
      <c r="BT828" s="41"/>
      <c r="BU828" s="41"/>
      <c r="BV828" s="41">
        <v>0.05</v>
      </c>
      <c r="BW828" s="41">
        <v>0.2</v>
      </c>
      <c r="BX828" s="41"/>
      <c r="BY828" s="41"/>
      <c r="BZ828" s="41"/>
      <c r="CA828" s="41"/>
      <c r="CB828" s="41"/>
      <c r="CC828" s="41"/>
      <c r="CD828" s="41"/>
      <c r="CE828" s="41">
        <v>0.1</v>
      </c>
      <c r="CF828" s="41">
        <v>0.1</v>
      </c>
      <c r="CG828" s="41">
        <v>0.1</v>
      </c>
      <c r="CH828" s="41"/>
      <c r="CI828" s="41"/>
      <c r="CJ828" s="41"/>
      <c r="CK828" s="41"/>
      <c r="CL828" s="41"/>
      <c r="CM828" s="41"/>
      <c r="CN828" s="41"/>
      <c r="CO828" s="41"/>
      <c r="CP828" s="41"/>
      <c r="CQ828" s="41"/>
      <c r="CR828" s="41"/>
      <c r="CS828" s="41"/>
      <c r="CT828" s="41"/>
      <c r="CU828" s="41"/>
      <c r="CV828" s="41"/>
      <c r="CW828" s="41"/>
      <c r="CX828" s="41"/>
      <c r="CY828" s="41"/>
      <c r="CZ828" s="41"/>
      <c r="DA828" s="41"/>
      <c r="DB828" s="41"/>
      <c r="DC828" s="41"/>
      <c r="DD828" s="41"/>
      <c r="DE828" s="41"/>
      <c r="DF828" s="41"/>
      <c r="DG828" s="41"/>
      <c r="DH828" s="41"/>
      <c r="DI828" s="41"/>
      <c r="DJ828" s="41"/>
      <c r="DK828" s="41"/>
      <c r="DL828" s="41"/>
      <c r="DM828" s="41">
        <v>0.45</v>
      </c>
      <c r="DN828" s="41"/>
      <c r="DO828" s="41"/>
      <c r="DP828" s="41"/>
      <c r="DQ828" s="41"/>
      <c r="DR828" s="41"/>
      <c r="DS828" s="43"/>
      <c r="DT828" s="44">
        <f t="shared" ref="DT828" si="810">SUM(F828:DR828)</f>
        <v>1</v>
      </c>
    </row>
    <row r="829" spans="2:124" s="13" customFormat="1">
      <c r="B829" s="4">
        <f>'6.1Personnel List'!B830</f>
        <v>817</v>
      </c>
      <c r="C829" s="45" t="s">
        <v>1045</v>
      </c>
      <c r="D829" s="45" t="str">
        <f>'6.1Personnel List'!D830</f>
        <v>Nurse II</v>
      </c>
      <c r="E829" s="45" t="str">
        <f>'6.1Personnel List'!H830</f>
        <v>FT</v>
      </c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  <c r="AA829" s="41"/>
      <c r="AB829" s="41"/>
      <c r="AC829" s="41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1"/>
      <c r="AP829" s="41"/>
      <c r="AQ829" s="41"/>
      <c r="AR829" s="41"/>
      <c r="AS829" s="41"/>
      <c r="AT829" s="41"/>
      <c r="AU829" s="41"/>
      <c r="AV829" s="41"/>
      <c r="AW829" s="41"/>
      <c r="AX829" s="41"/>
      <c r="AY829" s="41"/>
      <c r="AZ829" s="41"/>
      <c r="BA829" s="41"/>
      <c r="BB829" s="41"/>
      <c r="BC829" s="41"/>
      <c r="BD829" s="41"/>
      <c r="BE829" s="41"/>
      <c r="BF829" s="41"/>
      <c r="BG829" s="41"/>
      <c r="BH829" s="41"/>
      <c r="BJ829" s="41"/>
      <c r="BK829" s="41"/>
      <c r="BL829" s="41"/>
      <c r="BM829" s="41"/>
      <c r="BN829" s="41"/>
      <c r="BO829" s="41"/>
      <c r="BP829" s="41"/>
      <c r="BQ829" s="41"/>
      <c r="BR829" s="41"/>
      <c r="BS829" s="41"/>
      <c r="BT829" s="41"/>
      <c r="BU829" s="41"/>
      <c r="BV829" s="41">
        <v>0.05</v>
      </c>
      <c r="BW829" s="41">
        <v>0.2</v>
      </c>
      <c r="BX829" s="41"/>
      <c r="BY829" s="41"/>
      <c r="BZ829" s="41"/>
      <c r="CA829" s="41"/>
      <c r="CB829" s="41"/>
      <c r="CC829" s="41"/>
      <c r="CD829" s="41"/>
      <c r="CE829" s="41">
        <v>0.1</v>
      </c>
      <c r="CF829" s="41">
        <v>0.1</v>
      </c>
      <c r="CG829" s="41">
        <v>0.1</v>
      </c>
      <c r="CH829" s="41"/>
      <c r="CI829" s="41"/>
      <c r="CJ829" s="41"/>
      <c r="CK829" s="41"/>
      <c r="CL829" s="41"/>
      <c r="CM829" s="41"/>
      <c r="CN829" s="41"/>
      <c r="CO829" s="41"/>
      <c r="CP829" s="41"/>
      <c r="CQ829" s="41"/>
      <c r="CR829" s="41"/>
      <c r="CS829" s="41"/>
      <c r="CT829" s="41"/>
      <c r="CU829" s="41"/>
      <c r="CV829" s="41"/>
      <c r="CW829" s="41"/>
      <c r="CX829" s="41"/>
      <c r="CY829" s="41"/>
      <c r="CZ829" s="41"/>
      <c r="DA829" s="41"/>
      <c r="DB829" s="41"/>
      <c r="DC829" s="41"/>
      <c r="DD829" s="41"/>
      <c r="DE829" s="41"/>
      <c r="DF829" s="41"/>
      <c r="DG829" s="41"/>
      <c r="DH829" s="41"/>
      <c r="DI829" s="41"/>
      <c r="DJ829" s="41"/>
      <c r="DK829" s="41"/>
      <c r="DL829" s="41"/>
      <c r="DM829" s="41">
        <v>0.45</v>
      </c>
      <c r="DN829" s="41"/>
      <c r="DO829" s="41"/>
      <c r="DP829" s="41"/>
      <c r="DQ829" s="41"/>
      <c r="DR829" s="41"/>
      <c r="DS829" s="43"/>
      <c r="DT829" s="44">
        <f t="shared" ref="DT829" si="811">SUM(F829:DR829)</f>
        <v>1</v>
      </c>
    </row>
    <row r="830" spans="2:124" s="13" customFormat="1">
      <c r="B830" s="4">
        <f>'6.1Personnel List'!B831</f>
        <v>818</v>
      </c>
      <c r="C830" s="45" t="s">
        <v>1046</v>
      </c>
      <c r="D830" s="45" t="str">
        <f>'6.1Personnel List'!D831</f>
        <v>Nurse II</v>
      </c>
      <c r="E830" s="45" t="str">
        <f>'6.1Personnel List'!H831</f>
        <v>FT</v>
      </c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  <c r="AA830" s="41"/>
      <c r="AB830" s="41"/>
      <c r="AC830" s="41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1"/>
      <c r="AP830" s="41"/>
      <c r="AQ830" s="41"/>
      <c r="AR830" s="41"/>
      <c r="AS830" s="41"/>
      <c r="AT830" s="41"/>
      <c r="AU830" s="41"/>
      <c r="AV830" s="41"/>
      <c r="AW830" s="41"/>
      <c r="AX830" s="41"/>
      <c r="AY830" s="41"/>
      <c r="AZ830" s="41"/>
      <c r="BA830" s="41"/>
      <c r="BB830" s="41"/>
      <c r="BC830" s="41"/>
      <c r="BD830" s="41"/>
      <c r="BE830" s="41"/>
      <c r="BF830" s="41"/>
      <c r="BG830" s="41"/>
      <c r="BH830" s="41"/>
      <c r="BJ830" s="41"/>
      <c r="BK830" s="41"/>
      <c r="BL830" s="41"/>
      <c r="BM830" s="41"/>
      <c r="BN830" s="41"/>
      <c r="BO830" s="41"/>
      <c r="BP830" s="41"/>
      <c r="BQ830" s="41"/>
      <c r="BR830" s="41"/>
      <c r="BS830" s="41"/>
      <c r="BT830" s="41"/>
      <c r="BU830" s="41"/>
      <c r="BV830" s="41">
        <v>0.05</v>
      </c>
      <c r="BW830" s="41"/>
      <c r="BX830" s="41"/>
      <c r="BY830" s="41"/>
      <c r="BZ830" s="41"/>
      <c r="CA830" s="41"/>
      <c r="CB830" s="41">
        <v>0.05</v>
      </c>
      <c r="CC830" s="41"/>
      <c r="CD830" s="41"/>
      <c r="CE830" s="41">
        <v>0.05</v>
      </c>
      <c r="CF830" s="41">
        <v>0.02</v>
      </c>
      <c r="CG830" s="41">
        <v>0.03</v>
      </c>
      <c r="CH830" s="41"/>
      <c r="CI830" s="41"/>
      <c r="CJ830" s="41"/>
      <c r="CK830" s="41"/>
      <c r="CL830" s="41">
        <v>0.8</v>
      </c>
      <c r="CM830" s="41"/>
      <c r="CN830" s="41"/>
      <c r="CO830" s="41"/>
      <c r="CP830" s="41"/>
      <c r="CQ830" s="41"/>
      <c r="CR830" s="41"/>
      <c r="CS830" s="41"/>
      <c r="CT830" s="41"/>
      <c r="CU830" s="41"/>
      <c r="CV830" s="41"/>
      <c r="CW830" s="41"/>
      <c r="CX830" s="41"/>
      <c r="CY830" s="41"/>
      <c r="CZ830" s="41"/>
      <c r="DA830" s="41"/>
      <c r="DB830" s="41"/>
      <c r="DC830" s="41"/>
      <c r="DD830" s="41"/>
      <c r="DE830" s="41"/>
      <c r="DF830" s="41"/>
      <c r="DG830" s="41"/>
      <c r="DH830" s="41"/>
      <c r="DI830" s="41"/>
      <c r="DJ830" s="41"/>
      <c r="DK830" s="41"/>
      <c r="DL830" s="41"/>
      <c r="DM830" s="41"/>
      <c r="DN830" s="41"/>
      <c r="DO830" s="41"/>
      <c r="DP830" s="41"/>
      <c r="DQ830" s="41"/>
      <c r="DR830" s="41"/>
      <c r="DS830" s="43"/>
      <c r="DT830" s="44">
        <f t="shared" ref="DT830" si="812">SUM(F830:DR830)</f>
        <v>1</v>
      </c>
    </row>
    <row r="831" spans="2:124" s="13" customFormat="1">
      <c r="B831" s="4">
        <f>'6.1Personnel List'!B832</f>
        <v>819</v>
      </c>
      <c r="C831" s="45" t="s">
        <v>1047</v>
      </c>
      <c r="D831" s="45" t="str">
        <f>'6.1Personnel List'!D832</f>
        <v>Nurse II</v>
      </c>
      <c r="E831" s="45" t="str">
        <f>'6.1Personnel List'!H832</f>
        <v>FT</v>
      </c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  <c r="AA831" s="41"/>
      <c r="AB831" s="41"/>
      <c r="AC831" s="41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1"/>
      <c r="AP831" s="41"/>
      <c r="AQ831" s="41"/>
      <c r="AR831" s="41"/>
      <c r="AS831" s="41"/>
      <c r="AT831" s="41"/>
      <c r="AU831" s="41"/>
      <c r="AV831" s="41"/>
      <c r="AW831" s="41"/>
      <c r="AX831" s="41"/>
      <c r="AY831" s="41"/>
      <c r="AZ831" s="41"/>
      <c r="BA831" s="41"/>
      <c r="BB831" s="41"/>
      <c r="BC831" s="41"/>
      <c r="BD831" s="41"/>
      <c r="BE831" s="41"/>
      <c r="BF831" s="41"/>
      <c r="BG831" s="41"/>
      <c r="BH831" s="41"/>
      <c r="BJ831" s="41"/>
      <c r="BK831" s="41"/>
      <c r="BL831" s="41"/>
      <c r="BM831" s="41"/>
      <c r="BN831" s="41"/>
      <c r="BO831" s="41"/>
      <c r="BP831" s="41"/>
      <c r="BQ831" s="41"/>
      <c r="BR831" s="41"/>
      <c r="BS831" s="41"/>
      <c r="BT831" s="41"/>
      <c r="BU831" s="41"/>
      <c r="BV831" s="41">
        <v>0.05</v>
      </c>
      <c r="BW831" s="41">
        <v>0.2</v>
      </c>
      <c r="BX831" s="41"/>
      <c r="BY831" s="41"/>
      <c r="BZ831" s="41"/>
      <c r="CA831" s="41"/>
      <c r="CB831" s="41"/>
      <c r="CC831" s="41"/>
      <c r="CD831" s="41"/>
      <c r="CE831" s="41">
        <v>0.1</v>
      </c>
      <c r="CF831" s="41">
        <v>0.1</v>
      </c>
      <c r="CG831" s="41">
        <v>0.1</v>
      </c>
      <c r="CH831" s="41"/>
      <c r="CI831" s="41"/>
      <c r="CJ831" s="41"/>
      <c r="CK831" s="41"/>
      <c r="CL831" s="41"/>
      <c r="CM831" s="41"/>
      <c r="CN831" s="41"/>
      <c r="CO831" s="41"/>
      <c r="CP831" s="41"/>
      <c r="CQ831" s="41"/>
      <c r="CR831" s="41"/>
      <c r="CS831" s="41"/>
      <c r="CT831" s="41"/>
      <c r="CU831" s="41"/>
      <c r="CV831" s="41"/>
      <c r="CW831" s="41"/>
      <c r="CX831" s="41"/>
      <c r="CY831" s="41"/>
      <c r="CZ831" s="41"/>
      <c r="DA831" s="41"/>
      <c r="DB831" s="41"/>
      <c r="DC831" s="41"/>
      <c r="DD831" s="41"/>
      <c r="DE831" s="41"/>
      <c r="DF831" s="41"/>
      <c r="DG831" s="41"/>
      <c r="DH831" s="41"/>
      <c r="DI831" s="41"/>
      <c r="DJ831" s="41"/>
      <c r="DK831" s="41"/>
      <c r="DL831" s="41"/>
      <c r="DM831" s="41">
        <v>0.45</v>
      </c>
      <c r="DN831" s="41"/>
      <c r="DO831" s="41"/>
      <c r="DP831" s="41"/>
      <c r="DQ831" s="41"/>
      <c r="DR831" s="41"/>
      <c r="DS831" s="43"/>
      <c r="DT831" s="44">
        <f t="shared" ref="DT831" si="813">SUM(F831:DR831)</f>
        <v>1</v>
      </c>
    </row>
    <row r="832" spans="2:124" s="13" customFormat="1">
      <c r="B832" s="4">
        <f>'6.1Personnel List'!B833</f>
        <v>820</v>
      </c>
      <c r="C832" s="45" t="s">
        <v>1048</v>
      </c>
      <c r="D832" s="45" t="str">
        <f>'6.1Personnel List'!D833</f>
        <v>Nurse II</v>
      </c>
      <c r="E832" s="45" t="str">
        <f>'6.1Personnel List'!H833</f>
        <v>FT</v>
      </c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  <c r="AA832" s="41"/>
      <c r="AB832" s="41"/>
      <c r="AC832" s="41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1"/>
      <c r="AP832" s="41"/>
      <c r="AQ832" s="41"/>
      <c r="AR832" s="41"/>
      <c r="AS832" s="41"/>
      <c r="AT832" s="41"/>
      <c r="AU832" s="41"/>
      <c r="AV832" s="41"/>
      <c r="AW832" s="41"/>
      <c r="AX832" s="41"/>
      <c r="AY832" s="41"/>
      <c r="AZ832" s="41"/>
      <c r="BA832" s="41"/>
      <c r="BB832" s="41"/>
      <c r="BC832" s="41"/>
      <c r="BD832" s="41"/>
      <c r="BE832" s="41"/>
      <c r="BF832" s="41"/>
      <c r="BG832" s="41"/>
      <c r="BH832" s="41"/>
      <c r="BJ832" s="41"/>
      <c r="BK832" s="41"/>
      <c r="BL832" s="41"/>
      <c r="BM832" s="41"/>
      <c r="BN832" s="41"/>
      <c r="BO832" s="41"/>
      <c r="BP832" s="41"/>
      <c r="BQ832" s="41"/>
      <c r="BR832" s="41"/>
      <c r="BS832" s="41">
        <v>0.05</v>
      </c>
      <c r="BT832" s="41"/>
      <c r="BU832" s="41"/>
      <c r="BV832" s="41">
        <v>0.05</v>
      </c>
      <c r="BW832" s="41">
        <v>0.05</v>
      </c>
      <c r="BX832" s="41"/>
      <c r="BY832" s="41"/>
      <c r="BZ832" s="41"/>
      <c r="CA832" s="41"/>
      <c r="CB832" s="41"/>
      <c r="CC832" s="41"/>
      <c r="CD832" s="41"/>
      <c r="CE832" s="41">
        <v>0.1</v>
      </c>
      <c r="CF832" s="41">
        <v>0.05</v>
      </c>
      <c r="CG832" s="41">
        <v>0.05</v>
      </c>
      <c r="CH832" s="41">
        <v>0.05</v>
      </c>
      <c r="CI832" s="41"/>
      <c r="CJ832" s="41">
        <v>0.05</v>
      </c>
      <c r="CK832" s="41"/>
      <c r="CL832" s="41">
        <v>0.2</v>
      </c>
      <c r="CM832" s="41"/>
      <c r="CN832" s="41"/>
      <c r="CO832" s="41"/>
      <c r="CP832" s="41"/>
      <c r="CQ832" s="41"/>
      <c r="CR832" s="41"/>
      <c r="CS832" s="41"/>
      <c r="CT832" s="41"/>
      <c r="CU832" s="41">
        <v>0.05</v>
      </c>
      <c r="CV832" s="41"/>
      <c r="CW832" s="41"/>
      <c r="CX832" s="41"/>
      <c r="CY832" s="41"/>
      <c r="CZ832" s="41"/>
      <c r="DA832" s="41"/>
      <c r="DB832" s="41"/>
      <c r="DC832" s="41"/>
      <c r="DD832" s="41">
        <v>0.05</v>
      </c>
      <c r="DE832" s="41"/>
      <c r="DF832" s="41"/>
      <c r="DG832" s="41"/>
      <c r="DH832" s="41"/>
      <c r="DI832" s="41"/>
      <c r="DJ832" s="41"/>
      <c r="DK832" s="41"/>
      <c r="DL832" s="41"/>
      <c r="DM832" s="41"/>
      <c r="DN832" s="41"/>
      <c r="DO832" s="41"/>
      <c r="DP832" s="41">
        <v>0.25</v>
      </c>
      <c r="DQ832" s="41"/>
      <c r="DR832" s="41"/>
      <c r="DS832" s="43"/>
      <c r="DT832" s="44">
        <f t="shared" ref="DT832" si="814">SUM(F832:DR832)</f>
        <v>1</v>
      </c>
    </row>
    <row r="833" spans="2:124" s="13" customFormat="1">
      <c r="B833" s="4">
        <f>'6.1Personnel List'!B834</f>
        <v>821</v>
      </c>
      <c r="C833" s="45" t="s">
        <v>1049</v>
      </c>
      <c r="D833" s="45" t="str">
        <f>'6.1Personnel List'!D834</f>
        <v>Nurse II</v>
      </c>
      <c r="E833" s="45" t="str">
        <f>'6.1Personnel List'!H834</f>
        <v>FT</v>
      </c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  <c r="AA833" s="41"/>
      <c r="AB833" s="41"/>
      <c r="AC833" s="41"/>
      <c r="AD833" s="41"/>
      <c r="AE833" s="41"/>
      <c r="AF833" s="41"/>
      <c r="AG833" s="41"/>
      <c r="AH833" s="41"/>
      <c r="AI833" s="41"/>
      <c r="AJ833" s="41"/>
      <c r="AK833" s="41"/>
      <c r="AL833" s="41"/>
      <c r="AM833" s="41"/>
      <c r="AN833" s="41"/>
      <c r="AO833" s="41"/>
      <c r="AP833" s="41"/>
      <c r="AQ833" s="41"/>
      <c r="AR833" s="41"/>
      <c r="AS833" s="41"/>
      <c r="AT833" s="41"/>
      <c r="AU833" s="41"/>
      <c r="AV833" s="41"/>
      <c r="AW833" s="41"/>
      <c r="AX833" s="41"/>
      <c r="AY833" s="41"/>
      <c r="AZ833" s="41"/>
      <c r="BA833" s="41"/>
      <c r="BB833" s="41"/>
      <c r="BC833" s="41"/>
      <c r="BD833" s="41"/>
      <c r="BE833" s="41"/>
      <c r="BF833" s="41"/>
      <c r="BG833" s="41"/>
      <c r="BH833" s="41"/>
      <c r="BJ833" s="41"/>
      <c r="BK833" s="41"/>
      <c r="BL833" s="41"/>
      <c r="BM833" s="41"/>
      <c r="BN833" s="41"/>
      <c r="BO833" s="41"/>
      <c r="BP833" s="41"/>
      <c r="BQ833" s="41"/>
      <c r="BR833" s="41"/>
      <c r="BS833" s="41"/>
      <c r="BT833" s="41"/>
      <c r="BU833" s="41"/>
      <c r="BV833" s="41">
        <v>0.05</v>
      </c>
      <c r="BW833" s="41"/>
      <c r="BX833" s="41"/>
      <c r="BY833" s="41"/>
      <c r="BZ833" s="41"/>
      <c r="CA833" s="41"/>
      <c r="CB833" s="41">
        <v>0.05</v>
      </c>
      <c r="CC833" s="41"/>
      <c r="CD833" s="41"/>
      <c r="CE833" s="41">
        <v>0.05</v>
      </c>
      <c r="CF833" s="41">
        <v>0.02</v>
      </c>
      <c r="CG833" s="41">
        <v>0.03</v>
      </c>
      <c r="CH833" s="41"/>
      <c r="CI833" s="41"/>
      <c r="CJ833" s="41"/>
      <c r="CK833" s="41"/>
      <c r="CL833" s="41">
        <v>0.8</v>
      </c>
      <c r="CM833" s="41"/>
      <c r="CN833" s="41"/>
      <c r="CO833" s="41"/>
      <c r="CP833" s="41"/>
      <c r="CQ833" s="41"/>
      <c r="CR833" s="41"/>
      <c r="CS833" s="41"/>
      <c r="CT833" s="41"/>
      <c r="CU833" s="41"/>
      <c r="CV833" s="41"/>
      <c r="CW833" s="41"/>
      <c r="CX833" s="41"/>
      <c r="CY833" s="41"/>
      <c r="CZ833" s="41"/>
      <c r="DA833" s="41"/>
      <c r="DB833" s="41"/>
      <c r="DC833" s="41"/>
      <c r="DD833" s="41"/>
      <c r="DE833" s="41"/>
      <c r="DF833" s="41"/>
      <c r="DG833" s="41"/>
      <c r="DH833" s="41"/>
      <c r="DI833" s="41"/>
      <c r="DJ833" s="41"/>
      <c r="DK833" s="41"/>
      <c r="DL833" s="41"/>
      <c r="DM833" s="41"/>
      <c r="DN833" s="41"/>
      <c r="DO833" s="41"/>
      <c r="DP833" s="41"/>
      <c r="DQ833" s="41"/>
      <c r="DR833" s="41"/>
      <c r="DS833" s="43"/>
      <c r="DT833" s="44">
        <f t="shared" ref="DT833" si="815">SUM(F833:DR833)</f>
        <v>1</v>
      </c>
    </row>
    <row r="834" spans="2:124" s="13" customFormat="1">
      <c r="B834" s="4">
        <f>'6.1Personnel List'!B835</f>
        <v>822</v>
      </c>
      <c r="C834" s="45" t="s">
        <v>1050</v>
      </c>
      <c r="D834" s="45" t="str">
        <f>'6.1Personnel List'!D835</f>
        <v>Nurse II</v>
      </c>
      <c r="E834" s="45" t="str">
        <f>'6.1Personnel List'!H835</f>
        <v>FT</v>
      </c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  <c r="AA834" s="41"/>
      <c r="AB834" s="41"/>
      <c r="AC834" s="41"/>
      <c r="AD834" s="41"/>
      <c r="AE834" s="41"/>
      <c r="AF834" s="41"/>
      <c r="AG834" s="41"/>
      <c r="AH834" s="41"/>
      <c r="AI834" s="41"/>
      <c r="AJ834" s="41"/>
      <c r="AK834" s="41"/>
      <c r="AL834" s="41"/>
      <c r="AM834" s="41"/>
      <c r="AN834" s="41"/>
      <c r="AO834" s="41"/>
      <c r="AP834" s="41"/>
      <c r="AQ834" s="41"/>
      <c r="AR834" s="41"/>
      <c r="AS834" s="41"/>
      <c r="AT834" s="41"/>
      <c r="AU834" s="41"/>
      <c r="AV834" s="41"/>
      <c r="AW834" s="41"/>
      <c r="AX834" s="41"/>
      <c r="AY834" s="41"/>
      <c r="AZ834" s="41"/>
      <c r="BA834" s="41"/>
      <c r="BB834" s="41"/>
      <c r="BC834" s="41"/>
      <c r="BD834" s="41"/>
      <c r="BE834" s="41"/>
      <c r="BF834" s="41"/>
      <c r="BG834" s="41"/>
      <c r="BH834" s="41"/>
      <c r="BJ834" s="41"/>
      <c r="BK834" s="41"/>
      <c r="BL834" s="41"/>
      <c r="BM834" s="41"/>
      <c r="BN834" s="41"/>
      <c r="BO834" s="41"/>
      <c r="BP834" s="41"/>
      <c r="BQ834" s="41"/>
      <c r="BR834" s="41"/>
      <c r="BS834" s="41"/>
      <c r="BT834" s="41"/>
      <c r="BU834" s="41"/>
      <c r="BV834" s="41"/>
      <c r="BW834" s="41"/>
      <c r="BX834" s="41"/>
      <c r="BY834" s="41"/>
      <c r="BZ834" s="41"/>
      <c r="CA834" s="41"/>
      <c r="CB834" s="41">
        <v>0.01</v>
      </c>
      <c r="CC834" s="41"/>
      <c r="CD834" s="41"/>
      <c r="CE834" s="41">
        <v>0.02</v>
      </c>
      <c r="CF834" s="41">
        <v>0.02</v>
      </c>
      <c r="CG834" s="41">
        <v>0.1</v>
      </c>
      <c r="CH834" s="41">
        <v>0.1</v>
      </c>
      <c r="CI834" s="41">
        <v>0.02</v>
      </c>
      <c r="CJ834" s="41"/>
      <c r="CK834" s="41">
        <v>0.01</v>
      </c>
      <c r="CL834" s="41">
        <v>0.05</v>
      </c>
      <c r="CM834" s="41"/>
      <c r="CN834" s="41">
        <v>0.05</v>
      </c>
      <c r="CO834" s="41">
        <v>0.05</v>
      </c>
      <c r="CP834" s="41">
        <v>0.05</v>
      </c>
      <c r="CQ834" s="41">
        <v>0.05</v>
      </c>
      <c r="CR834" s="41">
        <v>0.02</v>
      </c>
      <c r="CS834" s="41">
        <v>0.01</v>
      </c>
      <c r="CT834" s="41"/>
      <c r="CU834" s="41"/>
      <c r="CV834" s="41">
        <v>0.02</v>
      </c>
      <c r="CW834" s="41"/>
      <c r="CX834" s="41"/>
      <c r="CY834" s="41"/>
      <c r="CZ834" s="41"/>
      <c r="DA834" s="41"/>
      <c r="DB834" s="41"/>
      <c r="DC834" s="41"/>
      <c r="DD834" s="41">
        <v>0.12</v>
      </c>
      <c r="DE834" s="41"/>
      <c r="DF834" s="41"/>
      <c r="DG834" s="41"/>
      <c r="DH834" s="41"/>
      <c r="DI834" s="41"/>
      <c r="DJ834" s="41">
        <v>0.05</v>
      </c>
      <c r="DK834" s="41">
        <v>0.05</v>
      </c>
      <c r="DL834" s="41">
        <v>0.05</v>
      </c>
      <c r="DM834" s="41">
        <v>0.05</v>
      </c>
      <c r="DN834" s="41"/>
      <c r="DO834" s="41"/>
      <c r="DP834" s="41">
        <v>0.05</v>
      </c>
      <c r="DQ834" s="41"/>
      <c r="DR834" s="41">
        <v>0.05</v>
      </c>
      <c r="DS834" s="43"/>
      <c r="DT834" s="44">
        <f t="shared" ref="DT834" si="816">SUM(F834:DR834)</f>
        <v>1.0000000000000002</v>
      </c>
    </row>
    <row r="835" spans="2:124" s="13" customFormat="1">
      <c r="B835" s="4">
        <f>'6.1Personnel List'!B836</f>
        <v>823</v>
      </c>
      <c r="C835" s="45" t="s">
        <v>1051</v>
      </c>
      <c r="D835" s="45" t="str">
        <f>'6.1Personnel List'!D836</f>
        <v>Nurse II</v>
      </c>
      <c r="E835" s="45" t="str">
        <f>'6.1Personnel List'!H836</f>
        <v>FT</v>
      </c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  <c r="AA835" s="41"/>
      <c r="AB835" s="41"/>
      <c r="AC835" s="41"/>
      <c r="AD835" s="41"/>
      <c r="AE835" s="41"/>
      <c r="AF835" s="41"/>
      <c r="AG835" s="41"/>
      <c r="AH835" s="41"/>
      <c r="AI835" s="41"/>
      <c r="AJ835" s="41"/>
      <c r="AK835" s="41"/>
      <c r="AL835" s="41"/>
      <c r="AM835" s="41"/>
      <c r="AN835" s="41"/>
      <c r="AO835" s="41"/>
      <c r="AP835" s="41"/>
      <c r="AQ835" s="41"/>
      <c r="AR835" s="41"/>
      <c r="AS835" s="41"/>
      <c r="AT835" s="41"/>
      <c r="AU835" s="41"/>
      <c r="AV835" s="41"/>
      <c r="AW835" s="41"/>
      <c r="AX835" s="41"/>
      <c r="AY835" s="41"/>
      <c r="AZ835" s="41"/>
      <c r="BA835" s="41"/>
      <c r="BB835" s="41"/>
      <c r="BC835" s="41"/>
      <c r="BD835" s="41"/>
      <c r="BE835" s="41"/>
      <c r="BF835" s="41"/>
      <c r="BG835" s="41"/>
      <c r="BH835" s="41"/>
      <c r="BJ835" s="41"/>
      <c r="BK835" s="41"/>
      <c r="BL835" s="41"/>
      <c r="BM835" s="41"/>
      <c r="BN835" s="41"/>
      <c r="BO835" s="41"/>
      <c r="BP835" s="41"/>
      <c r="BQ835" s="41"/>
      <c r="BR835" s="41"/>
      <c r="BS835" s="41"/>
      <c r="BT835" s="41"/>
      <c r="BU835" s="41"/>
      <c r="BV835" s="41"/>
      <c r="BW835" s="41"/>
      <c r="BX835" s="41"/>
      <c r="BY835" s="41"/>
      <c r="BZ835" s="41"/>
      <c r="CA835" s="41"/>
      <c r="CB835" s="41"/>
      <c r="CC835" s="41"/>
      <c r="CD835" s="41"/>
      <c r="CE835" s="41"/>
      <c r="CF835" s="41"/>
      <c r="CG835" s="41"/>
      <c r="CH835" s="41"/>
      <c r="CI835" s="41"/>
      <c r="CJ835" s="41"/>
      <c r="CK835" s="41"/>
      <c r="CL835" s="41"/>
      <c r="CM835" s="41"/>
      <c r="CN835" s="92">
        <v>0.25</v>
      </c>
      <c r="CO835" s="41"/>
      <c r="CP835" s="41"/>
      <c r="CQ835" s="41"/>
      <c r="CR835" s="41"/>
      <c r="CS835" s="41"/>
      <c r="CT835" s="41"/>
      <c r="CU835" s="41"/>
      <c r="CV835" s="41"/>
      <c r="CW835" s="41"/>
      <c r="CX835" s="41"/>
      <c r="CY835" s="41"/>
      <c r="CZ835" s="41"/>
      <c r="DA835" s="41"/>
      <c r="DB835" s="92">
        <v>0.25</v>
      </c>
      <c r="DC835" s="92">
        <v>0.25</v>
      </c>
      <c r="DD835" s="41"/>
      <c r="DE835" s="41"/>
      <c r="DF835" s="41"/>
      <c r="DG835" s="41"/>
      <c r="DH835" s="41"/>
      <c r="DI835" s="41"/>
      <c r="DJ835" s="92">
        <v>0.25</v>
      </c>
      <c r="DK835" s="41"/>
      <c r="DL835" s="41"/>
      <c r="DM835" s="41"/>
      <c r="DN835" s="41"/>
      <c r="DO835" s="41"/>
      <c r="DP835" s="41"/>
      <c r="DQ835" s="41"/>
      <c r="DR835" s="41"/>
      <c r="DS835" s="43"/>
      <c r="DT835" s="44">
        <f t="shared" ref="DT835" si="817">SUM(F835:DR835)</f>
        <v>1</v>
      </c>
    </row>
    <row r="836" spans="2:124" s="13" customFormat="1">
      <c r="B836" s="4">
        <f>'6.1Personnel List'!B837</f>
        <v>824</v>
      </c>
      <c r="C836" s="45" t="s">
        <v>1052</v>
      </c>
      <c r="D836" s="45" t="str">
        <f>'6.1Personnel List'!D837</f>
        <v>Nurse II</v>
      </c>
      <c r="E836" s="45" t="str">
        <f>'6.1Personnel List'!H837</f>
        <v>FT</v>
      </c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  <c r="AA836" s="41"/>
      <c r="AB836" s="41"/>
      <c r="AC836" s="41"/>
      <c r="AD836" s="41"/>
      <c r="AE836" s="41"/>
      <c r="AF836" s="41"/>
      <c r="AG836" s="41"/>
      <c r="AH836" s="41"/>
      <c r="AI836" s="41"/>
      <c r="AJ836" s="41"/>
      <c r="AK836" s="41"/>
      <c r="AL836" s="41"/>
      <c r="AM836" s="41"/>
      <c r="AN836" s="41"/>
      <c r="AO836" s="41"/>
      <c r="AP836" s="41"/>
      <c r="AQ836" s="41"/>
      <c r="AR836" s="41"/>
      <c r="AS836" s="41"/>
      <c r="AT836" s="41"/>
      <c r="AU836" s="41"/>
      <c r="AV836" s="41"/>
      <c r="AW836" s="41"/>
      <c r="AX836" s="41"/>
      <c r="AY836" s="41"/>
      <c r="AZ836" s="41"/>
      <c r="BA836" s="41"/>
      <c r="BB836" s="41"/>
      <c r="BC836" s="41"/>
      <c r="BD836" s="41"/>
      <c r="BE836" s="41"/>
      <c r="BF836" s="41"/>
      <c r="BG836" s="41"/>
      <c r="BH836" s="41"/>
      <c r="BJ836" s="41"/>
      <c r="BK836" s="41"/>
      <c r="BL836" s="41"/>
      <c r="BM836" s="41"/>
      <c r="BN836" s="41"/>
      <c r="BO836" s="41"/>
      <c r="BP836" s="41"/>
      <c r="BQ836" s="41"/>
      <c r="BR836" s="41"/>
      <c r="BS836" s="41">
        <v>0.05</v>
      </c>
      <c r="BT836" s="41"/>
      <c r="BU836" s="41"/>
      <c r="BV836" s="41">
        <v>0.05</v>
      </c>
      <c r="BW836" s="41">
        <v>0.05</v>
      </c>
      <c r="BX836" s="41"/>
      <c r="BY836" s="41"/>
      <c r="BZ836" s="41"/>
      <c r="CA836" s="41"/>
      <c r="CB836" s="41"/>
      <c r="CC836" s="41"/>
      <c r="CD836" s="41"/>
      <c r="CE836" s="41">
        <v>0.1</v>
      </c>
      <c r="CF836" s="41">
        <v>0.05</v>
      </c>
      <c r="CG836" s="41">
        <v>0.05</v>
      </c>
      <c r="CH836" s="41">
        <v>0.05</v>
      </c>
      <c r="CI836" s="41"/>
      <c r="CJ836" s="41">
        <v>0.05</v>
      </c>
      <c r="CK836" s="41"/>
      <c r="CL836" s="41">
        <v>0.2</v>
      </c>
      <c r="CM836" s="41"/>
      <c r="CN836" s="41"/>
      <c r="CO836" s="41"/>
      <c r="CP836" s="41"/>
      <c r="CQ836" s="41"/>
      <c r="CR836" s="41"/>
      <c r="CS836" s="41"/>
      <c r="CT836" s="41"/>
      <c r="CU836" s="41">
        <v>0.05</v>
      </c>
      <c r="CV836" s="41"/>
      <c r="CW836" s="41"/>
      <c r="CX836" s="41"/>
      <c r="CY836" s="41"/>
      <c r="CZ836" s="41"/>
      <c r="DA836" s="41"/>
      <c r="DB836" s="41"/>
      <c r="DC836" s="41"/>
      <c r="DD836" s="41">
        <v>0.05</v>
      </c>
      <c r="DE836" s="41"/>
      <c r="DF836" s="41"/>
      <c r="DG836" s="41"/>
      <c r="DH836" s="41"/>
      <c r="DI836" s="41"/>
      <c r="DJ836" s="41"/>
      <c r="DK836" s="41"/>
      <c r="DL836" s="41">
        <v>0.25</v>
      </c>
      <c r="DM836" s="41"/>
      <c r="DN836" s="41"/>
      <c r="DO836" s="41"/>
      <c r="DP836" s="41"/>
      <c r="DQ836" s="41"/>
      <c r="DR836" s="41"/>
      <c r="DS836" s="43"/>
      <c r="DT836" s="44">
        <f t="shared" ref="DT836" si="818">SUM(F836:DR836)</f>
        <v>1</v>
      </c>
    </row>
    <row r="837" spans="2:124" s="13" customFormat="1">
      <c r="B837" s="4">
        <f>'6.1Personnel List'!B838</f>
        <v>825</v>
      </c>
      <c r="C837" s="45" t="s">
        <v>1053</v>
      </c>
      <c r="D837" s="45" t="str">
        <f>'6.1Personnel List'!D838</f>
        <v>Nurse II</v>
      </c>
      <c r="E837" s="45" t="str">
        <f>'6.1Personnel List'!H838</f>
        <v>FT</v>
      </c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  <c r="AA837" s="41"/>
      <c r="AB837" s="41"/>
      <c r="AC837" s="41"/>
      <c r="AD837" s="41"/>
      <c r="AE837" s="41"/>
      <c r="AF837" s="41"/>
      <c r="AG837" s="41"/>
      <c r="AH837" s="41"/>
      <c r="AI837" s="41"/>
      <c r="AJ837" s="41"/>
      <c r="AK837" s="41"/>
      <c r="AL837" s="41"/>
      <c r="AM837" s="41"/>
      <c r="AN837" s="41"/>
      <c r="AO837" s="41"/>
      <c r="AP837" s="41"/>
      <c r="AQ837" s="41"/>
      <c r="AR837" s="41"/>
      <c r="AS837" s="41"/>
      <c r="AT837" s="41"/>
      <c r="AU837" s="41"/>
      <c r="AV837" s="41"/>
      <c r="AW837" s="41"/>
      <c r="AX837" s="41"/>
      <c r="AY837" s="41"/>
      <c r="AZ837" s="41"/>
      <c r="BA837" s="41"/>
      <c r="BB837" s="41"/>
      <c r="BC837" s="41"/>
      <c r="BD837" s="41"/>
      <c r="BE837" s="41"/>
      <c r="BF837" s="41"/>
      <c r="BG837" s="41"/>
      <c r="BH837" s="41"/>
      <c r="BJ837" s="41"/>
      <c r="BK837" s="41"/>
      <c r="BL837" s="41"/>
      <c r="BM837" s="41"/>
      <c r="BN837" s="41"/>
      <c r="BO837" s="41"/>
      <c r="BP837" s="41"/>
      <c r="BQ837" s="41"/>
      <c r="BR837" s="41"/>
      <c r="BS837" s="41"/>
      <c r="BT837" s="41"/>
      <c r="BU837" s="41"/>
      <c r="BV837" s="41"/>
      <c r="BW837" s="41"/>
      <c r="BX837" s="41"/>
      <c r="BY837" s="41"/>
      <c r="BZ837" s="41"/>
      <c r="CA837" s="41"/>
      <c r="CB837" s="41"/>
      <c r="CC837" s="41"/>
      <c r="CD837" s="41"/>
      <c r="CE837" s="41"/>
      <c r="CF837" s="41"/>
      <c r="CG837" s="41"/>
      <c r="CH837" s="41"/>
      <c r="CI837" s="41"/>
      <c r="CJ837" s="41"/>
      <c r="CK837" s="41"/>
      <c r="CL837" s="41"/>
      <c r="CM837" s="41"/>
      <c r="CN837" s="41">
        <v>1</v>
      </c>
      <c r="CO837" s="41"/>
      <c r="CP837" s="41"/>
      <c r="CQ837" s="41"/>
      <c r="CR837" s="41"/>
      <c r="CS837" s="41"/>
      <c r="CT837" s="41"/>
      <c r="CU837" s="41"/>
      <c r="CV837" s="41"/>
      <c r="CW837" s="41"/>
      <c r="CX837" s="41"/>
      <c r="CY837" s="41"/>
      <c r="CZ837" s="41"/>
      <c r="DA837" s="41"/>
      <c r="DB837" s="41"/>
      <c r="DC837" s="41"/>
      <c r="DD837" s="41"/>
      <c r="DE837" s="41"/>
      <c r="DF837" s="41"/>
      <c r="DG837" s="41"/>
      <c r="DH837" s="41"/>
      <c r="DI837" s="41"/>
      <c r="DJ837" s="41"/>
      <c r="DK837" s="41"/>
      <c r="DL837" s="41"/>
      <c r="DM837" s="41"/>
      <c r="DN837" s="41"/>
      <c r="DO837" s="41"/>
      <c r="DP837" s="41"/>
      <c r="DQ837" s="41"/>
      <c r="DR837" s="41"/>
      <c r="DS837" s="43"/>
      <c r="DT837" s="44">
        <f t="shared" ref="DT837" si="819">SUM(F837:DR837)</f>
        <v>1</v>
      </c>
    </row>
    <row r="838" spans="2:124" s="13" customFormat="1">
      <c r="B838" s="4">
        <f>'6.1Personnel List'!B839</f>
        <v>826</v>
      </c>
      <c r="C838" s="45" t="s">
        <v>1054</v>
      </c>
      <c r="D838" s="45" t="str">
        <f>'6.1Personnel List'!D839</f>
        <v>Nurse II</v>
      </c>
      <c r="E838" s="45" t="str">
        <f>'6.1Personnel List'!H839</f>
        <v>FT</v>
      </c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  <c r="AA838" s="41"/>
      <c r="AB838" s="41"/>
      <c r="AC838" s="41"/>
      <c r="AD838" s="41"/>
      <c r="AE838" s="41"/>
      <c r="AF838" s="41"/>
      <c r="AG838" s="41"/>
      <c r="AH838" s="41"/>
      <c r="AI838" s="41"/>
      <c r="AJ838" s="41"/>
      <c r="AK838" s="41"/>
      <c r="AL838" s="41"/>
      <c r="AM838" s="41"/>
      <c r="AN838" s="41"/>
      <c r="AO838" s="41"/>
      <c r="AP838" s="41"/>
      <c r="AQ838" s="41"/>
      <c r="AR838" s="41"/>
      <c r="AS838" s="41"/>
      <c r="AT838" s="41"/>
      <c r="AU838" s="41"/>
      <c r="AV838" s="41"/>
      <c r="AW838" s="41"/>
      <c r="AX838" s="41"/>
      <c r="AY838" s="41"/>
      <c r="AZ838" s="41"/>
      <c r="BA838" s="41"/>
      <c r="BB838" s="41"/>
      <c r="BC838" s="41"/>
      <c r="BD838" s="41"/>
      <c r="BE838" s="41"/>
      <c r="BF838" s="41"/>
      <c r="BG838" s="41"/>
      <c r="BH838" s="41"/>
      <c r="BJ838" s="41"/>
      <c r="BK838" s="41"/>
      <c r="BL838" s="41"/>
      <c r="BM838" s="41"/>
      <c r="BN838" s="41"/>
      <c r="BO838" s="41"/>
      <c r="BP838" s="41"/>
      <c r="BQ838" s="41"/>
      <c r="BR838" s="41"/>
      <c r="BS838" s="41"/>
      <c r="BT838" s="41"/>
      <c r="BU838" s="41"/>
      <c r="BV838" s="41"/>
      <c r="BW838" s="41"/>
      <c r="BX838" s="41"/>
      <c r="BY838" s="41"/>
      <c r="BZ838" s="41"/>
      <c r="CA838" s="41"/>
      <c r="CB838" s="41"/>
      <c r="CC838" s="41"/>
      <c r="CD838" s="41"/>
      <c r="CE838" s="41"/>
      <c r="CF838" s="41"/>
      <c r="CG838" s="41"/>
      <c r="CH838" s="41"/>
      <c r="CI838" s="41"/>
      <c r="CJ838" s="41"/>
      <c r="CK838" s="41"/>
      <c r="CL838" s="41"/>
      <c r="CM838" s="41"/>
      <c r="CN838" s="41">
        <v>1</v>
      </c>
      <c r="CO838" s="41"/>
      <c r="CP838" s="41"/>
      <c r="CQ838" s="41"/>
      <c r="CR838" s="41"/>
      <c r="CS838" s="41"/>
      <c r="CT838" s="41"/>
      <c r="CU838" s="41"/>
      <c r="CV838" s="41"/>
      <c r="CW838" s="41"/>
      <c r="CX838" s="41"/>
      <c r="CY838" s="41"/>
      <c r="CZ838" s="41"/>
      <c r="DA838" s="41"/>
      <c r="DB838" s="41"/>
      <c r="DC838" s="41"/>
      <c r="DD838" s="41"/>
      <c r="DE838" s="41"/>
      <c r="DF838" s="41"/>
      <c r="DG838" s="41"/>
      <c r="DH838" s="41"/>
      <c r="DI838" s="41"/>
      <c r="DJ838" s="41"/>
      <c r="DK838" s="41"/>
      <c r="DL838" s="41"/>
      <c r="DM838" s="41"/>
      <c r="DN838" s="41"/>
      <c r="DO838" s="41"/>
      <c r="DP838" s="41"/>
      <c r="DQ838" s="41"/>
      <c r="DR838" s="41"/>
      <c r="DS838" s="43"/>
      <c r="DT838" s="44">
        <f t="shared" ref="DT838" si="820">SUM(F838:DR838)</f>
        <v>1</v>
      </c>
    </row>
    <row r="839" spans="2:124" s="13" customFormat="1">
      <c r="B839" s="4">
        <f>'6.1Personnel List'!B840</f>
        <v>827</v>
      </c>
      <c r="C839" s="45" t="s">
        <v>1055</v>
      </c>
      <c r="D839" s="45" t="str">
        <f>'6.1Personnel List'!D840</f>
        <v>Nurse II</v>
      </c>
      <c r="E839" s="45" t="str">
        <f>'6.1Personnel List'!H840</f>
        <v>FT</v>
      </c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  <c r="AA839" s="41"/>
      <c r="AB839" s="41"/>
      <c r="AC839" s="41"/>
      <c r="AD839" s="41"/>
      <c r="AE839" s="41"/>
      <c r="AF839" s="41"/>
      <c r="AG839" s="41"/>
      <c r="AH839" s="41"/>
      <c r="AI839" s="41"/>
      <c r="AJ839" s="41"/>
      <c r="AK839" s="41"/>
      <c r="AL839" s="41"/>
      <c r="AM839" s="41"/>
      <c r="AN839" s="41"/>
      <c r="AO839" s="41"/>
      <c r="AP839" s="41"/>
      <c r="AQ839" s="41"/>
      <c r="AR839" s="41"/>
      <c r="AS839" s="41"/>
      <c r="AT839" s="41"/>
      <c r="AU839" s="41"/>
      <c r="AV839" s="41"/>
      <c r="AW839" s="41"/>
      <c r="AX839" s="41"/>
      <c r="AY839" s="41"/>
      <c r="AZ839" s="41"/>
      <c r="BA839" s="41"/>
      <c r="BB839" s="41"/>
      <c r="BC839" s="41"/>
      <c r="BD839" s="41"/>
      <c r="BE839" s="41"/>
      <c r="BF839" s="41"/>
      <c r="BG839" s="41"/>
      <c r="BH839" s="41"/>
      <c r="BJ839" s="41"/>
      <c r="BK839" s="41"/>
      <c r="BL839" s="41"/>
      <c r="BM839" s="41"/>
      <c r="BN839" s="41"/>
      <c r="BO839" s="41"/>
      <c r="BP839" s="41"/>
      <c r="BQ839" s="41"/>
      <c r="BR839" s="41"/>
      <c r="BS839" s="41"/>
      <c r="BT839" s="41"/>
      <c r="BU839" s="41"/>
      <c r="BV839" s="41">
        <v>0.05</v>
      </c>
      <c r="BW839" s="41">
        <v>0.2</v>
      </c>
      <c r="BX839" s="41"/>
      <c r="BY839" s="41"/>
      <c r="BZ839" s="41"/>
      <c r="CA839" s="41"/>
      <c r="CB839" s="41"/>
      <c r="CC839" s="41"/>
      <c r="CD839" s="41"/>
      <c r="CE839" s="41">
        <v>0.1</v>
      </c>
      <c r="CF839" s="41">
        <v>0.1</v>
      </c>
      <c r="CG839" s="41">
        <v>0.1</v>
      </c>
      <c r="CH839" s="41"/>
      <c r="CI839" s="41"/>
      <c r="CJ839" s="41"/>
      <c r="CK839" s="41"/>
      <c r="CL839" s="41"/>
      <c r="CM839" s="41"/>
      <c r="CN839" s="41"/>
      <c r="CO839" s="41"/>
      <c r="CP839" s="41"/>
      <c r="CQ839" s="41"/>
      <c r="CR839" s="41"/>
      <c r="CS839" s="41"/>
      <c r="CT839" s="41"/>
      <c r="CU839" s="41"/>
      <c r="CV839" s="41"/>
      <c r="CW839" s="41"/>
      <c r="CX839" s="41"/>
      <c r="CY839" s="41"/>
      <c r="CZ839" s="41"/>
      <c r="DA839" s="41"/>
      <c r="DB839" s="41"/>
      <c r="DC839" s="41"/>
      <c r="DD839" s="41"/>
      <c r="DE839" s="41"/>
      <c r="DF839" s="41"/>
      <c r="DG839" s="41"/>
      <c r="DH839" s="41"/>
      <c r="DI839" s="41"/>
      <c r="DJ839" s="41"/>
      <c r="DK839" s="41"/>
      <c r="DL839" s="41"/>
      <c r="DM839" s="41">
        <v>0.45</v>
      </c>
      <c r="DN839" s="41"/>
      <c r="DO839" s="41"/>
      <c r="DP839" s="41"/>
      <c r="DQ839" s="41"/>
      <c r="DR839" s="41"/>
      <c r="DS839" s="43"/>
      <c r="DT839" s="44">
        <f t="shared" ref="DT839" si="821">SUM(F839:DR839)</f>
        <v>1</v>
      </c>
    </row>
    <row r="840" spans="2:124" s="13" customFormat="1">
      <c r="B840" s="4">
        <f>'6.1Personnel List'!B841</f>
        <v>828</v>
      </c>
      <c r="C840" s="45" t="s">
        <v>1056</v>
      </c>
      <c r="D840" s="45" t="str">
        <f>'6.1Personnel List'!D841</f>
        <v>Nurse II</v>
      </c>
      <c r="E840" s="45" t="str">
        <f>'6.1Personnel List'!H841</f>
        <v>FT</v>
      </c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  <c r="AA840" s="41"/>
      <c r="AB840" s="41"/>
      <c r="AC840" s="41"/>
      <c r="AD840" s="41"/>
      <c r="AE840" s="41"/>
      <c r="AF840" s="41"/>
      <c r="AG840" s="41"/>
      <c r="AH840" s="41"/>
      <c r="AI840" s="41"/>
      <c r="AJ840" s="41"/>
      <c r="AK840" s="41"/>
      <c r="AL840" s="41"/>
      <c r="AM840" s="41"/>
      <c r="AN840" s="41"/>
      <c r="AO840" s="41"/>
      <c r="AP840" s="41"/>
      <c r="AQ840" s="41"/>
      <c r="AR840" s="41"/>
      <c r="AS840" s="41"/>
      <c r="AT840" s="41"/>
      <c r="AU840" s="41"/>
      <c r="AV840" s="41"/>
      <c r="AW840" s="41"/>
      <c r="AX840" s="41"/>
      <c r="AY840" s="41"/>
      <c r="AZ840" s="41"/>
      <c r="BA840" s="41"/>
      <c r="BB840" s="41"/>
      <c r="BC840" s="41"/>
      <c r="BD840" s="41"/>
      <c r="BE840" s="41"/>
      <c r="BF840" s="41"/>
      <c r="BG840" s="41"/>
      <c r="BH840" s="41"/>
      <c r="BJ840" s="41"/>
      <c r="BK840" s="41"/>
      <c r="BL840" s="41"/>
      <c r="BM840" s="41"/>
      <c r="BN840" s="41"/>
      <c r="BO840" s="41"/>
      <c r="BP840" s="41"/>
      <c r="BQ840" s="41"/>
      <c r="BR840" s="41"/>
      <c r="BS840" s="41"/>
      <c r="BT840" s="41"/>
      <c r="BU840" s="41"/>
      <c r="BV840" s="41"/>
      <c r="BW840" s="41"/>
      <c r="BX840" s="41"/>
      <c r="BY840" s="41"/>
      <c r="BZ840" s="41"/>
      <c r="CA840" s="41"/>
      <c r="CB840" s="41"/>
      <c r="CC840" s="41"/>
      <c r="CD840" s="41"/>
      <c r="CE840" s="41"/>
      <c r="CF840" s="41"/>
      <c r="CG840" s="41"/>
      <c r="CH840" s="41"/>
      <c r="CI840" s="41"/>
      <c r="CJ840" s="41"/>
      <c r="CK840" s="41"/>
      <c r="CL840" s="41"/>
      <c r="CM840" s="41"/>
      <c r="CN840" s="92">
        <v>0.25</v>
      </c>
      <c r="CO840" s="41"/>
      <c r="CP840" s="41"/>
      <c r="CQ840" s="41"/>
      <c r="CR840" s="41"/>
      <c r="CS840" s="41"/>
      <c r="CT840" s="41"/>
      <c r="CU840" s="41"/>
      <c r="CV840" s="41"/>
      <c r="CW840" s="41"/>
      <c r="CX840" s="41"/>
      <c r="CY840" s="41"/>
      <c r="CZ840" s="41"/>
      <c r="DA840" s="41"/>
      <c r="DB840" s="92">
        <v>0.25</v>
      </c>
      <c r="DC840" s="92">
        <v>0.25</v>
      </c>
      <c r="DD840" s="41"/>
      <c r="DE840" s="41"/>
      <c r="DF840" s="41"/>
      <c r="DG840" s="41"/>
      <c r="DH840" s="41"/>
      <c r="DI840" s="41"/>
      <c r="DJ840" s="92">
        <v>0.25</v>
      </c>
      <c r="DK840" s="41"/>
      <c r="DL840" s="41"/>
      <c r="DM840" s="41"/>
      <c r="DN840" s="41"/>
      <c r="DO840" s="41"/>
      <c r="DP840" s="41"/>
      <c r="DQ840" s="41"/>
      <c r="DR840" s="41"/>
      <c r="DS840" s="43"/>
      <c r="DT840" s="44">
        <f t="shared" ref="DT840" si="822">SUM(F840:DR840)</f>
        <v>1</v>
      </c>
    </row>
    <row r="841" spans="2:124" s="13" customFormat="1">
      <c r="B841" s="4">
        <f>'6.1Personnel List'!B842</f>
        <v>829</v>
      </c>
      <c r="C841" s="45" t="s">
        <v>1057</v>
      </c>
      <c r="D841" s="45" t="str">
        <f>'6.1Personnel List'!D842</f>
        <v>Nurse II</v>
      </c>
      <c r="E841" s="45" t="str">
        <f>'6.1Personnel List'!H842</f>
        <v>FT</v>
      </c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  <c r="AA841" s="41"/>
      <c r="AB841" s="41"/>
      <c r="AC841" s="41"/>
      <c r="AD841" s="41"/>
      <c r="AE841" s="41"/>
      <c r="AF841" s="41"/>
      <c r="AG841" s="41"/>
      <c r="AH841" s="41"/>
      <c r="AI841" s="41"/>
      <c r="AJ841" s="41"/>
      <c r="AK841" s="41"/>
      <c r="AL841" s="41"/>
      <c r="AM841" s="41"/>
      <c r="AN841" s="41"/>
      <c r="AO841" s="41"/>
      <c r="AP841" s="41"/>
      <c r="AQ841" s="41"/>
      <c r="AR841" s="41"/>
      <c r="AS841" s="41"/>
      <c r="AT841" s="41"/>
      <c r="AU841" s="41"/>
      <c r="AV841" s="41"/>
      <c r="AW841" s="41"/>
      <c r="AX841" s="41"/>
      <c r="AY841" s="41"/>
      <c r="AZ841" s="41"/>
      <c r="BA841" s="41"/>
      <c r="BB841" s="41"/>
      <c r="BC841" s="41"/>
      <c r="BD841" s="41"/>
      <c r="BE841" s="41"/>
      <c r="BF841" s="41"/>
      <c r="BG841" s="41"/>
      <c r="BH841" s="41"/>
      <c r="BJ841" s="41"/>
      <c r="BK841" s="41"/>
      <c r="BL841" s="41"/>
      <c r="BM841" s="41"/>
      <c r="BN841" s="41"/>
      <c r="BO841" s="41"/>
      <c r="BP841" s="41"/>
      <c r="BQ841" s="41"/>
      <c r="BR841" s="41"/>
      <c r="BS841" s="41">
        <v>0.05</v>
      </c>
      <c r="BT841" s="41"/>
      <c r="BU841" s="41"/>
      <c r="BV841" s="41">
        <v>0.05</v>
      </c>
      <c r="BW841" s="41">
        <v>0.05</v>
      </c>
      <c r="BX841" s="41"/>
      <c r="BY841" s="41"/>
      <c r="BZ841" s="41"/>
      <c r="CA841" s="41"/>
      <c r="CB841" s="41"/>
      <c r="CC841" s="41"/>
      <c r="CD841" s="41"/>
      <c r="CE841" s="41">
        <v>0.1</v>
      </c>
      <c r="CF841" s="41">
        <v>0.05</v>
      </c>
      <c r="CG841" s="41">
        <v>0.05</v>
      </c>
      <c r="CH841" s="41">
        <v>0.05</v>
      </c>
      <c r="CI841" s="41"/>
      <c r="CJ841" s="41">
        <v>0.05</v>
      </c>
      <c r="CK841" s="41"/>
      <c r="CL841" s="41">
        <v>0.2</v>
      </c>
      <c r="CM841" s="41"/>
      <c r="CN841" s="41"/>
      <c r="CO841" s="41"/>
      <c r="CP841" s="41"/>
      <c r="CQ841" s="41"/>
      <c r="CR841" s="41"/>
      <c r="CS841" s="41"/>
      <c r="CT841" s="41"/>
      <c r="CU841" s="41">
        <v>0.05</v>
      </c>
      <c r="CV841" s="41"/>
      <c r="CW841" s="41"/>
      <c r="CX841" s="41"/>
      <c r="CY841" s="41"/>
      <c r="CZ841" s="41"/>
      <c r="DA841" s="41"/>
      <c r="DB841" s="41"/>
      <c r="DC841" s="41"/>
      <c r="DD841" s="41">
        <v>0.05</v>
      </c>
      <c r="DE841" s="41"/>
      <c r="DF841" s="41"/>
      <c r="DG841" s="41"/>
      <c r="DH841" s="41"/>
      <c r="DI841" s="41"/>
      <c r="DJ841" s="41"/>
      <c r="DK841" s="41"/>
      <c r="DL841" s="41">
        <v>0.25</v>
      </c>
      <c r="DM841" s="41"/>
      <c r="DN841" s="41"/>
      <c r="DO841" s="41"/>
      <c r="DP841" s="41"/>
      <c r="DQ841" s="41"/>
      <c r="DR841" s="41"/>
      <c r="DS841" s="43"/>
      <c r="DT841" s="44">
        <f t="shared" ref="DT841" si="823">SUM(F841:DR841)</f>
        <v>1</v>
      </c>
    </row>
    <row r="842" spans="2:124" s="13" customFormat="1">
      <c r="B842" s="4">
        <f>'6.1Personnel List'!B843</f>
        <v>830</v>
      </c>
      <c r="C842" s="45" t="s">
        <v>1058</v>
      </c>
      <c r="D842" s="45" t="str">
        <f>'6.1Personnel List'!D843</f>
        <v>Nurse II</v>
      </c>
      <c r="E842" s="45" t="str">
        <f>'6.1Personnel List'!H843</f>
        <v>FT</v>
      </c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  <c r="AA842" s="41"/>
      <c r="AB842" s="41"/>
      <c r="AC842" s="41"/>
      <c r="AD842" s="41"/>
      <c r="AE842" s="41"/>
      <c r="AF842" s="41"/>
      <c r="AG842" s="41"/>
      <c r="AH842" s="41"/>
      <c r="AI842" s="41"/>
      <c r="AJ842" s="41"/>
      <c r="AK842" s="41"/>
      <c r="AL842" s="41"/>
      <c r="AM842" s="41"/>
      <c r="AN842" s="41"/>
      <c r="AO842" s="41"/>
      <c r="AP842" s="41"/>
      <c r="AQ842" s="41"/>
      <c r="AR842" s="41"/>
      <c r="AS842" s="41"/>
      <c r="AT842" s="41"/>
      <c r="AU842" s="41"/>
      <c r="AV842" s="41"/>
      <c r="AW842" s="41"/>
      <c r="AX842" s="41"/>
      <c r="AY842" s="41"/>
      <c r="AZ842" s="41"/>
      <c r="BA842" s="41"/>
      <c r="BB842" s="41"/>
      <c r="BC842" s="41"/>
      <c r="BD842" s="41"/>
      <c r="BE842" s="41"/>
      <c r="BF842" s="41"/>
      <c r="BG842" s="41"/>
      <c r="BH842" s="41"/>
      <c r="BJ842" s="41"/>
      <c r="BK842" s="41"/>
      <c r="BL842" s="41"/>
      <c r="BM842" s="41"/>
      <c r="BN842" s="41"/>
      <c r="BO842" s="41"/>
      <c r="BP842" s="41"/>
      <c r="BQ842" s="41"/>
      <c r="BR842" s="41"/>
      <c r="BS842" s="41">
        <v>0.05</v>
      </c>
      <c r="BT842" s="41"/>
      <c r="BU842" s="41"/>
      <c r="BV842" s="41">
        <v>0.05</v>
      </c>
      <c r="BW842" s="41">
        <v>0.05</v>
      </c>
      <c r="BX842" s="41"/>
      <c r="BY842" s="41"/>
      <c r="BZ842" s="41"/>
      <c r="CA842" s="41"/>
      <c r="CB842" s="41"/>
      <c r="CC842" s="41"/>
      <c r="CD842" s="41"/>
      <c r="CE842" s="41">
        <v>0.1</v>
      </c>
      <c r="CF842" s="41">
        <v>0.05</v>
      </c>
      <c r="CG842" s="41">
        <v>0.05</v>
      </c>
      <c r="CH842" s="41">
        <v>0.05</v>
      </c>
      <c r="CI842" s="41"/>
      <c r="CJ842" s="41">
        <v>0.05</v>
      </c>
      <c r="CK842" s="41"/>
      <c r="CL842" s="41">
        <v>0.2</v>
      </c>
      <c r="CM842" s="41"/>
      <c r="CN842" s="41"/>
      <c r="CO842" s="41"/>
      <c r="CP842" s="41"/>
      <c r="CQ842" s="41"/>
      <c r="CR842" s="41"/>
      <c r="CS842" s="41"/>
      <c r="CT842" s="41"/>
      <c r="CU842" s="41">
        <v>0.05</v>
      </c>
      <c r="CV842" s="41"/>
      <c r="CW842" s="41"/>
      <c r="CX842" s="41"/>
      <c r="CY842" s="41"/>
      <c r="CZ842" s="41"/>
      <c r="DA842" s="41"/>
      <c r="DB842" s="41"/>
      <c r="DC842" s="41"/>
      <c r="DD842" s="41">
        <v>0.05</v>
      </c>
      <c r="DE842" s="41"/>
      <c r="DF842" s="41"/>
      <c r="DG842" s="41"/>
      <c r="DH842" s="41"/>
      <c r="DI842" s="41"/>
      <c r="DJ842" s="41"/>
      <c r="DK842" s="41"/>
      <c r="DL842" s="41">
        <v>0.25</v>
      </c>
      <c r="DM842" s="41"/>
      <c r="DN842" s="41"/>
      <c r="DO842" s="41"/>
      <c r="DP842" s="41"/>
      <c r="DQ842" s="41"/>
      <c r="DR842" s="41"/>
      <c r="DS842" s="43"/>
      <c r="DT842" s="44">
        <f t="shared" ref="DT842" si="824">SUM(F842:DR842)</f>
        <v>1</v>
      </c>
    </row>
    <row r="843" spans="2:124" s="13" customFormat="1">
      <c r="B843" s="4">
        <f>'6.1Personnel List'!B844</f>
        <v>831</v>
      </c>
      <c r="C843" s="45" t="s">
        <v>1059</v>
      </c>
      <c r="D843" s="45" t="str">
        <f>'6.1Personnel List'!D844</f>
        <v>Nurse II</v>
      </c>
      <c r="E843" s="45" t="str">
        <f>'6.1Personnel List'!H844</f>
        <v>FT</v>
      </c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  <c r="AA843" s="41"/>
      <c r="AB843" s="41"/>
      <c r="AC843" s="41"/>
      <c r="AD843" s="41"/>
      <c r="AE843" s="41"/>
      <c r="AF843" s="41"/>
      <c r="AG843" s="41"/>
      <c r="AH843" s="41"/>
      <c r="AI843" s="41"/>
      <c r="AJ843" s="41"/>
      <c r="AK843" s="41"/>
      <c r="AL843" s="41"/>
      <c r="AM843" s="41"/>
      <c r="AN843" s="41"/>
      <c r="AO843" s="41"/>
      <c r="AP843" s="41"/>
      <c r="AQ843" s="41"/>
      <c r="AR843" s="41"/>
      <c r="AS843" s="41"/>
      <c r="AT843" s="41"/>
      <c r="AU843" s="41"/>
      <c r="AV843" s="41"/>
      <c r="AW843" s="41"/>
      <c r="AX843" s="41"/>
      <c r="AY843" s="41"/>
      <c r="AZ843" s="41"/>
      <c r="BA843" s="41"/>
      <c r="BB843" s="41"/>
      <c r="BC843" s="41"/>
      <c r="BD843" s="41"/>
      <c r="BE843" s="41"/>
      <c r="BF843" s="41"/>
      <c r="BG843" s="41"/>
      <c r="BH843" s="41"/>
      <c r="BJ843" s="41"/>
      <c r="BK843" s="41"/>
      <c r="BL843" s="41"/>
      <c r="BM843" s="41"/>
      <c r="BN843" s="41"/>
      <c r="BO843" s="41"/>
      <c r="BP843" s="41"/>
      <c r="BQ843" s="41"/>
      <c r="BR843" s="41"/>
      <c r="BS843" s="41"/>
      <c r="BT843" s="41"/>
      <c r="BU843" s="41"/>
      <c r="BV843" s="41">
        <v>0.05</v>
      </c>
      <c r="BW843" s="41"/>
      <c r="BX843" s="41"/>
      <c r="BY843" s="41"/>
      <c r="BZ843" s="41"/>
      <c r="CA843" s="41"/>
      <c r="CB843" s="41">
        <v>0.05</v>
      </c>
      <c r="CC843" s="41"/>
      <c r="CD843" s="41"/>
      <c r="CE843" s="41">
        <v>0.05</v>
      </c>
      <c r="CF843" s="41">
        <v>0.05</v>
      </c>
      <c r="CG843" s="41"/>
      <c r="CH843" s="41"/>
      <c r="CI843" s="41"/>
      <c r="CJ843" s="41"/>
      <c r="CK843" s="41"/>
      <c r="CL843" s="41">
        <v>0.8</v>
      </c>
      <c r="CM843" s="41"/>
      <c r="CN843" s="41"/>
      <c r="CO843" s="41"/>
      <c r="CP843" s="41"/>
      <c r="CQ843" s="41"/>
      <c r="CR843" s="41"/>
      <c r="CS843" s="41"/>
      <c r="CT843" s="41"/>
      <c r="CU843" s="41"/>
      <c r="CV843" s="41"/>
      <c r="CW843" s="41"/>
      <c r="CX843" s="41"/>
      <c r="CY843" s="41"/>
      <c r="CZ843" s="41"/>
      <c r="DA843" s="41"/>
      <c r="DB843" s="41"/>
      <c r="DC843" s="41"/>
      <c r="DD843" s="41"/>
      <c r="DE843" s="41"/>
      <c r="DF843" s="41"/>
      <c r="DG843" s="41"/>
      <c r="DH843" s="41"/>
      <c r="DI843" s="41"/>
      <c r="DJ843" s="41"/>
      <c r="DK843" s="41"/>
      <c r="DL843" s="41"/>
      <c r="DM843" s="41"/>
      <c r="DN843" s="41"/>
      <c r="DO843" s="41"/>
      <c r="DP843" s="41"/>
      <c r="DQ843" s="41"/>
      <c r="DR843" s="41"/>
      <c r="DS843" s="43"/>
      <c r="DT843" s="44">
        <f t="shared" ref="DT843" si="825">SUM(F843:DR843)</f>
        <v>1</v>
      </c>
    </row>
    <row r="844" spans="2:124" s="13" customFormat="1">
      <c r="B844" s="4">
        <f>'6.1Personnel List'!B845</f>
        <v>832</v>
      </c>
      <c r="C844" s="45" t="s">
        <v>1060</v>
      </c>
      <c r="D844" s="45" t="str">
        <f>'6.1Personnel List'!D845</f>
        <v>Nurse II</v>
      </c>
      <c r="E844" s="45" t="str">
        <f>'6.1Personnel List'!H845</f>
        <v>FT</v>
      </c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  <c r="AA844" s="41"/>
      <c r="AB844" s="41"/>
      <c r="AC844" s="41"/>
      <c r="AD844" s="41"/>
      <c r="AE844" s="41"/>
      <c r="AF844" s="41"/>
      <c r="AG844" s="41"/>
      <c r="AH844" s="41"/>
      <c r="AI844" s="41"/>
      <c r="AJ844" s="41"/>
      <c r="AK844" s="41"/>
      <c r="AL844" s="41"/>
      <c r="AM844" s="41"/>
      <c r="AN844" s="41"/>
      <c r="AO844" s="41"/>
      <c r="AP844" s="41"/>
      <c r="AQ844" s="41"/>
      <c r="AR844" s="41"/>
      <c r="AS844" s="41"/>
      <c r="AT844" s="41"/>
      <c r="AU844" s="41"/>
      <c r="AV844" s="41"/>
      <c r="AW844" s="41"/>
      <c r="AX844" s="41"/>
      <c r="AY844" s="41"/>
      <c r="AZ844" s="41"/>
      <c r="BA844" s="41"/>
      <c r="BB844" s="41"/>
      <c r="BC844" s="41"/>
      <c r="BD844" s="41"/>
      <c r="BE844" s="41"/>
      <c r="BF844" s="41"/>
      <c r="BG844" s="41"/>
      <c r="BH844" s="41"/>
      <c r="BJ844" s="41"/>
      <c r="BK844" s="41"/>
      <c r="BL844" s="41"/>
      <c r="BM844" s="41"/>
      <c r="BN844" s="41"/>
      <c r="BO844" s="41"/>
      <c r="BP844" s="41"/>
      <c r="BQ844" s="41"/>
      <c r="BR844" s="41"/>
      <c r="BS844" s="41">
        <v>0.05</v>
      </c>
      <c r="BT844" s="41"/>
      <c r="BU844" s="41">
        <v>0.05</v>
      </c>
      <c r="BV844" s="41">
        <v>0.05</v>
      </c>
      <c r="BW844" s="41">
        <v>0.05</v>
      </c>
      <c r="BX844" s="41"/>
      <c r="BY844" s="41"/>
      <c r="BZ844" s="41"/>
      <c r="CA844" s="41"/>
      <c r="CB844" s="41"/>
      <c r="CC844" s="41"/>
      <c r="CD844" s="41"/>
      <c r="CE844" s="41">
        <v>0.05</v>
      </c>
      <c r="CF844" s="41">
        <v>0.03</v>
      </c>
      <c r="CG844" s="41">
        <v>0.02</v>
      </c>
      <c r="CH844" s="41">
        <v>0.05</v>
      </c>
      <c r="CI844" s="41">
        <v>0.05</v>
      </c>
      <c r="CJ844" s="41"/>
      <c r="CK844" s="41"/>
      <c r="CL844" s="41"/>
      <c r="CM844" s="41"/>
      <c r="CN844" s="41"/>
      <c r="CO844" s="41"/>
      <c r="CP844" s="41"/>
      <c r="CQ844" s="41"/>
      <c r="CR844" s="41"/>
      <c r="CS844" s="41"/>
      <c r="CT844" s="41"/>
      <c r="CU844" s="41"/>
      <c r="CV844" s="41"/>
      <c r="CW844" s="41"/>
      <c r="CX844" s="41"/>
      <c r="CY844" s="41"/>
      <c r="CZ844" s="41"/>
      <c r="DA844" s="41"/>
      <c r="DB844" s="41"/>
      <c r="DC844" s="41"/>
      <c r="DD844" s="41"/>
      <c r="DE844" s="41"/>
      <c r="DF844" s="41"/>
      <c r="DG844" s="41"/>
      <c r="DH844" s="41"/>
      <c r="DI844" s="41"/>
      <c r="DJ844" s="41"/>
      <c r="DK844" s="41">
        <v>0.6</v>
      </c>
      <c r="DL844" s="41"/>
      <c r="DM844" s="41"/>
      <c r="DN844" s="41"/>
      <c r="DO844" s="41"/>
      <c r="DP844" s="41"/>
      <c r="DQ844" s="41"/>
      <c r="DR844" s="41"/>
      <c r="DS844" s="43"/>
      <c r="DT844" s="44">
        <f t="shared" ref="DT844" si="826">SUM(F844:DR844)</f>
        <v>1</v>
      </c>
    </row>
    <row r="845" spans="2:124" s="13" customFormat="1">
      <c r="B845" s="4">
        <f>'6.1Personnel List'!B846</f>
        <v>833</v>
      </c>
      <c r="C845" s="45" t="s">
        <v>1061</v>
      </c>
      <c r="D845" s="45" t="str">
        <f>'6.1Personnel List'!D846</f>
        <v>Nurse II</v>
      </c>
      <c r="E845" s="45" t="str">
        <f>'6.1Personnel List'!H846</f>
        <v>FT</v>
      </c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  <c r="AA845" s="41"/>
      <c r="AB845" s="41"/>
      <c r="AC845" s="41"/>
      <c r="AD845" s="41"/>
      <c r="AE845" s="41"/>
      <c r="AF845" s="41"/>
      <c r="AG845" s="41"/>
      <c r="AH845" s="41"/>
      <c r="AI845" s="41"/>
      <c r="AJ845" s="41"/>
      <c r="AK845" s="41"/>
      <c r="AL845" s="41"/>
      <c r="AM845" s="41"/>
      <c r="AN845" s="41"/>
      <c r="AO845" s="41"/>
      <c r="AP845" s="41"/>
      <c r="AQ845" s="41"/>
      <c r="AR845" s="41"/>
      <c r="AS845" s="41"/>
      <c r="AT845" s="41"/>
      <c r="AU845" s="41"/>
      <c r="AV845" s="41"/>
      <c r="AW845" s="41"/>
      <c r="AX845" s="41"/>
      <c r="AY845" s="41"/>
      <c r="AZ845" s="41"/>
      <c r="BA845" s="41"/>
      <c r="BB845" s="41"/>
      <c r="BC845" s="41"/>
      <c r="BD845" s="41"/>
      <c r="BE845" s="41"/>
      <c r="BF845" s="41"/>
      <c r="BG845" s="41"/>
      <c r="BH845" s="41"/>
      <c r="BJ845" s="41"/>
      <c r="BK845" s="41"/>
      <c r="BL845" s="41"/>
      <c r="BM845" s="41"/>
      <c r="BN845" s="41"/>
      <c r="BO845" s="41"/>
      <c r="BP845" s="41"/>
      <c r="BQ845" s="41"/>
      <c r="BR845" s="41"/>
      <c r="BS845" s="41"/>
      <c r="BT845" s="41"/>
      <c r="BU845" s="41"/>
      <c r="BV845" s="41"/>
      <c r="BW845" s="41"/>
      <c r="BX845" s="41"/>
      <c r="BY845" s="41"/>
      <c r="BZ845" s="41"/>
      <c r="CA845" s="41"/>
      <c r="CB845" s="41"/>
      <c r="CC845" s="41"/>
      <c r="CD845" s="41"/>
      <c r="CE845" s="41"/>
      <c r="CF845" s="41"/>
      <c r="CG845" s="41"/>
      <c r="CH845" s="41"/>
      <c r="CI845" s="41"/>
      <c r="CJ845" s="41"/>
      <c r="CK845" s="41"/>
      <c r="CL845" s="41"/>
      <c r="CM845" s="41"/>
      <c r="CN845" s="92">
        <v>0.25</v>
      </c>
      <c r="CO845" s="41"/>
      <c r="CP845" s="41"/>
      <c r="CQ845" s="41"/>
      <c r="CR845" s="41"/>
      <c r="CS845" s="41"/>
      <c r="CT845" s="41"/>
      <c r="CU845" s="41"/>
      <c r="CV845" s="41"/>
      <c r="CW845" s="41"/>
      <c r="CX845" s="41"/>
      <c r="CY845" s="41"/>
      <c r="CZ845" s="41"/>
      <c r="DA845" s="41"/>
      <c r="DB845" s="92">
        <v>0.25</v>
      </c>
      <c r="DC845" s="92">
        <v>0.25</v>
      </c>
      <c r="DD845" s="41"/>
      <c r="DE845" s="41"/>
      <c r="DF845" s="41"/>
      <c r="DG845" s="41"/>
      <c r="DH845" s="41"/>
      <c r="DI845" s="41"/>
      <c r="DJ845" s="92">
        <v>0.25</v>
      </c>
      <c r="DK845" s="41"/>
      <c r="DL845" s="41"/>
      <c r="DM845" s="41"/>
      <c r="DN845" s="41"/>
      <c r="DO845" s="41"/>
      <c r="DP845" s="41"/>
      <c r="DQ845" s="41"/>
      <c r="DR845" s="41"/>
      <c r="DS845" s="43"/>
      <c r="DT845" s="44">
        <f t="shared" ref="DT845" si="827">SUM(F845:DR845)</f>
        <v>1</v>
      </c>
    </row>
    <row r="846" spans="2:124" s="13" customFormat="1">
      <c r="B846" s="4">
        <f>'6.1Personnel List'!B847</f>
        <v>834</v>
      </c>
      <c r="C846" s="45" t="s">
        <v>1062</v>
      </c>
      <c r="D846" s="45" t="str">
        <f>'6.1Personnel List'!D847</f>
        <v>Nurse II</v>
      </c>
      <c r="E846" s="45" t="str">
        <f>'6.1Personnel List'!H847</f>
        <v>FT</v>
      </c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  <c r="AA846" s="41"/>
      <c r="AB846" s="41"/>
      <c r="AC846" s="41"/>
      <c r="AD846" s="41"/>
      <c r="AE846" s="41"/>
      <c r="AF846" s="41"/>
      <c r="AG846" s="41"/>
      <c r="AH846" s="41"/>
      <c r="AI846" s="41"/>
      <c r="AJ846" s="41"/>
      <c r="AK846" s="41"/>
      <c r="AL846" s="41"/>
      <c r="AM846" s="41"/>
      <c r="AN846" s="41"/>
      <c r="AO846" s="41"/>
      <c r="AP846" s="41"/>
      <c r="AQ846" s="41"/>
      <c r="AR846" s="41"/>
      <c r="AS846" s="41"/>
      <c r="AT846" s="41"/>
      <c r="AU846" s="41"/>
      <c r="AV846" s="41"/>
      <c r="AW846" s="41"/>
      <c r="AX846" s="41"/>
      <c r="AY846" s="41"/>
      <c r="AZ846" s="41"/>
      <c r="BA846" s="41"/>
      <c r="BB846" s="41"/>
      <c r="BC846" s="41"/>
      <c r="BD846" s="41"/>
      <c r="BE846" s="41"/>
      <c r="BF846" s="41"/>
      <c r="BG846" s="41"/>
      <c r="BH846" s="41"/>
      <c r="BJ846" s="41"/>
      <c r="BK846" s="41"/>
      <c r="BL846" s="41"/>
      <c r="BM846" s="41"/>
      <c r="BN846" s="41"/>
      <c r="BO846" s="41"/>
      <c r="BP846" s="41"/>
      <c r="BQ846" s="41"/>
      <c r="BR846" s="41"/>
      <c r="BS846" s="41"/>
      <c r="BT846" s="41"/>
      <c r="BU846" s="41"/>
      <c r="BV846" s="41"/>
      <c r="BW846" s="41"/>
      <c r="BX846" s="41"/>
      <c r="BY846" s="41"/>
      <c r="BZ846" s="41"/>
      <c r="CA846" s="41"/>
      <c r="CB846" s="41"/>
      <c r="CC846" s="41"/>
      <c r="CD846" s="41"/>
      <c r="CE846" s="41"/>
      <c r="CF846" s="41"/>
      <c r="CG846" s="41"/>
      <c r="CH846" s="41"/>
      <c r="CI846" s="41"/>
      <c r="CJ846" s="41"/>
      <c r="CK846" s="41"/>
      <c r="CL846" s="41"/>
      <c r="CM846" s="41"/>
      <c r="CN846" s="92">
        <v>0.25</v>
      </c>
      <c r="CO846" s="41"/>
      <c r="CP846" s="41"/>
      <c r="CQ846" s="41"/>
      <c r="CR846" s="41"/>
      <c r="CS846" s="41"/>
      <c r="CT846" s="41"/>
      <c r="CU846" s="41"/>
      <c r="CV846" s="41"/>
      <c r="CW846" s="41"/>
      <c r="CX846" s="41"/>
      <c r="CY846" s="41"/>
      <c r="CZ846" s="41"/>
      <c r="DA846" s="41"/>
      <c r="DB846" s="92">
        <v>0.25</v>
      </c>
      <c r="DC846" s="92">
        <v>0.25</v>
      </c>
      <c r="DD846" s="41"/>
      <c r="DE846" s="41"/>
      <c r="DF846" s="41"/>
      <c r="DG846" s="41"/>
      <c r="DH846" s="41"/>
      <c r="DI846" s="41"/>
      <c r="DJ846" s="92">
        <v>0.25</v>
      </c>
      <c r="DK846" s="41"/>
      <c r="DL846" s="41"/>
      <c r="DM846" s="41"/>
      <c r="DN846" s="41"/>
      <c r="DO846" s="41"/>
      <c r="DP846" s="41"/>
      <c r="DQ846" s="41"/>
      <c r="DR846" s="41"/>
      <c r="DS846" s="43"/>
      <c r="DT846" s="44">
        <f t="shared" ref="DT846" si="828">SUM(F846:DR846)</f>
        <v>1</v>
      </c>
    </row>
    <row r="847" spans="2:124" s="13" customFormat="1">
      <c r="B847" s="4">
        <f>'6.1Personnel List'!B848</f>
        <v>835</v>
      </c>
      <c r="C847" s="45" t="s">
        <v>1063</v>
      </c>
      <c r="D847" s="45" t="str">
        <f>'6.1Personnel List'!D848</f>
        <v>Nurse II</v>
      </c>
      <c r="E847" s="45" t="str">
        <f>'6.1Personnel List'!H848</f>
        <v>FT</v>
      </c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  <c r="AA847" s="41"/>
      <c r="AB847" s="41"/>
      <c r="AC847" s="41"/>
      <c r="AD847" s="41"/>
      <c r="AE847" s="41"/>
      <c r="AF847" s="41"/>
      <c r="AG847" s="41"/>
      <c r="AH847" s="41"/>
      <c r="AI847" s="41"/>
      <c r="AJ847" s="41"/>
      <c r="AK847" s="41"/>
      <c r="AL847" s="41"/>
      <c r="AM847" s="41"/>
      <c r="AN847" s="41"/>
      <c r="AO847" s="41"/>
      <c r="AP847" s="41"/>
      <c r="AQ847" s="41"/>
      <c r="AR847" s="41"/>
      <c r="AS847" s="41"/>
      <c r="AT847" s="41"/>
      <c r="AU847" s="41"/>
      <c r="AV847" s="41"/>
      <c r="AW847" s="41"/>
      <c r="AX847" s="41"/>
      <c r="AY847" s="41"/>
      <c r="AZ847" s="41"/>
      <c r="BA847" s="41"/>
      <c r="BB847" s="41"/>
      <c r="BC847" s="41"/>
      <c r="BD847" s="41"/>
      <c r="BE847" s="41"/>
      <c r="BF847" s="41"/>
      <c r="BG847" s="41"/>
      <c r="BH847" s="41"/>
      <c r="BJ847" s="41"/>
      <c r="BK847" s="41"/>
      <c r="BL847" s="41"/>
      <c r="BM847" s="41"/>
      <c r="BN847" s="41"/>
      <c r="BO847" s="41"/>
      <c r="BP847" s="41"/>
      <c r="BQ847" s="41"/>
      <c r="BR847" s="41"/>
      <c r="BS847" s="41">
        <v>0.05</v>
      </c>
      <c r="BT847" s="41"/>
      <c r="BU847" s="41"/>
      <c r="BV847" s="41">
        <v>0.05</v>
      </c>
      <c r="BW847" s="41">
        <v>0.05</v>
      </c>
      <c r="BX847" s="41"/>
      <c r="BY847" s="41"/>
      <c r="BZ847" s="41"/>
      <c r="CA847" s="41"/>
      <c r="CB847" s="41"/>
      <c r="CC847" s="41"/>
      <c r="CD847" s="41"/>
      <c r="CE847" s="41">
        <v>0.1</v>
      </c>
      <c r="CF847" s="41">
        <v>0.05</v>
      </c>
      <c r="CG847" s="41">
        <v>0.05</v>
      </c>
      <c r="CH847" s="41">
        <v>0.05</v>
      </c>
      <c r="CI847" s="41"/>
      <c r="CJ847" s="41">
        <v>0.05</v>
      </c>
      <c r="CK847" s="41"/>
      <c r="CL847" s="41">
        <v>0.2</v>
      </c>
      <c r="CM847" s="41"/>
      <c r="CN847" s="41"/>
      <c r="CO847" s="41"/>
      <c r="CP847" s="41"/>
      <c r="CQ847" s="41"/>
      <c r="CR847" s="41"/>
      <c r="CS847" s="41"/>
      <c r="CT847" s="41"/>
      <c r="CU847" s="41">
        <v>0.05</v>
      </c>
      <c r="CV847" s="41"/>
      <c r="CW847" s="41"/>
      <c r="CX847" s="41"/>
      <c r="CY847" s="41"/>
      <c r="CZ847" s="41"/>
      <c r="DA847" s="41"/>
      <c r="DB847" s="41"/>
      <c r="DC847" s="41"/>
      <c r="DD847" s="41">
        <v>0.05</v>
      </c>
      <c r="DE847" s="41"/>
      <c r="DF847" s="41"/>
      <c r="DG847" s="41"/>
      <c r="DH847" s="41"/>
      <c r="DI847" s="41"/>
      <c r="DJ847" s="41"/>
      <c r="DK847" s="41"/>
      <c r="DL847" s="41">
        <v>0.25</v>
      </c>
      <c r="DM847" s="41"/>
      <c r="DN847" s="41"/>
      <c r="DO847" s="41"/>
      <c r="DP847" s="41"/>
      <c r="DQ847" s="41"/>
      <c r="DR847" s="41"/>
      <c r="DS847" s="43"/>
      <c r="DT847" s="44">
        <f t="shared" ref="DT847" si="829">SUM(F847:DR847)</f>
        <v>1</v>
      </c>
    </row>
    <row r="848" spans="2:124" s="13" customFormat="1">
      <c r="B848" s="4">
        <f>'6.1Personnel List'!B849</f>
        <v>836</v>
      </c>
      <c r="C848" s="45" t="s">
        <v>1064</v>
      </c>
      <c r="D848" s="45" t="str">
        <f>'6.1Personnel List'!D849</f>
        <v>Nurse II</v>
      </c>
      <c r="E848" s="45" t="str">
        <f>'6.1Personnel List'!H849</f>
        <v>FT</v>
      </c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  <c r="AA848" s="41"/>
      <c r="AB848" s="41"/>
      <c r="AC848" s="41"/>
      <c r="AD848" s="41"/>
      <c r="AE848" s="41"/>
      <c r="AF848" s="41"/>
      <c r="AG848" s="41"/>
      <c r="AH848" s="41"/>
      <c r="AI848" s="41"/>
      <c r="AJ848" s="41"/>
      <c r="AK848" s="41"/>
      <c r="AL848" s="41"/>
      <c r="AM848" s="41"/>
      <c r="AN848" s="41"/>
      <c r="AO848" s="41"/>
      <c r="AP848" s="41"/>
      <c r="AQ848" s="41"/>
      <c r="AR848" s="41"/>
      <c r="AS848" s="41"/>
      <c r="AT848" s="41"/>
      <c r="AU848" s="41"/>
      <c r="AV848" s="41"/>
      <c r="AW848" s="41"/>
      <c r="AX848" s="41"/>
      <c r="AY848" s="41"/>
      <c r="AZ848" s="41"/>
      <c r="BA848" s="41"/>
      <c r="BB848" s="41"/>
      <c r="BC848" s="41"/>
      <c r="BD848" s="41"/>
      <c r="BE848" s="41"/>
      <c r="BF848" s="41"/>
      <c r="BG848" s="41"/>
      <c r="BH848" s="41"/>
      <c r="BJ848" s="41"/>
      <c r="BK848" s="41"/>
      <c r="BL848" s="41"/>
      <c r="BM848" s="41"/>
      <c r="BN848" s="41"/>
      <c r="BO848" s="41"/>
      <c r="BP848" s="41"/>
      <c r="BQ848" s="41"/>
      <c r="BR848" s="41"/>
      <c r="BS848" s="41"/>
      <c r="BT848" s="41"/>
      <c r="BU848" s="41"/>
      <c r="BV848" s="41"/>
      <c r="BW848" s="41"/>
      <c r="BX848" s="41"/>
      <c r="BY848" s="41"/>
      <c r="BZ848" s="41"/>
      <c r="CA848" s="41"/>
      <c r="CB848" s="41">
        <v>0.01</v>
      </c>
      <c r="CC848" s="41"/>
      <c r="CD848" s="41"/>
      <c r="CE848" s="41">
        <v>0.02</v>
      </c>
      <c r="CF848" s="41">
        <v>0.02</v>
      </c>
      <c r="CG848" s="41">
        <v>0.1</v>
      </c>
      <c r="CH848" s="41">
        <v>0.1</v>
      </c>
      <c r="CI848" s="41">
        <v>0.02</v>
      </c>
      <c r="CJ848" s="41"/>
      <c r="CK848" s="41">
        <v>0.01</v>
      </c>
      <c r="CL848" s="41">
        <v>0.05</v>
      </c>
      <c r="CM848" s="41"/>
      <c r="CN848" s="41">
        <v>0.05</v>
      </c>
      <c r="CO848" s="41">
        <v>0.05</v>
      </c>
      <c r="CP848" s="41">
        <v>0.05</v>
      </c>
      <c r="CQ848" s="41">
        <v>0.05</v>
      </c>
      <c r="CR848" s="41">
        <v>0.02</v>
      </c>
      <c r="CS848" s="41">
        <v>0.01</v>
      </c>
      <c r="CT848" s="41"/>
      <c r="CU848" s="41"/>
      <c r="CV848" s="41">
        <v>0.02</v>
      </c>
      <c r="CW848" s="41"/>
      <c r="CX848" s="41"/>
      <c r="CY848" s="41"/>
      <c r="CZ848" s="41"/>
      <c r="DA848" s="41"/>
      <c r="DB848" s="41"/>
      <c r="DC848" s="41"/>
      <c r="DD848" s="41">
        <v>0.12</v>
      </c>
      <c r="DE848" s="41"/>
      <c r="DF848" s="41"/>
      <c r="DG848" s="41"/>
      <c r="DH848" s="41"/>
      <c r="DI848" s="41"/>
      <c r="DJ848" s="41">
        <v>0.05</v>
      </c>
      <c r="DK848" s="41">
        <v>0.05</v>
      </c>
      <c r="DL848" s="41">
        <v>0.05</v>
      </c>
      <c r="DM848" s="41">
        <v>0.05</v>
      </c>
      <c r="DN848" s="41"/>
      <c r="DO848" s="41"/>
      <c r="DP848" s="41">
        <v>0.05</v>
      </c>
      <c r="DQ848" s="41"/>
      <c r="DR848" s="41">
        <v>0.05</v>
      </c>
      <c r="DS848" s="43"/>
      <c r="DT848" s="44">
        <f t="shared" ref="DT848" si="830">SUM(F848:DR848)</f>
        <v>1.0000000000000002</v>
      </c>
    </row>
    <row r="849" spans="2:124" s="13" customFormat="1">
      <c r="B849" s="4">
        <f>'6.1Personnel List'!B850</f>
        <v>837</v>
      </c>
      <c r="C849" s="45" t="s">
        <v>1065</v>
      </c>
      <c r="D849" s="45" t="str">
        <f>'6.1Personnel List'!D850</f>
        <v>Nurse II</v>
      </c>
      <c r="E849" s="45" t="str">
        <f>'6.1Personnel List'!H850</f>
        <v>FT</v>
      </c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  <c r="AA849" s="41"/>
      <c r="AB849" s="41"/>
      <c r="AC849" s="41"/>
      <c r="AD849" s="41"/>
      <c r="AE849" s="41"/>
      <c r="AF849" s="41"/>
      <c r="AG849" s="41"/>
      <c r="AH849" s="41"/>
      <c r="AI849" s="41"/>
      <c r="AJ849" s="41"/>
      <c r="AK849" s="41"/>
      <c r="AL849" s="41"/>
      <c r="AM849" s="41"/>
      <c r="AN849" s="41"/>
      <c r="AO849" s="41"/>
      <c r="AP849" s="41"/>
      <c r="AQ849" s="41"/>
      <c r="AR849" s="41"/>
      <c r="AS849" s="41"/>
      <c r="AT849" s="41"/>
      <c r="AU849" s="41"/>
      <c r="AV849" s="41"/>
      <c r="AW849" s="41"/>
      <c r="AX849" s="41"/>
      <c r="AY849" s="41"/>
      <c r="AZ849" s="41"/>
      <c r="BA849" s="41"/>
      <c r="BB849" s="41"/>
      <c r="BC849" s="41"/>
      <c r="BD849" s="41"/>
      <c r="BE849" s="41"/>
      <c r="BF849" s="41"/>
      <c r="BG849" s="41"/>
      <c r="BH849" s="41"/>
      <c r="BJ849" s="41"/>
      <c r="BK849" s="41"/>
      <c r="BL849" s="41"/>
      <c r="BM849" s="41"/>
      <c r="BN849" s="41"/>
      <c r="BO849" s="41"/>
      <c r="BP849" s="41"/>
      <c r="BQ849" s="41"/>
      <c r="BR849" s="41"/>
      <c r="BS849" s="41"/>
      <c r="BT849" s="41"/>
      <c r="BU849" s="41"/>
      <c r="BV849" s="41"/>
      <c r="BW849" s="41"/>
      <c r="BX849" s="41"/>
      <c r="BY849" s="41"/>
      <c r="BZ849" s="41"/>
      <c r="CA849" s="41"/>
      <c r="CB849" s="41">
        <v>0.01</v>
      </c>
      <c r="CC849" s="41"/>
      <c r="CD849" s="41"/>
      <c r="CE849" s="41">
        <v>0.02</v>
      </c>
      <c r="CF849" s="41">
        <v>0.02</v>
      </c>
      <c r="CG849" s="41">
        <v>0.1</v>
      </c>
      <c r="CH849" s="41">
        <v>0.1</v>
      </c>
      <c r="CI849" s="41">
        <v>0.02</v>
      </c>
      <c r="CJ849" s="41"/>
      <c r="CK849" s="41">
        <v>0.01</v>
      </c>
      <c r="CL849" s="41">
        <v>0.05</v>
      </c>
      <c r="CM849" s="41"/>
      <c r="CN849" s="41">
        <v>0.05</v>
      </c>
      <c r="CO849" s="41">
        <v>0.05</v>
      </c>
      <c r="CP849" s="41">
        <v>0.05</v>
      </c>
      <c r="CQ849" s="41">
        <v>0.05</v>
      </c>
      <c r="CR849" s="41">
        <v>0.02</v>
      </c>
      <c r="CS849" s="41">
        <v>0.01</v>
      </c>
      <c r="CT849" s="41"/>
      <c r="CU849" s="41"/>
      <c r="CV849" s="41">
        <v>0.02</v>
      </c>
      <c r="CW849" s="41"/>
      <c r="CX849" s="41"/>
      <c r="CY849" s="41"/>
      <c r="CZ849" s="41"/>
      <c r="DA849" s="41"/>
      <c r="DB849" s="41"/>
      <c r="DC849" s="41"/>
      <c r="DD849" s="41">
        <v>0.12</v>
      </c>
      <c r="DE849" s="41"/>
      <c r="DF849" s="41"/>
      <c r="DG849" s="41"/>
      <c r="DH849" s="41"/>
      <c r="DI849" s="41"/>
      <c r="DJ849" s="41">
        <v>0.05</v>
      </c>
      <c r="DK849" s="41">
        <v>0.05</v>
      </c>
      <c r="DL849" s="41">
        <v>0.05</v>
      </c>
      <c r="DM849" s="41">
        <v>0.05</v>
      </c>
      <c r="DN849" s="41"/>
      <c r="DO849" s="41"/>
      <c r="DP849" s="41">
        <v>0.05</v>
      </c>
      <c r="DQ849" s="41"/>
      <c r="DR849" s="41">
        <v>0.05</v>
      </c>
      <c r="DS849" s="43"/>
      <c r="DT849" s="44">
        <f t="shared" ref="DT849" si="831">SUM(F849:DR849)</f>
        <v>1.0000000000000002</v>
      </c>
    </row>
    <row r="850" spans="2:124" s="13" customFormat="1">
      <c r="B850" s="4">
        <f>'6.1Personnel List'!B851</f>
        <v>838</v>
      </c>
      <c r="C850" s="45" t="s">
        <v>1066</v>
      </c>
      <c r="D850" s="45" t="str">
        <f>'6.1Personnel List'!D851</f>
        <v>Nurse II</v>
      </c>
      <c r="E850" s="45" t="str">
        <f>'6.1Personnel List'!H851</f>
        <v>FT</v>
      </c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  <c r="AA850" s="41"/>
      <c r="AB850" s="41"/>
      <c r="AC850" s="41"/>
      <c r="AD850" s="41"/>
      <c r="AE850" s="41"/>
      <c r="AF850" s="41"/>
      <c r="AG850" s="41"/>
      <c r="AH850" s="41"/>
      <c r="AI850" s="41"/>
      <c r="AJ850" s="41"/>
      <c r="AK850" s="41"/>
      <c r="AL850" s="41"/>
      <c r="AM850" s="41"/>
      <c r="AN850" s="41"/>
      <c r="AO850" s="41"/>
      <c r="AP850" s="41"/>
      <c r="AQ850" s="41"/>
      <c r="AR850" s="41"/>
      <c r="AS850" s="41"/>
      <c r="AT850" s="41"/>
      <c r="AU850" s="41"/>
      <c r="AV850" s="41"/>
      <c r="AW850" s="41"/>
      <c r="AX850" s="41"/>
      <c r="AY850" s="41"/>
      <c r="AZ850" s="41"/>
      <c r="BA850" s="41"/>
      <c r="BB850" s="41"/>
      <c r="BC850" s="41"/>
      <c r="BD850" s="41"/>
      <c r="BE850" s="41"/>
      <c r="BF850" s="41"/>
      <c r="BG850" s="41"/>
      <c r="BH850" s="41"/>
      <c r="BJ850" s="41"/>
      <c r="BK850" s="41"/>
      <c r="BL850" s="41"/>
      <c r="BM850" s="41"/>
      <c r="BN850" s="41"/>
      <c r="BO850" s="41"/>
      <c r="BP850" s="41"/>
      <c r="BQ850" s="41"/>
      <c r="BR850" s="41"/>
      <c r="BS850" s="41">
        <v>0.05</v>
      </c>
      <c r="BT850" s="41"/>
      <c r="BU850" s="41">
        <v>0.05</v>
      </c>
      <c r="BV850" s="41">
        <v>0.05</v>
      </c>
      <c r="BW850" s="41">
        <v>0.05</v>
      </c>
      <c r="BX850" s="41"/>
      <c r="BY850" s="41"/>
      <c r="BZ850" s="41"/>
      <c r="CA850" s="41"/>
      <c r="CB850" s="41"/>
      <c r="CC850" s="41"/>
      <c r="CD850" s="41"/>
      <c r="CE850" s="41">
        <v>0.05</v>
      </c>
      <c r="CF850" s="41">
        <v>0.03</v>
      </c>
      <c r="CG850" s="41">
        <v>0.02</v>
      </c>
      <c r="CH850" s="41">
        <v>0.05</v>
      </c>
      <c r="CI850" s="41">
        <v>0.05</v>
      </c>
      <c r="CJ850" s="41"/>
      <c r="CK850" s="41"/>
      <c r="CL850" s="41"/>
      <c r="CM850" s="41"/>
      <c r="CN850" s="41"/>
      <c r="CO850" s="41"/>
      <c r="CP850" s="41"/>
      <c r="CQ850" s="41">
        <v>0.3</v>
      </c>
      <c r="CR850" s="41"/>
      <c r="CS850" s="41"/>
      <c r="CT850" s="41"/>
      <c r="CU850" s="41"/>
      <c r="CV850" s="41"/>
      <c r="CW850" s="41"/>
      <c r="CX850" s="41"/>
      <c r="CY850" s="41"/>
      <c r="CZ850" s="41"/>
      <c r="DA850" s="41"/>
      <c r="DB850" s="41"/>
      <c r="DC850" s="41"/>
      <c r="DD850" s="41"/>
      <c r="DE850" s="41"/>
      <c r="DF850" s="41"/>
      <c r="DG850" s="41"/>
      <c r="DH850" s="41"/>
      <c r="DI850" s="41"/>
      <c r="DJ850" s="41"/>
      <c r="DK850" s="41">
        <v>0.3</v>
      </c>
      <c r="DL850" s="41"/>
      <c r="DM850" s="41"/>
      <c r="DN850" s="41"/>
      <c r="DO850" s="41"/>
      <c r="DP850" s="41"/>
      <c r="DQ850" s="41"/>
      <c r="DR850" s="41"/>
      <c r="DS850" s="43"/>
      <c r="DT850" s="44">
        <f t="shared" ref="DT850" si="832">SUM(F850:DR850)</f>
        <v>1</v>
      </c>
    </row>
    <row r="851" spans="2:124" s="13" customFormat="1">
      <c r="B851" s="4">
        <f>'6.1Personnel List'!B852</f>
        <v>839</v>
      </c>
      <c r="C851" s="45" t="s">
        <v>1067</v>
      </c>
      <c r="D851" s="45" t="str">
        <f>'6.1Personnel List'!D852</f>
        <v>Nurse II</v>
      </c>
      <c r="E851" s="45" t="str">
        <f>'6.1Personnel List'!H852</f>
        <v>FT</v>
      </c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  <c r="AA851" s="41"/>
      <c r="AB851" s="41"/>
      <c r="AC851" s="41"/>
      <c r="AD851" s="41"/>
      <c r="AE851" s="41"/>
      <c r="AF851" s="41"/>
      <c r="AG851" s="41"/>
      <c r="AH851" s="41"/>
      <c r="AI851" s="41"/>
      <c r="AJ851" s="41"/>
      <c r="AK851" s="41"/>
      <c r="AL851" s="41"/>
      <c r="AM851" s="41"/>
      <c r="AN851" s="41"/>
      <c r="AO851" s="41"/>
      <c r="AP851" s="41"/>
      <c r="AQ851" s="41"/>
      <c r="AR851" s="41"/>
      <c r="AS851" s="41"/>
      <c r="AT851" s="41"/>
      <c r="AU851" s="41"/>
      <c r="AV851" s="41"/>
      <c r="AW851" s="41"/>
      <c r="AX851" s="41"/>
      <c r="AY851" s="41"/>
      <c r="AZ851" s="41"/>
      <c r="BA851" s="41"/>
      <c r="BB851" s="41"/>
      <c r="BC851" s="41"/>
      <c r="BD851" s="41"/>
      <c r="BE851" s="41"/>
      <c r="BF851" s="41"/>
      <c r="BG851" s="41"/>
      <c r="BH851" s="41"/>
      <c r="BJ851" s="41"/>
      <c r="BK851" s="41"/>
      <c r="BL851" s="41"/>
      <c r="BM851" s="41"/>
      <c r="BN851" s="41"/>
      <c r="BO851" s="41"/>
      <c r="BP851" s="41"/>
      <c r="BQ851" s="41"/>
      <c r="BR851" s="41"/>
      <c r="BS851" s="41">
        <v>0.05</v>
      </c>
      <c r="BT851" s="41"/>
      <c r="BU851" s="41">
        <v>0.05</v>
      </c>
      <c r="BV851" s="41">
        <v>0.05</v>
      </c>
      <c r="BW851" s="41">
        <v>0.05</v>
      </c>
      <c r="BX851" s="41"/>
      <c r="BY851" s="41"/>
      <c r="BZ851" s="41"/>
      <c r="CA851" s="41"/>
      <c r="CB851" s="41"/>
      <c r="CC851" s="41"/>
      <c r="CD851" s="41"/>
      <c r="CE851" s="41">
        <v>0.05</v>
      </c>
      <c r="CF851" s="41">
        <v>0.03</v>
      </c>
      <c r="CG851" s="41">
        <v>0.02</v>
      </c>
      <c r="CH851" s="41">
        <v>0.05</v>
      </c>
      <c r="CI851" s="41">
        <v>0.05</v>
      </c>
      <c r="CJ851" s="41"/>
      <c r="CK851" s="41"/>
      <c r="CL851" s="41"/>
      <c r="CM851" s="41"/>
      <c r="CN851" s="41"/>
      <c r="CO851" s="41"/>
      <c r="CP851" s="41"/>
      <c r="CQ851" s="41">
        <v>0.3</v>
      </c>
      <c r="CR851" s="41"/>
      <c r="CS851" s="41"/>
      <c r="CT851" s="41"/>
      <c r="CU851" s="41"/>
      <c r="CV851" s="41"/>
      <c r="CW851" s="41"/>
      <c r="CX851" s="41"/>
      <c r="CY851" s="41"/>
      <c r="CZ851" s="41"/>
      <c r="DA851" s="41"/>
      <c r="DB851" s="41"/>
      <c r="DC851" s="41"/>
      <c r="DD851" s="41"/>
      <c r="DE851" s="41"/>
      <c r="DF851" s="41"/>
      <c r="DG851" s="41"/>
      <c r="DH851" s="41"/>
      <c r="DI851" s="41"/>
      <c r="DJ851" s="41"/>
      <c r="DK851" s="41">
        <v>0.3</v>
      </c>
      <c r="DL851" s="41"/>
      <c r="DM851" s="41"/>
      <c r="DN851" s="41"/>
      <c r="DO851" s="41"/>
      <c r="DP851" s="41"/>
      <c r="DQ851" s="41"/>
      <c r="DR851" s="41"/>
      <c r="DS851" s="43"/>
      <c r="DT851" s="44">
        <f t="shared" ref="DT851" si="833">SUM(F851:DR851)</f>
        <v>1</v>
      </c>
    </row>
    <row r="852" spans="2:124" s="13" customFormat="1">
      <c r="B852" s="4">
        <f>'6.1Personnel List'!B853</f>
        <v>840</v>
      </c>
      <c r="C852" s="45" t="s">
        <v>1068</v>
      </c>
      <c r="D852" s="45" t="str">
        <f>'6.1Personnel List'!D853</f>
        <v>Nurse II</v>
      </c>
      <c r="E852" s="45" t="str">
        <f>'6.1Personnel List'!H853</f>
        <v>FT</v>
      </c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  <c r="AA852" s="41"/>
      <c r="AB852" s="41"/>
      <c r="AC852" s="41"/>
      <c r="AD852" s="41"/>
      <c r="AE852" s="41"/>
      <c r="AF852" s="41"/>
      <c r="AG852" s="41"/>
      <c r="AH852" s="41"/>
      <c r="AI852" s="41"/>
      <c r="AJ852" s="41"/>
      <c r="AK852" s="41"/>
      <c r="AL852" s="41"/>
      <c r="AM852" s="41"/>
      <c r="AN852" s="41"/>
      <c r="AO852" s="41"/>
      <c r="AP852" s="41"/>
      <c r="AQ852" s="41"/>
      <c r="AR852" s="41"/>
      <c r="AS852" s="41"/>
      <c r="AT852" s="41"/>
      <c r="AU852" s="41"/>
      <c r="AV852" s="41"/>
      <c r="AW852" s="41"/>
      <c r="AX852" s="41"/>
      <c r="AY852" s="41"/>
      <c r="AZ852" s="41"/>
      <c r="BA852" s="41"/>
      <c r="BB852" s="41"/>
      <c r="BC852" s="41"/>
      <c r="BD852" s="41"/>
      <c r="BE852" s="41"/>
      <c r="BF852" s="41"/>
      <c r="BG852" s="41"/>
      <c r="BH852" s="41"/>
      <c r="BJ852" s="41"/>
      <c r="BK852" s="41"/>
      <c r="BL852" s="41"/>
      <c r="BM852" s="41"/>
      <c r="BN852" s="41"/>
      <c r="BO852" s="41"/>
      <c r="BP852" s="41"/>
      <c r="BQ852" s="41"/>
      <c r="BR852" s="41"/>
      <c r="BS852" s="41"/>
      <c r="BT852" s="41"/>
      <c r="BU852" s="41"/>
      <c r="BV852" s="41"/>
      <c r="BW852" s="41"/>
      <c r="BX852" s="41"/>
      <c r="BY852" s="41"/>
      <c r="BZ852" s="41"/>
      <c r="CA852" s="41"/>
      <c r="CB852" s="41"/>
      <c r="CC852" s="41"/>
      <c r="CD852" s="41"/>
      <c r="CE852" s="41"/>
      <c r="CF852" s="41"/>
      <c r="CG852" s="41"/>
      <c r="CH852" s="41"/>
      <c r="CI852" s="41"/>
      <c r="CJ852" s="41"/>
      <c r="CK852" s="41"/>
      <c r="CL852" s="41"/>
      <c r="CM852" s="41"/>
      <c r="CN852" s="92">
        <v>0.25</v>
      </c>
      <c r="CO852" s="41"/>
      <c r="CP852" s="41"/>
      <c r="CQ852" s="41"/>
      <c r="CR852" s="41"/>
      <c r="CS852" s="41"/>
      <c r="CT852" s="41"/>
      <c r="CU852" s="41"/>
      <c r="CV852" s="41"/>
      <c r="CW852" s="41"/>
      <c r="CX852" s="41"/>
      <c r="CY852" s="41"/>
      <c r="CZ852" s="41"/>
      <c r="DA852" s="41"/>
      <c r="DB852" s="92">
        <v>0.25</v>
      </c>
      <c r="DC852" s="92">
        <v>0.25</v>
      </c>
      <c r="DD852" s="41"/>
      <c r="DE852" s="41"/>
      <c r="DF852" s="41"/>
      <c r="DG852" s="41"/>
      <c r="DH852" s="41"/>
      <c r="DI852" s="41"/>
      <c r="DJ852" s="92">
        <v>0.25</v>
      </c>
      <c r="DK852" s="41"/>
      <c r="DL852" s="41"/>
      <c r="DM852" s="41"/>
      <c r="DN852" s="41"/>
      <c r="DO852" s="41"/>
      <c r="DP852" s="41"/>
      <c r="DQ852" s="41"/>
      <c r="DR852" s="41"/>
      <c r="DS852" s="43"/>
      <c r="DT852" s="44">
        <f t="shared" ref="DT852" si="834">SUM(F852:DR852)</f>
        <v>1</v>
      </c>
    </row>
    <row r="853" spans="2:124" s="13" customFormat="1">
      <c r="B853" s="4">
        <f>'6.1Personnel List'!B854</f>
        <v>841</v>
      </c>
      <c r="C853" s="45" t="s">
        <v>1069</v>
      </c>
      <c r="D853" s="45" t="str">
        <f>'6.1Personnel List'!D854</f>
        <v>Nurse II</v>
      </c>
      <c r="E853" s="45" t="str">
        <f>'6.1Personnel List'!H854</f>
        <v>FT</v>
      </c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  <c r="AA853" s="41"/>
      <c r="AB853" s="41"/>
      <c r="AC853" s="41"/>
      <c r="AD853" s="41"/>
      <c r="AE853" s="41"/>
      <c r="AF853" s="41"/>
      <c r="AG853" s="41"/>
      <c r="AH853" s="41"/>
      <c r="AI853" s="41"/>
      <c r="AJ853" s="41"/>
      <c r="AK853" s="41"/>
      <c r="AL853" s="41"/>
      <c r="AM853" s="41"/>
      <c r="AN853" s="41"/>
      <c r="AO853" s="41"/>
      <c r="AP853" s="41"/>
      <c r="AQ853" s="41"/>
      <c r="AR853" s="41"/>
      <c r="AS853" s="41"/>
      <c r="AT853" s="41"/>
      <c r="AU853" s="41"/>
      <c r="AV853" s="41"/>
      <c r="AW853" s="41"/>
      <c r="AX853" s="41"/>
      <c r="AY853" s="41"/>
      <c r="AZ853" s="41"/>
      <c r="BA853" s="41"/>
      <c r="BB853" s="41"/>
      <c r="BC853" s="41"/>
      <c r="BD853" s="41"/>
      <c r="BE853" s="41"/>
      <c r="BF853" s="41"/>
      <c r="BG853" s="41"/>
      <c r="BH853" s="41"/>
      <c r="BJ853" s="41"/>
      <c r="BK853" s="41"/>
      <c r="BL853" s="41"/>
      <c r="BM853" s="41"/>
      <c r="BN853" s="41"/>
      <c r="BO853" s="41"/>
      <c r="BP853" s="41"/>
      <c r="BQ853" s="41"/>
      <c r="BR853" s="41"/>
      <c r="BS853" s="41">
        <v>0.05</v>
      </c>
      <c r="BT853" s="41"/>
      <c r="BU853" s="41">
        <v>0.05</v>
      </c>
      <c r="BV853" s="41">
        <v>0.05</v>
      </c>
      <c r="BW853" s="41">
        <v>0.05</v>
      </c>
      <c r="BX853" s="41"/>
      <c r="BY853" s="41"/>
      <c r="BZ853" s="41"/>
      <c r="CA853" s="41"/>
      <c r="CB853" s="41"/>
      <c r="CC853" s="41"/>
      <c r="CD853" s="41"/>
      <c r="CE853" s="41">
        <v>0.05</v>
      </c>
      <c r="CF853" s="41">
        <v>0.03</v>
      </c>
      <c r="CG853" s="41">
        <v>0.02</v>
      </c>
      <c r="CH853" s="41">
        <v>0.05</v>
      </c>
      <c r="CI853" s="41">
        <v>0.05</v>
      </c>
      <c r="CJ853" s="41"/>
      <c r="CK853" s="41"/>
      <c r="CL853" s="41"/>
      <c r="CM853" s="41"/>
      <c r="CN853" s="41"/>
      <c r="CO853" s="41"/>
      <c r="CP853" s="41"/>
      <c r="CQ853" s="41"/>
      <c r="CR853" s="41"/>
      <c r="CS853" s="41"/>
      <c r="CT853" s="41"/>
      <c r="CU853" s="41"/>
      <c r="CV853" s="41"/>
      <c r="CW853" s="41"/>
      <c r="CX853" s="41"/>
      <c r="CY853" s="41"/>
      <c r="CZ853" s="41"/>
      <c r="DA853" s="41"/>
      <c r="DB853" s="41"/>
      <c r="DC853" s="41"/>
      <c r="DD853" s="41"/>
      <c r="DE853" s="41"/>
      <c r="DF853" s="41"/>
      <c r="DG853" s="41"/>
      <c r="DH853" s="41"/>
      <c r="DI853" s="41"/>
      <c r="DJ853" s="41"/>
      <c r="DK853" s="41">
        <v>0.6</v>
      </c>
      <c r="DL853" s="41"/>
      <c r="DM853" s="41"/>
      <c r="DN853" s="41"/>
      <c r="DO853" s="41"/>
      <c r="DP853" s="41"/>
      <c r="DQ853" s="41"/>
      <c r="DR853" s="41"/>
      <c r="DS853" s="43"/>
      <c r="DT853" s="44">
        <f t="shared" ref="DT853" si="835">SUM(F853:DR853)</f>
        <v>1</v>
      </c>
    </row>
    <row r="854" spans="2:124" s="13" customFormat="1">
      <c r="B854" s="4">
        <f>'6.1Personnel List'!B855</f>
        <v>842</v>
      </c>
      <c r="C854" s="45" t="s">
        <v>1070</v>
      </c>
      <c r="D854" s="45" t="str">
        <f>'6.1Personnel List'!D855</f>
        <v>Nurse II</v>
      </c>
      <c r="E854" s="45" t="str">
        <f>'6.1Personnel List'!H855</f>
        <v>FT</v>
      </c>
      <c r="G854" s="41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  <c r="AA854" s="41"/>
      <c r="AB854" s="41"/>
      <c r="AC854" s="41"/>
      <c r="AD854" s="41"/>
      <c r="AE854" s="41"/>
      <c r="AF854" s="41"/>
      <c r="AG854" s="41"/>
      <c r="AH854" s="41"/>
      <c r="AI854" s="41"/>
      <c r="AJ854" s="41"/>
      <c r="AK854" s="41"/>
      <c r="AL854" s="41"/>
      <c r="AM854" s="41"/>
      <c r="AN854" s="41"/>
      <c r="AO854" s="41"/>
      <c r="AP854" s="41"/>
      <c r="AQ854" s="41"/>
      <c r="AR854" s="41"/>
      <c r="AS854" s="41"/>
      <c r="AT854" s="41"/>
      <c r="AU854" s="41"/>
      <c r="AV854" s="41"/>
      <c r="AW854" s="41"/>
      <c r="AX854" s="41"/>
      <c r="AY854" s="41"/>
      <c r="AZ854" s="41"/>
      <c r="BA854" s="41"/>
      <c r="BB854" s="41"/>
      <c r="BC854" s="41"/>
      <c r="BD854" s="41"/>
      <c r="BE854" s="41"/>
      <c r="BF854" s="41"/>
      <c r="BG854" s="41"/>
      <c r="BH854" s="41"/>
      <c r="BJ854" s="41"/>
      <c r="BK854" s="41"/>
      <c r="BL854" s="41"/>
      <c r="BM854" s="41"/>
      <c r="BN854" s="41"/>
      <c r="BO854" s="41"/>
      <c r="BP854" s="41"/>
      <c r="BQ854" s="41"/>
      <c r="BR854" s="41"/>
      <c r="BS854" s="41">
        <v>0.05</v>
      </c>
      <c r="BT854" s="41"/>
      <c r="BU854" s="41">
        <v>0.05</v>
      </c>
      <c r="BV854" s="41">
        <v>0.05</v>
      </c>
      <c r="BW854" s="41">
        <v>0.05</v>
      </c>
      <c r="BX854" s="41"/>
      <c r="BY854" s="41"/>
      <c r="BZ854" s="41"/>
      <c r="CA854" s="41"/>
      <c r="CB854" s="41"/>
      <c r="CC854" s="41"/>
      <c r="CD854" s="41"/>
      <c r="CE854" s="41">
        <v>0.05</v>
      </c>
      <c r="CF854" s="41">
        <v>0.03</v>
      </c>
      <c r="CG854" s="41">
        <v>0.02</v>
      </c>
      <c r="CH854" s="41">
        <v>0.05</v>
      </c>
      <c r="CI854" s="41">
        <v>0.05</v>
      </c>
      <c r="CJ854" s="41"/>
      <c r="CK854" s="41"/>
      <c r="CL854" s="41"/>
      <c r="CM854" s="41"/>
      <c r="CN854" s="41"/>
      <c r="CO854" s="41"/>
      <c r="CP854" s="41"/>
      <c r="CQ854" s="41">
        <v>0.3</v>
      </c>
      <c r="CR854" s="41"/>
      <c r="CS854" s="41"/>
      <c r="CT854" s="41"/>
      <c r="CU854" s="41"/>
      <c r="CV854" s="41"/>
      <c r="CW854" s="41"/>
      <c r="CX854" s="41"/>
      <c r="CY854" s="41"/>
      <c r="CZ854" s="41"/>
      <c r="DA854" s="41"/>
      <c r="DB854" s="41"/>
      <c r="DC854" s="41"/>
      <c r="DD854" s="41"/>
      <c r="DE854" s="41"/>
      <c r="DF854" s="41"/>
      <c r="DG854" s="41"/>
      <c r="DH854" s="41"/>
      <c r="DI854" s="41"/>
      <c r="DJ854" s="41"/>
      <c r="DK854" s="41">
        <v>0.3</v>
      </c>
      <c r="DL854" s="41"/>
      <c r="DM854" s="41"/>
      <c r="DN854" s="41"/>
      <c r="DO854" s="41"/>
      <c r="DP854" s="41"/>
      <c r="DQ854" s="41"/>
      <c r="DR854" s="41"/>
      <c r="DS854" s="43"/>
      <c r="DT854" s="44">
        <f t="shared" ref="DT854" si="836">SUM(F854:DR854)</f>
        <v>1</v>
      </c>
    </row>
    <row r="855" spans="2:124" s="13" customFormat="1">
      <c r="B855" s="4">
        <f>'6.1Personnel List'!B856</f>
        <v>843</v>
      </c>
      <c r="C855" s="45" t="s">
        <v>1071</v>
      </c>
      <c r="D855" s="45" t="str">
        <f>'6.1Personnel List'!D856</f>
        <v>Nurse II</v>
      </c>
      <c r="E855" s="45" t="str">
        <f>'6.1Personnel List'!H856</f>
        <v>FT</v>
      </c>
      <c r="G855" s="41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  <c r="AA855" s="41"/>
      <c r="AB855" s="41"/>
      <c r="AC855" s="41"/>
      <c r="AD855" s="41"/>
      <c r="AE855" s="41"/>
      <c r="AF855" s="41"/>
      <c r="AG855" s="41"/>
      <c r="AH855" s="41"/>
      <c r="AI855" s="41"/>
      <c r="AJ855" s="41"/>
      <c r="AK855" s="41"/>
      <c r="AL855" s="41"/>
      <c r="AM855" s="41"/>
      <c r="AN855" s="41"/>
      <c r="AO855" s="41"/>
      <c r="AP855" s="41"/>
      <c r="AQ855" s="41"/>
      <c r="AR855" s="41"/>
      <c r="AS855" s="41"/>
      <c r="AT855" s="41"/>
      <c r="AU855" s="41"/>
      <c r="AV855" s="41"/>
      <c r="AW855" s="41"/>
      <c r="AX855" s="41"/>
      <c r="AY855" s="41"/>
      <c r="AZ855" s="41"/>
      <c r="BA855" s="41"/>
      <c r="BB855" s="41"/>
      <c r="BC855" s="41"/>
      <c r="BD855" s="41"/>
      <c r="BE855" s="41"/>
      <c r="BF855" s="41"/>
      <c r="BG855" s="41"/>
      <c r="BH855" s="41"/>
      <c r="BJ855" s="41"/>
      <c r="BK855" s="41"/>
      <c r="BL855" s="41"/>
      <c r="BM855" s="41"/>
      <c r="BN855" s="41"/>
      <c r="BO855" s="41"/>
      <c r="BP855" s="41"/>
      <c r="BQ855" s="41"/>
      <c r="BR855" s="41"/>
      <c r="BS855" s="41"/>
      <c r="BT855" s="41"/>
      <c r="BU855" s="41"/>
      <c r="BV855" s="41">
        <v>0.05</v>
      </c>
      <c r="BW855" s="41"/>
      <c r="BX855" s="41"/>
      <c r="BY855" s="41"/>
      <c r="BZ855" s="41"/>
      <c r="CA855" s="41"/>
      <c r="CB855" s="41">
        <v>0.05</v>
      </c>
      <c r="CC855" s="41"/>
      <c r="CD855" s="41"/>
      <c r="CE855" s="41">
        <v>0.05</v>
      </c>
      <c r="CF855" s="41">
        <v>0.05</v>
      </c>
      <c r="CG855" s="41"/>
      <c r="CH855" s="41"/>
      <c r="CI855" s="41"/>
      <c r="CJ855" s="41"/>
      <c r="CK855" s="41"/>
      <c r="CL855" s="41">
        <v>0.8</v>
      </c>
      <c r="CM855" s="41"/>
      <c r="CN855" s="41"/>
      <c r="CO855" s="41"/>
      <c r="CP855" s="41"/>
      <c r="CQ855" s="41"/>
      <c r="CR855" s="41"/>
      <c r="CS855" s="41"/>
      <c r="CT855" s="41"/>
      <c r="CU855" s="41"/>
      <c r="CV855" s="41"/>
      <c r="CW855" s="41"/>
      <c r="CX855" s="41"/>
      <c r="CY855" s="41"/>
      <c r="CZ855" s="41"/>
      <c r="DA855" s="41"/>
      <c r="DB855" s="41"/>
      <c r="DC855" s="41"/>
      <c r="DD855" s="41"/>
      <c r="DE855" s="41"/>
      <c r="DF855" s="41"/>
      <c r="DG855" s="41"/>
      <c r="DH855" s="41"/>
      <c r="DI855" s="41"/>
      <c r="DJ855" s="41"/>
      <c r="DK855" s="41"/>
      <c r="DL855" s="41"/>
      <c r="DM855" s="41"/>
      <c r="DN855" s="41"/>
      <c r="DO855" s="41"/>
      <c r="DP855" s="41"/>
      <c r="DQ855" s="41"/>
      <c r="DR855" s="41"/>
      <c r="DS855" s="43"/>
      <c r="DT855" s="44">
        <f t="shared" ref="DT855" si="837">SUM(F855:DR855)</f>
        <v>1</v>
      </c>
    </row>
    <row r="856" spans="2:124" s="13" customFormat="1">
      <c r="B856" s="4">
        <f>'6.1Personnel List'!B857</f>
        <v>844</v>
      </c>
      <c r="C856" s="45" t="s">
        <v>1072</v>
      </c>
      <c r="D856" s="45" t="str">
        <f>'6.1Personnel List'!D857</f>
        <v>Nurse II</v>
      </c>
      <c r="E856" s="45" t="str">
        <f>'6.1Personnel List'!H857</f>
        <v>FT</v>
      </c>
      <c r="G856" s="41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  <c r="AA856" s="41"/>
      <c r="AB856" s="41"/>
      <c r="AC856" s="41"/>
      <c r="AD856" s="41"/>
      <c r="AE856" s="41"/>
      <c r="AF856" s="41"/>
      <c r="AG856" s="41"/>
      <c r="AH856" s="41"/>
      <c r="AI856" s="41"/>
      <c r="AJ856" s="41"/>
      <c r="AK856" s="41"/>
      <c r="AL856" s="41"/>
      <c r="AM856" s="41"/>
      <c r="AN856" s="41"/>
      <c r="AO856" s="41"/>
      <c r="AP856" s="41"/>
      <c r="AQ856" s="41"/>
      <c r="AR856" s="41"/>
      <c r="AS856" s="41"/>
      <c r="AT856" s="41"/>
      <c r="AU856" s="41"/>
      <c r="AV856" s="41"/>
      <c r="AW856" s="41"/>
      <c r="AX856" s="41"/>
      <c r="AY856" s="41"/>
      <c r="AZ856" s="41"/>
      <c r="BA856" s="41"/>
      <c r="BB856" s="41"/>
      <c r="BC856" s="41"/>
      <c r="BD856" s="41"/>
      <c r="BE856" s="41"/>
      <c r="BF856" s="41"/>
      <c r="BG856" s="41"/>
      <c r="BH856" s="41"/>
      <c r="BJ856" s="41"/>
      <c r="BK856" s="94"/>
      <c r="BL856" s="94"/>
      <c r="BM856" s="94"/>
      <c r="BN856" s="94"/>
      <c r="BO856" s="94"/>
      <c r="BP856" s="94"/>
      <c r="BQ856" s="94"/>
      <c r="BR856" s="94"/>
      <c r="BS856" s="94"/>
      <c r="BT856" s="94"/>
      <c r="BU856" s="94"/>
      <c r="BV856" s="94"/>
      <c r="BW856" s="94"/>
      <c r="BX856" s="94"/>
      <c r="BY856" s="94"/>
      <c r="BZ856" s="94"/>
      <c r="CA856" s="94"/>
      <c r="CB856" s="94"/>
      <c r="CC856" s="94"/>
      <c r="CD856" s="94"/>
      <c r="CE856" s="94"/>
      <c r="CF856" s="94"/>
      <c r="CG856" s="94"/>
      <c r="CH856" s="94"/>
      <c r="CI856" s="94"/>
      <c r="CJ856" s="94"/>
      <c r="CK856" s="94"/>
      <c r="CL856" s="94"/>
      <c r="CM856" s="94"/>
      <c r="CN856" s="94"/>
      <c r="CO856" s="94"/>
      <c r="CP856" s="94"/>
      <c r="CQ856" s="94"/>
      <c r="CR856" s="94"/>
      <c r="CS856" s="94"/>
      <c r="CT856" s="94"/>
      <c r="CU856" s="94">
        <v>1</v>
      </c>
      <c r="CV856" s="94"/>
      <c r="CW856" s="94"/>
      <c r="CX856" s="94"/>
      <c r="CY856" s="94"/>
      <c r="CZ856" s="94"/>
      <c r="DA856" s="94"/>
      <c r="DB856" s="94"/>
      <c r="DC856" s="94"/>
      <c r="DD856" s="94"/>
      <c r="DE856" s="94"/>
      <c r="DF856" s="94"/>
      <c r="DG856" s="94"/>
      <c r="DH856" s="94"/>
      <c r="DI856" s="94"/>
      <c r="DJ856" s="94"/>
      <c r="DK856" s="41"/>
      <c r="DL856" s="41"/>
      <c r="DM856" s="41"/>
      <c r="DN856" s="41"/>
      <c r="DO856" s="41"/>
      <c r="DP856" s="41"/>
      <c r="DQ856" s="41"/>
      <c r="DR856" s="41"/>
      <c r="DS856" s="43"/>
      <c r="DT856" s="44">
        <f t="shared" ref="DT856" si="838">SUM(F856:DR856)</f>
        <v>1</v>
      </c>
    </row>
    <row r="857" spans="2:124" s="13" customFormat="1">
      <c r="B857" s="4">
        <f>'6.1Personnel List'!B858</f>
        <v>845</v>
      </c>
      <c r="C857" s="45" t="s">
        <v>1073</v>
      </c>
      <c r="D857" s="45" t="str">
        <f>'6.1Personnel List'!D858</f>
        <v>Nurse II</v>
      </c>
      <c r="E857" s="45" t="str">
        <f>'6.1Personnel List'!H858</f>
        <v>FT</v>
      </c>
      <c r="G857" s="41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  <c r="AA857" s="41"/>
      <c r="AB857" s="41"/>
      <c r="AC857" s="41"/>
      <c r="AD857" s="41"/>
      <c r="AE857" s="41"/>
      <c r="AF857" s="41"/>
      <c r="AG857" s="41"/>
      <c r="AH857" s="41"/>
      <c r="AI857" s="41"/>
      <c r="AJ857" s="41"/>
      <c r="AK857" s="41"/>
      <c r="AL857" s="41"/>
      <c r="AM857" s="41"/>
      <c r="AN857" s="41"/>
      <c r="AO857" s="41"/>
      <c r="AP857" s="41"/>
      <c r="AQ857" s="41"/>
      <c r="AR857" s="41"/>
      <c r="AS857" s="41"/>
      <c r="AT857" s="41"/>
      <c r="AU857" s="41"/>
      <c r="AV857" s="41"/>
      <c r="AW857" s="41"/>
      <c r="AX857" s="41"/>
      <c r="AY857" s="41"/>
      <c r="AZ857" s="41"/>
      <c r="BA857" s="41"/>
      <c r="BB857" s="41"/>
      <c r="BC857" s="41"/>
      <c r="BD857" s="41"/>
      <c r="BE857" s="41"/>
      <c r="BF857" s="41"/>
      <c r="BG857" s="41"/>
      <c r="BH857" s="41"/>
      <c r="BJ857" s="41"/>
      <c r="BK857" s="41"/>
      <c r="BL857" s="41"/>
      <c r="BM857" s="41"/>
      <c r="BN857" s="41"/>
      <c r="BO857" s="41"/>
      <c r="BP857" s="41"/>
      <c r="BQ857" s="41"/>
      <c r="BR857" s="41"/>
      <c r="BS857" s="41"/>
      <c r="BT857" s="41"/>
      <c r="BU857" s="41"/>
      <c r="BV857" s="41"/>
      <c r="BW857" s="41"/>
      <c r="BX857" s="41"/>
      <c r="BY857" s="41"/>
      <c r="BZ857" s="41"/>
      <c r="CA857" s="41"/>
      <c r="CB857" s="41">
        <v>0.01</v>
      </c>
      <c r="CC857" s="41"/>
      <c r="CD857" s="41"/>
      <c r="CE857" s="41">
        <v>0.02</v>
      </c>
      <c r="CF857" s="41">
        <v>0.02</v>
      </c>
      <c r="CG857" s="41">
        <v>0.1</v>
      </c>
      <c r="CH857" s="41">
        <v>0.1</v>
      </c>
      <c r="CI857" s="41">
        <v>0.02</v>
      </c>
      <c r="CJ857" s="41"/>
      <c r="CK857" s="41">
        <v>0.01</v>
      </c>
      <c r="CL857" s="41">
        <v>0.05</v>
      </c>
      <c r="CM857" s="41"/>
      <c r="CN857" s="41">
        <v>0.05</v>
      </c>
      <c r="CO857" s="41">
        <v>0.05</v>
      </c>
      <c r="CP857" s="41">
        <v>0.05</v>
      </c>
      <c r="CQ857" s="41">
        <v>0.05</v>
      </c>
      <c r="CR857" s="41">
        <v>0.02</v>
      </c>
      <c r="CS857" s="41">
        <v>0.01</v>
      </c>
      <c r="CT857" s="41"/>
      <c r="CU857" s="41"/>
      <c r="CV857" s="41">
        <v>0.02</v>
      </c>
      <c r="CW857" s="41"/>
      <c r="CX857" s="41"/>
      <c r="CY857" s="41"/>
      <c r="CZ857" s="41"/>
      <c r="DA857" s="41"/>
      <c r="DB857" s="41"/>
      <c r="DC857" s="41"/>
      <c r="DD857" s="41">
        <v>0.12</v>
      </c>
      <c r="DE857" s="41"/>
      <c r="DF857" s="41"/>
      <c r="DG857" s="41"/>
      <c r="DH857" s="41"/>
      <c r="DI857" s="41"/>
      <c r="DJ857" s="41">
        <v>0.05</v>
      </c>
      <c r="DK857" s="41">
        <v>0.05</v>
      </c>
      <c r="DL857" s="41">
        <v>0.05</v>
      </c>
      <c r="DM857" s="41">
        <v>0.05</v>
      </c>
      <c r="DN857" s="41"/>
      <c r="DO857" s="41"/>
      <c r="DP857" s="41">
        <v>0.05</v>
      </c>
      <c r="DQ857" s="41"/>
      <c r="DR857" s="41">
        <v>0.05</v>
      </c>
      <c r="DS857" s="43"/>
      <c r="DT857" s="44">
        <f t="shared" ref="DT857" si="839">SUM(F857:DR857)</f>
        <v>1.0000000000000002</v>
      </c>
    </row>
    <row r="858" spans="2:124" s="13" customFormat="1">
      <c r="B858" s="4">
        <f>'6.1Personnel List'!B859</f>
        <v>846</v>
      </c>
      <c r="C858" s="45" t="s">
        <v>1557</v>
      </c>
      <c r="D858" s="45" t="str">
        <f>'6.1Personnel List'!D859</f>
        <v>Nurse II</v>
      </c>
      <c r="E858" s="45" t="str">
        <f>'6.1Personnel List'!H859</f>
        <v>FT</v>
      </c>
      <c r="G858" s="41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  <c r="AA858" s="41"/>
      <c r="AB858" s="41"/>
      <c r="AC858" s="41"/>
      <c r="AD858" s="41"/>
      <c r="AE858" s="41"/>
      <c r="AF858" s="41"/>
      <c r="AG858" s="41"/>
      <c r="AH858" s="41"/>
      <c r="AI858" s="41"/>
      <c r="AJ858" s="41"/>
      <c r="AK858" s="41"/>
      <c r="AL858" s="41"/>
      <c r="AM858" s="41"/>
      <c r="AN858" s="41"/>
      <c r="AO858" s="41"/>
      <c r="AP858" s="41"/>
      <c r="AQ858" s="41"/>
      <c r="AR858" s="41"/>
      <c r="AS858" s="41"/>
      <c r="AT858" s="41"/>
      <c r="AU858" s="41"/>
      <c r="AV858" s="41"/>
      <c r="AW858" s="41"/>
      <c r="AX858" s="41"/>
      <c r="AY858" s="41"/>
      <c r="AZ858" s="41"/>
      <c r="BA858" s="41"/>
      <c r="BB858" s="41"/>
      <c r="BC858" s="41"/>
      <c r="BD858" s="41"/>
      <c r="BE858" s="41"/>
      <c r="BF858" s="41"/>
      <c r="BG858" s="41"/>
      <c r="BH858" s="41"/>
      <c r="BJ858" s="41"/>
      <c r="BK858" s="41"/>
      <c r="BL858" s="41"/>
      <c r="BM858" s="41"/>
      <c r="BN858" s="41"/>
      <c r="BO858" s="41"/>
      <c r="BP858" s="41"/>
      <c r="BQ858" s="41"/>
      <c r="BR858" s="41"/>
      <c r="BS858" s="41"/>
      <c r="BT858" s="41"/>
      <c r="BU858" s="41"/>
      <c r="BV858" s="41"/>
      <c r="BW858" s="41"/>
      <c r="BX858" s="41"/>
      <c r="BY858" s="41"/>
      <c r="BZ858" s="41"/>
      <c r="CA858" s="41"/>
      <c r="CB858" s="41"/>
      <c r="CC858" s="41"/>
      <c r="CD858" s="41"/>
      <c r="CE858" s="41"/>
      <c r="CF858" s="41"/>
      <c r="CG858" s="41"/>
      <c r="CH858" s="41"/>
      <c r="CI858" s="41"/>
      <c r="CJ858" s="41"/>
      <c r="CK858" s="41"/>
      <c r="CL858" s="41"/>
      <c r="CM858" s="41"/>
      <c r="CN858" s="92">
        <v>0.25</v>
      </c>
      <c r="CO858" s="41"/>
      <c r="CP858" s="41"/>
      <c r="CQ858" s="41"/>
      <c r="CR858" s="41"/>
      <c r="CS858" s="41"/>
      <c r="CT858" s="41"/>
      <c r="CU858" s="41"/>
      <c r="CV858" s="41"/>
      <c r="CW858" s="41"/>
      <c r="CX858" s="41"/>
      <c r="CY858" s="41"/>
      <c r="CZ858" s="41"/>
      <c r="DA858" s="41"/>
      <c r="DB858" s="92">
        <v>0.25</v>
      </c>
      <c r="DC858" s="92">
        <v>0.25</v>
      </c>
      <c r="DD858" s="41"/>
      <c r="DE858" s="41"/>
      <c r="DF858" s="41"/>
      <c r="DG858" s="41"/>
      <c r="DH858" s="41"/>
      <c r="DI858" s="41"/>
      <c r="DJ858" s="92">
        <v>0.25</v>
      </c>
      <c r="DK858" s="41"/>
      <c r="DL858" s="41"/>
      <c r="DM858" s="41"/>
      <c r="DN858" s="41"/>
      <c r="DO858" s="41"/>
      <c r="DP858" s="41"/>
      <c r="DQ858" s="41"/>
      <c r="DR858" s="41"/>
      <c r="DS858" s="43"/>
      <c r="DT858" s="44">
        <f t="shared" ref="DT858" si="840">SUM(F858:DR858)</f>
        <v>1</v>
      </c>
    </row>
    <row r="859" spans="2:124" s="13" customFormat="1">
      <c r="B859" s="4">
        <f>'6.1Personnel List'!B860</f>
        <v>847</v>
      </c>
      <c r="C859" s="45" t="s">
        <v>1074</v>
      </c>
      <c r="D859" s="45" t="str">
        <f>'6.1Personnel List'!D860</f>
        <v>Nurse II</v>
      </c>
      <c r="E859" s="45" t="str">
        <f>'6.1Personnel List'!H860</f>
        <v>FT</v>
      </c>
      <c r="G859" s="41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  <c r="AA859" s="41"/>
      <c r="AB859" s="41"/>
      <c r="AC859" s="41"/>
      <c r="AD859" s="41"/>
      <c r="AE859" s="41"/>
      <c r="AF859" s="41"/>
      <c r="AG859" s="41"/>
      <c r="AH859" s="41"/>
      <c r="AI859" s="41"/>
      <c r="AJ859" s="41"/>
      <c r="AK859" s="41"/>
      <c r="AL859" s="41"/>
      <c r="AM859" s="41"/>
      <c r="AN859" s="41"/>
      <c r="AO859" s="41"/>
      <c r="AP859" s="41"/>
      <c r="AQ859" s="41"/>
      <c r="AR859" s="41"/>
      <c r="AS859" s="41"/>
      <c r="AT859" s="41"/>
      <c r="AU859" s="41"/>
      <c r="AV859" s="41"/>
      <c r="AW859" s="41"/>
      <c r="AX859" s="41"/>
      <c r="AY859" s="41"/>
      <c r="AZ859" s="41"/>
      <c r="BA859" s="41"/>
      <c r="BB859" s="41"/>
      <c r="BC859" s="41"/>
      <c r="BD859" s="41"/>
      <c r="BE859" s="41"/>
      <c r="BF859" s="41"/>
      <c r="BG859" s="41"/>
      <c r="BH859" s="41"/>
      <c r="BJ859" s="41"/>
      <c r="BK859" s="41"/>
      <c r="BL859" s="41"/>
      <c r="BM859" s="41"/>
      <c r="BN859" s="41"/>
      <c r="BO859" s="41"/>
      <c r="BP859" s="41"/>
      <c r="BQ859" s="41"/>
      <c r="BR859" s="41"/>
      <c r="BS859" s="41"/>
      <c r="BT859" s="41"/>
      <c r="BU859" s="41"/>
      <c r="BV859" s="41"/>
      <c r="BW859" s="41"/>
      <c r="BX859" s="41"/>
      <c r="BY859" s="41"/>
      <c r="BZ859" s="41"/>
      <c r="CA859" s="41"/>
      <c r="CB859" s="41">
        <v>0.01</v>
      </c>
      <c r="CC859" s="41"/>
      <c r="CD859" s="41"/>
      <c r="CE859" s="41">
        <v>0.02</v>
      </c>
      <c r="CF859" s="41">
        <v>0.02</v>
      </c>
      <c r="CG859" s="41">
        <v>0.1</v>
      </c>
      <c r="CH859" s="41">
        <v>0.1</v>
      </c>
      <c r="CI859" s="41">
        <v>0.02</v>
      </c>
      <c r="CJ859" s="41"/>
      <c r="CK859" s="41">
        <v>0.01</v>
      </c>
      <c r="CL859" s="41">
        <v>0.05</v>
      </c>
      <c r="CM859" s="41"/>
      <c r="CN859" s="41">
        <v>0.05</v>
      </c>
      <c r="CO859" s="41">
        <v>0.05</v>
      </c>
      <c r="CP859" s="41">
        <v>0.05</v>
      </c>
      <c r="CQ859" s="41">
        <v>0.05</v>
      </c>
      <c r="CR859" s="41">
        <v>0.02</v>
      </c>
      <c r="CS859" s="41">
        <v>0.01</v>
      </c>
      <c r="CT859" s="41"/>
      <c r="CU859" s="41"/>
      <c r="CV859" s="41">
        <v>0.02</v>
      </c>
      <c r="CW859" s="41"/>
      <c r="CX859" s="41"/>
      <c r="CY859" s="41"/>
      <c r="CZ859" s="41"/>
      <c r="DA859" s="41"/>
      <c r="DB859" s="41"/>
      <c r="DC859" s="41"/>
      <c r="DD859" s="41">
        <v>0.12</v>
      </c>
      <c r="DE859" s="41"/>
      <c r="DF859" s="41"/>
      <c r="DG859" s="41"/>
      <c r="DH859" s="41"/>
      <c r="DI859" s="41"/>
      <c r="DJ859" s="41">
        <v>0.05</v>
      </c>
      <c r="DK859" s="41">
        <v>0.05</v>
      </c>
      <c r="DL859" s="41">
        <v>0.05</v>
      </c>
      <c r="DM859" s="41">
        <v>0.05</v>
      </c>
      <c r="DN859" s="41"/>
      <c r="DO859" s="41"/>
      <c r="DP859" s="41">
        <v>0.05</v>
      </c>
      <c r="DQ859" s="41"/>
      <c r="DR859" s="41">
        <v>0.05</v>
      </c>
      <c r="DS859" s="43"/>
      <c r="DT859" s="44">
        <f t="shared" ref="DT859" si="841">SUM(F859:DR859)</f>
        <v>1.0000000000000002</v>
      </c>
    </row>
    <row r="860" spans="2:124" s="13" customFormat="1">
      <c r="B860" s="4">
        <f>'6.1Personnel List'!B861</f>
        <v>848</v>
      </c>
      <c r="C860" s="45" t="s">
        <v>1075</v>
      </c>
      <c r="D860" s="45" t="str">
        <f>'6.1Personnel List'!D861</f>
        <v>Nurse II</v>
      </c>
      <c r="E860" s="45" t="str">
        <f>'6.1Personnel List'!H861</f>
        <v>FT</v>
      </c>
      <c r="G860" s="41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  <c r="AA860" s="41"/>
      <c r="AB860" s="41"/>
      <c r="AC860" s="41"/>
      <c r="AD860" s="41"/>
      <c r="AE860" s="41"/>
      <c r="AF860" s="41"/>
      <c r="AG860" s="41"/>
      <c r="AH860" s="41"/>
      <c r="AI860" s="41"/>
      <c r="AJ860" s="41"/>
      <c r="AK860" s="41"/>
      <c r="AL860" s="41"/>
      <c r="AM860" s="41"/>
      <c r="AN860" s="41"/>
      <c r="AO860" s="41"/>
      <c r="AP860" s="41"/>
      <c r="AQ860" s="41"/>
      <c r="AR860" s="41"/>
      <c r="AS860" s="41"/>
      <c r="AT860" s="41"/>
      <c r="AU860" s="41"/>
      <c r="AV860" s="41"/>
      <c r="AW860" s="41"/>
      <c r="AX860" s="41"/>
      <c r="AY860" s="41"/>
      <c r="AZ860" s="41"/>
      <c r="BA860" s="41"/>
      <c r="BB860" s="41"/>
      <c r="BC860" s="41"/>
      <c r="BD860" s="41"/>
      <c r="BE860" s="41"/>
      <c r="BF860" s="41"/>
      <c r="BG860" s="41"/>
      <c r="BH860" s="41"/>
      <c r="BJ860" s="41"/>
      <c r="BK860" s="41"/>
      <c r="BL860" s="41"/>
      <c r="BM860" s="41"/>
      <c r="BN860" s="41"/>
      <c r="BO860" s="41"/>
      <c r="BP860" s="41"/>
      <c r="BQ860" s="41"/>
      <c r="BR860" s="41"/>
      <c r="BS860" s="41"/>
      <c r="BT860" s="41"/>
      <c r="BU860" s="41"/>
      <c r="BV860" s="41"/>
      <c r="BW860" s="41"/>
      <c r="BX860" s="41"/>
      <c r="BY860" s="41"/>
      <c r="BZ860" s="41"/>
      <c r="CA860" s="41"/>
      <c r="CB860" s="41">
        <v>0.01</v>
      </c>
      <c r="CC860" s="41"/>
      <c r="CD860" s="41"/>
      <c r="CE860" s="41">
        <v>0.02</v>
      </c>
      <c r="CF860" s="41">
        <v>0.02</v>
      </c>
      <c r="CG860" s="41">
        <v>0.1</v>
      </c>
      <c r="CH860" s="41">
        <v>0.1</v>
      </c>
      <c r="CI860" s="41">
        <v>0.02</v>
      </c>
      <c r="CJ860" s="41"/>
      <c r="CK860" s="41">
        <v>0.01</v>
      </c>
      <c r="CL860" s="41">
        <v>0.05</v>
      </c>
      <c r="CM860" s="41"/>
      <c r="CN860" s="41">
        <v>0.05</v>
      </c>
      <c r="CO860" s="41">
        <v>0.05</v>
      </c>
      <c r="CP860" s="41">
        <v>0.05</v>
      </c>
      <c r="CQ860" s="41">
        <v>0.05</v>
      </c>
      <c r="CR860" s="41">
        <v>0.02</v>
      </c>
      <c r="CS860" s="41">
        <v>0.01</v>
      </c>
      <c r="CT860" s="41"/>
      <c r="CU860" s="41"/>
      <c r="CV860" s="41">
        <v>0.02</v>
      </c>
      <c r="CW860" s="41"/>
      <c r="CX860" s="41"/>
      <c r="CY860" s="41"/>
      <c r="CZ860" s="41"/>
      <c r="DA860" s="41"/>
      <c r="DB860" s="41"/>
      <c r="DC860" s="41"/>
      <c r="DD860" s="41">
        <v>0.12</v>
      </c>
      <c r="DE860" s="41"/>
      <c r="DF860" s="41"/>
      <c r="DG860" s="41"/>
      <c r="DH860" s="41"/>
      <c r="DI860" s="41"/>
      <c r="DJ860" s="41">
        <v>0.05</v>
      </c>
      <c r="DK860" s="41">
        <v>0.05</v>
      </c>
      <c r="DL860" s="41">
        <v>0.05</v>
      </c>
      <c r="DM860" s="41">
        <v>0.05</v>
      </c>
      <c r="DN860" s="41"/>
      <c r="DO860" s="41"/>
      <c r="DP860" s="41">
        <v>0.05</v>
      </c>
      <c r="DQ860" s="41"/>
      <c r="DR860" s="41">
        <v>0.05</v>
      </c>
      <c r="DS860" s="43"/>
      <c r="DT860" s="44">
        <f t="shared" ref="DT860" si="842">SUM(F860:DR860)</f>
        <v>1.0000000000000002</v>
      </c>
    </row>
    <row r="861" spans="2:124" s="13" customFormat="1">
      <c r="B861" s="4">
        <f>'6.1Personnel List'!B862</f>
        <v>849</v>
      </c>
      <c r="C861" s="45" t="s">
        <v>1076</v>
      </c>
      <c r="D861" s="45" t="str">
        <f>'6.1Personnel List'!D862</f>
        <v>Nurse II</v>
      </c>
      <c r="E861" s="45" t="str">
        <f>'6.1Personnel List'!H862</f>
        <v>FT</v>
      </c>
      <c r="G861" s="41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  <c r="AA861" s="41"/>
      <c r="AB861" s="41"/>
      <c r="AC861" s="41"/>
      <c r="AD861" s="41"/>
      <c r="AE861" s="41"/>
      <c r="AF861" s="41"/>
      <c r="AG861" s="41"/>
      <c r="AH861" s="41"/>
      <c r="AI861" s="41"/>
      <c r="AJ861" s="41"/>
      <c r="AK861" s="41"/>
      <c r="AL861" s="41"/>
      <c r="AM861" s="41"/>
      <c r="AN861" s="41"/>
      <c r="AO861" s="41"/>
      <c r="AP861" s="41"/>
      <c r="AQ861" s="41"/>
      <c r="AR861" s="41"/>
      <c r="AS861" s="41"/>
      <c r="AT861" s="41"/>
      <c r="AU861" s="41"/>
      <c r="AV861" s="41"/>
      <c r="AW861" s="41"/>
      <c r="AX861" s="41"/>
      <c r="AY861" s="41"/>
      <c r="AZ861" s="41"/>
      <c r="BA861" s="41"/>
      <c r="BB861" s="41"/>
      <c r="BC861" s="41"/>
      <c r="BD861" s="41"/>
      <c r="BE861" s="41"/>
      <c r="BF861" s="41"/>
      <c r="BG861" s="41"/>
      <c r="BH861" s="41"/>
      <c r="BJ861" s="41"/>
      <c r="BK861" s="41"/>
      <c r="BL861" s="41"/>
      <c r="BM861" s="41"/>
      <c r="BN861" s="41"/>
      <c r="BO861" s="41"/>
      <c r="BP861" s="41"/>
      <c r="BQ861" s="41"/>
      <c r="BR861" s="41"/>
      <c r="BS861" s="41">
        <v>0.05</v>
      </c>
      <c r="BT861" s="41"/>
      <c r="BU861" s="41">
        <v>0.05</v>
      </c>
      <c r="BV861" s="41">
        <v>0.05</v>
      </c>
      <c r="BW861" s="41">
        <v>0.05</v>
      </c>
      <c r="BX861" s="41"/>
      <c r="BY861" s="41"/>
      <c r="BZ861" s="41"/>
      <c r="CA861" s="41"/>
      <c r="CB861" s="41"/>
      <c r="CC861" s="41"/>
      <c r="CD861" s="41"/>
      <c r="CE861" s="41">
        <v>0.05</v>
      </c>
      <c r="CF861" s="41">
        <v>0.03</v>
      </c>
      <c r="CG861" s="41">
        <v>0.02</v>
      </c>
      <c r="CH861" s="41">
        <v>0.05</v>
      </c>
      <c r="CI861" s="41">
        <v>0.05</v>
      </c>
      <c r="CJ861" s="41"/>
      <c r="CK861" s="41"/>
      <c r="CL861" s="41"/>
      <c r="CM861" s="41"/>
      <c r="CN861" s="41"/>
      <c r="CO861" s="41"/>
      <c r="CP861" s="41"/>
      <c r="CQ861" s="41">
        <v>0.3</v>
      </c>
      <c r="CR861" s="41"/>
      <c r="CS861" s="41"/>
      <c r="CT861" s="41"/>
      <c r="CU861" s="41"/>
      <c r="CV861" s="41"/>
      <c r="CW861" s="41"/>
      <c r="CX861" s="41"/>
      <c r="CY861" s="41"/>
      <c r="CZ861" s="41"/>
      <c r="DA861" s="41"/>
      <c r="DB861" s="41"/>
      <c r="DC861" s="41"/>
      <c r="DD861" s="41"/>
      <c r="DE861" s="41"/>
      <c r="DF861" s="41"/>
      <c r="DG861" s="41"/>
      <c r="DH861" s="41"/>
      <c r="DI861" s="41"/>
      <c r="DJ861" s="41"/>
      <c r="DK861" s="41">
        <v>0.3</v>
      </c>
      <c r="DL861" s="41"/>
      <c r="DM861" s="41"/>
      <c r="DN861" s="41"/>
      <c r="DO861" s="41"/>
      <c r="DP861" s="41"/>
      <c r="DQ861" s="41"/>
      <c r="DR861" s="41"/>
      <c r="DS861" s="43"/>
      <c r="DT861" s="44">
        <f t="shared" ref="DT861" si="843">SUM(F861:DR861)</f>
        <v>1</v>
      </c>
    </row>
    <row r="862" spans="2:124" s="13" customFormat="1">
      <c r="B862" s="4">
        <f>'6.1Personnel List'!B863</f>
        <v>850</v>
      </c>
      <c r="C862" s="45" t="s">
        <v>1077</v>
      </c>
      <c r="D862" s="45" t="str">
        <f>'6.1Personnel List'!D863</f>
        <v>Nurse II</v>
      </c>
      <c r="E862" s="45" t="str">
        <f>'6.1Personnel List'!H863</f>
        <v>FT</v>
      </c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  <c r="AA862" s="41"/>
      <c r="AB862" s="41"/>
      <c r="AC862" s="41"/>
      <c r="AD862" s="41"/>
      <c r="AE862" s="41"/>
      <c r="AF862" s="41"/>
      <c r="AG862" s="41"/>
      <c r="AH862" s="41"/>
      <c r="AI862" s="41"/>
      <c r="AJ862" s="41"/>
      <c r="AK862" s="41"/>
      <c r="AL862" s="41"/>
      <c r="AM862" s="41"/>
      <c r="AN862" s="41"/>
      <c r="AO862" s="41"/>
      <c r="AP862" s="41"/>
      <c r="AQ862" s="41"/>
      <c r="AR862" s="41"/>
      <c r="AS862" s="41"/>
      <c r="AT862" s="41"/>
      <c r="AU862" s="41"/>
      <c r="AV862" s="41"/>
      <c r="AW862" s="41"/>
      <c r="AX862" s="41"/>
      <c r="AY862" s="41"/>
      <c r="AZ862" s="41"/>
      <c r="BA862" s="41"/>
      <c r="BB862" s="41"/>
      <c r="BC862" s="41"/>
      <c r="BD862" s="41"/>
      <c r="BE862" s="41"/>
      <c r="BF862" s="41"/>
      <c r="BG862" s="41"/>
      <c r="BH862" s="41"/>
      <c r="BJ862" s="41"/>
      <c r="BK862" s="41"/>
      <c r="BL862" s="41"/>
      <c r="BM862" s="41"/>
      <c r="BN862" s="41"/>
      <c r="BO862" s="41"/>
      <c r="BP862" s="41"/>
      <c r="BQ862" s="41"/>
      <c r="BR862" s="41"/>
      <c r="BS862" s="41"/>
      <c r="BT862" s="41"/>
      <c r="BU862" s="41"/>
      <c r="BV862" s="41">
        <v>0.05</v>
      </c>
      <c r="BW862" s="41"/>
      <c r="BX862" s="41"/>
      <c r="BY862" s="41"/>
      <c r="BZ862" s="41"/>
      <c r="CA862" s="41"/>
      <c r="CB862" s="41">
        <v>0.05</v>
      </c>
      <c r="CC862" s="41"/>
      <c r="CD862" s="41"/>
      <c r="CE862" s="41">
        <v>0.05</v>
      </c>
      <c r="CF862" s="41">
        <v>0.02</v>
      </c>
      <c r="CG862" s="41">
        <v>0.03</v>
      </c>
      <c r="CH862" s="41"/>
      <c r="CI862" s="41"/>
      <c r="CJ862" s="41"/>
      <c r="CK862" s="41"/>
      <c r="CL862" s="41">
        <v>0.8</v>
      </c>
      <c r="CM862" s="41"/>
      <c r="CN862" s="41"/>
      <c r="CO862" s="41"/>
      <c r="CP862" s="41"/>
      <c r="CQ862" s="41"/>
      <c r="CR862" s="41"/>
      <c r="CS862" s="41"/>
      <c r="CT862" s="41"/>
      <c r="CU862" s="41"/>
      <c r="CV862" s="41"/>
      <c r="CW862" s="41"/>
      <c r="CX862" s="41"/>
      <c r="CY862" s="41"/>
      <c r="CZ862" s="41"/>
      <c r="DA862" s="41"/>
      <c r="DB862" s="41"/>
      <c r="DC862" s="41"/>
      <c r="DD862" s="41"/>
      <c r="DE862" s="41"/>
      <c r="DF862" s="41"/>
      <c r="DG862" s="41"/>
      <c r="DH862" s="41"/>
      <c r="DI862" s="41"/>
      <c r="DJ862" s="41"/>
      <c r="DK862" s="41"/>
      <c r="DL862" s="41"/>
      <c r="DM862" s="41"/>
      <c r="DN862" s="41"/>
      <c r="DO862" s="41"/>
      <c r="DP862" s="41"/>
      <c r="DQ862" s="41"/>
      <c r="DR862" s="41"/>
      <c r="DS862" s="43"/>
      <c r="DT862" s="44">
        <f t="shared" ref="DT862" si="844">SUM(F862:DR862)</f>
        <v>1</v>
      </c>
    </row>
    <row r="863" spans="2:124" s="13" customFormat="1">
      <c r="B863" s="4">
        <f>'6.1Personnel List'!B864</f>
        <v>851</v>
      </c>
      <c r="C863" s="45" t="s">
        <v>1078</v>
      </c>
      <c r="D863" s="45" t="str">
        <f>'6.1Personnel List'!D864</f>
        <v>Nurse II</v>
      </c>
      <c r="E863" s="45" t="str">
        <f>'6.1Personnel List'!H864</f>
        <v>FT</v>
      </c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  <c r="AA863" s="41"/>
      <c r="AB863" s="41"/>
      <c r="AC863" s="41"/>
      <c r="AD863" s="41"/>
      <c r="AE863" s="41"/>
      <c r="AF863" s="41"/>
      <c r="AG863" s="41"/>
      <c r="AH863" s="41"/>
      <c r="AI863" s="41"/>
      <c r="AJ863" s="41"/>
      <c r="AK863" s="41"/>
      <c r="AL863" s="41"/>
      <c r="AM863" s="41"/>
      <c r="AN863" s="41"/>
      <c r="AO863" s="41"/>
      <c r="AP863" s="41"/>
      <c r="AQ863" s="41"/>
      <c r="AR863" s="41"/>
      <c r="AS863" s="41"/>
      <c r="AT863" s="41"/>
      <c r="AU863" s="41"/>
      <c r="AV863" s="41"/>
      <c r="AW863" s="41"/>
      <c r="AX863" s="41"/>
      <c r="AY863" s="41"/>
      <c r="AZ863" s="41"/>
      <c r="BA863" s="41"/>
      <c r="BB863" s="41"/>
      <c r="BC863" s="41"/>
      <c r="BD863" s="41"/>
      <c r="BE863" s="41"/>
      <c r="BF863" s="41"/>
      <c r="BG863" s="41"/>
      <c r="BH863" s="41"/>
      <c r="BJ863" s="41"/>
      <c r="BK863" s="94"/>
      <c r="BL863" s="94"/>
      <c r="BM863" s="94"/>
      <c r="BN863" s="94"/>
      <c r="BO863" s="94"/>
      <c r="BP863" s="94"/>
      <c r="BQ863" s="94"/>
      <c r="BR863" s="94"/>
      <c r="BS863" s="94"/>
      <c r="BT863" s="94"/>
      <c r="BU863" s="94"/>
      <c r="BV863" s="94"/>
      <c r="BW863" s="94"/>
      <c r="BX863" s="94"/>
      <c r="BY863" s="94"/>
      <c r="BZ863" s="94"/>
      <c r="CA863" s="94"/>
      <c r="CB863" s="94"/>
      <c r="CC863" s="94"/>
      <c r="CD863" s="94"/>
      <c r="CE863" s="94"/>
      <c r="CF863" s="94"/>
      <c r="CG863" s="94"/>
      <c r="CH863" s="94"/>
      <c r="CI863" s="94"/>
      <c r="CJ863" s="94"/>
      <c r="CK863" s="94"/>
      <c r="CL863" s="94"/>
      <c r="CM863" s="94"/>
      <c r="CN863" s="94"/>
      <c r="CO863" s="94"/>
      <c r="CP863" s="94"/>
      <c r="CQ863" s="94"/>
      <c r="CR863" s="94"/>
      <c r="CS863" s="94"/>
      <c r="CT863" s="94"/>
      <c r="CU863" s="94">
        <v>1</v>
      </c>
      <c r="CV863" s="94"/>
      <c r="CW863" s="94"/>
      <c r="CX863" s="94"/>
      <c r="CY863" s="94"/>
      <c r="CZ863" s="94"/>
      <c r="DA863" s="94"/>
      <c r="DB863" s="94"/>
      <c r="DC863" s="94"/>
      <c r="DD863" s="94"/>
      <c r="DE863" s="94"/>
      <c r="DF863" s="94"/>
      <c r="DG863" s="94"/>
      <c r="DH863" s="94"/>
      <c r="DI863" s="94"/>
      <c r="DJ863" s="94"/>
      <c r="DK863" s="41"/>
      <c r="DL863" s="41"/>
      <c r="DM863" s="41"/>
      <c r="DN863" s="41"/>
      <c r="DO863" s="41"/>
      <c r="DP863" s="41"/>
      <c r="DQ863" s="41"/>
      <c r="DR863" s="41"/>
      <c r="DS863" s="43"/>
      <c r="DT863" s="44">
        <f t="shared" ref="DT863" si="845">SUM(F863:DR863)</f>
        <v>1</v>
      </c>
    </row>
    <row r="864" spans="2:124" s="13" customFormat="1">
      <c r="B864" s="4">
        <f>'6.1Personnel List'!B865</f>
        <v>852</v>
      </c>
      <c r="C864" s="45" t="s">
        <v>1079</v>
      </c>
      <c r="D864" s="45" t="str">
        <f>'6.1Personnel List'!D865</f>
        <v>Nurse II</v>
      </c>
      <c r="E864" s="45" t="str">
        <f>'6.1Personnel List'!H865</f>
        <v>FT</v>
      </c>
      <c r="G864" s="41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  <c r="AA864" s="41"/>
      <c r="AB864" s="41"/>
      <c r="AC864" s="41"/>
      <c r="AD864" s="41"/>
      <c r="AE864" s="41"/>
      <c r="AF864" s="41"/>
      <c r="AG864" s="41"/>
      <c r="AH864" s="41"/>
      <c r="AI864" s="41"/>
      <c r="AJ864" s="41"/>
      <c r="AK864" s="41"/>
      <c r="AL864" s="41"/>
      <c r="AM864" s="41"/>
      <c r="AN864" s="41"/>
      <c r="AO864" s="41"/>
      <c r="AP864" s="41"/>
      <c r="AQ864" s="41"/>
      <c r="AR864" s="41"/>
      <c r="AS864" s="41"/>
      <c r="AT864" s="41"/>
      <c r="AU864" s="41"/>
      <c r="AV864" s="41"/>
      <c r="AW864" s="41"/>
      <c r="AX864" s="41"/>
      <c r="AY864" s="41"/>
      <c r="AZ864" s="41"/>
      <c r="BA864" s="41"/>
      <c r="BB864" s="41"/>
      <c r="BC864" s="41"/>
      <c r="BD864" s="41"/>
      <c r="BE864" s="41"/>
      <c r="BF864" s="41"/>
      <c r="BG864" s="41"/>
      <c r="BH864" s="41"/>
      <c r="BJ864" s="41"/>
      <c r="BK864" s="94"/>
      <c r="BL864" s="94"/>
      <c r="BM864" s="94"/>
      <c r="BN864" s="94"/>
      <c r="BO864" s="94"/>
      <c r="BP864" s="94"/>
      <c r="BQ864" s="94"/>
      <c r="BR864" s="94"/>
      <c r="BS864" s="94"/>
      <c r="BT864" s="94"/>
      <c r="BU864" s="94"/>
      <c r="BV864" s="94"/>
      <c r="BW864" s="94"/>
      <c r="BX864" s="94"/>
      <c r="BY864" s="94"/>
      <c r="BZ864" s="94"/>
      <c r="CA864" s="94"/>
      <c r="CB864" s="94"/>
      <c r="CC864" s="94"/>
      <c r="CD864" s="94"/>
      <c r="CE864" s="94"/>
      <c r="CF864" s="94"/>
      <c r="CG864" s="94"/>
      <c r="CH864" s="94"/>
      <c r="CI864" s="94"/>
      <c r="CJ864" s="94"/>
      <c r="CK864" s="94"/>
      <c r="CL864" s="94"/>
      <c r="CM864" s="94"/>
      <c r="CN864" s="94"/>
      <c r="CO864" s="94"/>
      <c r="CP864" s="94"/>
      <c r="CQ864" s="94"/>
      <c r="CR864" s="94"/>
      <c r="CS864" s="94"/>
      <c r="CT864" s="94"/>
      <c r="CU864" s="94"/>
      <c r="CV864" s="94"/>
      <c r="CW864" s="94"/>
      <c r="CX864" s="94"/>
      <c r="CY864" s="94"/>
      <c r="CZ864" s="94"/>
      <c r="DA864" s="94"/>
      <c r="DB864" s="94"/>
      <c r="DC864" s="94"/>
      <c r="DD864" s="94"/>
      <c r="DE864" s="94"/>
      <c r="DF864" s="94"/>
      <c r="DG864" s="94"/>
      <c r="DH864" s="94"/>
      <c r="DI864" s="94"/>
      <c r="DJ864" s="94"/>
      <c r="DK864" s="41">
        <v>1</v>
      </c>
      <c r="DL864" s="41"/>
      <c r="DM864" s="41"/>
      <c r="DN864" s="41"/>
      <c r="DO864" s="41"/>
      <c r="DP864" s="41"/>
      <c r="DQ864" s="41"/>
      <c r="DR864" s="41"/>
      <c r="DS864" s="43"/>
      <c r="DT864" s="44">
        <f t="shared" ref="DT864" si="846">SUM(F864:DR864)</f>
        <v>1</v>
      </c>
    </row>
    <row r="865" spans="2:124" s="13" customFormat="1">
      <c r="B865" s="4">
        <f>'6.1Personnel List'!B866</f>
        <v>853</v>
      </c>
      <c r="C865" s="45" t="s">
        <v>1080</v>
      </c>
      <c r="D865" s="45" t="str">
        <f>'6.1Personnel List'!D866</f>
        <v>Nurse II</v>
      </c>
      <c r="E865" s="45" t="str">
        <f>'6.1Personnel List'!H866</f>
        <v>FT</v>
      </c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  <c r="AA865" s="41"/>
      <c r="AB865" s="41"/>
      <c r="AC865" s="41"/>
      <c r="AD865" s="41"/>
      <c r="AE865" s="41"/>
      <c r="AF865" s="41"/>
      <c r="AG865" s="41"/>
      <c r="AH865" s="41"/>
      <c r="AI865" s="41"/>
      <c r="AJ865" s="41"/>
      <c r="AK865" s="41"/>
      <c r="AL865" s="41"/>
      <c r="AM865" s="41"/>
      <c r="AN865" s="41"/>
      <c r="AO865" s="41"/>
      <c r="AP865" s="41"/>
      <c r="AQ865" s="41"/>
      <c r="AR865" s="41"/>
      <c r="AS865" s="41"/>
      <c r="AT865" s="41"/>
      <c r="AU865" s="41"/>
      <c r="AV865" s="41"/>
      <c r="AW865" s="41"/>
      <c r="AX865" s="41"/>
      <c r="AY865" s="41"/>
      <c r="AZ865" s="41"/>
      <c r="BA865" s="41"/>
      <c r="BB865" s="41"/>
      <c r="BC865" s="41"/>
      <c r="BD865" s="41"/>
      <c r="BE865" s="41"/>
      <c r="BF865" s="41"/>
      <c r="BG865" s="41"/>
      <c r="BH865" s="41"/>
      <c r="BJ865" s="41"/>
      <c r="BK865" s="94"/>
      <c r="BL865" s="94"/>
      <c r="BM865" s="94"/>
      <c r="BN865" s="94"/>
      <c r="BO865" s="94"/>
      <c r="BP865" s="94"/>
      <c r="BQ865" s="94"/>
      <c r="BR865" s="94"/>
      <c r="BS865" s="94"/>
      <c r="BT865" s="94"/>
      <c r="BU865" s="94"/>
      <c r="BV865" s="94"/>
      <c r="BW865" s="94"/>
      <c r="BX865" s="94"/>
      <c r="BY865" s="94"/>
      <c r="BZ865" s="94"/>
      <c r="CA865" s="94"/>
      <c r="CB865" s="94"/>
      <c r="CC865" s="94"/>
      <c r="CD865" s="94"/>
      <c r="CE865" s="94"/>
      <c r="CF865" s="94"/>
      <c r="CG865" s="94"/>
      <c r="CH865" s="94"/>
      <c r="CI865" s="94"/>
      <c r="CJ865" s="94"/>
      <c r="CK865" s="94"/>
      <c r="CL865" s="94"/>
      <c r="CM865" s="94"/>
      <c r="CN865" s="94"/>
      <c r="CO865" s="94"/>
      <c r="CP865" s="94"/>
      <c r="CQ865" s="94"/>
      <c r="CR865" s="94"/>
      <c r="CS865" s="94"/>
      <c r="CT865" s="94"/>
      <c r="CU865" s="94"/>
      <c r="CV865" s="94"/>
      <c r="CW865" s="94"/>
      <c r="CX865" s="94"/>
      <c r="CY865" s="94"/>
      <c r="CZ865" s="94"/>
      <c r="DA865" s="94"/>
      <c r="DB865" s="94"/>
      <c r="DC865" s="94"/>
      <c r="DD865" s="94"/>
      <c r="DE865" s="94"/>
      <c r="DF865" s="94"/>
      <c r="DG865" s="94"/>
      <c r="DH865" s="94"/>
      <c r="DI865" s="94"/>
      <c r="DJ865" s="94"/>
      <c r="DK865" s="41">
        <v>1</v>
      </c>
      <c r="DL865" s="41"/>
      <c r="DM865" s="41"/>
      <c r="DN865" s="41"/>
      <c r="DO865" s="41"/>
      <c r="DP865" s="41"/>
      <c r="DQ865" s="41"/>
      <c r="DR865" s="41"/>
      <c r="DS865" s="43"/>
      <c r="DT865" s="44">
        <f t="shared" ref="DT865" si="847">SUM(F865:DR865)</f>
        <v>1</v>
      </c>
    </row>
    <row r="866" spans="2:124" s="13" customFormat="1">
      <c r="B866" s="4">
        <f>'6.1Personnel List'!B867</f>
        <v>854</v>
      </c>
      <c r="C866" s="45" t="s">
        <v>1081</v>
      </c>
      <c r="D866" s="45" t="str">
        <f>'6.1Personnel List'!D867</f>
        <v>Nurse II</v>
      </c>
      <c r="E866" s="45" t="str">
        <f>'6.1Personnel List'!H867</f>
        <v>FT</v>
      </c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  <c r="AA866" s="41"/>
      <c r="AB866" s="41"/>
      <c r="AC866" s="41"/>
      <c r="AD866" s="41"/>
      <c r="AE866" s="41"/>
      <c r="AF866" s="41"/>
      <c r="AG866" s="41"/>
      <c r="AH866" s="41"/>
      <c r="AI866" s="41"/>
      <c r="AJ866" s="41"/>
      <c r="AK866" s="41"/>
      <c r="AL866" s="41"/>
      <c r="AM866" s="41"/>
      <c r="AN866" s="41"/>
      <c r="AO866" s="41"/>
      <c r="AP866" s="41"/>
      <c r="AQ866" s="41"/>
      <c r="AR866" s="41"/>
      <c r="AS866" s="41"/>
      <c r="AT866" s="41"/>
      <c r="AU866" s="41"/>
      <c r="AV866" s="41"/>
      <c r="AW866" s="41"/>
      <c r="AX866" s="41"/>
      <c r="AY866" s="41"/>
      <c r="AZ866" s="41"/>
      <c r="BA866" s="41"/>
      <c r="BB866" s="41"/>
      <c r="BC866" s="41"/>
      <c r="BD866" s="41"/>
      <c r="BE866" s="41"/>
      <c r="BF866" s="41"/>
      <c r="BG866" s="41"/>
      <c r="BH866" s="41"/>
      <c r="BJ866" s="41"/>
      <c r="BK866" s="41"/>
      <c r="BL866" s="41"/>
      <c r="BM866" s="41"/>
      <c r="BN866" s="41"/>
      <c r="BO866" s="41"/>
      <c r="BP866" s="41"/>
      <c r="BQ866" s="41"/>
      <c r="BR866" s="41"/>
      <c r="BS866" s="41">
        <v>0.05</v>
      </c>
      <c r="BT866" s="41"/>
      <c r="BU866" s="41"/>
      <c r="BV866" s="41">
        <v>0.05</v>
      </c>
      <c r="BW866" s="41">
        <v>0.05</v>
      </c>
      <c r="BX866" s="41"/>
      <c r="BY866" s="41"/>
      <c r="BZ866" s="41"/>
      <c r="CA866" s="41"/>
      <c r="CB866" s="41"/>
      <c r="CC866" s="41"/>
      <c r="CD866" s="41"/>
      <c r="CE866" s="41">
        <v>0.1</v>
      </c>
      <c r="CF866" s="41">
        <v>0.05</v>
      </c>
      <c r="CG866" s="41">
        <v>0.05</v>
      </c>
      <c r="CH866" s="41">
        <v>0.05</v>
      </c>
      <c r="CI866" s="41"/>
      <c r="CJ866" s="41">
        <v>0.05</v>
      </c>
      <c r="CK866" s="41"/>
      <c r="CL866" s="41">
        <v>0.2</v>
      </c>
      <c r="CM866" s="41"/>
      <c r="CN866" s="41"/>
      <c r="CO866" s="41"/>
      <c r="CP866" s="41">
        <v>0.25</v>
      </c>
      <c r="CQ866" s="41"/>
      <c r="CR866" s="41"/>
      <c r="CS866" s="41"/>
      <c r="CT866" s="41"/>
      <c r="CU866" s="41">
        <v>0.05</v>
      </c>
      <c r="CV866" s="41"/>
      <c r="CW866" s="41"/>
      <c r="CX866" s="41"/>
      <c r="CY866" s="41"/>
      <c r="CZ866" s="41"/>
      <c r="DA866" s="41"/>
      <c r="DB866" s="41"/>
      <c r="DC866" s="41"/>
      <c r="DD866" s="41">
        <v>0.05</v>
      </c>
      <c r="DE866" s="41"/>
      <c r="DF866" s="41"/>
      <c r="DG866" s="41"/>
      <c r="DH866" s="41"/>
      <c r="DI866" s="41"/>
      <c r="DJ866" s="41"/>
      <c r="DK866" s="41"/>
      <c r="DL866" s="41"/>
      <c r="DM866" s="41"/>
      <c r="DN866" s="41"/>
      <c r="DO866" s="41"/>
      <c r="DP866" s="41"/>
      <c r="DQ866" s="41"/>
      <c r="DR866" s="41"/>
      <c r="DS866" s="43"/>
      <c r="DT866" s="44">
        <f t="shared" ref="DT866" si="848">SUM(F866:DR866)</f>
        <v>1</v>
      </c>
    </row>
    <row r="867" spans="2:124" s="13" customFormat="1">
      <c r="B867" s="4">
        <f>'6.1Personnel List'!B868</f>
        <v>855</v>
      </c>
      <c r="C867" s="45" t="s">
        <v>1082</v>
      </c>
      <c r="D867" s="45" t="str">
        <f>'6.1Personnel List'!D868</f>
        <v>Nurse II</v>
      </c>
      <c r="E867" s="45" t="str">
        <f>'6.1Personnel List'!H868</f>
        <v>FT</v>
      </c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  <c r="AA867" s="41"/>
      <c r="AB867" s="41"/>
      <c r="AC867" s="41"/>
      <c r="AD867" s="41"/>
      <c r="AE867" s="41"/>
      <c r="AF867" s="41"/>
      <c r="AG867" s="41"/>
      <c r="AH867" s="41"/>
      <c r="AI867" s="41"/>
      <c r="AJ867" s="41"/>
      <c r="AK867" s="41"/>
      <c r="AL867" s="41"/>
      <c r="AM867" s="41"/>
      <c r="AN867" s="41"/>
      <c r="AO867" s="41"/>
      <c r="AP867" s="41"/>
      <c r="AQ867" s="41"/>
      <c r="AR867" s="41"/>
      <c r="AS867" s="41"/>
      <c r="AT867" s="41"/>
      <c r="AU867" s="41"/>
      <c r="AV867" s="41"/>
      <c r="AW867" s="41"/>
      <c r="AX867" s="41"/>
      <c r="AY867" s="41"/>
      <c r="AZ867" s="41"/>
      <c r="BA867" s="41"/>
      <c r="BB867" s="41"/>
      <c r="BC867" s="41"/>
      <c r="BD867" s="41"/>
      <c r="BE867" s="41"/>
      <c r="BF867" s="41"/>
      <c r="BG867" s="41"/>
      <c r="BH867" s="41"/>
      <c r="BJ867" s="41"/>
      <c r="BK867" s="41"/>
      <c r="BL867" s="41"/>
      <c r="BM867" s="41"/>
      <c r="BN867" s="41"/>
      <c r="BO867" s="41"/>
      <c r="BP867" s="41"/>
      <c r="BQ867" s="41"/>
      <c r="BR867" s="41"/>
      <c r="BS867" s="41">
        <v>0.05</v>
      </c>
      <c r="BT867" s="41"/>
      <c r="BU867" s="41"/>
      <c r="BV867" s="41">
        <v>0.05</v>
      </c>
      <c r="BW867" s="41">
        <v>0.05</v>
      </c>
      <c r="BX867" s="41"/>
      <c r="BY867" s="41"/>
      <c r="BZ867" s="41"/>
      <c r="CA867" s="41"/>
      <c r="CB867" s="41"/>
      <c r="CC867" s="41"/>
      <c r="CD867" s="41"/>
      <c r="CE867" s="41">
        <v>0.1</v>
      </c>
      <c r="CF867" s="41">
        <v>0.05</v>
      </c>
      <c r="CG867" s="41">
        <v>0.05</v>
      </c>
      <c r="CH867" s="41">
        <v>0.05</v>
      </c>
      <c r="CI867" s="41"/>
      <c r="CJ867" s="41">
        <v>0.05</v>
      </c>
      <c r="CK867" s="41"/>
      <c r="CL867" s="41">
        <v>0.2</v>
      </c>
      <c r="CM867" s="41"/>
      <c r="CN867" s="41"/>
      <c r="CO867" s="41"/>
      <c r="CP867" s="41"/>
      <c r="CQ867" s="41"/>
      <c r="CR867" s="41"/>
      <c r="CS867" s="41"/>
      <c r="CT867" s="41"/>
      <c r="CU867" s="41">
        <v>0.05</v>
      </c>
      <c r="CV867" s="41"/>
      <c r="CW867" s="41"/>
      <c r="CX867" s="41"/>
      <c r="CY867" s="41"/>
      <c r="CZ867" s="41"/>
      <c r="DA867" s="41"/>
      <c r="DB867" s="41"/>
      <c r="DC867" s="41"/>
      <c r="DD867" s="41">
        <v>0.05</v>
      </c>
      <c r="DE867" s="41"/>
      <c r="DF867" s="41"/>
      <c r="DG867" s="41"/>
      <c r="DH867" s="41"/>
      <c r="DI867" s="41"/>
      <c r="DJ867" s="41"/>
      <c r="DK867" s="41"/>
      <c r="DL867" s="41"/>
      <c r="DM867" s="41"/>
      <c r="DN867" s="41"/>
      <c r="DO867" s="41"/>
      <c r="DP867" s="41">
        <v>0.25</v>
      </c>
      <c r="DQ867" s="41"/>
      <c r="DR867" s="41"/>
      <c r="DS867" s="43"/>
      <c r="DT867" s="44">
        <f t="shared" ref="DT867" si="849">SUM(F867:DR867)</f>
        <v>1</v>
      </c>
    </row>
    <row r="868" spans="2:124" s="13" customFormat="1">
      <c r="B868" s="4">
        <f>'6.1Personnel List'!B869</f>
        <v>856</v>
      </c>
      <c r="C868" s="45" t="s">
        <v>1083</v>
      </c>
      <c r="D868" s="45" t="str">
        <f>'6.1Personnel List'!D869</f>
        <v>Nurse II</v>
      </c>
      <c r="E868" s="45" t="str">
        <f>'6.1Personnel List'!H869</f>
        <v>FT</v>
      </c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  <c r="AA868" s="41"/>
      <c r="AB868" s="41"/>
      <c r="AC868" s="41"/>
      <c r="AD868" s="41"/>
      <c r="AE868" s="41"/>
      <c r="AF868" s="41"/>
      <c r="AG868" s="41"/>
      <c r="AH868" s="41"/>
      <c r="AI868" s="41"/>
      <c r="AJ868" s="41"/>
      <c r="AK868" s="41"/>
      <c r="AL868" s="41"/>
      <c r="AM868" s="41"/>
      <c r="AN868" s="41"/>
      <c r="AO868" s="41"/>
      <c r="AP868" s="41"/>
      <c r="AQ868" s="41"/>
      <c r="AR868" s="41"/>
      <c r="AS868" s="41"/>
      <c r="AT868" s="41"/>
      <c r="AU868" s="41"/>
      <c r="AV868" s="41"/>
      <c r="AW868" s="41"/>
      <c r="AX868" s="41"/>
      <c r="AY868" s="41"/>
      <c r="AZ868" s="41"/>
      <c r="BA868" s="41"/>
      <c r="BB868" s="41"/>
      <c r="BC868" s="41"/>
      <c r="BD868" s="41"/>
      <c r="BE868" s="41"/>
      <c r="BF868" s="41"/>
      <c r="BG868" s="41"/>
      <c r="BH868" s="41"/>
      <c r="BJ868" s="41"/>
      <c r="BK868" s="41"/>
      <c r="BL868" s="41"/>
      <c r="BM868" s="41"/>
      <c r="BN868" s="41"/>
      <c r="BO868" s="41"/>
      <c r="BP868" s="41"/>
      <c r="BQ868" s="41"/>
      <c r="BR868" s="41"/>
      <c r="BS868" s="41"/>
      <c r="BT868" s="41"/>
      <c r="BU868" s="41"/>
      <c r="BV868" s="41"/>
      <c r="BW868" s="41"/>
      <c r="BX868" s="41"/>
      <c r="BY868" s="41"/>
      <c r="BZ868" s="41"/>
      <c r="CA868" s="41"/>
      <c r="CB868" s="41"/>
      <c r="CC868" s="41"/>
      <c r="CD868" s="41"/>
      <c r="CE868" s="41"/>
      <c r="CF868" s="41"/>
      <c r="CG868" s="41"/>
      <c r="CH868" s="41"/>
      <c r="CI868" s="41"/>
      <c r="CJ868" s="41"/>
      <c r="CK868" s="41"/>
      <c r="CL868" s="41"/>
      <c r="CM868" s="41"/>
      <c r="CN868" s="92">
        <v>0.25</v>
      </c>
      <c r="CO868" s="41"/>
      <c r="CP868" s="41"/>
      <c r="CQ868" s="41"/>
      <c r="CR868" s="41"/>
      <c r="CS868" s="41"/>
      <c r="CT868" s="41"/>
      <c r="CU868" s="41"/>
      <c r="CV868" s="41"/>
      <c r="CW868" s="41"/>
      <c r="CX868" s="41"/>
      <c r="CY868" s="41"/>
      <c r="CZ868" s="41"/>
      <c r="DA868" s="41"/>
      <c r="DB868" s="92">
        <v>0.25</v>
      </c>
      <c r="DC868" s="92">
        <v>0.25</v>
      </c>
      <c r="DD868" s="41"/>
      <c r="DE868" s="41"/>
      <c r="DF868" s="41"/>
      <c r="DG868" s="41"/>
      <c r="DH868" s="41"/>
      <c r="DI868" s="41"/>
      <c r="DJ868" s="92">
        <v>0.25</v>
      </c>
      <c r="DK868" s="41"/>
      <c r="DL868" s="41"/>
      <c r="DM868" s="41"/>
      <c r="DN868" s="41"/>
      <c r="DO868" s="41"/>
      <c r="DP868" s="41"/>
      <c r="DQ868" s="41"/>
      <c r="DR868" s="41"/>
      <c r="DS868" s="43"/>
      <c r="DT868" s="44">
        <f t="shared" ref="DT868" si="850">SUM(F868:DR868)</f>
        <v>1</v>
      </c>
    </row>
    <row r="869" spans="2:124" s="13" customFormat="1">
      <c r="B869" s="4">
        <f>'6.1Personnel List'!B870</f>
        <v>857</v>
      </c>
      <c r="C869" s="45" t="s">
        <v>1084</v>
      </c>
      <c r="D869" s="45" t="str">
        <f>'6.1Personnel List'!D870</f>
        <v>Nurse II</v>
      </c>
      <c r="E869" s="45" t="str">
        <f>'6.1Personnel List'!H870</f>
        <v>FT</v>
      </c>
      <c r="G869" s="4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  <c r="AA869" s="41"/>
      <c r="AB869" s="41"/>
      <c r="AC869" s="41"/>
      <c r="AD869" s="41"/>
      <c r="AE869" s="41"/>
      <c r="AF869" s="41"/>
      <c r="AG869" s="41"/>
      <c r="AH869" s="41"/>
      <c r="AI869" s="41"/>
      <c r="AJ869" s="41"/>
      <c r="AK869" s="41"/>
      <c r="AL869" s="41"/>
      <c r="AM869" s="41"/>
      <c r="AN869" s="41"/>
      <c r="AO869" s="41"/>
      <c r="AP869" s="41"/>
      <c r="AQ869" s="41"/>
      <c r="AR869" s="41"/>
      <c r="AS869" s="41"/>
      <c r="AT869" s="41"/>
      <c r="AU869" s="41"/>
      <c r="AV869" s="41"/>
      <c r="AW869" s="41"/>
      <c r="AX869" s="41"/>
      <c r="AY869" s="41"/>
      <c r="AZ869" s="41"/>
      <c r="BA869" s="41"/>
      <c r="BB869" s="41"/>
      <c r="BC869" s="41"/>
      <c r="BD869" s="41"/>
      <c r="BE869" s="41"/>
      <c r="BF869" s="41"/>
      <c r="BG869" s="41"/>
      <c r="BH869" s="41"/>
      <c r="BJ869" s="41"/>
      <c r="BK869" s="41"/>
      <c r="BL869" s="41"/>
      <c r="BM869" s="41"/>
      <c r="BN869" s="41"/>
      <c r="BO869" s="41"/>
      <c r="BP869" s="41"/>
      <c r="BQ869" s="41"/>
      <c r="BR869" s="41"/>
      <c r="BS869" s="41"/>
      <c r="BT869" s="41"/>
      <c r="BU869" s="41"/>
      <c r="BV869" s="41">
        <v>0.05</v>
      </c>
      <c r="BW869" s="41"/>
      <c r="BX869" s="41"/>
      <c r="BY869" s="41"/>
      <c r="BZ869" s="41"/>
      <c r="CA869" s="41"/>
      <c r="CB869" s="41">
        <v>0.05</v>
      </c>
      <c r="CC869" s="41"/>
      <c r="CD869" s="41"/>
      <c r="CE869" s="41">
        <v>0.05</v>
      </c>
      <c r="CF869" s="41">
        <v>0.02</v>
      </c>
      <c r="CG869" s="41">
        <v>0.03</v>
      </c>
      <c r="CH869" s="41"/>
      <c r="CI869" s="41"/>
      <c r="CJ869" s="41"/>
      <c r="CK869" s="41"/>
      <c r="CL869" s="41">
        <v>0.8</v>
      </c>
      <c r="CM869" s="41"/>
      <c r="CN869" s="41"/>
      <c r="CO869" s="41"/>
      <c r="CP869" s="41"/>
      <c r="CQ869" s="41"/>
      <c r="CR869" s="41"/>
      <c r="CS869" s="41"/>
      <c r="CT869" s="41"/>
      <c r="CU869" s="41"/>
      <c r="CV869" s="41"/>
      <c r="CW869" s="41"/>
      <c r="CX869" s="41"/>
      <c r="CY869" s="41"/>
      <c r="CZ869" s="41"/>
      <c r="DA869" s="41"/>
      <c r="DB869" s="41"/>
      <c r="DC869" s="41"/>
      <c r="DD869" s="41"/>
      <c r="DE869" s="41"/>
      <c r="DF869" s="41"/>
      <c r="DG869" s="41"/>
      <c r="DH869" s="41"/>
      <c r="DI869" s="41"/>
      <c r="DJ869" s="41"/>
      <c r="DK869" s="41"/>
      <c r="DL869" s="41"/>
      <c r="DM869" s="41"/>
      <c r="DN869" s="41"/>
      <c r="DO869" s="41"/>
      <c r="DP869" s="41"/>
      <c r="DQ869" s="41"/>
      <c r="DR869" s="41"/>
      <c r="DS869" s="43"/>
      <c r="DT869" s="44">
        <f t="shared" ref="DT869" si="851">SUM(F869:DR869)</f>
        <v>1</v>
      </c>
    </row>
    <row r="870" spans="2:124" s="13" customFormat="1">
      <c r="B870" s="4">
        <f>'6.1Personnel List'!B871</f>
        <v>858</v>
      </c>
      <c r="C870" s="45" t="s">
        <v>1085</v>
      </c>
      <c r="D870" s="45" t="str">
        <f>'6.1Personnel List'!D871</f>
        <v>Nurse II</v>
      </c>
      <c r="E870" s="45" t="str">
        <f>'6.1Personnel List'!H871</f>
        <v>FT</v>
      </c>
      <c r="G870" s="41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  <c r="AA870" s="41"/>
      <c r="AB870" s="41"/>
      <c r="AC870" s="41"/>
      <c r="AD870" s="41"/>
      <c r="AE870" s="41"/>
      <c r="AF870" s="41"/>
      <c r="AG870" s="41"/>
      <c r="AH870" s="41"/>
      <c r="AI870" s="41"/>
      <c r="AJ870" s="41"/>
      <c r="AK870" s="41"/>
      <c r="AL870" s="41"/>
      <c r="AM870" s="41"/>
      <c r="AN870" s="41"/>
      <c r="AO870" s="41"/>
      <c r="AP870" s="41"/>
      <c r="AQ870" s="41"/>
      <c r="AR870" s="41"/>
      <c r="AS870" s="41"/>
      <c r="AT870" s="41"/>
      <c r="AU870" s="41"/>
      <c r="AV870" s="41"/>
      <c r="AW870" s="41"/>
      <c r="AX870" s="41"/>
      <c r="AY870" s="41"/>
      <c r="AZ870" s="41"/>
      <c r="BA870" s="41"/>
      <c r="BB870" s="41"/>
      <c r="BC870" s="41"/>
      <c r="BD870" s="41"/>
      <c r="BE870" s="41"/>
      <c r="BF870" s="41"/>
      <c r="BG870" s="41"/>
      <c r="BH870" s="41"/>
      <c r="BJ870" s="41"/>
      <c r="BK870" s="94"/>
      <c r="BL870" s="94"/>
      <c r="BM870" s="94"/>
      <c r="BN870" s="94"/>
      <c r="BO870" s="94"/>
      <c r="BP870" s="94"/>
      <c r="BQ870" s="94"/>
      <c r="BR870" s="94"/>
      <c r="BS870" s="94"/>
      <c r="BT870" s="94"/>
      <c r="BU870" s="94"/>
      <c r="BV870" s="94"/>
      <c r="BW870" s="94"/>
      <c r="BX870" s="94"/>
      <c r="BY870" s="94"/>
      <c r="BZ870" s="94"/>
      <c r="CA870" s="94"/>
      <c r="CB870" s="94"/>
      <c r="CC870" s="94"/>
      <c r="CD870" s="94"/>
      <c r="CE870" s="94"/>
      <c r="CF870" s="94"/>
      <c r="CG870" s="94"/>
      <c r="CH870" s="94"/>
      <c r="CI870" s="94"/>
      <c r="CJ870" s="94"/>
      <c r="CK870" s="94"/>
      <c r="CL870" s="94"/>
      <c r="CM870" s="94"/>
      <c r="CN870" s="94"/>
      <c r="CO870" s="94"/>
      <c r="CP870" s="94"/>
      <c r="CQ870" s="94"/>
      <c r="CR870" s="94"/>
      <c r="CS870" s="94"/>
      <c r="CT870" s="94"/>
      <c r="CU870" s="94"/>
      <c r="CV870" s="94"/>
      <c r="CW870" s="94"/>
      <c r="CX870" s="94"/>
      <c r="CY870" s="94"/>
      <c r="CZ870" s="94"/>
      <c r="DA870" s="94"/>
      <c r="DB870" s="94"/>
      <c r="DC870" s="94"/>
      <c r="DD870" s="94"/>
      <c r="DE870" s="94"/>
      <c r="DF870" s="94"/>
      <c r="DG870" s="94"/>
      <c r="DH870" s="94"/>
      <c r="DI870" s="94"/>
      <c r="DJ870" s="94"/>
      <c r="DK870" s="41">
        <v>1</v>
      </c>
      <c r="DL870" s="41"/>
      <c r="DM870" s="41"/>
      <c r="DN870" s="41"/>
      <c r="DO870" s="41"/>
      <c r="DP870" s="41"/>
      <c r="DQ870" s="41"/>
      <c r="DR870" s="41"/>
      <c r="DS870" s="43"/>
      <c r="DT870" s="44">
        <f t="shared" ref="DT870" si="852">SUM(F870:DR870)</f>
        <v>1</v>
      </c>
    </row>
    <row r="871" spans="2:124" s="13" customFormat="1">
      <c r="B871" s="4">
        <f>'6.1Personnel List'!B872</f>
        <v>859</v>
      </c>
      <c r="C871" s="45" t="s">
        <v>1086</v>
      </c>
      <c r="D871" s="45" t="str">
        <f>'6.1Personnel List'!D872</f>
        <v>Nurse II</v>
      </c>
      <c r="E871" s="45" t="str">
        <f>'6.1Personnel List'!H872</f>
        <v>FT</v>
      </c>
      <c r="G871" s="41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  <c r="AA871" s="41"/>
      <c r="AB871" s="41"/>
      <c r="AC871" s="41"/>
      <c r="AD871" s="41"/>
      <c r="AE871" s="41"/>
      <c r="AF871" s="41"/>
      <c r="AG871" s="41"/>
      <c r="AH871" s="41"/>
      <c r="AI871" s="41"/>
      <c r="AJ871" s="41"/>
      <c r="AK871" s="41"/>
      <c r="AL871" s="41"/>
      <c r="AM871" s="41"/>
      <c r="AN871" s="41"/>
      <c r="AO871" s="41"/>
      <c r="AP871" s="41"/>
      <c r="AQ871" s="41"/>
      <c r="AR871" s="41"/>
      <c r="AS871" s="41"/>
      <c r="AT871" s="41"/>
      <c r="AU871" s="41"/>
      <c r="AV871" s="41"/>
      <c r="AW871" s="41"/>
      <c r="AX871" s="41"/>
      <c r="AY871" s="41"/>
      <c r="AZ871" s="41"/>
      <c r="BA871" s="41"/>
      <c r="BB871" s="41"/>
      <c r="BC871" s="41"/>
      <c r="BD871" s="41"/>
      <c r="BE871" s="41"/>
      <c r="BF871" s="41"/>
      <c r="BG871" s="41"/>
      <c r="BH871" s="41"/>
      <c r="BJ871" s="41"/>
      <c r="BK871" s="41"/>
      <c r="BL871" s="41"/>
      <c r="BM871" s="41"/>
      <c r="BN871" s="41"/>
      <c r="BO871" s="41"/>
      <c r="BP871" s="41"/>
      <c r="BQ871" s="41"/>
      <c r="BR871" s="41"/>
      <c r="BS871" s="41">
        <v>0.05</v>
      </c>
      <c r="BT871" s="41"/>
      <c r="BU871" s="41">
        <v>0.05</v>
      </c>
      <c r="BV871" s="41">
        <v>0.05</v>
      </c>
      <c r="BW871" s="41">
        <v>0.05</v>
      </c>
      <c r="BX871" s="41"/>
      <c r="BY871" s="41"/>
      <c r="BZ871" s="41"/>
      <c r="CA871" s="41"/>
      <c r="CB871" s="41"/>
      <c r="CC871" s="41"/>
      <c r="CD871" s="41"/>
      <c r="CE871" s="41">
        <v>0.05</v>
      </c>
      <c r="CF871" s="41">
        <v>0.03</v>
      </c>
      <c r="CG871" s="41">
        <v>0.02</v>
      </c>
      <c r="CH871" s="41">
        <v>0.05</v>
      </c>
      <c r="CI871" s="41">
        <v>0.05</v>
      </c>
      <c r="CJ871" s="41"/>
      <c r="CK871" s="41"/>
      <c r="CL871" s="41"/>
      <c r="CM871" s="41"/>
      <c r="CN871" s="41"/>
      <c r="CO871" s="41"/>
      <c r="CP871" s="41"/>
      <c r="CQ871" s="41">
        <v>0.3</v>
      </c>
      <c r="CR871" s="41"/>
      <c r="CS871" s="41"/>
      <c r="CT871" s="41"/>
      <c r="CU871" s="41"/>
      <c r="CV871" s="41"/>
      <c r="CW871" s="41"/>
      <c r="CX871" s="41"/>
      <c r="CY871" s="41"/>
      <c r="CZ871" s="41"/>
      <c r="DA871" s="41"/>
      <c r="DB871" s="41"/>
      <c r="DC871" s="41"/>
      <c r="DD871" s="41"/>
      <c r="DE871" s="41"/>
      <c r="DF871" s="41"/>
      <c r="DG871" s="41"/>
      <c r="DH871" s="41"/>
      <c r="DI871" s="41"/>
      <c r="DJ871" s="41"/>
      <c r="DK871" s="41">
        <v>0.3</v>
      </c>
      <c r="DL871" s="41"/>
      <c r="DM871" s="41"/>
      <c r="DN871" s="41"/>
      <c r="DO871" s="41"/>
      <c r="DP871" s="41"/>
      <c r="DQ871" s="41"/>
      <c r="DR871" s="41"/>
      <c r="DS871" s="43"/>
      <c r="DT871" s="44">
        <f t="shared" ref="DT871" si="853">SUM(F871:DR871)</f>
        <v>1</v>
      </c>
    </row>
    <row r="872" spans="2:124" s="13" customFormat="1">
      <c r="B872" s="4">
        <f>'6.1Personnel List'!B873</f>
        <v>860</v>
      </c>
      <c r="C872" s="45" t="s">
        <v>1087</v>
      </c>
      <c r="D872" s="45" t="str">
        <f>'6.1Personnel List'!D873</f>
        <v>Nurse II</v>
      </c>
      <c r="E872" s="45" t="str">
        <f>'6.1Personnel List'!H873</f>
        <v>FT</v>
      </c>
      <c r="G872" s="41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  <c r="AA872" s="41"/>
      <c r="AB872" s="41"/>
      <c r="AC872" s="41"/>
      <c r="AD872" s="41"/>
      <c r="AE872" s="41"/>
      <c r="AF872" s="41"/>
      <c r="AG872" s="41"/>
      <c r="AH872" s="41"/>
      <c r="AI872" s="41"/>
      <c r="AJ872" s="41"/>
      <c r="AK872" s="41"/>
      <c r="AL872" s="41"/>
      <c r="AM872" s="41"/>
      <c r="AN872" s="41"/>
      <c r="AO872" s="41"/>
      <c r="AP872" s="41"/>
      <c r="AQ872" s="41"/>
      <c r="AR872" s="41"/>
      <c r="AS872" s="41"/>
      <c r="AT872" s="41"/>
      <c r="AU872" s="41"/>
      <c r="AV872" s="41"/>
      <c r="AW872" s="41"/>
      <c r="AX872" s="41"/>
      <c r="AY872" s="41"/>
      <c r="AZ872" s="41"/>
      <c r="BA872" s="41"/>
      <c r="BB872" s="41"/>
      <c r="BC872" s="41"/>
      <c r="BD872" s="41"/>
      <c r="BE872" s="41"/>
      <c r="BF872" s="41"/>
      <c r="BG872" s="41"/>
      <c r="BH872" s="41"/>
      <c r="BJ872" s="41"/>
      <c r="BK872" s="41"/>
      <c r="BL872" s="41"/>
      <c r="BM872" s="41"/>
      <c r="BN872" s="41"/>
      <c r="BO872" s="41"/>
      <c r="BP872" s="41"/>
      <c r="BQ872" s="41"/>
      <c r="BR872" s="41"/>
      <c r="BS872" s="41"/>
      <c r="BT872" s="41"/>
      <c r="BU872" s="41"/>
      <c r="BV872" s="41"/>
      <c r="BW872" s="41"/>
      <c r="BX872" s="41"/>
      <c r="BY872" s="41"/>
      <c r="BZ872" s="41"/>
      <c r="CA872" s="41"/>
      <c r="CB872" s="41">
        <v>0.01</v>
      </c>
      <c r="CC872" s="41"/>
      <c r="CD872" s="41"/>
      <c r="CE872" s="41">
        <v>0.02</v>
      </c>
      <c r="CF872" s="41">
        <v>0.02</v>
      </c>
      <c r="CG872" s="41">
        <v>0.1</v>
      </c>
      <c r="CH872" s="41">
        <v>0.1</v>
      </c>
      <c r="CI872" s="41">
        <v>0.02</v>
      </c>
      <c r="CJ872" s="41"/>
      <c r="CK872" s="41">
        <v>0.01</v>
      </c>
      <c r="CL872" s="41">
        <v>0.05</v>
      </c>
      <c r="CM872" s="41"/>
      <c r="CN872" s="41">
        <v>0.05</v>
      </c>
      <c r="CO872" s="41">
        <v>0.05</v>
      </c>
      <c r="CP872" s="41">
        <v>0.05</v>
      </c>
      <c r="CQ872" s="41">
        <v>0.05</v>
      </c>
      <c r="CR872" s="41">
        <v>0.02</v>
      </c>
      <c r="CS872" s="41">
        <v>0.01</v>
      </c>
      <c r="CT872" s="41"/>
      <c r="CU872" s="41"/>
      <c r="CV872" s="41">
        <v>0.02</v>
      </c>
      <c r="CW872" s="41"/>
      <c r="CX872" s="41"/>
      <c r="CY872" s="41"/>
      <c r="CZ872" s="41"/>
      <c r="DA872" s="41"/>
      <c r="DB872" s="41"/>
      <c r="DC872" s="41"/>
      <c r="DD872" s="41">
        <v>0.12</v>
      </c>
      <c r="DE872" s="41"/>
      <c r="DF872" s="41"/>
      <c r="DG872" s="41"/>
      <c r="DH872" s="41"/>
      <c r="DI872" s="41"/>
      <c r="DJ872" s="41">
        <v>0.05</v>
      </c>
      <c r="DK872" s="41">
        <v>0.05</v>
      </c>
      <c r="DL872" s="41">
        <v>0.05</v>
      </c>
      <c r="DM872" s="41">
        <v>0.05</v>
      </c>
      <c r="DN872" s="41"/>
      <c r="DO872" s="41"/>
      <c r="DP872" s="41">
        <v>0.05</v>
      </c>
      <c r="DQ872" s="41"/>
      <c r="DR872" s="41">
        <v>0.05</v>
      </c>
      <c r="DS872" s="43"/>
      <c r="DT872" s="44">
        <f t="shared" ref="DT872" si="854">SUM(F872:DR872)</f>
        <v>1.0000000000000002</v>
      </c>
    </row>
    <row r="873" spans="2:124" s="13" customFormat="1">
      <c r="B873" s="4">
        <f>'6.1Personnel List'!B874</f>
        <v>861</v>
      </c>
      <c r="C873" s="45" t="s">
        <v>1088</v>
      </c>
      <c r="D873" s="45" t="str">
        <f>'6.1Personnel List'!D874</f>
        <v>Nurse II</v>
      </c>
      <c r="E873" s="45" t="str">
        <f>'6.1Personnel List'!H874</f>
        <v>FT</v>
      </c>
      <c r="G873" s="41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  <c r="AA873" s="41"/>
      <c r="AB873" s="41"/>
      <c r="AC873" s="41"/>
      <c r="AD873" s="41"/>
      <c r="AE873" s="41"/>
      <c r="AF873" s="41"/>
      <c r="AG873" s="41"/>
      <c r="AH873" s="41"/>
      <c r="AI873" s="41"/>
      <c r="AJ873" s="41"/>
      <c r="AK873" s="41"/>
      <c r="AL873" s="41"/>
      <c r="AM873" s="41"/>
      <c r="AN873" s="41"/>
      <c r="AO873" s="41"/>
      <c r="AP873" s="41"/>
      <c r="AQ873" s="41"/>
      <c r="AR873" s="41"/>
      <c r="AS873" s="41"/>
      <c r="AT873" s="41"/>
      <c r="AU873" s="41"/>
      <c r="AV873" s="41"/>
      <c r="AW873" s="41"/>
      <c r="AX873" s="41"/>
      <c r="AY873" s="41"/>
      <c r="AZ873" s="41"/>
      <c r="BA873" s="41"/>
      <c r="BB873" s="41"/>
      <c r="BC873" s="41"/>
      <c r="BD873" s="41"/>
      <c r="BE873" s="41"/>
      <c r="BF873" s="41"/>
      <c r="BG873" s="41"/>
      <c r="BH873" s="41"/>
      <c r="BJ873" s="41"/>
      <c r="BK873" s="41"/>
      <c r="BL873" s="41"/>
      <c r="BM873" s="41"/>
      <c r="BN873" s="41"/>
      <c r="BO873" s="41"/>
      <c r="BP873" s="41"/>
      <c r="BQ873" s="41"/>
      <c r="BR873" s="41"/>
      <c r="BS873" s="41"/>
      <c r="BT873" s="41"/>
      <c r="BU873" s="41"/>
      <c r="BV873" s="41"/>
      <c r="BW873" s="41"/>
      <c r="BX873" s="41"/>
      <c r="BY873" s="41"/>
      <c r="BZ873" s="41"/>
      <c r="CA873" s="41"/>
      <c r="CB873" s="41"/>
      <c r="CC873" s="41"/>
      <c r="CD873" s="41"/>
      <c r="CE873" s="41"/>
      <c r="CF873" s="41"/>
      <c r="CG873" s="41"/>
      <c r="CH873" s="41"/>
      <c r="CI873" s="41"/>
      <c r="CJ873" s="41"/>
      <c r="CK873" s="41"/>
      <c r="CL873" s="41"/>
      <c r="CM873" s="41"/>
      <c r="CN873" s="92">
        <v>0.25</v>
      </c>
      <c r="CO873" s="41"/>
      <c r="CP873" s="41"/>
      <c r="CQ873" s="41"/>
      <c r="CR873" s="41"/>
      <c r="CS873" s="41"/>
      <c r="CT873" s="41"/>
      <c r="CU873" s="41"/>
      <c r="CV873" s="41"/>
      <c r="CW873" s="41"/>
      <c r="CX873" s="41"/>
      <c r="CY873" s="41"/>
      <c r="CZ873" s="41"/>
      <c r="DA873" s="41"/>
      <c r="DB873" s="92">
        <v>0.25</v>
      </c>
      <c r="DC873" s="92">
        <v>0.25</v>
      </c>
      <c r="DD873" s="41"/>
      <c r="DE873" s="41"/>
      <c r="DF873" s="41"/>
      <c r="DG873" s="41"/>
      <c r="DH873" s="41"/>
      <c r="DI873" s="41"/>
      <c r="DJ873" s="92">
        <v>0.25</v>
      </c>
      <c r="DK873" s="41"/>
      <c r="DL873" s="41"/>
      <c r="DM873" s="41"/>
      <c r="DN873" s="41"/>
      <c r="DO873" s="41"/>
      <c r="DP873" s="41"/>
      <c r="DQ873" s="41"/>
      <c r="DR873" s="41"/>
      <c r="DS873" s="43"/>
      <c r="DT873" s="44">
        <f t="shared" ref="DT873" si="855">SUM(F873:DR873)</f>
        <v>1</v>
      </c>
    </row>
    <row r="874" spans="2:124" s="13" customFormat="1">
      <c r="B874" s="4">
        <f>'6.1Personnel List'!B875</f>
        <v>862</v>
      </c>
      <c r="C874" s="45" t="s">
        <v>1089</v>
      </c>
      <c r="D874" s="45" t="str">
        <f>'6.1Personnel List'!D875</f>
        <v>Nurse II</v>
      </c>
      <c r="E874" s="45" t="str">
        <f>'6.1Personnel List'!H875</f>
        <v>FT</v>
      </c>
      <c r="G874" s="41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  <c r="AA874" s="41"/>
      <c r="AB874" s="41"/>
      <c r="AC874" s="41"/>
      <c r="AD874" s="41"/>
      <c r="AE874" s="41"/>
      <c r="AF874" s="41"/>
      <c r="AG874" s="41"/>
      <c r="AH874" s="41"/>
      <c r="AI874" s="41"/>
      <c r="AJ874" s="41"/>
      <c r="AK874" s="41"/>
      <c r="AL874" s="41"/>
      <c r="AM874" s="41"/>
      <c r="AN874" s="41"/>
      <c r="AO874" s="41"/>
      <c r="AP874" s="41"/>
      <c r="AQ874" s="41"/>
      <c r="AR874" s="41"/>
      <c r="AS874" s="41"/>
      <c r="AT874" s="41"/>
      <c r="AU874" s="41"/>
      <c r="AV874" s="41"/>
      <c r="AW874" s="41"/>
      <c r="AX874" s="41"/>
      <c r="AY874" s="41"/>
      <c r="AZ874" s="41"/>
      <c r="BA874" s="41"/>
      <c r="BB874" s="41"/>
      <c r="BC874" s="41"/>
      <c r="BD874" s="41"/>
      <c r="BE874" s="41"/>
      <c r="BF874" s="41"/>
      <c r="BG874" s="41"/>
      <c r="BH874" s="41"/>
      <c r="BJ874" s="41"/>
      <c r="BK874" s="41"/>
      <c r="BL874" s="41"/>
      <c r="BM874" s="41"/>
      <c r="BN874" s="41"/>
      <c r="BO874" s="41"/>
      <c r="BP874" s="41"/>
      <c r="BQ874" s="41"/>
      <c r="BR874" s="41"/>
      <c r="BS874" s="41"/>
      <c r="BT874" s="41"/>
      <c r="BU874" s="41"/>
      <c r="BV874" s="41">
        <v>0.05</v>
      </c>
      <c r="BW874" s="41"/>
      <c r="BX874" s="41"/>
      <c r="BY874" s="41"/>
      <c r="BZ874" s="41"/>
      <c r="CA874" s="41"/>
      <c r="CB874" s="41">
        <v>0.05</v>
      </c>
      <c r="CC874" s="41"/>
      <c r="CD874" s="41"/>
      <c r="CE874" s="41">
        <v>0.05</v>
      </c>
      <c r="CF874" s="41">
        <v>0.05</v>
      </c>
      <c r="CG874" s="41"/>
      <c r="CH874" s="41"/>
      <c r="CI874" s="41"/>
      <c r="CJ874" s="41"/>
      <c r="CK874" s="41"/>
      <c r="CL874" s="41">
        <v>0.8</v>
      </c>
      <c r="CM874" s="41"/>
      <c r="CN874" s="41"/>
      <c r="CO874" s="41"/>
      <c r="CP874" s="41"/>
      <c r="CQ874" s="41"/>
      <c r="CR874" s="41"/>
      <c r="CS874" s="41"/>
      <c r="CT874" s="41"/>
      <c r="CU874" s="41"/>
      <c r="CV874" s="41"/>
      <c r="CW874" s="41"/>
      <c r="CX874" s="41"/>
      <c r="CY874" s="41"/>
      <c r="CZ874" s="41"/>
      <c r="DA874" s="41"/>
      <c r="DB874" s="41"/>
      <c r="DC874" s="41"/>
      <c r="DD874" s="41"/>
      <c r="DE874" s="41"/>
      <c r="DF874" s="41"/>
      <c r="DG874" s="41"/>
      <c r="DH874" s="41"/>
      <c r="DI874" s="41"/>
      <c r="DJ874" s="41"/>
      <c r="DK874" s="41"/>
      <c r="DL874" s="41"/>
      <c r="DM874" s="41"/>
      <c r="DN874" s="41"/>
      <c r="DO874" s="41"/>
      <c r="DP874" s="41"/>
      <c r="DQ874" s="41"/>
      <c r="DR874" s="41"/>
      <c r="DS874" s="43"/>
      <c r="DT874" s="44">
        <f t="shared" ref="DT874" si="856">SUM(F874:DR874)</f>
        <v>1</v>
      </c>
    </row>
    <row r="875" spans="2:124" s="13" customFormat="1">
      <c r="B875" s="4">
        <f>'6.1Personnel List'!B876</f>
        <v>863</v>
      </c>
      <c r="C875" s="45" t="s">
        <v>1090</v>
      </c>
      <c r="D875" s="45" t="str">
        <f>'6.1Personnel List'!D876</f>
        <v>Nurse II</v>
      </c>
      <c r="E875" s="45" t="str">
        <f>'6.1Personnel List'!H876</f>
        <v>FT</v>
      </c>
      <c r="G875" s="41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  <c r="AA875" s="41"/>
      <c r="AB875" s="41"/>
      <c r="AC875" s="41"/>
      <c r="AD875" s="41"/>
      <c r="AE875" s="41"/>
      <c r="AF875" s="41"/>
      <c r="AG875" s="41"/>
      <c r="AH875" s="41"/>
      <c r="AI875" s="41"/>
      <c r="AJ875" s="41"/>
      <c r="AK875" s="41"/>
      <c r="AL875" s="41"/>
      <c r="AM875" s="41"/>
      <c r="AN875" s="41"/>
      <c r="AO875" s="41"/>
      <c r="AP875" s="41"/>
      <c r="AQ875" s="41"/>
      <c r="AR875" s="41"/>
      <c r="AS875" s="41"/>
      <c r="AT875" s="41"/>
      <c r="AU875" s="41"/>
      <c r="AV875" s="41"/>
      <c r="AW875" s="41"/>
      <c r="AX875" s="41"/>
      <c r="AY875" s="41"/>
      <c r="AZ875" s="41"/>
      <c r="BA875" s="41"/>
      <c r="BB875" s="41"/>
      <c r="BC875" s="41"/>
      <c r="BD875" s="41"/>
      <c r="BE875" s="41"/>
      <c r="BF875" s="41"/>
      <c r="BG875" s="41"/>
      <c r="BH875" s="41"/>
      <c r="BJ875" s="41"/>
      <c r="BK875" s="41"/>
      <c r="BL875" s="41"/>
      <c r="BM875" s="41"/>
      <c r="BN875" s="41"/>
      <c r="BO875" s="41"/>
      <c r="BP875" s="41"/>
      <c r="BQ875" s="41"/>
      <c r="BR875" s="41"/>
      <c r="BS875" s="41"/>
      <c r="BT875" s="41"/>
      <c r="BU875" s="41"/>
      <c r="BV875" s="41"/>
      <c r="BW875" s="41"/>
      <c r="BX875" s="41"/>
      <c r="BY875" s="41"/>
      <c r="BZ875" s="41"/>
      <c r="CA875" s="41"/>
      <c r="CB875" s="41"/>
      <c r="CC875" s="41"/>
      <c r="CD875" s="41"/>
      <c r="CE875" s="41"/>
      <c r="CF875" s="41"/>
      <c r="CG875" s="41"/>
      <c r="CH875" s="41"/>
      <c r="CI875" s="41"/>
      <c r="CJ875" s="41"/>
      <c r="CK875" s="41"/>
      <c r="CL875" s="41"/>
      <c r="CM875" s="41"/>
      <c r="CN875" s="92">
        <v>0.25</v>
      </c>
      <c r="CO875" s="41"/>
      <c r="CP875" s="41"/>
      <c r="CQ875" s="41"/>
      <c r="CR875" s="41"/>
      <c r="CS875" s="41"/>
      <c r="CT875" s="41"/>
      <c r="CU875" s="41"/>
      <c r="CV875" s="41"/>
      <c r="CW875" s="41"/>
      <c r="CX875" s="41"/>
      <c r="CY875" s="41"/>
      <c r="CZ875" s="41"/>
      <c r="DA875" s="41"/>
      <c r="DB875" s="92">
        <v>0.25</v>
      </c>
      <c r="DC875" s="92">
        <v>0.25</v>
      </c>
      <c r="DD875" s="41"/>
      <c r="DE875" s="41"/>
      <c r="DF875" s="41"/>
      <c r="DG875" s="41"/>
      <c r="DH875" s="41"/>
      <c r="DI875" s="41"/>
      <c r="DJ875" s="92">
        <v>0.25</v>
      </c>
      <c r="DK875" s="41"/>
      <c r="DL875" s="41"/>
      <c r="DM875" s="41"/>
      <c r="DN875" s="41"/>
      <c r="DO875" s="41"/>
      <c r="DP875" s="41"/>
      <c r="DQ875" s="41"/>
      <c r="DR875" s="41"/>
      <c r="DS875" s="43"/>
      <c r="DT875" s="44">
        <f t="shared" ref="DT875" si="857">SUM(F875:DR875)</f>
        <v>1</v>
      </c>
    </row>
    <row r="876" spans="2:124" s="13" customFormat="1">
      <c r="B876" s="4">
        <f>'6.1Personnel List'!B877</f>
        <v>864</v>
      </c>
      <c r="C876" s="45" t="s">
        <v>1091</v>
      </c>
      <c r="D876" s="45" t="str">
        <f>'6.1Personnel List'!D877</f>
        <v>Nurse II</v>
      </c>
      <c r="E876" s="45" t="str">
        <f>'6.1Personnel List'!H877</f>
        <v>FT</v>
      </c>
      <c r="G876" s="41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  <c r="AA876" s="41"/>
      <c r="AB876" s="41"/>
      <c r="AC876" s="41"/>
      <c r="AD876" s="41"/>
      <c r="AE876" s="41"/>
      <c r="AF876" s="41"/>
      <c r="AG876" s="41"/>
      <c r="AH876" s="41"/>
      <c r="AI876" s="41"/>
      <c r="AJ876" s="41"/>
      <c r="AK876" s="41"/>
      <c r="AL876" s="41"/>
      <c r="AM876" s="41"/>
      <c r="AN876" s="41"/>
      <c r="AO876" s="41"/>
      <c r="AP876" s="41"/>
      <c r="AQ876" s="41"/>
      <c r="AR876" s="41"/>
      <c r="AS876" s="41"/>
      <c r="AT876" s="41"/>
      <c r="AU876" s="41"/>
      <c r="AV876" s="41"/>
      <c r="AW876" s="41"/>
      <c r="AX876" s="41"/>
      <c r="AY876" s="41"/>
      <c r="AZ876" s="41"/>
      <c r="BA876" s="41"/>
      <c r="BB876" s="41"/>
      <c r="BC876" s="41"/>
      <c r="BD876" s="41"/>
      <c r="BE876" s="41"/>
      <c r="BF876" s="41"/>
      <c r="BG876" s="41"/>
      <c r="BH876" s="41"/>
      <c r="BJ876" s="41"/>
      <c r="BK876" s="41"/>
      <c r="BL876" s="41"/>
      <c r="BM876" s="41"/>
      <c r="BN876" s="41"/>
      <c r="BO876" s="41"/>
      <c r="BP876" s="41"/>
      <c r="BQ876" s="41"/>
      <c r="BR876" s="41"/>
      <c r="BS876" s="41"/>
      <c r="BT876" s="41"/>
      <c r="BU876" s="41"/>
      <c r="BV876" s="41"/>
      <c r="BW876" s="41"/>
      <c r="BX876" s="41"/>
      <c r="BY876" s="41"/>
      <c r="BZ876" s="41"/>
      <c r="CA876" s="41"/>
      <c r="CB876" s="41"/>
      <c r="CC876" s="41"/>
      <c r="CD876" s="41"/>
      <c r="CE876" s="41"/>
      <c r="CF876" s="41"/>
      <c r="CG876" s="41"/>
      <c r="CH876" s="41"/>
      <c r="CI876" s="41"/>
      <c r="CJ876" s="41"/>
      <c r="CK876" s="41"/>
      <c r="CL876" s="41"/>
      <c r="CM876" s="41"/>
      <c r="CN876" s="92">
        <v>0.25</v>
      </c>
      <c r="CO876" s="41"/>
      <c r="CP876" s="41"/>
      <c r="CQ876" s="41"/>
      <c r="CR876" s="41"/>
      <c r="CS876" s="41"/>
      <c r="CT876" s="41"/>
      <c r="CU876" s="41"/>
      <c r="CV876" s="41"/>
      <c r="CW876" s="41"/>
      <c r="CX876" s="41"/>
      <c r="CY876" s="41"/>
      <c r="CZ876" s="41"/>
      <c r="DA876" s="41"/>
      <c r="DB876" s="92">
        <v>0.25</v>
      </c>
      <c r="DC876" s="92">
        <v>0.25</v>
      </c>
      <c r="DD876" s="41"/>
      <c r="DE876" s="41"/>
      <c r="DF876" s="41"/>
      <c r="DG876" s="41"/>
      <c r="DH876" s="41"/>
      <c r="DI876" s="41"/>
      <c r="DJ876" s="92">
        <v>0.25</v>
      </c>
      <c r="DK876" s="41"/>
      <c r="DL876" s="41"/>
      <c r="DM876" s="41"/>
      <c r="DN876" s="41"/>
      <c r="DO876" s="41"/>
      <c r="DP876" s="41"/>
      <c r="DQ876" s="41"/>
      <c r="DR876" s="41"/>
      <c r="DS876" s="43"/>
      <c r="DT876" s="44">
        <f t="shared" ref="DT876" si="858">SUM(F876:DR876)</f>
        <v>1</v>
      </c>
    </row>
    <row r="877" spans="2:124" s="13" customFormat="1">
      <c r="B877" s="4">
        <f>'6.1Personnel List'!B878</f>
        <v>865</v>
      </c>
      <c r="C877" s="45" t="s">
        <v>1092</v>
      </c>
      <c r="D877" s="45" t="str">
        <f>'6.1Personnel List'!D878</f>
        <v>Nurse II</v>
      </c>
      <c r="E877" s="45" t="str">
        <f>'6.1Personnel List'!H878</f>
        <v>FT</v>
      </c>
      <c r="G877" s="41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  <c r="AA877" s="41"/>
      <c r="AB877" s="41"/>
      <c r="AC877" s="41"/>
      <c r="AD877" s="41"/>
      <c r="AE877" s="41"/>
      <c r="AF877" s="41"/>
      <c r="AG877" s="41"/>
      <c r="AH877" s="41"/>
      <c r="AI877" s="41"/>
      <c r="AJ877" s="41"/>
      <c r="AK877" s="41"/>
      <c r="AL877" s="41"/>
      <c r="AM877" s="41"/>
      <c r="AN877" s="41"/>
      <c r="AO877" s="41"/>
      <c r="AP877" s="41"/>
      <c r="AQ877" s="41"/>
      <c r="AR877" s="41"/>
      <c r="AS877" s="41"/>
      <c r="AT877" s="41"/>
      <c r="AU877" s="41"/>
      <c r="AV877" s="41"/>
      <c r="AW877" s="41"/>
      <c r="AX877" s="41"/>
      <c r="AY877" s="41"/>
      <c r="AZ877" s="41"/>
      <c r="BA877" s="41"/>
      <c r="BB877" s="41"/>
      <c r="BC877" s="41"/>
      <c r="BD877" s="41"/>
      <c r="BE877" s="41"/>
      <c r="BF877" s="41"/>
      <c r="BG877" s="41"/>
      <c r="BH877" s="41"/>
      <c r="BJ877" s="41"/>
      <c r="BK877" s="41"/>
      <c r="BL877" s="41"/>
      <c r="BM877" s="41"/>
      <c r="BN877" s="41"/>
      <c r="BO877" s="41"/>
      <c r="BP877" s="41"/>
      <c r="BQ877" s="41"/>
      <c r="BR877" s="41"/>
      <c r="BS877" s="41"/>
      <c r="BT877" s="41"/>
      <c r="BU877" s="41"/>
      <c r="BV877" s="41"/>
      <c r="BW877" s="41"/>
      <c r="BX877" s="41"/>
      <c r="BY877" s="41"/>
      <c r="BZ877" s="41"/>
      <c r="CA877" s="41"/>
      <c r="CB877" s="41"/>
      <c r="CC877" s="41"/>
      <c r="CD877" s="41"/>
      <c r="CE877" s="41"/>
      <c r="CF877" s="41"/>
      <c r="CG877" s="41"/>
      <c r="CH877" s="41"/>
      <c r="CI877" s="41"/>
      <c r="CJ877" s="41"/>
      <c r="CK877" s="41"/>
      <c r="CL877" s="41"/>
      <c r="CM877" s="41"/>
      <c r="CN877" s="92">
        <v>0.25</v>
      </c>
      <c r="CO877" s="41"/>
      <c r="CP877" s="41"/>
      <c r="CQ877" s="41"/>
      <c r="CR877" s="41"/>
      <c r="CS877" s="41"/>
      <c r="CT877" s="41"/>
      <c r="CU877" s="41"/>
      <c r="CV877" s="41"/>
      <c r="CW877" s="41"/>
      <c r="CX877" s="41"/>
      <c r="CY877" s="41"/>
      <c r="CZ877" s="41"/>
      <c r="DA877" s="41"/>
      <c r="DB877" s="92">
        <v>0.25</v>
      </c>
      <c r="DC877" s="92">
        <v>0.25</v>
      </c>
      <c r="DD877" s="41"/>
      <c r="DE877" s="41"/>
      <c r="DF877" s="41"/>
      <c r="DG877" s="41"/>
      <c r="DH877" s="41"/>
      <c r="DI877" s="41"/>
      <c r="DJ877" s="92">
        <v>0.25</v>
      </c>
      <c r="DK877" s="41"/>
      <c r="DL877" s="41"/>
      <c r="DM877" s="41"/>
      <c r="DN877" s="41"/>
      <c r="DO877" s="41"/>
      <c r="DP877" s="41"/>
      <c r="DQ877" s="41"/>
      <c r="DR877" s="41"/>
      <c r="DS877" s="43"/>
      <c r="DT877" s="44">
        <f t="shared" ref="DT877" si="859">SUM(F877:DR877)</f>
        <v>1</v>
      </c>
    </row>
    <row r="878" spans="2:124" s="13" customFormat="1">
      <c r="B878" s="4">
        <f>'6.1Personnel List'!B879</f>
        <v>866</v>
      </c>
      <c r="C878" s="45" t="s">
        <v>1093</v>
      </c>
      <c r="D878" s="45" t="str">
        <f>'6.1Personnel List'!D879</f>
        <v>Nurse II</v>
      </c>
      <c r="E878" s="45" t="str">
        <f>'6.1Personnel List'!H879</f>
        <v>FT</v>
      </c>
      <c r="G878" s="41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  <c r="AA878" s="41"/>
      <c r="AB878" s="41"/>
      <c r="AC878" s="41"/>
      <c r="AD878" s="41"/>
      <c r="AE878" s="41"/>
      <c r="AF878" s="41"/>
      <c r="AG878" s="41"/>
      <c r="AH878" s="41"/>
      <c r="AI878" s="41"/>
      <c r="AJ878" s="41"/>
      <c r="AK878" s="41"/>
      <c r="AL878" s="41"/>
      <c r="AM878" s="41"/>
      <c r="AN878" s="41"/>
      <c r="AO878" s="41"/>
      <c r="AP878" s="41"/>
      <c r="AQ878" s="41"/>
      <c r="AR878" s="41"/>
      <c r="AS878" s="41"/>
      <c r="AT878" s="41"/>
      <c r="AU878" s="41"/>
      <c r="AV878" s="41"/>
      <c r="AW878" s="41"/>
      <c r="AX878" s="41"/>
      <c r="AY878" s="41"/>
      <c r="AZ878" s="41"/>
      <c r="BA878" s="41"/>
      <c r="BB878" s="41"/>
      <c r="BC878" s="41"/>
      <c r="BD878" s="41"/>
      <c r="BE878" s="41"/>
      <c r="BF878" s="41"/>
      <c r="BG878" s="41"/>
      <c r="BH878" s="41"/>
      <c r="BJ878" s="41"/>
      <c r="BK878" s="41"/>
      <c r="BL878" s="41"/>
      <c r="BM878" s="41"/>
      <c r="BN878" s="41"/>
      <c r="BO878" s="41"/>
      <c r="BP878" s="41"/>
      <c r="BQ878" s="41"/>
      <c r="BR878" s="41"/>
      <c r="BS878" s="41">
        <v>0.05</v>
      </c>
      <c r="BT878" s="41"/>
      <c r="BU878" s="41"/>
      <c r="BV878" s="41">
        <v>0.05</v>
      </c>
      <c r="BW878" s="41">
        <v>0.05</v>
      </c>
      <c r="BX878" s="41"/>
      <c r="BY878" s="41"/>
      <c r="BZ878" s="41"/>
      <c r="CA878" s="41"/>
      <c r="CB878" s="41"/>
      <c r="CC878" s="41"/>
      <c r="CD878" s="41"/>
      <c r="CE878" s="41">
        <v>0.1</v>
      </c>
      <c r="CF878" s="41">
        <v>0.05</v>
      </c>
      <c r="CG878" s="41">
        <v>0.05</v>
      </c>
      <c r="CH878" s="41">
        <v>0.05</v>
      </c>
      <c r="CI878" s="41"/>
      <c r="CJ878" s="41">
        <v>0.05</v>
      </c>
      <c r="CK878" s="41"/>
      <c r="CL878" s="41">
        <v>0.2</v>
      </c>
      <c r="CM878" s="41"/>
      <c r="CN878" s="41"/>
      <c r="CO878" s="41"/>
      <c r="CP878" s="41"/>
      <c r="CQ878" s="41"/>
      <c r="CR878" s="41"/>
      <c r="CS878" s="41"/>
      <c r="CT878" s="41"/>
      <c r="CU878" s="41">
        <v>0.05</v>
      </c>
      <c r="CV878" s="41"/>
      <c r="CW878" s="41"/>
      <c r="CX878" s="41"/>
      <c r="CY878" s="41"/>
      <c r="CZ878" s="41"/>
      <c r="DA878" s="41"/>
      <c r="DB878" s="41"/>
      <c r="DC878" s="41"/>
      <c r="DD878" s="41">
        <v>0.05</v>
      </c>
      <c r="DE878" s="41"/>
      <c r="DF878" s="41"/>
      <c r="DG878" s="41"/>
      <c r="DH878" s="41"/>
      <c r="DI878" s="41"/>
      <c r="DJ878" s="41"/>
      <c r="DK878" s="41"/>
      <c r="DL878" s="41">
        <v>0.25</v>
      </c>
      <c r="DM878" s="41"/>
      <c r="DN878" s="41"/>
      <c r="DO878" s="41"/>
      <c r="DP878" s="41"/>
      <c r="DQ878" s="41"/>
      <c r="DR878" s="41"/>
      <c r="DS878" s="43"/>
      <c r="DT878" s="44">
        <f t="shared" ref="DT878" si="860">SUM(F878:DR878)</f>
        <v>1</v>
      </c>
    </row>
    <row r="879" spans="2:124" s="13" customFormat="1">
      <c r="B879" s="4">
        <f>'6.1Personnel List'!B880</f>
        <v>867</v>
      </c>
      <c r="C879" s="45" t="s">
        <v>1094</v>
      </c>
      <c r="D879" s="45" t="str">
        <f>'6.1Personnel List'!D880</f>
        <v>Nurse II</v>
      </c>
      <c r="E879" s="45" t="str">
        <f>'6.1Personnel List'!H880</f>
        <v>FT</v>
      </c>
      <c r="G879" s="41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  <c r="AA879" s="41"/>
      <c r="AB879" s="41"/>
      <c r="AC879" s="41"/>
      <c r="AD879" s="41"/>
      <c r="AE879" s="41"/>
      <c r="AF879" s="41"/>
      <c r="AG879" s="41"/>
      <c r="AH879" s="41"/>
      <c r="AI879" s="41"/>
      <c r="AJ879" s="41"/>
      <c r="AK879" s="41"/>
      <c r="AL879" s="41"/>
      <c r="AM879" s="41"/>
      <c r="AN879" s="41"/>
      <c r="AO879" s="41"/>
      <c r="AP879" s="41"/>
      <c r="AQ879" s="41"/>
      <c r="AR879" s="41"/>
      <c r="AS879" s="41"/>
      <c r="AT879" s="41"/>
      <c r="AU879" s="41"/>
      <c r="AV879" s="41"/>
      <c r="AW879" s="41"/>
      <c r="AX879" s="41"/>
      <c r="AY879" s="41"/>
      <c r="AZ879" s="41"/>
      <c r="BA879" s="41"/>
      <c r="BB879" s="41"/>
      <c r="BC879" s="41"/>
      <c r="BD879" s="41"/>
      <c r="BE879" s="41"/>
      <c r="BF879" s="41"/>
      <c r="BG879" s="41"/>
      <c r="BH879" s="41"/>
      <c r="BJ879" s="41"/>
      <c r="BK879" s="41"/>
      <c r="BL879" s="41"/>
      <c r="BM879" s="41"/>
      <c r="BN879" s="41"/>
      <c r="BO879" s="41"/>
      <c r="BP879" s="41"/>
      <c r="BQ879" s="41"/>
      <c r="BR879" s="41"/>
      <c r="BS879" s="41"/>
      <c r="BT879" s="41"/>
      <c r="BU879" s="41"/>
      <c r="BV879" s="41"/>
      <c r="BW879" s="41"/>
      <c r="BX879" s="41"/>
      <c r="BY879" s="41"/>
      <c r="BZ879" s="41"/>
      <c r="CA879" s="41"/>
      <c r="CB879" s="41"/>
      <c r="CC879" s="41"/>
      <c r="CD879" s="41"/>
      <c r="CE879" s="41"/>
      <c r="CF879" s="41"/>
      <c r="CG879" s="41"/>
      <c r="CH879" s="41"/>
      <c r="CI879" s="41"/>
      <c r="CJ879" s="41"/>
      <c r="CK879" s="41"/>
      <c r="CL879" s="41"/>
      <c r="CM879" s="41"/>
      <c r="CN879" s="92">
        <v>0.25</v>
      </c>
      <c r="CO879" s="41"/>
      <c r="CP879" s="41"/>
      <c r="CQ879" s="41"/>
      <c r="CR879" s="41"/>
      <c r="CS879" s="41"/>
      <c r="CT879" s="41"/>
      <c r="CU879" s="41"/>
      <c r="CV879" s="41"/>
      <c r="CW879" s="41"/>
      <c r="CX879" s="41"/>
      <c r="CY879" s="41"/>
      <c r="CZ879" s="41"/>
      <c r="DA879" s="41"/>
      <c r="DB879" s="92">
        <v>0.25</v>
      </c>
      <c r="DC879" s="92">
        <v>0.25</v>
      </c>
      <c r="DD879" s="41"/>
      <c r="DE879" s="41"/>
      <c r="DF879" s="41"/>
      <c r="DG879" s="41"/>
      <c r="DH879" s="41"/>
      <c r="DI879" s="41"/>
      <c r="DJ879" s="92">
        <v>0.25</v>
      </c>
      <c r="DK879" s="41"/>
      <c r="DL879" s="41"/>
      <c r="DM879" s="41"/>
      <c r="DN879" s="41"/>
      <c r="DO879" s="41"/>
      <c r="DP879" s="41"/>
      <c r="DQ879" s="41"/>
      <c r="DR879" s="41"/>
      <c r="DS879" s="43"/>
      <c r="DT879" s="44">
        <f t="shared" ref="DT879" si="861">SUM(F879:DR879)</f>
        <v>1</v>
      </c>
    </row>
    <row r="880" spans="2:124" s="13" customFormat="1">
      <c r="B880" s="4">
        <f>'6.1Personnel List'!B881</f>
        <v>868</v>
      </c>
      <c r="C880" s="45" t="s">
        <v>1095</v>
      </c>
      <c r="D880" s="45" t="str">
        <f>'6.1Personnel List'!D881</f>
        <v>Nurse II</v>
      </c>
      <c r="E880" s="45" t="str">
        <f>'6.1Personnel List'!H881</f>
        <v>FT</v>
      </c>
      <c r="G880" s="41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  <c r="AA880" s="41"/>
      <c r="AB880" s="41"/>
      <c r="AC880" s="41"/>
      <c r="AD880" s="41"/>
      <c r="AE880" s="41"/>
      <c r="AF880" s="41"/>
      <c r="AG880" s="41"/>
      <c r="AH880" s="41"/>
      <c r="AI880" s="41"/>
      <c r="AJ880" s="41"/>
      <c r="AK880" s="41"/>
      <c r="AL880" s="41"/>
      <c r="AM880" s="41"/>
      <c r="AN880" s="41"/>
      <c r="AO880" s="41"/>
      <c r="AP880" s="41"/>
      <c r="AQ880" s="41"/>
      <c r="AR880" s="41"/>
      <c r="AS880" s="41"/>
      <c r="AT880" s="41"/>
      <c r="AU880" s="41"/>
      <c r="AV880" s="41"/>
      <c r="AW880" s="41"/>
      <c r="AX880" s="41"/>
      <c r="AY880" s="41"/>
      <c r="AZ880" s="41"/>
      <c r="BA880" s="41"/>
      <c r="BB880" s="41"/>
      <c r="BC880" s="41"/>
      <c r="BD880" s="41"/>
      <c r="BE880" s="41"/>
      <c r="BF880" s="41"/>
      <c r="BG880" s="41"/>
      <c r="BH880" s="41"/>
      <c r="BJ880" s="41"/>
      <c r="BK880" s="41"/>
      <c r="BL880" s="41"/>
      <c r="BM880" s="41"/>
      <c r="BN880" s="41"/>
      <c r="BO880" s="41"/>
      <c r="BP880" s="41"/>
      <c r="BQ880" s="41"/>
      <c r="BR880" s="41"/>
      <c r="BS880" s="41"/>
      <c r="BT880" s="41"/>
      <c r="BU880" s="41"/>
      <c r="BV880" s="41"/>
      <c r="BW880" s="41"/>
      <c r="BX880" s="41"/>
      <c r="BY880" s="41"/>
      <c r="BZ880" s="41"/>
      <c r="CA880" s="41"/>
      <c r="CB880" s="41"/>
      <c r="CC880" s="41"/>
      <c r="CD880" s="41"/>
      <c r="CE880" s="41"/>
      <c r="CF880" s="41"/>
      <c r="CG880" s="41"/>
      <c r="CH880" s="41"/>
      <c r="CI880" s="41"/>
      <c r="CJ880" s="41"/>
      <c r="CK880" s="41"/>
      <c r="CL880" s="41"/>
      <c r="CM880" s="41"/>
      <c r="CN880" s="41">
        <v>1</v>
      </c>
      <c r="CO880" s="41"/>
      <c r="CP880" s="41"/>
      <c r="CQ880" s="41"/>
      <c r="CR880" s="41"/>
      <c r="CS880" s="41"/>
      <c r="CT880" s="41"/>
      <c r="CU880" s="41"/>
      <c r="CV880" s="41"/>
      <c r="CW880" s="41"/>
      <c r="CX880" s="41"/>
      <c r="CY880" s="41"/>
      <c r="CZ880" s="41"/>
      <c r="DA880" s="41"/>
      <c r="DB880" s="41"/>
      <c r="DC880" s="41"/>
      <c r="DD880" s="41"/>
      <c r="DE880" s="41"/>
      <c r="DF880" s="41"/>
      <c r="DG880" s="41"/>
      <c r="DH880" s="41"/>
      <c r="DI880" s="41"/>
      <c r="DJ880" s="41"/>
      <c r="DK880" s="41"/>
      <c r="DL880" s="41"/>
      <c r="DM880" s="41"/>
      <c r="DN880" s="41"/>
      <c r="DO880" s="41"/>
      <c r="DP880" s="41"/>
      <c r="DQ880" s="41"/>
      <c r="DR880" s="41"/>
      <c r="DS880" s="43"/>
      <c r="DT880" s="44">
        <f t="shared" ref="DT880" si="862">SUM(F880:DR880)</f>
        <v>1</v>
      </c>
    </row>
    <row r="881" spans="2:124" s="13" customFormat="1">
      <c r="B881" s="4">
        <f>'6.1Personnel List'!B882</f>
        <v>869</v>
      </c>
      <c r="C881" s="45" t="s">
        <v>1096</v>
      </c>
      <c r="D881" s="45" t="str">
        <f>'6.1Personnel List'!D882</f>
        <v>Nurse II</v>
      </c>
      <c r="E881" s="45" t="str">
        <f>'6.1Personnel List'!H882</f>
        <v>FT</v>
      </c>
      <c r="G881" s="41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  <c r="AA881" s="41"/>
      <c r="AB881" s="41"/>
      <c r="AC881" s="41"/>
      <c r="AD881" s="41"/>
      <c r="AE881" s="41"/>
      <c r="AF881" s="41"/>
      <c r="AG881" s="41"/>
      <c r="AH881" s="41"/>
      <c r="AI881" s="41"/>
      <c r="AJ881" s="41"/>
      <c r="AK881" s="41"/>
      <c r="AL881" s="41"/>
      <c r="AM881" s="41"/>
      <c r="AN881" s="41"/>
      <c r="AO881" s="41"/>
      <c r="AP881" s="41"/>
      <c r="AQ881" s="41"/>
      <c r="AR881" s="41"/>
      <c r="AS881" s="41"/>
      <c r="AT881" s="41"/>
      <c r="AU881" s="41"/>
      <c r="AV881" s="41"/>
      <c r="AW881" s="41"/>
      <c r="AX881" s="41"/>
      <c r="AY881" s="41"/>
      <c r="AZ881" s="41"/>
      <c r="BA881" s="41"/>
      <c r="BB881" s="41"/>
      <c r="BC881" s="41"/>
      <c r="BD881" s="41"/>
      <c r="BE881" s="41"/>
      <c r="BF881" s="41"/>
      <c r="BG881" s="41"/>
      <c r="BH881" s="41"/>
      <c r="BJ881" s="41"/>
      <c r="BK881" s="41"/>
      <c r="BL881" s="41"/>
      <c r="BM881" s="41"/>
      <c r="BN881" s="41"/>
      <c r="BO881" s="41"/>
      <c r="BP881" s="41"/>
      <c r="BQ881" s="41"/>
      <c r="BR881" s="41"/>
      <c r="BS881" s="41"/>
      <c r="BT881" s="41"/>
      <c r="BU881" s="41"/>
      <c r="BV881" s="41"/>
      <c r="BW881" s="41"/>
      <c r="BX881" s="41"/>
      <c r="BY881" s="41"/>
      <c r="BZ881" s="41"/>
      <c r="CA881" s="41"/>
      <c r="CB881" s="41"/>
      <c r="CC881" s="41"/>
      <c r="CD881" s="41"/>
      <c r="CE881" s="41"/>
      <c r="CF881" s="41"/>
      <c r="CG881" s="41"/>
      <c r="CH881" s="41"/>
      <c r="CI881" s="41"/>
      <c r="CJ881" s="41"/>
      <c r="CK881" s="41"/>
      <c r="CL881" s="41"/>
      <c r="CM881" s="41"/>
      <c r="CN881" s="41">
        <v>1</v>
      </c>
      <c r="CO881" s="41"/>
      <c r="CP881" s="41"/>
      <c r="CQ881" s="41"/>
      <c r="CR881" s="41"/>
      <c r="CS881" s="41"/>
      <c r="CT881" s="41"/>
      <c r="CU881" s="41"/>
      <c r="CV881" s="41"/>
      <c r="CW881" s="41"/>
      <c r="CX881" s="41"/>
      <c r="CY881" s="41"/>
      <c r="CZ881" s="41"/>
      <c r="DA881" s="41"/>
      <c r="DB881" s="41"/>
      <c r="DC881" s="41"/>
      <c r="DD881" s="41"/>
      <c r="DE881" s="41"/>
      <c r="DF881" s="41"/>
      <c r="DG881" s="41"/>
      <c r="DH881" s="41"/>
      <c r="DI881" s="41"/>
      <c r="DJ881" s="41"/>
      <c r="DK881" s="41"/>
      <c r="DL881" s="41"/>
      <c r="DM881" s="41"/>
      <c r="DN881" s="41"/>
      <c r="DO881" s="41"/>
      <c r="DP881" s="41"/>
      <c r="DQ881" s="41"/>
      <c r="DR881" s="41"/>
      <c r="DS881" s="43"/>
      <c r="DT881" s="44">
        <f t="shared" ref="DT881" si="863">SUM(F881:DR881)</f>
        <v>1</v>
      </c>
    </row>
    <row r="882" spans="2:124" s="13" customFormat="1">
      <c r="B882" s="4">
        <f>'6.1Personnel List'!B883</f>
        <v>870</v>
      </c>
      <c r="C882" s="45" t="s">
        <v>1097</v>
      </c>
      <c r="D882" s="45" t="str">
        <f>'6.1Personnel List'!D883</f>
        <v>Nurse II</v>
      </c>
      <c r="E882" s="45" t="str">
        <f>'6.1Personnel List'!H883</f>
        <v>FT</v>
      </c>
      <c r="G882" s="41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  <c r="AA882" s="41"/>
      <c r="AB882" s="41"/>
      <c r="AC882" s="41"/>
      <c r="AD882" s="41"/>
      <c r="AE882" s="41"/>
      <c r="AF882" s="41"/>
      <c r="AG882" s="41"/>
      <c r="AH882" s="41"/>
      <c r="AI882" s="41"/>
      <c r="AJ882" s="41"/>
      <c r="AK882" s="41"/>
      <c r="AL882" s="41"/>
      <c r="AM882" s="41"/>
      <c r="AN882" s="41"/>
      <c r="AO882" s="41"/>
      <c r="AP882" s="41"/>
      <c r="AQ882" s="41"/>
      <c r="AR882" s="41"/>
      <c r="AS882" s="41"/>
      <c r="AT882" s="41"/>
      <c r="AU882" s="41"/>
      <c r="AV882" s="41"/>
      <c r="AW882" s="41"/>
      <c r="AX882" s="41"/>
      <c r="AY882" s="41"/>
      <c r="AZ882" s="41"/>
      <c r="BA882" s="41"/>
      <c r="BB882" s="41"/>
      <c r="BC882" s="41"/>
      <c r="BD882" s="41"/>
      <c r="BE882" s="41"/>
      <c r="BF882" s="41"/>
      <c r="BG882" s="41"/>
      <c r="BH882" s="41"/>
      <c r="BJ882" s="41"/>
      <c r="BK882" s="41"/>
      <c r="BL882" s="41"/>
      <c r="BM882" s="41"/>
      <c r="BN882" s="41"/>
      <c r="BO882" s="41"/>
      <c r="BP882" s="41"/>
      <c r="BQ882" s="41"/>
      <c r="BR882" s="41"/>
      <c r="BS882" s="41">
        <v>0.05</v>
      </c>
      <c r="BT882" s="41"/>
      <c r="BU882" s="41">
        <v>0.05</v>
      </c>
      <c r="BV882" s="41">
        <v>0.05</v>
      </c>
      <c r="BW882" s="41">
        <v>0.05</v>
      </c>
      <c r="BX882" s="41"/>
      <c r="BY882" s="41"/>
      <c r="BZ882" s="41"/>
      <c r="CA882" s="41"/>
      <c r="CB882" s="41"/>
      <c r="CC882" s="41"/>
      <c r="CD882" s="41"/>
      <c r="CE882" s="41">
        <v>0.05</v>
      </c>
      <c r="CF882" s="41">
        <v>0.03</v>
      </c>
      <c r="CG882" s="41">
        <v>0.02</v>
      </c>
      <c r="CH882" s="41">
        <v>0.05</v>
      </c>
      <c r="CI882" s="41">
        <v>0.05</v>
      </c>
      <c r="CJ882" s="41"/>
      <c r="CK882" s="41"/>
      <c r="CL882" s="41"/>
      <c r="CM882" s="41"/>
      <c r="CN882" s="41"/>
      <c r="CO882" s="41"/>
      <c r="CP882" s="41"/>
      <c r="CQ882" s="41"/>
      <c r="CR882" s="41"/>
      <c r="CS882" s="41"/>
      <c r="CT882" s="41"/>
      <c r="CU882" s="41"/>
      <c r="CV882" s="41"/>
      <c r="CW882" s="41"/>
      <c r="CX882" s="41"/>
      <c r="CY882" s="41"/>
      <c r="CZ882" s="41"/>
      <c r="DA882" s="41"/>
      <c r="DB882" s="41"/>
      <c r="DC882" s="41"/>
      <c r="DD882" s="41"/>
      <c r="DE882" s="41"/>
      <c r="DF882" s="41"/>
      <c r="DG882" s="41"/>
      <c r="DH882" s="41"/>
      <c r="DI882" s="41"/>
      <c r="DJ882" s="41"/>
      <c r="DK882" s="41">
        <v>0.6</v>
      </c>
      <c r="DL882" s="41"/>
      <c r="DM882" s="41"/>
      <c r="DN882" s="41"/>
      <c r="DO882" s="41"/>
      <c r="DP882" s="41"/>
      <c r="DQ882" s="41"/>
      <c r="DR882" s="41"/>
      <c r="DS882" s="43"/>
      <c r="DT882" s="44">
        <f t="shared" ref="DT882" si="864">SUM(F882:DR882)</f>
        <v>1</v>
      </c>
    </row>
    <row r="883" spans="2:124" s="13" customFormat="1">
      <c r="B883" s="4">
        <f>'6.1Personnel List'!B884</f>
        <v>871</v>
      </c>
      <c r="C883" s="45" t="s">
        <v>1098</v>
      </c>
      <c r="D883" s="45" t="str">
        <f>'6.1Personnel List'!D884</f>
        <v>Nurse II</v>
      </c>
      <c r="E883" s="45" t="str">
        <f>'6.1Personnel List'!H884</f>
        <v>FT</v>
      </c>
      <c r="G883" s="41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  <c r="AA883" s="41"/>
      <c r="AB883" s="41"/>
      <c r="AC883" s="41"/>
      <c r="AD883" s="41"/>
      <c r="AE883" s="41"/>
      <c r="AF883" s="41"/>
      <c r="AG883" s="41"/>
      <c r="AH883" s="41"/>
      <c r="AI883" s="41"/>
      <c r="AJ883" s="41"/>
      <c r="AK883" s="41"/>
      <c r="AL883" s="41"/>
      <c r="AM883" s="41"/>
      <c r="AN883" s="41"/>
      <c r="AO883" s="41"/>
      <c r="AP883" s="41"/>
      <c r="AQ883" s="41"/>
      <c r="AR883" s="41"/>
      <c r="AS883" s="41"/>
      <c r="AT883" s="41"/>
      <c r="AU883" s="41"/>
      <c r="AV883" s="41"/>
      <c r="AW883" s="41"/>
      <c r="AX883" s="41"/>
      <c r="AY883" s="41"/>
      <c r="AZ883" s="41"/>
      <c r="BA883" s="41"/>
      <c r="BB883" s="41"/>
      <c r="BC883" s="41"/>
      <c r="BD883" s="41"/>
      <c r="BE883" s="41"/>
      <c r="BF883" s="41"/>
      <c r="BG883" s="41"/>
      <c r="BH883" s="41"/>
      <c r="BJ883" s="41"/>
      <c r="BK883" s="41"/>
      <c r="BL883" s="41"/>
      <c r="BM883" s="41"/>
      <c r="BN883" s="41"/>
      <c r="BO883" s="41"/>
      <c r="BP883" s="41"/>
      <c r="BQ883" s="41"/>
      <c r="BR883" s="41"/>
      <c r="BS883" s="41"/>
      <c r="BT883" s="41"/>
      <c r="BU883" s="41"/>
      <c r="BV883" s="41"/>
      <c r="BW883" s="41"/>
      <c r="BX883" s="41"/>
      <c r="BY883" s="41"/>
      <c r="BZ883" s="41"/>
      <c r="CA883" s="41"/>
      <c r="CB883" s="41">
        <v>0.01</v>
      </c>
      <c r="CC883" s="41"/>
      <c r="CD883" s="41"/>
      <c r="CE883" s="41">
        <v>0.02</v>
      </c>
      <c r="CF883" s="41">
        <v>0.02</v>
      </c>
      <c r="CG883" s="41">
        <v>0.1</v>
      </c>
      <c r="CH883" s="41">
        <v>0.1</v>
      </c>
      <c r="CI883" s="41">
        <v>0.02</v>
      </c>
      <c r="CJ883" s="41"/>
      <c r="CK883" s="41">
        <v>0.01</v>
      </c>
      <c r="CL883" s="41">
        <v>0.05</v>
      </c>
      <c r="CM883" s="41"/>
      <c r="CN883" s="41">
        <v>0.05</v>
      </c>
      <c r="CO883" s="41">
        <v>0.05</v>
      </c>
      <c r="CP883" s="41">
        <v>0.05</v>
      </c>
      <c r="CQ883" s="41">
        <v>0.05</v>
      </c>
      <c r="CR883" s="41">
        <v>0.02</v>
      </c>
      <c r="CS883" s="41">
        <v>0.01</v>
      </c>
      <c r="CT883" s="41"/>
      <c r="CU883" s="41"/>
      <c r="CV883" s="41">
        <v>0.02</v>
      </c>
      <c r="CW883" s="41"/>
      <c r="CX883" s="41"/>
      <c r="CY883" s="41"/>
      <c r="CZ883" s="41"/>
      <c r="DA883" s="41"/>
      <c r="DB883" s="41"/>
      <c r="DC883" s="41"/>
      <c r="DD883" s="41">
        <v>0.12</v>
      </c>
      <c r="DE883" s="41"/>
      <c r="DF883" s="41"/>
      <c r="DG883" s="41"/>
      <c r="DH883" s="41"/>
      <c r="DI883" s="41"/>
      <c r="DJ883" s="41">
        <v>0.05</v>
      </c>
      <c r="DK883" s="41">
        <v>0.05</v>
      </c>
      <c r="DL883" s="41">
        <v>0.05</v>
      </c>
      <c r="DM883" s="41">
        <v>0.05</v>
      </c>
      <c r="DN883" s="41"/>
      <c r="DO883" s="41"/>
      <c r="DP883" s="41">
        <v>0.05</v>
      </c>
      <c r="DQ883" s="41"/>
      <c r="DR883" s="41">
        <v>0.05</v>
      </c>
      <c r="DS883" s="43"/>
      <c r="DT883" s="44">
        <f t="shared" ref="DT883" si="865">SUM(F883:DR883)</f>
        <v>1.0000000000000002</v>
      </c>
    </row>
    <row r="884" spans="2:124" s="13" customFormat="1">
      <c r="B884" s="4">
        <f>'6.1Personnel List'!B885</f>
        <v>872</v>
      </c>
      <c r="C884" s="45" t="s">
        <v>1558</v>
      </c>
      <c r="D884" s="45" t="str">
        <f>'6.1Personnel List'!D885</f>
        <v>Nurse II</v>
      </c>
      <c r="E884" s="45" t="str">
        <f>'6.1Personnel List'!H885</f>
        <v>FT</v>
      </c>
      <c r="G884" s="41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  <c r="AA884" s="41"/>
      <c r="AB884" s="41"/>
      <c r="AC884" s="41"/>
      <c r="AD884" s="41"/>
      <c r="AE884" s="41"/>
      <c r="AF884" s="41"/>
      <c r="AG884" s="41"/>
      <c r="AH884" s="41"/>
      <c r="AI884" s="41"/>
      <c r="AJ884" s="41"/>
      <c r="AK884" s="41"/>
      <c r="AL884" s="41"/>
      <c r="AM884" s="41"/>
      <c r="AN884" s="41"/>
      <c r="AO884" s="41"/>
      <c r="AP884" s="41"/>
      <c r="AQ884" s="41"/>
      <c r="AR884" s="41"/>
      <c r="AS884" s="41"/>
      <c r="AT884" s="41"/>
      <c r="AU884" s="41"/>
      <c r="AV884" s="41"/>
      <c r="AW884" s="41"/>
      <c r="AX884" s="41"/>
      <c r="AY884" s="41"/>
      <c r="AZ884" s="41"/>
      <c r="BA884" s="41"/>
      <c r="BB884" s="41"/>
      <c r="BC884" s="41"/>
      <c r="BD884" s="41"/>
      <c r="BE884" s="41"/>
      <c r="BF884" s="41"/>
      <c r="BG884" s="41"/>
      <c r="BH884" s="41"/>
      <c r="BJ884" s="41"/>
      <c r="BK884" s="41"/>
      <c r="BL884" s="41"/>
      <c r="BM884" s="41"/>
      <c r="BN884" s="41"/>
      <c r="BO884" s="41"/>
      <c r="BP884" s="41"/>
      <c r="BQ884" s="41"/>
      <c r="BR884" s="41"/>
      <c r="BS884" s="41"/>
      <c r="BT884" s="41"/>
      <c r="BU884" s="41"/>
      <c r="BV884" s="41">
        <v>0.05</v>
      </c>
      <c r="BW884" s="41"/>
      <c r="BX884" s="41"/>
      <c r="BY884" s="41"/>
      <c r="BZ884" s="41"/>
      <c r="CA884" s="41"/>
      <c r="CB884" s="41">
        <v>0.05</v>
      </c>
      <c r="CC884" s="41"/>
      <c r="CD884" s="41"/>
      <c r="CE884" s="41">
        <v>0.05</v>
      </c>
      <c r="CF884" s="41">
        <v>0.05</v>
      </c>
      <c r="CG884" s="41"/>
      <c r="CH884" s="41"/>
      <c r="CI884" s="41"/>
      <c r="CJ884" s="41"/>
      <c r="CK884" s="41"/>
      <c r="CL884" s="41">
        <v>0.8</v>
      </c>
      <c r="CM884" s="41"/>
      <c r="CN884" s="41"/>
      <c r="CO884" s="41"/>
      <c r="CP884" s="41"/>
      <c r="CQ884" s="41"/>
      <c r="CR884" s="41"/>
      <c r="CS884" s="41"/>
      <c r="CT884" s="41"/>
      <c r="CU884" s="41"/>
      <c r="CV884" s="41"/>
      <c r="CW884" s="41"/>
      <c r="CX884" s="41"/>
      <c r="CY884" s="41"/>
      <c r="CZ884" s="41"/>
      <c r="DA884" s="41"/>
      <c r="DB884" s="41"/>
      <c r="DC884" s="41"/>
      <c r="DD884" s="41"/>
      <c r="DE884" s="41"/>
      <c r="DF884" s="41"/>
      <c r="DG884" s="41"/>
      <c r="DH884" s="41"/>
      <c r="DI884" s="41"/>
      <c r="DJ884" s="41"/>
      <c r="DK884" s="41"/>
      <c r="DL884" s="41"/>
      <c r="DM884" s="41"/>
      <c r="DN884" s="41"/>
      <c r="DO884" s="41"/>
      <c r="DP884" s="41"/>
      <c r="DQ884" s="41"/>
      <c r="DR884" s="41"/>
      <c r="DS884" s="43"/>
      <c r="DT884" s="44">
        <f t="shared" ref="DT884" si="866">SUM(F884:DR884)</f>
        <v>1</v>
      </c>
    </row>
    <row r="885" spans="2:124" s="13" customFormat="1">
      <c r="B885" s="4">
        <f>'6.1Personnel List'!B886</f>
        <v>873</v>
      </c>
      <c r="C885" s="45" t="s">
        <v>1099</v>
      </c>
      <c r="D885" s="45" t="str">
        <f>'6.1Personnel List'!D886</f>
        <v>Nurse II</v>
      </c>
      <c r="E885" s="45" t="str">
        <f>'6.1Personnel List'!H886</f>
        <v>FT</v>
      </c>
      <c r="G885" s="41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  <c r="AA885" s="41"/>
      <c r="AB885" s="41"/>
      <c r="AC885" s="41"/>
      <c r="AD885" s="41"/>
      <c r="AE885" s="41"/>
      <c r="AF885" s="41"/>
      <c r="AG885" s="41"/>
      <c r="AH885" s="41"/>
      <c r="AI885" s="41"/>
      <c r="AJ885" s="41"/>
      <c r="AK885" s="41"/>
      <c r="AL885" s="41"/>
      <c r="AM885" s="41"/>
      <c r="AN885" s="41"/>
      <c r="AO885" s="41"/>
      <c r="AP885" s="41"/>
      <c r="AQ885" s="41"/>
      <c r="AR885" s="41"/>
      <c r="AS885" s="41"/>
      <c r="AT885" s="41"/>
      <c r="AU885" s="41"/>
      <c r="AV885" s="41"/>
      <c r="AW885" s="41"/>
      <c r="AX885" s="41"/>
      <c r="AY885" s="41"/>
      <c r="AZ885" s="41"/>
      <c r="BA885" s="41"/>
      <c r="BB885" s="41"/>
      <c r="BC885" s="41"/>
      <c r="BD885" s="41"/>
      <c r="BE885" s="41"/>
      <c r="BF885" s="41"/>
      <c r="BG885" s="41"/>
      <c r="BH885" s="41"/>
      <c r="BJ885" s="41"/>
      <c r="BK885" s="41"/>
      <c r="BL885" s="41"/>
      <c r="BM885" s="41"/>
      <c r="BN885" s="41"/>
      <c r="BO885" s="41"/>
      <c r="BP885" s="41"/>
      <c r="BQ885" s="41"/>
      <c r="BR885" s="41"/>
      <c r="BS885" s="41"/>
      <c r="BT885" s="41"/>
      <c r="BU885" s="41"/>
      <c r="BV885" s="41"/>
      <c r="BW885" s="41"/>
      <c r="BX885" s="41"/>
      <c r="BY885" s="41"/>
      <c r="BZ885" s="41"/>
      <c r="CA885" s="41"/>
      <c r="CB885" s="41">
        <v>0.01</v>
      </c>
      <c r="CC885" s="41"/>
      <c r="CD885" s="41"/>
      <c r="CE885" s="41">
        <v>0.02</v>
      </c>
      <c r="CF885" s="41">
        <v>0.02</v>
      </c>
      <c r="CG885" s="41">
        <v>0.1</v>
      </c>
      <c r="CH885" s="41">
        <v>0.1</v>
      </c>
      <c r="CI885" s="41">
        <v>0.02</v>
      </c>
      <c r="CJ885" s="41"/>
      <c r="CK885" s="41">
        <v>0.01</v>
      </c>
      <c r="CL885" s="41">
        <v>0.05</v>
      </c>
      <c r="CM885" s="41"/>
      <c r="CN885" s="41">
        <v>0.05</v>
      </c>
      <c r="CO885" s="41">
        <v>0.05</v>
      </c>
      <c r="CP885" s="41">
        <v>0.05</v>
      </c>
      <c r="CQ885" s="41">
        <v>0.05</v>
      </c>
      <c r="CR885" s="41">
        <v>0.02</v>
      </c>
      <c r="CS885" s="41">
        <v>0.01</v>
      </c>
      <c r="CT885" s="41"/>
      <c r="CU885" s="41"/>
      <c r="CV885" s="41">
        <v>0.02</v>
      </c>
      <c r="CW885" s="41"/>
      <c r="CX885" s="41"/>
      <c r="CY885" s="41"/>
      <c r="CZ885" s="41"/>
      <c r="DA885" s="41"/>
      <c r="DB885" s="41"/>
      <c r="DC885" s="41"/>
      <c r="DD885" s="41">
        <v>0.12</v>
      </c>
      <c r="DE885" s="41"/>
      <c r="DF885" s="41"/>
      <c r="DG885" s="41"/>
      <c r="DH885" s="41"/>
      <c r="DI885" s="41"/>
      <c r="DJ885" s="41">
        <v>0.05</v>
      </c>
      <c r="DK885" s="41">
        <v>0.05</v>
      </c>
      <c r="DL885" s="41">
        <v>0.05</v>
      </c>
      <c r="DM885" s="41">
        <v>0.05</v>
      </c>
      <c r="DN885" s="41"/>
      <c r="DO885" s="41"/>
      <c r="DP885" s="41">
        <v>0.05</v>
      </c>
      <c r="DQ885" s="41"/>
      <c r="DR885" s="41">
        <v>0.05</v>
      </c>
      <c r="DS885" s="43"/>
      <c r="DT885" s="44">
        <f t="shared" ref="DT885" si="867">SUM(F885:DR885)</f>
        <v>1.0000000000000002</v>
      </c>
    </row>
    <row r="886" spans="2:124" s="13" customFormat="1">
      <c r="B886" s="4">
        <f>'6.1Personnel List'!B887</f>
        <v>874</v>
      </c>
      <c r="C886" s="45" t="s">
        <v>1100</v>
      </c>
      <c r="D886" s="45" t="str">
        <f>'6.1Personnel List'!D887</f>
        <v>Nurse II</v>
      </c>
      <c r="E886" s="45" t="str">
        <f>'6.1Personnel List'!H887</f>
        <v>FT</v>
      </c>
      <c r="G886" s="41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  <c r="AA886" s="41"/>
      <c r="AB886" s="41"/>
      <c r="AC886" s="41"/>
      <c r="AD886" s="41"/>
      <c r="AE886" s="41"/>
      <c r="AF886" s="41"/>
      <c r="AG886" s="41"/>
      <c r="AH886" s="41"/>
      <c r="AI886" s="41"/>
      <c r="AJ886" s="41"/>
      <c r="AK886" s="41"/>
      <c r="AL886" s="41"/>
      <c r="AM886" s="41"/>
      <c r="AN886" s="41"/>
      <c r="AO886" s="41"/>
      <c r="AP886" s="41"/>
      <c r="AQ886" s="41"/>
      <c r="AR886" s="41"/>
      <c r="AS886" s="41"/>
      <c r="AT886" s="41"/>
      <c r="AU886" s="41"/>
      <c r="AV886" s="41"/>
      <c r="AW886" s="41"/>
      <c r="AX886" s="41"/>
      <c r="AY886" s="41"/>
      <c r="AZ886" s="41"/>
      <c r="BA886" s="41"/>
      <c r="BB886" s="41"/>
      <c r="BC886" s="41"/>
      <c r="BD886" s="41"/>
      <c r="BE886" s="41"/>
      <c r="BF886" s="41"/>
      <c r="BG886" s="41"/>
      <c r="BH886" s="41"/>
      <c r="BJ886" s="41"/>
      <c r="BK886" s="41"/>
      <c r="BL886" s="41"/>
      <c r="BM886" s="41"/>
      <c r="BN886" s="41"/>
      <c r="BO886" s="41"/>
      <c r="BP886" s="41"/>
      <c r="BQ886" s="41"/>
      <c r="BR886" s="41"/>
      <c r="BS886" s="41">
        <v>0.05</v>
      </c>
      <c r="BT886" s="41"/>
      <c r="BU886" s="41"/>
      <c r="BV886" s="41">
        <v>0.05</v>
      </c>
      <c r="BW886" s="41">
        <v>0.05</v>
      </c>
      <c r="BX886" s="41"/>
      <c r="BY886" s="41"/>
      <c r="BZ886" s="41"/>
      <c r="CA886" s="41"/>
      <c r="CB886" s="41"/>
      <c r="CC886" s="41"/>
      <c r="CD886" s="41"/>
      <c r="CE886" s="41">
        <v>0.1</v>
      </c>
      <c r="CF886" s="41">
        <v>0.05</v>
      </c>
      <c r="CG886" s="41">
        <v>0.05</v>
      </c>
      <c r="CH886" s="41">
        <v>0.05</v>
      </c>
      <c r="CI886" s="41"/>
      <c r="CJ886" s="41">
        <v>0.05</v>
      </c>
      <c r="CK886" s="41"/>
      <c r="CL886" s="41">
        <v>0.2</v>
      </c>
      <c r="CM886" s="41"/>
      <c r="CN886" s="41"/>
      <c r="CO886" s="41"/>
      <c r="CP886" s="41"/>
      <c r="CQ886" s="41"/>
      <c r="CR886" s="41"/>
      <c r="CS886" s="41"/>
      <c r="CT886" s="41"/>
      <c r="CU886" s="41">
        <v>0.05</v>
      </c>
      <c r="CV886" s="41"/>
      <c r="CW886" s="41"/>
      <c r="CX886" s="41"/>
      <c r="CY886" s="41"/>
      <c r="CZ886" s="41"/>
      <c r="DA886" s="41"/>
      <c r="DB886" s="41"/>
      <c r="DC886" s="41"/>
      <c r="DD886" s="41">
        <v>0.05</v>
      </c>
      <c r="DE886" s="41"/>
      <c r="DF886" s="41"/>
      <c r="DG886" s="41"/>
      <c r="DH886" s="41"/>
      <c r="DI886" s="41"/>
      <c r="DJ886" s="41"/>
      <c r="DK886" s="41"/>
      <c r="DL886" s="41">
        <v>0.25</v>
      </c>
      <c r="DM886" s="41"/>
      <c r="DN886" s="41"/>
      <c r="DO886" s="41"/>
      <c r="DP886" s="41"/>
      <c r="DQ886" s="41"/>
      <c r="DR886" s="41"/>
      <c r="DS886" s="43"/>
      <c r="DT886" s="44">
        <f t="shared" ref="DT886" si="868">SUM(F886:DR886)</f>
        <v>1</v>
      </c>
    </row>
    <row r="887" spans="2:124" s="13" customFormat="1">
      <c r="B887" s="4">
        <f>'6.1Personnel List'!B888</f>
        <v>875</v>
      </c>
      <c r="C887" s="45" t="s">
        <v>1101</v>
      </c>
      <c r="D887" s="45" t="str">
        <f>'6.1Personnel List'!D888</f>
        <v>Nurse II</v>
      </c>
      <c r="E887" s="45" t="str">
        <f>'6.1Personnel List'!H888</f>
        <v>FT</v>
      </c>
      <c r="G887" s="41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  <c r="AA887" s="41"/>
      <c r="AB887" s="41"/>
      <c r="AC887" s="41"/>
      <c r="AD887" s="41"/>
      <c r="AE887" s="41"/>
      <c r="AF887" s="41"/>
      <c r="AG887" s="41"/>
      <c r="AH887" s="41"/>
      <c r="AI887" s="41"/>
      <c r="AJ887" s="41"/>
      <c r="AK887" s="41"/>
      <c r="AL887" s="41"/>
      <c r="AM887" s="41"/>
      <c r="AN887" s="41"/>
      <c r="AO887" s="41"/>
      <c r="AP887" s="41"/>
      <c r="AQ887" s="41"/>
      <c r="AR887" s="41"/>
      <c r="AS887" s="41"/>
      <c r="AT887" s="41"/>
      <c r="AU887" s="41"/>
      <c r="AV887" s="41"/>
      <c r="AW887" s="41"/>
      <c r="AX887" s="41"/>
      <c r="AY887" s="41"/>
      <c r="AZ887" s="41"/>
      <c r="BA887" s="41"/>
      <c r="BB887" s="41"/>
      <c r="BC887" s="41"/>
      <c r="BD887" s="41"/>
      <c r="BE887" s="41"/>
      <c r="BF887" s="41"/>
      <c r="BG887" s="41"/>
      <c r="BH887" s="41"/>
      <c r="BJ887" s="41"/>
      <c r="BK887" s="41"/>
      <c r="BL887" s="41"/>
      <c r="BM887" s="41"/>
      <c r="BN887" s="41"/>
      <c r="BO887" s="41"/>
      <c r="BP887" s="41"/>
      <c r="BQ887" s="41"/>
      <c r="BR887" s="41"/>
      <c r="BS887" s="41"/>
      <c r="BT887" s="41"/>
      <c r="BU887" s="41"/>
      <c r="BV887" s="41"/>
      <c r="BW887" s="41"/>
      <c r="BX887" s="41"/>
      <c r="BY887" s="41"/>
      <c r="BZ887" s="41"/>
      <c r="CA887" s="41"/>
      <c r="CB887" s="41"/>
      <c r="CC887" s="41"/>
      <c r="CD887" s="41"/>
      <c r="CE887" s="41"/>
      <c r="CF887" s="41"/>
      <c r="CG887" s="41"/>
      <c r="CH887" s="41"/>
      <c r="CI887" s="41"/>
      <c r="CJ887" s="41"/>
      <c r="CK887" s="41"/>
      <c r="CL887" s="41"/>
      <c r="CM887" s="41"/>
      <c r="CN887" s="92">
        <v>0.25</v>
      </c>
      <c r="CO887" s="41"/>
      <c r="CP887" s="41"/>
      <c r="CQ887" s="41"/>
      <c r="CR887" s="41"/>
      <c r="CS887" s="41"/>
      <c r="CT887" s="41"/>
      <c r="CU887" s="41"/>
      <c r="CV887" s="41"/>
      <c r="CW887" s="41"/>
      <c r="CX887" s="41"/>
      <c r="CY887" s="41"/>
      <c r="CZ887" s="41"/>
      <c r="DA887" s="41"/>
      <c r="DB887" s="92">
        <v>0.25</v>
      </c>
      <c r="DC887" s="92">
        <v>0.25</v>
      </c>
      <c r="DD887" s="41"/>
      <c r="DE887" s="41"/>
      <c r="DF887" s="41"/>
      <c r="DG887" s="41"/>
      <c r="DH887" s="41"/>
      <c r="DI887" s="41"/>
      <c r="DJ887" s="92">
        <v>0.25</v>
      </c>
      <c r="DK887" s="41"/>
      <c r="DL887" s="41"/>
      <c r="DM887" s="41"/>
      <c r="DN887" s="41"/>
      <c r="DO887" s="41"/>
      <c r="DP887" s="41"/>
      <c r="DQ887" s="41"/>
      <c r="DR887" s="41"/>
      <c r="DS887" s="43"/>
      <c r="DT887" s="44">
        <f t="shared" ref="DT887" si="869">SUM(F887:DR887)</f>
        <v>1</v>
      </c>
    </row>
    <row r="888" spans="2:124" s="13" customFormat="1">
      <c r="B888" s="4">
        <f>'6.1Personnel List'!B889</f>
        <v>876</v>
      </c>
      <c r="C888" s="45" t="s">
        <v>1102</v>
      </c>
      <c r="D888" s="45" t="str">
        <f>'6.1Personnel List'!D889</f>
        <v>Nurse II</v>
      </c>
      <c r="E888" s="45" t="str">
        <f>'6.1Personnel List'!H889</f>
        <v>FT</v>
      </c>
      <c r="G888" s="41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  <c r="AA888" s="41"/>
      <c r="AB888" s="41"/>
      <c r="AC888" s="41"/>
      <c r="AD888" s="41"/>
      <c r="AE888" s="41"/>
      <c r="AF888" s="41"/>
      <c r="AG888" s="41"/>
      <c r="AH888" s="41"/>
      <c r="AI888" s="41"/>
      <c r="AJ888" s="41"/>
      <c r="AK888" s="41"/>
      <c r="AL888" s="41"/>
      <c r="AM888" s="41"/>
      <c r="AN888" s="41"/>
      <c r="AO888" s="41"/>
      <c r="AP888" s="41"/>
      <c r="AQ888" s="41"/>
      <c r="AR888" s="41"/>
      <c r="AS888" s="41"/>
      <c r="AT888" s="41"/>
      <c r="AU888" s="41"/>
      <c r="AV888" s="41"/>
      <c r="AW888" s="41"/>
      <c r="AX888" s="41"/>
      <c r="AY888" s="41"/>
      <c r="AZ888" s="41"/>
      <c r="BA888" s="41"/>
      <c r="BB888" s="41"/>
      <c r="BC888" s="41"/>
      <c r="BD888" s="41"/>
      <c r="BE888" s="41"/>
      <c r="BF888" s="41"/>
      <c r="BG888" s="41"/>
      <c r="BH888" s="41"/>
      <c r="BJ888" s="41"/>
      <c r="BK888" s="41"/>
      <c r="BL888" s="41"/>
      <c r="BM888" s="41"/>
      <c r="BN888" s="41"/>
      <c r="BO888" s="41"/>
      <c r="BP888" s="41"/>
      <c r="BQ888" s="41"/>
      <c r="BR888" s="41"/>
      <c r="BS888" s="41"/>
      <c r="BT888" s="41"/>
      <c r="BU888" s="41"/>
      <c r="BV888" s="41">
        <v>0.05</v>
      </c>
      <c r="BW888" s="41"/>
      <c r="BX888" s="41"/>
      <c r="BY888" s="41"/>
      <c r="BZ888" s="41"/>
      <c r="CA888" s="41"/>
      <c r="CB888" s="41">
        <v>0.05</v>
      </c>
      <c r="CC888" s="41"/>
      <c r="CD888" s="41"/>
      <c r="CE888" s="41">
        <v>0.05</v>
      </c>
      <c r="CF888" s="41">
        <v>0.02</v>
      </c>
      <c r="CG888" s="41">
        <v>0.03</v>
      </c>
      <c r="CH888" s="41"/>
      <c r="CI888" s="41"/>
      <c r="CJ888" s="41"/>
      <c r="CK888" s="41"/>
      <c r="CL888" s="41">
        <v>0.8</v>
      </c>
      <c r="CM888" s="41"/>
      <c r="CN888" s="41"/>
      <c r="CO888" s="41"/>
      <c r="CP888" s="41"/>
      <c r="CQ888" s="41"/>
      <c r="CR888" s="41"/>
      <c r="CS888" s="41"/>
      <c r="CT888" s="41"/>
      <c r="CU888" s="41"/>
      <c r="CV888" s="41"/>
      <c r="CW888" s="41"/>
      <c r="CX888" s="41"/>
      <c r="CY888" s="41"/>
      <c r="CZ888" s="41"/>
      <c r="DA888" s="41"/>
      <c r="DB888" s="41"/>
      <c r="DC888" s="41"/>
      <c r="DD888" s="41"/>
      <c r="DE888" s="41"/>
      <c r="DF888" s="41"/>
      <c r="DG888" s="41"/>
      <c r="DH888" s="41"/>
      <c r="DI888" s="41"/>
      <c r="DJ888" s="41"/>
      <c r="DK888" s="41"/>
      <c r="DL888" s="41"/>
      <c r="DM888" s="41"/>
      <c r="DN888" s="41"/>
      <c r="DO888" s="41"/>
      <c r="DP888" s="41"/>
      <c r="DQ888" s="41"/>
      <c r="DR888" s="41"/>
      <c r="DS888" s="43"/>
      <c r="DT888" s="44">
        <f t="shared" ref="DT888" si="870">SUM(F888:DR888)</f>
        <v>1</v>
      </c>
    </row>
    <row r="889" spans="2:124" s="13" customFormat="1">
      <c r="B889" s="4">
        <f>'6.1Personnel List'!B890</f>
        <v>877</v>
      </c>
      <c r="C889" s="45" t="s">
        <v>1103</v>
      </c>
      <c r="D889" s="45" t="str">
        <f>'6.1Personnel List'!D890</f>
        <v>Nurse II</v>
      </c>
      <c r="E889" s="45" t="str">
        <f>'6.1Personnel List'!H890</f>
        <v>FT</v>
      </c>
      <c r="G889" s="41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  <c r="AA889" s="41"/>
      <c r="AB889" s="41"/>
      <c r="AC889" s="41"/>
      <c r="AD889" s="41"/>
      <c r="AE889" s="41"/>
      <c r="AF889" s="41"/>
      <c r="AG889" s="41"/>
      <c r="AH889" s="41"/>
      <c r="AI889" s="41"/>
      <c r="AJ889" s="41"/>
      <c r="AK889" s="41"/>
      <c r="AL889" s="41"/>
      <c r="AM889" s="41"/>
      <c r="AN889" s="41"/>
      <c r="AO889" s="41"/>
      <c r="AP889" s="41"/>
      <c r="AQ889" s="41"/>
      <c r="AR889" s="41"/>
      <c r="AS889" s="41"/>
      <c r="AT889" s="41"/>
      <c r="AU889" s="41"/>
      <c r="AV889" s="41"/>
      <c r="AW889" s="41"/>
      <c r="AX889" s="41"/>
      <c r="AY889" s="41"/>
      <c r="AZ889" s="41"/>
      <c r="BA889" s="41"/>
      <c r="BB889" s="41"/>
      <c r="BC889" s="41"/>
      <c r="BD889" s="41"/>
      <c r="BE889" s="41"/>
      <c r="BF889" s="41"/>
      <c r="BG889" s="41"/>
      <c r="BH889" s="41"/>
      <c r="BJ889" s="41"/>
      <c r="BK889" s="41"/>
      <c r="BL889" s="41"/>
      <c r="BM889" s="41"/>
      <c r="BN889" s="41"/>
      <c r="BO889" s="41"/>
      <c r="BP889" s="41"/>
      <c r="BQ889" s="41"/>
      <c r="BR889" s="41"/>
      <c r="BS889" s="41">
        <v>0.05</v>
      </c>
      <c r="BT889" s="41"/>
      <c r="BU889" s="41"/>
      <c r="BV889" s="41">
        <v>0.05</v>
      </c>
      <c r="BW889" s="41">
        <v>0.05</v>
      </c>
      <c r="BX889" s="41"/>
      <c r="BY889" s="41"/>
      <c r="BZ889" s="41"/>
      <c r="CA889" s="41"/>
      <c r="CB889" s="41"/>
      <c r="CC889" s="41"/>
      <c r="CD889" s="41"/>
      <c r="CE889" s="41">
        <v>0.1</v>
      </c>
      <c r="CF889" s="41">
        <v>0.05</v>
      </c>
      <c r="CG889" s="41">
        <v>0.05</v>
      </c>
      <c r="CH889" s="41">
        <v>0.05</v>
      </c>
      <c r="CI889" s="41"/>
      <c r="CJ889" s="41">
        <v>0.05</v>
      </c>
      <c r="CK889" s="41"/>
      <c r="CL889" s="41">
        <v>0.2</v>
      </c>
      <c r="CM889" s="41"/>
      <c r="CN889" s="41"/>
      <c r="CO889" s="41"/>
      <c r="CP889" s="41"/>
      <c r="CQ889" s="41"/>
      <c r="CR889" s="41"/>
      <c r="CS889" s="41"/>
      <c r="CT889" s="41"/>
      <c r="CU889" s="41">
        <v>0.05</v>
      </c>
      <c r="CV889" s="41"/>
      <c r="CW889" s="41"/>
      <c r="CX889" s="41"/>
      <c r="CY889" s="41"/>
      <c r="CZ889" s="41"/>
      <c r="DA889" s="41"/>
      <c r="DB889" s="41"/>
      <c r="DC889" s="41"/>
      <c r="DD889" s="41">
        <v>0.05</v>
      </c>
      <c r="DE889" s="41"/>
      <c r="DF889" s="41"/>
      <c r="DG889" s="41"/>
      <c r="DH889" s="41"/>
      <c r="DI889" s="41"/>
      <c r="DJ889" s="41"/>
      <c r="DK889" s="41"/>
      <c r="DL889" s="41"/>
      <c r="DM889" s="41"/>
      <c r="DN889" s="41"/>
      <c r="DO889" s="41"/>
      <c r="DP889" s="41">
        <v>0.25</v>
      </c>
      <c r="DQ889" s="41"/>
      <c r="DR889" s="41"/>
      <c r="DS889" s="43"/>
      <c r="DT889" s="44">
        <f t="shared" ref="DT889" si="871">SUM(F889:DR889)</f>
        <v>1</v>
      </c>
    </row>
    <row r="890" spans="2:124" s="13" customFormat="1">
      <c r="B890" s="4">
        <f>'6.1Personnel List'!B891</f>
        <v>878</v>
      </c>
      <c r="C890" s="45" t="s">
        <v>1104</v>
      </c>
      <c r="D890" s="45" t="str">
        <f>'6.1Personnel List'!D891</f>
        <v>Nurse II</v>
      </c>
      <c r="E890" s="45" t="str">
        <f>'6.1Personnel List'!H891</f>
        <v>FT</v>
      </c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  <c r="AA890" s="41"/>
      <c r="AB890" s="41"/>
      <c r="AC890" s="41"/>
      <c r="AD890" s="41"/>
      <c r="AE890" s="41"/>
      <c r="AF890" s="41"/>
      <c r="AG890" s="41"/>
      <c r="AH890" s="41"/>
      <c r="AI890" s="41"/>
      <c r="AJ890" s="41"/>
      <c r="AK890" s="41"/>
      <c r="AL890" s="41"/>
      <c r="AM890" s="41"/>
      <c r="AN890" s="41"/>
      <c r="AO890" s="41"/>
      <c r="AP890" s="41"/>
      <c r="AQ890" s="41"/>
      <c r="AR890" s="41"/>
      <c r="AS890" s="41"/>
      <c r="AT890" s="41"/>
      <c r="AU890" s="41"/>
      <c r="AV890" s="41"/>
      <c r="AW890" s="41"/>
      <c r="AX890" s="41"/>
      <c r="AY890" s="41"/>
      <c r="AZ890" s="41"/>
      <c r="BA890" s="41"/>
      <c r="BB890" s="41"/>
      <c r="BC890" s="41"/>
      <c r="BD890" s="41"/>
      <c r="BE890" s="41"/>
      <c r="BF890" s="41"/>
      <c r="BG890" s="41"/>
      <c r="BH890" s="41"/>
      <c r="BJ890" s="41"/>
      <c r="BK890" s="94"/>
      <c r="BL890" s="94"/>
      <c r="BM890" s="94"/>
      <c r="BN890" s="94"/>
      <c r="BO890" s="94"/>
      <c r="BP890" s="94"/>
      <c r="BQ890" s="94"/>
      <c r="BR890" s="94"/>
      <c r="BS890" s="94"/>
      <c r="BT890" s="94"/>
      <c r="BU890" s="94"/>
      <c r="BV890" s="94"/>
      <c r="BW890" s="94"/>
      <c r="BX890" s="94"/>
      <c r="BY890" s="94"/>
      <c r="BZ890" s="94"/>
      <c r="CA890" s="94"/>
      <c r="CB890" s="94"/>
      <c r="CC890" s="94"/>
      <c r="CD890" s="94"/>
      <c r="CE890" s="94"/>
      <c r="CF890" s="94"/>
      <c r="CG890" s="94"/>
      <c r="CH890" s="94"/>
      <c r="CI890" s="94"/>
      <c r="CJ890" s="94"/>
      <c r="CK890" s="94"/>
      <c r="CL890" s="94"/>
      <c r="CM890" s="94"/>
      <c r="CN890" s="94"/>
      <c r="CO890" s="94"/>
      <c r="CP890" s="94"/>
      <c r="CQ890" s="94"/>
      <c r="CR890" s="94"/>
      <c r="CS890" s="94"/>
      <c r="CT890" s="94"/>
      <c r="CU890" s="94"/>
      <c r="CV890" s="94"/>
      <c r="CW890" s="94"/>
      <c r="CX890" s="94"/>
      <c r="CY890" s="94"/>
      <c r="CZ890" s="94"/>
      <c r="DA890" s="94"/>
      <c r="DB890" s="94"/>
      <c r="DC890" s="94"/>
      <c r="DD890" s="94"/>
      <c r="DE890" s="94"/>
      <c r="DF890" s="94"/>
      <c r="DG890" s="94"/>
      <c r="DH890" s="94"/>
      <c r="DI890" s="94"/>
      <c r="DJ890" s="94"/>
      <c r="DK890" s="41">
        <v>1</v>
      </c>
      <c r="DL890" s="41"/>
      <c r="DM890" s="41"/>
      <c r="DN890" s="41"/>
      <c r="DO890" s="41"/>
      <c r="DP890" s="41"/>
      <c r="DQ890" s="41"/>
      <c r="DR890" s="41"/>
      <c r="DS890" s="43"/>
      <c r="DT890" s="44">
        <f t="shared" ref="DT890" si="872">SUM(F890:DR890)</f>
        <v>1</v>
      </c>
    </row>
    <row r="891" spans="2:124" s="13" customFormat="1">
      <c r="B891" s="4">
        <f>'6.1Personnel List'!B892</f>
        <v>879</v>
      </c>
      <c r="C891" s="45" t="s">
        <v>1105</v>
      </c>
      <c r="D891" s="45" t="str">
        <f>'6.1Personnel List'!D892</f>
        <v>Nurse II</v>
      </c>
      <c r="E891" s="45" t="str">
        <f>'6.1Personnel List'!H892</f>
        <v>FT</v>
      </c>
      <c r="G891" s="41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  <c r="AA891" s="41"/>
      <c r="AB891" s="41"/>
      <c r="AC891" s="41"/>
      <c r="AD891" s="41"/>
      <c r="AE891" s="41"/>
      <c r="AF891" s="41"/>
      <c r="AG891" s="41"/>
      <c r="AH891" s="41"/>
      <c r="AI891" s="41"/>
      <c r="AJ891" s="41"/>
      <c r="AK891" s="41"/>
      <c r="AL891" s="41"/>
      <c r="AM891" s="41"/>
      <c r="AN891" s="41"/>
      <c r="AO891" s="41"/>
      <c r="AP891" s="41"/>
      <c r="AQ891" s="41"/>
      <c r="AR891" s="41"/>
      <c r="AS891" s="41"/>
      <c r="AT891" s="41"/>
      <c r="AU891" s="41"/>
      <c r="AV891" s="41"/>
      <c r="AW891" s="41"/>
      <c r="AX891" s="41"/>
      <c r="AY891" s="41"/>
      <c r="AZ891" s="41"/>
      <c r="BA891" s="41"/>
      <c r="BB891" s="41"/>
      <c r="BC891" s="41"/>
      <c r="BD891" s="41"/>
      <c r="BE891" s="41"/>
      <c r="BF891" s="41"/>
      <c r="BG891" s="41"/>
      <c r="BH891" s="41"/>
      <c r="BJ891" s="41"/>
      <c r="BK891" s="41"/>
      <c r="BL891" s="41"/>
      <c r="BM891" s="41"/>
      <c r="BN891" s="41"/>
      <c r="BO891" s="41"/>
      <c r="BP891" s="41"/>
      <c r="BQ891" s="41"/>
      <c r="BR891" s="41"/>
      <c r="BS891" s="41"/>
      <c r="BT891" s="41"/>
      <c r="BU891" s="41"/>
      <c r="BV891" s="41"/>
      <c r="BW891" s="41"/>
      <c r="BX891" s="41"/>
      <c r="BY891" s="41"/>
      <c r="BZ891" s="41"/>
      <c r="CA891" s="41"/>
      <c r="CB891" s="41"/>
      <c r="CC891" s="41"/>
      <c r="CD891" s="41"/>
      <c r="CE891" s="41"/>
      <c r="CF891" s="41"/>
      <c r="CG891" s="41"/>
      <c r="CH891" s="41"/>
      <c r="CI891" s="41"/>
      <c r="CJ891" s="41"/>
      <c r="CK891" s="41"/>
      <c r="CL891" s="41"/>
      <c r="CM891" s="41"/>
      <c r="CN891" s="92">
        <v>0.25</v>
      </c>
      <c r="CO891" s="41"/>
      <c r="CP891" s="41"/>
      <c r="CQ891" s="41"/>
      <c r="CR891" s="41"/>
      <c r="CS891" s="41"/>
      <c r="CT891" s="41"/>
      <c r="CU891" s="41"/>
      <c r="CV891" s="41"/>
      <c r="CW891" s="41"/>
      <c r="CX891" s="41"/>
      <c r="CY891" s="41"/>
      <c r="CZ891" s="41"/>
      <c r="DA891" s="41"/>
      <c r="DB891" s="92">
        <v>0.25</v>
      </c>
      <c r="DC891" s="92">
        <v>0.25</v>
      </c>
      <c r="DD891" s="41"/>
      <c r="DE891" s="41"/>
      <c r="DF891" s="41"/>
      <c r="DG891" s="41"/>
      <c r="DH891" s="41"/>
      <c r="DI891" s="41"/>
      <c r="DJ891" s="92">
        <v>0.25</v>
      </c>
      <c r="DK891" s="41"/>
      <c r="DL891" s="41"/>
      <c r="DM891" s="41"/>
      <c r="DN891" s="41"/>
      <c r="DO891" s="41"/>
      <c r="DP891" s="41"/>
      <c r="DQ891" s="41"/>
      <c r="DR891" s="41"/>
      <c r="DS891" s="43"/>
      <c r="DT891" s="44">
        <f t="shared" ref="DT891" si="873">SUM(F891:DR891)</f>
        <v>1</v>
      </c>
    </row>
    <row r="892" spans="2:124" s="13" customFormat="1">
      <c r="B892" s="4">
        <f>'6.1Personnel List'!B893</f>
        <v>880</v>
      </c>
      <c r="C892" s="45" t="s">
        <v>1106</v>
      </c>
      <c r="D892" s="45" t="str">
        <f>'6.1Personnel List'!D893</f>
        <v>Nurse II</v>
      </c>
      <c r="E892" s="45" t="str">
        <f>'6.1Personnel List'!H893</f>
        <v>FT</v>
      </c>
      <c r="G892" s="41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  <c r="AA892" s="41"/>
      <c r="AB892" s="41"/>
      <c r="AC892" s="41"/>
      <c r="AD892" s="41"/>
      <c r="AE892" s="41"/>
      <c r="AF892" s="41"/>
      <c r="AG892" s="41"/>
      <c r="AH892" s="41"/>
      <c r="AI892" s="41"/>
      <c r="AJ892" s="41"/>
      <c r="AK892" s="41"/>
      <c r="AL892" s="41"/>
      <c r="AM892" s="41"/>
      <c r="AN892" s="41"/>
      <c r="AO892" s="41"/>
      <c r="AP892" s="41"/>
      <c r="AQ892" s="41"/>
      <c r="AR892" s="41"/>
      <c r="AS892" s="41"/>
      <c r="AT892" s="41"/>
      <c r="AU892" s="41"/>
      <c r="AV892" s="41"/>
      <c r="AW892" s="41"/>
      <c r="AX892" s="41"/>
      <c r="AY892" s="41"/>
      <c r="AZ892" s="41"/>
      <c r="BA892" s="41"/>
      <c r="BB892" s="41"/>
      <c r="BC892" s="41"/>
      <c r="BD892" s="41"/>
      <c r="BE892" s="41"/>
      <c r="BF892" s="41"/>
      <c r="BG892" s="41"/>
      <c r="BH892" s="41"/>
      <c r="BJ892" s="41"/>
      <c r="BK892" s="41"/>
      <c r="BL892" s="41"/>
      <c r="BM892" s="41"/>
      <c r="BN892" s="41"/>
      <c r="BO892" s="41"/>
      <c r="BP892" s="41"/>
      <c r="BQ892" s="41"/>
      <c r="BR892" s="41"/>
      <c r="BS892" s="41"/>
      <c r="BT892" s="41"/>
      <c r="BU892" s="41"/>
      <c r="BV892" s="41"/>
      <c r="BW892" s="41"/>
      <c r="BX892" s="41"/>
      <c r="BY892" s="41"/>
      <c r="BZ892" s="41"/>
      <c r="CA892" s="41"/>
      <c r="CB892" s="41">
        <v>0.01</v>
      </c>
      <c r="CC892" s="41"/>
      <c r="CD892" s="41"/>
      <c r="CE892" s="41">
        <v>0.02</v>
      </c>
      <c r="CF892" s="41">
        <v>0.02</v>
      </c>
      <c r="CG892" s="41">
        <v>0.1</v>
      </c>
      <c r="CH892" s="41">
        <v>0.1</v>
      </c>
      <c r="CI892" s="41">
        <v>0.02</v>
      </c>
      <c r="CJ892" s="41"/>
      <c r="CK892" s="41">
        <v>0.01</v>
      </c>
      <c r="CL892" s="41">
        <v>0.05</v>
      </c>
      <c r="CM892" s="41"/>
      <c r="CN892" s="41">
        <v>0.05</v>
      </c>
      <c r="CO892" s="41">
        <v>0.05</v>
      </c>
      <c r="CP892" s="41">
        <v>0.05</v>
      </c>
      <c r="CQ892" s="41">
        <v>0.05</v>
      </c>
      <c r="CR892" s="41">
        <v>0.02</v>
      </c>
      <c r="CS892" s="41">
        <v>0.01</v>
      </c>
      <c r="CT892" s="41"/>
      <c r="CU892" s="41"/>
      <c r="CV892" s="41">
        <v>0.02</v>
      </c>
      <c r="CW892" s="41"/>
      <c r="CX892" s="41"/>
      <c r="CY892" s="41"/>
      <c r="CZ892" s="41"/>
      <c r="DA892" s="41"/>
      <c r="DB892" s="41"/>
      <c r="DC892" s="41"/>
      <c r="DD892" s="41">
        <v>0.12</v>
      </c>
      <c r="DE892" s="41"/>
      <c r="DF892" s="41"/>
      <c r="DG892" s="41"/>
      <c r="DH892" s="41"/>
      <c r="DI892" s="41"/>
      <c r="DJ892" s="41">
        <v>0.05</v>
      </c>
      <c r="DK892" s="41">
        <v>0.05</v>
      </c>
      <c r="DL892" s="41">
        <v>0.05</v>
      </c>
      <c r="DM892" s="41">
        <v>0.05</v>
      </c>
      <c r="DN892" s="41"/>
      <c r="DO892" s="41"/>
      <c r="DP892" s="41">
        <v>0.05</v>
      </c>
      <c r="DQ892" s="41"/>
      <c r="DR892" s="41">
        <v>0.05</v>
      </c>
      <c r="DS892" s="43"/>
      <c r="DT892" s="44">
        <f t="shared" ref="DT892" si="874">SUM(F892:DR892)</f>
        <v>1.0000000000000002</v>
      </c>
    </row>
    <row r="893" spans="2:124" s="13" customFormat="1">
      <c r="B893" s="4">
        <f>'6.1Personnel List'!B894</f>
        <v>881</v>
      </c>
      <c r="C893" s="45" t="s">
        <v>1107</v>
      </c>
      <c r="D893" s="45" t="str">
        <f>'6.1Personnel List'!D894</f>
        <v>Nurse II</v>
      </c>
      <c r="E893" s="45" t="str">
        <f>'6.1Personnel List'!H894</f>
        <v>FT</v>
      </c>
      <c r="G893" s="41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  <c r="AA893" s="41"/>
      <c r="AB893" s="41"/>
      <c r="AC893" s="41"/>
      <c r="AD893" s="41"/>
      <c r="AE893" s="41"/>
      <c r="AF893" s="41"/>
      <c r="AG893" s="41"/>
      <c r="AH893" s="41"/>
      <c r="AI893" s="41"/>
      <c r="AJ893" s="41"/>
      <c r="AK893" s="41"/>
      <c r="AL893" s="41"/>
      <c r="AM893" s="41"/>
      <c r="AN893" s="41"/>
      <c r="AO893" s="41"/>
      <c r="AP893" s="41"/>
      <c r="AQ893" s="41"/>
      <c r="AR893" s="41"/>
      <c r="AS893" s="41"/>
      <c r="AT893" s="41"/>
      <c r="AU893" s="41"/>
      <c r="AV893" s="41"/>
      <c r="AW893" s="41"/>
      <c r="AX893" s="41"/>
      <c r="AY893" s="41"/>
      <c r="AZ893" s="41"/>
      <c r="BA893" s="41"/>
      <c r="BB893" s="41"/>
      <c r="BC893" s="41"/>
      <c r="BD893" s="41"/>
      <c r="BE893" s="41"/>
      <c r="BF893" s="41"/>
      <c r="BG893" s="41"/>
      <c r="BH893" s="41"/>
      <c r="BJ893" s="41"/>
      <c r="BK893" s="41"/>
      <c r="BL893" s="41"/>
      <c r="BM893" s="41"/>
      <c r="BN893" s="41"/>
      <c r="BO893" s="41"/>
      <c r="BP893" s="41"/>
      <c r="BQ893" s="41"/>
      <c r="BR893" s="41"/>
      <c r="BS893" s="41"/>
      <c r="BT893" s="41"/>
      <c r="BU893" s="41"/>
      <c r="BV893" s="41">
        <v>0.05</v>
      </c>
      <c r="BW893" s="41"/>
      <c r="BX893" s="41"/>
      <c r="BY893" s="41"/>
      <c r="BZ893" s="41"/>
      <c r="CA893" s="41"/>
      <c r="CB893" s="41">
        <v>0.05</v>
      </c>
      <c r="CC893" s="41"/>
      <c r="CD893" s="41"/>
      <c r="CE893" s="41">
        <v>0.05</v>
      </c>
      <c r="CF893" s="41">
        <v>0.05</v>
      </c>
      <c r="CG893" s="41"/>
      <c r="CH893" s="41"/>
      <c r="CI893" s="41"/>
      <c r="CJ893" s="41"/>
      <c r="CK893" s="41"/>
      <c r="CL893" s="41">
        <v>0.8</v>
      </c>
      <c r="CM893" s="41"/>
      <c r="CN893" s="41"/>
      <c r="CO893" s="41"/>
      <c r="CP893" s="41"/>
      <c r="CQ893" s="41"/>
      <c r="CR893" s="41"/>
      <c r="CS893" s="41"/>
      <c r="CT893" s="41"/>
      <c r="CU893" s="41"/>
      <c r="CV893" s="41"/>
      <c r="CW893" s="41"/>
      <c r="CX893" s="41"/>
      <c r="CY893" s="41"/>
      <c r="CZ893" s="41"/>
      <c r="DA893" s="41"/>
      <c r="DB893" s="41"/>
      <c r="DC893" s="41"/>
      <c r="DD893" s="41"/>
      <c r="DE893" s="41"/>
      <c r="DF893" s="41"/>
      <c r="DG893" s="41"/>
      <c r="DH893" s="41"/>
      <c r="DI893" s="41"/>
      <c r="DJ893" s="41"/>
      <c r="DK893" s="41"/>
      <c r="DL893" s="41"/>
      <c r="DM893" s="41"/>
      <c r="DN893" s="41"/>
      <c r="DO893" s="41"/>
      <c r="DP893" s="41"/>
      <c r="DQ893" s="41"/>
      <c r="DR893" s="41"/>
      <c r="DS893" s="43"/>
      <c r="DT893" s="44">
        <f t="shared" ref="DT893" si="875">SUM(F893:DR893)</f>
        <v>1</v>
      </c>
    </row>
    <row r="894" spans="2:124" s="13" customFormat="1">
      <c r="B894" s="4">
        <f>'6.1Personnel List'!B895</f>
        <v>882</v>
      </c>
      <c r="C894" s="45" t="s">
        <v>1108</v>
      </c>
      <c r="D894" s="45" t="str">
        <f>'6.1Personnel List'!D895</f>
        <v>Nurse II</v>
      </c>
      <c r="E894" s="45" t="str">
        <f>'6.1Personnel List'!H895</f>
        <v>FT</v>
      </c>
      <c r="G894" s="41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  <c r="AA894" s="41"/>
      <c r="AB894" s="41"/>
      <c r="AC894" s="41"/>
      <c r="AD894" s="41"/>
      <c r="AE894" s="41"/>
      <c r="AF894" s="41"/>
      <c r="AG894" s="41"/>
      <c r="AH894" s="41"/>
      <c r="AI894" s="41"/>
      <c r="AJ894" s="41"/>
      <c r="AK894" s="41"/>
      <c r="AL894" s="41"/>
      <c r="AM894" s="41"/>
      <c r="AN894" s="41"/>
      <c r="AO894" s="41"/>
      <c r="AP894" s="41"/>
      <c r="AQ894" s="41"/>
      <c r="AR894" s="41"/>
      <c r="AS894" s="41"/>
      <c r="AT894" s="41"/>
      <c r="AU894" s="41"/>
      <c r="AV894" s="41"/>
      <c r="AW894" s="41"/>
      <c r="AX894" s="41"/>
      <c r="AY894" s="41"/>
      <c r="AZ894" s="41"/>
      <c r="BA894" s="41"/>
      <c r="BB894" s="41"/>
      <c r="BC894" s="41"/>
      <c r="BD894" s="41"/>
      <c r="BE894" s="41"/>
      <c r="BF894" s="41"/>
      <c r="BG894" s="41"/>
      <c r="BH894" s="41"/>
      <c r="BJ894" s="41"/>
      <c r="BK894" s="41"/>
      <c r="BL894" s="41"/>
      <c r="BM894" s="41"/>
      <c r="BN894" s="41"/>
      <c r="BO894" s="41"/>
      <c r="BP894" s="41"/>
      <c r="BQ894" s="41"/>
      <c r="BR894" s="41"/>
      <c r="BS894" s="41">
        <v>0.05</v>
      </c>
      <c r="BT894" s="41"/>
      <c r="BU894" s="41">
        <v>0.05</v>
      </c>
      <c r="BV894" s="41">
        <v>0.05</v>
      </c>
      <c r="BW894" s="41">
        <v>0.05</v>
      </c>
      <c r="BX894" s="41"/>
      <c r="BY894" s="41"/>
      <c r="BZ894" s="41"/>
      <c r="CA894" s="41"/>
      <c r="CB894" s="41"/>
      <c r="CC894" s="41"/>
      <c r="CD894" s="41"/>
      <c r="CE894" s="41">
        <v>0.05</v>
      </c>
      <c r="CF894" s="41">
        <v>0.03</v>
      </c>
      <c r="CG894" s="41">
        <v>0.02</v>
      </c>
      <c r="CH894" s="41">
        <v>0.05</v>
      </c>
      <c r="CI894" s="41">
        <v>0.05</v>
      </c>
      <c r="CJ894" s="41"/>
      <c r="CK894" s="41"/>
      <c r="CL894" s="41"/>
      <c r="CM894" s="41"/>
      <c r="CN894" s="41"/>
      <c r="CO894" s="41"/>
      <c r="CP894" s="41"/>
      <c r="CQ894" s="41">
        <v>0.3</v>
      </c>
      <c r="CR894" s="41"/>
      <c r="CS894" s="41"/>
      <c r="CT894" s="41"/>
      <c r="CU894" s="41"/>
      <c r="CV894" s="41"/>
      <c r="CW894" s="41"/>
      <c r="CX894" s="41"/>
      <c r="CY894" s="41"/>
      <c r="CZ894" s="41"/>
      <c r="DA894" s="41"/>
      <c r="DB894" s="41"/>
      <c r="DC894" s="41"/>
      <c r="DD894" s="41"/>
      <c r="DE894" s="41"/>
      <c r="DF894" s="41"/>
      <c r="DG894" s="41"/>
      <c r="DH894" s="41"/>
      <c r="DI894" s="41"/>
      <c r="DJ894" s="41"/>
      <c r="DK894" s="41">
        <v>0.3</v>
      </c>
      <c r="DL894" s="41"/>
      <c r="DM894" s="41"/>
      <c r="DN894" s="41"/>
      <c r="DO894" s="41"/>
      <c r="DP894" s="41"/>
      <c r="DQ894" s="41"/>
      <c r="DR894" s="41"/>
      <c r="DS894" s="43"/>
      <c r="DT894" s="44">
        <f t="shared" ref="DT894" si="876">SUM(F894:DR894)</f>
        <v>1</v>
      </c>
    </row>
    <row r="895" spans="2:124" s="13" customFormat="1">
      <c r="B895" s="4">
        <f>'6.1Personnel List'!B896</f>
        <v>883</v>
      </c>
      <c r="C895" s="45" t="s">
        <v>1109</v>
      </c>
      <c r="D895" s="45" t="str">
        <f>'6.1Personnel List'!D896</f>
        <v>Nurse II</v>
      </c>
      <c r="E895" s="45" t="str">
        <f>'6.1Personnel List'!H896</f>
        <v>FT</v>
      </c>
      <c r="G895" s="41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  <c r="AA895" s="41"/>
      <c r="AB895" s="41"/>
      <c r="AC895" s="41"/>
      <c r="AD895" s="41"/>
      <c r="AE895" s="41"/>
      <c r="AF895" s="41"/>
      <c r="AG895" s="41"/>
      <c r="AH895" s="41"/>
      <c r="AI895" s="41"/>
      <c r="AJ895" s="41"/>
      <c r="AK895" s="41"/>
      <c r="AL895" s="41"/>
      <c r="AM895" s="41"/>
      <c r="AN895" s="41"/>
      <c r="AO895" s="41"/>
      <c r="AP895" s="41"/>
      <c r="AQ895" s="41"/>
      <c r="AR895" s="41"/>
      <c r="AS895" s="41"/>
      <c r="AT895" s="41"/>
      <c r="AU895" s="41"/>
      <c r="AV895" s="41"/>
      <c r="AW895" s="41"/>
      <c r="AX895" s="41"/>
      <c r="AY895" s="41"/>
      <c r="AZ895" s="41"/>
      <c r="BA895" s="41"/>
      <c r="BB895" s="41"/>
      <c r="BC895" s="41"/>
      <c r="BD895" s="41"/>
      <c r="BE895" s="41"/>
      <c r="BF895" s="41"/>
      <c r="BG895" s="41"/>
      <c r="BH895" s="41"/>
      <c r="BJ895" s="41"/>
      <c r="BK895" s="41"/>
      <c r="BL895" s="41"/>
      <c r="BM895" s="41"/>
      <c r="BN895" s="41"/>
      <c r="BO895" s="41"/>
      <c r="BP895" s="41"/>
      <c r="BQ895" s="41"/>
      <c r="BR895" s="41"/>
      <c r="BS895" s="41"/>
      <c r="BT895" s="41"/>
      <c r="BU895" s="41"/>
      <c r="BV895" s="41"/>
      <c r="BW895" s="41"/>
      <c r="BX895" s="41"/>
      <c r="BY895" s="41"/>
      <c r="BZ895" s="41"/>
      <c r="CA895" s="41"/>
      <c r="CB895" s="41"/>
      <c r="CC895" s="41"/>
      <c r="CD895" s="41"/>
      <c r="CE895" s="41"/>
      <c r="CF895" s="41"/>
      <c r="CG895" s="41"/>
      <c r="CH895" s="41"/>
      <c r="CI895" s="41"/>
      <c r="CJ895" s="41"/>
      <c r="CK895" s="41"/>
      <c r="CL895" s="41"/>
      <c r="CM895" s="41"/>
      <c r="CN895" s="92">
        <v>0.25</v>
      </c>
      <c r="CO895" s="41"/>
      <c r="CP895" s="41"/>
      <c r="CQ895" s="41"/>
      <c r="CR895" s="41"/>
      <c r="CS895" s="41"/>
      <c r="CT895" s="41"/>
      <c r="CU895" s="41"/>
      <c r="CV895" s="41"/>
      <c r="CW895" s="41"/>
      <c r="CX895" s="41"/>
      <c r="CY895" s="41"/>
      <c r="CZ895" s="41"/>
      <c r="DA895" s="41"/>
      <c r="DB895" s="92">
        <v>0.25</v>
      </c>
      <c r="DC895" s="92">
        <v>0.25</v>
      </c>
      <c r="DD895" s="41"/>
      <c r="DE895" s="41"/>
      <c r="DF895" s="41"/>
      <c r="DG895" s="41"/>
      <c r="DH895" s="41"/>
      <c r="DI895" s="41"/>
      <c r="DJ895" s="92">
        <v>0.25</v>
      </c>
      <c r="DK895" s="41"/>
      <c r="DL895" s="41"/>
      <c r="DM895" s="41"/>
      <c r="DN895" s="41"/>
      <c r="DO895" s="41"/>
      <c r="DP895" s="41"/>
      <c r="DQ895" s="41"/>
      <c r="DR895" s="41"/>
      <c r="DS895" s="43"/>
      <c r="DT895" s="44">
        <f t="shared" ref="DT895" si="877">SUM(F895:DR895)</f>
        <v>1</v>
      </c>
    </row>
    <row r="896" spans="2:124" s="13" customFormat="1">
      <c r="B896" s="4">
        <f>'6.1Personnel List'!B897</f>
        <v>884</v>
      </c>
      <c r="C896" s="45" t="s">
        <v>1110</v>
      </c>
      <c r="D896" s="45" t="str">
        <f>'6.1Personnel List'!D897</f>
        <v>Nurse II</v>
      </c>
      <c r="E896" s="45" t="str">
        <f>'6.1Personnel List'!H897</f>
        <v>FT</v>
      </c>
      <c r="G896" s="41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  <c r="AA896" s="41"/>
      <c r="AB896" s="41"/>
      <c r="AC896" s="41"/>
      <c r="AD896" s="41"/>
      <c r="AE896" s="41"/>
      <c r="AF896" s="41"/>
      <c r="AG896" s="41"/>
      <c r="AH896" s="41"/>
      <c r="AI896" s="41"/>
      <c r="AJ896" s="41"/>
      <c r="AK896" s="41"/>
      <c r="AL896" s="41"/>
      <c r="AM896" s="41"/>
      <c r="AN896" s="41"/>
      <c r="AO896" s="41"/>
      <c r="AP896" s="41"/>
      <c r="AQ896" s="41"/>
      <c r="AR896" s="41"/>
      <c r="AS896" s="41"/>
      <c r="AT896" s="41"/>
      <c r="AU896" s="41"/>
      <c r="AV896" s="41"/>
      <c r="AW896" s="41"/>
      <c r="AX896" s="41"/>
      <c r="AY896" s="41"/>
      <c r="AZ896" s="41"/>
      <c r="BA896" s="41"/>
      <c r="BB896" s="41"/>
      <c r="BC896" s="41"/>
      <c r="BD896" s="41"/>
      <c r="BE896" s="41"/>
      <c r="BF896" s="41"/>
      <c r="BG896" s="41"/>
      <c r="BH896" s="41"/>
      <c r="BJ896" s="41"/>
      <c r="BK896" s="41"/>
      <c r="BL896" s="41"/>
      <c r="BM896" s="41"/>
      <c r="BN896" s="41"/>
      <c r="BO896" s="41"/>
      <c r="BP896" s="41"/>
      <c r="BQ896" s="41"/>
      <c r="BR896" s="41"/>
      <c r="BS896" s="41"/>
      <c r="BT896" s="41"/>
      <c r="BU896" s="41"/>
      <c r="BV896" s="41">
        <v>0.05</v>
      </c>
      <c r="BW896" s="41"/>
      <c r="BX896" s="41"/>
      <c r="BY896" s="41"/>
      <c r="BZ896" s="41"/>
      <c r="CA896" s="41"/>
      <c r="CB896" s="41">
        <v>0.05</v>
      </c>
      <c r="CC896" s="41"/>
      <c r="CD896" s="41"/>
      <c r="CE896" s="41">
        <v>0.05</v>
      </c>
      <c r="CF896" s="41">
        <v>0.05</v>
      </c>
      <c r="CG896" s="41"/>
      <c r="CH896" s="41"/>
      <c r="CI896" s="41"/>
      <c r="CJ896" s="41"/>
      <c r="CK896" s="41"/>
      <c r="CL896" s="41">
        <v>0.8</v>
      </c>
      <c r="CM896" s="41"/>
      <c r="CN896" s="41"/>
      <c r="CO896" s="41"/>
      <c r="CP896" s="41"/>
      <c r="CQ896" s="41"/>
      <c r="CR896" s="41"/>
      <c r="CS896" s="41"/>
      <c r="CT896" s="41"/>
      <c r="CU896" s="41"/>
      <c r="CV896" s="41"/>
      <c r="CW896" s="41"/>
      <c r="CX896" s="41"/>
      <c r="CY896" s="41"/>
      <c r="CZ896" s="41"/>
      <c r="DA896" s="41"/>
      <c r="DB896" s="41"/>
      <c r="DC896" s="41"/>
      <c r="DD896" s="41"/>
      <c r="DE896" s="41"/>
      <c r="DF896" s="41"/>
      <c r="DG896" s="41"/>
      <c r="DH896" s="41"/>
      <c r="DI896" s="41"/>
      <c r="DJ896" s="41"/>
      <c r="DK896" s="41"/>
      <c r="DL896" s="41"/>
      <c r="DM896" s="41"/>
      <c r="DN896" s="41"/>
      <c r="DO896" s="41"/>
      <c r="DP896" s="41"/>
      <c r="DQ896" s="41"/>
      <c r="DR896" s="41"/>
      <c r="DS896" s="43"/>
      <c r="DT896" s="44">
        <f t="shared" ref="DT896" si="878">SUM(F896:DR896)</f>
        <v>1</v>
      </c>
    </row>
    <row r="897" spans="2:124" s="13" customFormat="1">
      <c r="B897" s="4">
        <f>'6.1Personnel List'!B898</f>
        <v>885</v>
      </c>
      <c r="C897" s="45" t="s">
        <v>1111</v>
      </c>
      <c r="D897" s="45" t="str">
        <f>'6.1Personnel List'!D898</f>
        <v>Nurse II</v>
      </c>
      <c r="E897" s="45" t="str">
        <f>'6.1Personnel List'!H898</f>
        <v>FT</v>
      </c>
      <c r="G897" s="41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  <c r="AA897" s="41"/>
      <c r="AB897" s="41"/>
      <c r="AC897" s="41"/>
      <c r="AD897" s="41"/>
      <c r="AE897" s="41"/>
      <c r="AF897" s="41"/>
      <c r="AG897" s="41"/>
      <c r="AH897" s="41"/>
      <c r="AI897" s="41"/>
      <c r="AJ897" s="41"/>
      <c r="AK897" s="41"/>
      <c r="AL897" s="41"/>
      <c r="AM897" s="41"/>
      <c r="AN897" s="41"/>
      <c r="AO897" s="41"/>
      <c r="AP897" s="41"/>
      <c r="AQ897" s="41"/>
      <c r="AR897" s="41"/>
      <c r="AS897" s="41"/>
      <c r="AT897" s="41"/>
      <c r="AU897" s="41"/>
      <c r="AV897" s="41"/>
      <c r="AW897" s="41"/>
      <c r="AX897" s="41"/>
      <c r="AY897" s="41"/>
      <c r="AZ897" s="41"/>
      <c r="BA897" s="41"/>
      <c r="BB897" s="41"/>
      <c r="BC897" s="41"/>
      <c r="BD897" s="41"/>
      <c r="BE897" s="41"/>
      <c r="BF897" s="41"/>
      <c r="BG897" s="41"/>
      <c r="BH897" s="41"/>
      <c r="BJ897" s="41"/>
      <c r="BK897" s="41"/>
      <c r="BL897" s="41"/>
      <c r="BM897" s="41"/>
      <c r="BN897" s="41"/>
      <c r="BO897" s="41"/>
      <c r="BP897" s="41"/>
      <c r="BQ897" s="41"/>
      <c r="BR897" s="41"/>
      <c r="BS897" s="41"/>
      <c r="BT897" s="41"/>
      <c r="BU897" s="41"/>
      <c r="BV897" s="41"/>
      <c r="BW897" s="41"/>
      <c r="BX897" s="41"/>
      <c r="BY897" s="41"/>
      <c r="BZ897" s="41"/>
      <c r="CA897" s="41"/>
      <c r="CB897" s="41">
        <v>0.01</v>
      </c>
      <c r="CC897" s="41"/>
      <c r="CD897" s="41"/>
      <c r="CE897" s="41">
        <v>0.02</v>
      </c>
      <c r="CF897" s="41">
        <v>0.02</v>
      </c>
      <c r="CG897" s="41">
        <v>0.1</v>
      </c>
      <c r="CH897" s="41">
        <v>0.1</v>
      </c>
      <c r="CI897" s="41">
        <v>0.02</v>
      </c>
      <c r="CJ897" s="41"/>
      <c r="CK897" s="41">
        <v>0.01</v>
      </c>
      <c r="CL897" s="41">
        <v>0.05</v>
      </c>
      <c r="CM897" s="41"/>
      <c r="CN897" s="41">
        <v>0.05</v>
      </c>
      <c r="CO897" s="41">
        <v>0.05</v>
      </c>
      <c r="CP897" s="41">
        <v>0.05</v>
      </c>
      <c r="CQ897" s="41">
        <v>0.05</v>
      </c>
      <c r="CR897" s="41">
        <v>0.02</v>
      </c>
      <c r="CS897" s="41">
        <v>0.01</v>
      </c>
      <c r="CT897" s="41"/>
      <c r="CU897" s="41"/>
      <c r="CV897" s="41">
        <v>0.02</v>
      </c>
      <c r="CW897" s="41"/>
      <c r="CX897" s="41"/>
      <c r="CY897" s="41"/>
      <c r="CZ897" s="41"/>
      <c r="DA897" s="41"/>
      <c r="DB897" s="41"/>
      <c r="DC897" s="41"/>
      <c r="DD897" s="41">
        <v>0.12</v>
      </c>
      <c r="DE897" s="41"/>
      <c r="DF897" s="41"/>
      <c r="DG897" s="41"/>
      <c r="DH897" s="41"/>
      <c r="DI897" s="41"/>
      <c r="DJ897" s="41">
        <v>0.05</v>
      </c>
      <c r="DK897" s="41">
        <v>0.05</v>
      </c>
      <c r="DL897" s="41">
        <v>0.05</v>
      </c>
      <c r="DM897" s="41">
        <v>0.05</v>
      </c>
      <c r="DN897" s="41"/>
      <c r="DO897" s="41"/>
      <c r="DP897" s="41">
        <v>0.05</v>
      </c>
      <c r="DQ897" s="41"/>
      <c r="DR897" s="41">
        <v>0.05</v>
      </c>
      <c r="DS897" s="43"/>
      <c r="DT897" s="44">
        <f t="shared" ref="DT897" si="879">SUM(F897:DR897)</f>
        <v>1.0000000000000002</v>
      </c>
    </row>
    <row r="898" spans="2:124" s="13" customFormat="1">
      <c r="B898" s="4">
        <f>'6.1Personnel List'!B899</f>
        <v>886</v>
      </c>
      <c r="C898" s="45" t="s">
        <v>1112</v>
      </c>
      <c r="D898" s="45" t="str">
        <f>'6.1Personnel List'!D899</f>
        <v>Nurse II</v>
      </c>
      <c r="E898" s="45" t="str">
        <f>'6.1Personnel List'!H899</f>
        <v>FT</v>
      </c>
      <c r="G898" s="41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  <c r="AA898" s="41"/>
      <c r="AB898" s="41"/>
      <c r="AC898" s="41"/>
      <c r="AD898" s="41"/>
      <c r="AE898" s="41"/>
      <c r="AF898" s="41"/>
      <c r="AG898" s="41"/>
      <c r="AH898" s="41"/>
      <c r="AI898" s="41"/>
      <c r="AJ898" s="41"/>
      <c r="AK898" s="41"/>
      <c r="AL898" s="41"/>
      <c r="AM898" s="41"/>
      <c r="AN898" s="41"/>
      <c r="AO898" s="41"/>
      <c r="AP898" s="41"/>
      <c r="AQ898" s="41"/>
      <c r="AR898" s="41"/>
      <c r="AS898" s="41"/>
      <c r="AT898" s="41"/>
      <c r="AU898" s="41"/>
      <c r="AV898" s="41"/>
      <c r="AW898" s="41"/>
      <c r="AX898" s="41"/>
      <c r="AY898" s="41"/>
      <c r="AZ898" s="41"/>
      <c r="BA898" s="41"/>
      <c r="BB898" s="41"/>
      <c r="BC898" s="41"/>
      <c r="BD898" s="41"/>
      <c r="BE898" s="41"/>
      <c r="BF898" s="41"/>
      <c r="BG898" s="41"/>
      <c r="BH898" s="41"/>
      <c r="BJ898" s="41"/>
      <c r="BK898" s="41"/>
      <c r="BL898" s="41"/>
      <c r="BM898" s="41"/>
      <c r="BN898" s="41"/>
      <c r="BO898" s="41"/>
      <c r="BP898" s="41"/>
      <c r="BQ898" s="41"/>
      <c r="BR898" s="41"/>
      <c r="BS898" s="41"/>
      <c r="BT898" s="41"/>
      <c r="BU898" s="41"/>
      <c r="BV898" s="41">
        <v>0.05</v>
      </c>
      <c r="BW898" s="41"/>
      <c r="BX898" s="41"/>
      <c r="BY898" s="41"/>
      <c r="BZ898" s="41"/>
      <c r="CA898" s="41"/>
      <c r="CB898" s="41">
        <v>0.05</v>
      </c>
      <c r="CC898" s="41"/>
      <c r="CD898" s="41"/>
      <c r="CE898" s="41">
        <v>0.05</v>
      </c>
      <c r="CF898" s="41">
        <v>0.05</v>
      </c>
      <c r="CG898" s="41"/>
      <c r="CH898" s="41"/>
      <c r="CI898" s="41"/>
      <c r="CJ898" s="41"/>
      <c r="CK898" s="41"/>
      <c r="CL898" s="41">
        <v>0.8</v>
      </c>
      <c r="CM898" s="41"/>
      <c r="CN898" s="41"/>
      <c r="CO898" s="41"/>
      <c r="CP898" s="41"/>
      <c r="CQ898" s="41"/>
      <c r="CR898" s="41"/>
      <c r="CS898" s="41"/>
      <c r="CT898" s="41"/>
      <c r="CU898" s="41"/>
      <c r="CV898" s="41"/>
      <c r="CW898" s="41"/>
      <c r="CX898" s="41"/>
      <c r="CY898" s="41"/>
      <c r="CZ898" s="41"/>
      <c r="DA898" s="41"/>
      <c r="DB898" s="41"/>
      <c r="DC898" s="41"/>
      <c r="DD898" s="41"/>
      <c r="DE898" s="41"/>
      <c r="DF898" s="41"/>
      <c r="DG898" s="41"/>
      <c r="DH898" s="41"/>
      <c r="DI898" s="41"/>
      <c r="DJ898" s="41"/>
      <c r="DK898" s="41"/>
      <c r="DL898" s="41"/>
      <c r="DM898" s="41"/>
      <c r="DN898" s="41"/>
      <c r="DO898" s="41"/>
      <c r="DP898" s="41"/>
      <c r="DQ898" s="41"/>
      <c r="DR898" s="41"/>
      <c r="DS898" s="43"/>
      <c r="DT898" s="44">
        <f t="shared" ref="DT898" si="880">SUM(F898:DR898)</f>
        <v>1</v>
      </c>
    </row>
    <row r="899" spans="2:124" s="13" customFormat="1">
      <c r="B899" s="4">
        <f>'6.1Personnel List'!B900</f>
        <v>887</v>
      </c>
      <c r="C899" s="45" t="s">
        <v>1113</v>
      </c>
      <c r="D899" s="45" t="str">
        <f>'6.1Personnel List'!D900</f>
        <v>Nurse II</v>
      </c>
      <c r="E899" s="45" t="str">
        <f>'6.1Personnel List'!H900</f>
        <v>FT</v>
      </c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  <c r="AA899" s="41"/>
      <c r="AB899" s="41"/>
      <c r="AC899" s="41"/>
      <c r="AD899" s="41"/>
      <c r="AE899" s="41"/>
      <c r="AF899" s="41"/>
      <c r="AG899" s="41"/>
      <c r="AH899" s="41"/>
      <c r="AI899" s="41"/>
      <c r="AJ899" s="41"/>
      <c r="AK899" s="41"/>
      <c r="AL899" s="41"/>
      <c r="AM899" s="41"/>
      <c r="AN899" s="41"/>
      <c r="AO899" s="41"/>
      <c r="AP899" s="41"/>
      <c r="AQ899" s="41"/>
      <c r="AR899" s="41"/>
      <c r="AS899" s="41"/>
      <c r="AT899" s="41"/>
      <c r="AU899" s="41"/>
      <c r="AV899" s="41"/>
      <c r="AW899" s="41"/>
      <c r="AX899" s="41"/>
      <c r="AY899" s="41"/>
      <c r="AZ899" s="41"/>
      <c r="BA899" s="41"/>
      <c r="BB899" s="41"/>
      <c r="BC899" s="41"/>
      <c r="BD899" s="41"/>
      <c r="BE899" s="41"/>
      <c r="BF899" s="41"/>
      <c r="BG899" s="41"/>
      <c r="BH899" s="41"/>
      <c r="BJ899" s="41"/>
      <c r="BK899" s="41"/>
      <c r="BL899" s="41"/>
      <c r="BM899" s="41"/>
      <c r="BN899" s="41"/>
      <c r="BO899" s="41"/>
      <c r="BP899" s="41"/>
      <c r="BQ899" s="41"/>
      <c r="BR899" s="41"/>
      <c r="BS899" s="41">
        <v>0.05</v>
      </c>
      <c r="BT899" s="41"/>
      <c r="BU899" s="41"/>
      <c r="BV899" s="41">
        <v>0.05</v>
      </c>
      <c r="BW899" s="41">
        <v>0.05</v>
      </c>
      <c r="BX899" s="41"/>
      <c r="BY899" s="41"/>
      <c r="BZ899" s="41"/>
      <c r="CA899" s="41"/>
      <c r="CB899" s="41"/>
      <c r="CC899" s="41"/>
      <c r="CD899" s="41"/>
      <c r="CE899" s="41">
        <v>0.1</v>
      </c>
      <c r="CF899" s="41">
        <v>0.05</v>
      </c>
      <c r="CG899" s="41">
        <v>0.05</v>
      </c>
      <c r="CH899" s="41">
        <v>0.05</v>
      </c>
      <c r="CI899" s="41"/>
      <c r="CJ899" s="41">
        <v>0.05</v>
      </c>
      <c r="CK899" s="41"/>
      <c r="CL899" s="41">
        <v>0.2</v>
      </c>
      <c r="CM899" s="41"/>
      <c r="CN899" s="41"/>
      <c r="CO899" s="41"/>
      <c r="CP899" s="41">
        <v>0.25</v>
      </c>
      <c r="CQ899" s="41"/>
      <c r="CR899" s="41"/>
      <c r="CS899" s="41"/>
      <c r="CT899" s="41"/>
      <c r="CU899" s="41">
        <v>0.05</v>
      </c>
      <c r="CV899" s="41"/>
      <c r="CW899" s="41"/>
      <c r="CX899" s="41"/>
      <c r="CY899" s="41"/>
      <c r="CZ899" s="41"/>
      <c r="DA899" s="41"/>
      <c r="DB899" s="41"/>
      <c r="DC899" s="41"/>
      <c r="DD899" s="41">
        <v>0.05</v>
      </c>
      <c r="DE899" s="41"/>
      <c r="DF899" s="41"/>
      <c r="DG899" s="41"/>
      <c r="DH899" s="41"/>
      <c r="DI899" s="41"/>
      <c r="DJ899" s="41"/>
      <c r="DK899" s="41"/>
      <c r="DL899" s="41"/>
      <c r="DM899" s="41"/>
      <c r="DN899" s="41"/>
      <c r="DO899" s="41"/>
      <c r="DP899" s="41"/>
      <c r="DQ899" s="41"/>
      <c r="DR899" s="41"/>
      <c r="DS899" s="43"/>
      <c r="DT899" s="44">
        <f t="shared" ref="DT899" si="881">SUM(F899:DR899)</f>
        <v>1</v>
      </c>
    </row>
    <row r="900" spans="2:124" s="13" customFormat="1">
      <c r="B900" s="4">
        <f>'6.1Personnel List'!B901</f>
        <v>888</v>
      </c>
      <c r="C900" s="45" t="s">
        <v>1114</v>
      </c>
      <c r="D900" s="45" t="str">
        <f>'6.1Personnel List'!D901</f>
        <v>Nurse II</v>
      </c>
      <c r="E900" s="45" t="str">
        <f>'6.1Personnel List'!H901</f>
        <v>FT</v>
      </c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  <c r="AA900" s="41"/>
      <c r="AB900" s="41"/>
      <c r="AC900" s="41"/>
      <c r="AD900" s="41"/>
      <c r="AE900" s="41"/>
      <c r="AF900" s="41"/>
      <c r="AG900" s="41"/>
      <c r="AH900" s="41"/>
      <c r="AI900" s="41"/>
      <c r="AJ900" s="41"/>
      <c r="AK900" s="41"/>
      <c r="AL900" s="41"/>
      <c r="AM900" s="41"/>
      <c r="AN900" s="41"/>
      <c r="AO900" s="41"/>
      <c r="AP900" s="41"/>
      <c r="AQ900" s="41"/>
      <c r="AR900" s="41"/>
      <c r="AS900" s="41"/>
      <c r="AT900" s="41"/>
      <c r="AU900" s="41"/>
      <c r="AV900" s="41"/>
      <c r="AW900" s="41"/>
      <c r="AX900" s="41"/>
      <c r="AY900" s="41"/>
      <c r="AZ900" s="41"/>
      <c r="BA900" s="41"/>
      <c r="BB900" s="41"/>
      <c r="BC900" s="41"/>
      <c r="BD900" s="41"/>
      <c r="BE900" s="41"/>
      <c r="BF900" s="41"/>
      <c r="BG900" s="41"/>
      <c r="BH900" s="41"/>
      <c r="BJ900" s="41"/>
      <c r="BK900" s="41"/>
      <c r="BL900" s="41"/>
      <c r="BM900" s="41"/>
      <c r="BN900" s="41"/>
      <c r="BO900" s="41"/>
      <c r="BP900" s="41"/>
      <c r="BQ900" s="41"/>
      <c r="BR900" s="41"/>
      <c r="BS900" s="41"/>
      <c r="BT900" s="41"/>
      <c r="BU900" s="41"/>
      <c r="BV900" s="41"/>
      <c r="BW900" s="41"/>
      <c r="BX900" s="41"/>
      <c r="BY900" s="41"/>
      <c r="BZ900" s="41"/>
      <c r="CA900" s="41"/>
      <c r="CB900" s="41"/>
      <c r="CC900" s="41"/>
      <c r="CD900" s="41"/>
      <c r="CE900" s="41"/>
      <c r="CF900" s="41"/>
      <c r="CG900" s="41"/>
      <c r="CH900" s="41"/>
      <c r="CI900" s="41"/>
      <c r="CJ900" s="41"/>
      <c r="CK900" s="41"/>
      <c r="CL900" s="41"/>
      <c r="CM900" s="41"/>
      <c r="CN900" s="92">
        <v>0.25</v>
      </c>
      <c r="CO900" s="41"/>
      <c r="CP900" s="41"/>
      <c r="CQ900" s="41"/>
      <c r="CR900" s="41"/>
      <c r="CS900" s="41"/>
      <c r="CT900" s="41"/>
      <c r="CU900" s="41"/>
      <c r="CV900" s="41"/>
      <c r="CW900" s="41"/>
      <c r="CX900" s="41"/>
      <c r="CY900" s="41"/>
      <c r="CZ900" s="41"/>
      <c r="DA900" s="41"/>
      <c r="DB900" s="92">
        <v>0.25</v>
      </c>
      <c r="DC900" s="92">
        <v>0.25</v>
      </c>
      <c r="DD900" s="41"/>
      <c r="DE900" s="41"/>
      <c r="DF900" s="41"/>
      <c r="DG900" s="41"/>
      <c r="DH900" s="41"/>
      <c r="DI900" s="41"/>
      <c r="DJ900" s="92">
        <v>0.25</v>
      </c>
      <c r="DK900" s="41"/>
      <c r="DL900" s="41"/>
      <c r="DM900" s="41"/>
      <c r="DN900" s="41"/>
      <c r="DO900" s="41"/>
      <c r="DP900" s="41"/>
      <c r="DQ900" s="41"/>
      <c r="DR900" s="41"/>
      <c r="DS900" s="43"/>
      <c r="DT900" s="44">
        <f t="shared" ref="DT900" si="882">SUM(F900:DR900)</f>
        <v>1</v>
      </c>
    </row>
    <row r="901" spans="2:124" s="13" customFormat="1">
      <c r="B901" s="4">
        <f>'6.1Personnel List'!B902</f>
        <v>889</v>
      </c>
      <c r="C901" s="45" t="s">
        <v>1115</v>
      </c>
      <c r="D901" s="45" t="str">
        <f>'6.1Personnel List'!D902</f>
        <v>Nurse II</v>
      </c>
      <c r="E901" s="45" t="str">
        <f>'6.1Personnel List'!H902</f>
        <v>FT</v>
      </c>
      <c r="G901" s="41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  <c r="AA901" s="41"/>
      <c r="AB901" s="41"/>
      <c r="AC901" s="41"/>
      <c r="AD901" s="41"/>
      <c r="AE901" s="41"/>
      <c r="AF901" s="41"/>
      <c r="AG901" s="41"/>
      <c r="AH901" s="41"/>
      <c r="AI901" s="41"/>
      <c r="AJ901" s="41"/>
      <c r="AK901" s="41"/>
      <c r="AL901" s="41"/>
      <c r="AM901" s="41"/>
      <c r="AN901" s="41"/>
      <c r="AO901" s="41"/>
      <c r="AP901" s="41"/>
      <c r="AQ901" s="41"/>
      <c r="AR901" s="41"/>
      <c r="AS901" s="41"/>
      <c r="AT901" s="41"/>
      <c r="AU901" s="41"/>
      <c r="AV901" s="41"/>
      <c r="AW901" s="41"/>
      <c r="AX901" s="41"/>
      <c r="AY901" s="41"/>
      <c r="AZ901" s="41"/>
      <c r="BA901" s="41"/>
      <c r="BB901" s="41"/>
      <c r="BC901" s="41"/>
      <c r="BD901" s="41"/>
      <c r="BE901" s="41"/>
      <c r="BF901" s="41"/>
      <c r="BG901" s="41"/>
      <c r="BH901" s="41"/>
      <c r="BJ901" s="41"/>
      <c r="BK901" s="41"/>
      <c r="BL901" s="41"/>
      <c r="BM901" s="41"/>
      <c r="BN901" s="41"/>
      <c r="BO901" s="41"/>
      <c r="BP901" s="41"/>
      <c r="BQ901" s="41"/>
      <c r="BR901" s="41"/>
      <c r="BS901" s="41"/>
      <c r="BT901" s="41"/>
      <c r="BU901" s="41"/>
      <c r="BV901" s="41"/>
      <c r="BW901" s="41"/>
      <c r="BX901" s="41"/>
      <c r="BY901" s="41"/>
      <c r="BZ901" s="41"/>
      <c r="CA901" s="41"/>
      <c r="CB901" s="41"/>
      <c r="CC901" s="41"/>
      <c r="CD901" s="41"/>
      <c r="CE901" s="41"/>
      <c r="CF901" s="41"/>
      <c r="CG901" s="41"/>
      <c r="CH901" s="41"/>
      <c r="CI901" s="41"/>
      <c r="CJ901" s="41"/>
      <c r="CK901" s="41"/>
      <c r="CL901" s="41"/>
      <c r="CM901" s="41"/>
      <c r="CN901" s="92">
        <v>0.25</v>
      </c>
      <c r="CO901" s="41"/>
      <c r="CP901" s="41"/>
      <c r="CQ901" s="41"/>
      <c r="CR901" s="41"/>
      <c r="CS901" s="41"/>
      <c r="CT901" s="41"/>
      <c r="CU901" s="41"/>
      <c r="CV901" s="41"/>
      <c r="CW901" s="41"/>
      <c r="CX901" s="41"/>
      <c r="CY901" s="41"/>
      <c r="CZ901" s="41"/>
      <c r="DA901" s="41"/>
      <c r="DB901" s="92">
        <v>0.25</v>
      </c>
      <c r="DC901" s="92">
        <v>0.25</v>
      </c>
      <c r="DD901" s="41"/>
      <c r="DE901" s="41"/>
      <c r="DF901" s="41"/>
      <c r="DG901" s="41"/>
      <c r="DH901" s="41"/>
      <c r="DI901" s="41"/>
      <c r="DJ901" s="92">
        <v>0.25</v>
      </c>
      <c r="DK901" s="41"/>
      <c r="DL901" s="41"/>
      <c r="DM901" s="41"/>
      <c r="DN901" s="41"/>
      <c r="DO901" s="41"/>
      <c r="DP901" s="41"/>
      <c r="DQ901" s="41"/>
      <c r="DR901" s="41"/>
      <c r="DS901" s="43"/>
      <c r="DT901" s="44">
        <f t="shared" ref="DT901" si="883">SUM(F901:DR901)</f>
        <v>1</v>
      </c>
    </row>
    <row r="902" spans="2:124" s="13" customFormat="1">
      <c r="B902" s="4">
        <f>'6.1Personnel List'!B903</f>
        <v>890</v>
      </c>
      <c r="C902" s="45" t="s">
        <v>1116</v>
      </c>
      <c r="D902" s="45" t="str">
        <f>'6.1Personnel List'!D903</f>
        <v>Nurse II</v>
      </c>
      <c r="E902" s="45" t="str">
        <f>'6.1Personnel List'!H903</f>
        <v>FT</v>
      </c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  <c r="AA902" s="41"/>
      <c r="AB902" s="41"/>
      <c r="AC902" s="41"/>
      <c r="AD902" s="41"/>
      <c r="AE902" s="41"/>
      <c r="AF902" s="41"/>
      <c r="AG902" s="41"/>
      <c r="AH902" s="41"/>
      <c r="AI902" s="41"/>
      <c r="AJ902" s="41"/>
      <c r="AK902" s="41"/>
      <c r="AL902" s="41"/>
      <c r="AM902" s="41"/>
      <c r="AN902" s="41"/>
      <c r="AO902" s="41"/>
      <c r="AP902" s="41"/>
      <c r="AQ902" s="41"/>
      <c r="AR902" s="41"/>
      <c r="AS902" s="41"/>
      <c r="AT902" s="41"/>
      <c r="AU902" s="41"/>
      <c r="AV902" s="41"/>
      <c r="AW902" s="41"/>
      <c r="AX902" s="41"/>
      <c r="AY902" s="41"/>
      <c r="AZ902" s="41"/>
      <c r="BA902" s="41"/>
      <c r="BB902" s="41"/>
      <c r="BC902" s="41"/>
      <c r="BD902" s="41"/>
      <c r="BE902" s="41"/>
      <c r="BF902" s="41"/>
      <c r="BG902" s="41"/>
      <c r="BH902" s="41"/>
      <c r="BJ902" s="41"/>
      <c r="BK902" s="94"/>
      <c r="BL902" s="94"/>
      <c r="BM902" s="94"/>
      <c r="BN902" s="94"/>
      <c r="BO902" s="94"/>
      <c r="BP902" s="94"/>
      <c r="BQ902" s="94"/>
      <c r="BR902" s="94"/>
      <c r="BS902" s="94"/>
      <c r="BT902" s="94"/>
      <c r="BU902" s="94"/>
      <c r="BV902" s="94"/>
      <c r="BW902" s="94"/>
      <c r="BX902" s="94"/>
      <c r="BY902" s="94"/>
      <c r="BZ902" s="94"/>
      <c r="CA902" s="94"/>
      <c r="CB902" s="94"/>
      <c r="CC902" s="94"/>
      <c r="CD902" s="94"/>
      <c r="CE902" s="94"/>
      <c r="CF902" s="94"/>
      <c r="CG902" s="94"/>
      <c r="CH902" s="94"/>
      <c r="CI902" s="94"/>
      <c r="CJ902" s="94"/>
      <c r="CK902" s="94"/>
      <c r="CL902" s="94"/>
      <c r="CM902" s="94"/>
      <c r="CN902" s="94"/>
      <c r="CO902" s="94"/>
      <c r="CP902" s="94"/>
      <c r="CQ902" s="94"/>
      <c r="CR902" s="94"/>
      <c r="CS902" s="94"/>
      <c r="CT902" s="94"/>
      <c r="CU902" s="94"/>
      <c r="CV902" s="94"/>
      <c r="CW902" s="94"/>
      <c r="CX902" s="94"/>
      <c r="CY902" s="94"/>
      <c r="CZ902" s="94"/>
      <c r="DA902" s="94"/>
      <c r="DB902" s="94"/>
      <c r="DC902" s="94"/>
      <c r="DD902" s="94"/>
      <c r="DE902" s="94"/>
      <c r="DF902" s="94"/>
      <c r="DG902" s="94"/>
      <c r="DH902" s="94"/>
      <c r="DI902" s="94"/>
      <c r="DJ902" s="94"/>
      <c r="DK902" s="41">
        <v>1</v>
      </c>
      <c r="DL902" s="41"/>
      <c r="DM902" s="41"/>
      <c r="DN902" s="41"/>
      <c r="DO902" s="41"/>
      <c r="DP902" s="41"/>
      <c r="DQ902" s="41"/>
      <c r="DR902" s="41"/>
      <c r="DS902" s="43"/>
      <c r="DT902" s="44">
        <f t="shared" ref="DT902" si="884">SUM(F902:DR902)</f>
        <v>1</v>
      </c>
    </row>
    <row r="903" spans="2:124" s="13" customFormat="1">
      <c r="B903" s="4">
        <f>'6.1Personnel List'!B904</f>
        <v>891</v>
      </c>
      <c r="C903" s="45" t="s">
        <v>1117</v>
      </c>
      <c r="D903" s="45" t="str">
        <f>'6.1Personnel List'!D904</f>
        <v>Nurse II</v>
      </c>
      <c r="E903" s="45" t="str">
        <f>'6.1Personnel List'!H904</f>
        <v>FT</v>
      </c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  <c r="AA903" s="41"/>
      <c r="AB903" s="41"/>
      <c r="AC903" s="41"/>
      <c r="AD903" s="41"/>
      <c r="AE903" s="41"/>
      <c r="AF903" s="41"/>
      <c r="AG903" s="41"/>
      <c r="AH903" s="41"/>
      <c r="AI903" s="41"/>
      <c r="AJ903" s="41"/>
      <c r="AK903" s="41"/>
      <c r="AL903" s="41"/>
      <c r="AM903" s="41"/>
      <c r="AN903" s="41"/>
      <c r="AO903" s="41"/>
      <c r="AP903" s="41"/>
      <c r="AQ903" s="41"/>
      <c r="AR903" s="41"/>
      <c r="AS903" s="41"/>
      <c r="AT903" s="41"/>
      <c r="AU903" s="41"/>
      <c r="AV903" s="41"/>
      <c r="AW903" s="41"/>
      <c r="AX903" s="41"/>
      <c r="AY903" s="41"/>
      <c r="AZ903" s="41"/>
      <c r="BA903" s="41"/>
      <c r="BB903" s="41"/>
      <c r="BC903" s="41"/>
      <c r="BD903" s="41"/>
      <c r="BE903" s="41"/>
      <c r="BF903" s="41"/>
      <c r="BG903" s="41"/>
      <c r="BH903" s="41"/>
      <c r="BJ903" s="41"/>
      <c r="BK903" s="41"/>
      <c r="BL903" s="41"/>
      <c r="BM903" s="41"/>
      <c r="BN903" s="41"/>
      <c r="BO903" s="41"/>
      <c r="BP903" s="41"/>
      <c r="BQ903" s="41"/>
      <c r="BR903" s="41"/>
      <c r="BS903" s="41">
        <v>0.05</v>
      </c>
      <c r="BT903" s="41"/>
      <c r="BU903" s="41"/>
      <c r="BV903" s="41">
        <v>0.05</v>
      </c>
      <c r="BW903" s="41">
        <v>0.05</v>
      </c>
      <c r="BX903" s="41"/>
      <c r="BY903" s="41"/>
      <c r="BZ903" s="41"/>
      <c r="CA903" s="41"/>
      <c r="CB903" s="41"/>
      <c r="CC903" s="41"/>
      <c r="CD903" s="41"/>
      <c r="CE903" s="41">
        <v>0.1</v>
      </c>
      <c r="CF903" s="41">
        <v>0.05</v>
      </c>
      <c r="CG903" s="41">
        <v>0.05</v>
      </c>
      <c r="CH903" s="41">
        <v>0.05</v>
      </c>
      <c r="CI903" s="41"/>
      <c r="CJ903" s="41">
        <v>0.05</v>
      </c>
      <c r="CK903" s="41"/>
      <c r="CL903" s="41">
        <v>0.2</v>
      </c>
      <c r="CM903" s="41"/>
      <c r="CN903" s="41"/>
      <c r="CO903" s="41"/>
      <c r="CP903" s="41"/>
      <c r="CQ903" s="41"/>
      <c r="CR903" s="41"/>
      <c r="CS903" s="41"/>
      <c r="CT903" s="41"/>
      <c r="CU903" s="41">
        <v>0.05</v>
      </c>
      <c r="CV903" s="41"/>
      <c r="CW903" s="41"/>
      <c r="CX903" s="41"/>
      <c r="CY903" s="41"/>
      <c r="CZ903" s="41"/>
      <c r="DA903" s="41"/>
      <c r="DB903" s="41"/>
      <c r="DC903" s="41"/>
      <c r="DD903" s="41">
        <v>0.05</v>
      </c>
      <c r="DE903" s="41"/>
      <c r="DF903" s="41"/>
      <c r="DG903" s="41"/>
      <c r="DH903" s="41"/>
      <c r="DI903" s="41"/>
      <c r="DJ903" s="41"/>
      <c r="DK903" s="41"/>
      <c r="DL903" s="41"/>
      <c r="DM903" s="41"/>
      <c r="DN903" s="41"/>
      <c r="DO903" s="41"/>
      <c r="DP903" s="41">
        <v>0.25</v>
      </c>
      <c r="DQ903" s="41"/>
      <c r="DR903" s="41"/>
      <c r="DS903" s="43"/>
      <c r="DT903" s="44">
        <f t="shared" ref="DT903" si="885">SUM(F903:DR903)</f>
        <v>1</v>
      </c>
    </row>
    <row r="904" spans="2:124" s="13" customFormat="1">
      <c r="B904" s="4">
        <f>'6.1Personnel List'!B905</f>
        <v>892</v>
      </c>
      <c r="C904" s="45" t="s">
        <v>1118</v>
      </c>
      <c r="D904" s="45" t="str">
        <f>'6.1Personnel List'!D905</f>
        <v>Nurse II</v>
      </c>
      <c r="E904" s="45" t="str">
        <f>'6.1Personnel List'!H905</f>
        <v>FT</v>
      </c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  <c r="AA904" s="41"/>
      <c r="AB904" s="41"/>
      <c r="AC904" s="41"/>
      <c r="AD904" s="41"/>
      <c r="AE904" s="41"/>
      <c r="AF904" s="41"/>
      <c r="AG904" s="41"/>
      <c r="AH904" s="41"/>
      <c r="AI904" s="41"/>
      <c r="AJ904" s="41"/>
      <c r="AK904" s="41"/>
      <c r="AL904" s="41"/>
      <c r="AM904" s="41"/>
      <c r="AN904" s="41"/>
      <c r="AO904" s="41"/>
      <c r="AP904" s="41"/>
      <c r="AQ904" s="41"/>
      <c r="AR904" s="41"/>
      <c r="AS904" s="41"/>
      <c r="AT904" s="41"/>
      <c r="AU904" s="41"/>
      <c r="AV904" s="41"/>
      <c r="AW904" s="41"/>
      <c r="AX904" s="41"/>
      <c r="AY904" s="41"/>
      <c r="AZ904" s="41"/>
      <c r="BA904" s="41"/>
      <c r="BB904" s="41"/>
      <c r="BC904" s="41"/>
      <c r="BD904" s="41"/>
      <c r="BE904" s="41"/>
      <c r="BF904" s="41"/>
      <c r="BG904" s="41"/>
      <c r="BH904" s="41"/>
      <c r="BJ904" s="41"/>
      <c r="BK904" s="41"/>
      <c r="BL904" s="41"/>
      <c r="BM904" s="41"/>
      <c r="BN904" s="41"/>
      <c r="BO904" s="41"/>
      <c r="BP904" s="41"/>
      <c r="BQ904" s="41"/>
      <c r="BR904" s="41"/>
      <c r="BS904" s="41"/>
      <c r="BT904" s="41"/>
      <c r="BU904" s="41"/>
      <c r="BV904" s="41"/>
      <c r="BW904" s="41"/>
      <c r="BX904" s="41"/>
      <c r="BY904" s="41"/>
      <c r="BZ904" s="41"/>
      <c r="CA904" s="41"/>
      <c r="CB904" s="41"/>
      <c r="CC904" s="41"/>
      <c r="CD904" s="41"/>
      <c r="CE904" s="41"/>
      <c r="CF904" s="41"/>
      <c r="CG904" s="41"/>
      <c r="CH904" s="41"/>
      <c r="CI904" s="41"/>
      <c r="CJ904" s="41"/>
      <c r="CK904" s="41"/>
      <c r="CL904" s="41"/>
      <c r="CM904" s="41"/>
      <c r="CN904" s="92">
        <v>0.25</v>
      </c>
      <c r="CO904" s="41"/>
      <c r="CP904" s="41"/>
      <c r="CQ904" s="41"/>
      <c r="CR904" s="41"/>
      <c r="CS904" s="41"/>
      <c r="CT904" s="41"/>
      <c r="CU904" s="41"/>
      <c r="CV904" s="41"/>
      <c r="CW904" s="41"/>
      <c r="CX904" s="41"/>
      <c r="CY904" s="41"/>
      <c r="CZ904" s="41"/>
      <c r="DA904" s="41"/>
      <c r="DB904" s="92">
        <v>0.25</v>
      </c>
      <c r="DC904" s="92">
        <v>0.25</v>
      </c>
      <c r="DD904" s="41"/>
      <c r="DE904" s="41"/>
      <c r="DF904" s="41"/>
      <c r="DG904" s="41"/>
      <c r="DH904" s="41"/>
      <c r="DI904" s="41"/>
      <c r="DJ904" s="92">
        <v>0.25</v>
      </c>
      <c r="DK904" s="41"/>
      <c r="DL904" s="41"/>
      <c r="DM904" s="41"/>
      <c r="DN904" s="41"/>
      <c r="DO904" s="41"/>
      <c r="DP904" s="41"/>
      <c r="DQ904" s="41"/>
      <c r="DR904" s="41"/>
      <c r="DS904" s="43"/>
      <c r="DT904" s="44">
        <f t="shared" ref="DT904" si="886">SUM(F904:DR904)</f>
        <v>1</v>
      </c>
    </row>
    <row r="905" spans="2:124" s="13" customFormat="1">
      <c r="B905" s="4">
        <f>'6.1Personnel List'!B906</f>
        <v>893</v>
      </c>
      <c r="C905" s="45" t="s">
        <v>1119</v>
      </c>
      <c r="D905" s="45" t="str">
        <f>'6.1Personnel List'!D906</f>
        <v>Nurse II</v>
      </c>
      <c r="E905" s="45" t="str">
        <f>'6.1Personnel List'!H906</f>
        <v>FT</v>
      </c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  <c r="AA905" s="41"/>
      <c r="AB905" s="41"/>
      <c r="AC905" s="41"/>
      <c r="AD905" s="41"/>
      <c r="AE905" s="41"/>
      <c r="AF905" s="41"/>
      <c r="AG905" s="41"/>
      <c r="AH905" s="41"/>
      <c r="AI905" s="41"/>
      <c r="AJ905" s="41"/>
      <c r="AK905" s="41"/>
      <c r="AL905" s="41"/>
      <c r="AM905" s="41"/>
      <c r="AN905" s="41"/>
      <c r="AO905" s="41"/>
      <c r="AP905" s="41"/>
      <c r="AQ905" s="41"/>
      <c r="AR905" s="41"/>
      <c r="AS905" s="41"/>
      <c r="AT905" s="41"/>
      <c r="AU905" s="41"/>
      <c r="AV905" s="41"/>
      <c r="AW905" s="41"/>
      <c r="AX905" s="41"/>
      <c r="AY905" s="41"/>
      <c r="AZ905" s="41"/>
      <c r="BA905" s="41"/>
      <c r="BB905" s="41"/>
      <c r="BC905" s="41"/>
      <c r="BD905" s="41"/>
      <c r="BE905" s="41"/>
      <c r="BF905" s="41"/>
      <c r="BG905" s="41"/>
      <c r="BH905" s="41"/>
      <c r="BJ905" s="41"/>
      <c r="BK905" s="41"/>
      <c r="BL905" s="41"/>
      <c r="BM905" s="41"/>
      <c r="BN905" s="41"/>
      <c r="BO905" s="41"/>
      <c r="BP905" s="41"/>
      <c r="BQ905" s="41"/>
      <c r="BR905" s="41"/>
      <c r="BS905" s="41"/>
      <c r="BT905" s="41"/>
      <c r="BU905" s="41"/>
      <c r="BV905" s="41">
        <v>0.05</v>
      </c>
      <c r="BW905" s="41"/>
      <c r="BX905" s="41"/>
      <c r="BY905" s="41"/>
      <c r="BZ905" s="41"/>
      <c r="CA905" s="41"/>
      <c r="CB905" s="41">
        <v>0.05</v>
      </c>
      <c r="CC905" s="41"/>
      <c r="CD905" s="41"/>
      <c r="CE905" s="41">
        <v>0.05</v>
      </c>
      <c r="CF905" s="41">
        <v>0.05</v>
      </c>
      <c r="CG905" s="41"/>
      <c r="CH905" s="41"/>
      <c r="CI905" s="41"/>
      <c r="CJ905" s="41"/>
      <c r="CK905" s="41"/>
      <c r="CL905" s="41">
        <v>0.8</v>
      </c>
      <c r="CM905" s="41"/>
      <c r="CN905" s="41"/>
      <c r="CO905" s="41"/>
      <c r="CP905" s="41"/>
      <c r="CQ905" s="41"/>
      <c r="CR905" s="41"/>
      <c r="CS905" s="41"/>
      <c r="CT905" s="41"/>
      <c r="CU905" s="41"/>
      <c r="CV905" s="41"/>
      <c r="CW905" s="41"/>
      <c r="CX905" s="41"/>
      <c r="CY905" s="41"/>
      <c r="CZ905" s="41"/>
      <c r="DA905" s="41"/>
      <c r="DB905" s="41"/>
      <c r="DC905" s="41"/>
      <c r="DD905" s="41"/>
      <c r="DE905" s="41"/>
      <c r="DF905" s="41"/>
      <c r="DG905" s="41"/>
      <c r="DH905" s="41"/>
      <c r="DI905" s="41"/>
      <c r="DJ905" s="41"/>
      <c r="DK905" s="41"/>
      <c r="DL905" s="41"/>
      <c r="DM905" s="41"/>
      <c r="DN905" s="41"/>
      <c r="DO905" s="41"/>
      <c r="DP905" s="41"/>
      <c r="DQ905" s="41"/>
      <c r="DR905" s="41"/>
      <c r="DS905" s="43"/>
      <c r="DT905" s="44">
        <f t="shared" ref="DT905" si="887">SUM(F905:DR905)</f>
        <v>1</v>
      </c>
    </row>
    <row r="906" spans="2:124" s="13" customFormat="1">
      <c r="B906" s="4">
        <f>'6.1Personnel List'!B907</f>
        <v>894</v>
      </c>
      <c r="C906" s="45" t="s">
        <v>1120</v>
      </c>
      <c r="D906" s="45" t="str">
        <f>'6.1Personnel List'!D907</f>
        <v>Nurse II</v>
      </c>
      <c r="E906" s="45" t="str">
        <f>'6.1Personnel List'!H907</f>
        <v>FT</v>
      </c>
      <c r="G906" s="4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  <c r="AA906" s="41"/>
      <c r="AB906" s="41"/>
      <c r="AC906" s="41"/>
      <c r="AD906" s="41"/>
      <c r="AE906" s="41"/>
      <c r="AF906" s="41"/>
      <c r="AG906" s="41"/>
      <c r="AH906" s="41"/>
      <c r="AI906" s="41"/>
      <c r="AJ906" s="41"/>
      <c r="AK906" s="41"/>
      <c r="AL906" s="41"/>
      <c r="AM906" s="41"/>
      <c r="AN906" s="41"/>
      <c r="AO906" s="41"/>
      <c r="AP906" s="41"/>
      <c r="AQ906" s="41"/>
      <c r="AR906" s="41"/>
      <c r="AS906" s="41"/>
      <c r="AT906" s="41"/>
      <c r="AU906" s="41"/>
      <c r="AV906" s="41"/>
      <c r="AW906" s="41"/>
      <c r="AX906" s="41"/>
      <c r="AY906" s="41"/>
      <c r="AZ906" s="41"/>
      <c r="BA906" s="41"/>
      <c r="BB906" s="41"/>
      <c r="BC906" s="41"/>
      <c r="BD906" s="41"/>
      <c r="BE906" s="41"/>
      <c r="BF906" s="41"/>
      <c r="BG906" s="41"/>
      <c r="BH906" s="41"/>
      <c r="BJ906" s="41"/>
      <c r="BK906" s="41"/>
      <c r="BL906" s="41"/>
      <c r="BM906" s="41"/>
      <c r="BN906" s="41"/>
      <c r="BO906" s="41"/>
      <c r="BP906" s="41"/>
      <c r="BQ906" s="41"/>
      <c r="BR906" s="41"/>
      <c r="BS906" s="41"/>
      <c r="BT906" s="41"/>
      <c r="BU906" s="41"/>
      <c r="BV906" s="41">
        <v>0.05</v>
      </c>
      <c r="BW906" s="41"/>
      <c r="BX906" s="41"/>
      <c r="BY906" s="41"/>
      <c r="BZ906" s="41"/>
      <c r="CA906" s="41"/>
      <c r="CB906" s="41">
        <v>0.05</v>
      </c>
      <c r="CC906" s="41"/>
      <c r="CD906" s="41"/>
      <c r="CE906" s="41">
        <v>0.05</v>
      </c>
      <c r="CF906" s="41">
        <v>0.05</v>
      </c>
      <c r="CG906" s="41"/>
      <c r="CH906" s="41"/>
      <c r="CI906" s="41"/>
      <c r="CJ906" s="41"/>
      <c r="CK906" s="41"/>
      <c r="CL906" s="41">
        <v>0.8</v>
      </c>
      <c r="CM906" s="41"/>
      <c r="CN906" s="41"/>
      <c r="CO906" s="41"/>
      <c r="CP906" s="41"/>
      <c r="CQ906" s="41"/>
      <c r="CR906" s="41"/>
      <c r="CS906" s="41"/>
      <c r="CT906" s="41"/>
      <c r="CU906" s="41"/>
      <c r="CV906" s="41"/>
      <c r="CW906" s="41"/>
      <c r="CX906" s="41"/>
      <c r="CY906" s="41"/>
      <c r="CZ906" s="41"/>
      <c r="DA906" s="41"/>
      <c r="DB906" s="41"/>
      <c r="DC906" s="41"/>
      <c r="DD906" s="41"/>
      <c r="DE906" s="41"/>
      <c r="DF906" s="41"/>
      <c r="DG906" s="41"/>
      <c r="DH906" s="41"/>
      <c r="DI906" s="41"/>
      <c r="DJ906" s="41"/>
      <c r="DK906" s="41"/>
      <c r="DL906" s="41"/>
      <c r="DM906" s="41"/>
      <c r="DN906" s="41"/>
      <c r="DO906" s="41"/>
      <c r="DP906" s="41"/>
      <c r="DQ906" s="41"/>
      <c r="DR906" s="41"/>
      <c r="DS906" s="43"/>
      <c r="DT906" s="44">
        <f t="shared" ref="DT906" si="888">SUM(F906:DR906)</f>
        <v>1</v>
      </c>
    </row>
    <row r="907" spans="2:124" s="13" customFormat="1">
      <c r="B907" s="4">
        <f>'6.1Personnel List'!B908</f>
        <v>895</v>
      </c>
      <c r="C907" s="45" t="s">
        <v>1121</v>
      </c>
      <c r="D907" s="45" t="str">
        <f>'6.1Personnel List'!D908</f>
        <v>Nurse II</v>
      </c>
      <c r="E907" s="45" t="str">
        <f>'6.1Personnel List'!H908</f>
        <v>FT</v>
      </c>
      <c r="G907" s="41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  <c r="AA907" s="41"/>
      <c r="AB907" s="41"/>
      <c r="AC907" s="41"/>
      <c r="AD907" s="41"/>
      <c r="AE907" s="41"/>
      <c r="AF907" s="41"/>
      <c r="AG907" s="41"/>
      <c r="AH907" s="41"/>
      <c r="AI907" s="41"/>
      <c r="AJ907" s="41"/>
      <c r="AK907" s="41"/>
      <c r="AL907" s="41"/>
      <c r="AM907" s="41"/>
      <c r="AN907" s="41"/>
      <c r="AO907" s="41"/>
      <c r="AP907" s="41"/>
      <c r="AQ907" s="41"/>
      <c r="AR907" s="41"/>
      <c r="AS907" s="41"/>
      <c r="AT907" s="41"/>
      <c r="AU907" s="41"/>
      <c r="AV907" s="41"/>
      <c r="AW907" s="41"/>
      <c r="AX907" s="41"/>
      <c r="AY907" s="41"/>
      <c r="AZ907" s="41"/>
      <c r="BA907" s="41"/>
      <c r="BB907" s="41"/>
      <c r="BC907" s="41"/>
      <c r="BD907" s="41"/>
      <c r="BE907" s="41"/>
      <c r="BF907" s="41"/>
      <c r="BG907" s="41"/>
      <c r="BH907" s="41"/>
      <c r="BJ907" s="41"/>
      <c r="BK907" s="94"/>
      <c r="BL907" s="94"/>
      <c r="BM907" s="94"/>
      <c r="BN907" s="94"/>
      <c r="BO907" s="94"/>
      <c r="BP907" s="94"/>
      <c r="BQ907" s="94"/>
      <c r="BR907" s="94"/>
      <c r="BS907" s="94"/>
      <c r="BT907" s="94"/>
      <c r="BU907" s="94"/>
      <c r="BV907" s="94"/>
      <c r="BW907" s="94"/>
      <c r="BX907" s="94"/>
      <c r="BY907" s="94"/>
      <c r="BZ907" s="94"/>
      <c r="CA907" s="94"/>
      <c r="CB907" s="94"/>
      <c r="CC907" s="94"/>
      <c r="CD907" s="94"/>
      <c r="CE907" s="94"/>
      <c r="CF907" s="94"/>
      <c r="CG907" s="94"/>
      <c r="CH907" s="94"/>
      <c r="CI907" s="94"/>
      <c r="CJ907" s="94"/>
      <c r="CK907" s="94"/>
      <c r="CL907" s="94"/>
      <c r="CM907" s="94"/>
      <c r="CN907" s="94"/>
      <c r="CO907" s="94"/>
      <c r="CP907" s="94"/>
      <c r="CQ907" s="94"/>
      <c r="CR907" s="94"/>
      <c r="CS907" s="94"/>
      <c r="CT907" s="94"/>
      <c r="CU907" s="94"/>
      <c r="CV907" s="94"/>
      <c r="CW907" s="94"/>
      <c r="CX907" s="94"/>
      <c r="CY907" s="94"/>
      <c r="CZ907" s="94"/>
      <c r="DA907" s="94"/>
      <c r="DB907" s="94"/>
      <c r="DC907" s="94"/>
      <c r="DD907" s="94"/>
      <c r="DE907" s="94"/>
      <c r="DF907" s="94"/>
      <c r="DG907" s="94"/>
      <c r="DH907" s="94"/>
      <c r="DI907" s="94"/>
      <c r="DJ907" s="94"/>
      <c r="DK907" s="41">
        <v>1</v>
      </c>
      <c r="DL907" s="41"/>
      <c r="DM907" s="41"/>
      <c r="DN907" s="41"/>
      <c r="DO907" s="41"/>
      <c r="DP907" s="41"/>
      <c r="DQ907" s="41"/>
      <c r="DR907" s="41"/>
      <c r="DS907" s="43"/>
      <c r="DT907" s="44">
        <f t="shared" ref="DT907" si="889">SUM(F907:DR907)</f>
        <v>1</v>
      </c>
    </row>
    <row r="908" spans="2:124" s="13" customFormat="1">
      <c r="B908" s="4">
        <f>'6.1Personnel List'!B909</f>
        <v>896</v>
      </c>
      <c r="C908" s="45" t="s">
        <v>1122</v>
      </c>
      <c r="D908" s="45" t="str">
        <f>'6.1Personnel List'!D909</f>
        <v>Nurse II</v>
      </c>
      <c r="E908" s="45" t="str">
        <f>'6.1Personnel List'!H909</f>
        <v>FT</v>
      </c>
      <c r="G908" s="41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  <c r="AA908" s="41"/>
      <c r="AB908" s="41"/>
      <c r="AC908" s="41"/>
      <c r="AD908" s="41"/>
      <c r="AE908" s="41"/>
      <c r="AF908" s="41"/>
      <c r="AG908" s="41"/>
      <c r="AH908" s="41"/>
      <c r="AI908" s="41"/>
      <c r="AJ908" s="41"/>
      <c r="AK908" s="41"/>
      <c r="AL908" s="41"/>
      <c r="AM908" s="41"/>
      <c r="AN908" s="41"/>
      <c r="AO908" s="41"/>
      <c r="AP908" s="41"/>
      <c r="AQ908" s="41"/>
      <c r="AR908" s="41"/>
      <c r="AS908" s="41"/>
      <c r="AT908" s="41"/>
      <c r="AU908" s="41"/>
      <c r="AV908" s="41"/>
      <c r="AW908" s="41"/>
      <c r="AX908" s="41"/>
      <c r="AY908" s="41"/>
      <c r="AZ908" s="41"/>
      <c r="BA908" s="41"/>
      <c r="BB908" s="41"/>
      <c r="BC908" s="41"/>
      <c r="BD908" s="41"/>
      <c r="BE908" s="41"/>
      <c r="BF908" s="41"/>
      <c r="BG908" s="41"/>
      <c r="BH908" s="41"/>
      <c r="BJ908" s="41"/>
      <c r="BK908" s="94"/>
      <c r="BL908" s="94"/>
      <c r="BM908" s="94"/>
      <c r="BN908" s="94"/>
      <c r="BO908" s="94"/>
      <c r="BP908" s="94"/>
      <c r="BQ908" s="94"/>
      <c r="BR908" s="94"/>
      <c r="BS908" s="94"/>
      <c r="BT908" s="94"/>
      <c r="BU908" s="94"/>
      <c r="BV908" s="94"/>
      <c r="BW908" s="94"/>
      <c r="BX908" s="94"/>
      <c r="BY908" s="94"/>
      <c r="BZ908" s="94"/>
      <c r="CA908" s="94"/>
      <c r="CB908" s="94"/>
      <c r="CC908" s="94"/>
      <c r="CD908" s="94"/>
      <c r="CE908" s="94"/>
      <c r="CF908" s="94"/>
      <c r="CG908" s="94"/>
      <c r="CH908" s="94"/>
      <c r="CI908" s="94"/>
      <c r="CJ908" s="94"/>
      <c r="CK908" s="94"/>
      <c r="CL908" s="94"/>
      <c r="CM908" s="94"/>
      <c r="CN908" s="94"/>
      <c r="CO908" s="94"/>
      <c r="CP908" s="94"/>
      <c r="CQ908" s="94"/>
      <c r="CR908" s="94"/>
      <c r="CS908" s="94"/>
      <c r="CT908" s="94"/>
      <c r="CU908" s="94">
        <v>0.5</v>
      </c>
      <c r="CV908" s="94">
        <v>0.5</v>
      </c>
      <c r="CW908" s="94"/>
      <c r="CX908" s="94"/>
      <c r="CY908" s="94"/>
      <c r="CZ908" s="94"/>
      <c r="DA908" s="94"/>
      <c r="DB908" s="94"/>
      <c r="DC908" s="94"/>
      <c r="DD908" s="94"/>
      <c r="DE908" s="94"/>
      <c r="DF908" s="94"/>
      <c r="DG908" s="94"/>
      <c r="DH908" s="94"/>
      <c r="DI908" s="94"/>
      <c r="DJ908" s="94"/>
      <c r="DK908" s="41"/>
      <c r="DL908" s="41"/>
      <c r="DM908" s="41"/>
      <c r="DN908" s="41"/>
      <c r="DO908" s="41"/>
      <c r="DP908" s="41"/>
      <c r="DQ908" s="41"/>
      <c r="DR908" s="41"/>
      <c r="DS908" s="43"/>
      <c r="DT908" s="44">
        <f t="shared" ref="DT908" si="890">SUM(F908:DR908)</f>
        <v>1</v>
      </c>
    </row>
    <row r="909" spans="2:124" s="13" customFormat="1">
      <c r="B909" s="4">
        <f>'6.1Personnel List'!B910</f>
        <v>897</v>
      </c>
      <c r="C909" s="45" t="s">
        <v>1123</v>
      </c>
      <c r="D909" s="45" t="str">
        <f>'6.1Personnel List'!D910</f>
        <v>Nurse II</v>
      </c>
      <c r="E909" s="45" t="str">
        <f>'6.1Personnel List'!H910</f>
        <v>FT</v>
      </c>
      <c r="G909" s="41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  <c r="AA909" s="41"/>
      <c r="AB909" s="41"/>
      <c r="AC909" s="41"/>
      <c r="AD909" s="41"/>
      <c r="AE909" s="41"/>
      <c r="AF909" s="41"/>
      <c r="AG909" s="41"/>
      <c r="AH909" s="41"/>
      <c r="AI909" s="41"/>
      <c r="AJ909" s="41"/>
      <c r="AK909" s="41"/>
      <c r="AL909" s="41"/>
      <c r="AM909" s="41"/>
      <c r="AN909" s="41"/>
      <c r="AO909" s="41"/>
      <c r="AP909" s="41"/>
      <c r="AQ909" s="41"/>
      <c r="AR909" s="41"/>
      <c r="AS909" s="41"/>
      <c r="AT909" s="41"/>
      <c r="AU909" s="41"/>
      <c r="AV909" s="41"/>
      <c r="AW909" s="41"/>
      <c r="AX909" s="41"/>
      <c r="AY909" s="41"/>
      <c r="AZ909" s="41"/>
      <c r="BA909" s="41"/>
      <c r="BB909" s="41"/>
      <c r="BC909" s="41"/>
      <c r="BD909" s="41"/>
      <c r="BE909" s="41"/>
      <c r="BF909" s="41"/>
      <c r="BG909" s="41"/>
      <c r="BH909" s="41"/>
      <c r="BJ909" s="41"/>
      <c r="BK909" s="41"/>
      <c r="BL909" s="41"/>
      <c r="BM909" s="41"/>
      <c r="BN909" s="41"/>
      <c r="BO909" s="41"/>
      <c r="BP909" s="41"/>
      <c r="BQ909" s="41"/>
      <c r="BR909" s="41"/>
      <c r="BS909" s="41"/>
      <c r="BT909" s="41"/>
      <c r="BU909" s="41"/>
      <c r="BV909" s="41"/>
      <c r="BW909" s="41"/>
      <c r="BX909" s="41"/>
      <c r="BY909" s="41"/>
      <c r="BZ909" s="41"/>
      <c r="CA909" s="41"/>
      <c r="CB909" s="41"/>
      <c r="CC909" s="41"/>
      <c r="CD909" s="41"/>
      <c r="CE909" s="41"/>
      <c r="CF909" s="41"/>
      <c r="CG909" s="41"/>
      <c r="CH909" s="41"/>
      <c r="CI909" s="41"/>
      <c r="CJ909" s="41"/>
      <c r="CK909" s="41"/>
      <c r="CL909" s="41"/>
      <c r="CM909" s="41"/>
      <c r="CN909" s="92">
        <v>0.25</v>
      </c>
      <c r="CO909" s="41"/>
      <c r="CP909" s="41"/>
      <c r="CQ909" s="41"/>
      <c r="CR909" s="41"/>
      <c r="CS909" s="41"/>
      <c r="CT909" s="41"/>
      <c r="CU909" s="41"/>
      <c r="CV909" s="41"/>
      <c r="CW909" s="41"/>
      <c r="CX909" s="41"/>
      <c r="CY909" s="41"/>
      <c r="CZ909" s="41"/>
      <c r="DA909" s="41"/>
      <c r="DB909" s="92">
        <v>0.25</v>
      </c>
      <c r="DC909" s="92">
        <v>0.25</v>
      </c>
      <c r="DD909" s="41"/>
      <c r="DE909" s="41"/>
      <c r="DF909" s="41"/>
      <c r="DG909" s="41"/>
      <c r="DH909" s="41"/>
      <c r="DI909" s="41"/>
      <c r="DJ909" s="92">
        <v>0.25</v>
      </c>
      <c r="DK909" s="41"/>
      <c r="DL909" s="41"/>
      <c r="DM909" s="41"/>
      <c r="DN909" s="41"/>
      <c r="DO909" s="41"/>
      <c r="DP909" s="41"/>
      <c r="DQ909" s="41"/>
      <c r="DR909" s="41"/>
      <c r="DS909" s="43"/>
      <c r="DT909" s="44">
        <f t="shared" ref="DT909" si="891">SUM(F909:DR909)</f>
        <v>1</v>
      </c>
    </row>
    <row r="910" spans="2:124" s="13" customFormat="1">
      <c r="B910" s="4">
        <f>'6.1Personnel List'!B911</f>
        <v>898</v>
      </c>
      <c r="C910" s="45" t="s">
        <v>1555</v>
      </c>
      <c r="D910" s="45" t="str">
        <f>'6.1Personnel List'!D911</f>
        <v>Nurse II</v>
      </c>
      <c r="E910" s="45" t="str">
        <f>'6.1Personnel List'!H911</f>
        <v>FT</v>
      </c>
      <c r="G910" s="41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  <c r="AA910" s="41"/>
      <c r="AB910" s="41"/>
      <c r="AC910" s="41"/>
      <c r="AD910" s="41"/>
      <c r="AE910" s="41"/>
      <c r="AF910" s="41"/>
      <c r="AG910" s="41"/>
      <c r="AH910" s="41"/>
      <c r="AI910" s="41"/>
      <c r="AJ910" s="41"/>
      <c r="AK910" s="41"/>
      <c r="AL910" s="41"/>
      <c r="AM910" s="41"/>
      <c r="AN910" s="41"/>
      <c r="AO910" s="41"/>
      <c r="AP910" s="41"/>
      <c r="AQ910" s="41"/>
      <c r="AR910" s="41"/>
      <c r="AS910" s="41"/>
      <c r="AT910" s="41"/>
      <c r="AU910" s="41"/>
      <c r="AV910" s="41"/>
      <c r="AW910" s="41"/>
      <c r="AX910" s="41"/>
      <c r="AY910" s="41"/>
      <c r="AZ910" s="41"/>
      <c r="BA910" s="41"/>
      <c r="BB910" s="41"/>
      <c r="BC910" s="41"/>
      <c r="BD910" s="41"/>
      <c r="BE910" s="41"/>
      <c r="BF910" s="41"/>
      <c r="BG910" s="41"/>
      <c r="BH910" s="41"/>
      <c r="BJ910" s="41"/>
      <c r="BK910" s="41"/>
      <c r="BL910" s="41"/>
      <c r="BM910" s="41"/>
      <c r="BN910" s="41"/>
      <c r="BO910" s="41"/>
      <c r="BP910" s="41"/>
      <c r="BQ910" s="41"/>
      <c r="BR910" s="41"/>
      <c r="BS910" s="41"/>
      <c r="BT910" s="41"/>
      <c r="BU910" s="41"/>
      <c r="BV910" s="41"/>
      <c r="BW910" s="41"/>
      <c r="BX910" s="41"/>
      <c r="BY910" s="41"/>
      <c r="BZ910" s="41"/>
      <c r="CA910" s="41"/>
      <c r="CB910" s="41"/>
      <c r="CC910" s="41"/>
      <c r="CD910" s="41"/>
      <c r="CE910" s="41"/>
      <c r="CF910" s="41"/>
      <c r="CG910" s="41"/>
      <c r="CH910" s="41"/>
      <c r="CI910" s="41"/>
      <c r="CJ910" s="41"/>
      <c r="CK910" s="41"/>
      <c r="CL910" s="41"/>
      <c r="CM910" s="41"/>
      <c r="CN910" s="92">
        <v>0.25</v>
      </c>
      <c r="CO910" s="41"/>
      <c r="CP910" s="41"/>
      <c r="CQ910" s="41"/>
      <c r="CR910" s="41"/>
      <c r="CS910" s="41"/>
      <c r="CT910" s="41"/>
      <c r="CU910" s="41"/>
      <c r="CV910" s="41"/>
      <c r="CW910" s="41"/>
      <c r="CX910" s="41"/>
      <c r="CY910" s="41"/>
      <c r="CZ910" s="41"/>
      <c r="DA910" s="41"/>
      <c r="DB910" s="92">
        <v>0.25</v>
      </c>
      <c r="DC910" s="92">
        <v>0.25</v>
      </c>
      <c r="DD910" s="41"/>
      <c r="DE910" s="41"/>
      <c r="DF910" s="41"/>
      <c r="DG910" s="41"/>
      <c r="DH910" s="41"/>
      <c r="DI910" s="41"/>
      <c r="DJ910" s="92">
        <v>0.25</v>
      </c>
      <c r="DK910" s="41"/>
      <c r="DL910" s="41"/>
      <c r="DM910" s="41"/>
      <c r="DN910" s="41"/>
      <c r="DO910" s="41"/>
      <c r="DP910" s="41"/>
      <c r="DQ910" s="41"/>
      <c r="DR910" s="41"/>
      <c r="DS910" s="43"/>
      <c r="DT910" s="44">
        <f t="shared" ref="DT910" si="892">SUM(F910:DR910)</f>
        <v>1</v>
      </c>
    </row>
    <row r="911" spans="2:124" s="13" customFormat="1">
      <c r="B911" s="4">
        <f>'6.1Personnel List'!B912</f>
        <v>899</v>
      </c>
      <c r="C911" s="45" t="s">
        <v>1124</v>
      </c>
      <c r="D911" s="45" t="str">
        <f>'6.1Personnel List'!D912</f>
        <v>Nurse II</v>
      </c>
      <c r="E911" s="45" t="str">
        <f>'6.1Personnel List'!H912</f>
        <v>FT</v>
      </c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  <c r="AA911" s="41"/>
      <c r="AB911" s="41"/>
      <c r="AC911" s="41"/>
      <c r="AD911" s="41"/>
      <c r="AE911" s="41"/>
      <c r="AF911" s="41"/>
      <c r="AG911" s="41"/>
      <c r="AH911" s="41"/>
      <c r="AI911" s="41"/>
      <c r="AJ911" s="41"/>
      <c r="AK911" s="41"/>
      <c r="AL911" s="41"/>
      <c r="AM911" s="41"/>
      <c r="AN911" s="41"/>
      <c r="AO911" s="41"/>
      <c r="AP911" s="41"/>
      <c r="AQ911" s="41"/>
      <c r="AR911" s="41"/>
      <c r="AS911" s="41"/>
      <c r="AT911" s="41"/>
      <c r="AU911" s="41"/>
      <c r="AV911" s="41"/>
      <c r="AW911" s="41"/>
      <c r="AX911" s="41"/>
      <c r="AY911" s="41"/>
      <c r="AZ911" s="41"/>
      <c r="BA911" s="41"/>
      <c r="BB911" s="41"/>
      <c r="BC911" s="41"/>
      <c r="BD911" s="41"/>
      <c r="BE911" s="41"/>
      <c r="BF911" s="41"/>
      <c r="BG911" s="41"/>
      <c r="BH911" s="41"/>
      <c r="BJ911" s="41"/>
      <c r="BK911" s="41"/>
      <c r="BL911" s="41"/>
      <c r="BM911" s="41"/>
      <c r="BN911" s="41"/>
      <c r="BO911" s="41"/>
      <c r="BP911" s="41"/>
      <c r="BQ911" s="41"/>
      <c r="BR911" s="41"/>
      <c r="BS911" s="41"/>
      <c r="BT911" s="41"/>
      <c r="BU911" s="41"/>
      <c r="BV911" s="41"/>
      <c r="BW911" s="41"/>
      <c r="BX911" s="41"/>
      <c r="BY911" s="41"/>
      <c r="BZ911" s="41"/>
      <c r="CA911" s="41"/>
      <c r="CB911" s="41"/>
      <c r="CC911" s="41"/>
      <c r="CD911" s="41"/>
      <c r="CE911" s="41"/>
      <c r="CF911" s="41"/>
      <c r="CG911" s="41"/>
      <c r="CH911" s="41"/>
      <c r="CI911" s="41"/>
      <c r="CJ911" s="41"/>
      <c r="CK911" s="41"/>
      <c r="CL911" s="41"/>
      <c r="CM911" s="41"/>
      <c r="CN911" s="92">
        <v>0.25</v>
      </c>
      <c r="CO911" s="41"/>
      <c r="CP911" s="41"/>
      <c r="CQ911" s="41"/>
      <c r="CR911" s="41"/>
      <c r="CS911" s="41"/>
      <c r="CT911" s="41"/>
      <c r="CU911" s="41"/>
      <c r="CV911" s="41"/>
      <c r="CW911" s="41"/>
      <c r="CX911" s="41"/>
      <c r="CY911" s="41"/>
      <c r="CZ911" s="41"/>
      <c r="DA911" s="41"/>
      <c r="DB911" s="92">
        <v>0.25</v>
      </c>
      <c r="DC911" s="92">
        <v>0.25</v>
      </c>
      <c r="DD911" s="41"/>
      <c r="DE911" s="41"/>
      <c r="DF911" s="41"/>
      <c r="DG911" s="41"/>
      <c r="DH911" s="41"/>
      <c r="DI911" s="41"/>
      <c r="DJ911" s="92">
        <v>0.25</v>
      </c>
      <c r="DK911" s="41"/>
      <c r="DL911" s="41"/>
      <c r="DM911" s="41"/>
      <c r="DN911" s="41"/>
      <c r="DO911" s="41"/>
      <c r="DP911" s="41"/>
      <c r="DQ911" s="41"/>
      <c r="DR911" s="41"/>
      <c r="DS911" s="43"/>
      <c r="DT911" s="44">
        <f t="shared" ref="DT911" si="893">SUM(F911:DR911)</f>
        <v>1</v>
      </c>
    </row>
    <row r="912" spans="2:124" s="13" customFormat="1">
      <c r="B912" s="4">
        <f>'6.1Personnel List'!B913</f>
        <v>900</v>
      </c>
      <c r="C912" s="45" t="s">
        <v>1125</v>
      </c>
      <c r="D912" s="45" t="str">
        <f>'6.1Personnel List'!D913</f>
        <v>Nurse II</v>
      </c>
      <c r="E912" s="45" t="str">
        <f>'6.1Personnel List'!H913</f>
        <v>FT</v>
      </c>
      <c r="G912" s="41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  <c r="AA912" s="41"/>
      <c r="AB912" s="41"/>
      <c r="AC912" s="41"/>
      <c r="AD912" s="41"/>
      <c r="AE912" s="41"/>
      <c r="AF912" s="41"/>
      <c r="AG912" s="41"/>
      <c r="AH912" s="41"/>
      <c r="AI912" s="41"/>
      <c r="AJ912" s="41"/>
      <c r="AK912" s="41"/>
      <c r="AL912" s="41"/>
      <c r="AM912" s="41"/>
      <c r="AN912" s="41"/>
      <c r="AO912" s="41"/>
      <c r="AP912" s="41"/>
      <c r="AQ912" s="41"/>
      <c r="AR912" s="41"/>
      <c r="AS912" s="41"/>
      <c r="AT912" s="41"/>
      <c r="AU912" s="41"/>
      <c r="AV912" s="41"/>
      <c r="AW912" s="41"/>
      <c r="AX912" s="41"/>
      <c r="AY912" s="41"/>
      <c r="AZ912" s="41"/>
      <c r="BA912" s="41"/>
      <c r="BB912" s="41"/>
      <c r="BC912" s="41"/>
      <c r="BD912" s="41"/>
      <c r="BE912" s="41"/>
      <c r="BF912" s="41"/>
      <c r="BG912" s="41"/>
      <c r="BH912" s="41"/>
      <c r="BJ912" s="41"/>
      <c r="BK912" s="41"/>
      <c r="BL912" s="41"/>
      <c r="BM912" s="41"/>
      <c r="BN912" s="41"/>
      <c r="BO912" s="41"/>
      <c r="BP912" s="41"/>
      <c r="BQ912" s="41"/>
      <c r="BR912" s="41"/>
      <c r="BS912" s="41"/>
      <c r="BT912" s="41"/>
      <c r="BU912" s="41"/>
      <c r="BV912" s="41"/>
      <c r="BW912" s="41"/>
      <c r="BX912" s="41"/>
      <c r="BY912" s="41"/>
      <c r="BZ912" s="41"/>
      <c r="CA912" s="41"/>
      <c r="CB912" s="41"/>
      <c r="CC912" s="41"/>
      <c r="CD912" s="41"/>
      <c r="CE912" s="41"/>
      <c r="CF912" s="41"/>
      <c r="CG912" s="41"/>
      <c r="CH912" s="41"/>
      <c r="CI912" s="41"/>
      <c r="CJ912" s="41"/>
      <c r="CK912" s="41"/>
      <c r="CL912" s="41"/>
      <c r="CM912" s="41"/>
      <c r="CN912" s="92">
        <v>0.25</v>
      </c>
      <c r="CO912" s="41"/>
      <c r="CP912" s="41"/>
      <c r="CQ912" s="41"/>
      <c r="CR912" s="41"/>
      <c r="CS912" s="41"/>
      <c r="CT912" s="41"/>
      <c r="CU912" s="41"/>
      <c r="CV912" s="41"/>
      <c r="CW912" s="41"/>
      <c r="CX912" s="41"/>
      <c r="CY912" s="41"/>
      <c r="CZ912" s="41"/>
      <c r="DA912" s="41"/>
      <c r="DB912" s="92">
        <v>0.25</v>
      </c>
      <c r="DC912" s="92">
        <v>0.25</v>
      </c>
      <c r="DD912" s="41"/>
      <c r="DE912" s="41"/>
      <c r="DF912" s="41"/>
      <c r="DG912" s="41"/>
      <c r="DH912" s="41"/>
      <c r="DI912" s="41"/>
      <c r="DJ912" s="92">
        <v>0.25</v>
      </c>
      <c r="DK912" s="41"/>
      <c r="DL912" s="41"/>
      <c r="DM912" s="41"/>
      <c r="DN912" s="41"/>
      <c r="DO912" s="41"/>
      <c r="DP912" s="41"/>
      <c r="DQ912" s="41"/>
      <c r="DR912" s="41"/>
      <c r="DS912" s="43"/>
      <c r="DT912" s="44">
        <f t="shared" ref="DT912" si="894">SUM(F912:DR912)</f>
        <v>1</v>
      </c>
    </row>
    <row r="913" spans="2:124" s="13" customFormat="1">
      <c r="B913" s="4">
        <f>'6.1Personnel List'!B914</f>
        <v>901</v>
      </c>
      <c r="C913" s="45" t="s">
        <v>1126</v>
      </c>
      <c r="D913" s="45" t="str">
        <f>'6.1Personnel List'!D914</f>
        <v>Nurse II</v>
      </c>
      <c r="E913" s="45" t="str">
        <f>'6.1Personnel List'!H914</f>
        <v>FT</v>
      </c>
      <c r="G913" s="41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  <c r="AA913" s="41"/>
      <c r="AB913" s="41"/>
      <c r="AC913" s="41"/>
      <c r="AD913" s="41"/>
      <c r="AE913" s="41"/>
      <c r="AF913" s="41"/>
      <c r="AG913" s="41"/>
      <c r="AH913" s="41"/>
      <c r="AI913" s="41"/>
      <c r="AJ913" s="41"/>
      <c r="AK913" s="41"/>
      <c r="AL913" s="41"/>
      <c r="AM913" s="41"/>
      <c r="AN913" s="41"/>
      <c r="AO913" s="41"/>
      <c r="AP913" s="41"/>
      <c r="AQ913" s="41"/>
      <c r="AR913" s="41"/>
      <c r="AS913" s="41"/>
      <c r="AT913" s="41"/>
      <c r="AU913" s="41"/>
      <c r="AV913" s="41"/>
      <c r="AW913" s="41"/>
      <c r="AX913" s="41"/>
      <c r="AY913" s="41"/>
      <c r="AZ913" s="41"/>
      <c r="BA913" s="41"/>
      <c r="BB913" s="41"/>
      <c r="BC913" s="41"/>
      <c r="BD913" s="41"/>
      <c r="BE913" s="41"/>
      <c r="BF913" s="41"/>
      <c r="BG913" s="41"/>
      <c r="BH913" s="41"/>
      <c r="BJ913" s="41"/>
      <c r="BK913" s="41"/>
      <c r="BL913" s="41"/>
      <c r="BM913" s="41"/>
      <c r="BN913" s="41"/>
      <c r="BO913" s="41"/>
      <c r="BP913" s="41"/>
      <c r="BQ913" s="41"/>
      <c r="BR913" s="41"/>
      <c r="BS913" s="41"/>
      <c r="BT913" s="41"/>
      <c r="BU913" s="41"/>
      <c r="BV913" s="41">
        <v>0.05</v>
      </c>
      <c r="BW913" s="41"/>
      <c r="BX913" s="41"/>
      <c r="BY913" s="41"/>
      <c r="BZ913" s="41"/>
      <c r="CA913" s="41"/>
      <c r="CB913" s="41">
        <v>0.05</v>
      </c>
      <c r="CC913" s="41"/>
      <c r="CD913" s="41"/>
      <c r="CE913" s="41">
        <v>0.05</v>
      </c>
      <c r="CF913" s="41">
        <v>0.02</v>
      </c>
      <c r="CG913" s="41">
        <v>0.03</v>
      </c>
      <c r="CH913" s="41"/>
      <c r="CI913" s="41"/>
      <c r="CJ913" s="41"/>
      <c r="CK913" s="41"/>
      <c r="CL913" s="41">
        <v>0.8</v>
      </c>
      <c r="CM913" s="41"/>
      <c r="CN913" s="41"/>
      <c r="CO913" s="41"/>
      <c r="CP913" s="41"/>
      <c r="CQ913" s="41"/>
      <c r="CR913" s="41"/>
      <c r="CS913" s="41"/>
      <c r="CT913" s="41"/>
      <c r="CU913" s="41"/>
      <c r="CV913" s="41"/>
      <c r="CW913" s="41"/>
      <c r="CX913" s="41"/>
      <c r="CY913" s="41"/>
      <c r="CZ913" s="41"/>
      <c r="DA913" s="41"/>
      <c r="DB913" s="41"/>
      <c r="DC913" s="41"/>
      <c r="DD913" s="41"/>
      <c r="DE913" s="41"/>
      <c r="DF913" s="41"/>
      <c r="DG913" s="41"/>
      <c r="DH913" s="41"/>
      <c r="DI913" s="41"/>
      <c r="DJ913" s="41"/>
      <c r="DK913" s="41"/>
      <c r="DL913" s="41"/>
      <c r="DM913" s="41"/>
      <c r="DN913" s="41"/>
      <c r="DO913" s="41"/>
      <c r="DP913" s="41"/>
      <c r="DQ913" s="41"/>
      <c r="DR913" s="41"/>
      <c r="DS913" s="43"/>
      <c r="DT913" s="44">
        <f t="shared" ref="DT913" si="895">SUM(F913:DR913)</f>
        <v>1</v>
      </c>
    </row>
    <row r="914" spans="2:124" s="13" customFormat="1">
      <c r="B914" s="4">
        <f>'6.1Personnel List'!B915</f>
        <v>902</v>
      </c>
      <c r="C914" s="45" t="s">
        <v>1127</v>
      </c>
      <c r="D914" s="45" t="str">
        <f>'6.1Personnel List'!D915</f>
        <v>Nurse II</v>
      </c>
      <c r="E914" s="45" t="str">
        <f>'6.1Personnel List'!H915</f>
        <v>FT</v>
      </c>
      <c r="G914" s="41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  <c r="AA914" s="41"/>
      <c r="AB914" s="41"/>
      <c r="AC914" s="41"/>
      <c r="AD914" s="41"/>
      <c r="AE914" s="41"/>
      <c r="AF914" s="41"/>
      <c r="AG914" s="41"/>
      <c r="AH914" s="41"/>
      <c r="AI914" s="41"/>
      <c r="AJ914" s="41"/>
      <c r="AK914" s="41"/>
      <c r="AL914" s="41"/>
      <c r="AM914" s="41"/>
      <c r="AN914" s="41"/>
      <c r="AO914" s="41"/>
      <c r="AP914" s="41"/>
      <c r="AQ914" s="41"/>
      <c r="AR914" s="41"/>
      <c r="AS914" s="41"/>
      <c r="AT914" s="41"/>
      <c r="AU914" s="41"/>
      <c r="AV914" s="41"/>
      <c r="AW914" s="41"/>
      <c r="AX914" s="41"/>
      <c r="AY914" s="41"/>
      <c r="AZ914" s="41"/>
      <c r="BA914" s="41"/>
      <c r="BB914" s="41"/>
      <c r="BC914" s="41"/>
      <c r="BD914" s="41"/>
      <c r="BE914" s="41"/>
      <c r="BF914" s="41"/>
      <c r="BG914" s="41"/>
      <c r="BH914" s="41"/>
      <c r="BJ914" s="41"/>
      <c r="BK914" s="41"/>
      <c r="BL914" s="41"/>
      <c r="BM914" s="41"/>
      <c r="BN914" s="41"/>
      <c r="BO914" s="41"/>
      <c r="BP914" s="41"/>
      <c r="BQ914" s="41"/>
      <c r="BR914" s="41"/>
      <c r="BS914" s="41"/>
      <c r="BT914" s="41"/>
      <c r="BU914" s="41"/>
      <c r="BV914" s="41"/>
      <c r="BW914" s="41"/>
      <c r="BX914" s="41"/>
      <c r="BY914" s="41"/>
      <c r="BZ914" s="41"/>
      <c r="CA914" s="41"/>
      <c r="CB914" s="41">
        <v>0.01</v>
      </c>
      <c r="CC914" s="41"/>
      <c r="CD914" s="41"/>
      <c r="CE914" s="41">
        <v>0.02</v>
      </c>
      <c r="CF914" s="41">
        <v>0.02</v>
      </c>
      <c r="CG914" s="41">
        <v>0.1</v>
      </c>
      <c r="CH914" s="41">
        <v>0.1</v>
      </c>
      <c r="CI914" s="41">
        <v>0.02</v>
      </c>
      <c r="CJ914" s="41"/>
      <c r="CK914" s="41">
        <v>0.01</v>
      </c>
      <c r="CL914" s="41">
        <v>0.05</v>
      </c>
      <c r="CM914" s="41"/>
      <c r="CN914" s="41">
        <v>0.05</v>
      </c>
      <c r="CO914" s="41">
        <v>0.05</v>
      </c>
      <c r="CP914" s="41">
        <v>0.05</v>
      </c>
      <c r="CQ914" s="41">
        <v>0.05</v>
      </c>
      <c r="CR914" s="41">
        <v>0.02</v>
      </c>
      <c r="CS914" s="41">
        <v>0.01</v>
      </c>
      <c r="CT914" s="41"/>
      <c r="CU914" s="41"/>
      <c r="CV914" s="41">
        <v>0.02</v>
      </c>
      <c r="CW914" s="41"/>
      <c r="CX914" s="41"/>
      <c r="CY914" s="41"/>
      <c r="CZ914" s="41"/>
      <c r="DA914" s="41"/>
      <c r="DB914" s="41"/>
      <c r="DC914" s="41"/>
      <c r="DD914" s="41">
        <v>0.12</v>
      </c>
      <c r="DE914" s="41"/>
      <c r="DF914" s="41"/>
      <c r="DG914" s="41"/>
      <c r="DH914" s="41"/>
      <c r="DI914" s="41"/>
      <c r="DJ914" s="41">
        <v>0.05</v>
      </c>
      <c r="DK914" s="41">
        <v>0.05</v>
      </c>
      <c r="DL914" s="41">
        <v>0.05</v>
      </c>
      <c r="DM914" s="41">
        <v>0.05</v>
      </c>
      <c r="DN914" s="41"/>
      <c r="DO914" s="41"/>
      <c r="DP914" s="41">
        <v>0.05</v>
      </c>
      <c r="DQ914" s="41"/>
      <c r="DR914" s="41">
        <v>0.05</v>
      </c>
      <c r="DS914" s="43"/>
      <c r="DT914" s="44">
        <f t="shared" ref="DT914" si="896">SUM(F914:DR914)</f>
        <v>1.0000000000000002</v>
      </c>
    </row>
    <row r="915" spans="2:124" s="13" customFormat="1">
      <c r="B915" s="4">
        <f>'6.1Personnel List'!B916</f>
        <v>903</v>
      </c>
      <c r="C915" s="45" t="s">
        <v>1128</v>
      </c>
      <c r="D915" s="45" t="str">
        <f>'6.1Personnel List'!D916</f>
        <v>Nurse II</v>
      </c>
      <c r="E915" s="45" t="str">
        <f>'6.1Personnel List'!H916</f>
        <v>FT</v>
      </c>
      <c r="G915" s="41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  <c r="AA915" s="41"/>
      <c r="AB915" s="41"/>
      <c r="AC915" s="41"/>
      <c r="AD915" s="41"/>
      <c r="AE915" s="41"/>
      <c r="AF915" s="41"/>
      <c r="AG915" s="41"/>
      <c r="AH915" s="41"/>
      <c r="AI915" s="41"/>
      <c r="AJ915" s="41"/>
      <c r="AK915" s="41"/>
      <c r="AL915" s="41"/>
      <c r="AM915" s="41"/>
      <c r="AN915" s="41"/>
      <c r="AO915" s="41"/>
      <c r="AP915" s="41"/>
      <c r="AQ915" s="41"/>
      <c r="AR915" s="41"/>
      <c r="AS915" s="41"/>
      <c r="AT915" s="41"/>
      <c r="AU915" s="41"/>
      <c r="AV915" s="41"/>
      <c r="AW915" s="41"/>
      <c r="AX915" s="41"/>
      <c r="AY915" s="41"/>
      <c r="AZ915" s="41"/>
      <c r="BA915" s="41"/>
      <c r="BB915" s="41"/>
      <c r="BC915" s="41"/>
      <c r="BD915" s="41"/>
      <c r="BE915" s="41"/>
      <c r="BF915" s="41"/>
      <c r="BG915" s="41"/>
      <c r="BH915" s="41"/>
      <c r="BJ915" s="41"/>
      <c r="BK915" s="41"/>
      <c r="BL915" s="41"/>
      <c r="BM915" s="41"/>
      <c r="BN915" s="41"/>
      <c r="BO915" s="41"/>
      <c r="BP915" s="41"/>
      <c r="BQ915" s="41"/>
      <c r="BR915" s="41"/>
      <c r="BS915" s="41"/>
      <c r="BT915" s="41"/>
      <c r="BU915" s="41"/>
      <c r="BV915" s="41"/>
      <c r="BW915" s="41"/>
      <c r="BX915" s="41"/>
      <c r="BY915" s="41"/>
      <c r="BZ915" s="41"/>
      <c r="CA915" s="41"/>
      <c r="CB915" s="41">
        <v>0.01</v>
      </c>
      <c r="CC915" s="41"/>
      <c r="CD915" s="41"/>
      <c r="CE915" s="41">
        <v>0.02</v>
      </c>
      <c r="CF915" s="41">
        <v>0.02</v>
      </c>
      <c r="CG915" s="41">
        <v>0.1</v>
      </c>
      <c r="CH915" s="41">
        <v>0.1</v>
      </c>
      <c r="CI915" s="41">
        <v>0.02</v>
      </c>
      <c r="CJ915" s="41"/>
      <c r="CK915" s="41">
        <v>0.01</v>
      </c>
      <c r="CL915" s="41">
        <v>0.05</v>
      </c>
      <c r="CM915" s="41"/>
      <c r="CN915" s="41">
        <v>0.05</v>
      </c>
      <c r="CO915" s="41">
        <v>0.05</v>
      </c>
      <c r="CP915" s="41">
        <v>0.05</v>
      </c>
      <c r="CQ915" s="41">
        <v>0.05</v>
      </c>
      <c r="CR915" s="41">
        <v>0.02</v>
      </c>
      <c r="CS915" s="41">
        <v>0.01</v>
      </c>
      <c r="CT915" s="41"/>
      <c r="CU915" s="41"/>
      <c r="CV915" s="41">
        <v>0.02</v>
      </c>
      <c r="CW915" s="41"/>
      <c r="CX915" s="41"/>
      <c r="CY915" s="41"/>
      <c r="CZ915" s="41"/>
      <c r="DA915" s="41"/>
      <c r="DB915" s="41"/>
      <c r="DC915" s="41"/>
      <c r="DD915" s="41">
        <v>0.12</v>
      </c>
      <c r="DE915" s="41"/>
      <c r="DF915" s="41"/>
      <c r="DG915" s="41"/>
      <c r="DH915" s="41"/>
      <c r="DI915" s="41"/>
      <c r="DJ915" s="41">
        <v>0.05</v>
      </c>
      <c r="DK915" s="41">
        <v>0.05</v>
      </c>
      <c r="DL915" s="41">
        <v>0.05</v>
      </c>
      <c r="DM915" s="41">
        <v>0.05</v>
      </c>
      <c r="DN915" s="41"/>
      <c r="DO915" s="41"/>
      <c r="DP915" s="41">
        <v>0.05</v>
      </c>
      <c r="DQ915" s="41"/>
      <c r="DR915" s="41">
        <v>0.05</v>
      </c>
      <c r="DS915" s="43"/>
      <c r="DT915" s="44">
        <f t="shared" ref="DT915" si="897">SUM(F915:DR915)</f>
        <v>1.0000000000000002</v>
      </c>
    </row>
    <row r="916" spans="2:124" s="13" customFormat="1">
      <c r="B916" s="4">
        <f>'6.1Personnel List'!B917</f>
        <v>904</v>
      </c>
      <c r="C916" s="45" t="s">
        <v>1129</v>
      </c>
      <c r="D916" s="45" t="str">
        <f>'6.1Personnel List'!D917</f>
        <v>Nurse II</v>
      </c>
      <c r="E916" s="45" t="str">
        <f>'6.1Personnel List'!H917</f>
        <v>FT</v>
      </c>
      <c r="G916" s="41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  <c r="AA916" s="41"/>
      <c r="AB916" s="41"/>
      <c r="AC916" s="41"/>
      <c r="AD916" s="41"/>
      <c r="AE916" s="41"/>
      <c r="AF916" s="41"/>
      <c r="AG916" s="41"/>
      <c r="AH916" s="41"/>
      <c r="AI916" s="41"/>
      <c r="AJ916" s="41"/>
      <c r="AK916" s="41"/>
      <c r="AL916" s="41"/>
      <c r="AM916" s="41"/>
      <c r="AN916" s="41"/>
      <c r="AO916" s="41"/>
      <c r="AP916" s="41"/>
      <c r="AQ916" s="41"/>
      <c r="AR916" s="41"/>
      <c r="AS916" s="41"/>
      <c r="AT916" s="41"/>
      <c r="AU916" s="41"/>
      <c r="AV916" s="41"/>
      <c r="AW916" s="41"/>
      <c r="AX916" s="41"/>
      <c r="AY916" s="41"/>
      <c r="AZ916" s="41"/>
      <c r="BA916" s="41"/>
      <c r="BB916" s="41"/>
      <c r="BC916" s="41"/>
      <c r="BD916" s="41"/>
      <c r="BE916" s="41"/>
      <c r="BF916" s="41"/>
      <c r="BG916" s="41"/>
      <c r="BH916" s="41"/>
      <c r="BJ916" s="41"/>
      <c r="BK916" s="41"/>
      <c r="BL916" s="41"/>
      <c r="BM916" s="41"/>
      <c r="BN916" s="41"/>
      <c r="BO916" s="41"/>
      <c r="BP916" s="41"/>
      <c r="BQ916" s="41"/>
      <c r="BR916" s="41"/>
      <c r="BS916" s="41"/>
      <c r="BT916" s="41"/>
      <c r="BU916" s="41"/>
      <c r="BV916" s="41"/>
      <c r="BW916" s="41"/>
      <c r="BX916" s="41"/>
      <c r="BY916" s="41"/>
      <c r="BZ916" s="41"/>
      <c r="CA916" s="41"/>
      <c r="CB916" s="41"/>
      <c r="CC916" s="41"/>
      <c r="CD916" s="41"/>
      <c r="CE916" s="41"/>
      <c r="CF916" s="41"/>
      <c r="CG916" s="41"/>
      <c r="CH916" s="41"/>
      <c r="CI916" s="41"/>
      <c r="CJ916" s="41"/>
      <c r="CK916" s="41"/>
      <c r="CL916" s="41"/>
      <c r="CM916" s="41"/>
      <c r="CN916" s="92">
        <v>0.25</v>
      </c>
      <c r="CO916" s="41"/>
      <c r="CP916" s="41"/>
      <c r="CQ916" s="41"/>
      <c r="CR916" s="41"/>
      <c r="CS916" s="41"/>
      <c r="CT916" s="41"/>
      <c r="CU916" s="41"/>
      <c r="CV916" s="41"/>
      <c r="CW916" s="41"/>
      <c r="CX916" s="41"/>
      <c r="CY916" s="41"/>
      <c r="CZ916" s="41"/>
      <c r="DA916" s="41"/>
      <c r="DB916" s="92">
        <v>0.25</v>
      </c>
      <c r="DC916" s="92">
        <v>0.25</v>
      </c>
      <c r="DD916" s="41"/>
      <c r="DE916" s="41"/>
      <c r="DF916" s="41"/>
      <c r="DG916" s="41"/>
      <c r="DH916" s="41"/>
      <c r="DI916" s="41"/>
      <c r="DJ916" s="92">
        <v>0.25</v>
      </c>
      <c r="DK916" s="41"/>
      <c r="DL916" s="41"/>
      <c r="DM916" s="41"/>
      <c r="DN916" s="41"/>
      <c r="DO916" s="41"/>
      <c r="DP916" s="41"/>
      <c r="DQ916" s="41"/>
      <c r="DR916" s="41"/>
      <c r="DS916" s="43"/>
      <c r="DT916" s="44">
        <f t="shared" ref="DT916" si="898">SUM(F916:DR916)</f>
        <v>1</v>
      </c>
    </row>
    <row r="917" spans="2:124" s="13" customFormat="1">
      <c r="B917" s="4">
        <f>'6.1Personnel List'!B918</f>
        <v>905</v>
      </c>
      <c r="C917" s="45" t="s">
        <v>1130</v>
      </c>
      <c r="D917" s="45" t="str">
        <f>'6.1Personnel List'!D918</f>
        <v>Nurse II</v>
      </c>
      <c r="E917" s="45" t="str">
        <f>'6.1Personnel List'!H918</f>
        <v>FT</v>
      </c>
      <c r="G917" s="41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  <c r="AA917" s="41"/>
      <c r="AB917" s="41"/>
      <c r="AC917" s="41"/>
      <c r="AD917" s="41"/>
      <c r="AE917" s="41"/>
      <c r="AF917" s="41"/>
      <c r="AG917" s="41"/>
      <c r="AH917" s="41"/>
      <c r="AI917" s="41"/>
      <c r="AJ917" s="41"/>
      <c r="AK917" s="41"/>
      <c r="AL917" s="41"/>
      <c r="AM917" s="41"/>
      <c r="AN917" s="41"/>
      <c r="AO917" s="41"/>
      <c r="AP917" s="41"/>
      <c r="AQ917" s="41"/>
      <c r="AR917" s="41"/>
      <c r="AS917" s="41"/>
      <c r="AT917" s="41"/>
      <c r="AU917" s="41"/>
      <c r="AV917" s="41"/>
      <c r="AW917" s="41"/>
      <c r="AX917" s="41"/>
      <c r="AY917" s="41"/>
      <c r="AZ917" s="41"/>
      <c r="BA917" s="41"/>
      <c r="BB917" s="41"/>
      <c r="BC917" s="41"/>
      <c r="BD917" s="41"/>
      <c r="BE917" s="41"/>
      <c r="BF917" s="41"/>
      <c r="BG917" s="41"/>
      <c r="BH917" s="41"/>
      <c r="BJ917" s="41"/>
      <c r="BK917" s="41"/>
      <c r="BL917" s="41"/>
      <c r="BM917" s="41"/>
      <c r="BN917" s="41"/>
      <c r="BO917" s="41"/>
      <c r="BP917" s="41"/>
      <c r="BQ917" s="41"/>
      <c r="BR917" s="41"/>
      <c r="BS917" s="41"/>
      <c r="BT917" s="41"/>
      <c r="BU917" s="41"/>
      <c r="BV917" s="41">
        <v>0.05</v>
      </c>
      <c r="BW917" s="41">
        <v>0.2</v>
      </c>
      <c r="BX917" s="41"/>
      <c r="BY917" s="41"/>
      <c r="BZ917" s="41"/>
      <c r="CA917" s="41"/>
      <c r="CB917" s="41"/>
      <c r="CC917" s="41"/>
      <c r="CD917" s="41"/>
      <c r="CE917" s="41">
        <v>0.1</v>
      </c>
      <c r="CF917" s="41">
        <v>0.1</v>
      </c>
      <c r="CG917" s="41">
        <v>0.1</v>
      </c>
      <c r="CH917" s="41"/>
      <c r="CI917" s="41"/>
      <c r="CJ917" s="41"/>
      <c r="CK917" s="41"/>
      <c r="CL917" s="41"/>
      <c r="CM917" s="41"/>
      <c r="CN917" s="41"/>
      <c r="CO917" s="41"/>
      <c r="CP917" s="41"/>
      <c r="CQ917" s="41"/>
      <c r="CR917" s="41"/>
      <c r="CS917" s="41"/>
      <c r="CT917" s="41"/>
      <c r="CU917" s="41"/>
      <c r="CV917" s="41"/>
      <c r="CW917" s="41"/>
      <c r="CX917" s="41"/>
      <c r="CY917" s="41"/>
      <c r="CZ917" s="41"/>
      <c r="DA917" s="41"/>
      <c r="DB917" s="41"/>
      <c r="DC917" s="41"/>
      <c r="DD917" s="41"/>
      <c r="DE917" s="41"/>
      <c r="DF917" s="41"/>
      <c r="DG917" s="41"/>
      <c r="DH917" s="41"/>
      <c r="DI917" s="41"/>
      <c r="DJ917" s="41"/>
      <c r="DK917" s="41"/>
      <c r="DL917" s="41"/>
      <c r="DM917" s="41">
        <v>0.45</v>
      </c>
      <c r="DN917" s="41"/>
      <c r="DO917" s="41"/>
      <c r="DP917" s="41"/>
      <c r="DQ917" s="41"/>
      <c r="DR917" s="41"/>
      <c r="DS917" s="43"/>
      <c r="DT917" s="44">
        <f t="shared" ref="DT917" si="899">SUM(F917:DR917)</f>
        <v>1</v>
      </c>
    </row>
    <row r="918" spans="2:124" s="13" customFormat="1">
      <c r="B918" s="4">
        <f>'6.1Personnel List'!B919</f>
        <v>906</v>
      </c>
      <c r="C918" s="45" t="s">
        <v>1131</v>
      </c>
      <c r="D918" s="45" t="str">
        <f>'6.1Personnel List'!D919</f>
        <v>Nurse II</v>
      </c>
      <c r="E918" s="45" t="str">
        <f>'6.1Personnel List'!H919</f>
        <v>FT</v>
      </c>
      <c r="G918" s="41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  <c r="AA918" s="41"/>
      <c r="AB918" s="41"/>
      <c r="AC918" s="41"/>
      <c r="AD918" s="41"/>
      <c r="AE918" s="41"/>
      <c r="AF918" s="41"/>
      <c r="AG918" s="41"/>
      <c r="AH918" s="41"/>
      <c r="AI918" s="41"/>
      <c r="AJ918" s="41"/>
      <c r="AK918" s="41"/>
      <c r="AL918" s="41"/>
      <c r="AM918" s="41"/>
      <c r="AN918" s="41"/>
      <c r="AO918" s="41"/>
      <c r="AP918" s="41"/>
      <c r="AQ918" s="41"/>
      <c r="AR918" s="41"/>
      <c r="AS918" s="41"/>
      <c r="AT918" s="41"/>
      <c r="AU918" s="41"/>
      <c r="AV918" s="41"/>
      <c r="AW918" s="41"/>
      <c r="AX918" s="41"/>
      <c r="AY918" s="41"/>
      <c r="AZ918" s="41"/>
      <c r="BA918" s="41"/>
      <c r="BB918" s="41"/>
      <c r="BC918" s="41"/>
      <c r="BD918" s="41"/>
      <c r="BE918" s="41"/>
      <c r="BF918" s="41"/>
      <c r="BG918" s="41"/>
      <c r="BH918" s="41"/>
      <c r="BJ918" s="41"/>
      <c r="BK918" s="41"/>
      <c r="BL918" s="41"/>
      <c r="BM918" s="41"/>
      <c r="BN918" s="41"/>
      <c r="BO918" s="41"/>
      <c r="BP918" s="41"/>
      <c r="BQ918" s="41"/>
      <c r="BR918" s="41"/>
      <c r="BS918" s="41">
        <v>0.05</v>
      </c>
      <c r="BT918" s="41"/>
      <c r="BU918" s="41">
        <v>0.05</v>
      </c>
      <c r="BV918" s="41">
        <v>0.05</v>
      </c>
      <c r="BW918" s="41">
        <v>0.05</v>
      </c>
      <c r="BX918" s="41"/>
      <c r="BY918" s="41"/>
      <c r="BZ918" s="41"/>
      <c r="CA918" s="41"/>
      <c r="CB918" s="41"/>
      <c r="CC918" s="41"/>
      <c r="CD918" s="41"/>
      <c r="CE918" s="41">
        <v>0.05</v>
      </c>
      <c r="CF918" s="41">
        <v>0.03</v>
      </c>
      <c r="CG918" s="41">
        <v>0.02</v>
      </c>
      <c r="CH918" s="41">
        <v>0.05</v>
      </c>
      <c r="CI918" s="41">
        <v>0.05</v>
      </c>
      <c r="CJ918" s="41"/>
      <c r="CK918" s="41"/>
      <c r="CL918" s="41"/>
      <c r="CM918" s="41"/>
      <c r="CN918" s="41"/>
      <c r="CO918" s="41"/>
      <c r="CP918" s="41"/>
      <c r="CQ918" s="41"/>
      <c r="CR918" s="41"/>
      <c r="CS918" s="41"/>
      <c r="CT918" s="41"/>
      <c r="CU918" s="41"/>
      <c r="CV918" s="41"/>
      <c r="CW918" s="41"/>
      <c r="CX918" s="41"/>
      <c r="CY918" s="41"/>
      <c r="CZ918" s="41"/>
      <c r="DA918" s="41"/>
      <c r="DB918" s="41"/>
      <c r="DC918" s="41"/>
      <c r="DD918" s="41"/>
      <c r="DE918" s="41"/>
      <c r="DF918" s="41"/>
      <c r="DG918" s="41"/>
      <c r="DH918" s="41"/>
      <c r="DI918" s="41"/>
      <c r="DJ918" s="41"/>
      <c r="DK918" s="41">
        <v>0.6</v>
      </c>
      <c r="DL918" s="41"/>
      <c r="DM918" s="41"/>
      <c r="DN918" s="41"/>
      <c r="DO918" s="41"/>
      <c r="DP918" s="41"/>
      <c r="DQ918" s="41"/>
      <c r="DR918" s="41"/>
      <c r="DS918" s="43"/>
      <c r="DT918" s="44">
        <f t="shared" ref="DT918" si="900">SUM(F918:DR918)</f>
        <v>1</v>
      </c>
    </row>
    <row r="919" spans="2:124" s="13" customFormat="1">
      <c r="B919" s="4">
        <f>'6.1Personnel List'!B920</f>
        <v>907</v>
      </c>
      <c r="C919" s="45" t="s">
        <v>1132</v>
      </c>
      <c r="D919" s="45" t="str">
        <f>'6.1Personnel List'!D920</f>
        <v>Nurse II</v>
      </c>
      <c r="E919" s="45" t="str">
        <f>'6.1Personnel List'!H920</f>
        <v>FT</v>
      </c>
      <c r="G919" s="41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  <c r="AA919" s="41"/>
      <c r="AB919" s="41"/>
      <c r="AC919" s="41"/>
      <c r="AD919" s="41"/>
      <c r="AE919" s="41"/>
      <c r="AF919" s="41"/>
      <c r="AG919" s="41"/>
      <c r="AH919" s="41"/>
      <c r="AI919" s="41"/>
      <c r="AJ919" s="41"/>
      <c r="AK919" s="41"/>
      <c r="AL919" s="41"/>
      <c r="AM919" s="41"/>
      <c r="AN919" s="41"/>
      <c r="AO919" s="41"/>
      <c r="AP919" s="41"/>
      <c r="AQ919" s="41"/>
      <c r="AR919" s="41"/>
      <c r="AS919" s="41"/>
      <c r="AT919" s="41"/>
      <c r="AU919" s="41"/>
      <c r="AV919" s="41"/>
      <c r="AW919" s="41"/>
      <c r="AX919" s="41"/>
      <c r="AY919" s="41"/>
      <c r="AZ919" s="41"/>
      <c r="BA919" s="41"/>
      <c r="BB919" s="41"/>
      <c r="BC919" s="41"/>
      <c r="BD919" s="41"/>
      <c r="BE919" s="41"/>
      <c r="BF919" s="41"/>
      <c r="BG919" s="41"/>
      <c r="BH919" s="41"/>
      <c r="BJ919" s="41"/>
      <c r="BK919" s="41"/>
      <c r="BL919" s="41"/>
      <c r="BM919" s="41"/>
      <c r="BN919" s="41"/>
      <c r="BO919" s="41"/>
      <c r="BP919" s="41"/>
      <c r="BQ919" s="41"/>
      <c r="BR919" s="41"/>
      <c r="BS919" s="41">
        <v>0.05</v>
      </c>
      <c r="BT919" s="41"/>
      <c r="BU919" s="41"/>
      <c r="BV919" s="41">
        <v>0.05</v>
      </c>
      <c r="BW919" s="41">
        <v>0.05</v>
      </c>
      <c r="BX919" s="41"/>
      <c r="BY919" s="41"/>
      <c r="BZ919" s="41"/>
      <c r="CA919" s="41"/>
      <c r="CB919" s="41"/>
      <c r="CC919" s="41"/>
      <c r="CD919" s="41"/>
      <c r="CE919" s="41">
        <v>0.1</v>
      </c>
      <c r="CF919" s="41">
        <v>0.05</v>
      </c>
      <c r="CG919" s="41">
        <v>0.05</v>
      </c>
      <c r="CH919" s="41">
        <v>0.05</v>
      </c>
      <c r="CI919" s="41"/>
      <c r="CJ919" s="41">
        <v>0.05</v>
      </c>
      <c r="CK919" s="41"/>
      <c r="CL919" s="41">
        <v>0.2</v>
      </c>
      <c r="CM919" s="41"/>
      <c r="CN919" s="41"/>
      <c r="CO919" s="41"/>
      <c r="CP919" s="41"/>
      <c r="CQ919" s="41"/>
      <c r="CR919" s="41"/>
      <c r="CS919" s="41"/>
      <c r="CT919" s="41"/>
      <c r="CU919" s="41">
        <v>0.05</v>
      </c>
      <c r="CV919" s="41"/>
      <c r="CW919" s="41"/>
      <c r="CX919" s="41"/>
      <c r="CY919" s="41"/>
      <c r="CZ919" s="41"/>
      <c r="DA919" s="41"/>
      <c r="DB919" s="41"/>
      <c r="DC919" s="41"/>
      <c r="DD919" s="41">
        <v>0.05</v>
      </c>
      <c r="DE919" s="41"/>
      <c r="DF919" s="41"/>
      <c r="DG919" s="41"/>
      <c r="DH919" s="41"/>
      <c r="DI919" s="41"/>
      <c r="DJ919" s="41"/>
      <c r="DK919" s="41"/>
      <c r="DL919" s="41">
        <v>0.25</v>
      </c>
      <c r="DM919" s="41"/>
      <c r="DN919" s="41"/>
      <c r="DO919" s="41"/>
      <c r="DP919" s="41"/>
      <c r="DQ919" s="41"/>
      <c r="DR919" s="41"/>
      <c r="DS919" s="43"/>
      <c r="DT919" s="44">
        <f t="shared" ref="DT919" si="901">SUM(F919:DR919)</f>
        <v>1</v>
      </c>
    </row>
    <row r="920" spans="2:124" s="13" customFormat="1">
      <c r="B920" s="4">
        <f>'6.1Personnel List'!B921</f>
        <v>908</v>
      </c>
      <c r="C920" s="45" t="s">
        <v>1133</v>
      </c>
      <c r="D920" s="45" t="str">
        <f>'6.1Personnel List'!D921</f>
        <v>Nurse II</v>
      </c>
      <c r="E920" s="45" t="str">
        <f>'6.1Personnel List'!H921</f>
        <v>FT</v>
      </c>
      <c r="G920" s="41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  <c r="AA920" s="41"/>
      <c r="AB920" s="41"/>
      <c r="AC920" s="41"/>
      <c r="AD920" s="41"/>
      <c r="AE920" s="41"/>
      <c r="AF920" s="41"/>
      <c r="AG920" s="41"/>
      <c r="AH920" s="41"/>
      <c r="AI920" s="41"/>
      <c r="AJ920" s="41"/>
      <c r="AK920" s="41"/>
      <c r="AL920" s="41"/>
      <c r="AM920" s="41"/>
      <c r="AN920" s="41"/>
      <c r="AO920" s="41"/>
      <c r="AP920" s="41"/>
      <c r="AQ920" s="41"/>
      <c r="AR920" s="41"/>
      <c r="AS920" s="41"/>
      <c r="AT920" s="41"/>
      <c r="AU920" s="41"/>
      <c r="AV920" s="41"/>
      <c r="AW920" s="41"/>
      <c r="AX920" s="41"/>
      <c r="AY920" s="41"/>
      <c r="AZ920" s="41"/>
      <c r="BA920" s="41"/>
      <c r="BB920" s="41"/>
      <c r="BC920" s="41"/>
      <c r="BD920" s="41"/>
      <c r="BE920" s="41"/>
      <c r="BF920" s="41"/>
      <c r="BG920" s="41"/>
      <c r="BH920" s="41"/>
      <c r="BJ920" s="41"/>
      <c r="BK920" s="94"/>
      <c r="BL920" s="94"/>
      <c r="BM920" s="94"/>
      <c r="BN920" s="94"/>
      <c r="BO920" s="94"/>
      <c r="BP920" s="94"/>
      <c r="BQ920" s="94"/>
      <c r="BR920" s="94"/>
      <c r="BS920" s="94"/>
      <c r="BT920" s="94"/>
      <c r="BU920" s="94"/>
      <c r="BV920" s="94"/>
      <c r="BW920" s="94"/>
      <c r="BX920" s="94"/>
      <c r="BY920" s="94"/>
      <c r="BZ920" s="94"/>
      <c r="CA920" s="94"/>
      <c r="CB920" s="94"/>
      <c r="CC920" s="94"/>
      <c r="CD920" s="94"/>
      <c r="CE920" s="94"/>
      <c r="CF920" s="94"/>
      <c r="CG920" s="94"/>
      <c r="CH920" s="94"/>
      <c r="CI920" s="94"/>
      <c r="CJ920" s="94"/>
      <c r="CK920" s="94"/>
      <c r="CL920" s="94"/>
      <c r="CM920" s="94"/>
      <c r="CN920" s="94"/>
      <c r="CO920" s="94"/>
      <c r="CP920" s="94"/>
      <c r="CQ920" s="94"/>
      <c r="CR920" s="94"/>
      <c r="CS920" s="94"/>
      <c r="CT920" s="94"/>
      <c r="CU920" s="94"/>
      <c r="CV920" s="94"/>
      <c r="CW920" s="94"/>
      <c r="CX920" s="94"/>
      <c r="CY920" s="94"/>
      <c r="CZ920" s="94"/>
      <c r="DA920" s="94"/>
      <c r="DB920" s="94"/>
      <c r="DC920" s="94"/>
      <c r="DD920" s="94"/>
      <c r="DE920" s="94"/>
      <c r="DF920" s="94"/>
      <c r="DG920" s="94"/>
      <c r="DH920" s="94"/>
      <c r="DI920" s="94"/>
      <c r="DJ920" s="94"/>
      <c r="DK920" s="41"/>
      <c r="DL920" s="41"/>
      <c r="DM920" s="41">
        <v>1</v>
      </c>
      <c r="DN920" s="41"/>
      <c r="DO920" s="41"/>
      <c r="DP920" s="41"/>
      <c r="DQ920" s="41"/>
      <c r="DR920" s="41"/>
      <c r="DS920" s="43"/>
      <c r="DT920" s="44">
        <f t="shared" ref="DT920" si="902">SUM(F920:DR920)</f>
        <v>1</v>
      </c>
    </row>
    <row r="921" spans="2:124" s="13" customFormat="1">
      <c r="B921" s="4">
        <f>'6.1Personnel List'!B922</f>
        <v>909</v>
      </c>
      <c r="C921" s="45" t="s">
        <v>1134</v>
      </c>
      <c r="D921" s="45" t="str">
        <f>'6.1Personnel List'!D922</f>
        <v>Nurse II</v>
      </c>
      <c r="E921" s="45" t="str">
        <f>'6.1Personnel List'!H922</f>
        <v>FT</v>
      </c>
      <c r="G921" s="41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  <c r="AA921" s="41"/>
      <c r="AB921" s="41"/>
      <c r="AC921" s="41"/>
      <c r="AD921" s="41"/>
      <c r="AE921" s="41"/>
      <c r="AF921" s="41"/>
      <c r="AG921" s="41"/>
      <c r="AH921" s="41"/>
      <c r="AI921" s="41"/>
      <c r="AJ921" s="41"/>
      <c r="AK921" s="41"/>
      <c r="AL921" s="41"/>
      <c r="AM921" s="41"/>
      <c r="AN921" s="41"/>
      <c r="AO921" s="41"/>
      <c r="AP921" s="41"/>
      <c r="AQ921" s="41"/>
      <c r="AR921" s="41"/>
      <c r="AS921" s="41"/>
      <c r="AT921" s="41"/>
      <c r="AU921" s="41"/>
      <c r="AV921" s="41"/>
      <c r="AW921" s="41"/>
      <c r="AX921" s="41"/>
      <c r="AY921" s="41"/>
      <c r="AZ921" s="41"/>
      <c r="BA921" s="41"/>
      <c r="BB921" s="41"/>
      <c r="BC921" s="41"/>
      <c r="BD921" s="41"/>
      <c r="BE921" s="41"/>
      <c r="BF921" s="41"/>
      <c r="BG921" s="41"/>
      <c r="BH921" s="41"/>
      <c r="BJ921" s="41"/>
      <c r="BK921" s="41"/>
      <c r="BL921" s="41"/>
      <c r="BM921" s="41"/>
      <c r="BN921" s="41"/>
      <c r="BO921" s="41"/>
      <c r="BP921" s="41">
        <v>0.05</v>
      </c>
      <c r="BQ921" s="41"/>
      <c r="BR921" s="41"/>
      <c r="BS921" s="41">
        <v>0.1</v>
      </c>
      <c r="BT921" s="41"/>
      <c r="BU921" s="41">
        <v>0.05</v>
      </c>
      <c r="BV921" s="41">
        <v>0.05</v>
      </c>
      <c r="BW921" s="41">
        <v>0.1</v>
      </c>
      <c r="BX921" s="41"/>
      <c r="BY921" s="41"/>
      <c r="BZ921" s="41"/>
      <c r="CA921" s="41"/>
      <c r="CB921" s="41"/>
      <c r="CC921" s="41"/>
      <c r="CD921" s="41"/>
      <c r="CE921" s="41">
        <v>0.05</v>
      </c>
      <c r="CF921" s="41">
        <v>0.05</v>
      </c>
      <c r="CG921" s="41">
        <v>0.05</v>
      </c>
      <c r="CH921" s="41">
        <v>0.05</v>
      </c>
      <c r="CI921" s="41"/>
      <c r="CJ921" s="41"/>
      <c r="CK921" s="41"/>
      <c r="CL921" s="41"/>
      <c r="CM921" s="41"/>
      <c r="CN921" s="41"/>
      <c r="CO921" s="41"/>
      <c r="CP921" s="41"/>
      <c r="CQ921" s="41"/>
      <c r="CR921" s="41"/>
      <c r="CS921" s="41"/>
      <c r="CT921" s="41"/>
      <c r="CU921" s="41"/>
      <c r="CV921" s="41"/>
      <c r="CW921" s="41"/>
      <c r="CX921" s="41"/>
      <c r="CY921" s="41"/>
      <c r="CZ921" s="41"/>
      <c r="DA921" s="41"/>
      <c r="DB921" s="41"/>
      <c r="DC921" s="41"/>
      <c r="DD921" s="41"/>
      <c r="DE921" s="41"/>
      <c r="DF921" s="41"/>
      <c r="DG921" s="41"/>
      <c r="DH921" s="41"/>
      <c r="DI921" s="41"/>
      <c r="DJ921" s="41"/>
      <c r="DK921" s="41">
        <v>0.45</v>
      </c>
      <c r="DL921" s="41"/>
      <c r="DM921" s="41"/>
      <c r="DN921" s="41"/>
      <c r="DO921" s="41"/>
      <c r="DP921" s="41"/>
      <c r="DQ921" s="41"/>
      <c r="DR921" s="41"/>
      <c r="DS921" s="43"/>
      <c r="DT921" s="44">
        <f t="shared" ref="DT921" si="903">SUM(F921:DR921)</f>
        <v>1</v>
      </c>
    </row>
    <row r="922" spans="2:124" s="13" customFormat="1">
      <c r="B922" s="4">
        <f>'6.1Personnel List'!B923</f>
        <v>910</v>
      </c>
      <c r="C922" s="45" t="s">
        <v>1135</v>
      </c>
      <c r="D922" s="45" t="str">
        <f>'6.1Personnel List'!D923</f>
        <v>Nurse II</v>
      </c>
      <c r="E922" s="45" t="str">
        <f>'6.1Personnel List'!H923</f>
        <v>FT</v>
      </c>
      <c r="G922" s="41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  <c r="AA922" s="41"/>
      <c r="AB922" s="41"/>
      <c r="AC922" s="41"/>
      <c r="AD922" s="41"/>
      <c r="AE922" s="41"/>
      <c r="AF922" s="41"/>
      <c r="AG922" s="41"/>
      <c r="AH922" s="41"/>
      <c r="AI922" s="41"/>
      <c r="AJ922" s="41"/>
      <c r="AK922" s="41"/>
      <c r="AL922" s="41"/>
      <c r="AM922" s="41"/>
      <c r="AN922" s="41"/>
      <c r="AO922" s="41"/>
      <c r="AP922" s="41"/>
      <c r="AQ922" s="41"/>
      <c r="AR922" s="41"/>
      <c r="AS922" s="41"/>
      <c r="AT922" s="41"/>
      <c r="AU922" s="41"/>
      <c r="AV922" s="41"/>
      <c r="AW922" s="41"/>
      <c r="AX922" s="41"/>
      <c r="AY922" s="41"/>
      <c r="AZ922" s="41"/>
      <c r="BA922" s="41"/>
      <c r="BB922" s="41"/>
      <c r="BC922" s="41"/>
      <c r="BD922" s="41"/>
      <c r="BE922" s="41"/>
      <c r="BF922" s="41"/>
      <c r="BG922" s="41"/>
      <c r="BH922" s="41"/>
      <c r="BJ922" s="41"/>
      <c r="BK922" s="41"/>
      <c r="BL922" s="41"/>
      <c r="BM922" s="41"/>
      <c r="BN922" s="41"/>
      <c r="BO922" s="41"/>
      <c r="BP922" s="41"/>
      <c r="BQ922" s="41"/>
      <c r="BR922" s="41"/>
      <c r="BS922" s="41">
        <v>0.05</v>
      </c>
      <c r="BT922" s="41"/>
      <c r="BU922" s="41">
        <v>0.05</v>
      </c>
      <c r="BV922" s="41">
        <v>0.05</v>
      </c>
      <c r="BW922" s="41">
        <v>0.05</v>
      </c>
      <c r="BX922" s="41"/>
      <c r="BY922" s="41"/>
      <c r="BZ922" s="41"/>
      <c r="CA922" s="41"/>
      <c r="CB922" s="41"/>
      <c r="CC922" s="41"/>
      <c r="CD922" s="41"/>
      <c r="CE922" s="41">
        <v>0.05</v>
      </c>
      <c r="CF922" s="41">
        <v>0.03</v>
      </c>
      <c r="CG922" s="41">
        <v>0.02</v>
      </c>
      <c r="CH922" s="41">
        <v>0.05</v>
      </c>
      <c r="CI922" s="41">
        <v>0.05</v>
      </c>
      <c r="CJ922" s="41"/>
      <c r="CK922" s="41"/>
      <c r="CL922" s="41"/>
      <c r="CM922" s="41"/>
      <c r="CN922" s="41"/>
      <c r="CO922" s="41"/>
      <c r="CP922" s="41"/>
      <c r="CQ922" s="41"/>
      <c r="CR922" s="41"/>
      <c r="CS922" s="41"/>
      <c r="CT922" s="41"/>
      <c r="CU922" s="41"/>
      <c r="CV922" s="41"/>
      <c r="CW922" s="41"/>
      <c r="CX922" s="41"/>
      <c r="CY922" s="41"/>
      <c r="CZ922" s="41"/>
      <c r="DA922" s="41"/>
      <c r="DB922" s="41"/>
      <c r="DC922" s="41"/>
      <c r="DD922" s="41"/>
      <c r="DE922" s="41"/>
      <c r="DF922" s="41"/>
      <c r="DG922" s="41"/>
      <c r="DH922" s="41"/>
      <c r="DI922" s="41"/>
      <c r="DJ922" s="41"/>
      <c r="DK922" s="41">
        <v>0.6</v>
      </c>
      <c r="DL922" s="41"/>
      <c r="DM922" s="41"/>
      <c r="DN922" s="41"/>
      <c r="DO922" s="41"/>
      <c r="DP922" s="41"/>
      <c r="DQ922" s="41"/>
      <c r="DR922" s="41"/>
      <c r="DS922" s="43"/>
      <c r="DT922" s="44">
        <f t="shared" ref="DT922" si="904">SUM(F922:DR922)</f>
        <v>1</v>
      </c>
    </row>
    <row r="923" spans="2:124" s="13" customFormat="1">
      <c r="B923" s="4">
        <f>'6.1Personnel List'!B924</f>
        <v>911</v>
      </c>
      <c r="C923" s="45" t="s">
        <v>1136</v>
      </c>
      <c r="D923" s="45" t="str">
        <f>'6.1Personnel List'!D924</f>
        <v>Nurse II</v>
      </c>
      <c r="E923" s="45" t="str">
        <f>'6.1Personnel List'!H924</f>
        <v>FT</v>
      </c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  <c r="AA923" s="41"/>
      <c r="AB923" s="41"/>
      <c r="AC923" s="41"/>
      <c r="AD923" s="41"/>
      <c r="AE923" s="41"/>
      <c r="AF923" s="41"/>
      <c r="AG923" s="41"/>
      <c r="AH923" s="41"/>
      <c r="AI923" s="41"/>
      <c r="AJ923" s="41"/>
      <c r="AK923" s="41"/>
      <c r="AL923" s="41"/>
      <c r="AM923" s="41"/>
      <c r="AN923" s="41"/>
      <c r="AO923" s="41"/>
      <c r="AP923" s="41"/>
      <c r="AQ923" s="41"/>
      <c r="AR923" s="41"/>
      <c r="AS923" s="41"/>
      <c r="AT923" s="41"/>
      <c r="AU923" s="41"/>
      <c r="AV923" s="41"/>
      <c r="AW923" s="41"/>
      <c r="AX923" s="41"/>
      <c r="AY923" s="41"/>
      <c r="AZ923" s="41"/>
      <c r="BA923" s="41"/>
      <c r="BB923" s="41"/>
      <c r="BC923" s="41"/>
      <c r="BD923" s="41"/>
      <c r="BE923" s="41"/>
      <c r="BF923" s="41"/>
      <c r="BG923" s="41"/>
      <c r="BH923" s="41"/>
      <c r="BJ923" s="41"/>
      <c r="BK923" s="41"/>
      <c r="BL923" s="41"/>
      <c r="BM923" s="41"/>
      <c r="BN923" s="41"/>
      <c r="BO923" s="41"/>
      <c r="BP923" s="41"/>
      <c r="BQ923" s="41"/>
      <c r="BR923" s="41"/>
      <c r="BS923" s="41">
        <v>0.05</v>
      </c>
      <c r="BT923" s="41"/>
      <c r="BU923" s="41"/>
      <c r="BV923" s="41">
        <v>0.05</v>
      </c>
      <c r="BW923" s="41">
        <v>0.05</v>
      </c>
      <c r="BX923" s="41"/>
      <c r="BY923" s="41"/>
      <c r="BZ923" s="41"/>
      <c r="CA923" s="41"/>
      <c r="CB923" s="41"/>
      <c r="CC923" s="41"/>
      <c r="CD923" s="41"/>
      <c r="CE923" s="41">
        <v>0.1</v>
      </c>
      <c r="CF923" s="41">
        <v>0.05</v>
      </c>
      <c r="CG923" s="41">
        <v>0.05</v>
      </c>
      <c r="CH923" s="41">
        <v>0.05</v>
      </c>
      <c r="CI923" s="41"/>
      <c r="CJ923" s="41">
        <v>0.05</v>
      </c>
      <c r="CK923" s="41"/>
      <c r="CL923" s="41">
        <v>0.2</v>
      </c>
      <c r="CM923" s="41"/>
      <c r="CN923" s="41"/>
      <c r="CO923" s="41"/>
      <c r="CP923" s="41"/>
      <c r="CQ923" s="41"/>
      <c r="CR923" s="41"/>
      <c r="CS923" s="41"/>
      <c r="CT923" s="41"/>
      <c r="CU923" s="41">
        <v>0.05</v>
      </c>
      <c r="CV923" s="41"/>
      <c r="CW923" s="41"/>
      <c r="CX923" s="41"/>
      <c r="CY923" s="41"/>
      <c r="CZ923" s="41"/>
      <c r="DA923" s="41"/>
      <c r="DB923" s="41"/>
      <c r="DC923" s="41"/>
      <c r="DD923" s="41">
        <v>0.05</v>
      </c>
      <c r="DE923" s="41"/>
      <c r="DF923" s="41"/>
      <c r="DG923" s="41"/>
      <c r="DH923" s="41"/>
      <c r="DI923" s="41"/>
      <c r="DJ923" s="41"/>
      <c r="DK923" s="41"/>
      <c r="DL923" s="41">
        <v>0.25</v>
      </c>
      <c r="DM923" s="41"/>
      <c r="DN923" s="41"/>
      <c r="DO923" s="41"/>
      <c r="DP923" s="41"/>
      <c r="DQ923" s="41"/>
      <c r="DR923" s="41"/>
      <c r="DS923" s="43"/>
      <c r="DT923" s="44">
        <f t="shared" ref="DT923" si="905">SUM(F923:DR923)</f>
        <v>1</v>
      </c>
    </row>
    <row r="924" spans="2:124" s="13" customFormat="1">
      <c r="B924" s="4">
        <f>'6.1Personnel List'!B925</f>
        <v>912</v>
      </c>
      <c r="C924" s="45" t="s">
        <v>1137</v>
      </c>
      <c r="D924" s="45" t="str">
        <f>'6.1Personnel List'!D925</f>
        <v>Nurse II</v>
      </c>
      <c r="E924" s="45" t="str">
        <f>'6.1Personnel List'!H925</f>
        <v>FT</v>
      </c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  <c r="AA924" s="41"/>
      <c r="AB924" s="41"/>
      <c r="AC924" s="41"/>
      <c r="AD924" s="41"/>
      <c r="AE924" s="41"/>
      <c r="AF924" s="41"/>
      <c r="AG924" s="41"/>
      <c r="AH924" s="41"/>
      <c r="AI924" s="41"/>
      <c r="AJ924" s="41"/>
      <c r="AK924" s="41"/>
      <c r="AL924" s="41"/>
      <c r="AM924" s="41"/>
      <c r="AN924" s="41"/>
      <c r="AO924" s="41"/>
      <c r="AP924" s="41"/>
      <c r="AQ924" s="41"/>
      <c r="AR924" s="41"/>
      <c r="AS924" s="41"/>
      <c r="AT924" s="41"/>
      <c r="AU924" s="41"/>
      <c r="AV924" s="41"/>
      <c r="AW924" s="41"/>
      <c r="AX924" s="41"/>
      <c r="AY924" s="41"/>
      <c r="AZ924" s="41"/>
      <c r="BA924" s="41"/>
      <c r="BB924" s="41"/>
      <c r="BC924" s="41"/>
      <c r="BD924" s="41"/>
      <c r="BE924" s="41"/>
      <c r="BF924" s="41"/>
      <c r="BG924" s="41"/>
      <c r="BH924" s="41"/>
      <c r="BJ924" s="41"/>
      <c r="BK924" s="41"/>
      <c r="BL924" s="41"/>
      <c r="BM924" s="41"/>
      <c r="BN924" s="41"/>
      <c r="BO924" s="41"/>
      <c r="BP924" s="41"/>
      <c r="BQ924" s="41"/>
      <c r="BR924" s="41"/>
      <c r="BS924" s="41"/>
      <c r="BT924" s="41"/>
      <c r="BU924" s="41"/>
      <c r="BV924" s="41"/>
      <c r="BW924" s="41"/>
      <c r="BX924" s="41"/>
      <c r="BY924" s="41"/>
      <c r="BZ924" s="41"/>
      <c r="CA924" s="41"/>
      <c r="CB924" s="41"/>
      <c r="CC924" s="41"/>
      <c r="CD924" s="41"/>
      <c r="CE924" s="41"/>
      <c r="CF924" s="41"/>
      <c r="CG924" s="41"/>
      <c r="CH924" s="41"/>
      <c r="CI924" s="41"/>
      <c r="CJ924" s="41"/>
      <c r="CK924" s="41"/>
      <c r="CL924" s="41"/>
      <c r="CM924" s="41"/>
      <c r="CN924" s="92">
        <v>0.25</v>
      </c>
      <c r="CO924" s="41"/>
      <c r="CP924" s="41"/>
      <c r="CQ924" s="41"/>
      <c r="CR924" s="41"/>
      <c r="CS924" s="41"/>
      <c r="CT924" s="41"/>
      <c r="CU924" s="41"/>
      <c r="CV924" s="41"/>
      <c r="CW924" s="41"/>
      <c r="CX924" s="41"/>
      <c r="CY924" s="41"/>
      <c r="CZ924" s="41"/>
      <c r="DA924" s="41"/>
      <c r="DB924" s="92">
        <v>0.25</v>
      </c>
      <c r="DC924" s="92">
        <v>0.25</v>
      </c>
      <c r="DD924" s="41"/>
      <c r="DE924" s="41"/>
      <c r="DF924" s="41"/>
      <c r="DG924" s="41"/>
      <c r="DH924" s="41"/>
      <c r="DI924" s="41"/>
      <c r="DJ924" s="92">
        <v>0.25</v>
      </c>
      <c r="DK924" s="41"/>
      <c r="DL924" s="41"/>
      <c r="DM924" s="41"/>
      <c r="DN924" s="41"/>
      <c r="DO924" s="41"/>
      <c r="DP924" s="41"/>
      <c r="DQ924" s="41"/>
      <c r="DR924" s="41"/>
      <c r="DS924" s="43"/>
      <c r="DT924" s="44">
        <f t="shared" ref="DT924" si="906">SUM(F924:DR924)</f>
        <v>1</v>
      </c>
    </row>
    <row r="925" spans="2:124" s="13" customFormat="1">
      <c r="B925" s="4">
        <f>'6.1Personnel List'!B926</f>
        <v>913</v>
      </c>
      <c r="C925" s="45" t="s">
        <v>1138</v>
      </c>
      <c r="D925" s="45" t="str">
        <f>'6.1Personnel List'!D926</f>
        <v>Nurse II</v>
      </c>
      <c r="E925" s="45" t="str">
        <f>'6.1Personnel List'!H926</f>
        <v>FT</v>
      </c>
      <c r="G925" s="41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  <c r="AA925" s="41"/>
      <c r="AB925" s="41"/>
      <c r="AC925" s="41"/>
      <c r="AD925" s="41"/>
      <c r="AE925" s="41"/>
      <c r="AF925" s="41"/>
      <c r="AG925" s="41"/>
      <c r="AH925" s="41"/>
      <c r="AI925" s="41"/>
      <c r="AJ925" s="41"/>
      <c r="AK925" s="41"/>
      <c r="AL925" s="41"/>
      <c r="AM925" s="41"/>
      <c r="AN925" s="41"/>
      <c r="AO925" s="41"/>
      <c r="AP925" s="41"/>
      <c r="AQ925" s="41"/>
      <c r="AR925" s="41"/>
      <c r="AS925" s="41"/>
      <c r="AT925" s="41"/>
      <c r="AU925" s="41"/>
      <c r="AV925" s="41"/>
      <c r="AW925" s="41"/>
      <c r="AX925" s="41"/>
      <c r="AY925" s="41"/>
      <c r="AZ925" s="41"/>
      <c r="BA925" s="41"/>
      <c r="BB925" s="41"/>
      <c r="BC925" s="41"/>
      <c r="BD925" s="41"/>
      <c r="BE925" s="41"/>
      <c r="BF925" s="41"/>
      <c r="BG925" s="41"/>
      <c r="BH925" s="41"/>
      <c r="BJ925" s="41"/>
      <c r="BK925" s="41"/>
      <c r="BL925" s="41"/>
      <c r="BM925" s="41"/>
      <c r="BN925" s="41"/>
      <c r="BO925" s="41"/>
      <c r="BP925" s="41"/>
      <c r="BQ925" s="41"/>
      <c r="BR925" s="41"/>
      <c r="BS925" s="41"/>
      <c r="BT925" s="41"/>
      <c r="BU925" s="41"/>
      <c r="BV925" s="41"/>
      <c r="BW925" s="41"/>
      <c r="BX925" s="41"/>
      <c r="BY925" s="41"/>
      <c r="BZ925" s="41"/>
      <c r="CA925" s="41"/>
      <c r="CB925" s="41"/>
      <c r="CC925" s="41"/>
      <c r="CD925" s="41"/>
      <c r="CE925" s="41"/>
      <c r="CF925" s="41"/>
      <c r="CG925" s="41"/>
      <c r="CH925" s="41"/>
      <c r="CI925" s="41"/>
      <c r="CJ925" s="41"/>
      <c r="CK925" s="41"/>
      <c r="CL925" s="41"/>
      <c r="CM925" s="41"/>
      <c r="CN925" s="92">
        <v>0.25</v>
      </c>
      <c r="CO925" s="41"/>
      <c r="CP925" s="41"/>
      <c r="CQ925" s="41"/>
      <c r="CR925" s="41"/>
      <c r="CS925" s="41"/>
      <c r="CT925" s="41"/>
      <c r="CU925" s="41"/>
      <c r="CV925" s="41"/>
      <c r="CW925" s="41"/>
      <c r="CX925" s="41"/>
      <c r="CY925" s="41"/>
      <c r="CZ925" s="41"/>
      <c r="DA925" s="41"/>
      <c r="DB925" s="92">
        <v>0.25</v>
      </c>
      <c r="DC925" s="92">
        <v>0.25</v>
      </c>
      <c r="DD925" s="41"/>
      <c r="DE925" s="41"/>
      <c r="DF925" s="41"/>
      <c r="DG925" s="41"/>
      <c r="DH925" s="41"/>
      <c r="DI925" s="41"/>
      <c r="DJ925" s="92">
        <v>0.25</v>
      </c>
      <c r="DK925" s="41"/>
      <c r="DL925" s="41"/>
      <c r="DM925" s="41"/>
      <c r="DN925" s="41"/>
      <c r="DO925" s="41"/>
      <c r="DP925" s="41"/>
      <c r="DQ925" s="41"/>
      <c r="DR925" s="41"/>
      <c r="DS925" s="43"/>
      <c r="DT925" s="44">
        <f t="shared" ref="DT925" si="907">SUM(F925:DR925)</f>
        <v>1</v>
      </c>
    </row>
    <row r="926" spans="2:124" s="13" customFormat="1">
      <c r="B926" s="4">
        <f>'6.1Personnel List'!B927</f>
        <v>914</v>
      </c>
      <c r="C926" s="45" t="s">
        <v>1139</v>
      </c>
      <c r="D926" s="45" t="str">
        <f>'6.1Personnel List'!D927</f>
        <v>Nurse II</v>
      </c>
      <c r="E926" s="45" t="str">
        <f>'6.1Personnel List'!H927</f>
        <v>FT</v>
      </c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  <c r="AA926" s="41"/>
      <c r="AB926" s="41"/>
      <c r="AC926" s="41"/>
      <c r="AD926" s="41"/>
      <c r="AE926" s="41"/>
      <c r="AF926" s="41"/>
      <c r="AG926" s="41"/>
      <c r="AH926" s="41"/>
      <c r="AI926" s="41"/>
      <c r="AJ926" s="41"/>
      <c r="AK926" s="41"/>
      <c r="AL926" s="41"/>
      <c r="AM926" s="41"/>
      <c r="AN926" s="41"/>
      <c r="AO926" s="41"/>
      <c r="AP926" s="41"/>
      <c r="AQ926" s="41"/>
      <c r="AR926" s="41"/>
      <c r="AS926" s="41"/>
      <c r="AT926" s="41"/>
      <c r="AU926" s="41"/>
      <c r="AV926" s="41"/>
      <c r="AW926" s="41"/>
      <c r="AX926" s="41"/>
      <c r="AY926" s="41"/>
      <c r="AZ926" s="41"/>
      <c r="BA926" s="41"/>
      <c r="BB926" s="41"/>
      <c r="BC926" s="41"/>
      <c r="BD926" s="41"/>
      <c r="BE926" s="41"/>
      <c r="BF926" s="41"/>
      <c r="BG926" s="41"/>
      <c r="BH926" s="41"/>
      <c r="BJ926" s="41"/>
      <c r="BK926" s="41"/>
      <c r="BL926" s="41"/>
      <c r="BM926" s="41"/>
      <c r="BN926" s="41"/>
      <c r="BO926" s="41"/>
      <c r="BP926" s="41"/>
      <c r="BQ926" s="41"/>
      <c r="BR926" s="41"/>
      <c r="BS926" s="41"/>
      <c r="BT926" s="41"/>
      <c r="BU926" s="41"/>
      <c r="BV926" s="41"/>
      <c r="BW926" s="41"/>
      <c r="BX926" s="41"/>
      <c r="BY926" s="41"/>
      <c r="BZ926" s="41"/>
      <c r="CA926" s="41"/>
      <c r="CB926" s="41"/>
      <c r="CC926" s="41"/>
      <c r="CD926" s="41"/>
      <c r="CE926" s="41"/>
      <c r="CF926" s="41"/>
      <c r="CG926" s="41"/>
      <c r="CH926" s="41"/>
      <c r="CI926" s="41"/>
      <c r="CJ926" s="41"/>
      <c r="CK926" s="41"/>
      <c r="CL926" s="41"/>
      <c r="CM926" s="41"/>
      <c r="CN926" s="92">
        <v>0.25</v>
      </c>
      <c r="CO926" s="41"/>
      <c r="CP926" s="41"/>
      <c r="CQ926" s="41"/>
      <c r="CR926" s="41"/>
      <c r="CS926" s="41"/>
      <c r="CT926" s="41"/>
      <c r="CU926" s="41"/>
      <c r="CV926" s="41"/>
      <c r="CW926" s="41"/>
      <c r="CX926" s="41"/>
      <c r="CY926" s="41"/>
      <c r="CZ926" s="41"/>
      <c r="DA926" s="41"/>
      <c r="DB926" s="92">
        <v>0.25</v>
      </c>
      <c r="DC926" s="92">
        <v>0.25</v>
      </c>
      <c r="DD926" s="41"/>
      <c r="DE926" s="41"/>
      <c r="DF926" s="41"/>
      <c r="DG926" s="41"/>
      <c r="DH926" s="41"/>
      <c r="DI926" s="41"/>
      <c r="DJ926" s="92">
        <v>0.25</v>
      </c>
      <c r="DK926" s="41"/>
      <c r="DL926" s="41"/>
      <c r="DM926" s="41"/>
      <c r="DN926" s="41"/>
      <c r="DO926" s="41"/>
      <c r="DP926" s="41"/>
      <c r="DQ926" s="41"/>
      <c r="DR926" s="41"/>
      <c r="DS926" s="43"/>
      <c r="DT926" s="44">
        <f t="shared" ref="DT926" si="908">SUM(F926:DR926)</f>
        <v>1</v>
      </c>
    </row>
    <row r="927" spans="2:124" s="13" customFormat="1">
      <c r="B927" s="4">
        <f>'6.1Personnel List'!B928</f>
        <v>915</v>
      </c>
      <c r="C927" s="45" t="s">
        <v>1140</v>
      </c>
      <c r="D927" s="45" t="str">
        <f>'6.1Personnel List'!D928</f>
        <v>Nurse II</v>
      </c>
      <c r="E927" s="45" t="str">
        <f>'6.1Personnel List'!H928</f>
        <v>FT</v>
      </c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  <c r="AA927" s="41"/>
      <c r="AB927" s="41"/>
      <c r="AC927" s="41"/>
      <c r="AD927" s="41"/>
      <c r="AE927" s="41"/>
      <c r="AF927" s="41"/>
      <c r="AG927" s="41"/>
      <c r="AH927" s="41"/>
      <c r="AI927" s="41"/>
      <c r="AJ927" s="41"/>
      <c r="AK927" s="41"/>
      <c r="AL927" s="41"/>
      <c r="AM927" s="41"/>
      <c r="AN927" s="41"/>
      <c r="AO927" s="41"/>
      <c r="AP927" s="41"/>
      <c r="AQ927" s="41"/>
      <c r="AR927" s="41"/>
      <c r="AS927" s="41"/>
      <c r="AT927" s="41"/>
      <c r="AU927" s="41"/>
      <c r="AV927" s="41"/>
      <c r="AW927" s="41"/>
      <c r="AX927" s="41"/>
      <c r="AY927" s="41"/>
      <c r="AZ927" s="41"/>
      <c r="BA927" s="41"/>
      <c r="BB927" s="41"/>
      <c r="BC927" s="41"/>
      <c r="BD927" s="41"/>
      <c r="BE927" s="41"/>
      <c r="BF927" s="41"/>
      <c r="BG927" s="41"/>
      <c r="BH927" s="41"/>
      <c r="BJ927" s="41"/>
      <c r="BK927" s="41"/>
      <c r="BL927" s="41"/>
      <c r="BM927" s="41"/>
      <c r="BN927" s="41"/>
      <c r="BO927" s="41"/>
      <c r="BP927" s="41"/>
      <c r="BQ927" s="41"/>
      <c r="BR927" s="41"/>
      <c r="BS927" s="41"/>
      <c r="BT927" s="41"/>
      <c r="BU927" s="41"/>
      <c r="BV927" s="41"/>
      <c r="BW927" s="41"/>
      <c r="BX927" s="41"/>
      <c r="BY927" s="41"/>
      <c r="BZ927" s="41"/>
      <c r="CA927" s="41"/>
      <c r="CB927" s="41"/>
      <c r="CC927" s="41"/>
      <c r="CD927" s="41"/>
      <c r="CE927" s="41"/>
      <c r="CF927" s="41"/>
      <c r="CG927" s="41"/>
      <c r="CH927" s="41"/>
      <c r="CI927" s="41"/>
      <c r="CJ927" s="41"/>
      <c r="CK927" s="41"/>
      <c r="CL927" s="41"/>
      <c r="CM927" s="41"/>
      <c r="CN927" s="92">
        <v>0.25</v>
      </c>
      <c r="CO927" s="41"/>
      <c r="CP927" s="41"/>
      <c r="CQ927" s="41"/>
      <c r="CR927" s="41"/>
      <c r="CS927" s="41"/>
      <c r="CT927" s="41"/>
      <c r="CU927" s="41"/>
      <c r="CV927" s="41"/>
      <c r="CW927" s="41"/>
      <c r="CX927" s="41"/>
      <c r="CY927" s="41"/>
      <c r="CZ927" s="41"/>
      <c r="DA927" s="41"/>
      <c r="DB927" s="92">
        <v>0.25</v>
      </c>
      <c r="DC927" s="92">
        <v>0.25</v>
      </c>
      <c r="DD927" s="41"/>
      <c r="DE927" s="41"/>
      <c r="DF927" s="41"/>
      <c r="DG927" s="41"/>
      <c r="DH927" s="41"/>
      <c r="DI927" s="41"/>
      <c r="DJ927" s="92">
        <v>0.25</v>
      </c>
      <c r="DK927" s="41"/>
      <c r="DL927" s="41"/>
      <c r="DM927" s="41"/>
      <c r="DN927" s="41"/>
      <c r="DO927" s="41"/>
      <c r="DP927" s="41"/>
      <c r="DQ927" s="41"/>
      <c r="DR927" s="41"/>
      <c r="DS927" s="43"/>
      <c r="DT927" s="44">
        <f t="shared" ref="DT927" si="909">SUM(F927:DR927)</f>
        <v>1</v>
      </c>
    </row>
    <row r="928" spans="2:124" s="13" customFormat="1">
      <c r="B928" s="4">
        <f>'6.1Personnel List'!B929</f>
        <v>916</v>
      </c>
      <c r="C928" s="45" t="s">
        <v>1141</v>
      </c>
      <c r="D928" s="45" t="str">
        <f>'6.1Personnel List'!D929</f>
        <v>Nurse II</v>
      </c>
      <c r="E928" s="45" t="str">
        <f>'6.1Personnel List'!H929</f>
        <v>FT</v>
      </c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  <c r="AA928" s="41"/>
      <c r="AB928" s="41"/>
      <c r="AC928" s="41"/>
      <c r="AD928" s="41"/>
      <c r="AE928" s="41"/>
      <c r="AF928" s="41"/>
      <c r="AG928" s="41"/>
      <c r="AH928" s="41"/>
      <c r="AI928" s="41"/>
      <c r="AJ928" s="41"/>
      <c r="AK928" s="41"/>
      <c r="AL928" s="41"/>
      <c r="AM928" s="41"/>
      <c r="AN928" s="41"/>
      <c r="AO928" s="41"/>
      <c r="AP928" s="41"/>
      <c r="AQ928" s="41"/>
      <c r="AR928" s="41"/>
      <c r="AS928" s="41"/>
      <c r="AT928" s="41"/>
      <c r="AU928" s="41"/>
      <c r="AV928" s="41"/>
      <c r="AW928" s="41"/>
      <c r="AX928" s="41"/>
      <c r="AY928" s="41"/>
      <c r="AZ928" s="41"/>
      <c r="BA928" s="41"/>
      <c r="BB928" s="41"/>
      <c r="BC928" s="41"/>
      <c r="BD928" s="41"/>
      <c r="BE928" s="41"/>
      <c r="BF928" s="41"/>
      <c r="BG928" s="41"/>
      <c r="BH928" s="41"/>
      <c r="BJ928" s="41"/>
      <c r="BK928" s="94"/>
      <c r="BL928" s="94"/>
      <c r="BM928" s="94"/>
      <c r="BN928" s="94"/>
      <c r="BO928" s="94"/>
      <c r="BP928" s="94"/>
      <c r="BQ928" s="94"/>
      <c r="BR928" s="94"/>
      <c r="BS928" s="94"/>
      <c r="BT928" s="94"/>
      <c r="BU928" s="94"/>
      <c r="BV928" s="94"/>
      <c r="BW928" s="94"/>
      <c r="BX928" s="94"/>
      <c r="BY928" s="94"/>
      <c r="BZ928" s="94"/>
      <c r="CA928" s="94"/>
      <c r="CB928" s="94"/>
      <c r="CC928" s="94"/>
      <c r="CD928" s="94"/>
      <c r="CE928" s="94"/>
      <c r="CF928" s="94"/>
      <c r="CG928" s="94"/>
      <c r="CH928" s="94"/>
      <c r="CI928" s="94"/>
      <c r="CJ928" s="94"/>
      <c r="CK928" s="94"/>
      <c r="CL928" s="94"/>
      <c r="CM928" s="94"/>
      <c r="CN928" s="94"/>
      <c r="CO928" s="94"/>
      <c r="CP928" s="94"/>
      <c r="CQ928" s="94"/>
      <c r="CR928" s="94"/>
      <c r="CS928" s="94"/>
      <c r="CT928" s="94"/>
      <c r="CU928" s="94">
        <v>0.5</v>
      </c>
      <c r="CV928" s="94">
        <v>0.5</v>
      </c>
      <c r="CW928" s="94"/>
      <c r="CX928" s="94"/>
      <c r="CY928" s="94"/>
      <c r="CZ928" s="94"/>
      <c r="DA928" s="94"/>
      <c r="DB928" s="94"/>
      <c r="DC928" s="94"/>
      <c r="DD928" s="94"/>
      <c r="DE928" s="94"/>
      <c r="DF928" s="94"/>
      <c r="DG928" s="94"/>
      <c r="DH928" s="94"/>
      <c r="DI928" s="94"/>
      <c r="DJ928" s="94"/>
      <c r="DK928" s="41"/>
      <c r="DL928" s="41"/>
      <c r="DM928" s="41"/>
      <c r="DN928" s="41"/>
      <c r="DO928" s="41"/>
      <c r="DP928" s="41"/>
      <c r="DQ928" s="41"/>
      <c r="DR928" s="41"/>
      <c r="DS928" s="43"/>
      <c r="DT928" s="44">
        <f t="shared" ref="DT928" si="910">SUM(F928:DR928)</f>
        <v>1</v>
      </c>
    </row>
    <row r="929" spans="2:124" s="13" customFormat="1">
      <c r="B929" s="4">
        <f>'6.1Personnel List'!B930</f>
        <v>917</v>
      </c>
      <c r="C929" s="45" t="s">
        <v>1142</v>
      </c>
      <c r="D929" s="45" t="str">
        <f>'6.1Personnel List'!D930</f>
        <v>Nurse II</v>
      </c>
      <c r="E929" s="45" t="str">
        <f>'6.1Personnel List'!H930</f>
        <v>FT</v>
      </c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  <c r="AA929" s="41"/>
      <c r="AB929" s="41"/>
      <c r="AC929" s="41"/>
      <c r="AD929" s="41"/>
      <c r="AE929" s="41"/>
      <c r="AF929" s="41"/>
      <c r="AG929" s="41"/>
      <c r="AH929" s="41"/>
      <c r="AI929" s="41"/>
      <c r="AJ929" s="41"/>
      <c r="AK929" s="41"/>
      <c r="AL929" s="41"/>
      <c r="AM929" s="41"/>
      <c r="AN929" s="41"/>
      <c r="AO929" s="41"/>
      <c r="AP929" s="41"/>
      <c r="AQ929" s="41"/>
      <c r="AR929" s="41"/>
      <c r="AS929" s="41"/>
      <c r="AT929" s="41"/>
      <c r="AU929" s="41"/>
      <c r="AV929" s="41"/>
      <c r="AW929" s="41"/>
      <c r="AX929" s="41"/>
      <c r="AY929" s="41"/>
      <c r="AZ929" s="41"/>
      <c r="BA929" s="41"/>
      <c r="BB929" s="41"/>
      <c r="BC929" s="41"/>
      <c r="BD929" s="41"/>
      <c r="BE929" s="41"/>
      <c r="BF929" s="41"/>
      <c r="BG929" s="41"/>
      <c r="BH929" s="41"/>
      <c r="BJ929" s="41"/>
      <c r="BK929" s="41"/>
      <c r="BL929" s="41"/>
      <c r="BM929" s="41"/>
      <c r="BN929" s="41"/>
      <c r="BO929" s="41"/>
      <c r="BP929" s="41"/>
      <c r="BQ929" s="41"/>
      <c r="BR929" s="41"/>
      <c r="BS929" s="41"/>
      <c r="BT929" s="41"/>
      <c r="BU929" s="41"/>
      <c r="BV929" s="41">
        <v>0.05</v>
      </c>
      <c r="BW929" s="41"/>
      <c r="BX929" s="41"/>
      <c r="BY929" s="41"/>
      <c r="BZ929" s="41"/>
      <c r="CA929" s="41"/>
      <c r="CB929" s="41">
        <v>0.05</v>
      </c>
      <c r="CC929" s="41"/>
      <c r="CD929" s="41"/>
      <c r="CE929" s="41">
        <v>0.05</v>
      </c>
      <c r="CF929" s="41">
        <v>0.02</v>
      </c>
      <c r="CG929" s="41">
        <v>0.03</v>
      </c>
      <c r="CH929" s="41"/>
      <c r="CI929" s="41"/>
      <c r="CJ929" s="41"/>
      <c r="CK929" s="41"/>
      <c r="CL929" s="41">
        <v>0.8</v>
      </c>
      <c r="CM929" s="41"/>
      <c r="CN929" s="41"/>
      <c r="CO929" s="41"/>
      <c r="CP929" s="41"/>
      <c r="CQ929" s="41"/>
      <c r="CR929" s="41"/>
      <c r="CS929" s="41"/>
      <c r="CT929" s="41"/>
      <c r="CU929" s="41"/>
      <c r="CV929" s="41"/>
      <c r="CW929" s="41"/>
      <c r="CX929" s="41"/>
      <c r="CY929" s="41"/>
      <c r="CZ929" s="41"/>
      <c r="DA929" s="41"/>
      <c r="DB929" s="41"/>
      <c r="DC929" s="41"/>
      <c r="DD929" s="41"/>
      <c r="DE929" s="41"/>
      <c r="DF929" s="41"/>
      <c r="DG929" s="41"/>
      <c r="DH929" s="41"/>
      <c r="DI929" s="41"/>
      <c r="DJ929" s="41"/>
      <c r="DK929" s="41"/>
      <c r="DL929" s="41"/>
      <c r="DM929" s="41"/>
      <c r="DN929" s="41"/>
      <c r="DO929" s="41"/>
      <c r="DP929" s="41"/>
      <c r="DQ929" s="41"/>
      <c r="DR929" s="41"/>
      <c r="DS929" s="43"/>
      <c r="DT929" s="44">
        <f t="shared" ref="DT929" si="911">SUM(F929:DR929)</f>
        <v>1</v>
      </c>
    </row>
    <row r="930" spans="2:124" s="13" customFormat="1">
      <c r="B930" s="4">
        <f>'6.1Personnel List'!B931</f>
        <v>918</v>
      </c>
      <c r="C930" s="45" t="s">
        <v>1143</v>
      </c>
      <c r="D930" s="45" t="str">
        <f>'6.1Personnel List'!D931</f>
        <v>Nurse II</v>
      </c>
      <c r="E930" s="45" t="str">
        <f>'6.1Personnel List'!H931</f>
        <v>FT</v>
      </c>
      <c r="G930" s="4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  <c r="AA930" s="41"/>
      <c r="AB930" s="41"/>
      <c r="AC930" s="41"/>
      <c r="AD930" s="41"/>
      <c r="AE930" s="41"/>
      <c r="AF930" s="41"/>
      <c r="AG930" s="41"/>
      <c r="AH930" s="41"/>
      <c r="AI930" s="41"/>
      <c r="AJ930" s="41"/>
      <c r="AK930" s="41"/>
      <c r="AL930" s="41"/>
      <c r="AM930" s="41"/>
      <c r="AN930" s="41"/>
      <c r="AO930" s="41"/>
      <c r="AP930" s="41"/>
      <c r="AQ930" s="41"/>
      <c r="AR930" s="41"/>
      <c r="AS930" s="41"/>
      <c r="AT930" s="41"/>
      <c r="AU930" s="41"/>
      <c r="AV930" s="41"/>
      <c r="AW930" s="41"/>
      <c r="AX930" s="41"/>
      <c r="AY930" s="41"/>
      <c r="AZ930" s="41"/>
      <c r="BA930" s="41"/>
      <c r="BB930" s="41"/>
      <c r="BC930" s="41"/>
      <c r="BD930" s="41"/>
      <c r="BE930" s="41"/>
      <c r="BF930" s="41"/>
      <c r="BG930" s="41"/>
      <c r="BH930" s="41"/>
      <c r="BJ930" s="41"/>
      <c r="BK930" s="41"/>
      <c r="BL930" s="41"/>
      <c r="BM930" s="41"/>
      <c r="BN930" s="41"/>
      <c r="BO930" s="41"/>
      <c r="BP930" s="41"/>
      <c r="BQ930" s="41"/>
      <c r="BR930" s="41"/>
      <c r="BS930" s="41"/>
      <c r="BT930" s="41"/>
      <c r="BU930" s="41"/>
      <c r="BV930" s="41"/>
      <c r="BW930" s="41"/>
      <c r="BX930" s="41"/>
      <c r="BY930" s="41"/>
      <c r="BZ930" s="41"/>
      <c r="CA930" s="41"/>
      <c r="CB930" s="41"/>
      <c r="CC930" s="41"/>
      <c r="CD930" s="41"/>
      <c r="CE930" s="41"/>
      <c r="CF930" s="41"/>
      <c r="CG930" s="41"/>
      <c r="CH930" s="41"/>
      <c r="CI930" s="41"/>
      <c r="CJ930" s="41"/>
      <c r="CK930" s="41"/>
      <c r="CL930" s="41"/>
      <c r="CM930" s="41"/>
      <c r="CN930" s="92">
        <v>0.25</v>
      </c>
      <c r="CO930" s="41"/>
      <c r="CP930" s="41"/>
      <c r="CQ930" s="41"/>
      <c r="CR930" s="41"/>
      <c r="CS930" s="41"/>
      <c r="CT930" s="41"/>
      <c r="CU930" s="41"/>
      <c r="CV930" s="41"/>
      <c r="CW930" s="41"/>
      <c r="CX930" s="41"/>
      <c r="CY930" s="41"/>
      <c r="CZ930" s="41"/>
      <c r="DA930" s="41"/>
      <c r="DB930" s="92">
        <v>0.25</v>
      </c>
      <c r="DC930" s="92">
        <v>0.25</v>
      </c>
      <c r="DD930" s="41"/>
      <c r="DE930" s="41"/>
      <c r="DF930" s="41"/>
      <c r="DG930" s="41"/>
      <c r="DH930" s="41"/>
      <c r="DI930" s="41"/>
      <c r="DJ930" s="92">
        <v>0.25</v>
      </c>
      <c r="DK930" s="41"/>
      <c r="DL930" s="41"/>
      <c r="DM930" s="41"/>
      <c r="DN930" s="41"/>
      <c r="DO930" s="41"/>
      <c r="DP930" s="41"/>
      <c r="DQ930" s="41"/>
      <c r="DR930" s="41"/>
      <c r="DS930" s="43"/>
      <c r="DT930" s="44">
        <f t="shared" ref="DT930" si="912">SUM(F930:DR930)</f>
        <v>1</v>
      </c>
    </row>
    <row r="931" spans="2:124" s="13" customFormat="1">
      <c r="B931" s="4">
        <f>'6.1Personnel List'!B932</f>
        <v>919</v>
      </c>
      <c r="C931" s="45" t="s">
        <v>1144</v>
      </c>
      <c r="D931" s="45" t="str">
        <f>'6.1Personnel List'!D932</f>
        <v>Nurse II</v>
      </c>
      <c r="E931" s="45" t="str">
        <f>'6.1Personnel List'!H932</f>
        <v>FT</v>
      </c>
      <c r="G931" s="41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  <c r="AA931" s="41"/>
      <c r="AB931" s="41"/>
      <c r="AC931" s="41"/>
      <c r="AD931" s="41"/>
      <c r="AE931" s="41"/>
      <c r="AF931" s="41"/>
      <c r="AG931" s="41"/>
      <c r="AH931" s="41"/>
      <c r="AI931" s="41"/>
      <c r="AJ931" s="41"/>
      <c r="AK931" s="41"/>
      <c r="AL931" s="41"/>
      <c r="AM931" s="41"/>
      <c r="AN931" s="41"/>
      <c r="AO931" s="41"/>
      <c r="AP931" s="41"/>
      <c r="AQ931" s="41"/>
      <c r="AR931" s="41"/>
      <c r="AS931" s="41"/>
      <c r="AT931" s="41"/>
      <c r="AU931" s="41"/>
      <c r="AV931" s="41"/>
      <c r="AW931" s="41"/>
      <c r="AX931" s="41"/>
      <c r="AY931" s="41"/>
      <c r="AZ931" s="41"/>
      <c r="BA931" s="41"/>
      <c r="BB931" s="41"/>
      <c r="BC931" s="41"/>
      <c r="BD931" s="41"/>
      <c r="BE931" s="41"/>
      <c r="BF931" s="41"/>
      <c r="BG931" s="41"/>
      <c r="BH931" s="41"/>
      <c r="BJ931" s="41"/>
      <c r="BK931" s="41"/>
      <c r="BL931" s="41"/>
      <c r="BM931" s="41"/>
      <c r="BN931" s="41"/>
      <c r="BO931" s="41"/>
      <c r="BP931" s="41"/>
      <c r="BQ931" s="41"/>
      <c r="BR931" s="41"/>
      <c r="BS931" s="41">
        <v>0.05</v>
      </c>
      <c r="BT931" s="41"/>
      <c r="BU931" s="41"/>
      <c r="BV931" s="41">
        <v>0.05</v>
      </c>
      <c r="BW931" s="41">
        <v>0.05</v>
      </c>
      <c r="BX931" s="41"/>
      <c r="BY931" s="41"/>
      <c r="BZ931" s="41"/>
      <c r="CA931" s="41"/>
      <c r="CB931" s="41"/>
      <c r="CC931" s="41"/>
      <c r="CD931" s="41"/>
      <c r="CE931" s="41">
        <v>0.1</v>
      </c>
      <c r="CF931" s="41">
        <v>0.05</v>
      </c>
      <c r="CG931" s="41">
        <v>0.05</v>
      </c>
      <c r="CH931" s="41">
        <v>0.05</v>
      </c>
      <c r="CI931" s="41"/>
      <c r="CJ931" s="41">
        <v>0.05</v>
      </c>
      <c r="CK931" s="41"/>
      <c r="CL931" s="41">
        <v>0.2</v>
      </c>
      <c r="CM931" s="41"/>
      <c r="CN931" s="41"/>
      <c r="CO931" s="41"/>
      <c r="CP931" s="41">
        <v>0.25</v>
      </c>
      <c r="CQ931" s="41"/>
      <c r="CR931" s="41"/>
      <c r="CS931" s="41"/>
      <c r="CT931" s="41"/>
      <c r="CU931" s="41">
        <v>0.05</v>
      </c>
      <c r="CV931" s="41"/>
      <c r="CW931" s="41"/>
      <c r="CX931" s="41"/>
      <c r="CY931" s="41"/>
      <c r="CZ931" s="41"/>
      <c r="DA931" s="41"/>
      <c r="DB931" s="41"/>
      <c r="DC931" s="41"/>
      <c r="DD931" s="41">
        <v>0.05</v>
      </c>
      <c r="DE931" s="41"/>
      <c r="DF931" s="41"/>
      <c r="DG931" s="41"/>
      <c r="DH931" s="41"/>
      <c r="DI931" s="41"/>
      <c r="DJ931" s="41"/>
      <c r="DK931" s="41"/>
      <c r="DL931" s="41"/>
      <c r="DM931" s="41"/>
      <c r="DN931" s="41"/>
      <c r="DO931" s="41"/>
      <c r="DP931" s="41"/>
      <c r="DQ931" s="41"/>
      <c r="DR931" s="41"/>
      <c r="DS931" s="43"/>
      <c r="DT931" s="44">
        <f t="shared" ref="DT931" si="913">SUM(F931:DR931)</f>
        <v>1</v>
      </c>
    </row>
    <row r="932" spans="2:124" s="13" customFormat="1">
      <c r="B932" s="4">
        <f>'6.1Personnel List'!B933</f>
        <v>920</v>
      </c>
      <c r="C932" s="45" t="s">
        <v>1145</v>
      </c>
      <c r="D932" s="45" t="str">
        <f>'6.1Personnel List'!D933</f>
        <v>Nurse II</v>
      </c>
      <c r="E932" s="45" t="str">
        <f>'6.1Personnel List'!H933</f>
        <v>FT</v>
      </c>
      <c r="G932" s="41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  <c r="AA932" s="41"/>
      <c r="AB932" s="41"/>
      <c r="AC932" s="41"/>
      <c r="AD932" s="41"/>
      <c r="AE932" s="41"/>
      <c r="AF932" s="41"/>
      <c r="AG932" s="41"/>
      <c r="AH932" s="41"/>
      <c r="AI932" s="41"/>
      <c r="AJ932" s="41"/>
      <c r="AK932" s="41"/>
      <c r="AL932" s="41"/>
      <c r="AM932" s="41"/>
      <c r="AN932" s="41"/>
      <c r="AO932" s="41"/>
      <c r="AP932" s="41"/>
      <c r="AQ932" s="41"/>
      <c r="AR932" s="41"/>
      <c r="AS932" s="41"/>
      <c r="AT932" s="41"/>
      <c r="AU932" s="41"/>
      <c r="AV932" s="41"/>
      <c r="AW932" s="41"/>
      <c r="AX932" s="41"/>
      <c r="AY932" s="41"/>
      <c r="AZ932" s="41"/>
      <c r="BA932" s="41"/>
      <c r="BB932" s="41"/>
      <c r="BC932" s="41"/>
      <c r="BD932" s="41"/>
      <c r="BE932" s="41"/>
      <c r="BF932" s="41"/>
      <c r="BG932" s="41"/>
      <c r="BH932" s="41"/>
      <c r="BJ932" s="41"/>
      <c r="BK932" s="41"/>
      <c r="BL932" s="41"/>
      <c r="BM932" s="41"/>
      <c r="BN932" s="41"/>
      <c r="BO932" s="41"/>
      <c r="BP932" s="41"/>
      <c r="BQ932" s="41"/>
      <c r="BR932" s="41"/>
      <c r="BS932" s="41"/>
      <c r="BT932" s="41"/>
      <c r="BU932" s="41"/>
      <c r="BV932" s="41">
        <v>0.05</v>
      </c>
      <c r="BW932" s="41"/>
      <c r="BX932" s="41"/>
      <c r="BY932" s="41"/>
      <c r="BZ932" s="41"/>
      <c r="CA932" s="41"/>
      <c r="CB932" s="41">
        <v>0.05</v>
      </c>
      <c r="CC932" s="41"/>
      <c r="CD932" s="41"/>
      <c r="CE932" s="41">
        <v>0.05</v>
      </c>
      <c r="CF932" s="41">
        <v>0.02</v>
      </c>
      <c r="CG932" s="41">
        <v>0.03</v>
      </c>
      <c r="CH932" s="41"/>
      <c r="CI932" s="41"/>
      <c r="CJ932" s="41"/>
      <c r="CK932" s="41"/>
      <c r="CL932" s="41">
        <v>0.8</v>
      </c>
      <c r="CM932" s="41"/>
      <c r="CN932" s="41"/>
      <c r="CO932" s="41"/>
      <c r="CP932" s="41"/>
      <c r="CQ932" s="41"/>
      <c r="CR932" s="41"/>
      <c r="CS932" s="41"/>
      <c r="CT932" s="41"/>
      <c r="CU932" s="41"/>
      <c r="CV932" s="41"/>
      <c r="CW932" s="41"/>
      <c r="CX932" s="41"/>
      <c r="CY932" s="41"/>
      <c r="CZ932" s="41"/>
      <c r="DA932" s="41"/>
      <c r="DB932" s="41"/>
      <c r="DC932" s="41"/>
      <c r="DD932" s="41"/>
      <c r="DE932" s="41"/>
      <c r="DF932" s="41"/>
      <c r="DG932" s="41"/>
      <c r="DH932" s="41"/>
      <c r="DI932" s="41"/>
      <c r="DJ932" s="41"/>
      <c r="DK932" s="41"/>
      <c r="DL932" s="41"/>
      <c r="DM932" s="41"/>
      <c r="DN932" s="41"/>
      <c r="DO932" s="41"/>
      <c r="DP932" s="41"/>
      <c r="DQ932" s="41"/>
      <c r="DR932" s="41"/>
      <c r="DS932" s="43"/>
      <c r="DT932" s="44">
        <f t="shared" ref="DT932" si="914">SUM(F932:DR932)</f>
        <v>1</v>
      </c>
    </row>
    <row r="933" spans="2:124" s="13" customFormat="1">
      <c r="B933" s="4">
        <f>'6.1Personnel List'!B934</f>
        <v>921</v>
      </c>
      <c r="C933" s="45" t="s">
        <v>1146</v>
      </c>
      <c r="D933" s="45" t="str">
        <f>'6.1Personnel List'!D934</f>
        <v>Nurse II</v>
      </c>
      <c r="E933" s="45" t="str">
        <f>'6.1Personnel List'!H934</f>
        <v>FT</v>
      </c>
      <c r="G933" s="41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  <c r="AA933" s="41"/>
      <c r="AB933" s="41"/>
      <c r="AC933" s="41"/>
      <c r="AD933" s="41"/>
      <c r="AE933" s="41"/>
      <c r="AF933" s="41"/>
      <c r="AG933" s="41"/>
      <c r="AH933" s="41"/>
      <c r="AI933" s="41"/>
      <c r="AJ933" s="41"/>
      <c r="AK933" s="41"/>
      <c r="AL933" s="41"/>
      <c r="AM933" s="41"/>
      <c r="AN933" s="41"/>
      <c r="AO933" s="41"/>
      <c r="AP933" s="41"/>
      <c r="AQ933" s="41"/>
      <c r="AR933" s="41"/>
      <c r="AS933" s="41"/>
      <c r="AT933" s="41"/>
      <c r="AU933" s="41"/>
      <c r="AV933" s="41"/>
      <c r="AW933" s="41"/>
      <c r="AX933" s="41"/>
      <c r="AY933" s="41"/>
      <c r="AZ933" s="41"/>
      <c r="BA933" s="41"/>
      <c r="BB933" s="41"/>
      <c r="BC933" s="41"/>
      <c r="BD933" s="41"/>
      <c r="BE933" s="41"/>
      <c r="BF933" s="41"/>
      <c r="BG933" s="41"/>
      <c r="BH933" s="41"/>
      <c r="BJ933" s="41"/>
      <c r="BK933" s="41"/>
      <c r="BL933" s="41"/>
      <c r="BM933" s="41"/>
      <c r="BN933" s="41"/>
      <c r="BO933" s="41"/>
      <c r="BP933" s="41"/>
      <c r="BQ933" s="41"/>
      <c r="BR933" s="41"/>
      <c r="BS933" s="41"/>
      <c r="BT933" s="41"/>
      <c r="BU933" s="41"/>
      <c r="BV933" s="41"/>
      <c r="BW933" s="41"/>
      <c r="BX933" s="41"/>
      <c r="BY933" s="41"/>
      <c r="BZ933" s="41"/>
      <c r="CA933" s="41"/>
      <c r="CB933" s="41">
        <v>0.01</v>
      </c>
      <c r="CC933" s="41"/>
      <c r="CD933" s="41"/>
      <c r="CE933" s="41">
        <v>0.02</v>
      </c>
      <c r="CF933" s="41">
        <v>0.02</v>
      </c>
      <c r="CG933" s="41">
        <v>0.1</v>
      </c>
      <c r="CH933" s="41">
        <v>0.1</v>
      </c>
      <c r="CI933" s="41">
        <v>0.02</v>
      </c>
      <c r="CJ933" s="41"/>
      <c r="CK933" s="41">
        <v>0.01</v>
      </c>
      <c r="CL933" s="41">
        <v>0.05</v>
      </c>
      <c r="CM933" s="41"/>
      <c r="CN933" s="41">
        <v>0.05</v>
      </c>
      <c r="CO933" s="41">
        <v>0.05</v>
      </c>
      <c r="CP933" s="41">
        <v>0.05</v>
      </c>
      <c r="CQ933" s="41">
        <v>0.05</v>
      </c>
      <c r="CR933" s="41">
        <v>0.02</v>
      </c>
      <c r="CS933" s="41">
        <v>0.01</v>
      </c>
      <c r="CT933" s="41"/>
      <c r="CU933" s="41"/>
      <c r="CV933" s="41">
        <v>0.02</v>
      </c>
      <c r="CW933" s="41"/>
      <c r="CX933" s="41"/>
      <c r="CY933" s="41"/>
      <c r="CZ933" s="41"/>
      <c r="DA933" s="41"/>
      <c r="DB933" s="41"/>
      <c r="DC933" s="41"/>
      <c r="DD933" s="41">
        <v>0.12</v>
      </c>
      <c r="DE933" s="41"/>
      <c r="DF933" s="41"/>
      <c r="DG933" s="41"/>
      <c r="DH933" s="41"/>
      <c r="DI933" s="41"/>
      <c r="DJ933" s="41">
        <v>0.05</v>
      </c>
      <c r="DK933" s="41">
        <v>0.05</v>
      </c>
      <c r="DL933" s="41">
        <v>0.05</v>
      </c>
      <c r="DM933" s="41">
        <v>0.05</v>
      </c>
      <c r="DN933" s="41"/>
      <c r="DO933" s="41"/>
      <c r="DP933" s="41">
        <v>0.05</v>
      </c>
      <c r="DQ933" s="41"/>
      <c r="DR933" s="41">
        <v>0.05</v>
      </c>
      <c r="DS933" s="43"/>
      <c r="DT933" s="44">
        <f t="shared" ref="DT933" si="915">SUM(F933:DR933)</f>
        <v>1.0000000000000002</v>
      </c>
    </row>
    <row r="934" spans="2:124" s="13" customFormat="1">
      <c r="B934" s="4">
        <f>'6.1Personnel List'!B935</f>
        <v>922</v>
      </c>
      <c r="C934" s="45" t="s">
        <v>1147</v>
      </c>
      <c r="D934" s="45" t="str">
        <f>'6.1Personnel List'!D935</f>
        <v>Nurse II</v>
      </c>
      <c r="E934" s="45" t="str">
        <f>'6.1Personnel List'!H935</f>
        <v>FT</v>
      </c>
      <c r="G934" s="41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  <c r="AA934" s="41"/>
      <c r="AB934" s="41"/>
      <c r="AC934" s="41"/>
      <c r="AD934" s="41"/>
      <c r="AE934" s="41"/>
      <c r="AF934" s="41"/>
      <c r="AG934" s="41"/>
      <c r="AH934" s="41"/>
      <c r="AI934" s="41"/>
      <c r="AJ934" s="41"/>
      <c r="AK934" s="41"/>
      <c r="AL934" s="41"/>
      <c r="AM934" s="41"/>
      <c r="AN934" s="41"/>
      <c r="AO934" s="41"/>
      <c r="AP934" s="41"/>
      <c r="AQ934" s="41"/>
      <c r="AR934" s="41"/>
      <c r="AS934" s="41"/>
      <c r="AT934" s="41"/>
      <c r="AU934" s="41"/>
      <c r="AV934" s="41"/>
      <c r="AW934" s="41"/>
      <c r="AX934" s="41"/>
      <c r="AY934" s="41"/>
      <c r="AZ934" s="41"/>
      <c r="BA934" s="41"/>
      <c r="BB934" s="41"/>
      <c r="BC934" s="41"/>
      <c r="BD934" s="41"/>
      <c r="BE934" s="41"/>
      <c r="BF934" s="41"/>
      <c r="BG934" s="41"/>
      <c r="BH934" s="41"/>
      <c r="BJ934" s="41"/>
      <c r="BK934" s="94"/>
      <c r="BL934" s="94"/>
      <c r="BM934" s="94"/>
      <c r="BN934" s="94"/>
      <c r="BO934" s="94"/>
      <c r="BP934" s="94"/>
      <c r="BQ934" s="94"/>
      <c r="BR934" s="94"/>
      <c r="BS934" s="94"/>
      <c r="BT934" s="94"/>
      <c r="BU934" s="94"/>
      <c r="BV934" s="94"/>
      <c r="BW934" s="94"/>
      <c r="BX934" s="94"/>
      <c r="BY934" s="94"/>
      <c r="BZ934" s="94"/>
      <c r="CA934" s="94"/>
      <c r="CB934" s="94"/>
      <c r="CC934" s="94"/>
      <c r="CD934" s="94"/>
      <c r="CE934" s="94"/>
      <c r="CF934" s="94"/>
      <c r="CG934" s="94"/>
      <c r="CH934" s="94"/>
      <c r="CI934" s="94"/>
      <c r="CJ934" s="94"/>
      <c r="CK934" s="94"/>
      <c r="CL934" s="94"/>
      <c r="CM934" s="94"/>
      <c r="CN934" s="94"/>
      <c r="CO934" s="94"/>
      <c r="CP934" s="94"/>
      <c r="CQ934" s="94"/>
      <c r="CR934" s="94"/>
      <c r="CS934" s="94"/>
      <c r="CT934" s="94"/>
      <c r="CU934" s="94"/>
      <c r="CV934" s="94"/>
      <c r="CW934" s="94"/>
      <c r="CX934" s="94"/>
      <c r="CY934" s="94"/>
      <c r="CZ934" s="94"/>
      <c r="DA934" s="94"/>
      <c r="DB934" s="94"/>
      <c r="DC934" s="94"/>
      <c r="DD934" s="94"/>
      <c r="DE934" s="94"/>
      <c r="DF934" s="94"/>
      <c r="DG934" s="94"/>
      <c r="DH934" s="94"/>
      <c r="DI934" s="94"/>
      <c r="DJ934" s="94"/>
      <c r="DK934" s="41"/>
      <c r="DL934" s="41"/>
      <c r="DM934" s="41">
        <v>1</v>
      </c>
      <c r="DN934" s="41"/>
      <c r="DO934" s="41"/>
      <c r="DP934" s="41"/>
      <c r="DQ934" s="41"/>
      <c r="DR934" s="41"/>
      <c r="DS934" s="43"/>
      <c r="DT934" s="44">
        <f t="shared" ref="DT934" si="916">SUM(F934:DR934)</f>
        <v>1</v>
      </c>
    </row>
    <row r="935" spans="2:124" s="13" customFormat="1">
      <c r="B935" s="4">
        <f>'6.1Personnel List'!B936</f>
        <v>923</v>
      </c>
      <c r="C935" s="45" t="s">
        <v>1148</v>
      </c>
      <c r="D935" s="45" t="str">
        <f>'6.1Personnel List'!D936</f>
        <v>Nurse II</v>
      </c>
      <c r="E935" s="45" t="str">
        <f>'6.1Personnel List'!H936</f>
        <v>FT</v>
      </c>
      <c r="G935" s="41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  <c r="AA935" s="41"/>
      <c r="AB935" s="41"/>
      <c r="AC935" s="41"/>
      <c r="AD935" s="41"/>
      <c r="AE935" s="41"/>
      <c r="AF935" s="41"/>
      <c r="AG935" s="41"/>
      <c r="AH935" s="41"/>
      <c r="AI935" s="41"/>
      <c r="AJ935" s="41"/>
      <c r="AK935" s="41"/>
      <c r="AL935" s="41"/>
      <c r="AM935" s="41"/>
      <c r="AN935" s="41"/>
      <c r="AO935" s="41"/>
      <c r="AP935" s="41"/>
      <c r="AQ935" s="41"/>
      <c r="AR935" s="41"/>
      <c r="AS935" s="41"/>
      <c r="AT935" s="41"/>
      <c r="AU935" s="41"/>
      <c r="AV935" s="41"/>
      <c r="AW935" s="41"/>
      <c r="AX935" s="41"/>
      <c r="AY935" s="41"/>
      <c r="AZ935" s="41"/>
      <c r="BA935" s="41"/>
      <c r="BB935" s="41"/>
      <c r="BC935" s="41"/>
      <c r="BD935" s="41"/>
      <c r="BE935" s="41"/>
      <c r="BF935" s="41"/>
      <c r="BG935" s="41"/>
      <c r="BH935" s="41"/>
      <c r="BJ935" s="41"/>
      <c r="BK935" s="41"/>
      <c r="BL935" s="41"/>
      <c r="BM935" s="41"/>
      <c r="BN935" s="41"/>
      <c r="BO935" s="41"/>
      <c r="BP935" s="41"/>
      <c r="BQ935" s="41"/>
      <c r="BR935" s="41"/>
      <c r="BS935" s="41"/>
      <c r="BT935" s="41"/>
      <c r="BU935" s="41"/>
      <c r="BV935" s="41"/>
      <c r="BW935" s="41"/>
      <c r="BX935" s="41"/>
      <c r="BY935" s="41"/>
      <c r="BZ935" s="41"/>
      <c r="CA935" s="41"/>
      <c r="CB935" s="41"/>
      <c r="CC935" s="41"/>
      <c r="CD935" s="41"/>
      <c r="CE935" s="41"/>
      <c r="CF935" s="41"/>
      <c r="CG935" s="41"/>
      <c r="CH935" s="41"/>
      <c r="CI935" s="41"/>
      <c r="CJ935" s="41"/>
      <c r="CK935" s="41"/>
      <c r="CL935" s="41"/>
      <c r="CM935" s="41"/>
      <c r="CN935" s="92">
        <v>0.25</v>
      </c>
      <c r="CO935" s="41"/>
      <c r="CP935" s="41"/>
      <c r="CQ935" s="41"/>
      <c r="CR935" s="41"/>
      <c r="CS935" s="41"/>
      <c r="CT935" s="41"/>
      <c r="CU935" s="41"/>
      <c r="CV935" s="41"/>
      <c r="CW935" s="41"/>
      <c r="CX935" s="41"/>
      <c r="CY935" s="41"/>
      <c r="CZ935" s="41"/>
      <c r="DA935" s="41"/>
      <c r="DB935" s="92">
        <v>0.25</v>
      </c>
      <c r="DC935" s="92">
        <v>0.25</v>
      </c>
      <c r="DD935" s="41"/>
      <c r="DE935" s="41"/>
      <c r="DF935" s="41"/>
      <c r="DG935" s="41"/>
      <c r="DH935" s="41"/>
      <c r="DI935" s="41"/>
      <c r="DJ935" s="92">
        <v>0.25</v>
      </c>
      <c r="DK935" s="41"/>
      <c r="DL935" s="41"/>
      <c r="DM935" s="41"/>
      <c r="DN935" s="41"/>
      <c r="DO935" s="41"/>
      <c r="DP935" s="41"/>
      <c r="DQ935" s="41"/>
      <c r="DR935" s="41"/>
      <c r="DS935" s="43"/>
      <c r="DT935" s="44">
        <f t="shared" ref="DT935" si="917">SUM(F935:DR935)</f>
        <v>1</v>
      </c>
    </row>
    <row r="936" spans="2:124" s="13" customFormat="1">
      <c r="B936" s="4">
        <f>'6.1Personnel List'!B937</f>
        <v>924</v>
      </c>
      <c r="C936" s="45" t="s">
        <v>1149</v>
      </c>
      <c r="D936" s="45" t="str">
        <f>'6.1Personnel List'!D937</f>
        <v>Nurse II</v>
      </c>
      <c r="E936" s="45" t="str">
        <f>'6.1Personnel List'!H937</f>
        <v>FT</v>
      </c>
      <c r="G936" s="41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  <c r="AA936" s="41"/>
      <c r="AB936" s="41"/>
      <c r="AC936" s="41"/>
      <c r="AD936" s="41"/>
      <c r="AE936" s="41"/>
      <c r="AF936" s="41"/>
      <c r="AG936" s="41"/>
      <c r="AH936" s="41"/>
      <c r="AI936" s="41"/>
      <c r="AJ936" s="41"/>
      <c r="AK936" s="41"/>
      <c r="AL936" s="41"/>
      <c r="AM936" s="41"/>
      <c r="AN936" s="41"/>
      <c r="AO936" s="41"/>
      <c r="AP936" s="41"/>
      <c r="AQ936" s="41"/>
      <c r="AR936" s="41"/>
      <c r="AS936" s="41"/>
      <c r="AT936" s="41"/>
      <c r="AU936" s="41"/>
      <c r="AV936" s="41"/>
      <c r="AW936" s="41"/>
      <c r="AX936" s="41"/>
      <c r="AY936" s="41"/>
      <c r="AZ936" s="41"/>
      <c r="BA936" s="41"/>
      <c r="BB936" s="41"/>
      <c r="BC936" s="41"/>
      <c r="BD936" s="41"/>
      <c r="BE936" s="41"/>
      <c r="BF936" s="41"/>
      <c r="BG936" s="41"/>
      <c r="BH936" s="41"/>
      <c r="BJ936" s="41"/>
      <c r="BK936" s="41"/>
      <c r="BL936" s="41"/>
      <c r="BM936" s="41"/>
      <c r="BN936" s="41"/>
      <c r="BO936" s="41"/>
      <c r="BP936" s="41"/>
      <c r="BQ936" s="41"/>
      <c r="BR936" s="41"/>
      <c r="BS936" s="41"/>
      <c r="BT936" s="41"/>
      <c r="BU936" s="41"/>
      <c r="BV936" s="41">
        <v>0.05</v>
      </c>
      <c r="BW936" s="41"/>
      <c r="BX936" s="41"/>
      <c r="BY936" s="41"/>
      <c r="BZ936" s="41"/>
      <c r="CA936" s="41"/>
      <c r="CB936" s="41">
        <v>0.05</v>
      </c>
      <c r="CC936" s="41"/>
      <c r="CD936" s="41"/>
      <c r="CE936" s="41">
        <v>0.05</v>
      </c>
      <c r="CF936" s="41">
        <v>0.05</v>
      </c>
      <c r="CG936" s="41"/>
      <c r="CH936" s="41"/>
      <c r="CI936" s="41"/>
      <c r="CJ936" s="41"/>
      <c r="CK936" s="41"/>
      <c r="CL936" s="41">
        <v>0.8</v>
      </c>
      <c r="CM936" s="41"/>
      <c r="CN936" s="41"/>
      <c r="CO936" s="41"/>
      <c r="CP936" s="41"/>
      <c r="CQ936" s="41"/>
      <c r="CR936" s="41"/>
      <c r="CS936" s="41"/>
      <c r="CT936" s="41"/>
      <c r="CU936" s="41"/>
      <c r="CV936" s="41"/>
      <c r="CW936" s="41"/>
      <c r="CX936" s="41"/>
      <c r="CY936" s="41"/>
      <c r="CZ936" s="41"/>
      <c r="DA936" s="41"/>
      <c r="DB936" s="41"/>
      <c r="DC936" s="41"/>
      <c r="DD936" s="41"/>
      <c r="DE936" s="41"/>
      <c r="DF936" s="41"/>
      <c r="DG936" s="41"/>
      <c r="DH936" s="41"/>
      <c r="DI936" s="41"/>
      <c r="DJ936" s="41"/>
      <c r="DK936" s="41"/>
      <c r="DL936" s="41"/>
      <c r="DM936" s="41"/>
      <c r="DN936" s="41"/>
      <c r="DO936" s="41"/>
      <c r="DP936" s="41"/>
      <c r="DQ936" s="41"/>
      <c r="DR936" s="41"/>
      <c r="DS936" s="43"/>
      <c r="DT936" s="44">
        <f t="shared" ref="DT936" si="918">SUM(F936:DR936)</f>
        <v>1</v>
      </c>
    </row>
    <row r="937" spans="2:124" s="13" customFormat="1">
      <c r="B937" s="4">
        <f>'6.1Personnel List'!B938</f>
        <v>925</v>
      </c>
      <c r="C937" s="45" t="s">
        <v>1150</v>
      </c>
      <c r="D937" s="45" t="str">
        <f>'6.1Personnel List'!D938</f>
        <v>Nurse II</v>
      </c>
      <c r="E937" s="45" t="str">
        <f>'6.1Personnel List'!H938</f>
        <v>FT</v>
      </c>
      <c r="G937" s="41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  <c r="AA937" s="41"/>
      <c r="AB937" s="41"/>
      <c r="AC937" s="41"/>
      <c r="AD937" s="41"/>
      <c r="AE937" s="41"/>
      <c r="AF937" s="41"/>
      <c r="AG937" s="41"/>
      <c r="AH937" s="41"/>
      <c r="AI937" s="41"/>
      <c r="AJ937" s="41"/>
      <c r="AK937" s="41"/>
      <c r="AL937" s="41"/>
      <c r="AM937" s="41"/>
      <c r="AN937" s="41"/>
      <c r="AO937" s="41"/>
      <c r="AP937" s="41"/>
      <c r="AQ937" s="41"/>
      <c r="AR937" s="41"/>
      <c r="AS937" s="41"/>
      <c r="AT937" s="41"/>
      <c r="AU937" s="41"/>
      <c r="AV937" s="41"/>
      <c r="AW937" s="41"/>
      <c r="AX937" s="41"/>
      <c r="AY937" s="41"/>
      <c r="AZ937" s="41"/>
      <c r="BA937" s="41"/>
      <c r="BB937" s="41"/>
      <c r="BC937" s="41"/>
      <c r="BD937" s="41"/>
      <c r="BE937" s="41"/>
      <c r="BF937" s="41"/>
      <c r="BG937" s="41"/>
      <c r="BH937" s="41"/>
      <c r="BJ937" s="41"/>
      <c r="BK937" s="41"/>
      <c r="BL937" s="41"/>
      <c r="BM937" s="41"/>
      <c r="BN937" s="41"/>
      <c r="BO937" s="41"/>
      <c r="BP937" s="41"/>
      <c r="BQ937" s="41"/>
      <c r="BR937" s="41"/>
      <c r="BS937" s="41"/>
      <c r="BT937" s="41"/>
      <c r="BU937" s="41"/>
      <c r="BV937" s="41">
        <v>0.05</v>
      </c>
      <c r="BW937" s="41"/>
      <c r="BX937" s="41"/>
      <c r="BY937" s="41"/>
      <c r="BZ937" s="41"/>
      <c r="CA937" s="41"/>
      <c r="CB937" s="41">
        <v>0.05</v>
      </c>
      <c r="CC937" s="41"/>
      <c r="CD937" s="41"/>
      <c r="CE937" s="41">
        <v>0.05</v>
      </c>
      <c r="CF937" s="41">
        <v>0.05</v>
      </c>
      <c r="CG937" s="41"/>
      <c r="CH937" s="41"/>
      <c r="CI937" s="41"/>
      <c r="CJ937" s="41"/>
      <c r="CK937" s="41"/>
      <c r="CL937" s="41">
        <v>0.8</v>
      </c>
      <c r="CM937" s="41"/>
      <c r="CN937" s="41"/>
      <c r="CO937" s="41"/>
      <c r="CP937" s="41"/>
      <c r="CQ937" s="41"/>
      <c r="CR937" s="41"/>
      <c r="CS937" s="41"/>
      <c r="CT937" s="41"/>
      <c r="CU937" s="41"/>
      <c r="CV937" s="41"/>
      <c r="CW937" s="41"/>
      <c r="CX937" s="41"/>
      <c r="CY937" s="41"/>
      <c r="CZ937" s="41"/>
      <c r="DA937" s="41"/>
      <c r="DB937" s="41"/>
      <c r="DC937" s="41"/>
      <c r="DD937" s="41"/>
      <c r="DE937" s="41"/>
      <c r="DF937" s="41"/>
      <c r="DG937" s="41"/>
      <c r="DH937" s="41"/>
      <c r="DI937" s="41"/>
      <c r="DJ937" s="41"/>
      <c r="DK937" s="41"/>
      <c r="DL937" s="41"/>
      <c r="DM937" s="41"/>
      <c r="DN937" s="41"/>
      <c r="DO937" s="41"/>
      <c r="DP937" s="41"/>
      <c r="DQ937" s="41"/>
      <c r="DR937" s="41"/>
      <c r="DS937" s="43"/>
      <c r="DT937" s="44">
        <f t="shared" ref="DT937" si="919">SUM(F937:DR937)</f>
        <v>1</v>
      </c>
    </row>
    <row r="938" spans="2:124" s="13" customFormat="1">
      <c r="B938" s="4">
        <f>'6.1Personnel List'!B939</f>
        <v>926</v>
      </c>
      <c r="C938" s="45" t="s">
        <v>1151</v>
      </c>
      <c r="D938" s="45" t="str">
        <f>'6.1Personnel List'!D939</f>
        <v>Nurse II</v>
      </c>
      <c r="E938" s="45" t="str">
        <f>'6.1Personnel List'!H939</f>
        <v>FT</v>
      </c>
      <c r="G938" s="41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  <c r="AA938" s="41"/>
      <c r="AB938" s="41"/>
      <c r="AC938" s="41"/>
      <c r="AD938" s="41"/>
      <c r="AE938" s="41"/>
      <c r="AF938" s="41"/>
      <c r="AG938" s="41"/>
      <c r="AH938" s="41"/>
      <c r="AI938" s="41"/>
      <c r="AJ938" s="41"/>
      <c r="AK938" s="41"/>
      <c r="AL938" s="41"/>
      <c r="AM938" s="41"/>
      <c r="AN938" s="41"/>
      <c r="AO938" s="41"/>
      <c r="AP938" s="41"/>
      <c r="AQ938" s="41"/>
      <c r="AR938" s="41"/>
      <c r="AS938" s="41"/>
      <c r="AT938" s="41"/>
      <c r="AU938" s="41"/>
      <c r="AV938" s="41"/>
      <c r="AW938" s="41"/>
      <c r="AX938" s="41"/>
      <c r="AY938" s="41"/>
      <c r="AZ938" s="41"/>
      <c r="BA938" s="41"/>
      <c r="BB938" s="41"/>
      <c r="BC938" s="41"/>
      <c r="BD938" s="41"/>
      <c r="BE938" s="41"/>
      <c r="BF938" s="41"/>
      <c r="BG938" s="41"/>
      <c r="BH938" s="41"/>
      <c r="BJ938" s="41"/>
      <c r="BK938" s="94"/>
      <c r="BL938" s="94"/>
      <c r="BM938" s="94"/>
      <c r="BN938" s="94"/>
      <c r="BO938" s="94"/>
      <c r="BP938" s="94"/>
      <c r="BQ938" s="94"/>
      <c r="BR938" s="94"/>
      <c r="BS938" s="94"/>
      <c r="BT938" s="94"/>
      <c r="BU938" s="94"/>
      <c r="BV938" s="94"/>
      <c r="BW938" s="94"/>
      <c r="BX938" s="94"/>
      <c r="BY938" s="94"/>
      <c r="BZ938" s="94"/>
      <c r="CA938" s="94"/>
      <c r="CB938" s="94"/>
      <c r="CC938" s="94"/>
      <c r="CD938" s="94"/>
      <c r="CE938" s="94"/>
      <c r="CF938" s="94"/>
      <c r="CG938" s="94"/>
      <c r="CH938" s="94"/>
      <c r="CI938" s="94"/>
      <c r="CJ938" s="94"/>
      <c r="CK938" s="94"/>
      <c r="CL938" s="94"/>
      <c r="CM938" s="94"/>
      <c r="CN938" s="94">
        <v>1</v>
      </c>
      <c r="CO938" s="94"/>
      <c r="CP938" s="94"/>
      <c r="CQ938" s="94"/>
      <c r="CR938" s="94"/>
      <c r="CS938" s="94"/>
      <c r="CT938" s="94"/>
      <c r="CU938" s="94"/>
      <c r="CV938" s="94"/>
      <c r="CW938" s="94"/>
      <c r="CX938" s="94"/>
      <c r="CY938" s="94"/>
      <c r="CZ938" s="94"/>
      <c r="DA938" s="94"/>
      <c r="DB938" s="94"/>
      <c r="DC938" s="94"/>
      <c r="DD938" s="94"/>
      <c r="DE938" s="94"/>
      <c r="DF938" s="94"/>
      <c r="DG938" s="94"/>
      <c r="DH938" s="94"/>
      <c r="DI938" s="94"/>
      <c r="DJ938" s="94"/>
      <c r="DK938" s="41"/>
      <c r="DL938" s="41"/>
      <c r="DM938" s="41"/>
      <c r="DN938" s="41"/>
      <c r="DO938" s="41"/>
      <c r="DP938" s="41"/>
      <c r="DQ938" s="41"/>
      <c r="DR938" s="41"/>
      <c r="DS938" s="43"/>
      <c r="DT938" s="44">
        <f t="shared" ref="DT938" si="920">SUM(F938:DR938)</f>
        <v>1</v>
      </c>
    </row>
    <row r="939" spans="2:124" s="13" customFormat="1">
      <c r="B939" s="4">
        <f>'6.1Personnel List'!B940</f>
        <v>927</v>
      </c>
      <c r="C939" s="45" t="s">
        <v>1556</v>
      </c>
      <c r="D939" s="45" t="str">
        <f>'6.1Personnel List'!D940</f>
        <v>Nurse II</v>
      </c>
      <c r="E939" s="45" t="str">
        <f>'6.1Personnel List'!H940</f>
        <v>FT</v>
      </c>
      <c r="G939" s="41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  <c r="AA939" s="41"/>
      <c r="AB939" s="41"/>
      <c r="AC939" s="41"/>
      <c r="AD939" s="41"/>
      <c r="AE939" s="41"/>
      <c r="AF939" s="41"/>
      <c r="AG939" s="41"/>
      <c r="AH939" s="41"/>
      <c r="AI939" s="41"/>
      <c r="AJ939" s="41"/>
      <c r="AK939" s="41"/>
      <c r="AL939" s="41"/>
      <c r="AM939" s="41"/>
      <c r="AN939" s="41"/>
      <c r="AO939" s="41"/>
      <c r="AP939" s="41"/>
      <c r="AQ939" s="41"/>
      <c r="AR939" s="41"/>
      <c r="AS939" s="41"/>
      <c r="AT939" s="41"/>
      <c r="AU939" s="41"/>
      <c r="AV939" s="41"/>
      <c r="AW939" s="41"/>
      <c r="AX939" s="41"/>
      <c r="AY939" s="41"/>
      <c r="AZ939" s="41"/>
      <c r="BA939" s="41"/>
      <c r="BB939" s="41"/>
      <c r="BC939" s="41"/>
      <c r="BD939" s="41"/>
      <c r="BE939" s="41"/>
      <c r="BF939" s="41"/>
      <c r="BG939" s="41"/>
      <c r="BH939" s="41"/>
      <c r="BJ939" s="41"/>
      <c r="BK939" s="41"/>
      <c r="BL939" s="41"/>
      <c r="BM939" s="41"/>
      <c r="BN939" s="41"/>
      <c r="BO939" s="41"/>
      <c r="BP939" s="41"/>
      <c r="BQ939" s="41"/>
      <c r="BR939" s="41"/>
      <c r="BS939" s="41"/>
      <c r="BT939" s="41"/>
      <c r="BU939" s="41"/>
      <c r="BV939" s="41">
        <v>0.05</v>
      </c>
      <c r="BW939" s="41"/>
      <c r="BX939" s="41"/>
      <c r="BY939" s="41"/>
      <c r="BZ939" s="41"/>
      <c r="CA939" s="41"/>
      <c r="CB939" s="41">
        <v>0.05</v>
      </c>
      <c r="CC939" s="41"/>
      <c r="CD939" s="41"/>
      <c r="CE939" s="41">
        <v>0.05</v>
      </c>
      <c r="CF939" s="41">
        <v>0.05</v>
      </c>
      <c r="CG939" s="41"/>
      <c r="CH939" s="41"/>
      <c r="CI939" s="41"/>
      <c r="CJ939" s="41"/>
      <c r="CK939" s="41"/>
      <c r="CL939" s="41">
        <v>0.8</v>
      </c>
      <c r="CM939" s="41"/>
      <c r="CN939" s="41"/>
      <c r="CO939" s="41"/>
      <c r="CP939" s="41"/>
      <c r="CQ939" s="41"/>
      <c r="CR939" s="41"/>
      <c r="CS939" s="41"/>
      <c r="CT939" s="41"/>
      <c r="CU939" s="41"/>
      <c r="CV939" s="41"/>
      <c r="CW939" s="41"/>
      <c r="CX939" s="41"/>
      <c r="CY939" s="41"/>
      <c r="CZ939" s="41"/>
      <c r="DA939" s="41"/>
      <c r="DB939" s="41"/>
      <c r="DC939" s="41"/>
      <c r="DD939" s="41"/>
      <c r="DE939" s="41"/>
      <c r="DF939" s="41"/>
      <c r="DG939" s="41"/>
      <c r="DH939" s="41"/>
      <c r="DI939" s="41"/>
      <c r="DJ939" s="41"/>
      <c r="DK939" s="41"/>
      <c r="DL939" s="41"/>
      <c r="DM939" s="41"/>
      <c r="DN939" s="41"/>
      <c r="DO939" s="41"/>
      <c r="DP939" s="41"/>
      <c r="DQ939" s="41"/>
      <c r="DR939" s="41"/>
      <c r="DS939" s="43"/>
      <c r="DT939" s="44">
        <f t="shared" ref="DT939" si="921">SUM(F939:DR939)</f>
        <v>1</v>
      </c>
    </row>
    <row r="940" spans="2:124" s="13" customFormat="1">
      <c r="B940" s="4">
        <f>'6.1Personnel List'!B941</f>
        <v>928</v>
      </c>
      <c r="C940" s="45" t="s">
        <v>1152</v>
      </c>
      <c r="D940" s="45" t="str">
        <f>'6.1Personnel List'!D941</f>
        <v>Nurse II</v>
      </c>
      <c r="E940" s="45" t="str">
        <f>'6.1Personnel List'!H941</f>
        <v>FT</v>
      </c>
      <c r="G940" s="41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  <c r="AA940" s="41"/>
      <c r="AB940" s="41"/>
      <c r="AC940" s="41"/>
      <c r="AD940" s="41"/>
      <c r="AE940" s="41"/>
      <c r="AF940" s="41"/>
      <c r="AG940" s="41"/>
      <c r="AH940" s="41"/>
      <c r="AI940" s="41"/>
      <c r="AJ940" s="41"/>
      <c r="AK940" s="41"/>
      <c r="AL940" s="41"/>
      <c r="AM940" s="41"/>
      <c r="AN940" s="41"/>
      <c r="AO940" s="41"/>
      <c r="AP940" s="41"/>
      <c r="AQ940" s="41"/>
      <c r="AR940" s="41"/>
      <c r="AS940" s="41"/>
      <c r="AT940" s="41"/>
      <c r="AU940" s="41"/>
      <c r="AV940" s="41"/>
      <c r="AW940" s="41"/>
      <c r="AX940" s="41"/>
      <c r="AY940" s="41"/>
      <c r="AZ940" s="41"/>
      <c r="BA940" s="41"/>
      <c r="BB940" s="41"/>
      <c r="BC940" s="41"/>
      <c r="BD940" s="41"/>
      <c r="BE940" s="41"/>
      <c r="BF940" s="41"/>
      <c r="BG940" s="41"/>
      <c r="BH940" s="41"/>
      <c r="BJ940" s="41"/>
      <c r="BK940" s="41"/>
      <c r="BL940" s="41"/>
      <c r="BM940" s="41"/>
      <c r="BN940" s="41"/>
      <c r="BO940" s="41"/>
      <c r="BP940" s="41"/>
      <c r="BQ940" s="41"/>
      <c r="BR940" s="41"/>
      <c r="BS940" s="41"/>
      <c r="BT940" s="41"/>
      <c r="BU940" s="41"/>
      <c r="BV940" s="41">
        <v>0.05</v>
      </c>
      <c r="BW940" s="41">
        <v>0.2</v>
      </c>
      <c r="BX940" s="41"/>
      <c r="BY940" s="41"/>
      <c r="BZ940" s="41"/>
      <c r="CA940" s="41"/>
      <c r="CB940" s="41"/>
      <c r="CC940" s="41"/>
      <c r="CD940" s="41"/>
      <c r="CE940" s="41">
        <v>0.1</v>
      </c>
      <c r="CF940" s="41">
        <v>0.1</v>
      </c>
      <c r="CG940" s="41">
        <v>0.1</v>
      </c>
      <c r="CH940" s="41"/>
      <c r="CI940" s="41"/>
      <c r="CJ940" s="41"/>
      <c r="CK940" s="41"/>
      <c r="CL940" s="41"/>
      <c r="CM940" s="41"/>
      <c r="CN940" s="41"/>
      <c r="CO940" s="41"/>
      <c r="CP940" s="41"/>
      <c r="CQ940" s="41"/>
      <c r="CR940" s="41"/>
      <c r="CS940" s="41"/>
      <c r="CT940" s="41"/>
      <c r="CU940" s="41"/>
      <c r="CV940" s="41"/>
      <c r="CW940" s="41"/>
      <c r="CX940" s="41"/>
      <c r="CY940" s="41"/>
      <c r="CZ940" s="41"/>
      <c r="DA940" s="41"/>
      <c r="DB940" s="41"/>
      <c r="DC940" s="41"/>
      <c r="DD940" s="41"/>
      <c r="DE940" s="41"/>
      <c r="DF940" s="41"/>
      <c r="DG940" s="41"/>
      <c r="DH940" s="41"/>
      <c r="DI940" s="41"/>
      <c r="DJ940" s="41"/>
      <c r="DK940" s="41"/>
      <c r="DL940" s="41"/>
      <c r="DM940" s="41">
        <v>0.45</v>
      </c>
      <c r="DN940" s="41"/>
      <c r="DO940" s="41"/>
      <c r="DP940" s="41"/>
      <c r="DQ940" s="41"/>
      <c r="DR940" s="41"/>
      <c r="DS940" s="43"/>
      <c r="DT940" s="44">
        <f t="shared" ref="DT940" si="922">SUM(F940:DR940)</f>
        <v>1</v>
      </c>
    </row>
    <row r="941" spans="2:124" s="13" customFormat="1">
      <c r="B941" s="4">
        <f>'6.1Personnel List'!B942</f>
        <v>929</v>
      </c>
      <c r="C941" s="45" t="s">
        <v>1153</v>
      </c>
      <c r="D941" s="45" t="str">
        <f>'6.1Personnel List'!D942</f>
        <v>Nurse II</v>
      </c>
      <c r="E941" s="45" t="str">
        <f>'6.1Personnel List'!H942</f>
        <v>FT</v>
      </c>
      <c r="G941" s="41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  <c r="AA941" s="41"/>
      <c r="AB941" s="41"/>
      <c r="AC941" s="41"/>
      <c r="AD941" s="41"/>
      <c r="AE941" s="41"/>
      <c r="AF941" s="41"/>
      <c r="AG941" s="41"/>
      <c r="AH941" s="41"/>
      <c r="AI941" s="41"/>
      <c r="AJ941" s="41"/>
      <c r="AK941" s="41"/>
      <c r="AL941" s="41"/>
      <c r="AM941" s="41"/>
      <c r="AN941" s="41"/>
      <c r="AO941" s="41"/>
      <c r="AP941" s="41"/>
      <c r="AQ941" s="41"/>
      <c r="AR941" s="41"/>
      <c r="AS941" s="41"/>
      <c r="AT941" s="41"/>
      <c r="AU941" s="41"/>
      <c r="AV941" s="41"/>
      <c r="AW941" s="41"/>
      <c r="AX941" s="41"/>
      <c r="AY941" s="41"/>
      <c r="AZ941" s="41"/>
      <c r="BA941" s="41"/>
      <c r="BB941" s="41"/>
      <c r="BC941" s="41"/>
      <c r="BD941" s="41"/>
      <c r="BE941" s="41"/>
      <c r="BF941" s="41"/>
      <c r="BG941" s="41"/>
      <c r="BH941" s="41"/>
      <c r="BJ941" s="41"/>
      <c r="BK941" s="41"/>
      <c r="BL941" s="41"/>
      <c r="BM941" s="41"/>
      <c r="BN941" s="41"/>
      <c r="BO941" s="41"/>
      <c r="BP941" s="41"/>
      <c r="BQ941" s="41"/>
      <c r="BR941" s="41"/>
      <c r="BS941" s="41"/>
      <c r="BT941" s="41"/>
      <c r="BU941" s="41"/>
      <c r="BV941" s="41"/>
      <c r="BW941" s="41"/>
      <c r="BX941" s="41"/>
      <c r="BY941" s="41"/>
      <c r="BZ941" s="41"/>
      <c r="CA941" s="41"/>
      <c r="CB941" s="41">
        <v>0.01</v>
      </c>
      <c r="CC941" s="41"/>
      <c r="CD941" s="41"/>
      <c r="CE941" s="41">
        <v>0.02</v>
      </c>
      <c r="CF941" s="41">
        <v>0.02</v>
      </c>
      <c r="CG941" s="41">
        <v>0.1</v>
      </c>
      <c r="CH941" s="41">
        <v>0.1</v>
      </c>
      <c r="CI941" s="41">
        <v>0.02</v>
      </c>
      <c r="CJ941" s="41"/>
      <c r="CK941" s="41">
        <v>0.01</v>
      </c>
      <c r="CL941" s="41">
        <v>0.05</v>
      </c>
      <c r="CM941" s="41"/>
      <c r="CN941" s="41">
        <v>0.05</v>
      </c>
      <c r="CO941" s="41">
        <v>0.05</v>
      </c>
      <c r="CP941" s="41">
        <v>0.05</v>
      </c>
      <c r="CQ941" s="41">
        <v>0.05</v>
      </c>
      <c r="CR941" s="41">
        <v>0.02</v>
      </c>
      <c r="CS941" s="41">
        <v>0.01</v>
      </c>
      <c r="CT941" s="41"/>
      <c r="CU941" s="41"/>
      <c r="CV941" s="41">
        <v>0.02</v>
      </c>
      <c r="CW941" s="41"/>
      <c r="CX941" s="41"/>
      <c r="CY941" s="41"/>
      <c r="CZ941" s="41"/>
      <c r="DA941" s="41"/>
      <c r="DB941" s="41"/>
      <c r="DC941" s="41"/>
      <c r="DD941" s="41">
        <v>0.12</v>
      </c>
      <c r="DE941" s="41"/>
      <c r="DF941" s="41"/>
      <c r="DG941" s="41"/>
      <c r="DH941" s="41"/>
      <c r="DI941" s="41"/>
      <c r="DJ941" s="41">
        <v>0.05</v>
      </c>
      <c r="DK941" s="41">
        <v>0.05</v>
      </c>
      <c r="DL941" s="41">
        <v>0.05</v>
      </c>
      <c r="DM941" s="41">
        <v>0.05</v>
      </c>
      <c r="DN941" s="41"/>
      <c r="DO941" s="41"/>
      <c r="DP941" s="41">
        <v>0.05</v>
      </c>
      <c r="DQ941" s="41"/>
      <c r="DR941" s="41">
        <v>0.05</v>
      </c>
      <c r="DS941" s="43"/>
      <c r="DT941" s="44">
        <f t="shared" ref="DT941" si="923">SUM(F941:DR941)</f>
        <v>1.0000000000000002</v>
      </c>
    </row>
    <row r="942" spans="2:124" s="13" customFormat="1">
      <c r="B942" s="4">
        <f>'6.1Personnel List'!B943</f>
        <v>930</v>
      </c>
      <c r="C942" s="45" t="s">
        <v>1154</v>
      </c>
      <c r="D942" s="45" t="str">
        <f>'6.1Personnel List'!D943</f>
        <v>Nurse II</v>
      </c>
      <c r="E942" s="45" t="str">
        <f>'6.1Personnel List'!H943</f>
        <v>FT</v>
      </c>
      <c r="G942" s="41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  <c r="AA942" s="41"/>
      <c r="AB942" s="41"/>
      <c r="AC942" s="41"/>
      <c r="AD942" s="41"/>
      <c r="AE942" s="41"/>
      <c r="AF942" s="41"/>
      <c r="AG942" s="41"/>
      <c r="AH942" s="41"/>
      <c r="AI942" s="41"/>
      <c r="AJ942" s="41"/>
      <c r="AK942" s="41"/>
      <c r="AL942" s="41"/>
      <c r="AM942" s="41"/>
      <c r="AN942" s="41"/>
      <c r="AO942" s="41"/>
      <c r="AP942" s="41"/>
      <c r="AQ942" s="41"/>
      <c r="AR942" s="41"/>
      <c r="AS942" s="41"/>
      <c r="AT942" s="41"/>
      <c r="AU942" s="41"/>
      <c r="AV942" s="41"/>
      <c r="AW942" s="41"/>
      <c r="AX942" s="41"/>
      <c r="AY942" s="41"/>
      <c r="AZ942" s="41"/>
      <c r="BA942" s="41"/>
      <c r="BB942" s="41"/>
      <c r="BC942" s="41"/>
      <c r="BD942" s="41"/>
      <c r="BE942" s="41"/>
      <c r="BF942" s="41"/>
      <c r="BG942" s="41"/>
      <c r="BH942" s="41"/>
      <c r="BJ942" s="41"/>
      <c r="BK942" s="41"/>
      <c r="BL942" s="41"/>
      <c r="BM942" s="41"/>
      <c r="BN942" s="41"/>
      <c r="BO942" s="41"/>
      <c r="BP942" s="41"/>
      <c r="BQ942" s="41"/>
      <c r="BR942" s="41"/>
      <c r="BS942" s="41"/>
      <c r="BT942" s="41"/>
      <c r="BU942" s="41"/>
      <c r="BV942" s="41"/>
      <c r="BW942" s="41"/>
      <c r="BX942" s="41"/>
      <c r="BY942" s="41"/>
      <c r="BZ942" s="41"/>
      <c r="CA942" s="41"/>
      <c r="CB942" s="41">
        <v>0.01</v>
      </c>
      <c r="CC942" s="41"/>
      <c r="CD942" s="41"/>
      <c r="CE942" s="41">
        <v>0.02</v>
      </c>
      <c r="CF942" s="41">
        <v>0.02</v>
      </c>
      <c r="CG942" s="41">
        <v>0.1</v>
      </c>
      <c r="CH942" s="41">
        <v>0.1</v>
      </c>
      <c r="CI942" s="41">
        <v>0.02</v>
      </c>
      <c r="CJ942" s="41"/>
      <c r="CK942" s="41">
        <v>0.01</v>
      </c>
      <c r="CL942" s="41">
        <v>0.05</v>
      </c>
      <c r="CM942" s="41"/>
      <c r="CN942" s="41">
        <v>0.05</v>
      </c>
      <c r="CO942" s="41">
        <v>0.05</v>
      </c>
      <c r="CP942" s="41">
        <v>0.05</v>
      </c>
      <c r="CQ942" s="41">
        <v>0.05</v>
      </c>
      <c r="CR942" s="41">
        <v>0.02</v>
      </c>
      <c r="CS942" s="41">
        <v>0.01</v>
      </c>
      <c r="CT942" s="41"/>
      <c r="CU942" s="41"/>
      <c r="CV942" s="41">
        <v>0.02</v>
      </c>
      <c r="CW942" s="41"/>
      <c r="CX942" s="41"/>
      <c r="CY942" s="41"/>
      <c r="CZ942" s="41"/>
      <c r="DA942" s="41"/>
      <c r="DB942" s="41"/>
      <c r="DC942" s="41"/>
      <c r="DD942" s="41">
        <v>0.12</v>
      </c>
      <c r="DE942" s="41"/>
      <c r="DF942" s="41"/>
      <c r="DG942" s="41"/>
      <c r="DH942" s="41"/>
      <c r="DI942" s="41"/>
      <c r="DJ942" s="41">
        <v>0.05</v>
      </c>
      <c r="DK942" s="41">
        <v>0.05</v>
      </c>
      <c r="DL942" s="41">
        <v>0.05</v>
      </c>
      <c r="DM942" s="41">
        <v>0.05</v>
      </c>
      <c r="DN942" s="41"/>
      <c r="DO942" s="41"/>
      <c r="DP942" s="41">
        <v>0.05</v>
      </c>
      <c r="DQ942" s="41"/>
      <c r="DR942" s="41">
        <v>0.05</v>
      </c>
      <c r="DS942" s="43"/>
      <c r="DT942" s="44">
        <f t="shared" ref="DT942" si="924">SUM(F942:DR942)</f>
        <v>1.0000000000000002</v>
      </c>
    </row>
    <row r="943" spans="2:124" s="13" customFormat="1">
      <c r="B943" s="4">
        <f>'6.1Personnel List'!B944</f>
        <v>931</v>
      </c>
      <c r="C943" s="45" t="s">
        <v>1155</v>
      </c>
      <c r="D943" s="45" t="str">
        <f>'6.1Personnel List'!D944</f>
        <v>Nurse II</v>
      </c>
      <c r="E943" s="45" t="str">
        <f>'6.1Personnel List'!H944</f>
        <v>FT</v>
      </c>
      <c r="G943" s="41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  <c r="AA943" s="41"/>
      <c r="AB943" s="41"/>
      <c r="AC943" s="41"/>
      <c r="AD943" s="41"/>
      <c r="AE943" s="41"/>
      <c r="AF943" s="41"/>
      <c r="AG943" s="41"/>
      <c r="AH943" s="41"/>
      <c r="AI943" s="41"/>
      <c r="AJ943" s="41"/>
      <c r="AK943" s="41"/>
      <c r="AL943" s="41"/>
      <c r="AM943" s="41"/>
      <c r="AN943" s="41"/>
      <c r="AO943" s="41"/>
      <c r="AP943" s="41"/>
      <c r="AQ943" s="41"/>
      <c r="AR943" s="41"/>
      <c r="AS943" s="41"/>
      <c r="AT943" s="41"/>
      <c r="AU943" s="41"/>
      <c r="AV943" s="41"/>
      <c r="AW943" s="41"/>
      <c r="AX943" s="41"/>
      <c r="AY943" s="41"/>
      <c r="AZ943" s="41"/>
      <c r="BA943" s="41"/>
      <c r="BB943" s="41"/>
      <c r="BC943" s="41"/>
      <c r="BD943" s="41"/>
      <c r="BE943" s="41"/>
      <c r="BF943" s="41"/>
      <c r="BG943" s="41"/>
      <c r="BH943" s="41"/>
      <c r="BJ943" s="41"/>
      <c r="BK943" s="41"/>
      <c r="BL943" s="41"/>
      <c r="BM943" s="41"/>
      <c r="BN943" s="41"/>
      <c r="BO943" s="41"/>
      <c r="BP943" s="41"/>
      <c r="BQ943" s="41"/>
      <c r="BR943" s="41"/>
      <c r="BS943" s="41"/>
      <c r="BT943" s="41"/>
      <c r="BU943" s="41"/>
      <c r="BV943" s="41">
        <v>0.05</v>
      </c>
      <c r="BW943" s="41"/>
      <c r="BX943" s="41"/>
      <c r="BY943" s="41"/>
      <c r="BZ943" s="41"/>
      <c r="CA943" s="41"/>
      <c r="CB943" s="41">
        <v>0.05</v>
      </c>
      <c r="CC943" s="41"/>
      <c r="CD943" s="41"/>
      <c r="CE943" s="41">
        <v>0.05</v>
      </c>
      <c r="CF943" s="41">
        <v>0.05</v>
      </c>
      <c r="CG943" s="41"/>
      <c r="CH943" s="41"/>
      <c r="CI943" s="41"/>
      <c r="CJ943" s="41"/>
      <c r="CK943" s="41"/>
      <c r="CL943" s="41">
        <v>0.8</v>
      </c>
      <c r="CM943" s="41"/>
      <c r="CN943" s="41"/>
      <c r="CO943" s="41"/>
      <c r="CP943" s="41"/>
      <c r="CQ943" s="41"/>
      <c r="CR943" s="41"/>
      <c r="CS943" s="41"/>
      <c r="CT943" s="41"/>
      <c r="CU943" s="41"/>
      <c r="CV943" s="41"/>
      <c r="CW943" s="41"/>
      <c r="CX943" s="41"/>
      <c r="CY943" s="41"/>
      <c r="CZ943" s="41"/>
      <c r="DA943" s="41"/>
      <c r="DB943" s="41"/>
      <c r="DC943" s="41"/>
      <c r="DD943" s="41"/>
      <c r="DE943" s="41"/>
      <c r="DF943" s="41"/>
      <c r="DG943" s="41"/>
      <c r="DH943" s="41"/>
      <c r="DI943" s="41"/>
      <c r="DJ943" s="41"/>
      <c r="DK943" s="41"/>
      <c r="DL943" s="41"/>
      <c r="DM943" s="41"/>
      <c r="DN943" s="41"/>
      <c r="DO943" s="41"/>
      <c r="DP943" s="41"/>
      <c r="DQ943" s="41"/>
      <c r="DR943" s="41"/>
      <c r="DS943" s="43"/>
      <c r="DT943" s="44">
        <f t="shared" ref="DT943" si="925">SUM(F943:DR943)</f>
        <v>1</v>
      </c>
    </row>
    <row r="944" spans="2:124" s="13" customFormat="1">
      <c r="B944" s="4">
        <f>'6.1Personnel List'!B945</f>
        <v>932</v>
      </c>
      <c r="C944" s="45" t="s">
        <v>1156</v>
      </c>
      <c r="D944" s="45" t="str">
        <f>'6.1Personnel List'!D945</f>
        <v>Nurse II</v>
      </c>
      <c r="E944" s="45" t="str">
        <f>'6.1Personnel List'!H945</f>
        <v>FT</v>
      </c>
      <c r="G944" s="41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  <c r="AA944" s="41"/>
      <c r="AB944" s="41"/>
      <c r="AC944" s="41"/>
      <c r="AD944" s="41"/>
      <c r="AE944" s="41"/>
      <c r="AF944" s="41"/>
      <c r="AG944" s="41"/>
      <c r="AH944" s="41"/>
      <c r="AI944" s="41"/>
      <c r="AJ944" s="41"/>
      <c r="AK944" s="41"/>
      <c r="AL944" s="41"/>
      <c r="AM944" s="41"/>
      <c r="AN944" s="41"/>
      <c r="AO944" s="41"/>
      <c r="AP944" s="41"/>
      <c r="AQ944" s="41"/>
      <c r="AR944" s="41"/>
      <c r="AS944" s="41"/>
      <c r="AT944" s="41"/>
      <c r="AU944" s="41"/>
      <c r="AV944" s="41"/>
      <c r="AW944" s="41"/>
      <c r="AX944" s="41"/>
      <c r="AY944" s="41"/>
      <c r="AZ944" s="41"/>
      <c r="BA944" s="41"/>
      <c r="BB944" s="41"/>
      <c r="BC944" s="41"/>
      <c r="BD944" s="41"/>
      <c r="BE944" s="41"/>
      <c r="BF944" s="41"/>
      <c r="BG944" s="41"/>
      <c r="BH944" s="41"/>
      <c r="BJ944" s="41"/>
      <c r="BK944" s="41"/>
      <c r="BL944" s="41"/>
      <c r="BM944" s="41"/>
      <c r="BN944" s="41"/>
      <c r="BO944" s="41"/>
      <c r="BP944" s="41"/>
      <c r="BQ944" s="41"/>
      <c r="BR944" s="41"/>
      <c r="BS944" s="41"/>
      <c r="BT944" s="41"/>
      <c r="BU944" s="41"/>
      <c r="BV944" s="41">
        <v>0.05</v>
      </c>
      <c r="BW944" s="41"/>
      <c r="BX944" s="41"/>
      <c r="BY944" s="41"/>
      <c r="BZ944" s="41"/>
      <c r="CA944" s="41"/>
      <c r="CB944" s="41">
        <v>0.05</v>
      </c>
      <c r="CC944" s="41"/>
      <c r="CD944" s="41"/>
      <c r="CE944" s="41">
        <v>0.05</v>
      </c>
      <c r="CF944" s="41">
        <v>0.05</v>
      </c>
      <c r="CG944" s="41"/>
      <c r="CH944" s="41"/>
      <c r="CI944" s="41"/>
      <c r="CJ944" s="41"/>
      <c r="CK944" s="41"/>
      <c r="CL944" s="41">
        <v>0.8</v>
      </c>
      <c r="CM944" s="41"/>
      <c r="CN944" s="41"/>
      <c r="CO944" s="41"/>
      <c r="CP944" s="41"/>
      <c r="CQ944" s="41"/>
      <c r="CR944" s="41"/>
      <c r="CS944" s="41"/>
      <c r="CT944" s="41"/>
      <c r="CU944" s="41"/>
      <c r="CV944" s="41"/>
      <c r="CW944" s="41"/>
      <c r="CX944" s="41"/>
      <c r="CY944" s="41"/>
      <c r="CZ944" s="41"/>
      <c r="DA944" s="41"/>
      <c r="DB944" s="41"/>
      <c r="DC944" s="41"/>
      <c r="DD944" s="41"/>
      <c r="DE944" s="41"/>
      <c r="DF944" s="41"/>
      <c r="DG944" s="41"/>
      <c r="DH944" s="41"/>
      <c r="DI944" s="41"/>
      <c r="DJ944" s="41"/>
      <c r="DK944" s="41"/>
      <c r="DL944" s="41"/>
      <c r="DM944" s="41"/>
      <c r="DN944" s="41"/>
      <c r="DO944" s="41"/>
      <c r="DP944" s="41"/>
      <c r="DQ944" s="41"/>
      <c r="DR944" s="41"/>
      <c r="DS944" s="43"/>
      <c r="DT944" s="44">
        <f t="shared" ref="DT944" si="926">SUM(F944:DR944)</f>
        <v>1</v>
      </c>
    </row>
    <row r="945" spans="2:124" s="13" customFormat="1">
      <c r="B945" s="4">
        <f>'6.1Personnel List'!B946</f>
        <v>933</v>
      </c>
      <c r="C945" s="45" t="s">
        <v>1157</v>
      </c>
      <c r="D945" s="45" t="str">
        <f>'6.1Personnel List'!D946</f>
        <v>Nurse II</v>
      </c>
      <c r="E945" s="45" t="str">
        <f>'6.1Personnel List'!H946</f>
        <v>FT</v>
      </c>
      <c r="G945" s="41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  <c r="AA945" s="41"/>
      <c r="AB945" s="41"/>
      <c r="AC945" s="41"/>
      <c r="AD945" s="41"/>
      <c r="AE945" s="41"/>
      <c r="AF945" s="41"/>
      <c r="AG945" s="41"/>
      <c r="AH945" s="41"/>
      <c r="AI945" s="41"/>
      <c r="AJ945" s="41"/>
      <c r="AK945" s="41"/>
      <c r="AL945" s="41"/>
      <c r="AM945" s="41"/>
      <c r="AN945" s="41"/>
      <c r="AO945" s="41"/>
      <c r="AP945" s="41"/>
      <c r="AQ945" s="41"/>
      <c r="AR945" s="41"/>
      <c r="AS945" s="41"/>
      <c r="AT945" s="41"/>
      <c r="AU945" s="41"/>
      <c r="AV945" s="41"/>
      <c r="AW945" s="41"/>
      <c r="AX945" s="41"/>
      <c r="AY945" s="41"/>
      <c r="AZ945" s="41"/>
      <c r="BA945" s="41"/>
      <c r="BB945" s="41"/>
      <c r="BC945" s="41"/>
      <c r="BD945" s="41"/>
      <c r="BE945" s="41"/>
      <c r="BF945" s="41"/>
      <c r="BG945" s="41"/>
      <c r="BH945" s="41"/>
      <c r="BJ945" s="41"/>
      <c r="BK945" s="41"/>
      <c r="BL945" s="41"/>
      <c r="BM945" s="41"/>
      <c r="BN945" s="41"/>
      <c r="BO945" s="41"/>
      <c r="BP945" s="41"/>
      <c r="BQ945" s="41"/>
      <c r="BR945" s="41"/>
      <c r="BS945" s="41">
        <v>0.05</v>
      </c>
      <c r="BT945" s="41"/>
      <c r="BU945" s="41">
        <v>0.05</v>
      </c>
      <c r="BV945" s="41">
        <v>0.05</v>
      </c>
      <c r="BW945" s="41">
        <v>0.05</v>
      </c>
      <c r="BX945" s="41"/>
      <c r="BY945" s="41"/>
      <c r="BZ945" s="41"/>
      <c r="CA945" s="41"/>
      <c r="CB945" s="41"/>
      <c r="CC945" s="41"/>
      <c r="CD945" s="41"/>
      <c r="CE945" s="41">
        <v>0.05</v>
      </c>
      <c r="CF945" s="41">
        <v>0.03</v>
      </c>
      <c r="CG945" s="41">
        <v>0.02</v>
      </c>
      <c r="CH945" s="41">
        <v>0.05</v>
      </c>
      <c r="CI945" s="41">
        <v>0.05</v>
      </c>
      <c r="CJ945" s="41"/>
      <c r="CK945" s="41"/>
      <c r="CL945" s="41"/>
      <c r="CM945" s="41"/>
      <c r="CN945" s="41"/>
      <c r="CO945" s="41"/>
      <c r="CP945" s="41"/>
      <c r="CQ945" s="41"/>
      <c r="CR945" s="41"/>
      <c r="CS945" s="41"/>
      <c r="CT945" s="41"/>
      <c r="CU945" s="41"/>
      <c r="CV945" s="41"/>
      <c r="CW945" s="41"/>
      <c r="CX945" s="41"/>
      <c r="CY945" s="41"/>
      <c r="CZ945" s="41"/>
      <c r="DA945" s="41"/>
      <c r="DB945" s="41"/>
      <c r="DC945" s="41"/>
      <c r="DD945" s="41"/>
      <c r="DE945" s="41"/>
      <c r="DF945" s="41"/>
      <c r="DG945" s="41"/>
      <c r="DH945" s="41"/>
      <c r="DI945" s="41"/>
      <c r="DJ945" s="41"/>
      <c r="DK945" s="41">
        <v>0.6</v>
      </c>
      <c r="DL945" s="41"/>
      <c r="DM945" s="41"/>
      <c r="DN945" s="41"/>
      <c r="DO945" s="41"/>
      <c r="DP945" s="41"/>
      <c r="DQ945" s="41"/>
      <c r="DR945" s="41"/>
      <c r="DS945" s="43"/>
      <c r="DT945" s="44">
        <f t="shared" ref="DT945" si="927">SUM(F945:DR945)</f>
        <v>1</v>
      </c>
    </row>
    <row r="946" spans="2:124" s="13" customFormat="1">
      <c r="B946" s="4">
        <f>'6.1Personnel List'!B947</f>
        <v>934</v>
      </c>
      <c r="C946" s="45" t="s">
        <v>1158</v>
      </c>
      <c r="D946" s="45" t="str">
        <f>'6.1Personnel List'!D947</f>
        <v>Nurse II</v>
      </c>
      <c r="E946" s="45" t="str">
        <f>'6.1Personnel List'!H947</f>
        <v>FT</v>
      </c>
      <c r="G946" s="41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  <c r="AA946" s="41"/>
      <c r="AB946" s="41"/>
      <c r="AC946" s="41"/>
      <c r="AD946" s="41"/>
      <c r="AE946" s="41"/>
      <c r="AF946" s="41"/>
      <c r="AG946" s="41"/>
      <c r="AH946" s="41"/>
      <c r="AI946" s="41"/>
      <c r="AJ946" s="41"/>
      <c r="AK946" s="41"/>
      <c r="AL946" s="41"/>
      <c r="AM946" s="41"/>
      <c r="AN946" s="41"/>
      <c r="AO946" s="41"/>
      <c r="AP946" s="41"/>
      <c r="AQ946" s="41"/>
      <c r="AR946" s="41"/>
      <c r="AS946" s="41"/>
      <c r="AT946" s="41"/>
      <c r="AU946" s="41"/>
      <c r="AV946" s="41"/>
      <c r="AW946" s="41"/>
      <c r="AX946" s="41"/>
      <c r="AY946" s="41"/>
      <c r="AZ946" s="41"/>
      <c r="BA946" s="41"/>
      <c r="BB946" s="41"/>
      <c r="BC946" s="41"/>
      <c r="BD946" s="41"/>
      <c r="BE946" s="41"/>
      <c r="BF946" s="41"/>
      <c r="BG946" s="41"/>
      <c r="BH946" s="41"/>
      <c r="BJ946" s="41"/>
      <c r="BK946" s="41"/>
      <c r="BL946" s="41"/>
      <c r="BM946" s="41"/>
      <c r="BN946" s="41"/>
      <c r="BO946" s="41"/>
      <c r="BP946" s="41"/>
      <c r="BQ946" s="41"/>
      <c r="BR946" s="41"/>
      <c r="BS946" s="41"/>
      <c r="BT946" s="41"/>
      <c r="BU946" s="41"/>
      <c r="BV946" s="41"/>
      <c r="BW946" s="41"/>
      <c r="BX946" s="41"/>
      <c r="BY946" s="41"/>
      <c r="BZ946" s="41"/>
      <c r="CA946" s="41"/>
      <c r="CB946" s="41">
        <v>0.01</v>
      </c>
      <c r="CC946" s="41"/>
      <c r="CD946" s="41"/>
      <c r="CE946" s="41">
        <v>0.02</v>
      </c>
      <c r="CF946" s="41">
        <v>0.02</v>
      </c>
      <c r="CG946" s="41">
        <v>0.1</v>
      </c>
      <c r="CH946" s="41">
        <v>0.1</v>
      </c>
      <c r="CI946" s="41">
        <v>0.02</v>
      </c>
      <c r="CJ946" s="41"/>
      <c r="CK946" s="41">
        <v>0.01</v>
      </c>
      <c r="CL946" s="41">
        <v>0.05</v>
      </c>
      <c r="CM946" s="41"/>
      <c r="CN946" s="41">
        <v>0.05</v>
      </c>
      <c r="CO946" s="41">
        <v>0.05</v>
      </c>
      <c r="CP946" s="41">
        <v>0.05</v>
      </c>
      <c r="CQ946" s="41">
        <v>0.05</v>
      </c>
      <c r="CR946" s="41">
        <v>0.02</v>
      </c>
      <c r="CS946" s="41">
        <v>0.01</v>
      </c>
      <c r="CT946" s="41"/>
      <c r="CU946" s="41"/>
      <c r="CV946" s="41">
        <v>0.02</v>
      </c>
      <c r="CW946" s="41"/>
      <c r="CX946" s="41"/>
      <c r="CY946" s="41"/>
      <c r="CZ946" s="41"/>
      <c r="DA946" s="41"/>
      <c r="DB946" s="41"/>
      <c r="DC946" s="41"/>
      <c r="DD946" s="41">
        <v>0.12</v>
      </c>
      <c r="DE946" s="41"/>
      <c r="DF946" s="41"/>
      <c r="DG946" s="41"/>
      <c r="DH946" s="41"/>
      <c r="DI946" s="41"/>
      <c r="DJ946" s="41">
        <v>0.05</v>
      </c>
      <c r="DK946" s="41">
        <v>0.05</v>
      </c>
      <c r="DL946" s="41">
        <v>0.05</v>
      </c>
      <c r="DM946" s="41">
        <v>0.05</v>
      </c>
      <c r="DN946" s="41"/>
      <c r="DO946" s="41"/>
      <c r="DP946" s="41">
        <v>0.05</v>
      </c>
      <c r="DQ946" s="41"/>
      <c r="DR946" s="41">
        <v>0.05</v>
      </c>
      <c r="DS946" s="43"/>
      <c r="DT946" s="44">
        <f t="shared" ref="DT946" si="928">SUM(F946:DR946)</f>
        <v>1.0000000000000002</v>
      </c>
    </row>
    <row r="947" spans="2:124" s="13" customFormat="1">
      <c r="B947" s="4">
        <f>'6.1Personnel List'!B948</f>
        <v>935</v>
      </c>
      <c r="C947" s="45" t="s">
        <v>1159</v>
      </c>
      <c r="D947" s="45" t="str">
        <f>'6.1Personnel List'!D948</f>
        <v>Nurse II</v>
      </c>
      <c r="E947" s="45" t="str">
        <f>'6.1Personnel List'!H948</f>
        <v>FT</v>
      </c>
      <c r="G947" s="41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  <c r="AA947" s="41"/>
      <c r="AB947" s="41"/>
      <c r="AC947" s="41"/>
      <c r="AD947" s="41"/>
      <c r="AE947" s="41"/>
      <c r="AF947" s="41"/>
      <c r="AG947" s="41"/>
      <c r="AH947" s="41"/>
      <c r="AI947" s="41"/>
      <c r="AJ947" s="41"/>
      <c r="AK947" s="41"/>
      <c r="AL947" s="41"/>
      <c r="AM947" s="41"/>
      <c r="AN947" s="41"/>
      <c r="AO947" s="41"/>
      <c r="AP947" s="41"/>
      <c r="AQ947" s="41"/>
      <c r="AR947" s="41"/>
      <c r="AS947" s="41"/>
      <c r="AT947" s="41"/>
      <c r="AU947" s="41"/>
      <c r="AV947" s="41"/>
      <c r="AW947" s="41"/>
      <c r="AX947" s="41"/>
      <c r="AY947" s="41"/>
      <c r="AZ947" s="41"/>
      <c r="BA947" s="41"/>
      <c r="BB947" s="41"/>
      <c r="BC947" s="41"/>
      <c r="BD947" s="41"/>
      <c r="BE947" s="41"/>
      <c r="BF947" s="41"/>
      <c r="BG947" s="41"/>
      <c r="BH947" s="41"/>
      <c r="BJ947" s="41"/>
      <c r="BK947" s="41"/>
      <c r="BL947" s="41"/>
      <c r="BM947" s="41"/>
      <c r="BN947" s="41"/>
      <c r="BO947" s="41"/>
      <c r="BP947" s="41"/>
      <c r="BQ947" s="41"/>
      <c r="BR947" s="41"/>
      <c r="BS947" s="41">
        <v>0.05</v>
      </c>
      <c r="BT947" s="41"/>
      <c r="BU947" s="41"/>
      <c r="BV947" s="41">
        <v>0.05</v>
      </c>
      <c r="BW947" s="41">
        <v>0.05</v>
      </c>
      <c r="BX947" s="41"/>
      <c r="BY947" s="41"/>
      <c r="BZ947" s="41"/>
      <c r="CA947" s="41"/>
      <c r="CB947" s="41"/>
      <c r="CC947" s="41"/>
      <c r="CD947" s="41"/>
      <c r="CE947" s="41">
        <v>0.1</v>
      </c>
      <c r="CF947" s="41">
        <v>0.05</v>
      </c>
      <c r="CG947" s="41">
        <v>0.05</v>
      </c>
      <c r="CH947" s="41">
        <v>0.05</v>
      </c>
      <c r="CI947" s="41"/>
      <c r="CJ947" s="41">
        <v>0.05</v>
      </c>
      <c r="CK947" s="41"/>
      <c r="CL947" s="41">
        <v>0.2</v>
      </c>
      <c r="CM947" s="41"/>
      <c r="CN947" s="41"/>
      <c r="CO947" s="41"/>
      <c r="CP947" s="41">
        <v>0.25</v>
      </c>
      <c r="CQ947" s="41"/>
      <c r="CR947" s="41"/>
      <c r="CS947" s="41"/>
      <c r="CT947" s="41"/>
      <c r="CU947" s="41">
        <v>0.05</v>
      </c>
      <c r="CV947" s="41"/>
      <c r="CW947" s="41"/>
      <c r="CX947" s="41"/>
      <c r="CY947" s="41"/>
      <c r="CZ947" s="41"/>
      <c r="DA947" s="41"/>
      <c r="DB947" s="41"/>
      <c r="DC947" s="41"/>
      <c r="DD947" s="41">
        <v>0.05</v>
      </c>
      <c r="DE947" s="41"/>
      <c r="DF947" s="41"/>
      <c r="DG947" s="41"/>
      <c r="DH947" s="41"/>
      <c r="DI947" s="41"/>
      <c r="DJ947" s="41"/>
      <c r="DK947" s="41"/>
      <c r="DL947" s="41"/>
      <c r="DM947" s="41"/>
      <c r="DN947" s="41"/>
      <c r="DO947" s="41"/>
      <c r="DP947" s="41"/>
      <c r="DQ947" s="41"/>
      <c r="DR947" s="41"/>
      <c r="DS947" s="43"/>
      <c r="DT947" s="44">
        <f t="shared" ref="DT947" si="929">SUM(F947:DR947)</f>
        <v>1</v>
      </c>
    </row>
    <row r="948" spans="2:124" s="13" customFormat="1">
      <c r="B948" s="4">
        <f>'6.1Personnel List'!B949</f>
        <v>936</v>
      </c>
      <c r="C948" s="45" t="s">
        <v>1160</v>
      </c>
      <c r="D948" s="45" t="str">
        <f>'6.1Personnel List'!D949</f>
        <v>Nurse II</v>
      </c>
      <c r="E948" s="45" t="str">
        <f>'6.1Personnel List'!H949</f>
        <v>FT</v>
      </c>
      <c r="G948" s="41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  <c r="AA948" s="41"/>
      <c r="AB948" s="41"/>
      <c r="AC948" s="41"/>
      <c r="AD948" s="41"/>
      <c r="AE948" s="41"/>
      <c r="AF948" s="41"/>
      <c r="AG948" s="41"/>
      <c r="AH948" s="41"/>
      <c r="AI948" s="41"/>
      <c r="AJ948" s="41"/>
      <c r="AK948" s="41"/>
      <c r="AL948" s="41"/>
      <c r="AM948" s="41"/>
      <c r="AN948" s="41"/>
      <c r="AO948" s="41"/>
      <c r="AP948" s="41"/>
      <c r="AQ948" s="41"/>
      <c r="AR948" s="41"/>
      <c r="AS948" s="41"/>
      <c r="AT948" s="41"/>
      <c r="AU948" s="41"/>
      <c r="AV948" s="41"/>
      <c r="AW948" s="41"/>
      <c r="AX948" s="41"/>
      <c r="AY948" s="41"/>
      <c r="AZ948" s="41"/>
      <c r="BA948" s="41"/>
      <c r="BB948" s="41"/>
      <c r="BC948" s="41"/>
      <c r="BD948" s="41"/>
      <c r="BE948" s="41"/>
      <c r="BF948" s="41"/>
      <c r="BG948" s="41"/>
      <c r="BH948" s="41"/>
      <c r="BJ948" s="41"/>
      <c r="BK948" s="41"/>
      <c r="BL948" s="41"/>
      <c r="BM948" s="41"/>
      <c r="BN948" s="41"/>
      <c r="BO948" s="41"/>
      <c r="BP948" s="41"/>
      <c r="BQ948" s="41"/>
      <c r="BR948" s="41"/>
      <c r="BS948" s="41"/>
      <c r="BT948" s="41"/>
      <c r="BU948" s="41"/>
      <c r="BV948" s="41"/>
      <c r="BW948" s="41"/>
      <c r="BX948" s="41"/>
      <c r="BY948" s="41"/>
      <c r="BZ948" s="41"/>
      <c r="CA948" s="41"/>
      <c r="CB948" s="41"/>
      <c r="CC948" s="41"/>
      <c r="CD948" s="41"/>
      <c r="CE948" s="41"/>
      <c r="CF948" s="41"/>
      <c r="CG948" s="41"/>
      <c r="CH948" s="41"/>
      <c r="CI948" s="41"/>
      <c r="CJ948" s="41"/>
      <c r="CK948" s="41"/>
      <c r="CL948" s="41"/>
      <c r="CM948" s="41"/>
      <c r="CN948" s="92">
        <v>0.25</v>
      </c>
      <c r="CO948" s="41"/>
      <c r="CP948" s="41"/>
      <c r="CQ948" s="41"/>
      <c r="CR948" s="41"/>
      <c r="CS948" s="41"/>
      <c r="CT948" s="41"/>
      <c r="CU948" s="41"/>
      <c r="CV948" s="41"/>
      <c r="CW948" s="41"/>
      <c r="CX948" s="41"/>
      <c r="CY948" s="41"/>
      <c r="CZ948" s="41"/>
      <c r="DA948" s="41"/>
      <c r="DB948" s="92">
        <v>0.25</v>
      </c>
      <c r="DC948" s="92">
        <v>0.25</v>
      </c>
      <c r="DD948" s="41"/>
      <c r="DE948" s="41"/>
      <c r="DF948" s="41"/>
      <c r="DG948" s="41"/>
      <c r="DH948" s="41"/>
      <c r="DI948" s="41"/>
      <c r="DJ948" s="92">
        <v>0.25</v>
      </c>
      <c r="DK948" s="41"/>
      <c r="DL948" s="41"/>
      <c r="DM948" s="41"/>
      <c r="DN948" s="41"/>
      <c r="DO948" s="41"/>
      <c r="DP948" s="41"/>
      <c r="DQ948" s="41"/>
      <c r="DR948" s="41"/>
      <c r="DS948" s="43"/>
      <c r="DT948" s="44">
        <f t="shared" ref="DT948" si="930">SUM(F948:DR948)</f>
        <v>1</v>
      </c>
    </row>
    <row r="949" spans="2:124" s="13" customFormat="1">
      <c r="B949" s="4">
        <f>'6.1Personnel List'!B950</f>
        <v>937</v>
      </c>
      <c r="C949" s="45" t="s">
        <v>1161</v>
      </c>
      <c r="D949" s="45" t="str">
        <f>'6.1Personnel List'!D950</f>
        <v>Nurse II</v>
      </c>
      <c r="E949" s="45" t="str">
        <f>'6.1Personnel List'!H950</f>
        <v>FT</v>
      </c>
      <c r="G949" s="41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  <c r="AA949" s="41"/>
      <c r="AB949" s="41"/>
      <c r="AC949" s="41"/>
      <c r="AD949" s="41"/>
      <c r="AE949" s="41"/>
      <c r="AF949" s="41"/>
      <c r="AG949" s="41"/>
      <c r="AH949" s="41"/>
      <c r="AI949" s="41"/>
      <c r="AJ949" s="41"/>
      <c r="AK949" s="41"/>
      <c r="AL949" s="41"/>
      <c r="AM949" s="41"/>
      <c r="AN949" s="41"/>
      <c r="AO949" s="41"/>
      <c r="AP949" s="41"/>
      <c r="AQ949" s="41"/>
      <c r="AR949" s="41"/>
      <c r="AS949" s="41"/>
      <c r="AT949" s="41"/>
      <c r="AU949" s="41"/>
      <c r="AV949" s="41"/>
      <c r="AW949" s="41"/>
      <c r="AX949" s="41"/>
      <c r="AY949" s="41"/>
      <c r="AZ949" s="41"/>
      <c r="BA949" s="41"/>
      <c r="BB949" s="41"/>
      <c r="BC949" s="41"/>
      <c r="BD949" s="41"/>
      <c r="BE949" s="41"/>
      <c r="BF949" s="41"/>
      <c r="BG949" s="41"/>
      <c r="BH949" s="41"/>
      <c r="BJ949" s="41"/>
      <c r="BK949" s="94"/>
      <c r="BL949" s="94"/>
      <c r="BM949" s="94"/>
      <c r="BN949" s="94"/>
      <c r="BO949" s="94"/>
      <c r="BP949" s="94"/>
      <c r="BQ949" s="94"/>
      <c r="BR949" s="94"/>
      <c r="BS949" s="94"/>
      <c r="BT949" s="94"/>
      <c r="BU949" s="94"/>
      <c r="BV949" s="94"/>
      <c r="BW949" s="94"/>
      <c r="BX949" s="94"/>
      <c r="BY949" s="94"/>
      <c r="BZ949" s="94"/>
      <c r="CA949" s="94"/>
      <c r="CB949" s="94"/>
      <c r="CC949" s="94"/>
      <c r="CD949" s="94"/>
      <c r="CE949" s="94"/>
      <c r="CF949" s="94"/>
      <c r="CG949" s="94"/>
      <c r="CH949" s="94"/>
      <c r="CI949" s="94"/>
      <c r="CJ949" s="94"/>
      <c r="CK949" s="94"/>
      <c r="CL949" s="94"/>
      <c r="CM949" s="94"/>
      <c r="CN949" s="94"/>
      <c r="CO949" s="94"/>
      <c r="CP949" s="94"/>
      <c r="CQ949" s="94"/>
      <c r="CR949" s="94"/>
      <c r="CS949" s="94"/>
      <c r="CT949" s="94">
        <v>1</v>
      </c>
      <c r="CU949" s="94"/>
      <c r="CV949" s="94"/>
      <c r="CW949" s="94"/>
      <c r="CX949" s="94"/>
      <c r="CY949" s="94"/>
      <c r="CZ949" s="94"/>
      <c r="DA949" s="94"/>
      <c r="DB949" s="94"/>
      <c r="DC949" s="94"/>
      <c r="DD949" s="94"/>
      <c r="DE949" s="94"/>
      <c r="DF949" s="94"/>
      <c r="DG949" s="94"/>
      <c r="DH949" s="94"/>
      <c r="DI949" s="94"/>
      <c r="DJ949" s="94"/>
      <c r="DK949" s="41"/>
      <c r="DL949" s="41"/>
      <c r="DM949" s="41"/>
      <c r="DN949" s="41"/>
      <c r="DO949" s="41"/>
      <c r="DP949" s="41"/>
      <c r="DQ949" s="41"/>
      <c r="DR949" s="41"/>
      <c r="DS949" s="43"/>
      <c r="DT949" s="44">
        <f t="shared" ref="DT949" si="931">SUM(F949:DR949)</f>
        <v>1</v>
      </c>
    </row>
    <row r="950" spans="2:124" s="13" customFormat="1">
      <c r="B950" s="4">
        <f>'6.1Personnel List'!B951</f>
        <v>938</v>
      </c>
      <c r="C950" s="45" t="s">
        <v>1162</v>
      </c>
      <c r="D950" s="45" t="str">
        <f>'6.1Personnel List'!D951</f>
        <v>Nurse I</v>
      </c>
      <c r="E950" s="45" t="str">
        <f>'6.1Personnel List'!H951</f>
        <v>FT</v>
      </c>
      <c r="G950" s="41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  <c r="AA950" s="41"/>
      <c r="AB950" s="41"/>
      <c r="AC950" s="41"/>
      <c r="AD950" s="41"/>
      <c r="AE950" s="41"/>
      <c r="AF950" s="41"/>
      <c r="AG950" s="41"/>
      <c r="AH950" s="41"/>
      <c r="AI950" s="41"/>
      <c r="AJ950" s="41"/>
      <c r="AK950" s="41"/>
      <c r="AL950" s="41"/>
      <c r="AM950" s="41"/>
      <c r="AN950" s="41"/>
      <c r="AO950" s="41"/>
      <c r="AP950" s="41"/>
      <c r="AQ950" s="41"/>
      <c r="AR950" s="41"/>
      <c r="AS950" s="41"/>
      <c r="AT950" s="41"/>
      <c r="AU950" s="41"/>
      <c r="AV950" s="41"/>
      <c r="AW950" s="41"/>
      <c r="AX950" s="41"/>
      <c r="AY950" s="41"/>
      <c r="AZ950" s="41"/>
      <c r="BA950" s="41"/>
      <c r="BB950" s="41"/>
      <c r="BC950" s="41"/>
      <c r="BD950" s="41"/>
      <c r="BE950" s="41"/>
      <c r="BF950" s="41"/>
      <c r="BG950" s="41"/>
      <c r="BH950" s="41"/>
      <c r="BJ950" s="41"/>
      <c r="BK950" s="41"/>
      <c r="BL950" s="41"/>
      <c r="BM950" s="41"/>
      <c r="BN950" s="41"/>
      <c r="BO950" s="41"/>
      <c r="BP950" s="41"/>
      <c r="BQ950" s="41"/>
      <c r="BR950" s="41"/>
      <c r="BS950" s="41">
        <v>0.05</v>
      </c>
      <c r="BT950" s="41"/>
      <c r="BU950" s="41"/>
      <c r="BV950" s="41">
        <v>0.05</v>
      </c>
      <c r="BW950" s="41">
        <v>0.05</v>
      </c>
      <c r="BX950" s="41"/>
      <c r="BY950" s="41"/>
      <c r="BZ950" s="41"/>
      <c r="CA950" s="41"/>
      <c r="CB950" s="41"/>
      <c r="CC950" s="41"/>
      <c r="CD950" s="41"/>
      <c r="CE950" s="41">
        <v>0.1</v>
      </c>
      <c r="CF950" s="41">
        <v>0.05</v>
      </c>
      <c r="CG950" s="41">
        <v>0.05</v>
      </c>
      <c r="CH950" s="41">
        <v>0.05</v>
      </c>
      <c r="CI950" s="41"/>
      <c r="CJ950" s="41">
        <v>0.05</v>
      </c>
      <c r="CK950" s="41"/>
      <c r="CL950" s="41">
        <v>0.2</v>
      </c>
      <c r="CM950" s="41"/>
      <c r="CN950" s="41"/>
      <c r="CO950" s="41"/>
      <c r="CP950" s="41">
        <v>0.25</v>
      </c>
      <c r="CQ950" s="41"/>
      <c r="CR950" s="41"/>
      <c r="CS950" s="41"/>
      <c r="CT950" s="41"/>
      <c r="CU950" s="41">
        <v>0.05</v>
      </c>
      <c r="CV950" s="41"/>
      <c r="CW950" s="41"/>
      <c r="CX950" s="41"/>
      <c r="CY950" s="41"/>
      <c r="CZ950" s="41"/>
      <c r="DA950" s="41"/>
      <c r="DB950" s="41"/>
      <c r="DC950" s="41"/>
      <c r="DD950" s="41">
        <v>0.05</v>
      </c>
      <c r="DE950" s="41"/>
      <c r="DF950" s="41"/>
      <c r="DG950" s="41"/>
      <c r="DH950" s="41"/>
      <c r="DI950" s="41"/>
      <c r="DJ950" s="41"/>
      <c r="DK950" s="41"/>
      <c r="DL950" s="41"/>
      <c r="DM950" s="41"/>
      <c r="DN950" s="41"/>
      <c r="DO950" s="41"/>
      <c r="DP950" s="41"/>
      <c r="DQ950" s="41"/>
      <c r="DR950" s="41"/>
      <c r="DS950" s="43"/>
      <c r="DT950" s="44">
        <f t="shared" ref="DT950" si="932">SUM(F950:DR950)</f>
        <v>1</v>
      </c>
    </row>
    <row r="951" spans="2:124" s="13" customFormat="1">
      <c r="B951" s="4">
        <f>'6.1Personnel List'!B952</f>
        <v>939</v>
      </c>
      <c r="C951" s="45" t="s">
        <v>1164</v>
      </c>
      <c r="D951" s="45" t="str">
        <f>'6.1Personnel List'!D952</f>
        <v>Nurse I</v>
      </c>
      <c r="E951" s="45" t="str">
        <f>'6.1Personnel List'!H952</f>
        <v>FT</v>
      </c>
      <c r="G951" s="41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  <c r="AA951" s="41"/>
      <c r="AB951" s="41"/>
      <c r="AC951" s="41"/>
      <c r="AD951" s="41"/>
      <c r="AE951" s="41"/>
      <c r="AF951" s="41"/>
      <c r="AG951" s="41"/>
      <c r="AH951" s="41"/>
      <c r="AI951" s="41"/>
      <c r="AJ951" s="41"/>
      <c r="AK951" s="41"/>
      <c r="AL951" s="41"/>
      <c r="AM951" s="41"/>
      <c r="AN951" s="41"/>
      <c r="AO951" s="41"/>
      <c r="AP951" s="41"/>
      <c r="AQ951" s="41"/>
      <c r="AR951" s="41"/>
      <c r="AS951" s="41"/>
      <c r="AT951" s="41"/>
      <c r="AU951" s="41"/>
      <c r="AV951" s="41"/>
      <c r="AW951" s="41"/>
      <c r="AX951" s="41"/>
      <c r="AY951" s="41"/>
      <c r="AZ951" s="41"/>
      <c r="BA951" s="41"/>
      <c r="BB951" s="41"/>
      <c r="BC951" s="41"/>
      <c r="BD951" s="41"/>
      <c r="BE951" s="41"/>
      <c r="BF951" s="41"/>
      <c r="BG951" s="41"/>
      <c r="BH951" s="41"/>
      <c r="BJ951" s="41"/>
      <c r="BK951" s="41"/>
      <c r="BL951" s="41"/>
      <c r="BM951" s="41"/>
      <c r="BN951" s="41"/>
      <c r="BO951" s="41"/>
      <c r="BP951" s="41"/>
      <c r="BQ951" s="41"/>
      <c r="BR951" s="41"/>
      <c r="BS951" s="41">
        <v>0.05</v>
      </c>
      <c r="BT951" s="41"/>
      <c r="BU951" s="41">
        <v>0.05</v>
      </c>
      <c r="BV951" s="41">
        <v>0.05</v>
      </c>
      <c r="BW951" s="41">
        <v>0.05</v>
      </c>
      <c r="BX951" s="41"/>
      <c r="BY951" s="41"/>
      <c r="BZ951" s="41"/>
      <c r="CA951" s="41"/>
      <c r="CB951" s="41"/>
      <c r="CC951" s="41"/>
      <c r="CD951" s="41"/>
      <c r="CE951" s="41">
        <v>0.05</v>
      </c>
      <c r="CF951" s="41">
        <v>0.03</v>
      </c>
      <c r="CG951" s="41">
        <v>0.02</v>
      </c>
      <c r="CH951" s="41">
        <v>0.05</v>
      </c>
      <c r="CI951" s="41">
        <v>0.05</v>
      </c>
      <c r="CJ951" s="41"/>
      <c r="CK951" s="41"/>
      <c r="CL951" s="41"/>
      <c r="CM951" s="41"/>
      <c r="CN951" s="41"/>
      <c r="CO951" s="41"/>
      <c r="CP951" s="41"/>
      <c r="CQ951" s="41">
        <v>0.3</v>
      </c>
      <c r="CR951" s="41"/>
      <c r="CS951" s="41"/>
      <c r="CT951" s="41"/>
      <c r="CU951" s="41"/>
      <c r="CV951" s="41"/>
      <c r="CW951" s="41"/>
      <c r="CX951" s="41"/>
      <c r="CY951" s="41"/>
      <c r="CZ951" s="41"/>
      <c r="DA951" s="41"/>
      <c r="DB951" s="41"/>
      <c r="DC951" s="41"/>
      <c r="DD951" s="41"/>
      <c r="DE951" s="41"/>
      <c r="DF951" s="41"/>
      <c r="DG951" s="41"/>
      <c r="DH951" s="41"/>
      <c r="DI951" s="41"/>
      <c r="DJ951" s="41"/>
      <c r="DK951" s="41">
        <v>0.3</v>
      </c>
      <c r="DL951" s="41"/>
      <c r="DM951" s="41"/>
      <c r="DN951" s="41"/>
      <c r="DO951" s="41"/>
      <c r="DP951" s="41"/>
      <c r="DQ951" s="41"/>
      <c r="DR951" s="41"/>
      <c r="DS951" s="43"/>
      <c r="DT951" s="44">
        <f t="shared" ref="DT951" si="933">SUM(F951:DR951)</f>
        <v>1</v>
      </c>
    </row>
    <row r="952" spans="2:124" s="13" customFormat="1">
      <c r="B952" s="4">
        <f>'6.1Personnel List'!B953</f>
        <v>940</v>
      </c>
      <c r="C952" s="45" t="s">
        <v>1165</v>
      </c>
      <c r="D952" s="45" t="str">
        <f>'6.1Personnel List'!D953</f>
        <v>Nurse I</v>
      </c>
      <c r="E952" s="45" t="str">
        <f>'6.1Personnel List'!H953</f>
        <v>FT</v>
      </c>
      <c r="G952" s="41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  <c r="AA952" s="41"/>
      <c r="AB952" s="41"/>
      <c r="AC952" s="41"/>
      <c r="AD952" s="41"/>
      <c r="AE952" s="41"/>
      <c r="AF952" s="41"/>
      <c r="AG952" s="41"/>
      <c r="AH952" s="41"/>
      <c r="AI952" s="41"/>
      <c r="AJ952" s="41"/>
      <c r="AK952" s="41"/>
      <c r="AL952" s="41"/>
      <c r="AM952" s="41"/>
      <c r="AN952" s="41"/>
      <c r="AO952" s="41"/>
      <c r="AP952" s="41"/>
      <c r="AQ952" s="41"/>
      <c r="AR952" s="41"/>
      <c r="AS952" s="41"/>
      <c r="AT952" s="41"/>
      <c r="AU952" s="41"/>
      <c r="AV952" s="41"/>
      <c r="AW952" s="41"/>
      <c r="AX952" s="41"/>
      <c r="AY952" s="41"/>
      <c r="AZ952" s="41"/>
      <c r="BA952" s="41"/>
      <c r="BB952" s="41"/>
      <c r="BC952" s="41"/>
      <c r="BD952" s="41"/>
      <c r="BE952" s="41"/>
      <c r="BF952" s="41"/>
      <c r="BG952" s="41"/>
      <c r="BH952" s="41"/>
      <c r="BJ952" s="41"/>
      <c r="BK952" s="41"/>
      <c r="BL952" s="41"/>
      <c r="BM952" s="41"/>
      <c r="BN952" s="41"/>
      <c r="BO952" s="41"/>
      <c r="BP952" s="41"/>
      <c r="BQ952" s="41"/>
      <c r="BR952" s="41"/>
      <c r="BS952" s="41">
        <v>0.05</v>
      </c>
      <c r="BT952" s="41"/>
      <c r="BU952" s="41"/>
      <c r="BV952" s="41">
        <v>0.05</v>
      </c>
      <c r="BW952" s="41">
        <v>0.05</v>
      </c>
      <c r="BX952" s="41"/>
      <c r="BY952" s="41"/>
      <c r="BZ952" s="41"/>
      <c r="CA952" s="41"/>
      <c r="CB952" s="41"/>
      <c r="CC952" s="41"/>
      <c r="CD952" s="41"/>
      <c r="CE952" s="41">
        <v>0.1</v>
      </c>
      <c r="CF952" s="41">
        <v>0.05</v>
      </c>
      <c r="CG952" s="41">
        <v>0.05</v>
      </c>
      <c r="CH952" s="41">
        <v>0.05</v>
      </c>
      <c r="CI952" s="41"/>
      <c r="CJ952" s="41">
        <v>0.05</v>
      </c>
      <c r="CK952" s="41"/>
      <c r="CL952" s="41">
        <v>0.2</v>
      </c>
      <c r="CM952" s="41"/>
      <c r="CN952" s="41"/>
      <c r="CO952" s="41"/>
      <c r="CP952" s="41"/>
      <c r="CQ952" s="41"/>
      <c r="CR952" s="41"/>
      <c r="CS952" s="41"/>
      <c r="CT952" s="41"/>
      <c r="CU952" s="41">
        <v>0.05</v>
      </c>
      <c r="CV952" s="41"/>
      <c r="CW952" s="41"/>
      <c r="CX952" s="41"/>
      <c r="CY952" s="41"/>
      <c r="CZ952" s="41"/>
      <c r="DA952" s="41"/>
      <c r="DB952" s="41"/>
      <c r="DC952" s="41"/>
      <c r="DD952" s="41">
        <v>0.05</v>
      </c>
      <c r="DE952" s="41"/>
      <c r="DF952" s="41"/>
      <c r="DG952" s="41"/>
      <c r="DH952" s="41"/>
      <c r="DI952" s="41"/>
      <c r="DJ952" s="41"/>
      <c r="DK952" s="41"/>
      <c r="DL952" s="41">
        <v>0.25</v>
      </c>
      <c r="DM952" s="41"/>
      <c r="DN952" s="41"/>
      <c r="DO952" s="41"/>
      <c r="DP952" s="41"/>
      <c r="DQ952" s="41"/>
      <c r="DR952" s="41"/>
      <c r="DS952" s="43"/>
      <c r="DT952" s="44">
        <f t="shared" ref="DT952" si="934">SUM(F952:DR952)</f>
        <v>1</v>
      </c>
    </row>
    <row r="953" spans="2:124" s="13" customFormat="1">
      <c r="B953" s="4">
        <f>'6.1Personnel List'!B954</f>
        <v>941</v>
      </c>
      <c r="C953" s="45" t="s">
        <v>1166</v>
      </c>
      <c r="D953" s="45" t="str">
        <f>'6.1Personnel List'!D954</f>
        <v>Nurse I</v>
      </c>
      <c r="E953" s="45" t="str">
        <f>'6.1Personnel List'!H954</f>
        <v>FT</v>
      </c>
      <c r="G953" s="41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  <c r="AA953" s="41"/>
      <c r="AB953" s="41"/>
      <c r="AC953" s="41"/>
      <c r="AD953" s="41"/>
      <c r="AE953" s="41"/>
      <c r="AF953" s="41"/>
      <c r="AG953" s="41"/>
      <c r="AH953" s="41"/>
      <c r="AI953" s="41"/>
      <c r="AJ953" s="41"/>
      <c r="AK953" s="41"/>
      <c r="AL953" s="41"/>
      <c r="AM953" s="41"/>
      <c r="AN953" s="41"/>
      <c r="AO953" s="41"/>
      <c r="AP953" s="41"/>
      <c r="AQ953" s="41"/>
      <c r="AR953" s="41"/>
      <c r="AS953" s="41"/>
      <c r="AT953" s="41"/>
      <c r="AU953" s="41"/>
      <c r="AV953" s="41"/>
      <c r="AW953" s="41"/>
      <c r="AX953" s="41"/>
      <c r="AY953" s="41"/>
      <c r="AZ953" s="41"/>
      <c r="BA953" s="41"/>
      <c r="BB953" s="41"/>
      <c r="BC953" s="41"/>
      <c r="BD953" s="41"/>
      <c r="BE953" s="41"/>
      <c r="BF953" s="41"/>
      <c r="BG953" s="41"/>
      <c r="BH953" s="41"/>
      <c r="BJ953" s="41"/>
      <c r="BK953" s="41"/>
      <c r="BL953" s="41"/>
      <c r="BM953" s="41"/>
      <c r="BN953" s="41"/>
      <c r="BO953" s="41"/>
      <c r="BP953" s="41"/>
      <c r="BQ953" s="41"/>
      <c r="BR953" s="41"/>
      <c r="BS953" s="41">
        <v>0.05</v>
      </c>
      <c r="BT953" s="41"/>
      <c r="BU953" s="41"/>
      <c r="BV953" s="41">
        <v>0.05</v>
      </c>
      <c r="BW953" s="41">
        <v>0.05</v>
      </c>
      <c r="BX953" s="41"/>
      <c r="BY953" s="41"/>
      <c r="BZ953" s="41"/>
      <c r="CA953" s="41"/>
      <c r="CB953" s="41"/>
      <c r="CC953" s="41"/>
      <c r="CD953" s="41"/>
      <c r="CE953" s="41">
        <v>0.1</v>
      </c>
      <c r="CF953" s="41">
        <v>0.05</v>
      </c>
      <c r="CG953" s="41">
        <v>0.05</v>
      </c>
      <c r="CH953" s="41">
        <v>0.05</v>
      </c>
      <c r="CI953" s="41"/>
      <c r="CJ953" s="41">
        <v>0.05</v>
      </c>
      <c r="CK953" s="41"/>
      <c r="CL953" s="41">
        <v>0.2</v>
      </c>
      <c r="CM953" s="41"/>
      <c r="CN953" s="41"/>
      <c r="CO953" s="41"/>
      <c r="CP953" s="41">
        <v>0.25</v>
      </c>
      <c r="CQ953" s="41"/>
      <c r="CR953" s="41"/>
      <c r="CS953" s="41"/>
      <c r="CT953" s="41"/>
      <c r="CU953" s="41">
        <v>0.05</v>
      </c>
      <c r="CV953" s="41"/>
      <c r="CW953" s="41"/>
      <c r="CX953" s="41"/>
      <c r="CY953" s="41"/>
      <c r="CZ953" s="41"/>
      <c r="DA953" s="41"/>
      <c r="DB953" s="41"/>
      <c r="DC953" s="41"/>
      <c r="DD953" s="41">
        <v>0.05</v>
      </c>
      <c r="DE953" s="41"/>
      <c r="DF953" s="41"/>
      <c r="DG953" s="41"/>
      <c r="DH953" s="41"/>
      <c r="DI953" s="41"/>
      <c r="DJ953" s="41"/>
      <c r="DK953" s="41"/>
      <c r="DL953" s="41"/>
      <c r="DM953" s="41"/>
      <c r="DN953" s="41"/>
      <c r="DO953" s="41"/>
      <c r="DP953" s="41"/>
      <c r="DQ953" s="41"/>
      <c r="DR953" s="41"/>
      <c r="DS953" s="43"/>
      <c r="DT953" s="44">
        <f t="shared" ref="DT953" si="935">SUM(F953:DR953)</f>
        <v>1</v>
      </c>
    </row>
    <row r="954" spans="2:124" s="13" customFormat="1">
      <c r="B954" s="4">
        <f>'6.1Personnel List'!B955</f>
        <v>942</v>
      </c>
      <c r="C954" s="45" t="s">
        <v>1167</v>
      </c>
      <c r="D954" s="45" t="str">
        <f>'6.1Personnel List'!D955</f>
        <v>Nurse I</v>
      </c>
      <c r="E954" s="45" t="str">
        <f>'6.1Personnel List'!H955</f>
        <v>FT</v>
      </c>
      <c r="G954" s="41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  <c r="AA954" s="41"/>
      <c r="AB954" s="41"/>
      <c r="AC954" s="41"/>
      <c r="AD954" s="41"/>
      <c r="AE954" s="41"/>
      <c r="AF954" s="41"/>
      <c r="AG954" s="41"/>
      <c r="AH954" s="41"/>
      <c r="AI954" s="41"/>
      <c r="AJ954" s="41"/>
      <c r="AK954" s="41"/>
      <c r="AL954" s="41"/>
      <c r="AM954" s="41"/>
      <c r="AN954" s="41"/>
      <c r="AO954" s="41"/>
      <c r="AP954" s="41"/>
      <c r="AQ954" s="41"/>
      <c r="AR954" s="41"/>
      <c r="AS954" s="41"/>
      <c r="AT954" s="41"/>
      <c r="AU954" s="41"/>
      <c r="AV954" s="41"/>
      <c r="AW954" s="41"/>
      <c r="AX954" s="41"/>
      <c r="AY954" s="41"/>
      <c r="AZ954" s="41"/>
      <c r="BA954" s="41"/>
      <c r="BB954" s="41"/>
      <c r="BC954" s="41"/>
      <c r="BD954" s="41"/>
      <c r="BE954" s="41"/>
      <c r="BF954" s="41"/>
      <c r="BG954" s="41"/>
      <c r="BH954" s="41"/>
      <c r="BJ954" s="41"/>
      <c r="BK954" s="94"/>
      <c r="BL954" s="94"/>
      <c r="BM954" s="94"/>
      <c r="BN954" s="94"/>
      <c r="BO954" s="94"/>
      <c r="BP954" s="94"/>
      <c r="BQ954" s="94"/>
      <c r="BR954" s="94"/>
      <c r="BS954" s="94"/>
      <c r="BT954" s="94"/>
      <c r="BU954" s="94"/>
      <c r="BV954" s="94"/>
      <c r="BW954" s="94"/>
      <c r="BX954" s="94"/>
      <c r="BY954" s="94"/>
      <c r="BZ954" s="94"/>
      <c r="CA954" s="94"/>
      <c r="CB954" s="94"/>
      <c r="CC954" s="94"/>
      <c r="CD954" s="94"/>
      <c r="CE954" s="94"/>
      <c r="CF954" s="94"/>
      <c r="CG954" s="94"/>
      <c r="CH954" s="94"/>
      <c r="CI954" s="94">
        <v>1</v>
      </c>
      <c r="CJ954" s="94"/>
      <c r="CK954" s="94"/>
      <c r="CL954" s="94"/>
      <c r="CM954" s="94"/>
      <c r="CN954" s="94"/>
      <c r="CO954" s="94"/>
      <c r="CP954" s="94"/>
      <c r="CQ954" s="94"/>
      <c r="CR954" s="94"/>
      <c r="CS954" s="94"/>
      <c r="CT954" s="94"/>
      <c r="CU954" s="94"/>
      <c r="CV954" s="94"/>
      <c r="CW954" s="94"/>
      <c r="CX954" s="94"/>
      <c r="CY954" s="94"/>
      <c r="CZ954" s="94"/>
      <c r="DA954" s="94"/>
      <c r="DB954" s="94"/>
      <c r="DC954" s="94"/>
      <c r="DD954" s="94"/>
      <c r="DE954" s="94"/>
      <c r="DF954" s="94"/>
      <c r="DG954" s="94"/>
      <c r="DH954" s="94"/>
      <c r="DI954" s="94"/>
      <c r="DJ954" s="94"/>
      <c r="DK954" s="41"/>
      <c r="DL954" s="41"/>
      <c r="DM954" s="41"/>
      <c r="DN954" s="41"/>
      <c r="DO954" s="41"/>
      <c r="DP954" s="41"/>
      <c r="DQ954" s="41"/>
      <c r="DR954" s="41"/>
      <c r="DS954" s="43"/>
      <c r="DT954" s="44">
        <f t="shared" ref="DT954" si="936">SUM(F954:DR954)</f>
        <v>1</v>
      </c>
    </row>
    <row r="955" spans="2:124" s="13" customFormat="1">
      <c r="B955" s="4">
        <f>'6.1Personnel List'!B956</f>
        <v>943</v>
      </c>
      <c r="C955" s="45" t="s">
        <v>1168</v>
      </c>
      <c r="D955" s="45" t="str">
        <f>'6.1Personnel List'!D956</f>
        <v>Nurse I</v>
      </c>
      <c r="E955" s="45" t="str">
        <f>'6.1Personnel List'!H956</f>
        <v>FT</v>
      </c>
      <c r="G955" s="41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  <c r="AA955" s="41"/>
      <c r="AB955" s="41"/>
      <c r="AC955" s="41"/>
      <c r="AD955" s="41"/>
      <c r="AE955" s="41"/>
      <c r="AF955" s="41"/>
      <c r="AG955" s="41"/>
      <c r="AH955" s="41"/>
      <c r="AI955" s="41"/>
      <c r="AJ955" s="41"/>
      <c r="AK955" s="41"/>
      <c r="AL955" s="41"/>
      <c r="AM955" s="41"/>
      <c r="AN955" s="41"/>
      <c r="AO955" s="41"/>
      <c r="AP955" s="41"/>
      <c r="AQ955" s="41"/>
      <c r="AR955" s="41"/>
      <c r="AS955" s="41"/>
      <c r="AT955" s="41"/>
      <c r="AU955" s="41"/>
      <c r="AV955" s="41"/>
      <c r="AW955" s="41"/>
      <c r="AX955" s="41"/>
      <c r="AY955" s="41"/>
      <c r="AZ955" s="41"/>
      <c r="BA955" s="41"/>
      <c r="BB955" s="41"/>
      <c r="BC955" s="41"/>
      <c r="BD955" s="41"/>
      <c r="BE955" s="41"/>
      <c r="BF955" s="41"/>
      <c r="BG955" s="41"/>
      <c r="BH955" s="41"/>
      <c r="BJ955" s="41"/>
      <c r="BK955" s="41"/>
      <c r="BL955" s="41"/>
      <c r="BM955" s="41"/>
      <c r="BN955" s="41"/>
      <c r="BO955" s="41"/>
      <c r="BP955" s="41"/>
      <c r="BQ955" s="41"/>
      <c r="BR955" s="41"/>
      <c r="BS955" s="41">
        <v>0.05</v>
      </c>
      <c r="BT955" s="41"/>
      <c r="BU955" s="41">
        <v>0.05</v>
      </c>
      <c r="BV955" s="41">
        <v>0.05</v>
      </c>
      <c r="BW955" s="41">
        <v>0.05</v>
      </c>
      <c r="BX955" s="41"/>
      <c r="BY955" s="41"/>
      <c r="BZ955" s="41"/>
      <c r="CA955" s="41"/>
      <c r="CB955" s="41"/>
      <c r="CC955" s="41"/>
      <c r="CD955" s="41"/>
      <c r="CE955" s="41">
        <v>0.05</v>
      </c>
      <c r="CF955" s="41">
        <v>0.03</v>
      </c>
      <c r="CG955" s="41">
        <v>0.02</v>
      </c>
      <c r="CH955" s="41">
        <v>0.05</v>
      </c>
      <c r="CI955" s="41">
        <v>0.05</v>
      </c>
      <c r="CJ955" s="41"/>
      <c r="CK955" s="41"/>
      <c r="CL955" s="41"/>
      <c r="CM955" s="41"/>
      <c r="CN955" s="41"/>
      <c r="CO955" s="41"/>
      <c r="CP955" s="41"/>
      <c r="CQ955" s="41"/>
      <c r="CR955" s="41"/>
      <c r="CS955" s="41"/>
      <c r="CT955" s="41"/>
      <c r="CU955" s="41"/>
      <c r="CV955" s="41"/>
      <c r="CW955" s="41"/>
      <c r="CX955" s="41"/>
      <c r="CY955" s="41"/>
      <c r="CZ955" s="41"/>
      <c r="DA955" s="41"/>
      <c r="DB955" s="41"/>
      <c r="DC955" s="41"/>
      <c r="DD955" s="41"/>
      <c r="DE955" s="41"/>
      <c r="DF955" s="41"/>
      <c r="DG955" s="41"/>
      <c r="DH955" s="41"/>
      <c r="DI955" s="41"/>
      <c r="DJ955" s="41"/>
      <c r="DK955" s="41">
        <v>0.6</v>
      </c>
      <c r="DL955" s="41"/>
      <c r="DM955" s="41"/>
      <c r="DN955" s="41"/>
      <c r="DO955" s="41"/>
      <c r="DP955" s="41"/>
      <c r="DQ955" s="41"/>
      <c r="DR955" s="41"/>
      <c r="DS955" s="43"/>
      <c r="DT955" s="44">
        <f t="shared" ref="DT955" si="937">SUM(F955:DR955)</f>
        <v>1</v>
      </c>
    </row>
    <row r="956" spans="2:124" s="13" customFormat="1">
      <c r="B956" s="4">
        <f>'6.1Personnel List'!B957</f>
        <v>944</v>
      </c>
      <c r="C956" s="45" t="s">
        <v>1169</v>
      </c>
      <c r="D956" s="45" t="str">
        <f>'6.1Personnel List'!D957</f>
        <v>Nurse I</v>
      </c>
      <c r="E956" s="45" t="str">
        <f>'6.1Personnel List'!H957</f>
        <v>FT</v>
      </c>
      <c r="G956" s="41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  <c r="AA956" s="41"/>
      <c r="AB956" s="41"/>
      <c r="AC956" s="41"/>
      <c r="AD956" s="41"/>
      <c r="AE956" s="41"/>
      <c r="AF956" s="41"/>
      <c r="AG956" s="41"/>
      <c r="AH956" s="41"/>
      <c r="AI956" s="41"/>
      <c r="AJ956" s="41"/>
      <c r="AK956" s="41"/>
      <c r="AL956" s="41"/>
      <c r="AM956" s="41"/>
      <c r="AN956" s="41"/>
      <c r="AO956" s="41"/>
      <c r="AP956" s="41"/>
      <c r="AQ956" s="41"/>
      <c r="AR956" s="41"/>
      <c r="AS956" s="41"/>
      <c r="AT956" s="41"/>
      <c r="AU956" s="41"/>
      <c r="AV956" s="41"/>
      <c r="AW956" s="41"/>
      <c r="AX956" s="41"/>
      <c r="AY956" s="41"/>
      <c r="AZ956" s="41"/>
      <c r="BA956" s="41"/>
      <c r="BB956" s="41"/>
      <c r="BC956" s="41"/>
      <c r="BD956" s="41"/>
      <c r="BE956" s="41"/>
      <c r="BF956" s="41"/>
      <c r="BG956" s="41"/>
      <c r="BH956" s="41"/>
      <c r="BJ956" s="41"/>
      <c r="BK956" s="41"/>
      <c r="BL956" s="41"/>
      <c r="BM956" s="41"/>
      <c r="BN956" s="41"/>
      <c r="BO956" s="41"/>
      <c r="BP956" s="41"/>
      <c r="BQ956" s="41"/>
      <c r="BR956" s="41"/>
      <c r="BS956" s="41"/>
      <c r="BT956" s="41"/>
      <c r="BU956" s="41"/>
      <c r="BV956" s="41"/>
      <c r="BW956" s="41"/>
      <c r="BX956" s="41"/>
      <c r="BY956" s="41"/>
      <c r="BZ956" s="41"/>
      <c r="CA956" s="41"/>
      <c r="CB956" s="41"/>
      <c r="CC956" s="41"/>
      <c r="CD956" s="41"/>
      <c r="CE956" s="41"/>
      <c r="CF956" s="41"/>
      <c r="CG956" s="41"/>
      <c r="CH956" s="41"/>
      <c r="CI956" s="41"/>
      <c r="CJ956" s="41"/>
      <c r="CK956" s="41"/>
      <c r="CL956" s="41"/>
      <c r="CM956" s="41"/>
      <c r="CN956" s="92">
        <v>0.25</v>
      </c>
      <c r="CO956" s="41"/>
      <c r="CP956" s="41"/>
      <c r="CQ956" s="41"/>
      <c r="CR956" s="41"/>
      <c r="CS956" s="41"/>
      <c r="CT956" s="41"/>
      <c r="CU956" s="41"/>
      <c r="CV956" s="41"/>
      <c r="CW956" s="41"/>
      <c r="CX956" s="41"/>
      <c r="CY956" s="41"/>
      <c r="CZ956" s="41"/>
      <c r="DA956" s="41"/>
      <c r="DB956" s="92">
        <v>0.25</v>
      </c>
      <c r="DC956" s="92">
        <v>0.25</v>
      </c>
      <c r="DD956" s="41"/>
      <c r="DE956" s="41"/>
      <c r="DF956" s="41"/>
      <c r="DG956" s="41"/>
      <c r="DH956" s="41"/>
      <c r="DI956" s="41"/>
      <c r="DJ956" s="92">
        <v>0.25</v>
      </c>
      <c r="DK956" s="41"/>
      <c r="DL956" s="41"/>
      <c r="DM956" s="41"/>
      <c r="DN956" s="41"/>
      <c r="DO956" s="41"/>
      <c r="DP956" s="41"/>
      <c r="DQ956" s="41"/>
      <c r="DR956" s="41"/>
      <c r="DS956" s="43"/>
      <c r="DT956" s="44">
        <f t="shared" ref="DT956" si="938">SUM(F956:DR956)</f>
        <v>1</v>
      </c>
    </row>
    <row r="957" spans="2:124" s="13" customFormat="1">
      <c r="B957" s="4">
        <f>'6.1Personnel List'!B958</f>
        <v>945</v>
      </c>
      <c r="C957" s="45" t="s">
        <v>1170</v>
      </c>
      <c r="D957" s="45" t="str">
        <f>'6.1Personnel List'!D958</f>
        <v>Nurse I</v>
      </c>
      <c r="E957" s="45" t="str">
        <f>'6.1Personnel List'!H958</f>
        <v>FT</v>
      </c>
      <c r="G957" s="41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  <c r="AA957" s="41"/>
      <c r="AB957" s="41"/>
      <c r="AC957" s="41"/>
      <c r="AD957" s="41"/>
      <c r="AE957" s="41"/>
      <c r="AF957" s="41"/>
      <c r="AG957" s="41"/>
      <c r="AH957" s="41"/>
      <c r="AI957" s="41"/>
      <c r="AJ957" s="41"/>
      <c r="AK957" s="41"/>
      <c r="AL957" s="41"/>
      <c r="AM957" s="41"/>
      <c r="AN957" s="41"/>
      <c r="AO957" s="41"/>
      <c r="AP957" s="41"/>
      <c r="AQ957" s="41"/>
      <c r="AR957" s="41"/>
      <c r="AS957" s="41"/>
      <c r="AT957" s="41"/>
      <c r="AU957" s="41"/>
      <c r="AV957" s="41"/>
      <c r="AW957" s="41"/>
      <c r="AX957" s="41"/>
      <c r="AY957" s="41"/>
      <c r="AZ957" s="41"/>
      <c r="BA957" s="41"/>
      <c r="BB957" s="41"/>
      <c r="BC957" s="41"/>
      <c r="BD957" s="41"/>
      <c r="BE957" s="41"/>
      <c r="BF957" s="41"/>
      <c r="BG957" s="41"/>
      <c r="BH957" s="41"/>
      <c r="BJ957" s="41"/>
      <c r="BK957" s="41"/>
      <c r="BL957" s="41"/>
      <c r="BM957" s="41"/>
      <c r="BN957" s="41"/>
      <c r="BO957" s="41"/>
      <c r="BP957" s="41"/>
      <c r="BQ957" s="41"/>
      <c r="BR957" s="41"/>
      <c r="BS957" s="41"/>
      <c r="BT957" s="41"/>
      <c r="BU957" s="41"/>
      <c r="BV957" s="41"/>
      <c r="BW957" s="41"/>
      <c r="BX957" s="41"/>
      <c r="BY957" s="41"/>
      <c r="BZ957" s="41"/>
      <c r="CA957" s="41"/>
      <c r="CB957" s="41">
        <v>0.01</v>
      </c>
      <c r="CC957" s="41"/>
      <c r="CD957" s="41"/>
      <c r="CE957" s="41">
        <v>0.02</v>
      </c>
      <c r="CF957" s="41">
        <v>0.02</v>
      </c>
      <c r="CG957" s="41">
        <v>0.1</v>
      </c>
      <c r="CH957" s="41">
        <v>0.1</v>
      </c>
      <c r="CI957" s="41">
        <v>0.02</v>
      </c>
      <c r="CJ957" s="41"/>
      <c r="CK957" s="41">
        <v>0.01</v>
      </c>
      <c r="CL957" s="41">
        <v>0.05</v>
      </c>
      <c r="CM957" s="41"/>
      <c r="CN957" s="41">
        <v>0.05</v>
      </c>
      <c r="CO957" s="41">
        <v>0.05</v>
      </c>
      <c r="CP957" s="41">
        <v>0.05</v>
      </c>
      <c r="CQ957" s="41">
        <v>0.05</v>
      </c>
      <c r="CR957" s="41">
        <v>0.02</v>
      </c>
      <c r="CS957" s="41">
        <v>0.01</v>
      </c>
      <c r="CT957" s="41"/>
      <c r="CU957" s="41"/>
      <c r="CV957" s="41">
        <v>0.02</v>
      </c>
      <c r="CW957" s="41"/>
      <c r="CX957" s="41"/>
      <c r="CY957" s="41"/>
      <c r="CZ957" s="41"/>
      <c r="DA957" s="41"/>
      <c r="DB957" s="41"/>
      <c r="DC957" s="41"/>
      <c r="DD957" s="41">
        <v>0.12</v>
      </c>
      <c r="DE957" s="41"/>
      <c r="DF957" s="41"/>
      <c r="DG957" s="41"/>
      <c r="DH957" s="41"/>
      <c r="DI957" s="41"/>
      <c r="DJ957" s="41">
        <v>0.05</v>
      </c>
      <c r="DK957" s="41">
        <v>0.05</v>
      </c>
      <c r="DL957" s="41">
        <v>0.05</v>
      </c>
      <c r="DM957" s="41">
        <v>0.05</v>
      </c>
      <c r="DN957" s="41"/>
      <c r="DO957" s="41"/>
      <c r="DP957" s="41">
        <v>0.05</v>
      </c>
      <c r="DQ957" s="41"/>
      <c r="DR957" s="41">
        <v>0.05</v>
      </c>
      <c r="DS957" s="43"/>
      <c r="DT957" s="44">
        <f t="shared" ref="DT957" si="939">SUM(F957:DR957)</f>
        <v>1.0000000000000002</v>
      </c>
    </row>
    <row r="958" spans="2:124" s="13" customFormat="1">
      <c r="B958" s="4">
        <f>'6.1Personnel List'!B959</f>
        <v>946</v>
      </c>
      <c r="C958" s="45" t="s">
        <v>1171</v>
      </c>
      <c r="D958" s="45" t="str">
        <f>'6.1Personnel List'!D959</f>
        <v>Nurse I</v>
      </c>
      <c r="E958" s="45" t="str">
        <f>'6.1Personnel List'!H959</f>
        <v>FT</v>
      </c>
      <c r="G958" s="41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  <c r="AA958" s="41"/>
      <c r="AB958" s="41"/>
      <c r="AC958" s="41"/>
      <c r="AD958" s="41"/>
      <c r="AE958" s="41"/>
      <c r="AF958" s="41"/>
      <c r="AG958" s="41"/>
      <c r="AH958" s="41"/>
      <c r="AI958" s="41"/>
      <c r="AJ958" s="41"/>
      <c r="AK958" s="41"/>
      <c r="AL958" s="41"/>
      <c r="AM958" s="41"/>
      <c r="AN958" s="41"/>
      <c r="AO958" s="41"/>
      <c r="AP958" s="41"/>
      <c r="AQ958" s="41"/>
      <c r="AR958" s="41"/>
      <c r="AS958" s="41"/>
      <c r="AT958" s="41"/>
      <c r="AU958" s="41"/>
      <c r="AV958" s="41"/>
      <c r="AW958" s="41"/>
      <c r="AX958" s="41"/>
      <c r="AY958" s="41"/>
      <c r="AZ958" s="41"/>
      <c r="BA958" s="41"/>
      <c r="BB958" s="41"/>
      <c r="BC958" s="41"/>
      <c r="BD958" s="41"/>
      <c r="BE958" s="41"/>
      <c r="BF958" s="41"/>
      <c r="BG958" s="41"/>
      <c r="BH958" s="41"/>
      <c r="BJ958" s="41"/>
      <c r="BK958" s="41"/>
      <c r="BL958" s="41"/>
      <c r="BM958" s="41"/>
      <c r="BN958" s="41"/>
      <c r="BO958" s="41"/>
      <c r="BP958" s="41"/>
      <c r="BQ958" s="41"/>
      <c r="BR958" s="41"/>
      <c r="BS958" s="41"/>
      <c r="BT958" s="41"/>
      <c r="BU958" s="41"/>
      <c r="BV958" s="41">
        <v>0.05</v>
      </c>
      <c r="BW958" s="41"/>
      <c r="BX958" s="41"/>
      <c r="BY958" s="41"/>
      <c r="BZ958" s="41"/>
      <c r="CA958" s="41"/>
      <c r="CB958" s="41">
        <v>0.05</v>
      </c>
      <c r="CC958" s="41"/>
      <c r="CD958" s="41"/>
      <c r="CE958" s="41">
        <v>0.05</v>
      </c>
      <c r="CF958" s="41">
        <v>0.05</v>
      </c>
      <c r="CG958" s="41"/>
      <c r="CH958" s="41"/>
      <c r="CI958" s="41"/>
      <c r="CJ958" s="41"/>
      <c r="CK958" s="41"/>
      <c r="CL958" s="41">
        <v>0.8</v>
      </c>
      <c r="CM958" s="41"/>
      <c r="CN958" s="41"/>
      <c r="CO958" s="41"/>
      <c r="CP958" s="41"/>
      <c r="CQ958" s="41"/>
      <c r="CR958" s="41"/>
      <c r="CS958" s="41"/>
      <c r="CT958" s="41"/>
      <c r="CU958" s="41"/>
      <c r="CV958" s="41"/>
      <c r="CW958" s="41"/>
      <c r="CX958" s="41"/>
      <c r="CY958" s="41"/>
      <c r="CZ958" s="41"/>
      <c r="DA958" s="41"/>
      <c r="DB958" s="41"/>
      <c r="DC958" s="41"/>
      <c r="DD958" s="41"/>
      <c r="DE958" s="41"/>
      <c r="DF958" s="41"/>
      <c r="DG958" s="41"/>
      <c r="DH958" s="41"/>
      <c r="DI958" s="41"/>
      <c r="DJ958" s="41"/>
      <c r="DK958" s="41"/>
      <c r="DL958" s="41"/>
      <c r="DM958" s="41"/>
      <c r="DN958" s="41"/>
      <c r="DO958" s="41"/>
      <c r="DP958" s="41"/>
      <c r="DQ958" s="41"/>
      <c r="DR958" s="41"/>
      <c r="DS958" s="43"/>
      <c r="DT958" s="44">
        <f t="shared" ref="DT958" si="940">SUM(F958:DR958)</f>
        <v>1</v>
      </c>
    </row>
    <row r="959" spans="2:124" s="13" customFormat="1">
      <c r="B959" s="4">
        <f>'6.1Personnel List'!B960</f>
        <v>947</v>
      </c>
      <c r="C959" s="45" t="s">
        <v>1172</v>
      </c>
      <c r="D959" s="45" t="str">
        <f>'6.1Personnel List'!D960</f>
        <v>Nurse I</v>
      </c>
      <c r="E959" s="45" t="str">
        <f>'6.1Personnel List'!H960</f>
        <v>FT</v>
      </c>
      <c r="G959" s="41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  <c r="AA959" s="41"/>
      <c r="AB959" s="41"/>
      <c r="AC959" s="41"/>
      <c r="AD959" s="41"/>
      <c r="AE959" s="41"/>
      <c r="AF959" s="41"/>
      <c r="AG959" s="41"/>
      <c r="AH959" s="41"/>
      <c r="AI959" s="41"/>
      <c r="AJ959" s="41"/>
      <c r="AK959" s="41"/>
      <c r="AL959" s="41"/>
      <c r="AM959" s="41"/>
      <c r="AN959" s="41"/>
      <c r="AO959" s="41"/>
      <c r="AP959" s="41"/>
      <c r="AQ959" s="41"/>
      <c r="AR959" s="41"/>
      <c r="AS959" s="41"/>
      <c r="AT959" s="41"/>
      <c r="AU959" s="41"/>
      <c r="AV959" s="41"/>
      <c r="AW959" s="41"/>
      <c r="AX959" s="41"/>
      <c r="AY959" s="41"/>
      <c r="AZ959" s="41"/>
      <c r="BA959" s="41"/>
      <c r="BB959" s="41"/>
      <c r="BC959" s="41"/>
      <c r="BD959" s="41"/>
      <c r="BE959" s="41"/>
      <c r="BF959" s="41"/>
      <c r="BG959" s="41"/>
      <c r="BH959" s="41"/>
      <c r="BJ959" s="41"/>
      <c r="BK959" s="41"/>
      <c r="BL959" s="41"/>
      <c r="BM959" s="41"/>
      <c r="BN959" s="41"/>
      <c r="BO959" s="41"/>
      <c r="BP959" s="41"/>
      <c r="BQ959" s="41"/>
      <c r="BR959" s="41"/>
      <c r="BS959" s="41"/>
      <c r="BT959" s="41"/>
      <c r="BU959" s="41"/>
      <c r="BV959" s="41"/>
      <c r="BW959" s="41"/>
      <c r="BX959" s="41"/>
      <c r="BY959" s="41"/>
      <c r="BZ959" s="41"/>
      <c r="CA959" s="41"/>
      <c r="CB959" s="41"/>
      <c r="CC959" s="41"/>
      <c r="CD959" s="41"/>
      <c r="CE959" s="41"/>
      <c r="CF959" s="41"/>
      <c r="CG959" s="41"/>
      <c r="CH959" s="41"/>
      <c r="CI959" s="41"/>
      <c r="CJ959" s="41"/>
      <c r="CK959" s="41"/>
      <c r="CL959" s="41"/>
      <c r="CM959" s="41"/>
      <c r="CN959" s="41"/>
      <c r="CO959" s="41"/>
      <c r="CP959" s="41"/>
      <c r="CQ959" s="41"/>
      <c r="CR959" s="41"/>
      <c r="CS959" s="41"/>
      <c r="CT959" s="41"/>
      <c r="CU959" s="41"/>
      <c r="CV959" s="41"/>
      <c r="CW959" s="41"/>
      <c r="CX959" s="41">
        <v>1</v>
      </c>
      <c r="CY959" s="41"/>
      <c r="CZ959" s="41"/>
      <c r="DA959" s="41"/>
      <c r="DB959" s="41"/>
      <c r="DC959" s="41"/>
      <c r="DD959" s="41"/>
      <c r="DE959" s="41"/>
      <c r="DF959" s="41"/>
      <c r="DG959" s="41"/>
      <c r="DH959" s="41"/>
      <c r="DI959" s="41"/>
      <c r="DJ959" s="41"/>
      <c r="DK959" s="41"/>
      <c r="DL959" s="41"/>
      <c r="DM959" s="41"/>
      <c r="DN959" s="41"/>
      <c r="DO959" s="41"/>
      <c r="DP959" s="41"/>
      <c r="DQ959" s="41"/>
      <c r="DR959" s="41"/>
      <c r="DS959" s="43"/>
      <c r="DT959" s="44">
        <f t="shared" ref="DT959" si="941">SUM(F959:DR959)</f>
        <v>1</v>
      </c>
    </row>
    <row r="960" spans="2:124" s="13" customFormat="1">
      <c r="B960" s="4">
        <f>'6.1Personnel List'!B961</f>
        <v>948</v>
      </c>
      <c r="C960" s="45" t="s">
        <v>1173</v>
      </c>
      <c r="D960" s="45" t="str">
        <f>'6.1Personnel List'!D961</f>
        <v>Nurse I</v>
      </c>
      <c r="E960" s="45" t="str">
        <f>'6.1Personnel List'!H961</f>
        <v>FT</v>
      </c>
      <c r="G960" s="41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  <c r="AA960" s="41"/>
      <c r="AB960" s="41"/>
      <c r="AC960" s="41"/>
      <c r="AD960" s="41"/>
      <c r="AE960" s="41"/>
      <c r="AF960" s="41"/>
      <c r="AG960" s="41"/>
      <c r="AH960" s="41"/>
      <c r="AI960" s="41"/>
      <c r="AJ960" s="41"/>
      <c r="AK960" s="41"/>
      <c r="AL960" s="41"/>
      <c r="AM960" s="41"/>
      <c r="AN960" s="41"/>
      <c r="AO960" s="41"/>
      <c r="AP960" s="41"/>
      <c r="AQ960" s="41"/>
      <c r="AR960" s="41"/>
      <c r="AS960" s="41"/>
      <c r="AT960" s="41"/>
      <c r="AU960" s="41"/>
      <c r="AV960" s="41"/>
      <c r="AW960" s="41"/>
      <c r="AX960" s="41"/>
      <c r="AY960" s="41"/>
      <c r="AZ960" s="41"/>
      <c r="BA960" s="41"/>
      <c r="BB960" s="41"/>
      <c r="BC960" s="41"/>
      <c r="BD960" s="41"/>
      <c r="BE960" s="41"/>
      <c r="BF960" s="41"/>
      <c r="BG960" s="41"/>
      <c r="BH960" s="41"/>
      <c r="BJ960" s="41"/>
      <c r="BK960" s="41"/>
      <c r="BL960" s="41"/>
      <c r="BM960" s="41"/>
      <c r="BN960" s="41"/>
      <c r="BO960" s="41"/>
      <c r="BP960" s="41"/>
      <c r="BQ960" s="41"/>
      <c r="BR960" s="41"/>
      <c r="BS960" s="41">
        <v>0.05</v>
      </c>
      <c r="BT960" s="41"/>
      <c r="BU960" s="41"/>
      <c r="BV960" s="41">
        <v>0.05</v>
      </c>
      <c r="BW960" s="41">
        <v>0.05</v>
      </c>
      <c r="BX960" s="41"/>
      <c r="BY960" s="41"/>
      <c r="BZ960" s="41"/>
      <c r="CA960" s="41"/>
      <c r="CB960" s="41"/>
      <c r="CC960" s="41"/>
      <c r="CD960" s="41"/>
      <c r="CE960" s="41">
        <v>0.1</v>
      </c>
      <c r="CF960" s="41">
        <v>0.05</v>
      </c>
      <c r="CG960" s="41">
        <v>0.05</v>
      </c>
      <c r="CH960" s="41">
        <v>0.05</v>
      </c>
      <c r="CI960" s="41"/>
      <c r="CJ960" s="41">
        <v>0.05</v>
      </c>
      <c r="CK960" s="41"/>
      <c r="CL960" s="41">
        <v>0.2</v>
      </c>
      <c r="CM960" s="41"/>
      <c r="CN960" s="41"/>
      <c r="CO960" s="41"/>
      <c r="CP960" s="41">
        <v>0.25</v>
      </c>
      <c r="CQ960" s="41"/>
      <c r="CR960" s="41"/>
      <c r="CS960" s="41"/>
      <c r="CT960" s="41"/>
      <c r="CU960" s="41">
        <v>0.05</v>
      </c>
      <c r="CV960" s="41"/>
      <c r="CW960" s="41"/>
      <c r="CX960" s="41"/>
      <c r="CY960" s="41"/>
      <c r="CZ960" s="41"/>
      <c r="DA960" s="41"/>
      <c r="DB960" s="41"/>
      <c r="DC960" s="41"/>
      <c r="DD960" s="41">
        <v>0.05</v>
      </c>
      <c r="DE960" s="41"/>
      <c r="DF960" s="41"/>
      <c r="DG960" s="41"/>
      <c r="DH960" s="41"/>
      <c r="DI960" s="41"/>
      <c r="DJ960" s="41"/>
      <c r="DK960" s="41"/>
      <c r="DL960" s="41"/>
      <c r="DM960" s="41"/>
      <c r="DN960" s="41"/>
      <c r="DO960" s="41"/>
      <c r="DP960" s="41"/>
      <c r="DQ960" s="41"/>
      <c r="DR960" s="41"/>
      <c r="DS960" s="43"/>
      <c r="DT960" s="44">
        <f t="shared" ref="DT960" si="942">SUM(F960:DR960)</f>
        <v>1</v>
      </c>
    </row>
    <row r="961" spans="2:124" s="13" customFormat="1">
      <c r="B961" s="4">
        <f>'6.1Personnel List'!B962</f>
        <v>949</v>
      </c>
      <c r="C961" s="45" t="s">
        <v>1174</v>
      </c>
      <c r="D961" s="45" t="str">
        <f>'6.1Personnel List'!D962</f>
        <v>Nurse I</v>
      </c>
      <c r="E961" s="45" t="str">
        <f>'6.1Personnel List'!H962</f>
        <v>FT</v>
      </c>
      <c r="G961" s="41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  <c r="AA961" s="41"/>
      <c r="AB961" s="41"/>
      <c r="AC961" s="41"/>
      <c r="AD961" s="41"/>
      <c r="AE961" s="41"/>
      <c r="AF961" s="41"/>
      <c r="AG961" s="41"/>
      <c r="AH961" s="41"/>
      <c r="AI961" s="41"/>
      <c r="AJ961" s="41"/>
      <c r="AK961" s="41"/>
      <c r="AL961" s="41"/>
      <c r="AM961" s="41"/>
      <c r="AN961" s="41"/>
      <c r="AO961" s="41"/>
      <c r="AP961" s="41"/>
      <c r="AQ961" s="41"/>
      <c r="AR961" s="41"/>
      <c r="AS961" s="41"/>
      <c r="AT961" s="41"/>
      <c r="AU961" s="41"/>
      <c r="AV961" s="41"/>
      <c r="AW961" s="41"/>
      <c r="AX961" s="41"/>
      <c r="AY961" s="41"/>
      <c r="AZ961" s="41"/>
      <c r="BA961" s="41"/>
      <c r="BB961" s="41"/>
      <c r="BC961" s="41"/>
      <c r="BD961" s="41"/>
      <c r="BE961" s="41"/>
      <c r="BF961" s="41"/>
      <c r="BG961" s="41"/>
      <c r="BH961" s="41"/>
      <c r="BJ961" s="41"/>
      <c r="BK961" s="41"/>
      <c r="BL961" s="41"/>
      <c r="BM961" s="41"/>
      <c r="BN961" s="41"/>
      <c r="BO961" s="41"/>
      <c r="BP961" s="41"/>
      <c r="BQ961" s="41"/>
      <c r="BR961" s="41"/>
      <c r="BS961" s="41">
        <v>0.05</v>
      </c>
      <c r="BT961" s="41"/>
      <c r="BU961" s="41">
        <v>0.05</v>
      </c>
      <c r="BV961" s="41">
        <v>0.05</v>
      </c>
      <c r="BW961" s="41">
        <v>0.05</v>
      </c>
      <c r="BX961" s="41"/>
      <c r="BY961" s="41"/>
      <c r="BZ961" s="41"/>
      <c r="CA961" s="41"/>
      <c r="CB961" s="41"/>
      <c r="CC961" s="41"/>
      <c r="CD961" s="41"/>
      <c r="CE961" s="41">
        <v>0.05</v>
      </c>
      <c r="CF961" s="41">
        <v>0.03</v>
      </c>
      <c r="CG961" s="41">
        <v>0.02</v>
      </c>
      <c r="CH961" s="41">
        <v>0.05</v>
      </c>
      <c r="CI961" s="41">
        <v>0.05</v>
      </c>
      <c r="CJ961" s="41"/>
      <c r="CK961" s="41"/>
      <c r="CL961" s="41"/>
      <c r="CM961" s="41"/>
      <c r="CN961" s="41"/>
      <c r="CO961" s="41"/>
      <c r="CP961" s="41"/>
      <c r="CQ961" s="41">
        <v>0.3</v>
      </c>
      <c r="CR961" s="41"/>
      <c r="CS961" s="41"/>
      <c r="CT961" s="41"/>
      <c r="CU961" s="41"/>
      <c r="CV961" s="41"/>
      <c r="CW961" s="41"/>
      <c r="CX961" s="41"/>
      <c r="CY961" s="41"/>
      <c r="CZ961" s="41"/>
      <c r="DA961" s="41"/>
      <c r="DB961" s="41"/>
      <c r="DC961" s="41"/>
      <c r="DD961" s="41"/>
      <c r="DE961" s="41"/>
      <c r="DF961" s="41"/>
      <c r="DG961" s="41"/>
      <c r="DH961" s="41"/>
      <c r="DI961" s="41"/>
      <c r="DJ961" s="41"/>
      <c r="DK961" s="41">
        <v>0.3</v>
      </c>
      <c r="DL961" s="41"/>
      <c r="DM961" s="41"/>
      <c r="DN961" s="41"/>
      <c r="DO961" s="41"/>
      <c r="DP961" s="41"/>
      <c r="DQ961" s="41"/>
      <c r="DR961" s="41"/>
      <c r="DS961" s="43"/>
      <c r="DT961" s="44">
        <f t="shared" ref="DT961" si="943">SUM(F961:DR961)</f>
        <v>1</v>
      </c>
    </row>
    <row r="962" spans="2:124" s="13" customFormat="1">
      <c r="B962" s="4">
        <f>'6.1Personnel List'!B963</f>
        <v>950</v>
      </c>
      <c r="C962" s="45" t="s">
        <v>1175</v>
      </c>
      <c r="D962" s="45" t="str">
        <f>'6.1Personnel List'!D963</f>
        <v>Nurse I</v>
      </c>
      <c r="E962" s="45" t="str">
        <f>'6.1Personnel List'!H963</f>
        <v>FT</v>
      </c>
      <c r="G962" s="41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  <c r="AA962" s="41"/>
      <c r="AB962" s="41"/>
      <c r="AC962" s="41"/>
      <c r="AD962" s="41"/>
      <c r="AE962" s="41"/>
      <c r="AF962" s="41"/>
      <c r="AG962" s="41"/>
      <c r="AH962" s="41"/>
      <c r="AI962" s="41"/>
      <c r="AJ962" s="41"/>
      <c r="AK962" s="41"/>
      <c r="AL962" s="41"/>
      <c r="AM962" s="41"/>
      <c r="AN962" s="41"/>
      <c r="AO962" s="41"/>
      <c r="AP962" s="41"/>
      <c r="AQ962" s="41"/>
      <c r="AR962" s="41"/>
      <c r="AS962" s="41"/>
      <c r="AT962" s="41"/>
      <c r="AU962" s="41"/>
      <c r="AV962" s="41"/>
      <c r="AW962" s="41"/>
      <c r="AX962" s="41"/>
      <c r="AY962" s="41"/>
      <c r="AZ962" s="41"/>
      <c r="BA962" s="41"/>
      <c r="BB962" s="41"/>
      <c r="BC962" s="41"/>
      <c r="BD962" s="41"/>
      <c r="BE962" s="41"/>
      <c r="BF962" s="41"/>
      <c r="BG962" s="41"/>
      <c r="BH962" s="41"/>
      <c r="BJ962" s="41"/>
      <c r="BK962" s="41"/>
      <c r="BL962" s="41"/>
      <c r="BM962" s="41"/>
      <c r="BN962" s="41"/>
      <c r="BO962" s="41"/>
      <c r="BP962" s="41"/>
      <c r="BQ962" s="41"/>
      <c r="BR962" s="41"/>
      <c r="BS962" s="41"/>
      <c r="BT962" s="41"/>
      <c r="BU962" s="41"/>
      <c r="BV962" s="41">
        <v>0.05</v>
      </c>
      <c r="BW962" s="41"/>
      <c r="BX962" s="41"/>
      <c r="BY962" s="41"/>
      <c r="BZ962" s="41"/>
      <c r="CA962" s="41"/>
      <c r="CB962" s="41">
        <v>0.05</v>
      </c>
      <c r="CC962" s="41"/>
      <c r="CD962" s="41"/>
      <c r="CE962" s="41">
        <v>0.05</v>
      </c>
      <c r="CF962" s="41">
        <v>0.05</v>
      </c>
      <c r="CG962" s="41"/>
      <c r="CH962" s="41"/>
      <c r="CI962" s="41"/>
      <c r="CJ962" s="41"/>
      <c r="CK962" s="41"/>
      <c r="CL962" s="41">
        <v>0.8</v>
      </c>
      <c r="CM962" s="41"/>
      <c r="CN962" s="41"/>
      <c r="CO962" s="41"/>
      <c r="CP962" s="41"/>
      <c r="CQ962" s="41"/>
      <c r="CR962" s="41"/>
      <c r="CS962" s="41"/>
      <c r="CT962" s="41"/>
      <c r="CU962" s="41"/>
      <c r="CV962" s="41"/>
      <c r="CW962" s="41"/>
      <c r="CX962" s="41"/>
      <c r="CY962" s="41"/>
      <c r="CZ962" s="41"/>
      <c r="DA962" s="41"/>
      <c r="DB962" s="41"/>
      <c r="DC962" s="41"/>
      <c r="DD962" s="41"/>
      <c r="DE962" s="41"/>
      <c r="DF962" s="41"/>
      <c r="DG962" s="41"/>
      <c r="DH962" s="41"/>
      <c r="DI962" s="41"/>
      <c r="DJ962" s="41"/>
      <c r="DK962" s="41"/>
      <c r="DL962" s="41"/>
      <c r="DM962" s="41"/>
      <c r="DN962" s="41"/>
      <c r="DO962" s="41"/>
      <c r="DP962" s="41"/>
      <c r="DQ962" s="41"/>
      <c r="DR962" s="41"/>
      <c r="DS962" s="43"/>
      <c r="DT962" s="44">
        <f t="shared" ref="DT962" si="944">SUM(F962:DR962)</f>
        <v>1</v>
      </c>
    </row>
    <row r="963" spans="2:124" s="13" customFormat="1">
      <c r="B963" s="4">
        <f>'6.1Personnel List'!B964</f>
        <v>951</v>
      </c>
      <c r="C963" s="45" t="s">
        <v>1176</v>
      </c>
      <c r="D963" s="45" t="str">
        <f>'6.1Personnel List'!D964</f>
        <v>Nurse I</v>
      </c>
      <c r="E963" s="45" t="str">
        <f>'6.1Personnel List'!H964</f>
        <v>FT</v>
      </c>
      <c r="G963" s="41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  <c r="AA963" s="41"/>
      <c r="AB963" s="41"/>
      <c r="AC963" s="41"/>
      <c r="AD963" s="41"/>
      <c r="AE963" s="41"/>
      <c r="AF963" s="41"/>
      <c r="AG963" s="41"/>
      <c r="AH963" s="41"/>
      <c r="AI963" s="41"/>
      <c r="AJ963" s="41"/>
      <c r="AK963" s="41"/>
      <c r="AL963" s="41"/>
      <c r="AM963" s="41"/>
      <c r="AN963" s="41"/>
      <c r="AO963" s="41"/>
      <c r="AP963" s="41"/>
      <c r="AQ963" s="41"/>
      <c r="AR963" s="41"/>
      <c r="AS963" s="41"/>
      <c r="AT963" s="41"/>
      <c r="AU963" s="41"/>
      <c r="AV963" s="41"/>
      <c r="AW963" s="41"/>
      <c r="AX963" s="41"/>
      <c r="AY963" s="41"/>
      <c r="AZ963" s="41"/>
      <c r="BA963" s="41"/>
      <c r="BB963" s="41"/>
      <c r="BC963" s="41"/>
      <c r="BD963" s="41"/>
      <c r="BE963" s="41"/>
      <c r="BF963" s="41"/>
      <c r="BG963" s="41"/>
      <c r="BH963" s="41"/>
      <c r="BJ963" s="41"/>
      <c r="BK963" s="41"/>
      <c r="BL963" s="41"/>
      <c r="BM963" s="41"/>
      <c r="BN963" s="41"/>
      <c r="BO963" s="41"/>
      <c r="BP963" s="41"/>
      <c r="BQ963" s="41"/>
      <c r="BR963" s="41"/>
      <c r="BS963" s="41">
        <v>0.05</v>
      </c>
      <c r="BT963" s="41"/>
      <c r="BU963" s="41">
        <v>0.05</v>
      </c>
      <c r="BV963" s="41">
        <v>0.05</v>
      </c>
      <c r="BW963" s="41">
        <v>0.05</v>
      </c>
      <c r="BX963" s="41"/>
      <c r="BY963" s="41"/>
      <c r="BZ963" s="41"/>
      <c r="CA963" s="41"/>
      <c r="CB963" s="41"/>
      <c r="CC963" s="41"/>
      <c r="CD963" s="41"/>
      <c r="CE963" s="41">
        <v>0.05</v>
      </c>
      <c r="CF963" s="41">
        <v>0.03</v>
      </c>
      <c r="CG963" s="41">
        <v>0.02</v>
      </c>
      <c r="CH963" s="41">
        <v>0.05</v>
      </c>
      <c r="CI963" s="41">
        <v>0.05</v>
      </c>
      <c r="CJ963" s="41"/>
      <c r="CK963" s="41"/>
      <c r="CL963" s="41"/>
      <c r="CM963" s="41"/>
      <c r="CN963" s="41"/>
      <c r="CO963" s="41"/>
      <c r="CP963" s="41"/>
      <c r="CQ963" s="41"/>
      <c r="CR963" s="41"/>
      <c r="CS963" s="41"/>
      <c r="CT963" s="41"/>
      <c r="CU963" s="41"/>
      <c r="CV963" s="41"/>
      <c r="CW963" s="41"/>
      <c r="CX963" s="41"/>
      <c r="CY963" s="41"/>
      <c r="CZ963" s="41"/>
      <c r="DA963" s="41"/>
      <c r="DB963" s="41"/>
      <c r="DC963" s="41"/>
      <c r="DD963" s="41"/>
      <c r="DE963" s="41"/>
      <c r="DF963" s="41"/>
      <c r="DG963" s="41"/>
      <c r="DH963" s="41"/>
      <c r="DI963" s="41"/>
      <c r="DJ963" s="41"/>
      <c r="DK963" s="41">
        <v>0.6</v>
      </c>
      <c r="DL963" s="41"/>
      <c r="DM963" s="41"/>
      <c r="DN963" s="41"/>
      <c r="DO963" s="41"/>
      <c r="DP963" s="41"/>
      <c r="DQ963" s="41"/>
      <c r="DR963" s="41"/>
      <c r="DS963" s="43"/>
      <c r="DT963" s="44">
        <f t="shared" ref="DT963" si="945">SUM(F963:DR963)</f>
        <v>1</v>
      </c>
    </row>
    <row r="964" spans="2:124" s="13" customFormat="1">
      <c r="B964" s="4">
        <f>'6.1Personnel List'!B965</f>
        <v>952</v>
      </c>
      <c r="C964" s="45" t="s">
        <v>1177</v>
      </c>
      <c r="D964" s="45" t="str">
        <f>'6.1Personnel List'!D965</f>
        <v>Nurse I</v>
      </c>
      <c r="E964" s="45" t="str">
        <f>'6.1Personnel List'!H965</f>
        <v>FT</v>
      </c>
      <c r="G964" s="41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  <c r="AA964" s="41"/>
      <c r="AB964" s="41"/>
      <c r="AC964" s="41"/>
      <c r="AD964" s="41"/>
      <c r="AE964" s="41"/>
      <c r="AF964" s="41"/>
      <c r="AG964" s="41"/>
      <c r="AH964" s="41"/>
      <c r="AI964" s="41"/>
      <c r="AJ964" s="41"/>
      <c r="AK964" s="41"/>
      <c r="AL964" s="41"/>
      <c r="AM964" s="41"/>
      <c r="AN964" s="41"/>
      <c r="AO964" s="41"/>
      <c r="AP964" s="41"/>
      <c r="AQ964" s="41"/>
      <c r="AR964" s="41"/>
      <c r="AS964" s="41"/>
      <c r="AT964" s="41"/>
      <c r="AU964" s="41"/>
      <c r="AV964" s="41"/>
      <c r="AW964" s="41"/>
      <c r="AX964" s="41"/>
      <c r="AY964" s="41"/>
      <c r="AZ964" s="41"/>
      <c r="BA964" s="41"/>
      <c r="BB964" s="41"/>
      <c r="BC964" s="41"/>
      <c r="BD964" s="41"/>
      <c r="BE964" s="41"/>
      <c r="BF964" s="41"/>
      <c r="BG964" s="41"/>
      <c r="BH964" s="41"/>
      <c r="BJ964" s="41"/>
      <c r="BK964" s="41"/>
      <c r="BL964" s="41"/>
      <c r="BM964" s="41"/>
      <c r="BN964" s="41"/>
      <c r="BO964" s="41"/>
      <c r="BP964" s="41"/>
      <c r="BQ964" s="41"/>
      <c r="BR964" s="41"/>
      <c r="BS964" s="41"/>
      <c r="BT964" s="41"/>
      <c r="BU964" s="41"/>
      <c r="BV964" s="41">
        <v>0.05</v>
      </c>
      <c r="BW964" s="41"/>
      <c r="BX964" s="41"/>
      <c r="BY964" s="41"/>
      <c r="BZ964" s="41"/>
      <c r="CA964" s="41"/>
      <c r="CB964" s="41">
        <v>0.05</v>
      </c>
      <c r="CC964" s="41"/>
      <c r="CD964" s="41"/>
      <c r="CE964" s="41">
        <v>0.05</v>
      </c>
      <c r="CF964" s="41">
        <v>0.05</v>
      </c>
      <c r="CG964" s="41"/>
      <c r="CH964" s="41"/>
      <c r="CI964" s="41"/>
      <c r="CJ964" s="41"/>
      <c r="CK964" s="41"/>
      <c r="CL964" s="41">
        <v>0.8</v>
      </c>
      <c r="CM964" s="41"/>
      <c r="CN964" s="41"/>
      <c r="CO964" s="41"/>
      <c r="CP964" s="41"/>
      <c r="CQ964" s="41"/>
      <c r="CR964" s="41"/>
      <c r="CS964" s="41"/>
      <c r="CT964" s="41"/>
      <c r="CU964" s="41"/>
      <c r="CV964" s="41"/>
      <c r="CW964" s="41"/>
      <c r="CX964" s="41"/>
      <c r="CY964" s="41"/>
      <c r="CZ964" s="41"/>
      <c r="DA964" s="41"/>
      <c r="DB964" s="41"/>
      <c r="DC964" s="41"/>
      <c r="DD964" s="41"/>
      <c r="DE964" s="41"/>
      <c r="DF964" s="41"/>
      <c r="DG964" s="41"/>
      <c r="DH964" s="41"/>
      <c r="DI964" s="41"/>
      <c r="DJ964" s="41"/>
      <c r="DK964" s="41"/>
      <c r="DL964" s="41"/>
      <c r="DM964" s="41"/>
      <c r="DN964" s="41"/>
      <c r="DO964" s="41"/>
      <c r="DP964" s="41"/>
      <c r="DQ964" s="41"/>
      <c r="DR964" s="41"/>
      <c r="DS964" s="43"/>
      <c r="DT964" s="44">
        <f t="shared" ref="DT964" si="946">SUM(F964:DR964)</f>
        <v>1</v>
      </c>
    </row>
    <row r="965" spans="2:124" s="13" customFormat="1">
      <c r="B965" s="4">
        <f>'6.1Personnel List'!B966</f>
        <v>953</v>
      </c>
      <c r="C965" s="45" t="s">
        <v>1178</v>
      </c>
      <c r="D965" s="45" t="str">
        <f>'6.1Personnel List'!D966</f>
        <v>Nurse I</v>
      </c>
      <c r="E965" s="45" t="str">
        <f>'6.1Personnel List'!H966</f>
        <v>FT</v>
      </c>
      <c r="G965" s="41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  <c r="AA965" s="41"/>
      <c r="AB965" s="41"/>
      <c r="AC965" s="41"/>
      <c r="AD965" s="41"/>
      <c r="AE965" s="41"/>
      <c r="AF965" s="41"/>
      <c r="AG965" s="41"/>
      <c r="AH965" s="41"/>
      <c r="AI965" s="41"/>
      <c r="AJ965" s="41"/>
      <c r="AK965" s="41"/>
      <c r="AL965" s="41"/>
      <c r="AM965" s="41"/>
      <c r="AN965" s="41"/>
      <c r="AO965" s="41"/>
      <c r="AP965" s="41"/>
      <c r="AQ965" s="41"/>
      <c r="AR965" s="41"/>
      <c r="AS965" s="41"/>
      <c r="AT965" s="41"/>
      <c r="AU965" s="41"/>
      <c r="AV965" s="41"/>
      <c r="AW965" s="41"/>
      <c r="AX965" s="41"/>
      <c r="AY965" s="41"/>
      <c r="AZ965" s="41"/>
      <c r="BA965" s="41"/>
      <c r="BB965" s="41"/>
      <c r="BC965" s="41"/>
      <c r="BD965" s="41"/>
      <c r="BE965" s="41"/>
      <c r="BF965" s="41"/>
      <c r="BG965" s="41"/>
      <c r="BH965" s="41"/>
      <c r="BJ965" s="41"/>
      <c r="BK965" s="41"/>
      <c r="BL965" s="41"/>
      <c r="BM965" s="41"/>
      <c r="BN965" s="41"/>
      <c r="BO965" s="41"/>
      <c r="BP965" s="41"/>
      <c r="BQ965" s="41"/>
      <c r="BR965" s="41"/>
      <c r="BS965" s="41">
        <v>0.05</v>
      </c>
      <c r="BT965" s="41"/>
      <c r="BU965" s="41"/>
      <c r="BV965" s="41">
        <v>0.05</v>
      </c>
      <c r="BW965" s="41">
        <v>0.05</v>
      </c>
      <c r="BX965" s="41"/>
      <c r="BY965" s="41"/>
      <c r="BZ965" s="41"/>
      <c r="CA965" s="41"/>
      <c r="CB965" s="41"/>
      <c r="CC965" s="41"/>
      <c r="CD965" s="41"/>
      <c r="CE965" s="41">
        <v>0.1</v>
      </c>
      <c r="CF965" s="41">
        <v>0.05</v>
      </c>
      <c r="CG965" s="41">
        <v>0.05</v>
      </c>
      <c r="CH965" s="41">
        <v>0.05</v>
      </c>
      <c r="CI965" s="41"/>
      <c r="CJ965" s="41">
        <v>0.05</v>
      </c>
      <c r="CK965" s="41"/>
      <c r="CL965" s="41">
        <v>0.2</v>
      </c>
      <c r="CM965" s="41"/>
      <c r="CN965" s="41"/>
      <c r="CO965" s="41"/>
      <c r="CP965" s="41"/>
      <c r="CQ965" s="41"/>
      <c r="CR965" s="41"/>
      <c r="CS965" s="41"/>
      <c r="CT965" s="41"/>
      <c r="CU965" s="41">
        <v>0.05</v>
      </c>
      <c r="CV965" s="41"/>
      <c r="CW965" s="41"/>
      <c r="CX965" s="41"/>
      <c r="CY965" s="41"/>
      <c r="CZ965" s="41"/>
      <c r="DA965" s="41"/>
      <c r="DB965" s="41"/>
      <c r="DC965" s="41"/>
      <c r="DD965" s="41">
        <v>0.05</v>
      </c>
      <c r="DE965" s="41"/>
      <c r="DF965" s="41"/>
      <c r="DG965" s="41"/>
      <c r="DH965" s="41"/>
      <c r="DI965" s="41"/>
      <c r="DJ965" s="41"/>
      <c r="DK965" s="41"/>
      <c r="DL965" s="41"/>
      <c r="DM965" s="41"/>
      <c r="DN965" s="41"/>
      <c r="DO965" s="41"/>
      <c r="DP965" s="41">
        <v>0.25</v>
      </c>
      <c r="DQ965" s="41"/>
      <c r="DR965" s="41"/>
      <c r="DS965" s="43"/>
      <c r="DT965" s="44">
        <f t="shared" ref="DT965" si="947">SUM(F965:DR965)</f>
        <v>1</v>
      </c>
    </row>
    <row r="966" spans="2:124" s="13" customFormat="1">
      <c r="B966" s="4">
        <f>'6.1Personnel List'!B967</f>
        <v>954</v>
      </c>
      <c r="C966" s="45" t="s">
        <v>1179</v>
      </c>
      <c r="D966" s="45" t="str">
        <f>'6.1Personnel List'!D967</f>
        <v>Nurse I</v>
      </c>
      <c r="E966" s="45" t="str">
        <f>'6.1Personnel List'!H967</f>
        <v>FT</v>
      </c>
      <c r="G966" s="41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  <c r="AA966" s="41"/>
      <c r="AB966" s="41"/>
      <c r="AC966" s="41"/>
      <c r="AD966" s="41"/>
      <c r="AE966" s="41"/>
      <c r="AF966" s="41"/>
      <c r="AG966" s="41"/>
      <c r="AH966" s="41"/>
      <c r="AI966" s="41"/>
      <c r="AJ966" s="41"/>
      <c r="AK966" s="41"/>
      <c r="AL966" s="41"/>
      <c r="AM966" s="41"/>
      <c r="AN966" s="41"/>
      <c r="AO966" s="41"/>
      <c r="AP966" s="41"/>
      <c r="AQ966" s="41"/>
      <c r="AR966" s="41"/>
      <c r="AS966" s="41"/>
      <c r="AT966" s="41"/>
      <c r="AU966" s="41"/>
      <c r="AV966" s="41"/>
      <c r="AW966" s="41"/>
      <c r="AX966" s="41"/>
      <c r="AY966" s="41"/>
      <c r="AZ966" s="41"/>
      <c r="BA966" s="41"/>
      <c r="BB966" s="41"/>
      <c r="BC966" s="41"/>
      <c r="BD966" s="41"/>
      <c r="BE966" s="41"/>
      <c r="BF966" s="41"/>
      <c r="BG966" s="41"/>
      <c r="BH966" s="41"/>
      <c r="BJ966" s="41"/>
      <c r="BK966" s="41"/>
      <c r="BL966" s="41"/>
      <c r="BM966" s="41"/>
      <c r="BN966" s="41"/>
      <c r="BO966" s="41"/>
      <c r="BP966" s="41"/>
      <c r="BQ966" s="41"/>
      <c r="BR966" s="41"/>
      <c r="BS966" s="41"/>
      <c r="BT966" s="41"/>
      <c r="BU966" s="41"/>
      <c r="BV966" s="41"/>
      <c r="BW966" s="41"/>
      <c r="BX966" s="41"/>
      <c r="BY966" s="41"/>
      <c r="BZ966" s="41"/>
      <c r="CA966" s="41"/>
      <c r="CB966" s="41"/>
      <c r="CC966" s="41"/>
      <c r="CD966" s="41"/>
      <c r="CE966" s="41"/>
      <c r="CF966" s="41"/>
      <c r="CG966" s="41"/>
      <c r="CH966" s="41"/>
      <c r="CI966" s="41"/>
      <c r="CJ966" s="41"/>
      <c r="CK966" s="41"/>
      <c r="CL966" s="41"/>
      <c r="CM966" s="41"/>
      <c r="CN966" s="92">
        <v>0.25</v>
      </c>
      <c r="CO966" s="41"/>
      <c r="CP966" s="41"/>
      <c r="CQ966" s="41"/>
      <c r="CR966" s="41"/>
      <c r="CS966" s="41"/>
      <c r="CT966" s="41"/>
      <c r="CU966" s="41"/>
      <c r="CV966" s="41"/>
      <c r="CW966" s="41"/>
      <c r="CX966" s="41"/>
      <c r="CY966" s="41"/>
      <c r="CZ966" s="41"/>
      <c r="DA966" s="41"/>
      <c r="DB966" s="92">
        <v>0.25</v>
      </c>
      <c r="DC966" s="92">
        <v>0.25</v>
      </c>
      <c r="DD966" s="41"/>
      <c r="DE966" s="41"/>
      <c r="DF966" s="41"/>
      <c r="DG966" s="41"/>
      <c r="DH966" s="41"/>
      <c r="DI966" s="41"/>
      <c r="DJ966" s="92">
        <v>0.25</v>
      </c>
      <c r="DK966" s="41"/>
      <c r="DL966" s="41"/>
      <c r="DM966" s="41"/>
      <c r="DN966" s="41"/>
      <c r="DO966" s="41"/>
      <c r="DP966" s="41"/>
      <c r="DQ966" s="41"/>
      <c r="DR966" s="41"/>
      <c r="DS966" s="43"/>
      <c r="DT966" s="44">
        <f t="shared" ref="DT966" si="948">SUM(F966:DR966)</f>
        <v>1</v>
      </c>
    </row>
    <row r="967" spans="2:124" s="13" customFormat="1">
      <c r="B967" s="4">
        <f>'6.1Personnel List'!B968</f>
        <v>955</v>
      </c>
      <c r="C967" s="45" t="s">
        <v>1180</v>
      </c>
      <c r="D967" s="45" t="str">
        <f>'6.1Personnel List'!D968</f>
        <v>Nurse I</v>
      </c>
      <c r="E967" s="45" t="str">
        <f>'6.1Personnel List'!H968</f>
        <v>FT</v>
      </c>
      <c r="G967" s="41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  <c r="AA967" s="41"/>
      <c r="AB967" s="41"/>
      <c r="AC967" s="41"/>
      <c r="AD967" s="41"/>
      <c r="AE967" s="41"/>
      <c r="AF967" s="41"/>
      <c r="AG967" s="41"/>
      <c r="AH967" s="41"/>
      <c r="AI967" s="41"/>
      <c r="AJ967" s="41"/>
      <c r="AK967" s="41"/>
      <c r="AL967" s="41"/>
      <c r="AM967" s="41"/>
      <c r="AN967" s="41"/>
      <c r="AO967" s="41"/>
      <c r="AP967" s="41"/>
      <c r="AQ967" s="41"/>
      <c r="AR967" s="41"/>
      <c r="AS967" s="41"/>
      <c r="AT967" s="41"/>
      <c r="AU967" s="41"/>
      <c r="AV967" s="41"/>
      <c r="AW967" s="41"/>
      <c r="AX967" s="41"/>
      <c r="AY967" s="41"/>
      <c r="AZ967" s="41"/>
      <c r="BA967" s="41"/>
      <c r="BB967" s="41"/>
      <c r="BC967" s="41"/>
      <c r="BD967" s="41"/>
      <c r="BE967" s="41"/>
      <c r="BF967" s="41"/>
      <c r="BG967" s="41"/>
      <c r="BH967" s="41"/>
      <c r="BJ967" s="41"/>
      <c r="BK967" s="41"/>
      <c r="BL967" s="41"/>
      <c r="BM967" s="41"/>
      <c r="BN967" s="41"/>
      <c r="BO967" s="41"/>
      <c r="BP967" s="41"/>
      <c r="BQ967" s="41"/>
      <c r="BR967" s="41"/>
      <c r="BS967" s="41"/>
      <c r="BT967" s="41"/>
      <c r="BU967" s="41"/>
      <c r="BV967" s="41"/>
      <c r="BW967" s="41"/>
      <c r="BX967" s="41"/>
      <c r="BY967" s="41"/>
      <c r="BZ967" s="41"/>
      <c r="CA967" s="41"/>
      <c r="CB967" s="41"/>
      <c r="CC967" s="41"/>
      <c r="CD967" s="41"/>
      <c r="CE967" s="41"/>
      <c r="CF967" s="41"/>
      <c r="CG967" s="41"/>
      <c r="CH967" s="41"/>
      <c r="CI967" s="41"/>
      <c r="CJ967" s="41"/>
      <c r="CK967" s="41"/>
      <c r="CL967" s="41"/>
      <c r="CM967" s="41"/>
      <c r="CN967" s="92">
        <v>0.25</v>
      </c>
      <c r="CO967" s="41"/>
      <c r="CP967" s="41"/>
      <c r="CQ967" s="41"/>
      <c r="CR967" s="41"/>
      <c r="CS967" s="41"/>
      <c r="CT967" s="41"/>
      <c r="CU967" s="41"/>
      <c r="CV967" s="41"/>
      <c r="CW967" s="41"/>
      <c r="CX967" s="41"/>
      <c r="CY967" s="41"/>
      <c r="CZ967" s="41"/>
      <c r="DA967" s="41"/>
      <c r="DB967" s="92">
        <v>0.25</v>
      </c>
      <c r="DC967" s="92">
        <v>0.25</v>
      </c>
      <c r="DD967" s="41"/>
      <c r="DE967" s="41"/>
      <c r="DF967" s="41"/>
      <c r="DG967" s="41"/>
      <c r="DH967" s="41"/>
      <c r="DI967" s="41"/>
      <c r="DJ967" s="92">
        <v>0.25</v>
      </c>
      <c r="DK967" s="41"/>
      <c r="DL967" s="41"/>
      <c r="DM967" s="41"/>
      <c r="DN967" s="41"/>
      <c r="DO967" s="41"/>
      <c r="DP967" s="41"/>
      <c r="DQ967" s="41"/>
      <c r="DR967" s="41"/>
      <c r="DS967" s="43"/>
      <c r="DT967" s="44">
        <f t="shared" ref="DT967" si="949">SUM(F967:DR967)</f>
        <v>1</v>
      </c>
    </row>
    <row r="968" spans="2:124" s="13" customFormat="1">
      <c r="B968" s="4">
        <f>'6.1Personnel List'!B969</f>
        <v>956</v>
      </c>
      <c r="C968" s="45" t="s">
        <v>1181</v>
      </c>
      <c r="D968" s="45" t="str">
        <f>'6.1Personnel List'!D969</f>
        <v>Nurse I</v>
      </c>
      <c r="E968" s="45" t="str">
        <f>'6.1Personnel List'!H969</f>
        <v>FT</v>
      </c>
      <c r="G968" s="41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  <c r="AA968" s="41"/>
      <c r="AB968" s="41"/>
      <c r="AC968" s="41"/>
      <c r="AD968" s="41"/>
      <c r="AE968" s="41"/>
      <c r="AF968" s="41"/>
      <c r="AG968" s="41"/>
      <c r="AH968" s="41"/>
      <c r="AI968" s="41"/>
      <c r="AJ968" s="41"/>
      <c r="AK968" s="41"/>
      <c r="AL968" s="41"/>
      <c r="AM968" s="41"/>
      <c r="AN968" s="41"/>
      <c r="AO968" s="41"/>
      <c r="AP968" s="41"/>
      <c r="AQ968" s="41"/>
      <c r="AR968" s="41"/>
      <c r="AS968" s="41"/>
      <c r="AT968" s="41"/>
      <c r="AU968" s="41"/>
      <c r="AV968" s="41"/>
      <c r="AW968" s="41"/>
      <c r="AX968" s="41"/>
      <c r="AY968" s="41"/>
      <c r="AZ968" s="41"/>
      <c r="BA968" s="41"/>
      <c r="BB968" s="41"/>
      <c r="BC968" s="41"/>
      <c r="BD968" s="41"/>
      <c r="BE968" s="41"/>
      <c r="BF968" s="41"/>
      <c r="BG968" s="41"/>
      <c r="BH968" s="41"/>
      <c r="BJ968" s="41"/>
      <c r="BK968" s="41"/>
      <c r="BL968" s="41"/>
      <c r="BM968" s="41"/>
      <c r="BN968" s="41"/>
      <c r="BO968" s="41"/>
      <c r="BP968" s="41"/>
      <c r="BQ968" s="41"/>
      <c r="BR968" s="41"/>
      <c r="BS968" s="41">
        <v>0.05</v>
      </c>
      <c r="BT968" s="41"/>
      <c r="BU968" s="41"/>
      <c r="BV968" s="41">
        <v>0.05</v>
      </c>
      <c r="BW968" s="41">
        <v>0.05</v>
      </c>
      <c r="BX968" s="41"/>
      <c r="BY968" s="41"/>
      <c r="BZ968" s="41"/>
      <c r="CA968" s="41"/>
      <c r="CB968" s="41"/>
      <c r="CC968" s="41"/>
      <c r="CD968" s="41"/>
      <c r="CE968" s="41">
        <v>0.1</v>
      </c>
      <c r="CF968" s="41">
        <v>0.05</v>
      </c>
      <c r="CG968" s="41">
        <v>0.05</v>
      </c>
      <c r="CH968" s="41">
        <v>0.05</v>
      </c>
      <c r="CI968" s="41"/>
      <c r="CJ968" s="41">
        <v>0.05</v>
      </c>
      <c r="CK968" s="41"/>
      <c r="CL968" s="41">
        <v>0.2</v>
      </c>
      <c r="CM968" s="41"/>
      <c r="CN968" s="41"/>
      <c r="CO968" s="41"/>
      <c r="CP968" s="41">
        <v>0.25</v>
      </c>
      <c r="CQ968" s="41"/>
      <c r="CR968" s="41"/>
      <c r="CS968" s="41"/>
      <c r="CT968" s="41"/>
      <c r="CU968" s="41">
        <v>0.05</v>
      </c>
      <c r="CV968" s="41"/>
      <c r="CW968" s="41"/>
      <c r="CX968" s="41"/>
      <c r="CY968" s="41"/>
      <c r="CZ968" s="41"/>
      <c r="DA968" s="41"/>
      <c r="DB968" s="41"/>
      <c r="DC968" s="41"/>
      <c r="DD968" s="41">
        <v>0.05</v>
      </c>
      <c r="DE968" s="41"/>
      <c r="DF968" s="41"/>
      <c r="DG968" s="41"/>
      <c r="DH968" s="41"/>
      <c r="DI968" s="41"/>
      <c r="DJ968" s="41"/>
      <c r="DK968" s="41"/>
      <c r="DL968" s="41"/>
      <c r="DM968" s="41"/>
      <c r="DN968" s="41"/>
      <c r="DO968" s="41"/>
      <c r="DP968" s="41"/>
      <c r="DQ968" s="41"/>
      <c r="DR968" s="41"/>
      <c r="DS968" s="43"/>
      <c r="DT968" s="44">
        <f t="shared" ref="DT968" si="950">SUM(F968:DR968)</f>
        <v>1</v>
      </c>
    </row>
    <row r="969" spans="2:124" s="13" customFormat="1">
      <c r="B969" s="4">
        <f>'6.1Personnel List'!B970</f>
        <v>957</v>
      </c>
      <c r="C969" s="45" t="s">
        <v>1182</v>
      </c>
      <c r="D969" s="45" t="str">
        <f>'6.1Personnel List'!D970</f>
        <v>Nurse I</v>
      </c>
      <c r="E969" s="45" t="str">
        <f>'6.1Personnel List'!H970</f>
        <v>FT</v>
      </c>
      <c r="G969" s="41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  <c r="AA969" s="41"/>
      <c r="AB969" s="41"/>
      <c r="AC969" s="41"/>
      <c r="AD969" s="41"/>
      <c r="AE969" s="41"/>
      <c r="AF969" s="41"/>
      <c r="AG969" s="41"/>
      <c r="AH969" s="41"/>
      <c r="AI969" s="41"/>
      <c r="AJ969" s="41"/>
      <c r="AK969" s="41"/>
      <c r="AL969" s="41"/>
      <c r="AM969" s="41"/>
      <c r="AN969" s="41"/>
      <c r="AO969" s="41"/>
      <c r="AP969" s="41"/>
      <c r="AQ969" s="41"/>
      <c r="AR969" s="41"/>
      <c r="AS969" s="41"/>
      <c r="AT969" s="41"/>
      <c r="AU969" s="41"/>
      <c r="AV969" s="41"/>
      <c r="AW969" s="41"/>
      <c r="AX969" s="41"/>
      <c r="AY969" s="41"/>
      <c r="AZ969" s="41"/>
      <c r="BA969" s="41"/>
      <c r="BB969" s="41"/>
      <c r="BC969" s="41"/>
      <c r="BD969" s="41"/>
      <c r="BE969" s="41"/>
      <c r="BF969" s="41"/>
      <c r="BG969" s="41"/>
      <c r="BH969" s="41"/>
      <c r="BJ969" s="41"/>
      <c r="BK969" s="41"/>
      <c r="BL969" s="41"/>
      <c r="BM969" s="41"/>
      <c r="BN969" s="41"/>
      <c r="BO969" s="41"/>
      <c r="BP969" s="41"/>
      <c r="BQ969" s="41"/>
      <c r="BR969" s="41"/>
      <c r="BS969" s="41"/>
      <c r="BT969" s="41"/>
      <c r="BU969" s="41"/>
      <c r="BV969" s="41">
        <v>0.05</v>
      </c>
      <c r="BW969" s="41">
        <v>0.2</v>
      </c>
      <c r="BX969" s="41"/>
      <c r="BY969" s="41"/>
      <c r="BZ969" s="41"/>
      <c r="CA969" s="41"/>
      <c r="CB969" s="41"/>
      <c r="CC969" s="41"/>
      <c r="CD969" s="41"/>
      <c r="CE969" s="41">
        <v>0.1</v>
      </c>
      <c r="CF969" s="41">
        <v>0.1</v>
      </c>
      <c r="CG969" s="41">
        <v>0.1</v>
      </c>
      <c r="CH969" s="41"/>
      <c r="CI969" s="41"/>
      <c r="CJ969" s="41"/>
      <c r="CK969" s="41"/>
      <c r="CL969" s="41"/>
      <c r="CM969" s="41"/>
      <c r="CN969" s="41"/>
      <c r="CO969" s="41"/>
      <c r="CP969" s="41"/>
      <c r="CQ969" s="41"/>
      <c r="CR969" s="41"/>
      <c r="CS969" s="41"/>
      <c r="CT969" s="41"/>
      <c r="CU969" s="41"/>
      <c r="CV969" s="41"/>
      <c r="CW969" s="41"/>
      <c r="CX969" s="41"/>
      <c r="CY969" s="41"/>
      <c r="CZ969" s="41"/>
      <c r="DA969" s="41"/>
      <c r="DB969" s="41"/>
      <c r="DC969" s="41"/>
      <c r="DD969" s="41"/>
      <c r="DE969" s="41"/>
      <c r="DF969" s="41"/>
      <c r="DG969" s="41"/>
      <c r="DH969" s="41"/>
      <c r="DI969" s="41"/>
      <c r="DJ969" s="41"/>
      <c r="DK969" s="41"/>
      <c r="DL969" s="41"/>
      <c r="DM969" s="41">
        <v>0.45</v>
      </c>
      <c r="DN969" s="41"/>
      <c r="DO969" s="41"/>
      <c r="DP969" s="41"/>
      <c r="DQ969" s="41"/>
      <c r="DR969" s="41"/>
      <c r="DS969" s="43"/>
      <c r="DT969" s="44">
        <f t="shared" ref="DT969" si="951">SUM(F969:DR969)</f>
        <v>1</v>
      </c>
    </row>
    <row r="970" spans="2:124" s="13" customFormat="1">
      <c r="B970" s="4">
        <f>'6.1Personnel List'!B971</f>
        <v>958</v>
      </c>
      <c r="C970" s="45" t="s">
        <v>1183</v>
      </c>
      <c r="D970" s="45" t="str">
        <f>'6.1Personnel List'!D971</f>
        <v>Nurse I</v>
      </c>
      <c r="E970" s="45" t="str">
        <f>'6.1Personnel List'!H971</f>
        <v>FT</v>
      </c>
      <c r="G970" s="41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  <c r="AA970" s="41"/>
      <c r="AB970" s="41"/>
      <c r="AC970" s="41"/>
      <c r="AD970" s="41"/>
      <c r="AE970" s="41"/>
      <c r="AF970" s="41"/>
      <c r="AG970" s="41"/>
      <c r="AH970" s="41"/>
      <c r="AI970" s="41"/>
      <c r="AJ970" s="41"/>
      <c r="AK970" s="41"/>
      <c r="AL970" s="41"/>
      <c r="AM970" s="41"/>
      <c r="AN970" s="41"/>
      <c r="AO970" s="41"/>
      <c r="AP970" s="41"/>
      <c r="AQ970" s="41"/>
      <c r="AR970" s="41"/>
      <c r="AS970" s="41"/>
      <c r="AT970" s="41"/>
      <c r="AU970" s="41"/>
      <c r="AV970" s="41"/>
      <c r="AW970" s="41"/>
      <c r="AX970" s="41"/>
      <c r="AY970" s="41"/>
      <c r="AZ970" s="41"/>
      <c r="BA970" s="41"/>
      <c r="BB970" s="41"/>
      <c r="BC970" s="41"/>
      <c r="BD970" s="41"/>
      <c r="BE970" s="41"/>
      <c r="BF970" s="41"/>
      <c r="BG970" s="41"/>
      <c r="BH970" s="41"/>
      <c r="BJ970" s="41"/>
      <c r="BK970" s="41"/>
      <c r="BL970" s="41"/>
      <c r="BM970" s="41"/>
      <c r="BN970" s="41"/>
      <c r="BO970" s="41"/>
      <c r="BP970" s="41"/>
      <c r="BQ970" s="41"/>
      <c r="BR970" s="41"/>
      <c r="BS970" s="41"/>
      <c r="BT970" s="41"/>
      <c r="BU970" s="41"/>
      <c r="BV970" s="41"/>
      <c r="BW970" s="41"/>
      <c r="BX970" s="41"/>
      <c r="BY970" s="41"/>
      <c r="BZ970" s="41"/>
      <c r="CA970" s="41"/>
      <c r="CB970" s="41">
        <v>0.01</v>
      </c>
      <c r="CC970" s="41"/>
      <c r="CD970" s="41"/>
      <c r="CE970" s="41">
        <v>0.02</v>
      </c>
      <c r="CF970" s="41">
        <v>0.02</v>
      </c>
      <c r="CG970" s="41">
        <v>0.1</v>
      </c>
      <c r="CH970" s="41">
        <v>0.1</v>
      </c>
      <c r="CI970" s="41">
        <v>0.02</v>
      </c>
      <c r="CJ970" s="41"/>
      <c r="CK970" s="41">
        <v>0.01</v>
      </c>
      <c r="CL970" s="41">
        <v>0.05</v>
      </c>
      <c r="CM970" s="41"/>
      <c r="CN970" s="41">
        <v>0.05</v>
      </c>
      <c r="CO970" s="41">
        <v>0.05</v>
      </c>
      <c r="CP970" s="41">
        <v>0.05</v>
      </c>
      <c r="CQ970" s="41">
        <v>0.05</v>
      </c>
      <c r="CR970" s="41">
        <v>0.02</v>
      </c>
      <c r="CS970" s="41">
        <v>0.01</v>
      </c>
      <c r="CT970" s="41"/>
      <c r="CU970" s="41"/>
      <c r="CV970" s="41">
        <v>0.02</v>
      </c>
      <c r="CW970" s="41"/>
      <c r="CX970" s="41"/>
      <c r="CY970" s="41"/>
      <c r="CZ970" s="41"/>
      <c r="DA970" s="41"/>
      <c r="DB970" s="41"/>
      <c r="DC970" s="41"/>
      <c r="DD970" s="41">
        <v>0.12</v>
      </c>
      <c r="DE970" s="41"/>
      <c r="DF970" s="41"/>
      <c r="DG970" s="41"/>
      <c r="DH970" s="41"/>
      <c r="DI970" s="41"/>
      <c r="DJ970" s="41">
        <v>0.05</v>
      </c>
      <c r="DK970" s="41">
        <v>0.05</v>
      </c>
      <c r="DL970" s="41">
        <v>0.05</v>
      </c>
      <c r="DM970" s="41">
        <v>0.05</v>
      </c>
      <c r="DN970" s="41"/>
      <c r="DO970" s="41"/>
      <c r="DP970" s="41">
        <v>0.05</v>
      </c>
      <c r="DQ970" s="41"/>
      <c r="DR970" s="41">
        <v>0.05</v>
      </c>
      <c r="DS970" s="43"/>
      <c r="DT970" s="44">
        <f t="shared" ref="DT970" si="952">SUM(F970:DR970)</f>
        <v>1.0000000000000002</v>
      </c>
    </row>
    <row r="971" spans="2:124" s="13" customFormat="1">
      <c r="B971" s="4">
        <f>'6.1Personnel List'!B972</f>
        <v>959</v>
      </c>
      <c r="C971" s="45" t="s">
        <v>1184</v>
      </c>
      <c r="D971" s="45" t="str">
        <f>'6.1Personnel List'!D972</f>
        <v>Nurse I</v>
      </c>
      <c r="E971" s="45" t="str">
        <f>'6.1Personnel List'!H972</f>
        <v>FT</v>
      </c>
      <c r="G971" s="41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  <c r="AA971" s="41"/>
      <c r="AB971" s="41"/>
      <c r="AC971" s="41"/>
      <c r="AD971" s="41"/>
      <c r="AE971" s="41"/>
      <c r="AF971" s="41"/>
      <c r="AG971" s="41"/>
      <c r="AH971" s="41"/>
      <c r="AI971" s="41"/>
      <c r="AJ971" s="41"/>
      <c r="AK971" s="41"/>
      <c r="AL971" s="41"/>
      <c r="AM971" s="41"/>
      <c r="AN971" s="41"/>
      <c r="AO971" s="41"/>
      <c r="AP971" s="41"/>
      <c r="AQ971" s="41"/>
      <c r="AR971" s="41"/>
      <c r="AS971" s="41"/>
      <c r="AT971" s="41"/>
      <c r="AU971" s="41"/>
      <c r="AV971" s="41"/>
      <c r="AW971" s="41"/>
      <c r="AX971" s="41"/>
      <c r="AY971" s="41"/>
      <c r="AZ971" s="41"/>
      <c r="BA971" s="41"/>
      <c r="BB971" s="41"/>
      <c r="BC971" s="41"/>
      <c r="BD971" s="41"/>
      <c r="BE971" s="41"/>
      <c r="BF971" s="41"/>
      <c r="BG971" s="41"/>
      <c r="BH971" s="41"/>
      <c r="BJ971" s="41"/>
      <c r="BK971" s="41"/>
      <c r="BL971" s="41"/>
      <c r="BM971" s="41"/>
      <c r="BN971" s="41"/>
      <c r="BO971" s="41"/>
      <c r="BP971" s="41"/>
      <c r="BQ971" s="41"/>
      <c r="BR971" s="41"/>
      <c r="BS971" s="41">
        <v>0.05</v>
      </c>
      <c r="BT971" s="41"/>
      <c r="BU971" s="41">
        <v>0.05</v>
      </c>
      <c r="BV971" s="41">
        <v>0.05</v>
      </c>
      <c r="BW971" s="41">
        <v>0.05</v>
      </c>
      <c r="BX971" s="41"/>
      <c r="BY971" s="41"/>
      <c r="BZ971" s="41"/>
      <c r="CA971" s="41"/>
      <c r="CB971" s="41"/>
      <c r="CC971" s="41"/>
      <c r="CD971" s="41"/>
      <c r="CE971" s="41">
        <v>0.05</v>
      </c>
      <c r="CF971" s="41">
        <v>0.03</v>
      </c>
      <c r="CG971" s="41">
        <v>0.02</v>
      </c>
      <c r="CH971" s="41">
        <v>0.05</v>
      </c>
      <c r="CI971" s="41">
        <v>0.05</v>
      </c>
      <c r="CJ971" s="41"/>
      <c r="CK971" s="41"/>
      <c r="CL971" s="41"/>
      <c r="CM971" s="41"/>
      <c r="CN971" s="41"/>
      <c r="CO971" s="41"/>
      <c r="CP971" s="41"/>
      <c r="CQ971" s="41"/>
      <c r="CR971" s="41"/>
      <c r="CS971" s="41"/>
      <c r="CT971" s="41"/>
      <c r="CU971" s="41"/>
      <c r="CV971" s="41"/>
      <c r="CW971" s="41"/>
      <c r="CX971" s="41"/>
      <c r="CY971" s="41"/>
      <c r="CZ971" s="41"/>
      <c r="DA971" s="41"/>
      <c r="DB971" s="41"/>
      <c r="DC971" s="41"/>
      <c r="DD971" s="41"/>
      <c r="DE971" s="41"/>
      <c r="DF971" s="41"/>
      <c r="DG971" s="41"/>
      <c r="DH971" s="41"/>
      <c r="DI971" s="41"/>
      <c r="DJ971" s="41"/>
      <c r="DK971" s="41">
        <v>0.6</v>
      </c>
      <c r="DL971" s="41"/>
      <c r="DM971" s="41"/>
      <c r="DN971" s="41"/>
      <c r="DO971" s="41"/>
      <c r="DP971" s="41"/>
      <c r="DQ971" s="41"/>
      <c r="DR971" s="41"/>
      <c r="DS971" s="43"/>
      <c r="DT971" s="44">
        <f t="shared" ref="DT971" si="953">SUM(F971:DR971)</f>
        <v>1</v>
      </c>
    </row>
    <row r="972" spans="2:124" s="13" customFormat="1">
      <c r="B972" s="4">
        <f>'6.1Personnel List'!B973</f>
        <v>960</v>
      </c>
      <c r="C972" s="45" t="s">
        <v>1185</v>
      </c>
      <c r="D972" s="45" t="str">
        <f>'6.1Personnel List'!D973</f>
        <v>Nurse I</v>
      </c>
      <c r="E972" s="45" t="str">
        <f>'6.1Personnel List'!H973</f>
        <v>FT</v>
      </c>
      <c r="G972" s="41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  <c r="AA972" s="41"/>
      <c r="AB972" s="41"/>
      <c r="AC972" s="41"/>
      <c r="AD972" s="41"/>
      <c r="AE972" s="41"/>
      <c r="AF972" s="41"/>
      <c r="AG972" s="41"/>
      <c r="AH972" s="41"/>
      <c r="AI972" s="41"/>
      <c r="AJ972" s="41"/>
      <c r="AK972" s="41"/>
      <c r="AL972" s="41"/>
      <c r="AM972" s="41"/>
      <c r="AN972" s="41"/>
      <c r="AO972" s="41"/>
      <c r="AP972" s="41"/>
      <c r="AQ972" s="41"/>
      <c r="AR972" s="41"/>
      <c r="AS972" s="41"/>
      <c r="AT972" s="41"/>
      <c r="AU972" s="41"/>
      <c r="AV972" s="41"/>
      <c r="AW972" s="41"/>
      <c r="AX972" s="41"/>
      <c r="AY972" s="41"/>
      <c r="AZ972" s="41"/>
      <c r="BA972" s="41"/>
      <c r="BB972" s="41"/>
      <c r="BC972" s="41"/>
      <c r="BD972" s="41"/>
      <c r="BE972" s="41"/>
      <c r="BF972" s="41"/>
      <c r="BG972" s="41"/>
      <c r="BH972" s="41"/>
      <c r="BJ972" s="41"/>
      <c r="BK972" s="41"/>
      <c r="BL972" s="41"/>
      <c r="BM972" s="41"/>
      <c r="BN972" s="41"/>
      <c r="BO972" s="41"/>
      <c r="BP972" s="41"/>
      <c r="BQ972" s="41"/>
      <c r="BR972" s="41"/>
      <c r="BS972" s="41"/>
      <c r="BT972" s="41"/>
      <c r="BU972" s="41"/>
      <c r="BV972" s="41"/>
      <c r="BW972" s="41"/>
      <c r="BX972" s="41"/>
      <c r="BY972" s="41"/>
      <c r="BZ972" s="41"/>
      <c r="CA972" s="41"/>
      <c r="CB972" s="41"/>
      <c r="CC972" s="41"/>
      <c r="CD972" s="41"/>
      <c r="CE972" s="41"/>
      <c r="CF972" s="41"/>
      <c r="CG972" s="41"/>
      <c r="CH972" s="41"/>
      <c r="CI972" s="41"/>
      <c r="CJ972" s="41"/>
      <c r="CK972" s="41"/>
      <c r="CL972" s="41"/>
      <c r="CM972" s="41"/>
      <c r="CN972" s="92">
        <v>0.25</v>
      </c>
      <c r="CO972" s="41"/>
      <c r="CP972" s="41"/>
      <c r="CQ972" s="41"/>
      <c r="CR972" s="41"/>
      <c r="CS972" s="41"/>
      <c r="CT972" s="41"/>
      <c r="CU972" s="41"/>
      <c r="CV972" s="41"/>
      <c r="CW972" s="41"/>
      <c r="CX972" s="41"/>
      <c r="CY972" s="41"/>
      <c r="CZ972" s="41"/>
      <c r="DA972" s="41"/>
      <c r="DB972" s="92">
        <v>0.25</v>
      </c>
      <c r="DC972" s="92">
        <v>0.25</v>
      </c>
      <c r="DD972" s="41"/>
      <c r="DE972" s="41"/>
      <c r="DF972" s="41"/>
      <c r="DG972" s="41"/>
      <c r="DH972" s="41"/>
      <c r="DI972" s="41"/>
      <c r="DJ972" s="92">
        <v>0.25</v>
      </c>
      <c r="DK972" s="41"/>
      <c r="DL972" s="41"/>
      <c r="DM972" s="41"/>
      <c r="DN972" s="41"/>
      <c r="DO972" s="41"/>
      <c r="DP972" s="41"/>
      <c r="DQ972" s="41"/>
      <c r="DR972" s="41"/>
      <c r="DS972" s="43"/>
      <c r="DT972" s="44">
        <f t="shared" ref="DT972" si="954">SUM(F972:DR972)</f>
        <v>1</v>
      </c>
    </row>
    <row r="973" spans="2:124" s="13" customFormat="1">
      <c r="B973" s="4">
        <f>'6.1Personnel List'!B974</f>
        <v>961</v>
      </c>
      <c r="C973" s="45" t="s">
        <v>1186</v>
      </c>
      <c r="D973" s="45" t="str">
        <f>'6.1Personnel List'!D974</f>
        <v>Nurse I</v>
      </c>
      <c r="E973" s="45" t="str">
        <f>'6.1Personnel List'!H974</f>
        <v>FT</v>
      </c>
      <c r="G973" s="41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  <c r="AA973" s="41"/>
      <c r="AB973" s="41"/>
      <c r="AC973" s="41"/>
      <c r="AD973" s="41"/>
      <c r="AE973" s="41"/>
      <c r="AF973" s="41"/>
      <c r="AG973" s="41"/>
      <c r="AH973" s="41"/>
      <c r="AI973" s="41"/>
      <c r="AJ973" s="41"/>
      <c r="AK973" s="41"/>
      <c r="AL973" s="41"/>
      <c r="AM973" s="41"/>
      <c r="AN973" s="41"/>
      <c r="AO973" s="41"/>
      <c r="AP973" s="41"/>
      <c r="AQ973" s="41"/>
      <c r="AR973" s="41"/>
      <c r="AS973" s="41"/>
      <c r="AT973" s="41"/>
      <c r="AU973" s="41"/>
      <c r="AV973" s="41"/>
      <c r="AW973" s="41"/>
      <c r="AX973" s="41"/>
      <c r="AY973" s="41"/>
      <c r="AZ973" s="41"/>
      <c r="BA973" s="41"/>
      <c r="BB973" s="41"/>
      <c r="BC973" s="41"/>
      <c r="BD973" s="41"/>
      <c r="BE973" s="41"/>
      <c r="BF973" s="41"/>
      <c r="BG973" s="41"/>
      <c r="BH973" s="41"/>
      <c r="BJ973" s="41"/>
      <c r="BK973" s="41"/>
      <c r="BL973" s="41"/>
      <c r="BM973" s="41"/>
      <c r="BN973" s="41"/>
      <c r="BO973" s="41"/>
      <c r="BP973" s="41"/>
      <c r="BQ973" s="41"/>
      <c r="BR973" s="41"/>
      <c r="BS973" s="41"/>
      <c r="BT973" s="41"/>
      <c r="BU973" s="41"/>
      <c r="BV973" s="41"/>
      <c r="BW973" s="41"/>
      <c r="BX973" s="41"/>
      <c r="BY973" s="41"/>
      <c r="BZ973" s="41"/>
      <c r="CA973" s="41"/>
      <c r="CB973" s="41">
        <v>0.01</v>
      </c>
      <c r="CC973" s="41"/>
      <c r="CD973" s="41"/>
      <c r="CE973" s="41">
        <v>0.02</v>
      </c>
      <c r="CF973" s="41">
        <v>0.02</v>
      </c>
      <c r="CG973" s="41">
        <v>0.1</v>
      </c>
      <c r="CH973" s="41">
        <v>0.1</v>
      </c>
      <c r="CI973" s="41">
        <v>0.02</v>
      </c>
      <c r="CJ973" s="41"/>
      <c r="CK973" s="41">
        <v>0.01</v>
      </c>
      <c r="CL973" s="41">
        <v>0.05</v>
      </c>
      <c r="CM973" s="41"/>
      <c r="CN973" s="41">
        <v>0.05</v>
      </c>
      <c r="CO973" s="41">
        <v>0.05</v>
      </c>
      <c r="CP973" s="41">
        <v>0.05</v>
      </c>
      <c r="CQ973" s="41">
        <v>0.05</v>
      </c>
      <c r="CR973" s="41">
        <v>0.02</v>
      </c>
      <c r="CS973" s="41">
        <v>0.01</v>
      </c>
      <c r="CT973" s="41"/>
      <c r="CU973" s="41"/>
      <c r="CV973" s="41">
        <v>0.02</v>
      </c>
      <c r="CW973" s="41"/>
      <c r="CX973" s="41"/>
      <c r="CY973" s="41"/>
      <c r="CZ973" s="41"/>
      <c r="DA973" s="41"/>
      <c r="DB973" s="41"/>
      <c r="DC973" s="41"/>
      <c r="DD973" s="41">
        <v>0.12</v>
      </c>
      <c r="DE973" s="41"/>
      <c r="DF973" s="41"/>
      <c r="DG973" s="41"/>
      <c r="DH973" s="41"/>
      <c r="DI973" s="41"/>
      <c r="DJ973" s="41">
        <v>0.05</v>
      </c>
      <c r="DK973" s="41">
        <v>0.05</v>
      </c>
      <c r="DL973" s="41">
        <v>0.05</v>
      </c>
      <c r="DM973" s="41">
        <v>0.05</v>
      </c>
      <c r="DN973" s="41"/>
      <c r="DO973" s="41"/>
      <c r="DP973" s="41">
        <v>0.05</v>
      </c>
      <c r="DQ973" s="41"/>
      <c r="DR973" s="41">
        <v>0.05</v>
      </c>
      <c r="DS973" s="43"/>
      <c r="DT973" s="44">
        <f t="shared" ref="DT973" si="955">SUM(F973:DR973)</f>
        <v>1.0000000000000002</v>
      </c>
    </row>
    <row r="974" spans="2:124" s="13" customFormat="1">
      <c r="B974" s="4">
        <f>'6.1Personnel List'!B975</f>
        <v>962</v>
      </c>
      <c r="C974" s="45" t="s">
        <v>1187</v>
      </c>
      <c r="D974" s="45" t="str">
        <f>'6.1Personnel List'!D975</f>
        <v>Nurse I</v>
      </c>
      <c r="E974" s="45" t="str">
        <f>'6.1Personnel List'!H975</f>
        <v>FT</v>
      </c>
      <c r="G974" s="41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  <c r="AA974" s="41"/>
      <c r="AB974" s="41"/>
      <c r="AC974" s="41"/>
      <c r="AD974" s="41"/>
      <c r="AE974" s="41"/>
      <c r="AF974" s="41"/>
      <c r="AG974" s="41"/>
      <c r="AH974" s="41"/>
      <c r="AI974" s="41"/>
      <c r="AJ974" s="41"/>
      <c r="AK974" s="41"/>
      <c r="AL974" s="41"/>
      <c r="AM974" s="41"/>
      <c r="AN974" s="41"/>
      <c r="AO974" s="41"/>
      <c r="AP974" s="41"/>
      <c r="AQ974" s="41"/>
      <c r="AR974" s="41"/>
      <c r="AS974" s="41"/>
      <c r="AT974" s="41"/>
      <c r="AU974" s="41"/>
      <c r="AV974" s="41"/>
      <c r="AW974" s="41"/>
      <c r="AX974" s="41"/>
      <c r="AY974" s="41"/>
      <c r="AZ974" s="41"/>
      <c r="BA974" s="41"/>
      <c r="BB974" s="41"/>
      <c r="BC974" s="41"/>
      <c r="BD974" s="41"/>
      <c r="BE974" s="41"/>
      <c r="BF974" s="41"/>
      <c r="BG974" s="41"/>
      <c r="BH974" s="41"/>
      <c r="BJ974" s="41"/>
      <c r="BK974" s="94"/>
      <c r="BL974" s="94"/>
      <c r="BM974" s="94"/>
      <c r="BN974" s="94"/>
      <c r="BO974" s="94"/>
      <c r="BP974" s="94"/>
      <c r="BQ974" s="94"/>
      <c r="BR974" s="94"/>
      <c r="BS974" s="94"/>
      <c r="BT974" s="94"/>
      <c r="BU974" s="94"/>
      <c r="BV974" s="94"/>
      <c r="BW974" s="94"/>
      <c r="BX974" s="94"/>
      <c r="BY974" s="94"/>
      <c r="BZ974" s="94"/>
      <c r="CA974" s="94"/>
      <c r="CB974" s="94"/>
      <c r="CC974" s="94"/>
      <c r="CD974" s="94"/>
      <c r="CE974" s="94"/>
      <c r="CF974" s="94"/>
      <c r="CG974" s="94"/>
      <c r="CH974" s="94"/>
      <c r="CI974" s="94"/>
      <c r="CJ974" s="94"/>
      <c r="CK974" s="94"/>
      <c r="CL974" s="94"/>
      <c r="CM974" s="94"/>
      <c r="CN974" s="94">
        <v>1</v>
      </c>
      <c r="CO974" s="94"/>
      <c r="CP974" s="94"/>
      <c r="CQ974" s="94"/>
      <c r="CR974" s="94"/>
      <c r="CS974" s="94"/>
      <c r="CT974" s="94"/>
      <c r="CU974" s="94"/>
      <c r="CV974" s="94"/>
      <c r="CW974" s="94"/>
      <c r="CX974" s="94"/>
      <c r="CY974" s="94"/>
      <c r="CZ974" s="94"/>
      <c r="DA974" s="94"/>
      <c r="DB974" s="94"/>
      <c r="DC974" s="94"/>
      <c r="DD974" s="94"/>
      <c r="DE974" s="94"/>
      <c r="DF974" s="94"/>
      <c r="DG974" s="94"/>
      <c r="DH974" s="94"/>
      <c r="DI974" s="94"/>
      <c r="DJ974" s="94"/>
      <c r="DK974" s="41"/>
      <c r="DL974" s="41"/>
      <c r="DM974" s="41"/>
      <c r="DN974" s="41"/>
      <c r="DO974" s="41"/>
      <c r="DP974" s="41"/>
      <c r="DQ974" s="41"/>
      <c r="DR974" s="41"/>
      <c r="DS974" s="43"/>
      <c r="DT974" s="44">
        <f t="shared" ref="DT974" si="956">SUM(F974:DR974)</f>
        <v>1</v>
      </c>
    </row>
    <row r="975" spans="2:124" s="13" customFormat="1">
      <c r="B975" s="4">
        <f>'6.1Personnel List'!B976</f>
        <v>963</v>
      </c>
      <c r="C975" s="45" t="s">
        <v>1188</v>
      </c>
      <c r="D975" s="45" t="str">
        <f>'6.1Personnel List'!D976</f>
        <v>Nurse I</v>
      </c>
      <c r="E975" s="45" t="str">
        <f>'6.1Personnel List'!H976</f>
        <v>FT</v>
      </c>
      <c r="G975" s="41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  <c r="AA975" s="41"/>
      <c r="AB975" s="41"/>
      <c r="AC975" s="41"/>
      <c r="AD975" s="41"/>
      <c r="AE975" s="41"/>
      <c r="AF975" s="41"/>
      <c r="AG975" s="41"/>
      <c r="AH975" s="41"/>
      <c r="AI975" s="41"/>
      <c r="AJ975" s="41"/>
      <c r="AK975" s="41"/>
      <c r="AL975" s="41"/>
      <c r="AM975" s="41"/>
      <c r="AN975" s="41"/>
      <c r="AO975" s="41"/>
      <c r="AP975" s="41"/>
      <c r="AQ975" s="41"/>
      <c r="AR975" s="41"/>
      <c r="AS975" s="41"/>
      <c r="AT975" s="41"/>
      <c r="AU975" s="41"/>
      <c r="AV975" s="41"/>
      <c r="AW975" s="41"/>
      <c r="AX975" s="41"/>
      <c r="AY975" s="41"/>
      <c r="AZ975" s="41"/>
      <c r="BA975" s="41"/>
      <c r="BB975" s="41"/>
      <c r="BC975" s="41"/>
      <c r="BD975" s="41"/>
      <c r="BE975" s="41"/>
      <c r="BF975" s="41"/>
      <c r="BG975" s="41"/>
      <c r="BH975" s="41"/>
      <c r="BJ975" s="41"/>
      <c r="BK975" s="41"/>
      <c r="BL975" s="41"/>
      <c r="BM975" s="41"/>
      <c r="BN975" s="41"/>
      <c r="BO975" s="41"/>
      <c r="BP975" s="41"/>
      <c r="BQ975" s="41"/>
      <c r="BR975" s="41"/>
      <c r="BS975" s="41"/>
      <c r="BT975" s="41"/>
      <c r="BU975" s="41"/>
      <c r="BV975" s="41"/>
      <c r="BW975" s="41"/>
      <c r="BX975" s="41"/>
      <c r="BY975" s="41"/>
      <c r="BZ975" s="41"/>
      <c r="CA975" s="41"/>
      <c r="CB975" s="41">
        <v>0.01</v>
      </c>
      <c r="CC975" s="41"/>
      <c r="CD975" s="41"/>
      <c r="CE975" s="41">
        <v>0.02</v>
      </c>
      <c r="CF975" s="41">
        <v>0.02</v>
      </c>
      <c r="CG975" s="41">
        <v>0.1</v>
      </c>
      <c r="CH975" s="41">
        <v>0.1</v>
      </c>
      <c r="CI975" s="41">
        <v>0.02</v>
      </c>
      <c r="CJ975" s="41"/>
      <c r="CK975" s="41">
        <v>0.01</v>
      </c>
      <c r="CL975" s="41">
        <v>0.05</v>
      </c>
      <c r="CM975" s="41"/>
      <c r="CN975" s="41">
        <v>0.05</v>
      </c>
      <c r="CO975" s="41">
        <v>0.05</v>
      </c>
      <c r="CP975" s="41">
        <v>0.05</v>
      </c>
      <c r="CQ975" s="41">
        <v>0.05</v>
      </c>
      <c r="CR975" s="41">
        <v>0.02</v>
      </c>
      <c r="CS975" s="41">
        <v>0.01</v>
      </c>
      <c r="CT975" s="41"/>
      <c r="CU975" s="41"/>
      <c r="CV975" s="41">
        <v>0.02</v>
      </c>
      <c r="CW975" s="41"/>
      <c r="CX975" s="41"/>
      <c r="CY975" s="41"/>
      <c r="CZ975" s="41"/>
      <c r="DA975" s="41"/>
      <c r="DB975" s="41"/>
      <c r="DC975" s="41"/>
      <c r="DD975" s="41">
        <v>0.12</v>
      </c>
      <c r="DE975" s="41"/>
      <c r="DF975" s="41"/>
      <c r="DG975" s="41"/>
      <c r="DH975" s="41"/>
      <c r="DI975" s="41"/>
      <c r="DJ975" s="41">
        <v>0.05</v>
      </c>
      <c r="DK975" s="41">
        <v>0.05</v>
      </c>
      <c r="DL975" s="41">
        <v>0.05</v>
      </c>
      <c r="DM975" s="41">
        <v>0.05</v>
      </c>
      <c r="DN975" s="41"/>
      <c r="DO975" s="41"/>
      <c r="DP975" s="41">
        <v>0.05</v>
      </c>
      <c r="DQ975" s="41"/>
      <c r="DR975" s="41">
        <v>0.05</v>
      </c>
      <c r="DS975" s="43"/>
      <c r="DT975" s="44">
        <f t="shared" ref="DT975" si="957">SUM(F975:DR975)</f>
        <v>1.0000000000000002</v>
      </c>
    </row>
    <row r="976" spans="2:124" s="13" customFormat="1">
      <c r="B976" s="4">
        <f>'6.1Personnel List'!B977</f>
        <v>964</v>
      </c>
      <c r="C976" s="45" t="s">
        <v>1189</v>
      </c>
      <c r="D976" s="45" t="str">
        <f>'6.1Personnel List'!D977</f>
        <v>Nurse I</v>
      </c>
      <c r="E976" s="45" t="str">
        <f>'6.1Personnel List'!H977</f>
        <v>FT</v>
      </c>
      <c r="G976" s="41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  <c r="AA976" s="41"/>
      <c r="AB976" s="41"/>
      <c r="AC976" s="41"/>
      <c r="AD976" s="41"/>
      <c r="AE976" s="41"/>
      <c r="AF976" s="41"/>
      <c r="AG976" s="41"/>
      <c r="AH976" s="41"/>
      <c r="AI976" s="41"/>
      <c r="AJ976" s="41"/>
      <c r="AK976" s="41"/>
      <c r="AL976" s="41"/>
      <c r="AM976" s="41"/>
      <c r="AN976" s="41"/>
      <c r="AO976" s="41"/>
      <c r="AP976" s="41"/>
      <c r="AQ976" s="41"/>
      <c r="AR976" s="41"/>
      <c r="AS976" s="41"/>
      <c r="AT976" s="41"/>
      <c r="AU976" s="41"/>
      <c r="AV976" s="41"/>
      <c r="AW976" s="41"/>
      <c r="AX976" s="41"/>
      <c r="AY976" s="41"/>
      <c r="AZ976" s="41"/>
      <c r="BA976" s="41"/>
      <c r="BB976" s="41"/>
      <c r="BC976" s="41"/>
      <c r="BD976" s="41"/>
      <c r="BE976" s="41"/>
      <c r="BF976" s="41"/>
      <c r="BG976" s="41"/>
      <c r="BH976" s="41"/>
      <c r="BJ976" s="41"/>
      <c r="BK976" s="41"/>
      <c r="BL976" s="41"/>
      <c r="BM976" s="41"/>
      <c r="BN976" s="41"/>
      <c r="BO976" s="41"/>
      <c r="BP976" s="41"/>
      <c r="BQ976" s="41"/>
      <c r="BR976" s="41"/>
      <c r="BS976" s="41">
        <v>0.05</v>
      </c>
      <c r="BT976" s="41"/>
      <c r="BU976" s="41">
        <v>0.05</v>
      </c>
      <c r="BV976" s="41">
        <v>0.05</v>
      </c>
      <c r="BW976" s="41">
        <v>0.05</v>
      </c>
      <c r="BX976" s="41"/>
      <c r="BY976" s="41"/>
      <c r="BZ976" s="41"/>
      <c r="CA976" s="41"/>
      <c r="CB976" s="41"/>
      <c r="CC976" s="41"/>
      <c r="CD976" s="41"/>
      <c r="CE976" s="41">
        <v>0.05</v>
      </c>
      <c r="CF976" s="41">
        <v>0.03</v>
      </c>
      <c r="CG976" s="41">
        <v>0.02</v>
      </c>
      <c r="CH976" s="41">
        <v>0.05</v>
      </c>
      <c r="CI976" s="41">
        <v>0.05</v>
      </c>
      <c r="CJ976" s="41"/>
      <c r="CK976" s="41"/>
      <c r="CL976" s="41"/>
      <c r="CM976" s="41"/>
      <c r="CN976" s="41"/>
      <c r="CO976" s="41"/>
      <c r="CP976" s="41"/>
      <c r="CQ976" s="41">
        <v>0.3</v>
      </c>
      <c r="CR976" s="41"/>
      <c r="CS976" s="41"/>
      <c r="CT976" s="41"/>
      <c r="CU976" s="41"/>
      <c r="CV976" s="41"/>
      <c r="CW976" s="41"/>
      <c r="CX976" s="41"/>
      <c r="CY976" s="41"/>
      <c r="CZ976" s="41"/>
      <c r="DA976" s="41"/>
      <c r="DB976" s="41"/>
      <c r="DC976" s="41"/>
      <c r="DD976" s="41"/>
      <c r="DE976" s="41"/>
      <c r="DF976" s="41"/>
      <c r="DG976" s="41"/>
      <c r="DH976" s="41"/>
      <c r="DI976" s="41"/>
      <c r="DJ976" s="41"/>
      <c r="DK976" s="41">
        <v>0.3</v>
      </c>
      <c r="DL976" s="41"/>
      <c r="DM976" s="41"/>
      <c r="DN976" s="41"/>
      <c r="DO976" s="41"/>
      <c r="DP976" s="41"/>
      <c r="DQ976" s="41"/>
      <c r="DR976" s="41"/>
      <c r="DS976" s="43"/>
      <c r="DT976" s="44">
        <f t="shared" ref="DT976" si="958">SUM(F976:DR976)</f>
        <v>1</v>
      </c>
    </row>
    <row r="977" spans="2:124" s="13" customFormat="1">
      <c r="B977" s="4">
        <f>'6.1Personnel List'!B978</f>
        <v>965</v>
      </c>
      <c r="C977" s="45" t="s">
        <v>1190</v>
      </c>
      <c r="D977" s="45" t="str">
        <f>'6.1Personnel List'!D978</f>
        <v>Nurse I</v>
      </c>
      <c r="E977" s="45" t="str">
        <f>'6.1Personnel List'!H978</f>
        <v>FT</v>
      </c>
      <c r="G977" s="41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  <c r="AA977" s="41"/>
      <c r="AB977" s="41"/>
      <c r="AC977" s="41"/>
      <c r="AD977" s="41"/>
      <c r="AE977" s="41"/>
      <c r="AF977" s="41"/>
      <c r="AG977" s="41"/>
      <c r="AH977" s="41"/>
      <c r="AI977" s="41"/>
      <c r="AJ977" s="41"/>
      <c r="AK977" s="41"/>
      <c r="AL977" s="41"/>
      <c r="AM977" s="41"/>
      <c r="AN977" s="41"/>
      <c r="AO977" s="41"/>
      <c r="AP977" s="41"/>
      <c r="AQ977" s="41"/>
      <c r="AR977" s="41"/>
      <c r="AS977" s="41"/>
      <c r="AT977" s="41"/>
      <c r="AU977" s="41"/>
      <c r="AV977" s="41"/>
      <c r="AW977" s="41"/>
      <c r="AX977" s="41"/>
      <c r="AY977" s="41"/>
      <c r="AZ977" s="41"/>
      <c r="BA977" s="41"/>
      <c r="BB977" s="41"/>
      <c r="BC977" s="41"/>
      <c r="BD977" s="41"/>
      <c r="BE977" s="41"/>
      <c r="BF977" s="41"/>
      <c r="BG977" s="41"/>
      <c r="BH977" s="41"/>
      <c r="BJ977" s="41"/>
      <c r="BK977" s="41"/>
      <c r="BL977" s="41"/>
      <c r="BM977" s="41"/>
      <c r="BN977" s="41"/>
      <c r="BO977" s="41"/>
      <c r="BP977" s="41"/>
      <c r="BQ977" s="41"/>
      <c r="BR977" s="41"/>
      <c r="BS977" s="41">
        <v>0.05</v>
      </c>
      <c r="BT977" s="41"/>
      <c r="BU977" s="41"/>
      <c r="BV977" s="41">
        <v>0.05</v>
      </c>
      <c r="BW977" s="41">
        <v>0.05</v>
      </c>
      <c r="BX977" s="41"/>
      <c r="BY977" s="41"/>
      <c r="BZ977" s="41"/>
      <c r="CA977" s="41"/>
      <c r="CB977" s="41"/>
      <c r="CC977" s="41"/>
      <c r="CD977" s="41"/>
      <c r="CE977" s="41">
        <v>0.1</v>
      </c>
      <c r="CF977" s="41">
        <v>0.05</v>
      </c>
      <c r="CG977" s="41">
        <v>0.05</v>
      </c>
      <c r="CH977" s="41">
        <v>0.05</v>
      </c>
      <c r="CI977" s="41"/>
      <c r="CJ977" s="41">
        <v>0.05</v>
      </c>
      <c r="CK977" s="41"/>
      <c r="CL977" s="41">
        <v>0.2</v>
      </c>
      <c r="CM977" s="41"/>
      <c r="CN977" s="41"/>
      <c r="CO977" s="41"/>
      <c r="CP977" s="41"/>
      <c r="CQ977" s="41"/>
      <c r="CR977" s="41"/>
      <c r="CS977" s="41"/>
      <c r="CT977" s="41"/>
      <c r="CU977" s="41">
        <v>0.05</v>
      </c>
      <c r="CV977" s="41"/>
      <c r="CW977" s="41"/>
      <c r="CX977" s="41"/>
      <c r="CY977" s="41"/>
      <c r="CZ977" s="41"/>
      <c r="DA977" s="41"/>
      <c r="DB977" s="41"/>
      <c r="DC977" s="41"/>
      <c r="DD977" s="41">
        <v>0.05</v>
      </c>
      <c r="DE977" s="41"/>
      <c r="DF977" s="41"/>
      <c r="DG977" s="41"/>
      <c r="DH977" s="41"/>
      <c r="DI977" s="41"/>
      <c r="DJ977" s="41"/>
      <c r="DK977" s="41"/>
      <c r="DL977" s="41"/>
      <c r="DM977" s="41"/>
      <c r="DN977" s="41"/>
      <c r="DO977" s="41"/>
      <c r="DP977" s="41">
        <v>0.25</v>
      </c>
      <c r="DQ977" s="41"/>
      <c r="DR977" s="41"/>
      <c r="DS977" s="43"/>
      <c r="DT977" s="44">
        <f t="shared" ref="DT977" si="959">SUM(F977:DR977)</f>
        <v>1</v>
      </c>
    </row>
    <row r="978" spans="2:124" s="13" customFormat="1">
      <c r="B978" s="4">
        <f>'6.1Personnel List'!B979</f>
        <v>966</v>
      </c>
      <c r="C978" s="45" t="s">
        <v>1191</v>
      </c>
      <c r="D978" s="45" t="str">
        <f>'6.1Personnel List'!D979</f>
        <v>Nurse I</v>
      </c>
      <c r="E978" s="45" t="str">
        <f>'6.1Personnel List'!H979</f>
        <v>FT</v>
      </c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  <c r="AA978" s="41"/>
      <c r="AB978" s="41"/>
      <c r="AC978" s="41"/>
      <c r="AD978" s="41"/>
      <c r="AE978" s="41"/>
      <c r="AF978" s="41"/>
      <c r="AG978" s="41"/>
      <c r="AH978" s="41"/>
      <c r="AI978" s="41"/>
      <c r="AJ978" s="41"/>
      <c r="AK978" s="41"/>
      <c r="AL978" s="41"/>
      <c r="AM978" s="41"/>
      <c r="AN978" s="41"/>
      <c r="AO978" s="41"/>
      <c r="AP978" s="41"/>
      <c r="AQ978" s="41"/>
      <c r="AR978" s="41"/>
      <c r="AS978" s="41"/>
      <c r="AT978" s="41"/>
      <c r="AU978" s="41"/>
      <c r="AV978" s="41"/>
      <c r="AW978" s="41"/>
      <c r="AX978" s="41"/>
      <c r="AY978" s="41"/>
      <c r="AZ978" s="41"/>
      <c r="BA978" s="41"/>
      <c r="BB978" s="41"/>
      <c r="BC978" s="41"/>
      <c r="BD978" s="41"/>
      <c r="BE978" s="41"/>
      <c r="BF978" s="41"/>
      <c r="BG978" s="41"/>
      <c r="BH978" s="41"/>
      <c r="BJ978" s="41"/>
      <c r="BK978" s="41"/>
      <c r="BL978" s="41"/>
      <c r="BM978" s="41"/>
      <c r="BN978" s="41"/>
      <c r="BO978" s="41"/>
      <c r="BP978" s="41"/>
      <c r="BQ978" s="41"/>
      <c r="BR978" s="41"/>
      <c r="BS978" s="41">
        <v>0.05</v>
      </c>
      <c r="BT978" s="41"/>
      <c r="BU978" s="41"/>
      <c r="BV978" s="41">
        <v>0.05</v>
      </c>
      <c r="BW978" s="41">
        <v>0.05</v>
      </c>
      <c r="BX978" s="41"/>
      <c r="BY978" s="41"/>
      <c r="BZ978" s="41"/>
      <c r="CA978" s="41"/>
      <c r="CB978" s="41"/>
      <c r="CC978" s="41"/>
      <c r="CD978" s="41"/>
      <c r="CE978" s="41">
        <v>0.1</v>
      </c>
      <c r="CF978" s="41">
        <v>0.05</v>
      </c>
      <c r="CG978" s="41">
        <v>0.05</v>
      </c>
      <c r="CH978" s="41">
        <v>0.05</v>
      </c>
      <c r="CI978" s="41"/>
      <c r="CJ978" s="41">
        <v>0.05</v>
      </c>
      <c r="CK978" s="41"/>
      <c r="CL978" s="41">
        <v>0.2</v>
      </c>
      <c r="CM978" s="41"/>
      <c r="CN978" s="41"/>
      <c r="CO978" s="41"/>
      <c r="CP978" s="41"/>
      <c r="CQ978" s="41"/>
      <c r="CR978" s="41"/>
      <c r="CS978" s="41"/>
      <c r="CT978" s="41"/>
      <c r="CU978" s="41">
        <v>0.05</v>
      </c>
      <c r="CV978" s="41"/>
      <c r="CW978" s="41"/>
      <c r="CX978" s="41"/>
      <c r="CY978" s="41"/>
      <c r="CZ978" s="41"/>
      <c r="DA978" s="41"/>
      <c r="DB978" s="41"/>
      <c r="DC978" s="41"/>
      <c r="DD978" s="41">
        <v>0.05</v>
      </c>
      <c r="DE978" s="41"/>
      <c r="DF978" s="41"/>
      <c r="DG978" s="41"/>
      <c r="DH978" s="41"/>
      <c r="DI978" s="41"/>
      <c r="DJ978" s="41"/>
      <c r="DK978" s="41"/>
      <c r="DL978" s="41"/>
      <c r="DM978" s="41"/>
      <c r="DN978" s="41"/>
      <c r="DO978" s="41"/>
      <c r="DP978" s="41">
        <v>0.25</v>
      </c>
      <c r="DQ978" s="41"/>
      <c r="DR978" s="41"/>
      <c r="DS978" s="43"/>
      <c r="DT978" s="44">
        <f t="shared" ref="DT978" si="960">SUM(F978:DR978)</f>
        <v>1</v>
      </c>
    </row>
    <row r="979" spans="2:124" s="13" customFormat="1">
      <c r="B979" s="4">
        <f>'6.1Personnel List'!B980</f>
        <v>967</v>
      </c>
      <c r="C979" s="45" t="s">
        <v>1192</v>
      </c>
      <c r="D979" s="45" t="str">
        <f>'6.1Personnel List'!D980</f>
        <v>Nurse I</v>
      </c>
      <c r="E979" s="45" t="str">
        <f>'6.1Personnel List'!H980</f>
        <v>FT</v>
      </c>
      <c r="G979" s="41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  <c r="AA979" s="41"/>
      <c r="AB979" s="41"/>
      <c r="AC979" s="41"/>
      <c r="AD979" s="41"/>
      <c r="AE979" s="41"/>
      <c r="AF979" s="41"/>
      <c r="AG979" s="41"/>
      <c r="AH979" s="41"/>
      <c r="AI979" s="41"/>
      <c r="AJ979" s="41"/>
      <c r="AK979" s="41"/>
      <c r="AL979" s="41"/>
      <c r="AM979" s="41"/>
      <c r="AN979" s="41"/>
      <c r="AO979" s="41"/>
      <c r="AP979" s="41"/>
      <c r="AQ979" s="41"/>
      <c r="AR979" s="41"/>
      <c r="AS979" s="41"/>
      <c r="AT979" s="41"/>
      <c r="AU979" s="41"/>
      <c r="AV979" s="41"/>
      <c r="AW979" s="41"/>
      <c r="AX979" s="41"/>
      <c r="AY979" s="41"/>
      <c r="AZ979" s="41"/>
      <c r="BA979" s="41"/>
      <c r="BB979" s="41"/>
      <c r="BC979" s="41"/>
      <c r="BD979" s="41"/>
      <c r="BE979" s="41"/>
      <c r="BF979" s="41"/>
      <c r="BG979" s="41"/>
      <c r="BH979" s="41"/>
      <c r="BJ979" s="41"/>
      <c r="BK979" s="41"/>
      <c r="BL979" s="41"/>
      <c r="BM979" s="41"/>
      <c r="BN979" s="41"/>
      <c r="BO979" s="41"/>
      <c r="BP979" s="41"/>
      <c r="BQ979" s="41"/>
      <c r="BR979" s="41"/>
      <c r="BS979" s="41"/>
      <c r="BT979" s="41"/>
      <c r="BU979" s="41"/>
      <c r="BV979" s="41"/>
      <c r="BW979" s="41"/>
      <c r="BX979" s="41"/>
      <c r="BY979" s="41"/>
      <c r="BZ979" s="41"/>
      <c r="CA979" s="41"/>
      <c r="CB979" s="41"/>
      <c r="CC979" s="41"/>
      <c r="CD979" s="41"/>
      <c r="CE979" s="41"/>
      <c r="CF979" s="41"/>
      <c r="CG979" s="41"/>
      <c r="CH979" s="41"/>
      <c r="CI979" s="41"/>
      <c r="CJ979" s="41"/>
      <c r="CK979" s="41"/>
      <c r="CL979" s="41"/>
      <c r="CM979" s="41"/>
      <c r="CN979" s="92">
        <v>0.25</v>
      </c>
      <c r="CO979" s="41"/>
      <c r="CP979" s="41"/>
      <c r="CQ979" s="41"/>
      <c r="CR979" s="41"/>
      <c r="CS979" s="41"/>
      <c r="CT979" s="41"/>
      <c r="CU979" s="41"/>
      <c r="CV979" s="41"/>
      <c r="CW979" s="41"/>
      <c r="CX979" s="41"/>
      <c r="CY979" s="41"/>
      <c r="CZ979" s="41"/>
      <c r="DA979" s="41"/>
      <c r="DB979" s="92">
        <v>0.25</v>
      </c>
      <c r="DC979" s="92">
        <v>0.25</v>
      </c>
      <c r="DD979" s="41"/>
      <c r="DE979" s="41"/>
      <c r="DF979" s="41"/>
      <c r="DG979" s="41"/>
      <c r="DH979" s="41"/>
      <c r="DI979" s="41"/>
      <c r="DJ979" s="92">
        <v>0.25</v>
      </c>
      <c r="DK979" s="41"/>
      <c r="DL979" s="41"/>
      <c r="DM979" s="41"/>
      <c r="DN979" s="41"/>
      <c r="DO979" s="41"/>
      <c r="DP979" s="41"/>
      <c r="DQ979" s="41"/>
      <c r="DR979" s="41"/>
      <c r="DS979" s="43"/>
      <c r="DT979" s="44">
        <f t="shared" ref="DT979" si="961">SUM(F979:DR979)</f>
        <v>1</v>
      </c>
    </row>
    <row r="980" spans="2:124" s="13" customFormat="1">
      <c r="B980" s="4">
        <f>'6.1Personnel List'!B981</f>
        <v>968</v>
      </c>
      <c r="C980" s="45" t="s">
        <v>1193</v>
      </c>
      <c r="D980" s="45" t="str">
        <f>'6.1Personnel List'!D981</f>
        <v>Nurse I</v>
      </c>
      <c r="E980" s="45" t="str">
        <f>'6.1Personnel List'!H981</f>
        <v>FT</v>
      </c>
      <c r="G980" s="41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  <c r="AA980" s="41"/>
      <c r="AB980" s="41"/>
      <c r="AC980" s="41"/>
      <c r="AD980" s="41"/>
      <c r="AE980" s="41"/>
      <c r="AF980" s="41"/>
      <c r="AG980" s="41"/>
      <c r="AH980" s="41"/>
      <c r="AI980" s="41"/>
      <c r="AJ980" s="41"/>
      <c r="AK980" s="41"/>
      <c r="AL980" s="41"/>
      <c r="AM980" s="41"/>
      <c r="AN980" s="41"/>
      <c r="AO980" s="41"/>
      <c r="AP980" s="41"/>
      <c r="AQ980" s="41"/>
      <c r="AR980" s="41"/>
      <c r="AS980" s="41"/>
      <c r="AT980" s="41"/>
      <c r="AU980" s="41"/>
      <c r="AV980" s="41"/>
      <c r="AW980" s="41"/>
      <c r="AX980" s="41"/>
      <c r="AY980" s="41"/>
      <c r="AZ980" s="41"/>
      <c r="BA980" s="41"/>
      <c r="BB980" s="41"/>
      <c r="BC980" s="41"/>
      <c r="BD980" s="41"/>
      <c r="BE980" s="41"/>
      <c r="BF980" s="41"/>
      <c r="BG980" s="41"/>
      <c r="BH980" s="41"/>
      <c r="BJ980" s="41"/>
      <c r="BK980" s="41"/>
      <c r="BL980" s="41"/>
      <c r="BM980" s="41"/>
      <c r="BN980" s="41"/>
      <c r="BO980" s="41"/>
      <c r="BP980" s="41"/>
      <c r="BQ980" s="41"/>
      <c r="BR980" s="41"/>
      <c r="BS980" s="41">
        <v>0.05</v>
      </c>
      <c r="BT980" s="41"/>
      <c r="BU980" s="41">
        <v>0.05</v>
      </c>
      <c r="BV980" s="41">
        <v>0.05</v>
      </c>
      <c r="BW980" s="41">
        <v>0.05</v>
      </c>
      <c r="BX980" s="41"/>
      <c r="BY980" s="41"/>
      <c r="BZ980" s="41"/>
      <c r="CA980" s="41"/>
      <c r="CB980" s="41"/>
      <c r="CC980" s="41"/>
      <c r="CD980" s="41"/>
      <c r="CE980" s="41">
        <v>0.05</v>
      </c>
      <c r="CF980" s="41">
        <v>0.03</v>
      </c>
      <c r="CG980" s="41">
        <v>0.02</v>
      </c>
      <c r="CH980" s="41">
        <v>0.05</v>
      </c>
      <c r="CI980" s="41">
        <v>0.05</v>
      </c>
      <c r="CJ980" s="41"/>
      <c r="CK980" s="41"/>
      <c r="CL980" s="41"/>
      <c r="CM980" s="41"/>
      <c r="CN980" s="41"/>
      <c r="CO980" s="41"/>
      <c r="CP980" s="41"/>
      <c r="CQ980" s="41"/>
      <c r="CR980" s="41"/>
      <c r="CS980" s="41"/>
      <c r="CT980" s="41"/>
      <c r="CU980" s="41"/>
      <c r="CV980" s="41"/>
      <c r="CW980" s="41"/>
      <c r="CX980" s="41"/>
      <c r="CY980" s="41"/>
      <c r="CZ980" s="41"/>
      <c r="DA980" s="41"/>
      <c r="DB980" s="41"/>
      <c r="DC980" s="41"/>
      <c r="DD980" s="41"/>
      <c r="DE980" s="41"/>
      <c r="DF980" s="41"/>
      <c r="DG980" s="41"/>
      <c r="DH980" s="41"/>
      <c r="DI980" s="41"/>
      <c r="DJ980" s="41"/>
      <c r="DK980" s="41">
        <v>0.6</v>
      </c>
      <c r="DL980" s="41"/>
      <c r="DM980" s="41"/>
      <c r="DN980" s="41"/>
      <c r="DO980" s="41"/>
      <c r="DP980" s="41"/>
      <c r="DQ980" s="41"/>
      <c r="DR980" s="41"/>
      <c r="DS980" s="43"/>
      <c r="DT980" s="44">
        <f t="shared" ref="DT980" si="962">SUM(F980:DR980)</f>
        <v>1</v>
      </c>
    </row>
    <row r="981" spans="2:124" s="13" customFormat="1">
      <c r="B981" s="4">
        <f>'6.1Personnel List'!B982</f>
        <v>969</v>
      </c>
      <c r="C981" s="45" t="s">
        <v>1194</v>
      </c>
      <c r="D981" s="45" t="str">
        <f>'6.1Personnel List'!D982</f>
        <v>Nurse I</v>
      </c>
      <c r="E981" s="45" t="str">
        <f>'6.1Personnel List'!H982</f>
        <v>FT</v>
      </c>
      <c r="G981" s="41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  <c r="AA981" s="41"/>
      <c r="AB981" s="41"/>
      <c r="AC981" s="41"/>
      <c r="AD981" s="41"/>
      <c r="AE981" s="41"/>
      <c r="AF981" s="41"/>
      <c r="AG981" s="41"/>
      <c r="AH981" s="41"/>
      <c r="AI981" s="41"/>
      <c r="AJ981" s="41"/>
      <c r="AK981" s="41"/>
      <c r="AL981" s="41"/>
      <c r="AM981" s="41"/>
      <c r="AN981" s="41"/>
      <c r="AO981" s="41"/>
      <c r="AP981" s="41"/>
      <c r="AQ981" s="41"/>
      <c r="AR981" s="41"/>
      <c r="AS981" s="41"/>
      <c r="AT981" s="41"/>
      <c r="AU981" s="41"/>
      <c r="AV981" s="41"/>
      <c r="AW981" s="41"/>
      <c r="AX981" s="41"/>
      <c r="AY981" s="41"/>
      <c r="AZ981" s="41"/>
      <c r="BA981" s="41"/>
      <c r="BB981" s="41"/>
      <c r="BC981" s="41"/>
      <c r="BD981" s="41"/>
      <c r="BE981" s="41"/>
      <c r="BF981" s="41"/>
      <c r="BG981" s="41"/>
      <c r="BH981" s="41"/>
      <c r="BJ981" s="41"/>
      <c r="BK981" s="41"/>
      <c r="BL981" s="41"/>
      <c r="BM981" s="41"/>
      <c r="BN981" s="41"/>
      <c r="BO981" s="41"/>
      <c r="BP981" s="41"/>
      <c r="BQ981" s="41"/>
      <c r="BR981" s="41"/>
      <c r="BS981" s="41">
        <v>0.05</v>
      </c>
      <c r="BT981" s="41"/>
      <c r="BU981" s="41">
        <v>0.05</v>
      </c>
      <c r="BV981" s="41">
        <v>0.05</v>
      </c>
      <c r="BW981" s="41">
        <v>0.05</v>
      </c>
      <c r="BX981" s="41"/>
      <c r="BY981" s="41"/>
      <c r="BZ981" s="41"/>
      <c r="CA981" s="41"/>
      <c r="CB981" s="41"/>
      <c r="CC981" s="41"/>
      <c r="CD981" s="41"/>
      <c r="CE981" s="41">
        <v>0.05</v>
      </c>
      <c r="CF981" s="41">
        <v>0.03</v>
      </c>
      <c r="CG981" s="41">
        <v>0.02</v>
      </c>
      <c r="CH981" s="41">
        <v>0.05</v>
      </c>
      <c r="CI981" s="41">
        <v>0.05</v>
      </c>
      <c r="CJ981" s="41"/>
      <c r="CK981" s="41"/>
      <c r="CL981" s="41"/>
      <c r="CM981" s="41"/>
      <c r="CN981" s="41"/>
      <c r="CO981" s="41"/>
      <c r="CP981" s="41"/>
      <c r="CQ981" s="41"/>
      <c r="CR981" s="41"/>
      <c r="CS981" s="41"/>
      <c r="CT981" s="41"/>
      <c r="CU981" s="41"/>
      <c r="CV981" s="41"/>
      <c r="CW981" s="41"/>
      <c r="CX981" s="41"/>
      <c r="CY981" s="41"/>
      <c r="CZ981" s="41"/>
      <c r="DA981" s="41"/>
      <c r="DB981" s="41"/>
      <c r="DC981" s="41"/>
      <c r="DD981" s="41"/>
      <c r="DE981" s="41"/>
      <c r="DF981" s="41"/>
      <c r="DG981" s="41"/>
      <c r="DH981" s="41"/>
      <c r="DI981" s="41"/>
      <c r="DJ981" s="41"/>
      <c r="DK981" s="41">
        <v>0.6</v>
      </c>
      <c r="DL981" s="41"/>
      <c r="DM981" s="41"/>
      <c r="DN981" s="41"/>
      <c r="DO981" s="41"/>
      <c r="DP981" s="41"/>
      <c r="DQ981" s="41"/>
      <c r="DR981" s="41"/>
      <c r="DS981" s="43"/>
      <c r="DT981" s="44">
        <f t="shared" ref="DT981" si="963">SUM(F981:DR981)</f>
        <v>1</v>
      </c>
    </row>
    <row r="982" spans="2:124" s="13" customFormat="1">
      <c r="B982" s="4">
        <f>'6.1Personnel List'!B983</f>
        <v>970</v>
      </c>
      <c r="C982" s="45" t="s">
        <v>1195</v>
      </c>
      <c r="D982" s="45" t="str">
        <f>'6.1Personnel List'!D983</f>
        <v>Nurse I</v>
      </c>
      <c r="E982" s="45" t="str">
        <f>'6.1Personnel List'!H983</f>
        <v>FT</v>
      </c>
      <c r="G982" s="41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  <c r="AA982" s="41"/>
      <c r="AB982" s="41"/>
      <c r="AC982" s="41"/>
      <c r="AD982" s="41"/>
      <c r="AE982" s="41"/>
      <c r="AF982" s="41"/>
      <c r="AG982" s="41"/>
      <c r="AH982" s="41"/>
      <c r="AI982" s="41"/>
      <c r="AJ982" s="41"/>
      <c r="AK982" s="41"/>
      <c r="AL982" s="41"/>
      <c r="AM982" s="41"/>
      <c r="AN982" s="41"/>
      <c r="AO982" s="41"/>
      <c r="AP982" s="41"/>
      <c r="AQ982" s="41"/>
      <c r="AR982" s="41"/>
      <c r="AS982" s="41"/>
      <c r="AT982" s="41"/>
      <c r="AU982" s="41"/>
      <c r="AV982" s="41"/>
      <c r="AW982" s="41"/>
      <c r="AX982" s="41"/>
      <c r="AY982" s="41"/>
      <c r="AZ982" s="41"/>
      <c r="BA982" s="41"/>
      <c r="BB982" s="41"/>
      <c r="BC982" s="41"/>
      <c r="BD982" s="41"/>
      <c r="BE982" s="41"/>
      <c r="BF982" s="41"/>
      <c r="BG982" s="41"/>
      <c r="BH982" s="41"/>
      <c r="BJ982" s="41"/>
      <c r="BK982" s="41"/>
      <c r="BL982" s="41"/>
      <c r="BM982" s="41"/>
      <c r="BN982" s="41"/>
      <c r="BO982" s="41"/>
      <c r="BP982" s="41"/>
      <c r="BQ982" s="41"/>
      <c r="BR982" s="41"/>
      <c r="BS982" s="41"/>
      <c r="BT982" s="41"/>
      <c r="BU982" s="41"/>
      <c r="BV982" s="41">
        <v>0.05</v>
      </c>
      <c r="BW982" s="41"/>
      <c r="BX982" s="41"/>
      <c r="BY982" s="41"/>
      <c r="BZ982" s="41"/>
      <c r="CA982" s="41"/>
      <c r="CB982" s="41">
        <v>0.05</v>
      </c>
      <c r="CC982" s="41"/>
      <c r="CD982" s="41"/>
      <c r="CE982" s="41">
        <v>0.05</v>
      </c>
      <c r="CF982" s="41">
        <v>0.05</v>
      </c>
      <c r="CG982" s="41"/>
      <c r="CH982" s="41"/>
      <c r="CI982" s="41"/>
      <c r="CJ982" s="41"/>
      <c r="CK982" s="41"/>
      <c r="CL982" s="41">
        <v>0.8</v>
      </c>
      <c r="CM982" s="41"/>
      <c r="CN982" s="41"/>
      <c r="CO982" s="41"/>
      <c r="CP982" s="41"/>
      <c r="CQ982" s="41"/>
      <c r="CR982" s="41"/>
      <c r="CS982" s="41"/>
      <c r="CT982" s="41"/>
      <c r="CU982" s="41"/>
      <c r="CV982" s="41"/>
      <c r="CW982" s="41"/>
      <c r="CX982" s="41"/>
      <c r="CY982" s="41"/>
      <c r="CZ982" s="41"/>
      <c r="DA982" s="41"/>
      <c r="DB982" s="41"/>
      <c r="DC982" s="41"/>
      <c r="DD982" s="41"/>
      <c r="DE982" s="41"/>
      <c r="DF982" s="41"/>
      <c r="DG982" s="41"/>
      <c r="DH982" s="41"/>
      <c r="DI982" s="41"/>
      <c r="DJ982" s="41"/>
      <c r="DK982" s="41"/>
      <c r="DL982" s="41"/>
      <c r="DM982" s="41"/>
      <c r="DN982" s="41"/>
      <c r="DO982" s="41"/>
      <c r="DP982" s="41"/>
      <c r="DQ982" s="41"/>
      <c r="DR982" s="41"/>
      <c r="DS982" s="43"/>
      <c r="DT982" s="44">
        <f t="shared" ref="DT982" si="964">SUM(F982:DR982)</f>
        <v>1</v>
      </c>
    </row>
    <row r="983" spans="2:124" s="13" customFormat="1">
      <c r="B983" s="4">
        <f>'6.1Personnel List'!B984</f>
        <v>971</v>
      </c>
      <c r="C983" s="45" t="s">
        <v>1196</v>
      </c>
      <c r="D983" s="45" t="str">
        <f>'6.1Personnel List'!D984</f>
        <v>Nurse I</v>
      </c>
      <c r="E983" s="45" t="str">
        <f>'6.1Personnel List'!H984</f>
        <v>FT</v>
      </c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  <c r="AA983" s="41"/>
      <c r="AB983" s="41"/>
      <c r="AC983" s="41"/>
      <c r="AD983" s="41"/>
      <c r="AE983" s="41"/>
      <c r="AF983" s="41"/>
      <c r="AG983" s="41"/>
      <c r="AH983" s="41"/>
      <c r="AI983" s="41"/>
      <c r="AJ983" s="41"/>
      <c r="AK983" s="41"/>
      <c r="AL983" s="41"/>
      <c r="AM983" s="41"/>
      <c r="AN983" s="41"/>
      <c r="AO983" s="41"/>
      <c r="AP983" s="41"/>
      <c r="AQ983" s="41"/>
      <c r="AR983" s="41"/>
      <c r="AS983" s="41"/>
      <c r="AT983" s="41"/>
      <c r="AU983" s="41"/>
      <c r="AV983" s="41"/>
      <c r="AW983" s="41"/>
      <c r="AX983" s="41"/>
      <c r="AY983" s="41"/>
      <c r="AZ983" s="41"/>
      <c r="BA983" s="41"/>
      <c r="BB983" s="41"/>
      <c r="BC983" s="41"/>
      <c r="BD983" s="41"/>
      <c r="BE983" s="41"/>
      <c r="BF983" s="41"/>
      <c r="BG983" s="41"/>
      <c r="BH983" s="41"/>
      <c r="BJ983" s="41"/>
      <c r="BK983" s="94"/>
      <c r="BL983" s="94"/>
      <c r="BM983" s="94"/>
      <c r="BN983" s="94"/>
      <c r="BO983" s="94"/>
      <c r="BP983" s="94"/>
      <c r="BQ983" s="94"/>
      <c r="BR983" s="94"/>
      <c r="BS983" s="94"/>
      <c r="BT983" s="94"/>
      <c r="BU983" s="94"/>
      <c r="BV983" s="94"/>
      <c r="BW983" s="94"/>
      <c r="BX983" s="94"/>
      <c r="BY983" s="94"/>
      <c r="BZ983" s="94"/>
      <c r="CA983" s="94"/>
      <c r="CB983" s="94"/>
      <c r="CC983" s="94"/>
      <c r="CD983" s="94"/>
      <c r="CE983" s="94"/>
      <c r="CF983" s="94"/>
      <c r="CG983" s="94"/>
      <c r="CH983" s="94"/>
      <c r="CI983" s="94"/>
      <c r="CJ983" s="94"/>
      <c r="CK983" s="94"/>
      <c r="CL983" s="94"/>
      <c r="CM983" s="94"/>
      <c r="CN983" s="94"/>
      <c r="CO983" s="94"/>
      <c r="CP983" s="94"/>
      <c r="CQ983" s="94"/>
      <c r="CR983" s="94"/>
      <c r="CS983" s="94"/>
      <c r="CT983" s="94"/>
      <c r="CU983" s="94">
        <v>1</v>
      </c>
      <c r="CV983" s="94"/>
      <c r="CW983" s="94"/>
      <c r="CX983" s="94"/>
      <c r="CY983" s="94"/>
      <c r="CZ983" s="94"/>
      <c r="DA983" s="94"/>
      <c r="DB983" s="94"/>
      <c r="DC983" s="94"/>
      <c r="DD983" s="94"/>
      <c r="DE983" s="94"/>
      <c r="DF983" s="94"/>
      <c r="DG983" s="94"/>
      <c r="DH983" s="94"/>
      <c r="DI983" s="94"/>
      <c r="DJ983" s="94"/>
      <c r="DK983" s="41"/>
      <c r="DL983" s="41"/>
      <c r="DM983" s="41"/>
      <c r="DN983" s="41"/>
      <c r="DO983" s="41"/>
      <c r="DP983" s="41"/>
      <c r="DQ983" s="41"/>
      <c r="DR983" s="41"/>
      <c r="DS983" s="43"/>
      <c r="DT983" s="44">
        <f t="shared" ref="DT983" si="965">SUM(F983:DR983)</f>
        <v>1</v>
      </c>
    </row>
    <row r="984" spans="2:124" s="13" customFormat="1">
      <c r="B984" s="4">
        <f>'6.1Personnel List'!B985</f>
        <v>972</v>
      </c>
      <c r="C984" s="45" t="s">
        <v>1197</v>
      </c>
      <c r="D984" s="45" t="str">
        <f>'6.1Personnel List'!D985</f>
        <v>Nurse I</v>
      </c>
      <c r="E984" s="45" t="str">
        <f>'6.1Personnel List'!H985</f>
        <v>FT</v>
      </c>
      <c r="G984" s="41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  <c r="AA984" s="41"/>
      <c r="AB984" s="41"/>
      <c r="AC984" s="41"/>
      <c r="AD984" s="41"/>
      <c r="AE984" s="41"/>
      <c r="AF984" s="41"/>
      <c r="AG984" s="41"/>
      <c r="AH984" s="41"/>
      <c r="AI984" s="41"/>
      <c r="AJ984" s="41"/>
      <c r="AK984" s="41"/>
      <c r="AL984" s="41"/>
      <c r="AM984" s="41"/>
      <c r="AN984" s="41"/>
      <c r="AO984" s="41"/>
      <c r="AP984" s="41"/>
      <c r="AQ984" s="41"/>
      <c r="AR984" s="41"/>
      <c r="AS984" s="41"/>
      <c r="AT984" s="41"/>
      <c r="AU984" s="41"/>
      <c r="AV984" s="41"/>
      <c r="AW984" s="41"/>
      <c r="AX984" s="41"/>
      <c r="AY984" s="41"/>
      <c r="AZ984" s="41"/>
      <c r="BA984" s="41"/>
      <c r="BB984" s="41"/>
      <c r="BC984" s="41"/>
      <c r="BD984" s="41"/>
      <c r="BE984" s="41"/>
      <c r="BF984" s="41"/>
      <c r="BG984" s="41"/>
      <c r="BH984" s="41"/>
      <c r="BJ984" s="41"/>
      <c r="BK984" s="41"/>
      <c r="BL984" s="41"/>
      <c r="BM984" s="41"/>
      <c r="BN984" s="41"/>
      <c r="BO984" s="41"/>
      <c r="BP984" s="41"/>
      <c r="BQ984" s="41"/>
      <c r="BR984" s="41"/>
      <c r="BS984" s="41"/>
      <c r="BT984" s="41"/>
      <c r="BU984" s="41"/>
      <c r="BV984" s="41">
        <v>0.05</v>
      </c>
      <c r="BW984" s="41"/>
      <c r="BX984" s="41"/>
      <c r="BY984" s="41"/>
      <c r="BZ984" s="41"/>
      <c r="CA984" s="41"/>
      <c r="CB984" s="41">
        <v>0.05</v>
      </c>
      <c r="CC984" s="41"/>
      <c r="CD984" s="41"/>
      <c r="CE984" s="41">
        <v>0.05</v>
      </c>
      <c r="CF984" s="41">
        <v>0.05</v>
      </c>
      <c r="CG984" s="41"/>
      <c r="CH984" s="41"/>
      <c r="CI984" s="41"/>
      <c r="CJ984" s="41"/>
      <c r="CK984" s="41"/>
      <c r="CL984" s="41">
        <v>0.8</v>
      </c>
      <c r="CM984" s="41"/>
      <c r="CN984" s="41"/>
      <c r="CO984" s="41"/>
      <c r="CP984" s="41"/>
      <c r="CQ984" s="41"/>
      <c r="CR984" s="41"/>
      <c r="CS984" s="41"/>
      <c r="CT984" s="41"/>
      <c r="CU984" s="41"/>
      <c r="CV984" s="41"/>
      <c r="CW984" s="41"/>
      <c r="CX984" s="41"/>
      <c r="CY984" s="41"/>
      <c r="CZ984" s="41"/>
      <c r="DA984" s="41"/>
      <c r="DB984" s="41"/>
      <c r="DC984" s="41"/>
      <c r="DD984" s="41"/>
      <c r="DE984" s="41"/>
      <c r="DF984" s="41"/>
      <c r="DG984" s="41"/>
      <c r="DH984" s="41"/>
      <c r="DI984" s="41"/>
      <c r="DJ984" s="41"/>
      <c r="DK984" s="41"/>
      <c r="DL984" s="41"/>
      <c r="DM984" s="41"/>
      <c r="DN984" s="41"/>
      <c r="DO984" s="41"/>
      <c r="DP984" s="41"/>
      <c r="DQ984" s="41"/>
      <c r="DR984" s="41"/>
      <c r="DS984" s="43"/>
      <c r="DT984" s="44">
        <f t="shared" ref="DT984" si="966">SUM(F984:DR984)</f>
        <v>1</v>
      </c>
    </row>
    <row r="985" spans="2:124" s="13" customFormat="1">
      <c r="B985" s="4">
        <f>'6.1Personnel List'!B986</f>
        <v>973</v>
      </c>
      <c r="C985" s="45" t="s">
        <v>1198</v>
      </c>
      <c r="D985" s="45" t="str">
        <f>'6.1Personnel List'!D986</f>
        <v>Nurse I</v>
      </c>
      <c r="E985" s="45" t="str">
        <f>'6.1Personnel List'!H986</f>
        <v>FT</v>
      </c>
      <c r="G985" s="41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  <c r="AA985" s="41"/>
      <c r="AB985" s="41"/>
      <c r="AC985" s="41"/>
      <c r="AD985" s="41"/>
      <c r="AE985" s="41"/>
      <c r="AF985" s="41"/>
      <c r="AG985" s="41"/>
      <c r="AH985" s="41"/>
      <c r="AI985" s="41"/>
      <c r="AJ985" s="41"/>
      <c r="AK985" s="41"/>
      <c r="AL985" s="41"/>
      <c r="AM985" s="41"/>
      <c r="AN985" s="41"/>
      <c r="AO985" s="41"/>
      <c r="AP985" s="41"/>
      <c r="AQ985" s="41"/>
      <c r="AR985" s="41"/>
      <c r="AS985" s="41"/>
      <c r="AT985" s="41"/>
      <c r="AU985" s="41"/>
      <c r="AV985" s="41"/>
      <c r="AW985" s="41"/>
      <c r="AX985" s="41"/>
      <c r="AY985" s="41"/>
      <c r="AZ985" s="41"/>
      <c r="BA985" s="41"/>
      <c r="BB985" s="41"/>
      <c r="BC985" s="41"/>
      <c r="BD985" s="41"/>
      <c r="BE985" s="41"/>
      <c r="BF985" s="41"/>
      <c r="BG985" s="41"/>
      <c r="BH985" s="41"/>
      <c r="BJ985" s="41"/>
      <c r="BK985" s="41"/>
      <c r="BL985" s="41"/>
      <c r="BM985" s="41"/>
      <c r="BN985" s="41"/>
      <c r="BO985" s="41"/>
      <c r="BP985" s="41"/>
      <c r="BQ985" s="41"/>
      <c r="BR985" s="41"/>
      <c r="BS985" s="41"/>
      <c r="BT985" s="41"/>
      <c r="BU985" s="41"/>
      <c r="BV985" s="41">
        <v>0.05</v>
      </c>
      <c r="BW985" s="41"/>
      <c r="BX985" s="41"/>
      <c r="BY985" s="41"/>
      <c r="BZ985" s="41"/>
      <c r="CA985" s="41"/>
      <c r="CB985" s="41">
        <v>0.05</v>
      </c>
      <c r="CC985" s="41"/>
      <c r="CD985" s="41"/>
      <c r="CE985" s="41">
        <v>0.05</v>
      </c>
      <c r="CF985" s="41">
        <v>0.05</v>
      </c>
      <c r="CG985" s="41"/>
      <c r="CH985" s="41"/>
      <c r="CI985" s="41"/>
      <c r="CJ985" s="41"/>
      <c r="CK985" s="41"/>
      <c r="CL985" s="41">
        <v>0.8</v>
      </c>
      <c r="CM985" s="41"/>
      <c r="CN985" s="41"/>
      <c r="CO985" s="41"/>
      <c r="CP985" s="41"/>
      <c r="CQ985" s="41"/>
      <c r="CR985" s="41"/>
      <c r="CS985" s="41"/>
      <c r="CT985" s="41"/>
      <c r="CU985" s="41"/>
      <c r="CV985" s="41"/>
      <c r="CW985" s="41"/>
      <c r="CX985" s="41"/>
      <c r="CY985" s="41"/>
      <c r="CZ985" s="41"/>
      <c r="DA985" s="41"/>
      <c r="DB985" s="41"/>
      <c r="DC985" s="41"/>
      <c r="DD985" s="41"/>
      <c r="DE985" s="41"/>
      <c r="DF985" s="41"/>
      <c r="DG985" s="41"/>
      <c r="DH985" s="41"/>
      <c r="DI985" s="41"/>
      <c r="DJ985" s="41"/>
      <c r="DK985" s="41"/>
      <c r="DL985" s="41"/>
      <c r="DM985" s="41"/>
      <c r="DN985" s="41"/>
      <c r="DO985" s="41"/>
      <c r="DP985" s="41"/>
      <c r="DQ985" s="41"/>
      <c r="DR985" s="41"/>
      <c r="DS985" s="43"/>
      <c r="DT985" s="44">
        <f t="shared" ref="DT985" si="967">SUM(F985:DR985)</f>
        <v>1</v>
      </c>
    </row>
    <row r="986" spans="2:124" s="13" customFormat="1">
      <c r="B986" s="4">
        <f>'6.1Personnel List'!B987</f>
        <v>974</v>
      </c>
      <c r="C986" s="45" t="s">
        <v>1199</v>
      </c>
      <c r="D986" s="45" t="str">
        <f>'6.1Personnel List'!D987</f>
        <v>Nurse I</v>
      </c>
      <c r="E986" s="45" t="str">
        <f>'6.1Personnel List'!H987</f>
        <v>FT</v>
      </c>
      <c r="G986" s="41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  <c r="AA986" s="41"/>
      <c r="AB986" s="41"/>
      <c r="AC986" s="41"/>
      <c r="AD986" s="41"/>
      <c r="AE986" s="41"/>
      <c r="AF986" s="41"/>
      <c r="AG986" s="41"/>
      <c r="AH986" s="41"/>
      <c r="AI986" s="41"/>
      <c r="AJ986" s="41"/>
      <c r="AK986" s="41"/>
      <c r="AL986" s="41"/>
      <c r="AM986" s="41"/>
      <c r="AN986" s="41"/>
      <c r="AO986" s="41"/>
      <c r="AP986" s="41"/>
      <c r="AQ986" s="41"/>
      <c r="AR986" s="41"/>
      <c r="AS986" s="41"/>
      <c r="AT986" s="41"/>
      <c r="AU986" s="41"/>
      <c r="AV986" s="41"/>
      <c r="AW986" s="41"/>
      <c r="AX986" s="41"/>
      <c r="AY986" s="41"/>
      <c r="AZ986" s="41"/>
      <c r="BA986" s="41"/>
      <c r="BB986" s="41"/>
      <c r="BC986" s="41"/>
      <c r="BD986" s="41"/>
      <c r="BE986" s="41"/>
      <c r="BF986" s="41"/>
      <c r="BG986" s="41"/>
      <c r="BH986" s="41"/>
      <c r="BJ986" s="41"/>
      <c r="BK986" s="41"/>
      <c r="BL986" s="41"/>
      <c r="BM986" s="41"/>
      <c r="BN986" s="41"/>
      <c r="BO986" s="41"/>
      <c r="BP986" s="41"/>
      <c r="BQ986" s="41"/>
      <c r="BR986" s="41"/>
      <c r="BS986" s="41"/>
      <c r="BT986" s="41"/>
      <c r="BU986" s="41"/>
      <c r="BV986" s="41">
        <v>0.05</v>
      </c>
      <c r="BW986" s="41"/>
      <c r="BX986" s="41"/>
      <c r="BY986" s="41"/>
      <c r="BZ986" s="41"/>
      <c r="CA986" s="41"/>
      <c r="CB986" s="41">
        <v>0.05</v>
      </c>
      <c r="CC986" s="41"/>
      <c r="CD986" s="41"/>
      <c r="CE986" s="41">
        <v>0.05</v>
      </c>
      <c r="CF986" s="41">
        <v>0.05</v>
      </c>
      <c r="CG986" s="41"/>
      <c r="CH986" s="41"/>
      <c r="CI986" s="41"/>
      <c r="CJ986" s="41"/>
      <c r="CK986" s="41"/>
      <c r="CL986" s="41">
        <v>0.8</v>
      </c>
      <c r="CM986" s="41"/>
      <c r="CN986" s="41"/>
      <c r="CO986" s="41"/>
      <c r="CP986" s="41"/>
      <c r="CQ986" s="41"/>
      <c r="CR986" s="41"/>
      <c r="CS986" s="41"/>
      <c r="CT986" s="41"/>
      <c r="CU986" s="41"/>
      <c r="CV986" s="41"/>
      <c r="CW986" s="41"/>
      <c r="CX986" s="41"/>
      <c r="CY986" s="41"/>
      <c r="CZ986" s="41"/>
      <c r="DA986" s="41"/>
      <c r="DB986" s="41"/>
      <c r="DC986" s="41"/>
      <c r="DD986" s="41"/>
      <c r="DE986" s="41"/>
      <c r="DF986" s="41"/>
      <c r="DG986" s="41"/>
      <c r="DH986" s="41"/>
      <c r="DI986" s="41"/>
      <c r="DJ986" s="41"/>
      <c r="DK986" s="41"/>
      <c r="DL986" s="41"/>
      <c r="DM986" s="41"/>
      <c r="DN986" s="41"/>
      <c r="DO986" s="41"/>
      <c r="DP986" s="41"/>
      <c r="DQ986" s="41"/>
      <c r="DR986" s="41"/>
      <c r="DS986" s="43"/>
      <c r="DT986" s="44">
        <f t="shared" ref="DT986" si="968">SUM(F986:DR986)</f>
        <v>1</v>
      </c>
    </row>
    <row r="987" spans="2:124" s="13" customFormat="1">
      <c r="B987" s="4">
        <f>'6.1Personnel List'!B988</f>
        <v>975</v>
      </c>
      <c r="C987" s="45" t="s">
        <v>1200</v>
      </c>
      <c r="D987" s="45" t="str">
        <f>'6.1Personnel List'!D988</f>
        <v>Nurse I</v>
      </c>
      <c r="E987" s="45" t="str">
        <f>'6.1Personnel List'!H988</f>
        <v>FT</v>
      </c>
      <c r="G987" s="41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  <c r="AA987" s="41"/>
      <c r="AB987" s="41"/>
      <c r="AC987" s="41"/>
      <c r="AD987" s="41"/>
      <c r="AE987" s="41"/>
      <c r="AF987" s="41"/>
      <c r="AG987" s="41"/>
      <c r="AH987" s="41"/>
      <c r="AI987" s="41"/>
      <c r="AJ987" s="41"/>
      <c r="AK987" s="41"/>
      <c r="AL987" s="41"/>
      <c r="AM987" s="41"/>
      <c r="AN987" s="41"/>
      <c r="AO987" s="41"/>
      <c r="AP987" s="41"/>
      <c r="AQ987" s="41"/>
      <c r="AR987" s="41"/>
      <c r="AS987" s="41"/>
      <c r="AT987" s="41"/>
      <c r="AU987" s="41"/>
      <c r="AV987" s="41"/>
      <c r="AW987" s="41"/>
      <c r="AX987" s="41"/>
      <c r="AY987" s="41"/>
      <c r="AZ987" s="41"/>
      <c r="BA987" s="41"/>
      <c r="BB987" s="41"/>
      <c r="BC987" s="41"/>
      <c r="BD987" s="41"/>
      <c r="BE987" s="41"/>
      <c r="BF987" s="41"/>
      <c r="BG987" s="41"/>
      <c r="BH987" s="41"/>
      <c r="BJ987" s="41"/>
      <c r="BK987" s="41"/>
      <c r="BL987" s="41"/>
      <c r="BM987" s="41"/>
      <c r="BN987" s="41"/>
      <c r="BO987" s="41"/>
      <c r="BP987" s="41"/>
      <c r="BQ987" s="41"/>
      <c r="BR987" s="41"/>
      <c r="BS987" s="41"/>
      <c r="BT987" s="41"/>
      <c r="BU987" s="41"/>
      <c r="BV987" s="41">
        <v>0.05</v>
      </c>
      <c r="BW987" s="41"/>
      <c r="BX987" s="41"/>
      <c r="BY987" s="41"/>
      <c r="BZ987" s="41"/>
      <c r="CA987" s="41"/>
      <c r="CB987" s="41">
        <v>0.05</v>
      </c>
      <c r="CC987" s="41"/>
      <c r="CD987" s="41"/>
      <c r="CE987" s="41">
        <v>0.05</v>
      </c>
      <c r="CF987" s="41">
        <v>0.05</v>
      </c>
      <c r="CG987" s="41"/>
      <c r="CH987" s="41"/>
      <c r="CI987" s="41"/>
      <c r="CJ987" s="41"/>
      <c r="CK987" s="41"/>
      <c r="CL987" s="41">
        <v>0.8</v>
      </c>
      <c r="CM987" s="41"/>
      <c r="CN987" s="41"/>
      <c r="CO987" s="41"/>
      <c r="CP987" s="41"/>
      <c r="CQ987" s="41"/>
      <c r="CR987" s="41"/>
      <c r="CS987" s="41"/>
      <c r="CT987" s="41"/>
      <c r="CU987" s="41"/>
      <c r="CV987" s="41"/>
      <c r="CW987" s="41"/>
      <c r="CX987" s="41"/>
      <c r="CY987" s="41"/>
      <c r="CZ987" s="41"/>
      <c r="DA987" s="41"/>
      <c r="DB987" s="41"/>
      <c r="DC987" s="41"/>
      <c r="DD987" s="41"/>
      <c r="DE987" s="41"/>
      <c r="DF987" s="41"/>
      <c r="DG987" s="41"/>
      <c r="DH987" s="41"/>
      <c r="DI987" s="41"/>
      <c r="DJ987" s="41"/>
      <c r="DK987" s="41"/>
      <c r="DL987" s="41"/>
      <c r="DM987" s="41"/>
      <c r="DN987" s="41"/>
      <c r="DO987" s="41"/>
      <c r="DP987" s="41"/>
      <c r="DQ987" s="41"/>
      <c r="DR987" s="41"/>
      <c r="DS987" s="43"/>
      <c r="DT987" s="44">
        <f t="shared" ref="DT987" si="969">SUM(F987:DR987)</f>
        <v>1</v>
      </c>
    </row>
    <row r="988" spans="2:124" s="13" customFormat="1">
      <c r="B988" s="4">
        <f>'6.1Personnel List'!B989</f>
        <v>976</v>
      </c>
      <c r="C988" s="45" t="s">
        <v>1201</v>
      </c>
      <c r="D988" s="45" t="str">
        <f>'6.1Personnel List'!D989</f>
        <v>Nurse I</v>
      </c>
      <c r="E988" s="45" t="str">
        <f>'6.1Personnel List'!H989</f>
        <v>FT</v>
      </c>
      <c r="G988" s="41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  <c r="AA988" s="41"/>
      <c r="AB988" s="41"/>
      <c r="AC988" s="41"/>
      <c r="AD988" s="41"/>
      <c r="AE988" s="41"/>
      <c r="AF988" s="41"/>
      <c r="AG988" s="41"/>
      <c r="AH988" s="41"/>
      <c r="AI988" s="41"/>
      <c r="AJ988" s="41"/>
      <c r="AK988" s="41"/>
      <c r="AL988" s="41"/>
      <c r="AM988" s="41"/>
      <c r="AN988" s="41"/>
      <c r="AO988" s="41"/>
      <c r="AP988" s="41"/>
      <c r="AQ988" s="41"/>
      <c r="AR988" s="41"/>
      <c r="AS988" s="41"/>
      <c r="AT988" s="41"/>
      <c r="AU988" s="41"/>
      <c r="AV988" s="41"/>
      <c r="AW988" s="41"/>
      <c r="AX988" s="41"/>
      <c r="AY988" s="41"/>
      <c r="AZ988" s="41"/>
      <c r="BA988" s="41"/>
      <c r="BB988" s="41"/>
      <c r="BC988" s="41"/>
      <c r="BD988" s="41"/>
      <c r="BE988" s="41"/>
      <c r="BF988" s="41"/>
      <c r="BG988" s="41"/>
      <c r="BH988" s="41"/>
      <c r="BJ988" s="41"/>
      <c r="BK988" s="41"/>
      <c r="BL988" s="41"/>
      <c r="BM988" s="41"/>
      <c r="BN988" s="41"/>
      <c r="BO988" s="41"/>
      <c r="BP988" s="41"/>
      <c r="BQ988" s="41"/>
      <c r="BR988" s="41"/>
      <c r="BS988" s="41">
        <v>0.05</v>
      </c>
      <c r="BT988" s="41"/>
      <c r="BU988" s="41">
        <v>0.05</v>
      </c>
      <c r="BV988" s="41">
        <v>0.05</v>
      </c>
      <c r="BW988" s="41">
        <v>0.05</v>
      </c>
      <c r="BX988" s="41"/>
      <c r="BY988" s="41"/>
      <c r="BZ988" s="41"/>
      <c r="CA988" s="41"/>
      <c r="CB988" s="41"/>
      <c r="CC988" s="41"/>
      <c r="CD988" s="41"/>
      <c r="CE988" s="41">
        <v>0.05</v>
      </c>
      <c r="CF988" s="41">
        <v>0.03</v>
      </c>
      <c r="CG988" s="41">
        <v>0.02</v>
      </c>
      <c r="CH988" s="41">
        <v>0.05</v>
      </c>
      <c r="CI988" s="41">
        <v>0.05</v>
      </c>
      <c r="CJ988" s="41"/>
      <c r="CK988" s="41"/>
      <c r="CL988" s="41"/>
      <c r="CM988" s="41"/>
      <c r="CN988" s="41"/>
      <c r="CO988" s="41"/>
      <c r="CP988" s="41"/>
      <c r="CQ988" s="41">
        <v>0.3</v>
      </c>
      <c r="CR988" s="41"/>
      <c r="CS988" s="41"/>
      <c r="CT988" s="41"/>
      <c r="CU988" s="41"/>
      <c r="CV988" s="41"/>
      <c r="CW988" s="41"/>
      <c r="CX988" s="41"/>
      <c r="CY988" s="41"/>
      <c r="CZ988" s="41"/>
      <c r="DA988" s="41"/>
      <c r="DB988" s="41"/>
      <c r="DC988" s="41"/>
      <c r="DD988" s="41"/>
      <c r="DE988" s="41"/>
      <c r="DF988" s="41"/>
      <c r="DG988" s="41"/>
      <c r="DH988" s="41"/>
      <c r="DI988" s="41"/>
      <c r="DJ988" s="41"/>
      <c r="DK988" s="41">
        <v>0.3</v>
      </c>
      <c r="DL988" s="41"/>
      <c r="DM988" s="41"/>
      <c r="DN988" s="41"/>
      <c r="DO988" s="41"/>
      <c r="DP988" s="41"/>
      <c r="DQ988" s="41"/>
      <c r="DR988" s="41"/>
      <c r="DS988" s="43"/>
      <c r="DT988" s="44">
        <f t="shared" ref="DT988" si="970">SUM(F988:DR988)</f>
        <v>1</v>
      </c>
    </row>
    <row r="989" spans="2:124" s="13" customFormat="1">
      <c r="B989" s="4">
        <f>'6.1Personnel List'!B990</f>
        <v>977</v>
      </c>
      <c r="C989" s="45" t="s">
        <v>1202</v>
      </c>
      <c r="D989" s="45" t="str">
        <f>'6.1Personnel List'!D990</f>
        <v>Nurse I</v>
      </c>
      <c r="E989" s="45" t="str">
        <f>'6.1Personnel List'!H990</f>
        <v>FT</v>
      </c>
      <c r="G989" s="41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  <c r="AA989" s="41"/>
      <c r="AB989" s="41"/>
      <c r="AC989" s="41"/>
      <c r="AD989" s="41"/>
      <c r="AE989" s="41"/>
      <c r="AF989" s="41"/>
      <c r="AG989" s="41"/>
      <c r="AH989" s="41"/>
      <c r="AI989" s="41"/>
      <c r="AJ989" s="41"/>
      <c r="AK989" s="41"/>
      <c r="AL989" s="41"/>
      <c r="AM989" s="41"/>
      <c r="AN989" s="41"/>
      <c r="AO989" s="41"/>
      <c r="AP989" s="41"/>
      <c r="AQ989" s="41"/>
      <c r="AR989" s="41"/>
      <c r="AS989" s="41"/>
      <c r="AT989" s="41"/>
      <c r="AU989" s="41"/>
      <c r="AV989" s="41"/>
      <c r="AW989" s="41"/>
      <c r="AX989" s="41"/>
      <c r="AY989" s="41"/>
      <c r="AZ989" s="41"/>
      <c r="BA989" s="41"/>
      <c r="BB989" s="41"/>
      <c r="BC989" s="41"/>
      <c r="BD989" s="41"/>
      <c r="BE989" s="41"/>
      <c r="BF989" s="41"/>
      <c r="BG989" s="41"/>
      <c r="BH989" s="41"/>
      <c r="BJ989" s="41"/>
      <c r="BK989" s="41"/>
      <c r="BL989" s="41"/>
      <c r="BM989" s="41"/>
      <c r="BN989" s="41"/>
      <c r="BO989" s="41"/>
      <c r="BP989" s="41"/>
      <c r="BQ989" s="41"/>
      <c r="BR989" s="41"/>
      <c r="BS989" s="41">
        <v>0.05</v>
      </c>
      <c r="BT989" s="41"/>
      <c r="BU989" s="41">
        <v>0.05</v>
      </c>
      <c r="BV989" s="41">
        <v>0.05</v>
      </c>
      <c r="BW989" s="41">
        <v>0.05</v>
      </c>
      <c r="BX989" s="41"/>
      <c r="BY989" s="41"/>
      <c r="BZ989" s="41"/>
      <c r="CA989" s="41"/>
      <c r="CB989" s="41"/>
      <c r="CC989" s="41"/>
      <c r="CD989" s="41"/>
      <c r="CE989" s="41">
        <v>0.05</v>
      </c>
      <c r="CF989" s="41">
        <v>0.03</v>
      </c>
      <c r="CG989" s="41">
        <v>0.02</v>
      </c>
      <c r="CH989" s="41">
        <v>0.05</v>
      </c>
      <c r="CI989" s="41">
        <v>0.05</v>
      </c>
      <c r="CJ989" s="41"/>
      <c r="CK989" s="41"/>
      <c r="CL989" s="41"/>
      <c r="CM989" s="41"/>
      <c r="CN989" s="41"/>
      <c r="CO989" s="41"/>
      <c r="CP989" s="41"/>
      <c r="CQ989" s="41"/>
      <c r="CR989" s="41"/>
      <c r="CS989" s="41"/>
      <c r="CT989" s="41"/>
      <c r="CU989" s="41"/>
      <c r="CV989" s="41"/>
      <c r="CW989" s="41"/>
      <c r="CX989" s="41"/>
      <c r="CY989" s="41"/>
      <c r="CZ989" s="41"/>
      <c r="DA989" s="41"/>
      <c r="DB989" s="41"/>
      <c r="DC989" s="41"/>
      <c r="DD989" s="41"/>
      <c r="DE989" s="41"/>
      <c r="DF989" s="41"/>
      <c r="DG989" s="41"/>
      <c r="DH989" s="41"/>
      <c r="DI989" s="41"/>
      <c r="DJ989" s="41"/>
      <c r="DK989" s="41">
        <v>0.6</v>
      </c>
      <c r="DL989" s="41"/>
      <c r="DM989" s="41"/>
      <c r="DN989" s="41"/>
      <c r="DO989" s="41"/>
      <c r="DP989" s="41"/>
      <c r="DQ989" s="41"/>
      <c r="DR989" s="41"/>
      <c r="DS989" s="43"/>
      <c r="DT989" s="44">
        <f t="shared" ref="DT989" si="971">SUM(F989:DR989)</f>
        <v>1</v>
      </c>
    </row>
    <row r="990" spans="2:124" s="13" customFormat="1">
      <c r="B990" s="4">
        <f>'6.1Personnel List'!B991</f>
        <v>978</v>
      </c>
      <c r="C990" s="45" t="s">
        <v>1203</v>
      </c>
      <c r="D990" s="45" t="str">
        <f>'6.1Personnel List'!D991</f>
        <v>Nurse I</v>
      </c>
      <c r="E990" s="45" t="str">
        <f>'6.1Personnel List'!H991</f>
        <v>FT</v>
      </c>
      <c r="G990" s="41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  <c r="AA990" s="41"/>
      <c r="AB990" s="41"/>
      <c r="AC990" s="41"/>
      <c r="AD990" s="41"/>
      <c r="AE990" s="41"/>
      <c r="AF990" s="41"/>
      <c r="AG990" s="41"/>
      <c r="AH990" s="41"/>
      <c r="AI990" s="41"/>
      <c r="AJ990" s="41"/>
      <c r="AK990" s="41"/>
      <c r="AL990" s="41"/>
      <c r="AM990" s="41"/>
      <c r="AN990" s="41"/>
      <c r="AO990" s="41"/>
      <c r="AP990" s="41"/>
      <c r="AQ990" s="41"/>
      <c r="AR990" s="41"/>
      <c r="AS990" s="41"/>
      <c r="AT990" s="41"/>
      <c r="AU990" s="41"/>
      <c r="AV990" s="41"/>
      <c r="AW990" s="41"/>
      <c r="AX990" s="41"/>
      <c r="AY990" s="41"/>
      <c r="AZ990" s="41"/>
      <c r="BA990" s="41"/>
      <c r="BB990" s="41"/>
      <c r="BC990" s="41"/>
      <c r="BD990" s="41"/>
      <c r="BE990" s="41"/>
      <c r="BF990" s="41"/>
      <c r="BG990" s="41"/>
      <c r="BH990" s="41"/>
      <c r="BJ990" s="41"/>
      <c r="BK990" s="94"/>
      <c r="BL990" s="94"/>
      <c r="BM990" s="94"/>
      <c r="BN990" s="94"/>
      <c r="BO990" s="94"/>
      <c r="BP990" s="94"/>
      <c r="BQ990" s="94"/>
      <c r="BR990" s="94"/>
      <c r="BS990" s="94"/>
      <c r="BT990" s="94"/>
      <c r="BU990" s="94"/>
      <c r="BV990" s="94"/>
      <c r="BW990" s="94"/>
      <c r="BX990" s="94"/>
      <c r="BY990" s="94"/>
      <c r="BZ990" s="94"/>
      <c r="CA990" s="94"/>
      <c r="CB990" s="94"/>
      <c r="CC990" s="94"/>
      <c r="CD990" s="94"/>
      <c r="CE990" s="94"/>
      <c r="CF990" s="94"/>
      <c r="CG990" s="94"/>
      <c r="CH990" s="94"/>
      <c r="CI990" s="94"/>
      <c r="CJ990" s="94"/>
      <c r="CK990" s="94"/>
      <c r="CL990" s="94"/>
      <c r="CM990" s="94"/>
      <c r="CN990" s="94"/>
      <c r="CO990" s="94"/>
      <c r="CP990" s="94"/>
      <c r="CQ990" s="94"/>
      <c r="CR990" s="94"/>
      <c r="CS990" s="94"/>
      <c r="CT990" s="94"/>
      <c r="CU990" s="94">
        <v>1</v>
      </c>
      <c r="CV990" s="94"/>
      <c r="CW990" s="94"/>
      <c r="CX990" s="94"/>
      <c r="CY990" s="94"/>
      <c r="CZ990" s="94"/>
      <c r="DA990" s="94"/>
      <c r="DB990" s="94"/>
      <c r="DC990" s="94"/>
      <c r="DD990" s="94"/>
      <c r="DE990" s="94"/>
      <c r="DF990" s="94"/>
      <c r="DG990" s="94"/>
      <c r="DH990" s="94"/>
      <c r="DI990" s="94"/>
      <c r="DJ990" s="94"/>
      <c r="DK990" s="41"/>
      <c r="DL990" s="41"/>
      <c r="DM990" s="41"/>
      <c r="DN990" s="41"/>
      <c r="DO990" s="41"/>
      <c r="DP990" s="41"/>
      <c r="DQ990" s="41"/>
      <c r="DR990" s="41"/>
      <c r="DS990" s="43"/>
      <c r="DT990" s="44">
        <f t="shared" ref="DT990" si="972">SUM(F990:DR990)</f>
        <v>1</v>
      </c>
    </row>
    <row r="991" spans="2:124" s="13" customFormat="1">
      <c r="B991" s="4">
        <f>'6.1Personnel List'!B992</f>
        <v>979</v>
      </c>
      <c r="C991" s="45" t="s">
        <v>1204</v>
      </c>
      <c r="D991" s="45" t="str">
        <f>'6.1Personnel List'!D992</f>
        <v>Nurse I</v>
      </c>
      <c r="E991" s="45" t="str">
        <f>'6.1Personnel List'!H992</f>
        <v>FT</v>
      </c>
      <c r="G991" s="41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1"/>
      <c r="U991" s="41"/>
      <c r="V991" s="41"/>
      <c r="W991" s="41"/>
      <c r="X991" s="41"/>
      <c r="Y991" s="41"/>
      <c r="Z991" s="41"/>
      <c r="AA991" s="41"/>
      <c r="AB991" s="41"/>
      <c r="AC991" s="41"/>
      <c r="AD991" s="41"/>
      <c r="AE991" s="41"/>
      <c r="AF991" s="41"/>
      <c r="AG991" s="41"/>
      <c r="AH991" s="41"/>
      <c r="AI991" s="41"/>
      <c r="AJ991" s="41"/>
      <c r="AK991" s="41"/>
      <c r="AL991" s="41"/>
      <c r="AM991" s="41"/>
      <c r="AN991" s="41"/>
      <c r="AO991" s="41"/>
      <c r="AP991" s="41"/>
      <c r="AQ991" s="41"/>
      <c r="AR991" s="41"/>
      <c r="AS991" s="41"/>
      <c r="AT991" s="41"/>
      <c r="AU991" s="41"/>
      <c r="AV991" s="41"/>
      <c r="AW991" s="41"/>
      <c r="AX991" s="41"/>
      <c r="AY991" s="41"/>
      <c r="AZ991" s="41"/>
      <c r="BA991" s="41"/>
      <c r="BB991" s="41"/>
      <c r="BC991" s="41"/>
      <c r="BD991" s="41"/>
      <c r="BE991" s="41"/>
      <c r="BF991" s="41"/>
      <c r="BG991" s="41"/>
      <c r="BH991" s="41"/>
      <c r="BJ991" s="41"/>
      <c r="BK991" s="41"/>
      <c r="BL991" s="41"/>
      <c r="BM991" s="41"/>
      <c r="BN991" s="41"/>
      <c r="BO991" s="41"/>
      <c r="BP991" s="41"/>
      <c r="BQ991" s="41"/>
      <c r="BR991" s="41"/>
      <c r="BS991" s="41"/>
      <c r="BT991" s="41"/>
      <c r="BU991" s="41"/>
      <c r="BV991" s="41">
        <v>0.05</v>
      </c>
      <c r="BW991" s="41"/>
      <c r="BX991" s="41"/>
      <c r="BY991" s="41"/>
      <c r="BZ991" s="41"/>
      <c r="CA991" s="41"/>
      <c r="CB991" s="41">
        <v>0.05</v>
      </c>
      <c r="CC991" s="41"/>
      <c r="CD991" s="41"/>
      <c r="CE991" s="41">
        <v>0.05</v>
      </c>
      <c r="CF991" s="41">
        <v>0.05</v>
      </c>
      <c r="CG991" s="41"/>
      <c r="CH991" s="41"/>
      <c r="CI991" s="41"/>
      <c r="CJ991" s="41"/>
      <c r="CK991" s="41"/>
      <c r="CL991" s="41">
        <v>0.8</v>
      </c>
      <c r="CM991" s="41"/>
      <c r="CN991" s="41"/>
      <c r="CO991" s="41"/>
      <c r="CP991" s="41"/>
      <c r="CQ991" s="41"/>
      <c r="CR991" s="41"/>
      <c r="CS991" s="41"/>
      <c r="CT991" s="41"/>
      <c r="CU991" s="41"/>
      <c r="CV991" s="41"/>
      <c r="CW991" s="41"/>
      <c r="CX991" s="41"/>
      <c r="CY991" s="41"/>
      <c r="CZ991" s="41"/>
      <c r="DA991" s="41"/>
      <c r="DB991" s="41"/>
      <c r="DC991" s="41"/>
      <c r="DD991" s="41"/>
      <c r="DE991" s="41"/>
      <c r="DF991" s="41"/>
      <c r="DG991" s="41"/>
      <c r="DH991" s="41"/>
      <c r="DI991" s="41"/>
      <c r="DJ991" s="41"/>
      <c r="DK991" s="41"/>
      <c r="DL991" s="41"/>
      <c r="DM991" s="41"/>
      <c r="DN991" s="41"/>
      <c r="DO991" s="41"/>
      <c r="DP991" s="41"/>
      <c r="DQ991" s="41"/>
      <c r="DR991" s="41"/>
      <c r="DS991" s="43"/>
      <c r="DT991" s="44">
        <f t="shared" ref="DT991" si="973">SUM(F991:DR991)</f>
        <v>1</v>
      </c>
    </row>
    <row r="992" spans="2:124" s="13" customFormat="1">
      <c r="B992" s="4">
        <f>'6.1Personnel List'!B993</f>
        <v>980</v>
      </c>
      <c r="C992" s="45" t="s">
        <v>1205</v>
      </c>
      <c r="D992" s="45" t="str">
        <f>'6.1Personnel List'!D993</f>
        <v>Nurse I</v>
      </c>
      <c r="E992" s="45" t="str">
        <f>'6.1Personnel List'!H993</f>
        <v>FT</v>
      </c>
      <c r="G992" s="41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1"/>
      <c r="U992" s="41"/>
      <c r="V992" s="41"/>
      <c r="W992" s="41"/>
      <c r="X992" s="41"/>
      <c r="Y992" s="41"/>
      <c r="Z992" s="41"/>
      <c r="AA992" s="41"/>
      <c r="AB992" s="41"/>
      <c r="AC992" s="41"/>
      <c r="AD992" s="41"/>
      <c r="AE992" s="41"/>
      <c r="AF992" s="41"/>
      <c r="AG992" s="41"/>
      <c r="AH992" s="41"/>
      <c r="AI992" s="41"/>
      <c r="AJ992" s="41"/>
      <c r="AK992" s="41"/>
      <c r="AL992" s="41"/>
      <c r="AM992" s="41"/>
      <c r="AN992" s="41"/>
      <c r="AO992" s="41"/>
      <c r="AP992" s="41"/>
      <c r="AQ992" s="41"/>
      <c r="AR992" s="41"/>
      <c r="AS992" s="41"/>
      <c r="AT992" s="41"/>
      <c r="AU992" s="41"/>
      <c r="AV992" s="41"/>
      <c r="AW992" s="41"/>
      <c r="AX992" s="41"/>
      <c r="AY992" s="41"/>
      <c r="AZ992" s="41"/>
      <c r="BA992" s="41"/>
      <c r="BB992" s="41"/>
      <c r="BC992" s="41"/>
      <c r="BD992" s="41"/>
      <c r="BE992" s="41"/>
      <c r="BF992" s="41"/>
      <c r="BG992" s="41"/>
      <c r="BH992" s="41"/>
      <c r="BJ992" s="41"/>
      <c r="BK992" s="94"/>
      <c r="BL992" s="94"/>
      <c r="BM992" s="94"/>
      <c r="BN992" s="94"/>
      <c r="BO992" s="94"/>
      <c r="BP992" s="94"/>
      <c r="BQ992" s="94"/>
      <c r="BR992" s="94"/>
      <c r="BS992" s="94"/>
      <c r="BT992" s="94"/>
      <c r="BU992" s="94"/>
      <c r="BV992" s="94"/>
      <c r="BW992" s="94"/>
      <c r="BX992" s="94"/>
      <c r="BY992" s="94"/>
      <c r="BZ992" s="94"/>
      <c r="CA992" s="94"/>
      <c r="CB992" s="94"/>
      <c r="CC992" s="94"/>
      <c r="CD992" s="94"/>
      <c r="CE992" s="94"/>
      <c r="CF992" s="94"/>
      <c r="CG992" s="94"/>
      <c r="CH992" s="94"/>
      <c r="CI992" s="94"/>
      <c r="CJ992" s="94"/>
      <c r="CK992" s="94"/>
      <c r="CL992" s="94"/>
      <c r="CM992" s="94"/>
      <c r="CN992" s="94"/>
      <c r="CO992" s="94"/>
      <c r="CP992" s="94"/>
      <c r="CQ992" s="94"/>
      <c r="CR992" s="94"/>
      <c r="CS992" s="94"/>
      <c r="CT992" s="94"/>
      <c r="CU992" s="94">
        <v>1</v>
      </c>
      <c r="CV992" s="94"/>
      <c r="CW992" s="94"/>
      <c r="CX992" s="94"/>
      <c r="CY992" s="94"/>
      <c r="CZ992" s="94"/>
      <c r="DA992" s="94"/>
      <c r="DB992" s="94"/>
      <c r="DC992" s="94"/>
      <c r="DD992" s="94"/>
      <c r="DE992" s="94"/>
      <c r="DF992" s="94"/>
      <c r="DG992" s="94"/>
      <c r="DH992" s="94"/>
      <c r="DI992" s="94"/>
      <c r="DJ992" s="94"/>
      <c r="DK992" s="41"/>
      <c r="DL992" s="41"/>
      <c r="DM992" s="41"/>
      <c r="DN992" s="41"/>
      <c r="DO992" s="41"/>
      <c r="DP992" s="41"/>
      <c r="DQ992" s="41"/>
      <c r="DR992" s="41"/>
      <c r="DS992" s="43"/>
      <c r="DT992" s="44">
        <f t="shared" ref="DT992" si="974">SUM(F992:DR992)</f>
        <v>1</v>
      </c>
    </row>
    <row r="993" spans="2:124" s="13" customFormat="1">
      <c r="B993" s="4">
        <f>'6.1Personnel List'!B994</f>
        <v>981</v>
      </c>
      <c r="C993" s="45" t="s">
        <v>1206</v>
      </c>
      <c r="D993" s="45" t="str">
        <f>'6.1Personnel List'!D994</f>
        <v>Nurse I</v>
      </c>
      <c r="E993" s="45" t="str">
        <f>'6.1Personnel List'!H994</f>
        <v>FT</v>
      </c>
      <c r="G993" s="41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1"/>
      <c r="U993" s="41"/>
      <c r="V993" s="41"/>
      <c r="W993" s="41"/>
      <c r="X993" s="41"/>
      <c r="Y993" s="41"/>
      <c r="Z993" s="41"/>
      <c r="AA993" s="41"/>
      <c r="AB993" s="41"/>
      <c r="AC993" s="41"/>
      <c r="AD993" s="41"/>
      <c r="AE993" s="41"/>
      <c r="AF993" s="41"/>
      <c r="AG993" s="41"/>
      <c r="AH993" s="41"/>
      <c r="AI993" s="41"/>
      <c r="AJ993" s="41"/>
      <c r="AK993" s="41"/>
      <c r="AL993" s="41"/>
      <c r="AM993" s="41"/>
      <c r="AN993" s="41"/>
      <c r="AO993" s="41"/>
      <c r="AP993" s="41"/>
      <c r="AQ993" s="41"/>
      <c r="AR993" s="41"/>
      <c r="AS993" s="41"/>
      <c r="AT993" s="41"/>
      <c r="AU993" s="41"/>
      <c r="AV993" s="41"/>
      <c r="AW993" s="41"/>
      <c r="AX993" s="41"/>
      <c r="AY993" s="41"/>
      <c r="AZ993" s="41"/>
      <c r="BA993" s="41"/>
      <c r="BB993" s="41"/>
      <c r="BC993" s="41"/>
      <c r="BD993" s="41"/>
      <c r="BE993" s="41"/>
      <c r="BF993" s="41"/>
      <c r="BG993" s="41"/>
      <c r="BH993" s="41"/>
      <c r="BJ993" s="41"/>
      <c r="BK993" s="41"/>
      <c r="BL993" s="41"/>
      <c r="BM993" s="41"/>
      <c r="BN993" s="41"/>
      <c r="BO993" s="41"/>
      <c r="BP993" s="41"/>
      <c r="BQ993" s="41"/>
      <c r="BR993" s="41"/>
      <c r="BS993" s="41"/>
      <c r="BT993" s="41"/>
      <c r="BU993" s="41"/>
      <c r="BV993" s="41">
        <v>0.05</v>
      </c>
      <c r="BW993" s="41">
        <v>0.2</v>
      </c>
      <c r="BX993" s="41"/>
      <c r="BY993" s="41"/>
      <c r="BZ993" s="41"/>
      <c r="CA993" s="41"/>
      <c r="CB993" s="41"/>
      <c r="CC993" s="41"/>
      <c r="CD993" s="41"/>
      <c r="CE993" s="41">
        <v>0.1</v>
      </c>
      <c r="CF993" s="41">
        <v>0.1</v>
      </c>
      <c r="CG993" s="41">
        <v>0.1</v>
      </c>
      <c r="CH993" s="41"/>
      <c r="CI993" s="41"/>
      <c r="CJ993" s="41"/>
      <c r="CK993" s="41"/>
      <c r="CL993" s="41"/>
      <c r="CM993" s="41"/>
      <c r="CN993" s="41"/>
      <c r="CO993" s="41"/>
      <c r="CP993" s="41"/>
      <c r="CQ993" s="41"/>
      <c r="CR993" s="41"/>
      <c r="CS993" s="41"/>
      <c r="CT993" s="41"/>
      <c r="CU993" s="41"/>
      <c r="CV993" s="41"/>
      <c r="CW993" s="41"/>
      <c r="CX993" s="41"/>
      <c r="CY993" s="41"/>
      <c r="CZ993" s="41"/>
      <c r="DA993" s="41"/>
      <c r="DB993" s="41"/>
      <c r="DC993" s="41"/>
      <c r="DD993" s="41"/>
      <c r="DE993" s="41"/>
      <c r="DF993" s="41"/>
      <c r="DG993" s="41"/>
      <c r="DH993" s="41"/>
      <c r="DI993" s="41"/>
      <c r="DJ993" s="41"/>
      <c r="DK993" s="41"/>
      <c r="DL993" s="41"/>
      <c r="DM993" s="41">
        <v>0.45</v>
      </c>
      <c r="DN993" s="41"/>
      <c r="DO993" s="41"/>
      <c r="DP993" s="41"/>
      <c r="DQ993" s="41"/>
      <c r="DR993" s="41"/>
      <c r="DS993" s="43"/>
      <c r="DT993" s="44">
        <f t="shared" ref="DT993" si="975">SUM(F993:DR993)</f>
        <v>1</v>
      </c>
    </row>
    <row r="994" spans="2:124" s="13" customFormat="1">
      <c r="B994" s="4">
        <f>'6.1Personnel List'!B995</f>
        <v>982</v>
      </c>
      <c r="C994" s="45" t="s">
        <v>1207</v>
      </c>
      <c r="D994" s="45" t="str">
        <f>'6.1Personnel List'!D995</f>
        <v>Nurse I</v>
      </c>
      <c r="E994" s="45" t="str">
        <f>'6.1Personnel List'!H995</f>
        <v>FT</v>
      </c>
      <c r="G994" s="41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1"/>
      <c r="U994" s="41"/>
      <c r="V994" s="41"/>
      <c r="W994" s="41"/>
      <c r="X994" s="41"/>
      <c r="Y994" s="41"/>
      <c r="Z994" s="41"/>
      <c r="AA994" s="41"/>
      <c r="AB994" s="41"/>
      <c r="AC994" s="41"/>
      <c r="AD994" s="41"/>
      <c r="AE994" s="41"/>
      <c r="AF994" s="41"/>
      <c r="AG994" s="41"/>
      <c r="AH994" s="41"/>
      <c r="AI994" s="41"/>
      <c r="AJ994" s="41"/>
      <c r="AK994" s="41"/>
      <c r="AL994" s="41"/>
      <c r="AM994" s="41"/>
      <c r="AN994" s="41"/>
      <c r="AO994" s="41"/>
      <c r="AP994" s="41"/>
      <c r="AQ994" s="41"/>
      <c r="AR994" s="41"/>
      <c r="AS994" s="41"/>
      <c r="AT994" s="41"/>
      <c r="AU994" s="41"/>
      <c r="AV994" s="41"/>
      <c r="AW994" s="41"/>
      <c r="AX994" s="41"/>
      <c r="AY994" s="41"/>
      <c r="AZ994" s="41"/>
      <c r="BA994" s="41"/>
      <c r="BB994" s="41"/>
      <c r="BC994" s="41"/>
      <c r="BD994" s="41"/>
      <c r="BE994" s="41"/>
      <c r="BF994" s="41"/>
      <c r="BG994" s="41"/>
      <c r="BH994" s="41"/>
      <c r="BJ994" s="41"/>
      <c r="BK994" s="41"/>
      <c r="BL994" s="41"/>
      <c r="BM994" s="41"/>
      <c r="BN994" s="41"/>
      <c r="BO994" s="41"/>
      <c r="BP994" s="41"/>
      <c r="BQ994" s="41"/>
      <c r="BR994" s="41"/>
      <c r="BS994" s="41"/>
      <c r="BT994" s="41"/>
      <c r="BU994" s="41"/>
      <c r="BV994" s="41">
        <v>0.05</v>
      </c>
      <c r="BW994" s="41"/>
      <c r="BX994" s="41"/>
      <c r="BY994" s="41"/>
      <c r="BZ994" s="41"/>
      <c r="CA994" s="41"/>
      <c r="CB994" s="41">
        <v>0.05</v>
      </c>
      <c r="CC994" s="41"/>
      <c r="CD994" s="41"/>
      <c r="CE994" s="41">
        <v>0.05</v>
      </c>
      <c r="CF994" s="41">
        <v>0.05</v>
      </c>
      <c r="CG994" s="41"/>
      <c r="CH994" s="41"/>
      <c r="CI994" s="41"/>
      <c r="CJ994" s="41"/>
      <c r="CK994" s="41"/>
      <c r="CL994" s="41">
        <v>0.8</v>
      </c>
      <c r="CM994" s="41"/>
      <c r="CN994" s="41"/>
      <c r="CO994" s="41"/>
      <c r="CP994" s="41"/>
      <c r="CQ994" s="41"/>
      <c r="CR994" s="41"/>
      <c r="CS994" s="41"/>
      <c r="CT994" s="41"/>
      <c r="CU994" s="41"/>
      <c r="CV994" s="41"/>
      <c r="CW994" s="41"/>
      <c r="CX994" s="41"/>
      <c r="CY994" s="41"/>
      <c r="CZ994" s="41"/>
      <c r="DA994" s="41"/>
      <c r="DB994" s="41"/>
      <c r="DC994" s="41"/>
      <c r="DD994" s="41"/>
      <c r="DE994" s="41"/>
      <c r="DF994" s="41"/>
      <c r="DG994" s="41"/>
      <c r="DH994" s="41"/>
      <c r="DI994" s="41"/>
      <c r="DJ994" s="41"/>
      <c r="DK994" s="41"/>
      <c r="DL994" s="41"/>
      <c r="DM994" s="41"/>
      <c r="DN994" s="41"/>
      <c r="DO994" s="41"/>
      <c r="DP994" s="41"/>
      <c r="DQ994" s="41"/>
      <c r="DR994" s="41"/>
      <c r="DS994" s="43"/>
      <c r="DT994" s="44">
        <f t="shared" ref="DT994" si="976">SUM(F994:DR994)</f>
        <v>1</v>
      </c>
    </row>
    <row r="995" spans="2:124" s="13" customFormat="1">
      <c r="B995" s="4">
        <f>'6.1Personnel List'!B996</f>
        <v>983</v>
      </c>
      <c r="C995" s="45" t="s">
        <v>1208</v>
      </c>
      <c r="D995" s="45" t="str">
        <f>'6.1Personnel List'!D996</f>
        <v>Nurse I</v>
      </c>
      <c r="E995" s="45" t="str">
        <f>'6.1Personnel List'!H996</f>
        <v>FT</v>
      </c>
      <c r="G995" s="41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1"/>
      <c r="U995" s="41"/>
      <c r="V995" s="41"/>
      <c r="W995" s="41"/>
      <c r="X995" s="41"/>
      <c r="Y995" s="41"/>
      <c r="Z995" s="41"/>
      <c r="AA995" s="41"/>
      <c r="AB995" s="41"/>
      <c r="AC995" s="41"/>
      <c r="AD995" s="41"/>
      <c r="AE995" s="41"/>
      <c r="AF995" s="41"/>
      <c r="AG995" s="41"/>
      <c r="AH995" s="41"/>
      <c r="AI995" s="41"/>
      <c r="AJ995" s="41"/>
      <c r="AK995" s="41"/>
      <c r="AL995" s="41"/>
      <c r="AM995" s="41"/>
      <c r="AN995" s="41"/>
      <c r="AO995" s="41"/>
      <c r="AP995" s="41"/>
      <c r="AQ995" s="41"/>
      <c r="AR995" s="41"/>
      <c r="AS995" s="41"/>
      <c r="AT995" s="41"/>
      <c r="AU995" s="41"/>
      <c r="AV995" s="41"/>
      <c r="AW995" s="41"/>
      <c r="AX995" s="41"/>
      <c r="AY995" s="41"/>
      <c r="AZ995" s="41"/>
      <c r="BA995" s="41"/>
      <c r="BB995" s="41"/>
      <c r="BC995" s="41"/>
      <c r="BD995" s="41"/>
      <c r="BE995" s="41"/>
      <c r="BF995" s="41"/>
      <c r="BG995" s="41"/>
      <c r="BH995" s="41"/>
      <c r="BJ995" s="41"/>
      <c r="BK995" s="41"/>
      <c r="BL995" s="41"/>
      <c r="BM995" s="41"/>
      <c r="BN995" s="41"/>
      <c r="BO995" s="41"/>
      <c r="BP995" s="41"/>
      <c r="BQ995" s="41"/>
      <c r="BR995" s="41"/>
      <c r="BS995" s="41"/>
      <c r="BT995" s="41"/>
      <c r="BU995" s="41"/>
      <c r="BV995" s="41">
        <v>0.05</v>
      </c>
      <c r="BW995" s="41">
        <v>0.2</v>
      </c>
      <c r="BX995" s="41"/>
      <c r="BY995" s="41"/>
      <c r="BZ995" s="41"/>
      <c r="CA995" s="41"/>
      <c r="CB995" s="41"/>
      <c r="CC995" s="41"/>
      <c r="CD995" s="41"/>
      <c r="CE995" s="41">
        <v>0.1</v>
      </c>
      <c r="CF995" s="41">
        <v>0.1</v>
      </c>
      <c r="CG995" s="41">
        <v>0.1</v>
      </c>
      <c r="CH995" s="41"/>
      <c r="CI995" s="41"/>
      <c r="CJ995" s="41"/>
      <c r="CK995" s="41"/>
      <c r="CL995" s="41"/>
      <c r="CM995" s="41"/>
      <c r="CN995" s="41"/>
      <c r="CO995" s="41"/>
      <c r="CP995" s="41"/>
      <c r="CQ995" s="41"/>
      <c r="CR995" s="41"/>
      <c r="CS995" s="41"/>
      <c r="CT995" s="41"/>
      <c r="CU995" s="41"/>
      <c r="CV995" s="41"/>
      <c r="CW995" s="41"/>
      <c r="CX995" s="41"/>
      <c r="CY995" s="41"/>
      <c r="CZ995" s="41"/>
      <c r="DA995" s="41"/>
      <c r="DB995" s="41"/>
      <c r="DC995" s="41"/>
      <c r="DD995" s="41"/>
      <c r="DE995" s="41"/>
      <c r="DF995" s="41"/>
      <c r="DG995" s="41"/>
      <c r="DH995" s="41"/>
      <c r="DI995" s="41"/>
      <c r="DJ995" s="41"/>
      <c r="DK995" s="41"/>
      <c r="DL995" s="41"/>
      <c r="DM995" s="41">
        <v>0.45</v>
      </c>
      <c r="DN995" s="41"/>
      <c r="DO995" s="41"/>
      <c r="DP995" s="41"/>
      <c r="DQ995" s="41"/>
      <c r="DR995" s="41"/>
      <c r="DS995" s="43"/>
      <c r="DT995" s="44">
        <f t="shared" ref="DT995" si="977">SUM(F995:DR995)</f>
        <v>1</v>
      </c>
    </row>
    <row r="996" spans="2:124" s="13" customFormat="1">
      <c r="B996" s="4">
        <f>'6.1Personnel List'!B997</f>
        <v>984</v>
      </c>
      <c r="C996" s="45" t="s">
        <v>1209</v>
      </c>
      <c r="D996" s="45" t="str">
        <f>'6.1Personnel List'!D997</f>
        <v>Nurse I</v>
      </c>
      <c r="E996" s="45" t="str">
        <f>'6.1Personnel List'!H997</f>
        <v>FT</v>
      </c>
      <c r="G996" s="41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1"/>
      <c r="U996" s="41"/>
      <c r="V996" s="41"/>
      <c r="W996" s="41"/>
      <c r="X996" s="41"/>
      <c r="Y996" s="41"/>
      <c r="Z996" s="41"/>
      <c r="AA996" s="41"/>
      <c r="AB996" s="41"/>
      <c r="AC996" s="41"/>
      <c r="AD996" s="41"/>
      <c r="AE996" s="41"/>
      <c r="AF996" s="41"/>
      <c r="AG996" s="41"/>
      <c r="AH996" s="41"/>
      <c r="AI996" s="41"/>
      <c r="AJ996" s="41"/>
      <c r="AK996" s="41"/>
      <c r="AL996" s="41"/>
      <c r="AM996" s="41"/>
      <c r="AN996" s="41"/>
      <c r="AO996" s="41"/>
      <c r="AP996" s="41"/>
      <c r="AQ996" s="41"/>
      <c r="AR996" s="41"/>
      <c r="AS996" s="41"/>
      <c r="AT996" s="41"/>
      <c r="AU996" s="41"/>
      <c r="AV996" s="41"/>
      <c r="AW996" s="41"/>
      <c r="AX996" s="41"/>
      <c r="AY996" s="41"/>
      <c r="AZ996" s="41"/>
      <c r="BA996" s="41"/>
      <c r="BB996" s="41"/>
      <c r="BC996" s="41"/>
      <c r="BD996" s="41"/>
      <c r="BE996" s="41"/>
      <c r="BF996" s="41"/>
      <c r="BG996" s="41"/>
      <c r="BH996" s="41"/>
      <c r="BJ996" s="41"/>
      <c r="BK996" s="94"/>
      <c r="BL996" s="94"/>
      <c r="BM996" s="94"/>
      <c r="BN996" s="94"/>
      <c r="BO996" s="94"/>
      <c r="BP996" s="94"/>
      <c r="BQ996" s="94"/>
      <c r="BR996" s="94"/>
      <c r="BS996" s="94"/>
      <c r="BT996" s="94"/>
      <c r="BU996" s="94"/>
      <c r="BV996" s="94"/>
      <c r="BW996" s="94"/>
      <c r="BX996" s="94"/>
      <c r="BY996" s="94"/>
      <c r="BZ996" s="94"/>
      <c r="CA996" s="94"/>
      <c r="CB996" s="94"/>
      <c r="CC996" s="94"/>
      <c r="CD996" s="94"/>
      <c r="CE996" s="94"/>
      <c r="CF996" s="94"/>
      <c r="CG996" s="94"/>
      <c r="CH996" s="94"/>
      <c r="CI996" s="94"/>
      <c r="CJ996" s="94"/>
      <c r="CK996" s="94"/>
      <c r="CL996" s="94"/>
      <c r="CM996" s="94"/>
      <c r="CN996" s="94"/>
      <c r="CO996" s="94"/>
      <c r="CP996" s="94"/>
      <c r="CQ996" s="94"/>
      <c r="CR996" s="94"/>
      <c r="CS996" s="94"/>
      <c r="CT996" s="94"/>
      <c r="CU996" s="94">
        <v>0.5</v>
      </c>
      <c r="CV996" s="94"/>
      <c r="CW996" s="94"/>
      <c r="CX996" s="94"/>
      <c r="CY996" s="94"/>
      <c r="CZ996" s="94"/>
      <c r="DA996" s="94">
        <v>0.5</v>
      </c>
      <c r="DB996" s="94"/>
      <c r="DC996" s="94"/>
      <c r="DD996" s="94"/>
      <c r="DE996" s="94"/>
      <c r="DF996" s="94"/>
      <c r="DG996" s="94"/>
      <c r="DH996" s="94"/>
      <c r="DI996" s="94"/>
      <c r="DJ996" s="94"/>
      <c r="DK996" s="41"/>
      <c r="DL996" s="41"/>
      <c r="DM996" s="41"/>
      <c r="DN996" s="41"/>
      <c r="DO996" s="41"/>
      <c r="DP996" s="41"/>
      <c r="DQ996" s="41"/>
      <c r="DR996" s="41"/>
      <c r="DS996" s="43"/>
      <c r="DT996" s="44">
        <f t="shared" ref="DT996" si="978">SUM(F996:DR996)</f>
        <v>1</v>
      </c>
    </row>
    <row r="997" spans="2:124" s="13" customFormat="1">
      <c r="B997" s="4">
        <f>'6.1Personnel List'!B998</f>
        <v>985</v>
      </c>
      <c r="C997" s="45" t="s">
        <v>1210</v>
      </c>
      <c r="D997" s="45" t="str">
        <f>'6.1Personnel List'!D998</f>
        <v>Nurse I</v>
      </c>
      <c r="E997" s="45" t="str">
        <f>'6.1Personnel List'!H998</f>
        <v>FT</v>
      </c>
      <c r="G997" s="41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1"/>
      <c r="U997" s="41"/>
      <c r="V997" s="41"/>
      <c r="W997" s="41"/>
      <c r="X997" s="41"/>
      <c r="Y997" s="41"/>
      <c r="Z997" s="41"/>
      <c r="AA997" s="41"/>
      <c r="AB997" s="41"/>
      <c r="AC997" s="41"/>
      <c r="AD997" s="41"/>
      <c r="AE997" s="41"/>
      <c r="AF997" s="41"/>
      <c r="AG997" s="41"/>
      <c r="AH997" s="41"/>
      <c r="AI997" s="41"/>
      <c r="AJ997" s="41"/>
      <c r="AK997" s="41"/>
      <c r="AL997" s="41"/>
      <c r="AM997" s="41"/>
      <c r="AN997" s="41"/>
      <c r="AO997" s="41"/>
      <c r="AP997" s="41"/>
      <c r="AQ997" s="41"/>
      <c r="AR997" s="41"/>
      <c r="AS997" s="41"/>
      <c r="AT997" s="41"/>
      <c r="AU997" s="41"/>
      <c r="AV997" s="41"/>
      <c r="AW997" s="41"/>
      <c r="AX997" s="41"/>
      <c r="AY997" s="41"/>
      <c r="AZ997" s="41"/>
      <c r="BA997" s="41"/>
      <c r="BB997" s="41"/>
      <c r="BC997" s="41"/>
      <c r="BD997" s="41"/>
      <c r="BE997" s="41"/>
      <c r="BF997" s="41"/>
      <c r="BG997" s="41"/>
      <c r="BH997" s="41"/>
      <c r="BJ997" s="41"/>
      <c r="BK997" s="41"/>
      <c r="BL997" s="41"/>
      <c r="BM997" s="41"/>
      <c r="BN997" s="41"/>
      <c r="BO997" s="41"/>
      <c r="BP997" s="41"/>
      <c r="BQ997" s="41"/>
      <c r="BR997" s="41"/>
      <c r="BS997" s="41"/>
      <c r="BT997" s="41"/>
      <c r="BU997" s="41"/>
      <c r="BV997" s="41"/>
      <c r="BW997" s="41"/>
      <c r="BX997" s="41"/>
      <c r="BY997" s="41"/>
      <c r="BZ997" s="41"/>
      <c r="CA997" s="41"/>
      <c r="CB997" s="41"/>
      <c r="CC997" s="41"/>
      <c r="CD997" s="41"/>
      <c r="CE997" s="41"/>
      <c r="CF997" s="41"/>
      <c r="CG997" s="41"/>
      <c r="CH997" s="41"/>
      <c r="CI997" s="41"/>
      <c r="CJ997" s="41"/>
      <c r="CK997" s="41"/>
      <c r="CL997" s="41"/>
      <c r="CM997" s="41"/>
      <c r="CN997" s="92">
        <v>0.25</v>
      </c>
      <c r="CO997" s="41"/>
      <c r="CP997" s="41"/>
      <c r="CQ997" s="41"/>
      <c r="CR997" s="41"/>
      <c r="CS997" s="41"/>
      <c r="CT997" s="41"/>
      <c r="CU997" s="41"/>
      <c r="CV997" s="41"/>
      <c r="CW997" s="41"/>
      <c r="CX997" s="41"/>
      <c r="CY997" s="41"/>
      <c r="CZ997" s="41"/>
      <c r="DA997" s="41"/>
      <c r="DB997" s="92">
        <v>0.25</v>
      </c>
      <c r="DC997" s="92">
        <v>0.25</v>
      </c>
      <c r="DD997" s="41"/>
      <c r="DE997" s="41"/>
      <c r="DF997" s="41"/>
      <c r="DG997" s="41"/>
      <c r="DH997" s="41"/>
      <c r="DI997" s="41"/>
      <c r="DJ997" s="92">
        <v>0.25</v>
      </c>
      <c r="DK997" s="41"/>
      <c r="DL997" s="41"/>
      <c r="DM997" s="41"/>
      <c r="DN997" s="41"/>
      <c r="DO997" s="41"/>
      <c r="DP997" s="41"/>
      <c r="DQ997" s="41"/>
      <c r="DR997" s="41"/>
      <c r="DS997" s="43"/>
      <c r="DT997" s="44">
        <f t="shared" ref="DT997" si="979">SUM(F997:DR997)</f>
        <v>1</v>
      </c>
    </row>
    <row r="998" spans="2:124" s="13" customFormat="1">
      <c r="B998" s="4">
        <f>'6.1Personnel List'!B999</f>
        <v>986</v>
      </c>
      <c r="C998" s="45" t="s">
        <v>1211</v>
      </c>
      <c r="D998" s="45" t="str">
        <f>'6.1Personnel List'!D999</f>
        <v>Nurse I</v>
      </c>
      <c r="E998" s="45" t="str">
        <f>'6.1Personnel List'!H999</f>
        <v>FT</v>
      </c>
      <c r="G998" s="41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1"/>
      <c r="U998" s="41"/>
      <c r="V998" s="41"/>
      <c r="W998" s="41"/>
      <c r="X998" s="41"/>
      <c r="Y998" s="41"/>
      <c r="Z998" s="41"/>
      <c r="AA998" s="41"/>
      <c r="AB998" s="41"/>
      <c r="AC998" s="41"/>
      <c r="AD998" s="41"/>
      <c r="AE998" s="41"/>
      <c r="AF998" s="41"/>
      <c r="AG998" s="41"/>
      <c r="AH998" s="41"/>
      <c r="AI998" s="41"/>
      <c r="AJ998" s="41"/>
      <c r="AK998" s="41"/>
      <c r="AL998" s="41"/>
      <c r="AM998" s="41"/>
      <c r="AN998" s="41"/>
      <c r="AO998" s="41"/>
      <c r="AP998" s="41"/>
      <c r="AQ998" s="41"/>
      <c r="AR998" s="41"/>
      <c r="AS998" s="41"/>
      <c r="AT998" s="41"/>
      <c r="AU998" s="41"/>
      <c r="AV998" s="41"/>
      <c r="AW998" s="41"/>
      <c r="AX998" s="41"/>
      <c r="AY998" s="41"/>
      <c r="AZ998" s="41"/>
      <c r="BA998" s="41"/>
      <c r="BB998" s="41"/>
      <c r="BC998" s="41"/>
      <c r="BD998" s="41"/>
      <c r="BE998" s="41"/>
      <c r="BF998" s="41"/>
      <c r="BG998" s="41"/>
      <c r="BH998" s="41"/>
      <c r="BJ998" s="41"/>
      <c r="BK998" s="41"/>
      <c r="BL998" s="41"/>
      <c r="BM998" s="41"/>
      <c r="BN998" s="41"/>
      <c r="BO998" s="41"/>
      <c r="BP998" s="41"/>
      <c r="BQ998" s="41"/>
      <c r="BR998" s="41"/>
      <c r="BS998" s="41"/>
      <c r="BT998" s="41"/>
      <c r="BU998" s="41"/>
      <c r="BV998" s="41">
        <v>0.05</v>
      </c>
      <c r="BW998" s="41"/>
      <c r="BX998" s="41"/>
      <c r="BY998" s="41"/>
      <c r="BZ998" s="41"/>
      <c r="CA998" s="41"/>
      <c r="CB998" s="41">
        <v>0.05</v>
      </c>
      <c r="CC998" s="41"/>
      <c r="CD998" s="41"/>
      <c r="CE998" s="41">
        <v>0.05</v>
      </c>
      <c r="CF998" s="41">
        <v>0.05</v>
      </c>
      <c r="CG998" s="41"/>
      <c r="CH998" s="41"/>
      <c r="CI998" s="41"/>
      <c r="CJ998" s="41"/>
      <c r="CK998" s="41"/>
      <c r="CL998" s="41">
        <v>0.8</v>
      </c>
      <c r="CM998" s="41"/>
      <c r="CN998" s="41"/>
      <c r="CO998" s="41"/>
      <c r="CP998" s="41"/>
      <c r="CQ998" s="41"/>
      <c r="CR998" s="41"/>
      <c r="CS998" s="41"/>
      <c r="CT998" s="41"/>
      <c r="CU998" s="41"/>
      <c r="CV998" s="41"/>
      <c r="CW998" s="41"/>
      <c r="CX998" s="41"/>
      <c r="CY998" s="41"/>
      <c r="CZ998" s="41"/>
      <c r="DA998" s="41"/>
      <c r="DB998" s="41"/>
      <c r="DC998" s="41"/>
      <c r="DD998" s="41"/>
      <c r="DE998" s="41"/>
      <c r="DF998" s="41"/>
      <c r="DG998" s="41"/>
      <c r="DH998" s="41"/>
      <c r="DI998" s="41"/>
      <c r="DJ998" s="41"/>
      <c r="DK998" s="41"/>
      <c r="DL998" s="41"/>
      <c r="DM998" s="41"/>
      <c r="DN998" s="41"/>
      <c r="DO998" s="41"/>
      <c r="DP998" s="41"/>
      <c r="DQ998" s="41"/>
      <c r="DR998" s="41"/>
      <c r="DS998" s="43"/>
      <c r="DT998" s="44">
        <f t="shared" ref="DT998" si="980">SUM(F998:DR998)</f>
        <v>1</v>
      </c>
    </row>
    <row r="999" spans="2:124" s="13" customFormat="1">
      <c r="B999" s="4">
        <f>'6.1Personnel List'!B1000</f>
        <v>987</v>
      </c>
      <c r="C999" s="45" t="s">
        <v>1212</v>
      </c>
      <c r="D999" s="45" t="str">
        <f>'6.1Personnel List'!D1000</f>
        <v>Nurse I</v>
      </c>
      <c r="E999" s="45" t="str">
        <f>'6.1Personnel List'!H1000</f>
        <v>FT</v>
      </c>
      <c r="G999" s="41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1"/>
      <c r="U999" s="41"/>
      <c r="V999" s="41"/>
      <c r="W999" s="41"/>
      <c r="X999" s="41"/>
      <c r="Y999" s="41"/>
      <c r="Z999" s="41"/>
      <c r="AA999" s="41"/>
      <c r="AB999" s="41"/>
      <c r="AC999" s="41"/>
      <c r="AD999" s="41"/>
      <c r="AE999" s="41"/>
      <c r="AF999" s="41"/>
      <c r="AG999" s="41"/>
      <c r="AH999" s="41"/>
      <c r="AI999" s="41"/>
      <c r="AJ999" s="41"/>
      <c r="AK999" s="41"/>
      <c r="AL999" s="41"/>
      <c r="AM999" s="41"/>
      <c r="AN999" s="41"/>
      <c r="AO999" s="41"/>
      <c r="AP999" s="41"/>
      <c r="AQ999" s="41"/>
      <c r="AR999" s="41"/>
      <c r="AS999" s="41"/>
      <c r="AT999" s="41"/>
      <c r="AU999" s="41"/>
      <c r="AV999" s="41"/>
      <c r="AW999" s="41"/>
      <c r="AX999" s="41"/>
      <c r="AY999" s="41"/>
      <c r="AZ999" s="41"/>
      <c r="BA999" s="41"/>
      <c r="BB999" s="41"/>
      <c r="BC999" s="41"/>
      <c r="BD999" s="41"/>
      <c r="BE999" s="41"/>
      <c r="BF999" s="41"/>
      <c r="BG999" s="41"/>
      <c r="BH999" s="41"/>
      <c r="BJ999" s="41"/>
      <c r="BK999" s="41"/>
      <c r="BL999" s="41"/>
      <c r="BM999" s="41"/>
      <c r="BN999" s="41"/>
      <c r="BO999" s="41"/>
      <c r="BP999" s="41"/>
      <c r="BQ999" s="41"/>
      <c r="BR999" s="41"/>
      <c r="BS999" s="41"/>
      <c r="BT999" s="41"/>
      <c r="BU999" s="41"/>
      <c r="BV999" s="41"/>
      <c r="BW999" s="41"/>
      <c r="BX999" s="41"/>
      <c r="BY999" s="41"/>
      <c r="BZ999" s="41"/>
      <c r="CA999" s="41"/>
      <c r="CB999" s="41"/>
      <c r="CC999" s="41"/>
      <c r="CD999" s="41"/>
      <c r="CE999" s="41"/>
      <c r="CF999" s="41"/>
      <c r="CG999" s="41"/>
      <c r="CH999" s="41"/>
      <c r="CI999" s="41"/>
      <c r="CJ999" s="41"/>
      <c r="CK999" s="41"/>
      <c r="CL999" s="41"/>
      <c r="CM999" s="41"/>
      <c r="CN999" s="92">
        <v>0.25</v>
      </c>
      <c r="CO999" s="41"/>
      <c r="CP999" s="41"/>
      <c r="CQ999" s="41"/>
      <c r="CR999" s="41"/>
      <c r="CS999" s="41"/>
      <c r="CT999" s="41"/>
      <c r="CU999" s="41"/>
      <c r="CV999" s="41"/>
      <c r="CW999" s="41"/>
      <c r="CX999" s="41"/>
      <c r="CY999" s="41"/>
      <c r="CZ999" s="41"/>
      <c r="DA999" s="41"/>
      <c r="DB999" s="92">
        <v>0.25</v>
      </c>
      <c r="DC999" s="92">
        <v>0.25</v>
      </c>
      <c r="DD999" s="41"/>
      <c r="DE999" s="41"/>
      <c r="DF999" s="41"/>
      <c r="DG999" s="41"/>
      <c r="DH999" s="41"/>
      <c r="DI999" s="41"/>
      <c r="DJ999" s="92">
        <v>0.25</v>
      </c>
      <c r="DK999" s="41"/>
      <c r="DL999" s="41"/>
      <c r="DM999" s="41"/>
      <c r="DN999" s="41"/>
      <c r="DO999" s="41"/>
      <c r="DP999" s="41"/>
      <c r="DQ999" s="41"/>
      <c r="DR999" s="41"/>
      <c r="DS999" s="43"/>
      <c r="DT999" s="44">
        <f t="shared" ref="DT999" si="981">SUM(F999:DR999)</f>
        <v>1</v>
      </c>
    </row>
    <row r="1000" spans="2:124" s="13" customFormat="1">
      <c r="B1000" s="4">
        <f>'6.1Personnel List'!B1001</f>
        <v>988</v>
      </c>
      <c r="C1000" s="45" t="s">
        <v>1213</v>
      </c>
      <c r="D1000" s="45" t="str">
        <f>'6.1Personnel List'!D1001</f>
        <v>Nurse I</v>
      </c>
      <c r="E1000" s="45" t="str">
        <f>'6.1Personnel List'!H1001</f>
        <v>FT</v>
      </c>
      <c r="G1000" s="41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1"/>
      <c r="U1000" s="41"/>
      <c r="V1000" s="41"/>
      <c r="W1000" s="41"/>
      <c r="X1000" s="41"/>
      <c r="Y1000" s="41"/>
      <c r="Z1000" s="41"/>
      <c r="AA1000" s="41"/>
      <c r="AB1000" s="41"/>
      <c r="AC1000" s="41"/>
      <c r="AD1000" s="41"/>
      <c r="AE1000" s="41"/>
      <c r="AF1000" s="41"/>
      <c r="AG1000" s="41"/>
      <c r="AH1000" s="41"/>
      <c r="AI1000" s="41"/>
      <c r="AJ1000" s="41"/>
      <c r="AK1000" s="41"/>
      <c r="AL1000" s="41"/>
      <c r="AM1000" s="41"/>
      <c r="AN1000" s="41"/>
      <c r="AO1000" s="41"/>
      <c r="AP1000" s="41"/>
      <c r="AQ1000" s="41"/>
      <c r="AR1000" s="41"/>
      <c r="AS1000" s="41"/>
      <c r="AT1000" s="41"/>
      <c r="AU1000" s="41"/>
      <c r="AV1000" s="41"/>
      <c r="AW1000" s="41"/>
      <c r="AX1000" s="41"/>
      <c r="AY1000" s="41"/>
      <c r="AZ1000" s="41"/>
      <c r="BA1000" s="41"/>
      <c r="BB1000" s="41"/>
      <c r="BC1000" s="41"/>
      <c r="BD1000" s="41"/>
      <c r="BE1000" s="41"/>
      <c r="BF1000" s="41"/>
      <c r="BG1000" s="41"/>
      <c r="BH1000" s="41"/>
      <c r="BJ1000" s="41"/>
      <c r="BK1000" s="41"/>
      <c r="BL1000" s="41"/>
      <c r="BM1000" s="41"/>
      <c r="BN1000" s="41"/>
      <c r="BO1000" s="41"/>
      <c r="BP1000" s="41"/>
      <c r="BQ1000" s="41"/>
      <c r="BR1000" s="41"/>
      <c r="BS1000" s="41"/>
      <c r="BT1000" s="41"/>
      <c r="BU1000" s="41"/>
      <c r="BV1000" s="41"/>
      <c r="BW1000" s="41"/>
      <c r="BX1000" s="41"/>
      <c r="BY1000" s="41"/>
      <c r="BZ1000" s="41"/>
      <c r="CA1000" s="41"/>
      <c r="CB1000" s="41"/>
      <c r="CC1000" s="41"/>
      <c r="CD1000" s="41"/>
      <c r="CE1000" s="41"/>
      <c r="CF1000" s="41"/>
      <c r="CG1000" s="41"/>
      <c r="CH1000" s="41"/>
      <c r="CI1000" s="41"/>
      <c r="CJ1000" s="41"/>
      <c r="CK1000" s="41"/>
      <c r="CL1000" s="41"/>
      <c r="CM1000" s="41"/>
      <c r="CN1000" s="92">
        <v>0.25</v>
      </c>
      <c r="CO1000" s="41"/>
      <c r="CP1000" s="41"/>
      <c r="CQ1000" s="41"/>
      <c r="CR1000" s="41"/>
      <c r="CS1000" s="41"/>
      <c r="CT1000" s="41"/>
      <c r="CU1000" s="41"/>
      <c r="CV1000" s="41"/>
      <c r="CW1000" s="41"/>
      <c r="CX1000" s="41"/>
      <c r="CY1000" s="41"/>
      <c r="CZ1000" s="41"/>
      <c r="DA1000" s="41"/>
      <c r="DB1000" s="92">
        <v>0.25</v>
      </c>
      <c r="DC1000" s="92">
        <v>0.25</v>
      </c>
      <c r="DD1000" s="41"/>
      <c r="DE1000" s="41"/>
      <c r="DF1000" s="41"/>
      <c r="DG1000" s="41"/>
      <c r="DH1000" s="41"/>
      <c r="DI1000" s="41"/>
      <c r="DJ1000" s="92">
        <v>0.25</v>
      </c>
      <c r="DK1000" s="41"/>
      <c r="DL1000" s="41"/>
      <c r="DM1000" s="41"/>
      <c r="DN1000" s="41"/>
      <c r="DO1000" s="41"/>
      <c r="DP1000" s="41"/>
      <c r="DQ1000" s="41"/>
      <c r="DR1000" s="41"/>
      <c r="DS1000" s="43"/>
      <c r="DT1000" s="44">
        <f t="shared" ref="DT1000" si="982">SUM(F1000:DR1000)</f>
        <v>1</v>
      </c>
    </row>
    <row r="1001" spans="2:124" s="13" customFormat="1">
      <c r="B1001" s="4">
        <f>'6.1Personnel List'!B1002</f>
        <v>989</v>
      </c>
      <c r="C1001" s="45" t="s">
        <v>1214</v>
      </c>
      <c r="D1001" s="45" t="str">
        <f>'6.1Personnel List'!D1002</f>
        <v>Nurse I</v>
      </c>
      <c r="E1001" s="45" t="str">
        <f>'6.1Personnel List'!H1002</f>
        <v>FT</v>
      </c>
      <c r="G1001" s="41"/>
      <c r="H1001" s="41"/>
      <c r="I1001" s="41"/>
      <c r="J1001" s="41"/>
      <c r="K1001" s="41"/>
      <c r="L1001" s="41"/>
      <c r="M1001" s="41"/>
      <c r="N1001" s="41"/>
      <c r="O1001" s="41"/>
      <c r="P1001" s="41"/>
      <c r="Q1001" s="41"/>
      <c r="R1001" s="41"/>
      <c r="S1001" s="41"/>
      <c r="T1001" s="41"/>
      <c r="U1001" s="41"/>
      <c r="V1001" s="41"/>
      <c r="W1001" s="41"/>
      <c r="X1001" s="41"/>
      <c r="Y1001" s="41"/>
      <c r="Z1001" s="41"/>
      <c r="AA1001" s="41"/>
      <c r="AB1001" s="41"/>
      <c r="AC1001" s="41"/>
      <c r="AD1001" s="41"/>
      <c r="AE1001" s="41"/>
      <c r="AF1001" s="41"/>
      <c r="AG1001" s="41"/>
      <c r="AH1001" s="41"/>
      <c r="AI1001" s="41"/>
      <c r="AJ1001" s="41"/>
      <c r="AK1001" s="41"/>
      <c r="AL1001" s="41"/>
      <c r="AM1001" s="41"/>
      <c r="AN1001" s="41"/>
      <c r="AO1001" s="41"/>
      <c r="AP1001" s="41"/>
      <c r="AQ1001" s="41"/>
      <c r="AR1001" s="41"/>
      <c r="AS1001" s="41"/>
      <c r="AT1001" s="41"/>
      <c r="AU1001" s="41"/>
      <c r="AV1001" s="41"/>
      <c r="AW1001" s="41"/>
      <c r="AX1001" s="41"/>
      <c r="AY1001" s="41"/>
      <c r="AZ1001" s="41"/>
      <c r="BA1001" s="41"/>
      <c r="BB1001" s="41"/>
      <c r="BC1001" s="41"/>
      <c r="BD1001" s="41"/>
      <c r="BE1001" s="41"/>
      <c r="BF1001" s="41"/>
      <c r="BG1001" s="41"/>
      <c r="BH1001" s="41"/>
      <c r="BJ1001" s="41"/>
      <c r="BK1001" s="41"/>
      <c r="BL1001" s="41"/>
      <c r="BM1001" s="41"/>
      <c r="BN1001" s="41"/>
      <c r="BO1001" s="41"/>
      <c r="BP1001" s="41"/>
      <c r="BQ1001" s="41"/>
      <c r="BR1001" s="41"/>
      <c r="BS1001" s="41"/>
      <c r="BT1001" s="41"/>
      <c r="BU1001" s="41"/>
      <c r="BV1001" s="41"/>
      <c r="BW1001" s="41"/>
      <c r="BX1001" s="41"/>
      <c r="BY1001" s="41"/>
      <c r="BZ1001" s="41"/>
      <c r="CA1001" s="41"/>
      <c r="CB1001" s="41"/>
      <c r="CC1001" s="41"/>
      <c r="CD1001" s="41"/>
      <c r="CE1001" s="41"/>
      <c r="CF1001" s="41"/>
      <c r="CG1001" s="41"/>
      <c r="CH1001" s="41"/>
      <c r="CI1001" s="41"/>
      <c r="CJ1001" s="41"/>
      <c r="CK1001" s="41"/>
      <c r="CL1001" s="41"/>
      <c r="CM1001" s="41"/>
      <c r="CN1001" s="92">
        <v>0.25</v>
      </c>
      <c r="CO1001" s="41"/>
      <c r="CP1001" s="41"/>
      <c r="CQ1001" s="41"/>
      <c r="CR1001" s="41"/>
      <c r="CS1001" s="41"/>
      <c r="CT1001" s="41"/>
      <c r="CU1001" s="41"/>
      <c r="CV1001" s="41"/>
      <c r="CW1001" s="41"/>
      <c r="CX1001" s="41"/>
      <c r="CY1001" s="41"/>
      <c r="CZ1001" s="41"/>
      <c r="DA1001" s="41"/>
      <c r="DB1001" s="92">
        <v>0.25</v>
      </c>
      <c r="DC1001" s="92">
        <v>0.25</v>
      </c>
      <c r="DD1001" s="41"/>
      <c r="DE1001" s="41"/>
      <c r="DF1001" s="41"/>
      <c r="DG1001" s="41"/>
      <c r="DH1001" s="41"/>
      <c r="DI1001" s="41"/>
      <c r="DJ1001" s="92">
        <v>0.25</v>
      </c>
      <c r="DK1001" s="41"/>
      <c r="DL1001" s="41"/>
      <c r="DM1001" s="41"/>
      <c r="DN1001" s="41"/>
      <c r="DO1001" s="41"/>
      <c r="DP1001" s="41"/>
      <c r="DQ1001" s="41"/>
      <c r="DR1001" s="41"/>
      <c r="DS1001" s="43"/>
      <c r="DT1001" s="44">
        <f t="shared" ref="DT1001" si="983">SUM(F1001:DR1001)</f>
        <v>1</v>
      </c>
    </row>
    <row r="1002" spans="2:124" s="13" customFormat="1">
      <c r="B1002" s="4">
        <f>'6.1Personnel List'!B1003</f>
        <v>990</v>
      </c>
      <c r="C1002" s="45" t="s">
        <v>1215</v>
      </c>
      <c r="D1002" s="45" t="str">
        <f>'6.1Personnel List'!D1003</f>
        <v>Nurse I</v>
      </c>
      <c r="E1002" s="45" t="str">
        <f>'6.1Personnel List'!H1003</f>
        <v>FT</v>
      </c>
      <c r="G1002" s="41"/>
      <c r="H1002" s="41"/>
      <c r="I1002" s="41"/>
      <c r="J1002" s="41"/>
      <c r="K1002" s="41"/>
      <c r="L1002" s="41"/>
      <c r="M1002" s="41"/>
      <c r="N1002" s="41"/>
      <c r="O1002" s="41"/>
      <c r="P1002" s="41"/>
      <c r="Q1002" s="41"/>
      <c r="R1002" s="41"/>
      <c r="S1002" s="41"/>
      <c r="T1002" s="41"/>
      <c r="U1002" s="41"/>
      <c r="V1002" s="41"/>
      <c r="W1002" s="41"/>
      <c r="X1002" s="41"/>
      <c r="Y1002" s="41"/>
      <c r="Z1002" s="41"/>
      <c r="AA1002" s="41"/>
      <c r="AB1002" s="41"/>
      <c r="AC1002" s="41"/>
      <c r="AD1002" s="41"/>
      <c r="AE1002" s="41"/>
      <c r="AF1002" s="41"/>
      <c r="AG1002" s="41"/>
      <c r="AH1002" s="41"/>
      <c r="AI1002" s="41"/>
      <c r="AJ1002" s="41"/>
      <c r="AK1002" s="41"/>
      <c r="AL1002" s="41"/>
      <c r="AM1002" s="41"/>
      <c r="AN1002" s="41"/>
      <c r="AO1002" s="41"/>
      <c r="AP1002" s="41"/>
      <c r="AQ1002" s="41"/>
      <c r="AR1002" s="41"/>
      <c r="AS1002" s="41"/>
      <c r="AT1002" s="41"/>
      <c r="AU1002" s="41"/>
      <c r="AV1002" s="41"/>
      <c r="AW1002" s="41"/>
      <c r="AX1002" s="41"/>
      <c r="AY1002" s="41"/>
      <c r="AZ1002" s="41"/>
      <c r="BA1002" s="41"/>
      <c r="BB1002" s="41"/>
      <c r="BC1002" s="41"/>
      <c r="BD1002" s="41"/>
      <c r="BE1002" s="41"/>
      <c r="BF1002" s="41"/>
      <c r="BG1002" s="41"/>
      <c r="BH1002" s="41"/>
      <c r="BJ1002" s="41"/>
      <c r="BK1002" s="41"/>
      <c r="BL1002" s="41"/>
      <c r="BM1002" s="41"/>
      <c r="BN1002" s="41"/>
      <c r="BO1002" s="41"/>
      <c r="BP1002" s="41"/>
      <c r="BQ1002" s="41"/>
      <c r="BR1002" s="41"/>
      <c r="BS1002" s="41"/>
      <c r="BT1002" s="41"/>
      <c r="BU1002" s="41"/>
      <c r="BV1002" s="41"/>
      <c r="BW1002" s="41"/>
      <c r="BX1002" s="41"/>
      <c r="BY1002" s="41"/>
      <c r="BZ1002" s="41"/>
      <c r="CA1002" s="41"/>
      <c r="CB1002" s="41"/>
      <c r="CC1002" s="41"/>
      <c r="CD1002" s="41"/>
      <c r="CE1002" s="41"/>
      <c r="CF1002" s="41"/>
      <c r="CG1002" s="41"/>
      <c r="CH1002" s="41"/>
      <c r="CI1002" s="41"/>
      <c r="CJ1002" s="41"/>
      <c r="CK1002" s="41"/>
      <c r="CL1002" s="41"/>
      <c r="CM1002" s="41"/>
      <c r="CN1002" s="92">
        <v>0.25</v>
      </c>
      <c r="CO1002" s="41"/>
      <c r="CP1002" s="41"/>
      <c r="CQ1002" s="41"/>
      <c r="CR1002" s="41"/>
      <c r="CS1002" s="41"/>
      <c r="CT1002" s="41"/>
      <c r="CU1002" s="41"/>
      <c r="CV1002" s="41"/>
      <c r="CW1002" s="41"/>
      <c r="CX1002" s="41"/>
      <c r="CY1002" s="41"/>
      <c r="CZ1002" s="41"/>
      <c r="DA1002" s="41"/>
      <c r="DB1002" s="92">
        <v>0.25</v>
      </c>
      <c r="DC1002" s="92">
        <v>0.25</v>
      </c>
      <c r="DD1002" s="41"/>
      <c r="DE1002" s="41"/>
      <c r="DF1002" s="41"/>
      <c r="DG1002" s="41"/>
      <c r="DH1002" s="41"/>
      <c r="DI1002" s="41"/>
      <c r="DJ1002" s="92">
        <v>0.25</v>
      </c>
      <c r="DK1002" s="41"/>
      <c r="DL1002" s="41"/>
      <c r="DM1002" s="41"/>
      <c r="DN1002" s="41"/>
      <c r="DO1002" s="41"/>
      <c r="DP1002" s="41"/>
      <c r="DQ1002" s="41"/>
      <c r="DR1002" s="41"/>
      <c r="DS1002" s="43"/>
      <c r="DT1002" s="44">
        <f t="shared" ref="DT1002" si="984">SUM(F1002:DR1002)</f>
        <v>1</v>
      </c>
    </row>
    <row r="1003" spans="2:124" s="13" customFormat="1">
      <c r="B1003" s="4">
        <f>'6.1Personnel List'!B1004</f>
        <v>991</v>
      </c>
      <c r="C1003" s="45" t="s">
        <v>1216</v>
      </c>
      <c r="D1003" s="45" t="str">
        <f>'6.1Personnel List'!D1004</f>
        <v>Nurse I</v>
      </c>
      <c r="E1003" s="45" t="str">
        <f>'6.1Personnel List'!H1004</f>
        <v>FT</v>
      </c>
      <c r="G1003" s="41"/>
      <c r="H1003" s="41"/>
      <c r="I1003" s="41"/>
      <c r="J1003" s="41"/>
      <c r="K1003" s="41"/>
      <c r="L1003" s="41"/>
      <c r="M1003" s="41"/>
      <c r="N1003" s="41"/>
      <c r="O1003" s="41"/>
      <c r="P1003" s="41"/>
      <c r="Q1003" s="41"/>
      <c r="R1003" s="41"/>
      <c r="S1003" s="41"/>
      <c r="T1003" s="41"/>
      <c r="U1003" s="41"/>
      <c r="V1003" s="41"/>
      <c r="W1003" s="41"/>
      <c r="X1003" s="41"/>
      <c r="Y1003" s="41"/>
      <c r="Z1003" s="41"/>
      <c r="AA1003" s="41"/>
      <c r="AB1003" s="41"/>
      <c r="AC1003" s="41"/>
      <c r="AD1003" s="41"/>
      <c r="AE1003" s="41"/>
      <c r="AF1003" s="41"/>
      <c r="AG1003" s="41"/>
      <c r="AH1003" s="41"/>
      <c r="AI1003" s="41"/>
      <c r="AJ1003" s="41"/>
      <c r="AK1003" s="41"/>
      <c r="AL1003" s="41"/>
      <c r="AM1003" s="41"/>
      <c r="AN1003" s="41"/>
      <c r="AO1003" s="41"/>
      <c r="AP1003" s="41"/>
      <c r="AQ1003" s="41"/>
      <c r="AR1003" s="41"/>
      <c r="AS1003" s="41"/>
      <c r="AT1003" s="41"/>
      <c r="AU1003" s="41"/>
      <c r="AV1003" s="41"/>
      <c r="AW1003" s="41"/>
      <c r="AX1003" s="41"/>
      <c r="AY1003" s="41"/>
      <c r="AZ1003" s="41"/>
      <c r="BA1003" s="41"/>
      <c r="BB1003" s="41"/>
      <c r="BC1003" s="41"/>
      <c r="BD1003" s="41"/>
      <c r="BE1003" s="41"/>
      <c r="BF1003" s="41"/>
      <c r="BG1003" s="41"/>
      <c r="BH1003" s="41"/>
      <c r="BJ1003" s="41"/>
      <c r="BK1003" s="41"/>
      <c r="BL1003" s="41"/>
      <c r="BM1003" s="41"/>
      <c r="BN1003" s="41"/>
      <c r="BO1003" s="41"/>
      <c r="BP1003" s="41"/>
      <c r="BQ1003" s="41"/>
      <c r="BR1003" s="41"/>
      <c r="BS1003" s="41"/>
      <c r="BT1003" s="41"/>
      <c r="BU1003" s="41"/>
      <c r="BV1003" s="41"/>
      <c r="BW1003" s="41"/>
      <c r="BX1003" s="41"/>
      <c r="BY1003" s="41"/>
      <c r="BZ1003" s="41"/>
      <c r="CA1003" s="41"/>
      <c r="CB1003" s="41"/>
      <c r="CC1003" s="41"/>
      <c r="CD1003" s="41"/>
      <c r="CE1003" s="41"/>
      <c r="CF1003" s="41"/>
      <c r="CG1003" s="41"/>
      <c r="CH1003" s="41"/>
      <c r="CI1003" s="41"/>
      <c r="CJ1003" s="41"/>
      <c r="CK1003" s="41"/>
      <c r="CL1003" s="41"/>
      <c r="CM1003" s="41"/>
      <c r="CN1003" s="41"/>
      <c r="CO1003" s="41"/>
      <c r="CP1003" s="41"/>
      <c r="CQ1003" s="41"/>
      <c r="CR1003" s="41"/>
      <c r="CS1003" s="41"/>
      <c r="CT1003" s="41"/>
      <c r="CU1003" s="41"/>
      <c r="CV1003" s="41"/>
      <c r="CW1003" s="41"/>
      <c r="CX1003" s="41"/>
      <c r="CY1003" s="41"/>
      <c r="CZ1003" s="41"/>
      <c r="DA1003" s="41"/>
      <c r="DB1003" s="41"/>
      <c r="DC1003" s="41"/>
      <c r="DD1003" s="41"/>
      <c r="DE1003" s="41">
        <v>1</v>
      </c>
      <c r="DF1003" s="41"/>
      <c r="DG1003" s="41"/>
      <c r="DH1003" s="41"/>
      <c r="DI1003" s="41"/>
      <c r="DJ1003" s="41"/>
      <c r="DK1003" s="41"/>
      <c r="DL1003" s="41"/>
      <c r="DM1003" s="41"/>
      <c r="DN1003" s="41"/>
      <c r="DO1003" s="41"/>
      <c r="DP1003" s="41"/>
      <c r="DQ1003" s="41"/>
      <c r="DR1003" s="41"/>
      <c r="DS1003" s="43"/>
      <c r="DT1003" s="44">
        <f t="shared" ref="DT1003" si="985">SUM(F1003:DR1003)</f>
        <v>1</v>
      </c>
    </row>
    <row r="1004" spans="2:124" s="13" customFormat="1">
      <c r="B1004" s="4">
        <f>'6.1Personnel List'!B1005</f>
        <v>992</v>
      </c>
      <c r="C1004" s="45" t="s">
        <v>1217</v>
      </c>
      <c r="D1004" s="45" t="str">
        <f>'6.1Personnel List'!D1005</f>
        <v>Nurse I</v>
      </c>
      <c r="E1004" s="45" t="str">
        <f>'6.1Personnel List'!H1005</f>
        <v>FT</v>
      </c>
      <c r="G1004" s="41"/>
      <c r="H1004" s="41"/>
      <c r="I1004" s="41"/>
      <c r="J1004" s="41"/>
      <c r="K1004" s="41"/>
      <c r="L1004" s="41"/>
      <c r="M1004" s="41"/>
      <c r="N1004" s="41"/>
      <c r="O1004" s="41"/>
      <c r="P1004" s="41"/>
      <c r="Q1004" s="41"/>
      <c r="R1004" s="41"/>
      <c r="S1004" s="41"/>
      <c r="T1004" s="41"/>
      <c r="U1004" s="41"/>
      <c r="V1004" s="41"/>
      <c r="W1004" s="41"/>
      <c r="X1004" s="41"/>
      <c r="Y1004" s="41"/>
      <c r="Z1004" s="41"/>
      <c r="AA1004" s="41"/>
      <c r="AB1004" s="41"/>
      <c r="AC1004" s="41"/>
      <c r="AD1004" s="41"/>
      <c r="AE1004" s="41"/>
      <c r="AF1004" s="41"/>
      <c r="AG1004" s="41"/>
      <c r="AH1004" s="41"/>
      <c r="AI1004" s="41"/>
      <c r="AJ1004" s="41"/>
      <c r="AK1004" s="41"/>
      <c r="AL1004" s="41"/>
      <c r="AM1004" s="41"/>
      <c r="AN1004" s="41"/>
      <c r="AO1004" s="41"/>
      <c r="AP1004" s="41"/>
      <c r="AQ1004" s="41"/>
      <c r="AR1004" s="41"/>
      <c r="AS1004" s="41"/>
      <c r="AT1004" s="41"/>
      <c r="AU1004" s="41"/>
      <c r="AV1004" s="41"/>
      <c r="AW1004" s="41"/>
      <c r="AX1004" s="41"/>
      <c r="AY1004" s="41"/>
      <c r="AZ1004" s="41"/>
      <c r="BA1004" s="41"/>
      <c r="BB1004" s="41"/>
      <c r="BC1004" s="41"/>
      <c r="BD1004" s="41"/>
      <c r="BE1004" s="41"/>
      <c r="BF1004" s="41"/>
      <c r="BG1004" s="41"/>
      <c r="BH1004" s="41"/>
      <c r="BJ1004" s="41"/>
      <c r="BK1004" s="41"/>
      <c r="BL1004" s="41"/>
      <c r="BM1004" s="41"/>
      <c r="BN1004" s="41"/>
      <c r="BO1004" s="41"/>
      <c r="BP1004" s="41"/>
      <c r="BQ1004" s="41"/>
      <c r="BR1004" s="41"/>
      <c r="BS1004" s="41"/>
      <c r="BT1004" s="41"/>
      <c r="BU1004" s="41"/>
      <c r="BV1004" s="41">
        <v>0.05</v>
      </c>
      <c r="BW1004" s="41">
        <v>0.2</v>
      </c>
      <c r="BX1004" s="41"/>
      <c r="BY1004" s="41"/>
      <c r="BZ1004" s="41"/>
      <c r="CA1004" s="41"/>
      <c r="CB1004" s="41"/>
      <c r="CC1004" s="41"/>
      <c r="CD1004" s="41"/>
      <c r="CE1004" s="41">
        <v>0.1</v>
      </c>
      <c r="CF1004" s="41">
        <v>0.1</v>
      </c>
      <c r="CG1004" s="41">
        <v>0.1</v>
      </c>
      <c r="CH1004" s="41"/>
      <c r="CI1004" s="41"/>
      <c r="CJ1004" s="41"/>
      <c r="CK1004" s="41"/>
      <c r="CL1004" s="41"/>
      <c r="CM1004" s="41"/>
      <c r="CN1004" s="41"/>
      <c r="CO1004" s="41"/>
      <c r="CP1004" s="41"/>
      <c r="CQ1004" s="41"/>
      <c r="CR1004" s="41"/>
      <c r="CS1004" s="41"/>
      <c r="CT1004" s="41"/>
      <c r="CU1004" s="41"/>
      <c r="CV1004" s="41"/>
      <c r="CW1004" s="41"/>
      <c r="CX1004" s="41"/>
      <c r="CY1004" s="41"/>
      <c r="CZ1004" s="41"/>
      <c r="DA1004" s="41"/>
      <c r="DB1004" s="41"/>
      <c r="DC1004" s="41"/>
      <c r="DD1004" s="41"/>
      <c r="DE1004" s="41"/>
      <c r="DF1004" s="41"/>
      <c r="DG1004" s="41"/>
      <c r="DH1004" s="41"/>
      <c r="DI1004" s="41"/>
      <c r="DJ1004" s="41"/>
      <c r="DK1004" s="41"/>
      <c r="DL1004" s="41"/>
      <c r="DM1004" s="41">
        <v>0.45</v>
      </c>
      <c r="DN1004" s="41"/>
      <c r="DO1004" s="41"/>
      <c r="DP1004" s="41"/>
      <c r="DQ1004" s="41"/>
      <c r="DR1004" s="41"/>
      <c r="DS1004" s="43"/>
      <c r="DT1004" s="44">
        <f t="shared" ref="DT1004" si="986">SUM(F1004:DR1004)</f>
        <v>1</v>
      </c>
    </row>
    <row r="1005" spans="2:124" s="13" customFormat="1">
      <c r="B1005" s="4">
        <f>'6.1Personnel List'!B1006</f>
        <v>993</v>
      </c>
      <c r="C1005" s="45" t="s">
        <v>1218</v>
      </c>
      <c r="D1005" s="45" t="str">
        <f>'6.1Personnel List'!D1006</f>
        <v>Nurse I</v>
      </c>
      <c r="E1005" s="45" t="str">
        <f>'6.1Personnel List'!H1006</f>
        <v>FT</v>
      </c>
      <c r="G1005" s="41"/>
      <c r="H1005" s="41"/>
      <c r="I1005" s="41"/>
      <c r="J1005" s="41"/>
      <c r="K1005" s="41"/>
      <c r="L1005" s="41"/>
      <c r="M1005" s="41"/>
      <c r="N1005" s="41"/>
      <c r="O1005" s="41"/>
      <c r="P1005" s="41"/>
      <c r="Q1005" s="41"/>
      <c r="R1005" s="41"/>
      <c r="S1005" s="41"/>
      <c r="T1005" s="41"/>
      <c r="U1005" s="41"/>
      <c r="V1005" s="41"/>
      <c r="W1005" s="41"/>
      <c r="X1005" s="41"/>
      <c r="Y1005" s="41"/>
      <c r="Z1005" s="41"/>
      <c r="AA1005" s="41"/>
      <c r="AB1005" s="41"/>
      <c r="AC1005" s="41"/>
      <c r="AD1005" s="41"/>
      <c r="AE1005" s="41"/>
      <c r="AF1005" s="41"/>
      <c r="AG1005" s="41"/>
      <c r="AH1005" s="41"/>
      <c r="AI1005" s="41"/>
      <c r="AJ1005" s="41"/>
      <c r="AK1005" s="41"/>
      <c r="AL1005" s="41"/>
      <c r="AM1005" s="41"/>
      <c r="AN1005" s="41"/>
      <c r="AO1005" s="41"/>
      <c r="AP1005" s="41"/>
      <c r="AQ1005" s="41"/>
      <c r="AR1005" s="41"/>
      <c r="AS1005" s="41"/>
      <c r="AT1005" s="41"/>
      <c r="AU1005" s="41"/>
      <c r="AV1005" s="41"/>
      <c r="AW1005" s="41"/>
      <c r="AX1005" s="41"/>
      <c r="AY1005" s="41"/>
      <c r="AZ1005" s="41"/>
      <c r="BA1005" s="41"/>
      <c r="BB1005" s="41"/>
      <c r="BC1005" s="41"/>
      <c r="BD1005" s="41"/>
      <c r="BE1005" s="41"/>
      <c r="BF1005" s="41"/>
      <c r="BG1005" s="41"/>
      <c r="BH1005" s="41"/>
      <c r="BJ1005" s="41"/>
      <c r="BK1005" s="41"/>
      <c r="BL1005" s="41"/>
      <c r="BM1005" s="41"/>
      <c r="BN1005" s="41"/>
      <c r="BO1005" s="41"/>
      <c r="BP1005" s="41"/>
      <c r="BQ1005" s="41"/>
      <c r="BR1005" s="41"/>
      <c r="BS1005" s="41"/>
      <c r="BT1005" s="41"/>
      <c r="BU1005" s="41"/>
      <c r="BV1005" s="41">
        <v>0.05</v>
      </c>
      <c r="BW1005" s="41">
        <v>0.2</v>
      </c>
      <c r="BX1005" s="41"/>
      <c r="BY1005" s="41"/>
      <c r="BZ1005" s="41"/>
      <c r="CA1005" s="41"/>
      <c r="CB1005" s="41"/>
      <c r="CC1005" s="41"/>
      <c r="CD1005" s="41"/>
      <c r="CE1005" s="41">
        <v>0.1</v>
      </c>
      <c r="CF1005" s="41">
        <v>0.1</v>
      </c>
      <c r="CG1005" s="41">
        <v>0.1</v>
      </c>
      <c r="CH1005" s="41"/>
      <c r="CI1005" s="41"/>
      <c r="CJ1005" s="41"/>
      <c r="CK1005" s="41"/>
      <c r="CL1005" s="41"/>
      <c r="CM1005" s="41"/>
      <c r="CN1005" s="41"/>
      <c r="CO1005" s="41"/>
      <c r="CP1005" s="41"/>
      <c r="CQ1005" s="41"/>
      <c r="CR1005" s="41"/>
      <c r="CS1005" s="41"/>
      <c r="CT1005" s="41"/>
      <c r="CU1005" s="41"/>
      <c r="CV1005" s="41"/>
      <c r="CW1005" s="41"/>
      <c r="CX1005" s="41"/>
      <c r="CY1005" s="41"/>
      <c r="CZ1005" s="41"/>
      <c r="DA1005" s="41"/>
      <c r="DB1005" s="41"/>
      <c r="DC1005" s="41"/>
      <c r="DD1005" s="41"/>
      <c r="DE1005" s="41"/>
      <c r="DF1005" s="41"/>
      <c r="DG1005" s="41"/>
      <c r="DH1005" s="41"/>
      <c r="DI1005" s="41"/>
      <c r="DJ1005" s="41"/>
      <c r="DK1005" s="41"/>
      <c r="DL1005" s="41"/>
      <c r="DM1005" s="41">
        <v>0.45</v>
      </c>
      <c r="DN1005" s="41"/>
      <c r="DO1005" s="41"/>
      <c r="DP1005" s="41"/>
      <c r="DQ1005" s="41"/>
      <c r="DR1005" s="41"/>
      <c r="DS1005" s="43"/>
      <c r="DT1005" s="44">
        <f t="shared" ref="DT1005" si="987">SUM(F1005:DR1005)</f>
        <v>1</v>
      </c>
    </row>
    <row r="1006" spans="2:124" s="13" customFormat="1">
      <c r="B1006" s="4">
        <f>'6.1Personnel List'!B1007</f>
        <v>994</v>
      </c>
      <c r="C1006" s="45" t="s">
        <v>1219</v>
      </c>
      <c r="D1006" s="45" t="str">
        <f>'6.1Personnel List'!D1007</f>
        <v>Nurse I</v>
      </c>
      <c r="E1006" s="45" t="str">
        <f>'6.1Personnel List'!H1007</f>
        <v>FT</v>
      </c>
      <c r="G1006" s="41"/>
      <c r="H1006" s="41"/>
      <c r="I1006" s="41"/>
      <c r="J1006" s="41"/>
      <c r="K1006" s="41"/>
      <c r="L1006" s="41"/>
      <c r="M1006" s="41"/>
      <c r="N1006" s="41"/>
      <c r="O1006" s="41"/>
      <c r="P1006" s="41"/>
      <c r="Q1006" s="41"/>
      <c r="R1006" s="41"/>
      <c r="S1006" s="41"/>
      <c r="T1006" s="41"/>
      <c r="U1006" s="41"/>
      <c r="V1006" s="41"/>
      <c r="W1006" s="41"/>
      <c r="X1006" s="41"/>
      <c r="Y1006" s="41"/>
      <c r="Z1006" s="41"/>
      <c r="AA1006" s="41"/>
      <c r="AB1006" s="41"/>
      <c r="AC1006" s="41"/>
      <c r="AD1006" s="41"/>
      <c r="AE1006" s="41"/>
      <c r="AF1006" s="41"/>
      <c r="AG1006" s="41"/>
      <c r="AH1006" s="41"/>
      <c r="AI1006" s="41"/>
      <c r="AJ1006" s="41"/>
      <c r="AK1006" s="41"/>
      <c r="AL1006" s="41"/>
      <c r="AM1006" s="41"/>
      <c r="AN1006" s="41"/>
      <c r="AO1006" s="41"/>
      <c r="AP1006" s="41"/>
      <c r="AQ1006" s="41"/>
      <c r="AR1006" s="41"/>
      <c r="AS1006" s="41"/>
      <c r="AT1006" s="41"/>
      <c r="AU1006" s="41"/>
      <c r="AV1006" s="41"/>
      <c r="AW1006" s="41"/>
      <c r="AX1006" s="41"/>
      <c r="AY1006" s="41"/>
      <c r="AZ1006" s="41"/>
      <c r="BA1006" s="41"/>
      <c r="BB1006" s="41"/>
      <c r="BC1006" s="41"/>
      <c r="BD1006" s="41"/>
      <c r="BE1006" s="41"/>
      <c r="BF1006" s="41"/>
      <c r="BG1006" s="41"/>
      <c r="BH1006" s="41"/>
      <c r="BJ1006" s="41"/>
      <c r="BK1006" s="41"/>
      <c r="BL1006" s="41"/>
      <c r="BM1006" s="41"/>
      <c r="BN1006" s="41"/>
      <c r="BO1006" s="41"/>
      <c r="BP1006" s="41"/>
      <c r="BQ1006" s="41"/>
      <c r="BR1006" s="41"/>
      <c r="BS1006" s="41"/>
      <c r="BT1006" s="41"/>
      <c r="BU1006" s="41"/>
      <c r="BV1006" s="41"/>
      <c r="BW1006" s="41"/>
      <c r="BX1006" s="41"/>
      <c r="BY1006" s="41"/>
      <c r="BZ1006" s="41"/>
      <c r="CA1006" s="41"/>
      <c r="CB1006" s="41"/>
      <c r="CC1006" s="41"/>
      <c r="CD1006" s="41"/>
      <c r="CE1006" s="41"/>
      <c r="CF1006" s="41"/>
      <c r="CG1006" s="41"/>
      <c r="CH1006" s="41"/>
      <c r="CI1006" s="41"/>
      <c r="CJ1006" s="41"/>
      <c r="CK1006" s="41"/>
      <c r="CL1006" s="41"/>
      <c r="CM1006" s="41"/>
      <c r="CN1006" s="92">
        <v>0.25</v>
      </c>
      <c r="CO1006" s="41"/>
      <c r="CP1006" s="41"/>
      <c r="CQ1006" s="41"/>
      <c r="CR1006" s="41"/>
      <c r="CS1006" s="41"/>
      <c r="CT1006" s="41"/>
      <c r="CU1006" s="41"/>
      <c r="CV1006" s="41"/>
      <c r="CW1006" s="41"/>
      <c r="CX1006" s="41"/>
      <c r="CY1006" s="41"/>
      <c r="CZ1006" s="41"/>
      <c r="DA1006" s="41"/>
      <c r="DB1006" s="92">
        <v>0.25</v>
      </c>
      <c r="DC1006" s="92">
        <v>0.25</v>
      </c>
      <c r="DD1006" s="41"/>
      <c r="DE1006" s="41"/>
      <c r="DF1006" s="41"/>
      <c r="DG1006" s="41"/>
      <c r="DH1006" s="41"/>
      <c r="DI1006" s="41"/>
      <c r="DJ1006" s="92">
        <v>0.25</v>
      </c>
      <c r="DK1006" s="41"/>
      <c r="DL1006" s="41"/>
      <c r="DM1006" s="41"/>
      <c r="DN1006" s="41"/>
      <c r="DO1006" s="41"/>
      <c r="DP1006" s="41"/>
      <c r="DQ1006" s="41"/>
      <c r="DR1006" s="41"/>
      <c r="DS1006" s="43"/>
      <c r="DT1006" s="44">
        <f t="shared" ref="DT1006" si="988">SUM(F1006:DR1006)</f>
        <v>1</v>
      </c>
    </row>
    <row r="1007" spans="2:124" s="13" customFormat="1">
      <c r="B1007" s="4">
        <f>'6.1Personnel List'!B1008</f>
        <v>995</v>
      </c>
      <c r="C1007" s="45" t="s">
        <v>1220</v>
      </c>
      <c r="D1007" s="45" t="str">
        <f>'6.1Personnel List'!D1008</f>
        <v>Nurse I</v>
      </c>
      <c r="E1007" s="45" t="str">
        <f>'6.1Personnel List'!H1008</f>
        <v>FT</v>
      </c>
      <c r="G1007" s="41"/>
      <c r="H1007" s="41"/>
      <c r="I1007" s="41"/>
      <c r="J1007" s="41"/>
      <c r="K1007" s="41"/>
      <c r="L1007" s="41"/>
      <c r="M1007" s="41"/>
      <c r="N1007" s="41"/>
      <c r="O1007" s="41"/>
      <c r="P1007" s="41"/>
      <c r="Q1007" s="41"/>
      <c r="R1007" s="41"/>
      <c r="S1007" s="41"/>
      <c r="T1007" s="41"/>
      <c r="U1007" s="41"/>
      <c r="V1007" s="41"/>
      <c r="W1007" s="41"/>
      <c r="X1007" s="41"/>
      <c r="Y1007" s="41"/>
      <c r="Z1007" s="41"/>
      <c r="AA1007" s="41"/>
      <c r="AB1007" s="41"/>
      <c r="AC1007" s="41"/>
      <c r="AD1007" s="41"/>
      <c r="AE1007" s="41"/>
      <c r="AF1007" s="41"/>
      <c r="AG1007" s="41"/>
      <c r="AH1007" s="41"/>
      <c r="AI1007" s="41"/>
      <c r="AJ1007" s="41"/>
      <c r="AK1007" s="41"/>
      <c r="AL1007" s="41"/>
      <c r="AM1007" s="41"/>
      <c r="AN1007" s="41"/>
      <c r="AO1007" s="41"/>
      <c r="AP1007" s="41"/>
      <c r="AQ1007" s="41"/>
      <c r="AR1007" s="41"/>
      <c r="AS1007" s="41"/>
      <c r="AT1007" s="41"/>
      <c r="AU1007" s="41"/>
      <c r="AV1007" s="41"/>
      <c r="AW1007" s="41"/>
      <c r="AX1007" s="41"/>
      <c r="AY1007" s="41"/>
      <c r="AZ1007" s="41"/>
      <c r="BA1007" s="41"/>
      <c r="BB1007" s="41"/>
      <c r="BC1007" s="41"/>
      <c r="BD1007" s="41"/>
      <c r="BE1007" s="41"/>
      <c r="BF1007" s="41"/>
      <c r="BG1007" s="41"/>
      <c r="BH1007" s="41"/>
      <c r="BJ1007" s="41"/>
      <c r="BK1007" s="41"/>
      <c r="BL1007" s="41"/>
      <c r="BM1007" s="41"/>
      <c r="BN1007" s="41"/>
      <c r="BO1007" s="41"/>
      <c r="BP1007" s="41"/>
      <c r="BQ1007" s="41"/>
      <c r="BR1007" s="41"/>
      <c r="BS1007" s="41">
        <v>0.05</v>
      </c>
      <c r="BT1007" s="41"/>
      <c r="BU1007" s="41">
        <v>0.05</v>
      </c>
      <c r="BV1007" s="41">
        <v>0.05</v>
      </c>
      <c r="BW1007" s="41">
        <v>0.05</v>
      </c>
      <c r="BX1007" s="41"/>
      <c r="BY1007" s="41"/>
      <c r="BZ1007" s="41"/>
      <c r="CA1007" s="41"/>
      <c r="CB1007" s="41"/>
      <c r="CC1007" s="41"/>
      <c r="CD1007" s="41"/>
      <c r="CE1007" s="41">
        <v>0.05</v>
      </c>
      <c r="CF1007" s="41">
        <v>0.03</v>
      </c>
      <c r="CG1007" s="41">
        <v>0.02</v>
      </c>
      <c r="CH1007" s="41">
        <v>0.05</v>
      </c>
      <c r="CI1007" s="41">
        <v>0.05</v>
      </c>
      <c r="CJ1007" s="41"/>
      <c r="CK1007" s="41"/>
      <c r="CL1007" s="41"/>
      <c r="CM1007" s="41"/>
      <c r="CN1007" s="41"/>
      <c r="CO1007" s="41"/>
      <c r="CP1007" s="41"/>
      <c r="CQ1007" s="41"/>
      <c r="CR1007" s="41"/>
      <c r="CS1007" s="41"/>
      <c r="CT1007" s="41"/>
      <c r="CU1007" s="41"/>
      <c r="CV1007" s="41"/>
      <c r="CW1007" s="41"/>
      <c r="CX1007" s="41"/>
      <c r="CY1007" s="41"/>
      <c r="CZ1007" s="41"/>
      <c r="DA1007" s="41"/>
      <c r="DB1007" s="41"/>
      <c r="DC1007" s="41"/>
      <c r="DD1007" s="41"/>
      <c r="DE1007" s="41"/>
      <c r="DF1007" s="41"/>
      <c r="DG1007" s="41"/>
      <c r="DH1007" s="41"/>
      <c r="DI1007" s="41"/>
      <c r="DJ1007" s="41"/>
      <c r="DK1007" s="41">
        <v>0.6</v>
      </c>
      <c r="DL1007" s="41"/>
      <c r="DM1007" s="41"/>
      <c r="DN1007" s="41"/>
      <c r="DO1007" s="41"/>
      <c r="DP1007" s="41"/>
      <c r="DQ1007" s="41"/>
      <c r="DR1007" s="41"/>
      <c r="DS1007" s="43"/>
      <c r="DT1007" s="44">
        <f t="shared" ref="DT1007" si="989">SUM(F1007:DR1007)</f>
        <v>1</v>
      </c>
    </row>
    <row r="1008" spans="2:124" s="13" customFormat="1">
      <c r="B1008" s="4">
        <f>'6.1Personnel List'!B1009</f>
        <v>996</v>
      </c>
      <c r="C1008" s="45" t="s">
        <v>1221</v>
      </c>
      <c r="D1008" s="45" t="str">
        <f>'6.1Personnel List'!D1009</f>
        <v>Nurse I</v>
      </c>
      <c r="E1008" s="45" t="str">
        <f>'6.1Personnel List'!H1009</f>
        <v>FT</v>
      </c>
      <c r="G1008" s="41"/>
      <c r="H1008" s="41"/>
      <c r="I1008" s="41"/>
      <c r="J1008" s="41"/>
      <c r="K1008" s="41"/>
      <c r="L1008" s="41"/>
      <c r="M1008" s="41"/>
      <c r="N1008" s="41"/>
      <c r="O1008" s="41"/>
      <c r="P1008" s="41"/>
      <c r="Q1008" s="41"/>
      <c r="R1008" s="41"/>
      <c r="S1008" s="41"/>
      <c r="T1008" s="41"/>
      <c r="U1008" s="41"/>
      <c r="V1008" s="41"/>
      <c r="W1008" s="41"/>
      <c r="X1008" s="41"/>
      <c r="Y1008" s="41"/>
      <c r="Z1008" s="41"/>
      <c r="AA1008" s="41"/>
      <c r="AB1008" s="41"/>
      <c r="AC1008" s="41"/>
      <c r="AD1008" s="41"/>
      <c r="AE1008" s="41"/>
      <c r="AF1008" s="41"/>
      <c r="AG1008" s="41"/>
      <c r="AH1008" s="41"/>
      <c r="AI1008" s="41"/>
      <c r="AJ1008" s="41"/>
      <c r="AK1008" s="41"/>
      <c r="AL1008" s="41"/>
      <c r="AM1008" s="41"/>
      <c r="AN1008" s="41"/>
      <c r="AO1008" s="41"/>
      <c r="AP1008" s="41"/>
      <c r="AQ1008" s="41"/>
      <c r="AR1008" s="41"/>
      <c r="AS1008" s="41"/>
      <c r="AT1008" s="41"/>
      <c r="AU1008" s="41"/>
      <c r="AV1008" s="41"/>
      <c r="AW1008" s="41"/>
      <c r="AX1008" s="41"/>
      <c r="AY1008" s="41"/>
      <c r="AZ1008" s="41"/>
      <c r="BA1008" s="41"/>
      <c r="BB1008" s="41"/>
      <c r="BC1008" s="41"/>
      <c r="BD1008" s="41"/>
      <c r="BE1008" s="41"/>
      <c r="BF1008" s="41"/>
      <c r="BG1008" s="41"/>
      <c r="BH1008" s="41"/>
      <c r="BJ1008" s="41"/>
      <c r="BK1008" s="41"/>
      <c r="BL1008" s="41"/>
      <c r="BM1008" s="41"/>
      <c r="BN1008" s="41"/>
      <c r="BO1008" s="41"/>
      <c r="BP1008" s="41"/>
      <c r="BQ1008" s="41"/>
      <c r="BR1008" s="41"/>
      <c r="BS1008" s="41"/>
      <c r="BT1008" s="41"/>
      <c r="BU1008" s="41"/>
      <c r="BV1008" s="41">
        <v>0.05</v>
      </c>
      <c r="BW1008" s="41">
        <v>0.2</v>
      </c>
      <c r="BX1008" s="41"/>
      <c r="BY1008" s="41"/>
      <c r="BZ1008" s="41"/>
      <c r="CA1008" s="41"/>
      <c r="CB1008" s="41"/>
      <c r="CC1008" s="41"/>
      <c r="CD1008" s="41"/>
      <c r="CE1008" s="41">
        <v>0.1</v>
      </c>
      <c r="CF1008" s="41">
        <v>0.1</v>
      </c>
      <c r="CG1008" s="41">
        <v>0.1</v>
      </c>
      <c r="CH1008" s="41"/>
      <c r="CI1008" s="41"/>
      <c r="CJ1008" s="41"/>
      <c r="CK1008" s="41"/>
      <c r="CL1008" s="41"/>
      <c r="CM1008" s="41"/>
      <c r="CN1008" s="41"/>
      <c r="CO1008" s="41"/>
      <c r="CP1008" s="41"/>
      <c r="CQ1008" s="41"/>
      <c r="CR1008" s="41"/>
      <c r="CS1008" s="41"/>
      <c r="CT1008" s="41"/>
      <c r="CU1008" s="41"/>
      <c r="CV1008" s="41"/>
      <c r="CW1008" s="41"/>
      <c r="CX1008" s="41"/>
      <c r="CY1008" s="41"/>
      <c r="CZ1008" s="41"/>
      <c r="DA1008" s="41"/>
      <c r="DB1008" s="41"/>
      <c r="DC1008" s="41"/>
      <c r="DD1008" s="41"/>
      <c r="DE1008" s="41"/>
      <c r="DF1008" s="41"/>
      <c r="DG1008" s="41"/>
      <c r="DH1008" s="41"/>
      <c r="DI1008" s="41"/>
      <c r="DJ1008" s="41"/>
      <c r="DK1008" s="41"/>
      <c r="DL1008" s="41"/>
      <c r="DM1008" s="41">
        <v>0.45</v>
      </c>
      <c r="DN1008" s="41"/>
      <c r="DO1008" s="41"/>
      <c r="DP1008" s="41"/>
      <c r="DQ1008" s="41"/>
      <c r="DR1008" s="41"/>
      <c r="DS1008" s="43"/>
      <c r="DT1008" s="44">
        <f t="shared" ref="DT1008" si="990">SUM(F1008:DR1008)</f>
        <v>1</v>
      </c>
    </row>
    <row r="1009" spans="2:124" s="13" customFormat="1">
      <c r="B1009" s="4">
        <f>'6.1Personnel List'!B1010</f>
        <v>997</v>
      </c>
      <c r="C1009" s="45" t="s">
        <v>1222</v>
      </c>
      <c r="D1009" s="45" t="str">
        <f>'6.1Personnel List'!D1010</f>
        <v>Nurse I</v>
      </c>
      <c r="E1009" s="45" t="str">
        <f>'6.1Personnel List'!H1010</f>
        <v>FT</v>
      </c>
      <c r="G1009" s="41"/>
      <c r="H1009" s="41"/>
      <c r="I1009" s="41"/>
      <c r="J1009" s="41"/>
      <c r="K1009" s="41"/>
      <c r="L1009" s="41"/>
      <c r="M1009" s="41"/>
      <c r="N1009" s="41"/>
      <c r="O1009" s="41"/>
      <c r="P1009" s="41"/>
      <c r="Q1009" s="41"/>
      <c r="R1009" s="41"/>
      <c r="S1009" s="41"/>
      <c r="T1009" s="41"/>
      <c r="U1009" s="41"/>
      <c r="V1009" s="41"/>
      <c r="W1009" s="41"/>
      <c r="X1009" s="41"/>
      <c r="Y1009" s="41"/>
      <c r="Z1009" s="41"/>
      <c r="AA1009" s="41"/>
      <c r="AB1009" s="41"/>
      <c r="AC1009" s="41"/>
      <c r="AD1009" s="41"/>
      <c r="AE1009" s="41"/>
      <c r="AF1009" s="41"/>
      <c r="AG1009" s="41"/>
      <c r="AH1009" s="41"/>
      <c r="AI1009" s="41"/>
      <c r="AJ1009" s="41"/>
      <c r="AK1009" s="41"/>
      <c r="AL1009" s="41"/>
      <c r="AM1009" s="41"/>
      <c r="AN1009" s="41"/>
      <c r="AO1009" s="41"/>
      <c r="AP1009" s="41"/>
      <c r="AQ1009" s="41"/>
      <c r="AR1009" s="41"/>
      <c r="AS1009" s="41"/>
      <c r="AT1009" s="41"/>
      <c r="AU1009" s="41"/>
      <c r="AV1009" s="41"/>
      <c r="AW1009" s="41"/>
      <c r="AX1009" s="41"/>
      <c r="AY1009" s="41"/>
      <c r="AZ1009" s="41"/>
      <c r="BA1009" s="41"/>
      <c r="BB1009" s="41"/>
      <c r="BC1009" s="41"/>
      <c r="BD1009" s="41"/>
      <c r="BE1009" s="41"/>
      <c r="BF1009" s="41"/>
      <c r="BG1009" s="41"/>
      <c r="BH1009" s="41"/>
      <c r="BJ1009" s="41"/>
      <c r="BK1009" s="41"/>
      <c r="BL1009" s="41"/>
      <c r="BM1009" s="41"/>
      <c r="BN1009" s="41"/>
      <c r="BO1009" s="41"/>
      <c r="BP1009" s="41"/>
      <c r="BQ1009" s="41"/>
      <c r="BR1009" s="41"/>
      <c r="BS1009" s="41">
        <v>0.05</v>
      </c>
      <c r="BT1009" s="41"/>
      <c r="BU1009" s="41"/>
      <c r="BV1009" s="41">
        <v>0.05</v>
      </c>
      <c r="BW1009" s="41">
        <v>0.05</v>
      </c>
      <c r="BX1009" s="41"/>
      <c r="BY1009" s="41"/>
      <c r="BZ1009" s="41"/>
      <c r="CA1009" s="41"/>
      <c r="CB1009" s="41"/>
      <c r="CC1009" s="41"/>
      <c r="CD1009" s="41"/>
      <c r="CE1009" s="41">
        <v>0.1</v>
      </c>
      <c r="CF1009" s="41">
        <v>0.05</v>
      </c>
      <c r="CG1009" s="41">
        <v>0.05</v>
      </c>
      <c r="CH1009" s="41">
        <v>0.05</v>
      </c>
      <c r="CI1009" s="41"/>
      <c r="CJ1009" s="41">
        <v>0.05</v>
      </c>
      <c r="CK1009" s="41"/>
      <c r="CL1009" s="41">
        <v>0.2</v>
      </c>
      <c r="CM1009" s="41"/>
      <c r="CN1009" s="41"/>
      <c r="CO1009" s="41"/>
      <c r="CP1009" s="41"/>
      <c r="CQ1009" s="41"/>
      <c r="CR1009" s="41"/>
      <c r="CS1009" s="41"/>
      <c r="CT1009" s="41"/>
      <c r="CU1009" s="41">
        <v>0.05</v>
      </c>
      <c r="CV1009" s="41"/>
      <c r="CW1009" s="41"/>
      <c r="CX1009" s="41"/>
      <c r="CY1009" s="41"/>
      <c r="CZ1009" s="41"/>
      <c r="DA1009" s="41"/>
      <c r="DB1009" s="41"/>
      <c r="DC1009" s="41"/>
      <c r="DD1009" s="41">
        <v>0.05</v>
      </c>
      <c r="DE1009" s="41"/>
      <c r="DF1009" s="41"/>
      <c r="DG1009" s="41"/>
      <c r="DH1009" s="41"/>
      <c r="DI1009" s="41"/>
      <c r="DJ1009" s="41"/>
      <c r="DK1009" s="41"/>
      <c r="DL1009" s="41"/>
      <c r="DM1009" s="41"/>
      <c r="DN1009" s="41"/>
      <c r="DO1009" s="41"/>
      <c r="DP1009" s="41">
        <v>0.25</v>
      </c>
      <c r="DQ1009" s="41"/>
      <c r="DR1009" s="41"/>
      <c r="DS1009" s="43"/>
      <c r="DT1009" s="44">
        <f t="shared" ref="DT1009" si="991">SUM(F1009:DR1009)</f>
        <v>1</v>
      </c>
    </row>
    <row r="1010" spans="2:124" s="13" customFormat="1">
      <c r="B1010" s="4">
        <f>'6.1Personnel List'!B1011</f>
        <v>998</v>
      </c>
      <c r="C1010" s="45" t="s">
        <v>1223</v>
      </c>
      <c r="D1010" s="45" t="str">
        <f>'6.1Personnel List'!D1011</f>
        <v>Nurse I</v>
      </c>
      <c r="E1010" s="45" t="str">
        <f>'6.1Personnel List'!H1011</f>
        <v>FT</v>
      </c>
      <c r="G1010" s="41"/>
      <c r="H1010" s="41"/>
      <c r="I1010" s="41"/>
      <c r="J1010" s="41"/>
      <c r="K1010" s="41"/>
      <c r="L1010" s="41"/>
      <c r="M1010" s="41"/>
      <c r="N1010" s="41"/>
      <c r="O1010" s="41"/>
      <c r="P1010" s="41"/>
      <c r="Q1010" s="41"/>
      <c r="R1010" s="41"/>
      <c r="S1010" s="41"/>
      <c r="T1010" s="41"/>
      <c r="U1010" s="41"/>
      <c r="V1010" s="41"/>
      <c r="W1010" s="41"/>
      <c r="X1010" s="41"/>
      <c r="Y1010" s="41"/>
      <c r="Z1010" s="41"/>
      <c r="AA1010" s="41"/>
      <c r="AB1010" s="41"/>
      <c r="AC1010" s="41"/>
      <c r="AD1010" s="41"/>
      <c r="AE1010" s="41"/>
      <c r="AF1010" s="41"/>
      <c r="AG1010" s="41"/>
      <c r="AH1010" s="41"/>
      <c r="AI1010" s="41"/>
      <c r="AJ1010" s="41"/>
      <c r="AK1010" s="41"/>
      <c r="AL1010" s="41"/>
      <c r="AM1010" s="41"/>
      <c r="AN1010" s="41"/>
      <c r="AO1010" s="41"/>
      <c r="AP1010" s="41"/>
      <c r="AQ1010" s="41"/>
      <c r="AR1010" s="41"/>
      <c r="AS1010" s="41"/>
      <c r="AT1010" s="41"/>
      <c r="AU1010" s="41"/>
      <c r="AV1010" s="41"/>
      <c r="AW1010" s="41"/>
      <c r="AX1010" s="41"/>
      <c r="AY1010" s="41"/>
      <c r="AZ1010" s="41"/>
      <c r="BA1010" s="41"/>
      <c r="BB1010" s="41"/>
      <c r="BC1010" s="41"/>
      <c r="BD1010" s="41"/>
      <c r="BE1010" s="41"/>
      <c r="BF1010" s="41"/>
      <c r="BG1010" s="41"/>
      <c r="BH1010" s="41"/>
      <c r="BJ1010" s="41"/>
      <c r="BK1010" s="41"/>
      <c r="BL1010" s="41"/>
      <c r="BM1010" s="41"/>
      <c r="BN1010" s="41"/>
      <c r="BO1010" s="41"/>
      <c r="BP1010" s="41"/>
      <c r="BQ1010" s="41"/>
      <c r="BR1010" s="41"/>
      <c r="BS1010" s="41"/>
      <c r="BT1010" s="41"/>
      <c r="BU1010" s="41"/>
      <c r="BV1010" s="41">
        <v>0.05</v>
      </c>
      <c r="BW1010" s="41">
        <v>0.2</v>
      </c>
      <c r="BX1010" s="41"/>
      <c r="BY1010" s="41"/>
      <c r="BZ1010" s="41"/>
      <c r="CA1010" s="41"/>
      <c r="CB1010" s="41"/>
      <c r="CC1010" s="41"/>
      <c r="CD1010" s="41"/>
      <c r="CE1010" s="41">
        <v>0.1</v>
      </c>
      <c r="CF1010" s="41">
        <v>0.1</v>
      </c>
      <c r="CG1010" s="41">
        <v>0.1</v>
      </c>
      <c r="CH1010" s="41"/>
      <c r="CI1010" s="41"/>
      <c r="CJ1010" s="41"/>
      <c r="CK1010" s="41"/>
      <c r="CL1010" s="41"/>
      <c r="CM1010" s="41"/>
      <c r="CN1010" s="41"/>
      <c r="CO1010" s="41"/>
      <c r="CP1010" s="41"/>
      <c r="CQ1010" s="41"/>
      <c r="CR1010" s="41"/>
      <c r="CS1010" s="41"/>
      <c r="CT1010" s="41"/>
      <c r="CU1010" s="41"/>
      <c r="CV1010" s="41"/>
      <c r="CW1010" s="41"/>
      <c r="CX1010" s="41"/>
      <c r="CY1010" s="41"/>
      <c r="CZ1010" s="41"/>
      <c r="DA1010" s="41"/>
      <c r="DB1010" s="41"/>
      <c r="DC1010" s="41"/>
      <c r="DD1010" s="41"/>
      <c r="DE1010" s="41"/>
      <c r="DF1010" s="41"/>
      <c r="DG1010" s="41"/>
      <c r="DH1010" s="41"/>
      <c r="DI1010" s="41"/>
      <c r="DJ1010" s="41"/>
      <c r="DK1010" s="41"/>
      <c r="DL1010" s="41"/>
      <c r="DM1010" s="41">
        <v>0.45</v>
      </c>
      <c r="DN1010" s="41"/>
      <c r="DO1010" s="41"/>
      <c r="DP1010" s="41"/>
      <c r="DQ1010" s="41"/>
      <c r="DR1010" s="41"/>
      <c r="DS1010" s="43"/>
      <c r="DT1010" s="44">
        <f t="shared" ref="DT1010" si="992">SUM(F1010:DR1010)</f>
        <v>1</v>
      </c>
    </row>
    <row r="1011" spans="2:124" s="13" customFormat="1">
      <c r="B1011" s="4">
        <f>'6.1Personnel List'!B1012</f>
        <v>999</v>
      </c>
      <c r="C1011" s="45" t="s">
        <v>1224</v>
      </c>
      <c r="D1011" s="45" t="str">
        <f>'6.1Personnel List'!D1012</f>
        <v>Nurse I</v>
      </c>
      <c r="E1011" s="45" t="str">
        <f>'6.1Personnel List'!H1012</f>
        <v>FT</v>
      </c>
      <c r="G1011" s="41"/>
      <c r="H1011" s="41"/>
      <c r="I1011" s="41"/>
      <c r="J1011" s="41"/>
      <c r="K1011" s="41"/>
      <c r="L1011" s="41"/>
      <c r="M1011" s="41"/>
      <c r="N1011" s="41"/>
      <c r="O1011" s="41"/>
      <c r="P1011" s="41"/>
      <c r="Q1011" s="41"/>
      <c r="R1011" s="41"/>
      <c r="S1011" s="41"/>
      <c r="T1011" s="41"/>
      <c r="U1011" s="41"/>
      <c r="V1011" s="41"/>
      <c r="W1011" s="41"/>
      <c r="X1011" s="41"/>
      <c r="Y1011" s="41"/>
      <c r="Z1011" s="41"/>
      <c r="AA1011" s="41"/>
      <c r="AB1011" s="41"/>
      <c r="AC1011" s="41"/>
      <c r="AD1011" s="41"/>
      <c r="AE1011" s="41"/>
      <c r="AF1011" s="41"/>
      <c r="AG1011" s="41"/>
      <c r="AH1011" s="41"/>
      <c r="AI1011" s="41"/>
      <c r="AJ1011" s="41"/>
      <c r="AK1011" s="41"/>
      <c r="AL1011" s="41"/>
      <c r="AM1011" s="41"/>
      <c r="AN1011" s="41"/>
      <c r="AO1011" s="41"/>
      <c r="AP1011" s="41"/>
      <c r="AQ1011" s="41"/>
      <c r="AR1011" s="41"/>
      <c r="AS1011" s="41"/>
      <c r="AT1011" s="41"/>
      <c r="AU1011" s="41"/>
      <c r="AV1011" s="41"/>
      <c r="AW1011" s="41"/>
      <c r="AX1011" s="41"/>
      <c r="AY1011" s="41"/>
      <c r="AZ1011" s="41"/>
      <c r="BA1011" s="41"/>
      <c r="BB1011" s="41"/>
      <c r="BC1011" s="41"/>
      <c r="BD1011" s="41"/>
      <c r="BE1011" s="41"/>
      <c r="BF1011" s="41"/>
      <c r="BG1011" s="41"/>
      <c r="BH1011" s="41"/>
      <c r="BJ1011" s="41"/>
      <c r="BK1011" s="41"/>
      <c r="BL1011" s="41"/>
      <c r="BM1011" s="41"/>
      <c r="BN1011" s="41"/>
      <c r="BO1011" s="41"/>
      <c r="BP1011" s="41"/>
      <c r="BQ1011" s="41"/>
      <c r="BR1011" s="41"/>
      <c r="BS1011" s="41"/>
      <c r="BT1011" s="41"/>
      <c r="BU1011" s="41"/>
      <c r="BV1011" s="41"/>
      <c r="BW1011" s="41"/>
      <c r="BX1011" s="41"/>
      <c r="BY1011" s="41"/>
      <c r="BZ1011" s="41"/>
      <c r="CA1011" s="41"/>
      <c r="CB1011" s="41"/>
      <c r="CC1011" s="41"/>
      <c r="CD1011" s="41"/>
      <c r="CE1011" s="41"/>
      <c r="CF1011" s="41"/>
      <c r="CG1011" s="41"/>
      <c r="CH1011" s="41"/>
      <c r="CI1011" s="41"/>
      <c r="CJ1011" s="41"/>
      <c r="CK1011" s="41"/>
      <c r="CL1011" s="41"/>
      <c r="CM1011" s="41"/>
      <c r="CN1011" s="92">
        <v>0.25</v>
      </c>
      <c r="CO1011" s="41"/>
      <c r="CP1011" s="41"/>
      <c r="CQ1011" s="41"/>
      <c r="CR1011" s="41"/>
      <c r="CS1011" s="41"/>
      <c r="CT1011" s="41"/>
      <c r="CU1011" s="41"/>
      <c r="CV1011" s="41"/>
      <c r="CW1011" s="41"/>
      <c r="CX1011" s="41"/>
      <c r="CY1011" s="41"/>
      <c r="CZ1011" s="41"/>
      <c r="DA1011" s="41"/>
      <c r="DB1011" s="92">
        <v>0.25</v>
      </c>
      <c r="DC1011" s="92">
        <v>0.25</v>
      </c>
      <c r="DD1011" s="41"/>
      <c r="DE1011" s="41"/>
      <c r="DF1011" s="41"/>
      <c r="DG1011" s="41"/>
      <c r="DH1011" s="41"/>
      <c r="DI1011" s="41"/>
      <c r="DJ1011" s="92">
        <v>0.25</v>
      </c>
      <c r="DK1011" s="41"/>
      <c r="DL1011" s="41"/>
      <c r="DM1011" s="41"/>
      <c r="DN1011" s="41"/>
      <c r="DO1011" s="41"/>
      <c r="DP1011" s="41"/>
      <c r="DQ1011" s="41"/>
      <c r="DR1011" s="41"/>
      <c r="DS1011" s="43"/>
      <c r="DT1011" s="44">
        <f t="shared" ref="DT1011" si="993">SUM(F1011:DR1011)</f>
        <v>1</v>
      </c>
    </row>
    <row r="1012" spans="2:124" s="13" customFormat="1">
      <c r="B1012" s="4">
        <f>'6.1Personnel List'!B1013</f>
        <v>1000</v>
      </c>
      <c r="C1012" s="45" t="s">
        <v>1225</v>
      </c>
      <c r="D1012" s="45" t="str">
        <f>'6.1Personnel List'!D1013</f>
        <v>Nurse I</v>
      </c>
      <c r="E1012" s="45" t="str">
        <f>'6.1Personnel List'!H1013</f>
        <v>FT</v>
      </c>
      <c r="G1012" s="41"/>
      <c r="H1012" s="41"/>
      <c r="I1012" s="41"/>
      <c r="J1012" s="41"/>
      <c r="K1012" s="41"/>
      <c r="L1012" s="41"/>
      <c r="M1012" s="41"/>
      <c r="N1012" s="41"/>
      <c r="O1012" s="41"/>
      <c r="P1012" s="41"/>
      <c r="Q1012" s="41"/>
      <c r="R1012" s="41"/>
      <c r="S1012" s="41"/>
      <c r="T1012" s="41"/>
      <c r="U1012" s="41"/>
      <c r="V1012" s="41"/>
      <c r="W1012" s="41"/>
      <c r="X1012" s="41"/>
      <c r="Y1012" s="41"/>
      <c r="Z1012" s="41"/>
      <c r="AA1012" s="41"/>
      <c r="AB1012" s="41"/>
      <c r="AC1012" s="41"/>
      <c r="AD1012" s="41"/>
      <c r="AE1012" s="41"/>
      <c r="AF1012" s="41"/>
      <c r="AG1012" s="41"/>
      <c r="AH1012" s="41"/>
      <c r="AI1012" s="41"/>
      <c r="AJ1012" s="41"/>
      <c r="AK1012" s="41"/>
      <c r="AL1012" s="41"/>
      <c r="AM1012" s="41"/>
      <c r="AN1012" s="41"/>
      <c r="AO1012" s="41"/>
      <c r="AP1012" s="41"/>
      <c r="AQ1012" s="41"/>
      <c r="AR1012" s="41"/>
      <c r="AS1012" s="41"/>
      <c r="AT1012" s="41"/>
      <c r="AU1012" s="41"/>
      <c r="AV1012" s="41"/>
      <c r="AW1012" s="41"/>
      <c r="AX1012" s="41"/>
      <c r="AY1012" s="41"/>
      <c r="AZ1012" s="41"/>
      <c r="BA1012" s="41"/>
      <c r="BB1012" s="41"/>
      <c r="BC1012" s="41"/>
      <c r="BD1012" s="41"/>
      <c r="BE1012" s="41"/>
      <c r="BF1012" s="41"/>
      <c r="BG1012" s="41"/>
      <c r="BH1012" s="41"/>
      <c r="BJ1012" s="41"/>
      <c r="BK1012" s="41"/>
      <c r="BL1012" s="41"/>
      <c r="BM1012" s="41"/>
      <c r="BN1012" s="41"/>
      <c r="BO1012" s="41"/>
      <c r="BP1012" s="41"/>
      <c r="BQ1012" s="41"/>
      <c r="BR1012" s="41"/>
      <c r="BS1012" s="41"/>
      <c r="BT1012" s="41"/>
      <c r="BU1012" s="41"/>
      <c r="BV1012" s="41">
        <v>0.05</v>
      </c>
      <c r="BW1012" s="41"/>
      <c r="BX1012" s="41"/>
      <c r="BY1012" s="41"/>
      <c r="BZ1012" s="41"/>
      <c r="CA1012" s="41"/>
      <c r="CB1012" s="41">
        <v>0.05</v>
      </c>
      <c r="CC1012" s="41"/>
      <c r="CD1012" s="41"/>
      <c r="CE1012" s="41">
        <v>0.05</v>
      </c>
      <c r="CF1012" s="41">
        <v>0.05</v>
      </c>
      <c r="CG1012" s="41"/>
      <c r="CH1012" s="41"/>
      <c r="CI1012" s="41"/>
      <c r="CJ1012" s="41"/>
      <c r="CK1012" s="41"/>
      <c r="CL1012" s="41">
        <v>0.8</v>
      </c>
      <c r="CM1012" s="41"/>
      <c r="CN1012" s="41"/>
      <c r="CO1012" s="41"/>
      <c r="CP1012" s="41"/>
      <c r="CQ1012" s="41"/>
      <c r="CR1012" s="41"/>
      <c r="CS1012" s="41"/>
      <c r="CT1012" s="41"/>
      <c r="CU1012" s="41"/>
      <c r="CV1012" s="41"/>
      <c r="CW1012" s="41"/>
      <c r="CX1012" s="41"/>
      <c r="CY1012" s="41"/>
      <c r="CZ1012" s="41"/>
      <c r="DA1012" s="41"/>
      <c r="DB1012" s="41"/>
      <c r="DC1012" s="41"/>
      <c r="DD1012" s="41"/>
      <c r="DE1012" s="41"/>
      <c r="DF1012" s="41"/>
      <c r="DG1012" s="41"/>
      <c r="DH1012" s="41"/>
      <c r="DI1012" s="41"/>
      <c r="DJ1012" s="41"/>
      <c r="DK1012" s="41"/>
      <c r="DL1012" s="41"/>
      <c r="DM1012" s="41"/>
      <c r="DN1012" s="41"/>
      <c r="DO1012" s="41"/>
      <c r="DP1012" s="41"/>
      <c r="DQ1012" s="41"/>
      <c r="DR1012" s="41"/>
      <c r="DS1012" s="43"/>
      <c r="DT1012" s="44">
        <f t="shared" ref="DT1012" si="994">SUM(F1012:DR1012)</f>
        <v>1</v>
      </c>
    </row>
    <row r="1013" spans="2:124" s="13" customFormat="1">
      <c r="B1013" s="4">
        <f>'6.1Personnel List'!B1014</f>
        <v>1001</v>
      </c>
      <c r="C1013" s="45" t="s">
        <v>1226</v>
      </c>
      <c r="D1013" s="45" t="str">
        <f>'6.1Personnel List'!D1014</f>
        <v>Nurse I</v>
      </c>
      <c r="E1013" s="45" t="str">
        <f>'6.1Personnel List'!H1014</f>
        <v>FT</v>
      </c>
      <c r="G1013" s="41"/>
      <c r="H1013" s="41"/>
      <c r="I1013" s="41"/>
      <c r="J1013" s="41"/>
      <c r="K1013" s="41"/>
      <c r="L1013" s="41"/>
      <c r="M1013" s="41"/>
      <c r="N1013" s="41"/>
      <c r="O1013" s="41"/>
      <c r="P1013" s="41"/>
      <c r="Q1013" s="41"/>
      <c r="R1013" s="41"/>
      <c r="S1013" s="41"/>
      <c r="T1013" s="41"/>
      <c r="U1013" s="41"/>
      <c r="V1013" s="41"/>
      <c r="W1013" s="41"/>
      <c r="X1013" s="41"/>
      <c r="Y1013" s="41"/>
      <c r="Z1013" s="41"/>
      <c r="AA1013" s="41"/>
      <c r="AB1013" s="41"/>
      <c r="AC1013" s="41"/>
      <c r="AD1013" s="41"/>
      <c r="AE1013" s="41"/>
      <c r="AF1013" s="41"/>
      <c r="AG1013" s="41"/>
      <c r="AH1013" s="41"/>
      <c r="AI1013" s="41"/>
      <c r="AJ1013" s="41"/>
      <c r="AK1013" s="41"/>
      <c r="AL1013" s="41"/>
      <c r="AM1013" s="41"/>
      <c r="AN1013" s="41"/>
      <c r="AO1013" s="41"/>
      <c r="AP1013" s="41"/>
      <c r="AQ1013" s="41"/>
      <c r="AR1013" s="41"/>
      <c r="AS1013" s="41"/>
      <c r="AT1013" s="41"/>
      <c r="AU1013" s="41"/>
      <c r="AV1013" s="41"/>
      <c r="AW1013" s="41"/>
      <c r="AX1013" s="41"/>
      <c r="AY1013" s="41"/>
      <c r="AZ1013" s="41"/>
      <c r="BA1013" s="41"/>
      <c r="BB1013" s="41"/>
      <c r="BC1013" s="41"/>
      <c r="BD1013" s="41"/>
      <c r="BE1013" s="41"/>
      <c r="BF1013" s="41"/>
      <c r="BG1013" s="41"/>
      <c r="BH1013" s="41"/>
      <c r="BJ1013" s="41"/>
      <c r="BK1013" s="41"/>
      <c r="BL1013" s="41"/>
      <c r="BM1013" s="41"/>
      <c r="BN1013" s="41"/>
      <c r="BO1013" s="41"/>
      <c r="BP1013" s="41"/>
      <c r="BQ1013" s="41"/>
      <c r="BR1013" s="41"/>
      <c r="BS1013" s="41"/>
      <c r="BT1013" s="41"/>
      <c r="BU1013" s="41"/>
      <c r="BV1013" s="41">
        <v>0.05</v>
      </c>
      <c r="BW1013" s="41">
        <v>0.2</v>
      </c>
      <c r="BX1013" s="41"/>
      <c r="BY1013" s="41"/>
      <c r="BZ1013" s="41"/>
      <c r="CA1013" s="41"/>
      <c r="CB1013" s="41"/>
      <c r="CC1013" s="41"/>
      <c r="CD1013" s="41"/>
      <c r="CE1013" s="41">
        <v>0.1</v>
      </c>
      <c r="CF1013" s="41">
        <v>0.1</v>
      </c>
      <c r="CG1013" s="41">
        <v>0.1</v>
      </c>
      <c r="CH1013" s="41"/>
      <c r="CI1013" s="41"/>
      <c r="CJ1013" s="41"/>
      <c r="CK1013" s="41"/>
      <c r="CL1013" s="41"/>
      <c r="CM1013" s="41"/>
      <c r="CN1013" s="41"/>
      <c r="CO1013" s="41"/>
      <c r="CP1013" s="41"/>
      <c r="CQ1013" s="41"/>
      <c r="CR1013" s="41"/>
      <c r="CS1013" s="41"/>
      <c r="CT1013" s="41"/>
      <c r="CU1013" s="41"/>
      <c r="CV1013" s="41"/>
      <c r="CW1013" s="41"/>
      <c r="CX1013" s="41"/>
      <c r="CY1013" s="41"/>
      <c r="CZ1013" s="41"/>
      <c r="DA1013" s="41"/>
      <c r="DB1013" s="41"/>
      <c r="DC1013" s="41"/>
      <c r="DD1013" s="41"/>
      <c r="DE1013" s="41"/>
      <c r="DF1013" s="41"/>
      <c r="DG1013" s="41"/>
      <c r="DH1013" s="41"/>
      <c r="DI1013" s="41"/>
      <c r="DJ1013" s="41"/>
      <c r="DK1013" s="41"/>
      <c r="DL1013" s="41"/>
      <c r="DM1013" s="41">
        <v>0.45</v>
      </c>
      <c r="DN1013" s="41"/>
      <c r="DO1013" s="41"/>
      <c r="DP1013" s="41"/>
      <c r="DQ1013" s="41"/>
      <c r="DR1013" s="41"/>
      <c r="DS1013" s="43"/>
      <c r="DT1013" s="44">
        <f t="shared" ref="DT1013" si="995">SUM(F1013:DR1013)</f>
        <v>1</v>
      </c>
    </row>
    <row r="1014" spans="2:124" s="13" customFormat="1">
      <c r="B1014" s="4">
        <f>'6.1Personnel List'!B1015</f>
        <v>1002</v>
      </c>
      <c r="C1014" s="45" t="s">
        <v>1227</v>
      </c>
      <c r="D1014" s="45" t="str">
        <f>'6.1Personnel List'!D1015</f>
        <v>Nurse I</v>
      </c>
      <c r="E1014" s="45" t="str">
        <f>'6.1Personnel List'!H1015</f>
        <v>FT</v>
      </c>
      <c r="G1014" s="41"/>
      <c r="H1014" s="41"/>
      <c r="I1014" s="41"/>
      <c r="J1014" s="41"/>
      <c r="K1014" s="41"/>
      <c r="L1014" s="41"/>
      <c r="M1014" s="41"/>
      <c r="N1014" s="41"/>
      <c r="O1014" s="41"/>
      <c r="P1014" s="41"/>
      <c r="Q1014" s="41"/>
      <c r="R1014" s="41"/>
      <c r="S1014" s="41"/>
      <c r="T1014" s="41"/>
      <c r="U1014" s="41"/>
      <c r="V1014" s="41"/>
      <c r="W1014" s="41"/>
      <c r="X1014" s="41"/>
      <c r="Y1014" s="41"/>
      <c r="Z1014" s="41"/>
      <c r="AA1014" s="41"/>
      <c r="AB1014" s="41"/>
      <c r="AC1014" s="41"/>
      <c r="AD1014" s="41"/>
      <c r="AE1014" s="41"/>
      <c r="AF1014" s="41"/>
      <c r="AG1014" s="41"/>
      <c r="AH1014" s="41"/>
      <c r="AI1014" s="41"/>
      <c r="AJ1014" s="41"/>
      <c r="AK1014" s="41"/>
      <c r="AL1014" s="41"/>
      <c r="AM1014" s="41"/>
      <c r="AN1014" s="41"/>
      <c r="AO1014" s="41"/>
      <c r="AP1014" s="41"/>
      <c r="AQ1014" s="41"/>
      <c r="AR1014" s="41"/>
      <c r="AS1014" s="41"/>
      <c r="AT1014" s="41"/>
      <c r="AU1014" s="41"/>
      <c r="AV1014" s="41"/>
      <c r="AW1014" s="41"/>
      <c r="AX1014" s="41"/>
      <c r="AY1014" s="41"/>
      <c r="AZ1014" s="41"/>
      <c r="BA1014" s="41"/>
      <c r="BB1014" s="41"/>
      <c r="BC1014" s="41"/>
      <c r="BD1014" s="41"/>
      <c r="BE1014" s="41"/>
      <c r="BF1014" s="41"/>
      <c r="BG1014" s="41"/>
      <c r="BH1014" s="41"/>
      <c r="BJ1014" s="41"/>
      <c r="BK1014" s="41"/>
      <c r="BL1014" s="41"/>
      <c r="BM1014" s="41"/>
      <c r="BN1014" s="41"/>
      <c r="BO1014" s="41"/>
      <c r="BP1014" s="41"/>
      <c r="BQ1014" s="41"/>
      <c r="BR1014" s="41"/>
      <c r="BS1014" s="41"/>
      <c r="BT1014" s="41"/>
      <c r="BU1014" s="41"/>
      <c r="BV1014" s="41"/>
      <c r="BW1014" s="41"/>
      <c r="BX1014" s="41"/>
      <c r="BY1014" s="41"/>
      <c r="BZ1014" s="41"/>
      <c r="CA1014" s="41"/>
      <c r="CB1014" s="41"/>
      <c r="CC1014" s="41"/>
      <c r="CD1014" s="41"/>
      <c r="CE1014" s="41"/>
      <c r="CF1014" s="41"/>
      <c r="CG1014" s="41"/>
      <c r="CH1014" s="41"/>
      <c r="CI1014" s="41"/>
      <c r="CJ1014" s="41"/>
      <c r="CK1014" s="41"/>
      <c r="CL1014" s="41"/>
      <c r="CM1014" s="41"/>
      <c r="CN1014" s="41"/>
      <c r="CO1014" s="41"/>
      <c r="CP1014" s="41"/>
      <c r="CQ1014" s="41"/>
      <c r="CR1014" s="41"/>
      <c r="CS1014" s="41"/>
      <c r="CT1014" s="41"/>
      <c r="CU1014" s="41"/>
      <c r="CV1014" s="41"/>
      <c r="CW1014" s="41"/>
      <c r="CX1014" s="41"/>
      <c r="CY1014" s="41"/>
      <c r="CZ1014" s="41"/>
      <c r="DA1014" s="41"/>
      <c r="DB1014" s="41"/>
      <c r="DC1014" s="41"/>
      <c r="DD1014" s="41"/>
      <c r="DE1014" s="41">
        <v>1</v>
      </c>
      <c r="DF1014" s="41"/>
      <c r="DG1014" s="41"/>
      <c r="DH1014" s="41"/>
      <c r="DI1014" s="41"/>
      <c r="DJ1014" s="41"/>
      <c r="DK1014" s="41"/>
      <c r="DL1014" s="41"/>
      <c r="DM1014" s="41"/>
      <c r="DN1014" s="41"/>
      <c r="DO1014" s="41"/>
      <c r="DP1014" s="41"/>
      <c r="DQ1014" s="41"/>
      <c r="DR1014" s="41"/>
      <c r="DS1014" s="43"/>
      <c r="DT1014" s="44">
        <f t="shared" ref="DT1014" si="996">SUM(F1014:DR1014)</f>
        <v>1</v>
      </c>
    </row>
    <row r="1015" spans="2:124" s="13" customFormat="1">
      <c r="B1015" s="4">
        <f>'6.1Personnel List'!B1016</f>
        <v>1003</v>
      </c>
      <c r="C1015" s="45" t="s">
        <v>1228</v>
      </c>
      <c r="D1015" s="45" t="str">
        <f>'6.1Personnel List'!D1016</f>
        <v>Nurse I</v>
      </c>
      <c r="E1015" s="45" t="str">
        <f>'6.1Personnel List'!H1016</f>
        <v>FT</v>
      </c>
      <c r="G1015" s="41"/>
      <c r="H1015" s="41"/>
      <c r="I1015" s="41"/>
      <c r="J1015" s="41"/>
      <c r="K1015" s="41"/>
      <c r="L1015" s="41"/>
      <c r="M1015" s="41"/>
      <c r="N1015" s="41"/>
      <c r="O1015" s="41"/>
      <c r="P1015" s="41"/>
      <c r="Q1015" s="41"/>
      <c r="R1015" s="41"/>
      <c r="S1015" s="41"/>
      <c r="T1015" s="41"/>
      <c r="U1015" s="41"/>
      <c r="V1015" s="41"/>
      <c r="W1015" s="41"/>
      <c r="X1015" s="41"/>
      <c r="Y1015" s="41"/>
      <c r="Z1015" s="41"/>
      <c r="AA1015" s="41"/>
      <c r="AB1015" s="41"/>
      <c r="AC1015" s="41"/>
      <c r="AD1015" s="41"/>
      <c r="AE1015" s="41"/>
      <c r="AF1015" s="41"/>
      <c r="AG1015" s="41"/>
      <c r="AH1015" s="41"/>
      <c r="AI1015" s="41"/>
      <c r="AJ1015" s="41"/>
      <c r="AK1015" s="41"/>
      <c r="AL1015" s="41"/>
      <c r="AM1015" s="41"/>
      <c r="AN1015" s="41"/>
      <c r="AO1015" s="41"/>
      <c r="AP1015" s="41"/>
      <c r="AQ1015" s="41"/>
      <c r="AR1015" s="41"/>
      <c r="AS1015" s="41"/>
      <c r="AT1015" s="41"/>
      <c r="AU1015" s="41"/>
      <c r="AV1015" s="41"/>
      <c r="AW1015" s="41"/>
      <c r="AX1015" s="41"/>
      <c r="AY1015" s="41"/>
      <c r="AZ1015" s="41"/>
      <c r="BA1015" s="41"/>
      <c r="BB1015" s="41"/>
      <c r="BC1015" s="41"/>
      <c r="BD1015" s="41"/>
      <c r="BE1015" s="41"/>
      <c r="BF1015" s="41"/>
      <c r="BG1015" s="41"/>
      <c r="BH1015" s="41"/>
      <c r="BJ1015" s="41"/>
      <c r="BK1015" s="41"/>
      <c r="BL1015" s="41"/>
      <c r="BM1015" s="41"/>
      <c r="BN1015" s="41"/>
      <c r="BO1015" s="41"/>
      <c r="BP1015" s="41"/>
      <c r="BQ1015" s="41"/>
      <c r="BR1015" s="41"/>
      <c r="BS1015" s="41">
        <v>0.05</v>
      </c>
      <c r="BT1015" s="41"/>
      <c r="BU1015" s="41">
        <v>0.05</v>
      </c>
      <c r="BV1015" s="41">
        <v>0.05</v>
      </c>
      <c r="BW1015" s="41">
        <v>0.05</v>
      </c>
      <c r="BX1015" s="41"/>
      <c r="BY1015" s="41"/>
      <c r="BZ1015" s="41"/>
      <c r="CA1015" s="41"/>
      <c r="CB1015" s="41"/>
      <c r="CC1015" s="41"/>
      <c r="CD1015" s="41"/>
      <c r="CE1015" s="41">
        <v>0.05</v>
      </c>
      <c r="CF1015" s="41">
        <v>0.03</v>
      </c>
      <c r="CG1015" s="41">
        <v>0.02</v>
      </c>
      <c r="CH1015" s="41">
        <v>0.05</v>
      </c>
      <c r="CI1015" s="41">
        <v>0.05</v>
      </c>
      <c r="CJ1015" s="41"/>
      <c r="CK1015" s="41"/>
      <c r="CL1015" s="41"/>
      <c r="CM1015" s="41"/>
      <c r="CN1015" s="41"/>
      <c r="CO1015" s="41"/>
      <c r="CP1015" s="41"/>
      <c r="CQ1015" s="41"/>
      <c r="CR1015" s="41"/>
      <c r="CS1015" s="41"/>
      <c r="CT1015" s="41"/>
      <c r="CU1015" s="41"/>
      <c r="CV1015" s="41"/>
      <c r="CW1015" s="41"/>
      <c r="CX1015" s="41"/>
      <c r="CY1015" s="41"/>
      <c r="CZ1015" s="41"/>
      <c r="DA1015" s="41"/>
      <c r="DB1015" s="41"/>
      <c r="DC1015" s="41"/>
      <c r="DD1015" s="41"/>
      <c r="DE1015" s="41"/>
      <c r="DF1015" s="41"/>
      <c r="DG1015" s="41"/>
      <c r="DH1015" s="41"/>
      <c r="DI1015" s="41"/>
      <c r="DJ1015" s="41"/>
      <c r="DK1015" s="41">
        <v>0.6</v>
      </c>
      <c r="DL1015" s="41"/>
      <c r="DM1015" s="41"/>
      <c r="DN1015" s="41"/>
      <c r="DO1015" s="41"/>
      <c r="DP1015" s="41"/>
      <c r="DQ1015" s="41"/>
      <c r="DR1015" s="41"/>
      <c r="DS1015" s="43"/>
      <c r="DT1015" s="44">
        <f t="shared" ref="DT1015" si="997">SUM(F1015:DR1015)</f>
        <v>1</v>
      </c>
    </row>
    <row r="1016" spans="2:124" s="13" customFormat="1">
      <c r="B1016" s="4">
        <f>'6.1Personnel List'!B1017</f>
        <v>1004</v>
      </c>
      <c r="C1016" s="45" t="s">
        <v>1229</v>
      </c>
      <c r="D1016" s="45" t="str">
        <f>'6.1Personnel List'!D1017</f>
        <v>Nurse I</v>
      </c>
      <c r="E1016" s="45" t="str">
        <f>'6.1Personnel List'!H1017</f>
        <v>FT</v>
      </c>
      <c r="G1016" s="41"/>
      <c r="H1016" s="41"/>
      <c r="I1016" s="41"/>
      <c r="J1016" s="41"/>
      <c r="K1016" s="41"/>
      <c r="L1016" s="41"/>
      <c r="M1016" s="41"/>
      <c r="N1016" s="41"/>
      <c r="O1016" s="41"/>
      <c r="P1016" s="41"/>
      <c r="Q1016" s="41"/>
      <c r="R1016" s="41"/>
      <c r="S1016" s="41"/>
      <c r="T1016" s="41"/>
      <c r="U1016" s="41"/>
      <c r="V1016" s="41"/>
      <c r="W1016" s="41"/>
      <c r="X1016" s="41"/>
      <c r="Y1016" s="41"/>
      <c r="Z1016" s="41"/>
      <c r="AA1016" s="41"/>
      <c r="AB1016" s="41"/>
      <c r="AC1016" s="41"/>
      <c r="AD1016" s="41"/>
      <c r="AE1016" s="41"/>
      <c r="AF1016" s="41"/>
      <c r="AG1016" s="41"/>
      <c r="AH1016" s="41"/>
      <c r="AI1016" s="41"/>
      <c r="AJ1016" s="41"/>
      <c r="AK1016" s="41"/>
      <c r="AL1016" s="41"/>
      <c r="AM1016" s="41"/>
      <c r="AN1016" s="41"/>
      <c r="AO1016" s="41"/>
      <c r="AP1016" s="41"/>
      <c r="AQ1016" s="41"/>
      <c r="AR1016" s="41"/>
      <c r="AS1016" s="41"/>
      <c r="AT1016" s="41"/>
      <c r="AU1016" s="41"/>
      <c r="AV1016" s="41"/>
      <c r="AW1016" s="41"/>
      <c r="AX1016" s="41"/>
      <c r="AY1016" s="41"/>
      <c r="AZ1016" s="41"/>
      <c r="BA1016" s="41"/>
      <c r="BB1016" s="41"/>
      <c r="BC1016" s="41"/>
      <c r="BD1016" s="41"/>
      <c r="BE1016" s="41"/>
      <c r="BF1016" s="41"/>
      <c r="BG1016" s="41"/>
      <c r="BH1016" s="41"/>
      <c r="BJ1016" s="41"/>
      <c r="BK1016" s="41"/>
      <c r="BL1016" s="41"/>
      <c r="BM1016" s="41"/>
      <c r="BN1016" s="41"/>
      <c r="BO1016" s="41"/>
      <c r="BP1016" s="41"/>
      <c r="BQ1016" s="41"/>
      <c r="BR1016" s="41"/>
      <c r="BS1016" s="41">
        <v>0.05</v>
      </c>
      <c r="BT1016" s="41"/>
      <c r="BU1016" s="41"/>
      <c r="BV1016" s="41">
        <v>0.05</v>
      </c>
      <c r="BW1016" s="41">
        <v>0.05</v>
      </c>
      <c r="BX1016" s="41"/>
      <c r="BY1016" s="41"/>
      <c r="BZ1016" s="41"/>
      <c r="CA1016" s="41"/>
      <c r="CB1016" s="41"/>
      <c r="CC1016" s="41"/>
      <c r="CD1016" s="41"/>
      <c r="CE1016" s="41">
        <v>0.1</v>
      </c>
      <c r="CF1016" s="41">
        <v>0.05</v>
      </c>
      <c r="CG1016" s="41">
        <v>0.05</v>
      </c>
      <c r="CH1016" s="41">
        <v>0.05</v>
      </c>
      <c r="CI1016" s="41"/>
      <c r="CJ1016" s="41">
        <v>0.05</v>
      </c>
      <c r="CK1016" s="41"/>
      <c r="CL1016" s="41">
        <v>0.2</v>
      </c>
      <c r="CM1016" s="41"/>
      <c r="CN1016" s="41"/>
      <c r="CO1016" s="41"/>
      <c r="CP1016" s="41"/>
      <c r="CQ1016" s="41"/>
      <c r="CR1016" s="41"/>
      <c r="CS1016" s="41"/>
      <c r="CT1016" s="41"/>
      <c r="CU1016" s="41">
        <v>0.05</v>
      </c>
      <c r="CV1016" s="41"/>
      <c r="CW1016" s="41"/>
      <c r="CX1016" s="41"/>
      <c r="CY1016" s="41"/>
      <c r="CZ1016" s="41"/>
      <c r="DA1016" s="41"/>
      <c r="DB1016" s="41"/>
      <c r="DC1016" s="41"/>
      <c r="DD1016" s="41">
        <v>0.05</v>
      </c>
      <c r="DE1016" s="41"/>
      <c r="DF1016" s="41"/>
      <c r="DG1016" s="41"/>
      <c r="DH1016" s="41"/>
      <c r="DI1016" s="41"/>
      <c r="DJ1016" s="41"/>
      <c r="DK1016" s="41"/>
      <c r="DL1016" s="41"/>
      <c r="DM1016" s="41"/>
      <c r="DN1016" s="41"/>
      <c r="DO1016" s="41"/>
      <c r="DP1016" s="41">
        <v>0.25</v>
      </c>
      <c r="DQ1016" s="41"/>
      <c r="DR1016" s="41"/>
      <c r="DS1016" s="43"/>
      <c r="DT1016" s="44">
        <f t="shared" ref="DT1016" si="998">SUM(F1016:DR1016)</f>
        <v>1</v>
      </c>
    </row>
    <row r="1017" spans="2:124" s="13" customFormat="1">
      <c r="B1017" s="4">
        <f>'6.1Personnel List'!B1018</f>
        <v>1005</v>
      </c>
      <c r="C1017" s="45" t="s">
        <v>1230</v>
      </c>
      <c r="D1017" s="45" t="str">
        <f>'6.1Personnel List'!D1018</f>
        <v>Nurse I</v>
      </c>
      <c r="E1017" s="45" t="str">
        <f>'6.1Personnel List'!H1018</f>
        <v>FT</v>
      </c>
      <c r="G1017" s="41"/>
      <c r="H1017" s="41"/>
      <c r="I1017" s="41"/>
      <c r="J1017" s="41"/>
      <c r="K1017" s="41"/>
      <c r="L1017" s="41"/>
      <c r="M1017" s="41"/>
      <c r="N1017" s="41"/>
      <c r="O1017" s="41"/>
      <c r="P1017" s="41"/>
      <c r="Q1017" s="41"/>
      <c r="R1017" s="41"/>
      <c r="S1017" s="41"/>
      <c r="T1017" s="41"/>
      <c r="U1017" s="41"/>
      <c r="V1017" s="41"/>
      <c r="W1017" s="41"/>
      <c r="X1017" s="41"/>
      <c r="Y1017" s="41"/>
      <c r="Z1017" s="41"/>
      <c r="AA1017" s="41"/>
      <c r="AB1017" s="41"/>
      <c r="AC1017" s="41"/>
      <c r="AD1017" s="41"/>
      <c r="AE1017" s="41"/>
      <c r="AF1017" s="41"/>
      <c r="AG1017" s="41"/>
      <c r="AH1017" s="41"/>
      <c r="AI1017" s="41"/>
      <c r="AJ1017" s="41"/>
      <c r="AK1017" s="41"/>
      <c r="AL1017" s="41"/>
      <c r="AM1017" s="41"/>
      <c r="AN1017" s="41"/>
      <c r="AO1017" s="41"/>
      <c r="AP1017" s="41"/>
      <c r="AQ1017" s="41"/>
      <c r="AR1017" s="41"/>
      <c r="AS1017" s="41"/>
      <c r="AT1017" s="41"/>
      <c r="AU1017" s="41"/>
      <c r="AV1017" s="41"/>
      <c r="AW1017" s="41"/>
      <c r="AX1017" s="41"/>
      <c r="AY1017" s="41"/>
      <c r="AZ1017" s="41"/>
      <c r="BA1017" s="41"/>
      <c r="BB1017" s="41"/>
      <c r="BC1017" s="41"/>
      <c r="BD1017" s="41"/>
      <c r="BE1017" s="41"/>
      <c r="BF1017" s="41"/>
      <c r="BG1017" s="41"/>
      <c r="BH1017" s="41"/>
      <c r="BJ1017" s="41"/>
      <c r="BK1017" s="41"/>
      <c r="BL1017" s="41"/>
      <c r="BM1017" s="41"/>
      <c r="BN1017" s="41"/>
      <c r="BO1017" s="41"/>
      <c r="BP1017" s="41"/>
      <c r="BQ1017" s="41"/>
      <c r="BR1017" s="41"/>
      <c r="BS1017" s="41"/>
      <c r="BT1017" s="41"/>
      <c r="BU1017" s="41"/>
      <c r="BV1017" s="41"/>
      <c r="BW1017" s="41"/>
      <c r="BX1017" s="41"/>
      <c r="BY1017" s="41"/>
      <c r="BZ1017" s="41"/>
      <c r="CA1017" s="41"/>
      <c r="CB1017" s="41"/>
      <c r="CC1017" s="41"/>
      <c r="CD1017" s="41"/>
      <c r="CE1017" s="41"/>
      <c r="CF1017" s="41"/>
      <c r="CG1017" s="41"/>
      <c r="CH1017" s="41"/>
      <c r="CI1017" s="41"/>
      <c r="CJ1017" s="41"/>
      <c r="CK1017" s="41"/>
      <c r="CL1017" s="41"/>
      <c r="CM1017" s="41"/>
      <c r="CN1017" s="92">
        <v>0.25</v>
      </c>
      <c r="CO1017" s="41"/>
      <c r="CP1017" s="41"/>
      <c r="CQ1017" s="41"/>
      <c r="CR1017" s="41"/>
      <c r="CS1017" s="41"/>
      <c r="CT1017" s="41"/>
      <c r="CU1017" s="41"/>
      <c r="CV1017" s="41"/>
      <c r="CW1017" s="41"/>
      <c r="CX1017" s="41"/>
      <c r="CY1017" s="41"/>
      <c r="CZ1017" s="41"/>
      <c r="DA1017" s="41"/>
      <c r="DB1017" s="92">
        <v>0.25</v>
      </c>
      <c r="DC1017" s="92">
        <v>0.25</v>
      </c>
      <c r="DD1017" s="41"/>
      <c r="DE1017" s="41"/>
      <c r="DF1017" s="41"/>
      <c r="DG1017" s="41"/>
      <c r="DH1017" s="41"/>
      <c r="DI1017" s="41"/>
      <c r="DJ1017" s="92">
        <v>0.25</v>
      </c>
      <c r="DK1017" s="41"/>
      <c r="DL1017" s="41"/>
      <c r="DM1017" s="41"/>
      <c r="DN1017" s="41"/>
      <c r="DO1017" s="41"/>
      <c r="DP1017" s="41"/>
      <c r="DQ1017" s="41"/>
      <c r="DR1017" s="41"/>
      <c r="DS1017" s="43"/>
      <c r="DT1017" s="44">
        <f t="shared" ref="DT1017" si="999">SUM(F1017:DR1017)</f>
        <v>1</v>
      </c>
    </row>
    <row r="1018" spans="2:124" s="13" customFormat="1">
      <c r="B1018" s="4">
        <f>'6.1Personnel List'!B1019</f>
        <v>1006</v>
      </c>
      <c r="C1018" s="45" t="s">
        <v>1231</v>
      </c>
      <c r="D1018" s="45" t="str">
        <f>'6.1Personnel List'!D1019</f>
        <v>Nurse I</v>
      </c>
      <c r="E1018" s="45" t="str">
        <f>'6.1Personnel List'!H1019</f>
        <v>FT</v>
      </c>
      <c r="G1018" s="41"/>
      <c r="H1018" s="41"/>
      <c r="I1018" s="41"/>
      <c r="J1018" s="41"/>
      <c r="K1018" s="41"/>
      <c r="L1018" s="41"/>
      <c r="M1018" s="41"/>
      <c r="N1018" s="41"/>
      <c r="O1018" s="41"/>
      <c r="P1018" s="41"/>
      <c r="Q1018" s="41"/>
      <c r="R1018" s="41"/>
      <c r="S1018" s="41"/>
      <c r="T1018" s="41"/>
      <c r="U1018" s="41"/>
      <c r="V1018" s="41"/>
      <c r="W1018" s="41"/>
      <c r="X1018" s="41"/>
      <c r="Y1018" s="41"/>
      <c r="Z1018" s="41"/>
      <c r="AA1018" s="41"/>
      <c r="AB1018" s="41"/>
      <c r="AC1018" s="41"/>
      <c r="AD1018" s="41"/>
      <c r="AE1018" s="41"/>
      <c r="AF1018" s="41"/>
      <c r="AG1018" s="41"/>
      <c r="AH1018" s="41"/>
      <c r="AI1018" s="41"/>
      <c r="AJ1018" s="41"/>
      <c r="AK1018" s="41"/>
      <c r="AL1018" s="41"/>
      <c r="AM1018" s="41"/>
      <c r="AN1018" s="41"/>
      <c r="AO1018" s="41"/>
      <c r="AP1018" s="41"/>
      <c r="AQ1018" s="41"/>
      <c r="AR1018" s="41"/>
      <c r="AS1018" s="41"/>
      <c r="AT1018" s="41"/>
      <c r="AU1018" s="41"/>
      <c r="AV1018" s="41"/>
      <c r="AW1018" s="41"/>
      <c r="AX1018" s="41"/>
      <c r="AY1018" s="41"/>
      <c r="AZ1018" s="41"/>
      <c r="BA1018" s="41"/>
      <c r="BB1018" s="41"/>
      <c r="BC1018" s="41"/>
      <c r="BD1018" s="41"/>
      <c r="BE1018" s="41"/>
      <c r="BF1018" s="41"/>
      <c r="BG1018" s="41"/>
      <c r="BH1018" s="41"/>
      <c r="BJ1018" s="41"/>
      <c r="BK1018" s="41"/>
      <c r="BL1018" s="41"/>
      <c r="BM1018" s="41"/>
      <c r="BN1018" s="41"/>
      <c r="BO1018" s="41"/>
      <c r="BP1018" s="41"/>
      <c r="BQ1018" s="41"/>
      <c r="BR1018" s="41"/>
      <c r="BS1018" s="41"/>
      <c r="BT1018" s="41"/>
      <c r="BU1018" s="41"/>
      <c r="BV1018" s="41"/>
      <c r="BW1018" s="41"/>
      <c r="BX1018" s="41"/>
      <c r="BY1018" s="41"/>
      <c r="BZ1018" s="41"/>
      <c r="CA1018" s="41"/>
      <c r="CB1018" s="41">
        <v>0.01</v>
      </c>
      <c r="CC1018" s="41"/>
      <c r="CD1018" s="41"/>
      <c r="CE1018" s="41">
        <v>0.02</v>
      </c>
      <c r="CF1018" s="41">
        <v>0.02</v>
      </c>
      <c r="CG1018" s="41">
        <v>0.1</v>
      </c>
      <c r="CH1018" s="41">
        <v>0.1</v>
      </c>
      <c r="CI1018" s="41">
        <v>0.02</v>
      </c>
      <c r="CJ1018" s="41"/>
      <c r="CK1018" s="41">
        <v>0.01</v>
      </c>
      <c r="CL1018" s="41">
        <v>0.05</v>
      </c>
      <c r="CM1018" s="41"/>
      <c r="CN1018" s="41">
        <v>0.05</v>
      </c>
      <c r="CO1018" s="41">
        <v>0.05</v>
      </c>
      <c r="CP1018" s="41">
        <v>0.05</v>
      </c>
      <c r="CQ1018" s="41">
        <v>0.05</v>
      </c>
      <c r="CR1018" s="41">
        <v>0.02</v>
      </c>
      <c r="CS1018" s="41">
        <v>0.01</v>
      </c>
      <c r="CT1018" s="41"/>
      <c r="CU1018" s="41"/>
      <c r="CV1018" s="41">
        <v>0.02</v>
      </c>
      <c r="CW1018" s="41"/>
      <c r="CX1018" s="41"/>
      <c r="CY1018" s="41"/>
      <c r="CZ1018" s="41"/>
      <c r="DA1018" s="41"/>
      <c r="DB1018" s="41"/>
      <c r="DC1018" s="41"/>
      <c r="DD1018" s="41">
        <v>0.12</v>
      </c>
      <c r="DE1018" s="41"/>
      <c r="DF1018" s="41"/>
      <c r="DG1018" s="41"/>
      <c r="DH1018" s="41"/>
      <c r="DI1018" s="41"/>
      <c r="DJ1018" s="41">
        <v>0.05</v>
      </c>
      <c r="DK1018" s="41">
        <v>0.05</v>
      </c>
      <c r="DL1018" s="41">
        <v>0.05</v>
      </c>
      <c r="DM1018" s="41">
        <v>0.05</v>
      </c>
      <c r="DN1018" s="41"/>
      <c r="DO1018" s="41"/>
      <c r="DP1018" s="41">
        <v>0.05</v>
      </c>
      <c r="DQ1018" s="41"/>
      <c r="DR1018" s="41">
        <v>0.05</v>
      </c>
      <c r="DS1018" s="43"/>
      <c r="DT1018" s="44">
        <f t="shared" ref="DT1018" si="1000">SUM(F1018:DR1018)</f>
        <v>1.0000000000000002</v>
      </c>
    </row>
    <row r="1019" spans="2:124" s="13" customFormat="1">
      <c r="B1019" s="4">
        <f>'6.1Personnel List'!B1020</f>
        <v>1007</v>
      </c>
      <c r="C1019" s="45" t="s">
        <v>1232</v>
      </c>
      <c r="D1019" s="45" t="str">
        <f>'6.1Personnel List'!D1020</f>
        <v>Nurse I</v>
      </c>
      <c r="E1019" s="45" t="str">
        <f>'6.1Personnel List'!H1020</f>
        <v>FT</v>
      </c>
      <c r="G1019" s="41"/>
      <c r="H1019" s="41"/>
      <c r="I1019" s="41"/>
      <c r="J1019" s="41"/>
      <c r="K1019" s="41"/>
      <c r="L1019" s="41"/>
      <c r="M1019" s="41"/>
      <c r="N1019" s="41"/>
      <c r="O1019" s="41"/>
      <c r="P1019" s="41"/>
      <c r="Q1019" s="41"/>
      <c r="R1019" s="41"/>
      <c r="S1019" s="41"/>
      <c r="T1019" s="41"/>
      <c r="U1019" s="41"/>
      <c r="V1019" s="41"/>
      <c r="W1019" s="41"/>
      <c r="X1019" s="41"/>
      <c r="Y1019" s="41"/>
      <c r="Z1019" s="41"/>
      <c r="AA1019" s="41"/>
      <c r="AB1019" s="41"/>
      <c r="AC1019" s="41"/>
      <c r="AD1019" s="41"/>
      <c r="AE1019" s="41"/>
      <c r="AF1019" s="41"/>
      <c r="AG1019" s="41"/>
      <c r="AH1019" s="41"/>
      <c r="AI1019" s="41"/>
      <c r="AJ1019" s="41"/>
      <c r="AK1019" s="41"/>
      <c r="AL1019" s="41"/>
      <c r="AM1019" s="41"/>
      <c r="AN1019" s="41"/>
      <c r="AO1019" s="41"/>
      <c r="AP1019" s="41"/>
      <c r="AQ1019" s="41"/>
      <c r="AR1019" s="41"/>
      <c r="AS1019" s="41"/>
      <c r="AT1019" s="41"/>
      <c r="AU1019" s="41"/>
      <c r="AV1019" s="41"/>
      <c r="AW1019" s="41"/>
      <c r="AX1019" s="41"/>
      <c r="AY1019" s="41"/>
      <c r="AZ1019" s="41"/>
      <c r="BA1019" s="41"/>
      <c r="BB1019" s="41"/>
      <c r="BC1019" s="41"/>
      <c r="BD1019" s="41"/>
      <c r="BE1019" s="41"/>
      <c r="BF1019" s="41"/>
      <c r="BG1019" s="41"/>
      <c r="BH1019" s="41"/>
      <c r="BJ1019" s="41"/>
      <c r="BK1019" s="41"/>
      <c r="BL1019" s="41"/>
      <c r="BM1019" s="41"/>
      <c r="BN1019" s="41"/>
      <c r="BO1019" s="41"/>
      <c r="BP1019" s="41"/>
      <c r="BQ1019" s="41"/>
      <c r="BR1019" s="41"/>
      <c r="BS1019" s="41"/>
      <c r="BT1019" s="41"/>
      <c r="BU1019" s="41"/>
      <c r="BV1019" s="41"/>
      <c r="BW1019" s="41"/>
      <c r="BX1019" s="41"/>
      <c r="BY1019" s="41"/>
      <c r="BZ1019" s="41"/>
      <c r="CA1019" s="41"/>
      <c r="CB1019" s="41"/>
      <c r="CC1019" s="41"/>
      <c r="CD1019" s="41"/>
      <c r="CE1019" s="41"/>
      <c r="CF1019" s="41"/>
      <c r="CG1019" s="41"/>
      <c r="CH1019" s="41"/>
      <c r="CI1019" s="41"/>
      <c r="CJ1019" s="41"/>
      <c r="CK1019" s="41"/>
      <c r="CL1019" s="41"/>
      <c r="CM1019" s="41"/>
      <c r="CN1019" s="92">
        <v>0.25</v>
      </c>
      <c r="CO1019" s="41"/>
      <c r="CP1019" s="41"/>
      <c r="CQ1019" s="41"/>
      <c r="CR1019" s="41"/>
      <c r="CS1019" s="41"/>
      <c r="CT1019" s="41"/>
      <c r="CU1019" s="41"/>
      <c r="CV1019" s="41"/>
      <c r="CW1019" s="41"/>
      <c r="CX1019" s="41"/>
      <c r="CY1019" s="41"/>
      <c r="CZ1019" s="41"/>
      <c r="DA1019" s="41"/>
      <c r="DB1019" s="92">
        <v>0.25</v>
      </c>
      <c r="DC1019" s="92">
        <v>0.25</v>
      </c>
      <c r="DD1019" s="41"/>
      <c r="DE1019" s="41"/>
      <c r="DF1019" s="41"/>
      <c r="DG1019" s="41"/>
      <c r="DH1019" s="41"/>
      <c r="DI1019" s="41"/>
      <c r="DJ1019" s="92">
        <v>0.25</v>
      </c>
      <c r="DK1019" s="41"/>
      <c r="DL1019" s="41"/>
      <c r="DM1019" s="41"/>
      <c r="DN1019" s="41"/>
      <c r="DO1019" s="41"/>
      <c r="DP1019" s="41"/>
      <c r="DQ1019" s="41"/>
      <c r="DR1019" s="41"/>
      <c r="DS1019" s="43"/>
      <c r="DT1019" s="44">
        <f t="shared" ref="DT1019" si="1001">SUM(F1019:DR1019)</f>
        <v>1</v>
      </c>
    </row>
    <row r="1020" spans="2:124" s="13" customFormat="1">
      <c r="B1020" s="4">
        <f>'6.1Personnel List'!B1021</f>
        <v>1008</v>
      </c>
      <c r="C1020" s="45" t="s">
        <v>1233</v>
      </c>
      <c r="D1020" s="45" t="str">
        <f>'6.1Personnel List'!D1021</f>
        <v>Nurse I</v>
      </c>
      <c r="E1020" s="45" t="str">
        <f>'6.1Personnel List'!H1021</f>
        <v>FT</v>
      </c>
      <c r="G1020" s="41"/>
      <c r="H1020" s="41"/>
      <c r="I1020" s="41"/>
      <c r="J1020" s="41"/>
      <c r="K1020" s="41"/>
      <c r="L1020" s="41"/>
      <c r="M1020" s="41"/>
      <c r="N1020" s="41"/>
      <c r="O1020" s="41"/>
      <c r="P1020" s="41"/>
      <c r="Q1020" s="41"/>
      <c r="R1020" s="41"/>
      <c r="S1020" s="41"/>
      <c r="T1020" s="41"/>
      <c r="U1020" s="41"/>
      <c r="V1020" s="41"/>
      <c r="W1020" s="41"/>
      <c r="X1020" s="41"/>
      <c r="Y1020" s="41"/>
      <c r="Z1020" s="41"/>
      <c r="AA1020" s="41"/>
      <c r="AB1020" s="41"/>
      <c r="AC1020" s="41"/>
      <c r="AD1020" s="41"/>
      <c r="AE1020" s="41"/>
      <c r="AF1020" s="41"/>
      <c r="AG1020" s="41"/>
      <c r="AH1020" s="41"/>
      <c r="AI1020" s="41"/>
      <c r="AJ1020" s="41"/>
      <c r="AK1020" s="41"/>
      <c r="AL1020" s="41"/>
      <c r="AM1020" s="41"/>
      <c r="AN1020" s="41"/>
      <c r="AO1020" s="41"/>
      <c r="AP1020" s="41"/>
      <c r="AQ1020" s="41"/>
      <c r="AR1020" s="41"/>
      <c r="AS1020" s="41"/>
      <c r="AT1020" s="41"/>
      <c r="AU1020" s="41"/>
      <c r="AV1020" s="41"/>
      <c r="AW1020" s="41"/>
      <c r="AX1020" s="41"/>
      <c r="AY1020" s="41"/>
      <c r="AZ1020" s="41"/>
      <c r="BA1020" s="41"/>
      <c r="BB1020" s="41"/>
      <c r="BC1020" s="41"/>
      <c r="BD1020" s="41"/>
      <c r="BE1020" s="41"/>
      <c r="BF1020" s="41"/>
      <c r="BG1020" s="41"/>
      <c r="BH1020" s="41"/>
      <c r="BJ1020" s="41"/>
      <c r="BK1020" s="41"/>
      <c r="BL1020" s="41"/>
      <c r="BM1020" s="41"/>
      <c r="BN1020" s="41"/>
      <c r="BO1020" s="41"/>
      <c r="BP1020" s="41"/>
      <c r="BQ1020" s="41"/>
      <c r="BR1020" s="41"/>
      <c r="BS1020" s="41"/>
      <c r="BT1020" s="41"/>
      <c r="BU1020" s="41"/>
      <c r="BV1020" s="41"/>
      <c r="BW1020" s="41"/>
      <c r="BX1020" s="41"/>
      <c r="BY1020" s="41"/>
      <c r="BZ1020" s="41"/>
      <c r="CA1020" s="41"/>
      <c r="CB1020" s="41">
        <v>0.01</v>
      </c>
      <c r="CC1020" s="41"/>
      <c r="CD1020" s="41"/>
      <c r="CE1020" s="41">
        <v>0.02</v>
      </c>
      <c r="CF1020" s="41">
        <v>0.02</v>
      </c>
      <c r="CG1020" s="41">
        <v>0.1</v>
      </c>
      <c r="CH1020" s="41">
        <v>0.1</v>
      </c>
      <c r="CI1020" s="41">
        <v>0.02</v>
      </c>
      <c r="CJ1020" s="41"/>
      <c r="CK1020" s="41">
        <v>0.01</v>
      </c>
      <c r="CL1020" s="41">
        <v>0.05</v>
      </c>
      <c r="CM1020" s="41"/>
      <c r="CN1020" s="41">
        <v>0.05</v>
      </c>
      <c r="CO1020" s="41">
        <v>0.05</v>
      </c>
      <c r="CP1020" s="41">
        <v>0.05</v>
      </c>
      <c r="CQ1020" s="41">
        <v>0.05</v>
      </c>
      <c r="CR1020" s="41">
        <v>0.02</v>
      </c>
      <c r="CS1020" s="41">
        <v>0.01</v>
      </c>
      <c r="CT1020" s="41"/>
      <c r="CU1020" s="41"/>
      <c r="CV1020" s="41">
        <v>0.02</v>
      </c>
      <c r="CW1020" s="41"/>
      <c r="CX1020" s="41"/>
      <c r="CY1020" s="41"/>
      <c r="CZ1020" s="41"/>
      <c r="DA1020" s="41"/>
      <c r="DB1020" s="41"/>
      <c r="DC1020" s="41"/>
      <c r="DD1020" s="41">
        <v>0.12</v>
      </c>
      <c r="DE1020" s="41"/>
      <c r="DF1020" s="41"/>
      <c r="DG1020" s="41"/>
      <c r="DH1020" s="41"/>
      <c r="DI1020" s="41"/>
      <c r="DJ1020" s="41">
        <v>0.05</v>
      </c>
      <c r="DK1020" s="41">
        <v>0.05</v>
      </c>
      <c r="DL1020" s="41">
        <v>0.05</v>
      </c>
      <c r="DM1020" s="41">
        <v>0.05</v>
      </c>
      <c r="DN1020" s="41"/>
      <c r="DO1020" s="41"/>
      <c r="DP1020" s="41">
        <v>0.05</v>
      </c>
      <c r="DQ1020" s="41"/>
      <c r="DR1020" s="41">
        <v>0.05</v>
      </c>
      <c r="DS1020" s="43"/>
      <c r="DT1020" s="44">
        <f t="shared" ref="DT1020" si="1002">SUM(F1020:DR1020)</f>
        <v>1.0000000000000002</v>
      </c>
    </row>
    <row r="1021" spans="2:124" s="13" customFormat="1">
      <c r="B1021" s="4">
        <f>'6.1Personnel List'!B1022</f>
        <v>1009</v>
      </c>
      <c r="C1021" s="45" t="s">
        <v>1234</v>
      </c>
      <c r="D1021" s="45" t="str">
        <f>'6.1Personnel List'!D1022</f>
        <v>Nurse I</v>
      </c>
      <c r="E1021" s="45" t="str">
        <f>'6.1Personnel List'!H1022</f>
        <v>FT</v>
      </c>
      <c r="G1021" s="41"/>
      <c r="H1021" s="41"/>
      <c r="I1021" s="41"/>
      <c r="J1021" s="41"/>
      <c r="K1021" s="41"/>
      <c r="L1021" s="41"/>
      <c r="M1021" s="41"/>
      <c r="N1021" s="41"/>
      <c r="O1021" s="41"/>
      <c r="P1021" s="41"/>
      <c r="Q1021" s="41"/>
      <c r="R1021" s="41"/>
      <c r="S1021" s="41"/>
      <c r="T1021" s="41"/>
      <c r="U1021" s="41"/>
      <c r="V1021" s="41"/>
      <c r="W1021" s="41"/>
      <c r="X1021" s="41"/>
      <c r="Y1021" s="41"/>
      <c r="Z1021" s="41"/>
      <c r="AA1021" s="41"/>
      <c r="AB1021" s="41"/>
      <c r="AC1021" s="41"/>
      <c r="AD1021" s="41"/>
      <c r="AE1021" s="41"/>
      <c r="AF1021" s="41"/>
      <c r="AG1021" s="41"/>
      <c r="AH1021" s="41"/>
      <c r="AI1021" s="41"/>
      <c r="AJ1021" s="41"/>
      <c r="AK1021" s="41"/>
      <c r="AL1021" s="41"/>
      <c r="AM1021" s="41"/>
      <c r="AN1021" s="41"/>
      <c r="AO1021" s="41"/>
      <c r="AP1021" s="41"/>
      <c r="AQ1021" s="41"/>
      <c r="AR1021" s="41"/>
      <c r="AS1021" s="41"/>
      <c r="AT1021" s="41"/>
      <c r="AU1021" s="41"/>
      <c r="AV1021" s="41"/>
      <c r="AW1021" s="41"/>
      <c r="AX1021" s="41"/>
      <c r="AY1021" s="41"/>
      <c r="AZ1021" s="41"/>
      <c r="BA1021" s="41"/>
      <c r="BB1021" s="41"/>
      <c r="BC1021" s="41"/>
      <c r="BD1021" s="41"/>
      <c r="BE1021" s="41"/>
      <c r="BF1021" s="41"/>
      <c r="BG1021" s="41"/>
      <c r="BH1021" s="41"/>
      <c r="BJ1021" s="41"/>
      <c r="BK1021" s="41"/>
      <c r="BL1021" s="41"/>
      <c r="BM1021" s="41"/>
      <c r="BN1021" s="41"/>
      <c r="BO1021" s="41"/>
      <c r="BP1021" s="41"/>
      <c r="BQ1021" s="41"/>
      <c r="BR1021" s="41"/>
      <c r="BS1021" s="41">
        <v>0.05</v>
      </c>
      <c r="BT1021" s="41"/>
      <c r="BU1021" s="41">
        <v>0.05</v>
      </c>
      <c r="BV1021" s="41">
        <v>0.05</v>
      </c>
      <c r="BW1021" s="41">
        <v>0.05</v>
      </c>
      <c r="BX1021" s="41"/>
      <c r="BY1021" s="41"/>
      <c r="BZ1021" s="41"/>
      <c r="CA1021" s="41"/>
      <c r="CB1021" s="41"/>
      <c r="CC1021" s="41"/>
      <c r="CD1021" s="41"/>
      <c r="CE1021" s="41">
        <v>0.05</v>
      </c>
      <c r="CF1021" s="41">
        <v>0.03</v>
      </c>
      <c r="CG1021" s="41">
        <v>0.02</v>
      </c>
      <c r="CH1021" s="41">
        <v>0.05</v>
      </c>
      <c r="CI1021" s="41">
        <v>0.05</v>
      </c>
      <c r="CJ1021" s="41"/>
      <c r="CK1021" s="41"/>
      <c r="CL1021" s="41"/>
      <c r="CM1021" s="41"/>
      <c r="CN1021" s="41"/>
      <c r="CO1021" s="41"/>
      <c r="CP1021" s="41"/>
      <c r="CQ1021" s="41"/>
      <c r="CR1021" s="41"/>
      <c r="CS1021" s="41"/>
      <c r="CT1021" s="41"/>
      <c r="CU1021" s="41"/>
      <c r="CV1021" s="41"/>
      <c r="CW1021" s="41"/>
      <c r="CX1021" s="41"/>
      <c r="CY1021" s="41"/>
      <c r="CZ1021" s="41"/>
      <c r="DA1021" s="41"/>
      <c r="DB1021" s="41"/>
      <c r="DC1021" s="41"/>
      <c r="DD1021" s="41"/>
      <c r="DE1021" s="41"/>
      <c r="DF1021" s="41"/>
      <c r="DG1021" s="41"/>
      <c r="DH1021" s="41"/>
      <c r="DI1021" s="41"/>
      <c r="DJ1021" s="41"/>
      <c r="DK1021" s="41">
        <v>0.6</v>
      </c>
      <c r="DL1021" s="41"/>
      <c r="DM1021" s="41"/>
      <c r="DN1021" s="41"/>
      <c r="DO1021" s="41"/>
      <c r="DP1021" s="41"/>
      <c r="DQ1021" s="41"/>
      <c r="DR1021" s="41"/>
      <c r="DS1021" s="43"/>
      <c r="DT1021" s="44">
        <f t="shared" ref="DT1021" si="1003">SUM(F1021:DR1021)</f>
        <v>1</v>
      </c>
    </row>
    <row r="1022" spans="2:124" s="13" customFormat="1">
      <c r="B1022" s="4">
        <f>'6.1Personnel List'!B1023</f>
        <v>1010</v>
      </c>
      <c r="C1022" s="45" t="s">
        <v>1235</v>
      </c>
      <c r="D1022" s="45" t="str">
        <f>'6.1Personnel List'!D1023</f>
        <v>Nurse I</v>
      </c>
      <c r="E1022" s="45" t="str">
        <f>'6.1Personnel List'!H1023</f>
        <v>FT</v>
      </c>
      <c r="G1022" s="41"/>
      <c r="H1022" s="41"/>
      <c r="I1022" s="41"/>
      <c r="J1022" s="41"/>
      <c r="K1022" s="41"/>
      <c r="L1022" s="41"/>
      <c r="M1022" s="41"/>
      <c r="N1022" s="41"/>
      <c r="O1022" s="41"/>
      <c r="P1022" s="41"/>
      <c r="Q1022" s="41"/>
      <c r="R1022" s="41"/>
      <c r="S1022" s="41"/>
      <c r="T1022" s="41"/>
      <c r="U1022" s="41"/>
      <c r="V1022" s="41"/>
      <c r="W1022" s="41"/>
      <c r="X1022" s="41"/>
      <c r="Y1022" s="41"/>
      <c r="Z1022" s="41"/>
      <c r="AA1022" s="41"/>
      <c r="AB1022" s="41"/>
      <c r="AC1022" s="41"/>
      <c r="AD1022" s="41"/>
      <c r="AE1022" s="41"/>
      <c r="AF1022" s="41"/>
      <c r="AG1022" s="41"/>
      <c r="AH1022" s="41"/>
      <c r="AI1022" s="41"/>
      <c r="AJ1022" s="41"/>
      <c r="AK1022" s="41"/>
      <c r="AL1022" s="41"/>
      <c r="AM1022" s="41"/>
      <c r="AN1022" s="41"/>
      <c r="AO1022" s="41"/>
      <c r="AP1022" s="41"/>
      <c r="AQ1022" s="41"/>
      <c r="AR1022" s="41"/>
      <c r="AS1022" s="41"/>
      <c r="AT1022" s="41"/>
      <c r="AU1022" s="41"/>
      <c r="AV1022" s="41"/>
      <c r="AW1022" s="41"/>
      <c r="AX1022" s="41"/>
      <c r="AY1022" s="41"/>
      <c r="AZ1022" s="41"/>
      <c r="BA1022" s="41"/>
      <c r="BB1022" s="41"/>
      <c r="BC1022" s="41"/>
      <c r="BD1022" s="41"/>
      <c r="BE1022" s="41"/>
      <c r="BF1022" s="41"/>
      <c r="BG1022" s="41"/>
      <c r="BH1022" s="41"/>
      <c r="BJ1022" s="41"/>
      <c r="BK1022" s="41"/>
      <c r="BL1022" s="41"/>
      <c r="BM1022" s="41"/>
      <c r="BN1022" s="41"/>
      <c r="BO1022" s="41"/>
      <c r="BP1022" s="41"/>
      <c r="BQ1022" s="41"/>
      <c r="BR1022" s="41"/>
      <c r="BS1022" s="41"/>
      <c r="BT1022" s="41"/>
      <c r="BU1022" s="41"/>
      <c r="BV1022" s="41"/>
      <c r="BW1022" s="41"/>
      <c r="BX1022" s="41"/>
      <c r="BY1022" s="41"/>
      <c r="BZ1022" s="41"/>
      <c r="CA1022" s="41"/>
      <c r="CB1022" s="41">
        <v>0.01</v>
      </c>
      <c r="CC1022" s="41"/>
      <c r="CD1022" s="41"/>
      <c r="CE1022" s="41">
        <v>0.02</v>
      </c>
      <c r="CF1022" s="41">
        <v>0.02</v>
      </c>
      <c r="CG1022" s="41">
        <v>0.1</v>
      </c>
      <c r="CH1022" s="41">
        <v>0.1</v>
      </c>
      <c r="CI1022" s="41">
        <v>0.02</v>
      </c>
      <c r="CJ1022" s="41"/>
      <c r="CK1022" s="41">
        <v>0.01</v>
      </c>
      <c r="CL1022" s="41">
        <v>0.05</v>
      </c>
      <c r="CM1022" s="41"/>
      <c r="CN1022" s="41">
        <v>0.05</v>
      </c>
      <c r="CO1022" s="41">
        <v>0.05</v>
      </c>
      <c r="CP1022" s="41">
        <v>0.05</v>
      </c>
      <c r="CQ1022" s="41">
        <v>0.05</v>
      </c>
      <c r="CR1022" s="41">
        <v>0.02</v>
      </c>
      <c r="CS1022" s="41">
        <v>0.01</v>
      </c>
      <c r="CT1022" s="41"/>
      <c r="CU1022" s="41"/>
      <c r="CV1022" s="41">
        <v>0.02</v>
      </c>
      <c r="CW1022" s="41"/>
      <c r="CX1022" s="41"/>
      <c r="CY1022" s="41"/>
      <c r="CZ1022" s="41"/>
      <c r="DA1022" s="41"/>
      <c r="DB1022" s="41"/>
      <c r="DC1022" s="41"/>
      <c r="DD1022" s="41">
        <v>0.12</v>
      </c>
      <c r="DE1022" s="41"/>
      <c r="DF1022" s="41"/>
      <c r="DG1022" s="41"/>
      <c r="DH1022" s="41"/>
      <c r="DI1022" s="41"/>
      <c r="DJ1022" s="41">
        <v>0.05</v>
      </c>
      <c r="DK1022" s="41">
        <v>0.05</v>
      </c>
      <c r="DL1022" s="41">
        <v>0.05</v>
      </c>
      <c r="DM1022" s="41">
        <v>0.05</v>
      </c>
      <c r="DN1022" s="41"/>
      <c r="DO1022" s="41"/>
      <c r="DP1022" s="41">
        <v>0.05</v>
      </c>
      <c r="DQ1022" s="41"/>
      <c r="DR1022" s="41">
        <v>0.05</v>
      </c>
      <c r="DS1022" s="43"/>
      <c r="DT1022" s="44">
        <f t="shared" ref="DT1022" si="1004">SUM(F1022:DR1022)</f>
        <v>1.0000000000000002</v>
      </c>
    </row>
    <row r="1023" spans="2:124" s="13" customFormat="1">
      <c r="B1023" s="4">
        <f>'6.1Personnel List'!B1024</f>
        <v>1011</v>
      </c>
      <c r="C1023" s="45" t="s">
        <v>1236</v>
      </c>
      <c r="D1023" s="45" t="str">
        <f>'6.1Personnel List'!D1024</f>
        <v>Nurse I</v>
      </c>
      <c r="E1023" s="45" t="str">
        <f>'6.1Personnel List'!H1024</f>
        <v>FT</v>
      </c>
      <c r="G1023" s="41"/>
      <c r="H1023" s="41"/>
      <c r="I1023" s="41"/>
      <c r="J1023" s="41"/>
      <c r="K1023" s="41"/>
      <c r="L1023" s="41"/>
      <c r="M1023" s="41"/>
      <c r="N1023" s="41"/>
      <c r="O1023" s="41"/>
      <c r="P1023" s="41"/>
      <c r="Q1023" s="41"/>
      <c r="R1023" s="41"/>
      <c r="S1023" s="41"/>
      <c r="T1023" s="41"/>
      <c r="U1023" s="41"/>
      <c r="V1023" s="41"/>
      <c r="W1023" s="41"/>
      <c r="X1023" s="41"/>
      <c r="Y1023" s="41"/>
      <c r="Z1023" s="41"/>
      <c r="AA1023" s="41"/>
      <c r="AB1023" s="41"/>
      <c r="AC1023" s="41"/>
      <c r="AD1023" s="41"/>
      <c r="AE1023" s="41"/>
      <c r="AF1023" s="41"/>
      <c r="AG1023" s="41"/>
      <c r="AH1023" s="41"/>
      <c r="AI1023" s="41"/>
      <c r="AJ1023" s="41"/>
      <c r="AK1023" s="41"/>
      <c r="AL1023" s="41"/>
      <c r="AM1023" s="41"/>
      <c r="AN1023" s="41"/>
      <c r="AO1023" s="41"/>
      <c r="AP1023" s="41"/>
      <c r="AQ1023" s="41"/>
      <c r="AR1023" s="41"/>
      <c r="AS1023" s="41"/>
      <c r="AT1023" s="41"/>
      <c r="AU1023" s="41"/>
      <c r="AV1023" s="41"/>
      <c r="AW1023" s="41"/>
      <c r="AX1023" s="41"/>
      <c r="AY1023" s="41"/>
      <c r="AZ1023" s="41"/>
      <c r="BA1023" s="41"/>
      <c r="BB1023" s="41"/>
      <c r="BC1023" s="41"/>
      <c r="BD1023" s="41"/>
      <c r="BE1023" s="41"/>
      <c r="BF1023" s="41"/>
      <c r="BG1023" s="41"/>
      <c r="BH1023" s="41"/>
      <c r="BJ1023" s="41"/>
      <c r="BK1023" s="41"/>
      <c r="BL1023" s="41"/>
      <c r="BM1023" s="41"/>
      <c r="BN1023" s="41"/>
      <c r="BO1023" s="41"/>
      <c r="BP1023" s="41"/>
      <c r="BQ1023" s="41"/>
      <c r="BR1023" s="41"/>
      <c r="BS1023" s="41">
        <v>0.05</v>
      </c>
      <c r="BT1023" s="41"/>
      <c r="BU1023" s="41"/>
      <c r="BV1023" s="41">
        <v>0.05</v>
      </c>
      <c r="BW1023" s="41">
        <v>0.05</v>
      </c>
      <c r="BX1023" s="41"/>
      <c r="BY1023" s="41"/>
      <c r="BZ1023" s="41"/>
      <c r="CA1023" s="41"/>
      <c r="CB1023" s="41"/>
      <c r="CC1023" s="41"/>
      <c r="CD1023" s="41"/>
      <c r="CE1023" s="41">
        <v>0.1</v>
      </c>
      <c r="CF1023" s="41">
        <v>0.05</v>
      </c>
      <c r="CG1023" s="41">
        <v>0.05</v>
      </c>
      <c r="CH1023" s="41">
        <v>0.05</v>
      </c>
      <c r="CI1023" s="41"/>
      <c r="CJ1023" s="41">
        <v>0.05</v>
      </c>
      <c r="CK1023" s="41"/>
      <c r="CL1023" s="41">
        <v>0.2</v>
      </c>
      <c r="CM1023" s="41"/>
      <c r="CN1023" s="41"/>
      <c r="CO1023" s="41"/>
      <c r="CP1023" s="41"/>
      <c r="CQ1023" s="41"/>
      <c r="CR1023" s="41"/>
      <c r="CS1023" s="41"/>
      <c r="CT1023" s="41"/>
      <c r="CU1023" s="41">
        <v>0.05</v>
      </c>
      <c r="CV1023" s="41"/>
      <c r="CW1023" s="41"/>
      <c r="CX1023" s="41"/>
      <c r="CY1023" s="41"/>
      <c r="CZ1023" s="41"/>
      <c r="DA1023" s="41"/>
      <c r="DB1023" s="41"/>
      <c r="DC1023" s="41"/>
      <c r="DD1023" s="41">
        <v>0.05</v>
      </c>
      <c r="DE1023" s="41"/>
      <c r="DF1023" s="41"/>
      <c r="DG1023" s="41"/>
      <c r="DH1023" s="41"/>
      <c r="DI1023" s="41"/>
      <c r="DJ1023" s="41"/>
      <c r="DK1023" s="41"/>
      <c r="DL1023" s="41">
        <v>0.25</v>
      </c>
      <c r="DM1023" s="41"/>
      <c r="DN1023" s="41"/>
      <c r="DO1023" s="41"/>
      <c r="DP1023" s="41"/>
      <c r="DQ1023" s="41"/>
      <c r="DR1023" s="41"/>
      <c r="DS1023" s="43"/>
      <c r="DT1023" s="44">
        <f t="shared" ref="DT1023" si="1005">SUM(F1023:DR1023)</f>
        <v>1</v>
      </c>
    </row>
    <row r="1024" spans="2:124" s="13" customFormat="1">
      <c r="B1024" s="4">
        <f>'6.1Personnel List'!B1025</f>
        <v>1012</v>
      </c>
      <c r="C1024" s="45" t="s">
        <v>1237</v>
      </c>
      <c r="D1024" s="45" t="str">
        <f>'6.1Personnel List'!D1025</f>
        <v>Nurse I</v>
      </c>
      <c r="E1024" s="45" t="str">
        <f>'6.1Personnel List'!H1025</f>
        <v>FT</v>
      </c>
      <c r="G1024" s="41"/>
      <c r="H1024" s="41"/>
      <c r="I1024" s="41"/>
      <c r="J1024" s="41"/>
      <c r="K1024" s="41"/>
      <c r="L1024" s="41"/>
      <c r="M1024" s="41"/>
      <c r="N1024" s="41"/>
      <c r="O1024" s="41"/>
      <c r="P1024" s="41"/>
      <c r="Q1024" s="41"/>
      <c r="R1024" s="41"/>
      <c r="S1024" s="41"/>
      <c r="T1024" s="41"/>
      <c r="U1024" s="41"/>
      <c r="V1024" s="41"/>
      <c r="W1024" s="41"/>
      <c r="X1024" s="41"/>
      <c r="Y1024" s="41"/>
      <c r="Z1024" s="41"/>
      <c r="AA1024" s="41"/>
      <c r="AB1024" s="41"/>
      <c r="AC1024" s="41"/>
      <c r="AD1024" s="41"/>
      <c r="AE1024" s="41"/>
      <c r="AF1024" s="41"/>
      <c r="AG1024" s="41"/>
      <c r="AH1024" s="41"/>
      <c r="AI1024" s="41"/>
      <c r="AJ1024" s="41"/>
      <c r="AK1024" s="41"/>
      <c r="AL1024" s="41"/>
      <c r="AM1024" s="41"/>
      <c r="AN1024" s="41"/>
      <c r="AO1024" s="41"/>
      <c r="AP1024" s="41"/>
      <c r="AQ1024" s="41"/>
      <c r="AR1024" s="41"/>
      <c r="AS1024" s="41"/>
      <c r="AT1024" s="41"/>
      <c r="AU1024" s="41"/>
      <c r="AV1024" s="41"/>
      <c r="AW1024" s="41"/>
      <c r="AX1024" s="41"/>
      <c r="AY1024" s="41"/>
      <c r="AZ1024" s="41"/>
      <c r="BA1024" s="41"/>
      <c r="BB1024" s="41"/>
      <c r="BC1024" s="41"/>
      <c r="BD1024" s="41"/>
      <c r="BE1024" s="41"/>
      <c r="BF1024" s="41"/>
      <c r="BG1024" s="41"/>
      <c r="BH1024" s="41"/>
      <c r="BJ1024" s="41"/>
      <c r="BK1024" s="41"/>
      <c r="BL1024" s="41"/>
      <c r="BM1024" s="41"/>
      <c r="BN1024" s="41"/>
      <c r="BO1024" s="41"/>
      <c r="BP1024" s="41"/>
      <c r="BQ1024" s="41"/>
      <c r="BR1024" s="41"/>
      <c r="BS1024" s="41"/>
      <c r="BT1024" s="41"/>
      <c r="BU1024" s="41"/>
      <c r="BV1024" s="41"/>
      <c r="BW1024" s="41"/>
      <c r="BX1024" s="41"/>
      <c r="BY1024" s="41"/>
      <c r="BZ1024" s="41"/>
      <c r="CA1024" s="41"/>
      <c r="CB1024" s="41">
        <v>0.01</v>
      </c>
      <c r="CC1024" s="41"/>
      <c r="CD1024" s="41"/>
      <c r="CE1024" s="41">
        <v>0.02</v>
      </c>
      <c r="CF1024" s="41">
        <v>0.02</v>
      </c>
      <c r="CG1024" s="41">
        <v>0.1</v>
      </c>
      <c r="CH1024" s="41">
        <v>0.1</v>
      </c>
      <c r="CI1024" s="41">
        <v>0.02</v>
      </c>
      <c r="CJ1024" s="41"/>
      <c r="CK1024" s="41">
        <v>0.01</v>
      </c>
      <c r="CL1024" s="41">
        <v>0.05</v>
      </c>
      <c r="CM1024" s="41"/>
      <c r="CN1024" s="41">
        <v>0.05</v>
      </c>
      <c r="CO1024" s="41">
        <v>0.05</v>
      </c>
      <c r="CP1024" s="41">
        <v>0.05</v>
      </c>
      <c r="CQ1024" s="41">
        <v>0.05</v>
      </c>
      <c r="CR1024" s="41">
        <v>0.02</v>
      </c>
      <c r="CS1024" s="41">
        <v>0.01</v>
      </c>
      <c r="CT1024" s="41"/>
      <c r="CU1024" s="41"/>
      <c r="CV1024" s="41">
        <v>0.02</v>
      </c>
      <c r="CW1024" s="41"/>
      <c r="CX1024" s="41"/>
      <c r="CY1024" s="41"/>
      <c r="CZ1024" s="41"/>
      <c r="DA1024" s="41"/>
      <c r="DB1024" s="41"/>
      <c r="DC1024" s="41"/>
      <c r="DD1024" s="41">
        <v>0.12</v>
      </c>
      <c r="DE1024" s="41"/>
      <c r="DF1024" s="41"/>
      <c r="DG1024" s="41"/>
      <c r="DH1024" s="41"/>
      <c r="DI1024" s="41"/>
      <c r="DJ1024" s="41">
        <v>0.05</v>
      </c>
      <c r="DK1024" s="41">
        <v>0.05</v>
      </c>
      <c r="DL1024" s="41">
        <v>0.05</v>
      </c>
      <c r="DM1024" s="41">
        <v>0.05</v>
      </c>
      <c r="DN1024" s="41"/>
      <c r="DO1024" s="41"/>
      <c r="DP1024" s="41">
        <v>0.05</v>
      </c>
      <c r="DQ1024" s="41"/>
      <c r="DR1024" s="41">
        <v>0.05</v>
      </c>
      <c r="DS1024" s="43"/>
      <c r="DT1024" s="44">
        <f t="shared" ref="DT1024" si="1006">SUM(F1024:DR1024)</f>
        <v>1.0000000000000002</v>
      </c>
    </row>
    <row r="1025" spans="2:124" s="13" customFormat="1">
      <c r="B1025" s="4">
        <f>'6.1Personnel List'!B1026</f>
        <v>1013</v>
      </c>
      <c r="C1025" s="45" t="s">
        <v>1238</v>
      </c>
      <c r="D1025" s="45" t="str">
        <f>'6.1Personnel List'!D1026</f>
        <v>Nurse I</v>
      </c>
      <c r="E1025" s="45" t="str">
        <f>'6.1Personnel List'!H1026</f>
        <v>FT</v>
      </c>
      <c r="G1025" s="41"/>
      <c r="H1025" s="41"/>
      <c r="I1025" s="41"/>
      <c r="J1025" s="41"/>
      <c r="K1025" s="41"/>
      <c r="L1025" s="41"/>
      <c r="M1025" s="41"/>
      <c r="N1025" s="41"/>
      <c r="O1025" s="41"/>
      <c r="P1025" s="41"/>
      <c r="Q1025" s="41"/>
      <c r="R1025" s="41"/>
      <c r="S1025" s="41"/>
      <c r="T1025" s="41"/>
      <c r="U1025" s="41"/>
      <c r="V1025" s="41"/>
      <c r="W1025" s="41"/>
      <c r="X1025" s="41"/>
      <c r="Y1025" s="41"/>
      <c r="Z1025" s="41"/>
      <c r="AA1025" s="41"/>
      <c r="AB1025" s="41"/>
      <c r="AC1025" s="41"/>
      <c r="AD1025" s="41"/>
      <c r="AE1025" s="41"/>
      <c r="AF1025" s="41"/>
      <c r="AG1025" s="41"/>
      <c r="AH1025" s="41"/>
      <c r="AI1025" s="41"/>
      <c r="AJ1025" s="41"/>
      <c r="AK1025" s="41"/>
      <c r="AL1025" s="41"/>
      <c r="AM1025" s="41"/>
      <c r="AN1025" s="41"/>
      <c r="AO1025" s="41"/>
      <c r="AP1025" s="41"/>
      <c r="AQ1025" s="41"/>
      <c r="AR1025" s="41"/>
      <c r="AS1025" s="41"/>
      <c r="AT1025" s="41"/>
      <c r="AU1025" s="41"/>
      <c r="AV1025" s="41"/>
      <c r="AW1025" s="41"/>
      <c r="AX1025" s="41"/>
      <c r="AY1025" s="41"/>
      <c r="AZ1025" s="41"/>
      <c r="BA1025" s="41"/>
      <c r="BB1025" s="41"/>
      <c r="BC1025" s="41"/>
      <c r="BD1025" s="41"/>
      <c r="BE1025" s="41"/>
      <c r="BF1025" s="41"/>
      <c r="BG1025" s="41"/>
      <c r="BH1025" s="41"/>
      <c r="BJ1025" s="41"/>
      <c r="BK1025" s="94"/>
      <c r="BL1025" s="94"/>
      <c r="BM1025" s="94"/>
      <c r="BN1025" s="94"/>
      <c r="BO1025" s="94"/>
      <c r="BP1025" s="94"/>
      <c r="BQ1025" s="94"/>
      <c r="BR1025" s="94"/>
      <c r="BS1025" s="94"/>
      <c r="BT1025" s="94"/>
      <c r="BU1025" s="94"/>
      <c r="BV1025" s="94"/>
      <c r="BW1025" s="94"/>
      <c r="BX1025" s="94"/>
      <c r="BY1025" s="94"/>
      <c r="BZ1025" s="94"/>
      <c r="CA1025" s="94"/>
      <c r="CB1025" s="94"/>
      <c r="CC1025" s="94"/>
      <c r="CD1025" s="94"/>
      <c r="CE1025" s="94"/>
      <c r="CF1025" s="94"/>
      <c r="CG1025" s="94"/>
      <c r="CH1025" s="94"/>
      <c r="CI1025" s="94"/>
      <c r="CJ1025" s="94"/>
      <c r="CK1025" s="94"/>
      <c r="CL1025" s="94"/>
      <c r="CM1025" s="94"/>
      <c r="CN1025" s="94"/>
      <c r="CO1025" s="94"/>
      <c r="CP1025" s="94"/>
      <c r="CQ1025" s="94"/>
      <c r="CR1025" s="94"/>
      <c r="CS1025" s="94"/>
      <c r="CT1025" s="94"/>
      <c r="CU1025" s="94">
        <v>1</v>
      </c>
      <c r="CV1025" s="94"/>
      <c r="CW1025" s="94"/>
      <c r="CX1025" s="94"/>
      <c r="CY1025" s="94"/>
      <c r="CZ1025" s="94"/>
      <c r="DA1025" s="94"/>
      <c r="DB1025" s="94"/>
      <c r="DC1025" s="94"/>
      <c r="DD1025" s="94"/>
      <c r="DE1025" s="94"/>
      <c r="DF1025" s="94"/>
      <c r="DG1025" s="94"/>
      <c r="DH1025" s="94"/>
      <c r="DI1025" s="94"/>
      <c r="DJ1025" s="94"/>
      <c r="DK1025" s="41"/>
      <c r="DL1025" s="41"/>
      <c r="DM1025" s="41"/>
      <c r="DN1025" s="41"/>
      <c r="DO1025" s="41"/>
      <c r="DP1025" s="41"/>
      <c r="DQ1025" s="41"/>
      <c r="DR1025" s="41"/>
      <c r="DS1025" s="43"/>
      <c r="DT1025" s="44">
        <f t="shared" ref="DT1025" si="1007">SUM(F1025:DR1025)</f>
        <v>1</v>
      </c>
    </row>
    <row r="1026" spans="2:124" s="13" customFormat="1">
      <c r="B1026" s="4">
        <f>'6.1Personnel List'!B1027</f>
        <v>1014</v>
      </c>
      <c r="C1026" s="45" t="s">
        <v>1239</v>
      </c>
      <c r="D1026" s="45" t="str">
        <f>'6.1Personnel List'!D1027</f>
        <v>Nurse I</v>
      </c>
      <c r="E1026" s="45" t="str">
        <f>'6.1Personnel List'!H1027</f>
        <v>FT</v>
      </c>
      <c r="G1026" s="41"/>
      <c r="H1026" s="41"/>
      <c r="I1026" s="41"/>
      <c r="J1026" s="41"/>
      <c r="K1026" s="41"/>
      <c r="L1026" s="41"/>
      <c r="M1026" s="41"/>
      <c r="N1026" s="41"/>
      <c r="O1026" s="41"/>
      <c r="P1026" s="41"/>
      <c r="Q1026" s="41"/>
      <c r="R1026" s="41"/>
      <c r="S1026" s="41"/>
      <c r="T1026" s="41"/>
      <c r="U1026" s="41"/>
      <c r="V1026" s="41"/>
      <c r="W1026" s="41"/>
      <c r="X1026" s="41"/>
      <c r="Y1026" s="41"/>
      <c r="Z1026" s="41"/>
      <c r="AA1026" s="41"/>
      <c r="AB1026" s="41"/>
      <c r="AC1026" s="41"/>
      <c r="AD1026" s="41"/>
      <c r="AE1026" s="41"/>
      <c r="AF1026" s="41"/>
      <c r="AG1026" s="41"/>
      <c r="AH1026" s="41"/>
      <c r="AI1026" s="41"/>
      <c r="AJ1026" s="41"/>
      <c r="AK1026" s="41"/>
      <c r="AL1026" s="41"/>
      <c r="AM1026" s="41"/>
      <c r="AN1026" s="41"/>
      <c r="AO1026" s="41"/>
      <c r="AP1026" s="41"/>
      <c r="AQ1026" s="41"/>
      <c r="AR1026" s="41"/>
      <c r="AS1026" s="41"/>
      <c r="AT1026" s="41"/>
      <c r="AU1026" s="41"/>
      <c r="AV1026" s="41"/>
      <c r="AW1026" s="41"/>
      <c r="AX1026" s="41"/>
      <c r="AY1026" s="41"/>
      <c r="AZ1026" s="41"/>
      <c r="BA1026" s="41"/>
      <c r="BB1026" s="41"/>
      <c r="BC1026" s="41"/>
      <c r="BD1026" s="41"/>
      <c r="BE1026" s="41"/>
      <c r="BF1026" s="41"/>
      <c r="BG1026" s="41"/>
      <c r="BH1026" s="41"/>
      <c r="BJ1026" s="41"/>
      <c r="BK1026" s="41"/>
      <c r="BL1026" s="41"/>
      <c r="BM1026" s="41"/>
      <c r="BN1026" s="41"/>
      <c r="BO1026" s="41"/>
      <c r="BP1026" s="41"/>
      <c r="BQ1026" s="41"/>
      <c r="BR1026" s="41"/>
      <c r="BS1026" s="41"/>
      <c r="BT1026" s="41"/>
      <c r="BU1026" s="41"/>
      <c r="BV1026" s="41"/>
      <c r="BW1026" s="41"/>
      <c r="BX1026" s="41"/>
      <c r="BY1026" s="41"/>
      <c r="BZ1026" s="41"/>
      <c r="CA1026" s="41"/>
      <c r="CB1026" s="41"/>
      <c r="CC1026" s="41"/>
      <c r="CD1026" s="41"/>
      <c r="CE1026" s="41"/>
      <c r="CF1026" s="41"/>
      <c r="CG1026" s="41"/>
      <c r="CH1026" s="41"/>
      <c r="CI1026" s="41"/>
      <c r="CJ1026" s="41"/>
      <c r="CK1026" s="41"/>
      <c r="CL1026" s="41"/>
      <c r="CM1026" s="41"/>
      <c r="CN1026" s="92">
        <v>0.25</v>
      </c>
      <c r="CO1026" s="41"/>
      <c r="CP1026" s="41"/>
      <c r="CQ1026" s="41"/>
      <c r="CR1026" s="41"/>
      <c r="CS1026" s="41"/>
      <c r="CT1026" s="41"/>
      <c r="CU1026" s="41"/>
      <c r="CV1026" s="41"/>
      <c r="CW1026" s="41"/>
      <c r="CX1026" s="41"/>
      <c r="CY1026" s="41"/>
      <c r="CZ1026" s="41"/>
      <c r="DA1026" s="41"/>
      <c r="DB1026" s="92">
        <v>0.25</v>
      </c>
      <c r="DC1026" s="92">
        <v>0.25</v>
      </c>
      <c r="DD1026" s="41"/>
      <c r="DE1026" s="41"/>
      <c r="DF1026" s="41"/>
      <c r="DG1026" s="41"/>
      <c r="DH1026" s="41"/>
      <c r="DI1026" s="41"/>
      <c r="DJ1026" s="92">
        <v>0.25</v>
      </c>
      <c r="DK1026" s="41"/>
      <c r="DL1026" s="41"/>
      <c r="DM1026" s="41"/>
      <c r="DN1026" s="41"/>
      <c r="DO1026" s="41"/>
      <c r="DP1026" s="41"/>
      <c r="DQ1026" s="41"/>
      <c r="DR1026" s="41"/>
      <c r="DS1026" s="43"/>
      <c r="DT1026" s="44">
        <f t="shared" ref="DT1026" si="1008">SUM(F1026:DR1026)</f>
        <v>1</v>
      </c>
    </row>
    <row r="1027" spans="2:124" s="13" customFormat="1">
      <c r="B1027" s="4">
        <f>'6.1Personnel List'!B1028</f>
        <v>1015</v>
      </c>
      <c r="C1027" s="45" t="s">
        <v>1240</v>
      </c>
      <c r="D1027" s="45" t="str">
        <f>'6.1Personnel List'!D1028</f>
        <v>Nurse I</v>
      </c>
      <c r="E1027" s="45" t="str">
        <f>'6.1Personnel List'!H1028</f>
        <v>FT</v>
      </c>
      <c r="G1027" s="41"/>
      <c r="H1027" s="41"/>
      <c r="I1027" s="41"/>
      <c r="J1027" s="41"/>
      <c r="K1027" s="41"/>
      <c r="L1027" s="41"/>
      <c r="M1027" s="41"/>
      <c r="N1027" s="41"/>
      <c r="O1027" s="41"/>
      <c r="P1027" s="41"/>
      <c r="Q1027" s="41"/>
      <c r="R1027" s="41"/>
      <c r="S1027" s="41"/>
      <c r="T1027" s="41"/>
      <c r="U1027" s="41"/>
      <c r="V1027" s="41"/>
      <c r="W1027" s="41"/>
      <c r="X1027" s="41"/>
      <c r="Y1027" s="41"/>
      <c r="Z1027" s="41"/>
      <c r="AA1027" s="41"/>
      <c r="AB1027" s="41"/>
      <c r="AC1027" s="41"/>
      <c r="AD1027" s="41"/>
      <c r="AE1027" s="41"/>
      <c r="AF1027" s="41"/>
      <c r="AG1027" s="41"/>
      <c r="AH1027" s="41"/>
      <c r="AI1027" s="41"/>
      <c r="AJ1027" s="41"/>
      <c r="AK1027" s="41"/>
      <c r="AL1027" s="41"/>
      <c r="AM1027" s="41"/>
      <c r="AN1027" s="41"/>
      <c r="AO1027" s="41"/>
      <c r="AP1027" s="41"/>
      <c r="AQ1027" s="41"/>
      <c r="AR1027" s="41"/>
      <c r="AS1027" s="41"/>
      <c r="AT1027" s="41"/>
      <c r="AU1027" s="41"/>
      <c r="AV1027" s="41"/>
      <c r="AW1027" s="41"/>
      <c r="AX1027" s="41"/>
      <c r="AY1027" s="41"/>
      <c r="AZ1027" s="41"/>
      <c r="BA1027" s="41"/>
      <c r="BB1027" s="41"/>
      <c r="BC1027" s="41"/>
      <c r="BD1027" s="41"/>
      <c r="BE1027" s="41"/>
      <c r="BF1027" s="41"/>
      <c r="BG1027" s="41"/>
      <c r="BH1027" s="41"/>
      <c r="BJ1027" s="41"/>
      <c r="BK1027" s="41"/>
      <c r="BL1027" s="41"/>
      <c r="BM1027" s="41"/>
      <c r="BN1027" s="41"/>
      <c r="BO1027" s="41"/>
      <c r="BP1027" s="41"/>
      <c r="BQ1027" s="41"/>
      <c r="BR1027" s="41"/>
      <c r="BS1027" s="41">
        <v>0.05</v>
      </c>
      <c r="BT1027" s="41"/>
      <c r="BU1027" s="41">
        <v>0.05</v>
      </c>
      <c r="BV1027" s="41">
        <v>0.05</v>
      </c>
      <c r="BW1027" s="41">
        <v>0.05</v>
      </c>
      <c r="BX1027" s="41"/>
      <c r="BY1027" s="41"/>
      <c r="BZ1027" s="41"/>
      <c r="CA1027" s="41"/>
      <c r="CB1027" s="41"/>
      <c r="CC1027" s="41"/>
      <c r="CD1027" s="41"/>
      <c r="CE1027" s="41">
        <v>0.05</v>
      </c>
      <c r="CF1027" s="41">
        <v>0.03</v>
      </c>
      <c r="CG1027" s="41">
        <v>0.02</v>
      </c>
      <c r="CH1027" s="41">
        <v>0.05</v>
      </c>
      <c r="CI1027" s="41">
        <v>0.05</v>
      </c>
      <c r="CJ1027" s="41"/>
      <c r="CK1027" s="41"/>
      <c r="CL1027" s="41"/>
      <c r="CM1027" s="41"/>
      <c r="CN1027" s="41"/>
      <c r="CO1027" s="41"/>
      <c r="CP1027" s="41"/>
      <c r="CQ1027" s="41">
        <v>0.3</v>
      </c>
      <c r="CR1027" s="41"/>
      <c r="CS1027" s="41"/>
      <c r="CT1027" s="41"/>
      <c r="CU1027" s="41"/>
      <c r="CV1027" s="41"/>
      <c r="CW1027" s="41"/>
      <c r="CX1027" s="41"/>
      <c r="CY1027" s="41"/>
      <c r="CZ1027" s="41"/>
      <c r="DA1027" s="41"/>
      <c r="DB1027" s="41"/>
      <c r="DC1027" s="41"/>
      <c r="DD1027" s="41"/>
      <c r="DE1027" s="41"/>
      <c r="DF1027" s="41"/>
      <c r="DG1027" s="41"/>
      <c r="DH1027" s="41"/>
      <c r="DI1027" s="41"/>
      <c r="DJ1027" s="41"/>
      <c r="DK1027" s="41">
        <v>0.3</v>
      </c>
      <c r="DL1027" s="41"/>
      <c r="DM1027" s="41"/>
      <c r="DN1027" s="41"/>
      <c r="DO1027" s="41"/>
      <c r="DP1027" s="41"/>
      <c r="DQ1027" s="41"/>
      <c r="DR1027" s="41"/>
      <c r="DS1027" s="43"/>
      <c r="DT1027" s="44">
        <f t="shared" ref="DT1027" si="1009">SUM(F1027:DR1027)</f>
        <v>1</v>
      </c>
    </row>
    <row r="1028" spans="2:124" s="13" customFormat="1">
      <c r="B1028" s="4">
        <f>'6.1Personnel List'!B1029</f>
        <v>1016</v>
      </c>
      <c r="C1028" s="45" t="s">
        <v>1241</v>
      </c>
      <c r="D1028" s="45" t="str">
        <f>'6.1Personnel List'!D1029</f>
        <v>Nurse I</v>
      </c>
      <c r="E1028" s="45" t="str">
        <f>'6.1Personnel List'!H1029</f>
        <v>FT</v>
      </c>
      <c r="G1028" s="41"/>
      <c r="H1028" s="41"/>
      <c r="I1028" s="41"/>
      <c r="J1028" s="41"/>
      <c r="K1028" s="41"/>
      <c r="L1028" s="41"/>
      <c r="M1028" s="41"/>
      <c r="N1028" s="41"/>
      <c r="O1028" s="41"/>
      <c r="P1028" s="41"/>
      <c r="Q1028" s="41"/>
      <c r="R1028" s="41"/>
      <c r="S1028" s="41"/>
      <c r="T1028" s="41"/>
      <c r="U1028" s="41"/>
      <c r="V1028" s="41"/>
      <c r="W1028" s="41"/>
      <c r="X1028" s="41"/>
      <c r="Y1028" s="41"/>
      <c r="Z1028" s="41"/>
      <c r="AA1028" s="41"/>
      <c r="AB1028" s="41"/>
      <c r="AC1028" s="41"/>
      <c r="AD1028" s="41"/>
      <c r="AE1028" s="41"/>
      <c r="AF1028" s="41"/>
      <c r="AG1028" s="41"/>
      <c r="AH1028" s="41"/>
      <c r="AI1028" s="41"/>
      <c r="AJ1028" s="41"/>
      <c r="AK1028" s="41"/>
      <c r="AL1028" s="41"/>
      <c r="AM1028" s="41"/>
      <c r="AN1028" s="41"/>
      <c r="AO1028" s="41"/>
      <c r="AP1028" s="41"/>
      <c r="AQ1028" s="41"/>
      <c r="AR1028" s="41"/>
      <c r="AS1028" s="41"/>
      <c r="AT1028" s="41"/>
      <c r="AU1028" s="41"/>
      <c r="AV1028" s="41"/>
      <c r="AW1028" s="41"/>
      <c r="AX1028" s="41"/>
      <c r="AY1028" s="41"/>
      <c r="AZ1028" s="41"/>
      <c r="BA1028" s="41"/>
      <c r="BB1028" s="41"/>
      <c r="BC1028" s="41"/>
      <c r="BD1028" s="41"/>
      <c r="BE1028" s="41"/>
      <c r="BF1028" s="41"/>
      <c r="BG1028" s="41"/>
      <c r="BH1028" s="41"/>
      <c r="BJ1028" s="41"/>
      <c r="BK1028" s="41"/>
      <c r="BL1028" s="41"/>
      <c r="BM1028" s="41"/>
      <c r="BN1028" s="41"/>
      <c r="BO1028" s="41"/>
      <c r="BP1028" s="41"/>
      <c r="BQ1028" s="41"/>
      <c r="BR1028" s="41"/>
      <c r="BS1028" s="41"/>
      <c r="BT1028" s="41"/>
      <c r="BU1028" s="41"/>
      <c r="BV1028" s="41"/>
      <c r="BW1028" s="41"/>
      <c r="BX1028" s="41"/>
      <c r="BY1028" s="41"/>
      <c r="BZ1028" s="41"/>
      <c r="CA1028" s="41"/>
      <c r="CB1028" s="41"/>
      <c r="CC1028" s="41"/>
      <c r="CD1028" s="41"/>
      <c r="CE1028" s="41"/>
      <c r="CF1028" s="41"/>
      <c r="CG1028" s="41"/>
      <c r="CH1028" s="41"/>
      <c r="CI1028" s="41"/>
      <c r="CJ1028" s="41"/>
      <c r="CK1028" s="41"/>
      <c r="CL1028" s="41"/>
      <c r="CM1028" s="41"/>
      <c r="CN1028" s="92">
        <v>0.25</v>
      </c>
      <c r="CO1028" s="41"/>
      <c r="CP1028" s="41"/>
      <c r="CQ1028" s="41"/>
      <c r="CR1028" s="41"/>
      <c r="CS1028" s="41"/>
      <c r="CT1028" s="41"/>
      <c r="CU1028" s="41"/>
      <c r="CV1028" s="41"/>
      <c r="CW1028" s="41"/>
      <c r="CX1028" s="41"/>
      <c r="CY1028" s="41"/>
      <c r="CZ1028" s="41"/>
      <c r="DA1028" s="41"/>
      <c r="DB1028" s="92">
        <v>0.25</v>
      </c>
      <c r="DC1028" s="92">
        <v>0.25</v>
      </c>
      <c r="DD1028" s="41"/>
      <c r="DE1028" s="41"/>
      <c r="DF1028" s="41"/>
      <c r="DG1028" s="41"/>
      <c r="DH1028" s="41"/>
      <c r="DI1028" s="41"/>
      <c r="DJ1028" s="92">
        <v>0.25</v>
      </c>
      <c r="DK1028" s="41"/>
      <c r="DL1028" s="41"/>
      <c r="DM1028" s="41"/>
      <c r="DN1028" s="41"/>
      <c r="DO1028" s="41"/>
      <c r="DP1028" s="41"/>
      <c r="DQ1028" s="41"/>
      <c r="DR1028" s="41"/>
      <c r="DS1028" s="43"/>
      <c r="DT1028" s="44">
        <f t="shared" ref="DT1028" si="1010">SUM(F1028:DR1028)</f>
        <v>1</v>
      </c>
    </row>
    <row r="1029" spans="2:124" s="13" customFormat="1">
      <c r="B1029" s="4">
        <f>'6.1Personnel List'!B1030</f>
        <v>1017</v>
      </c>
      <c r="C1029" s="45" t="s">
        <v>1242</v>
      </c>
      <c r="D1029" s="45" t="str">
        <f>'6.1Personnel List'!D1030</f>
        <v>Nurse I</v>
      </c>
      <c r="E1029" s="45" t="str">
        <f>'6.1Personnel List'!H1030</f>
        <v>FT</v>
      </c>
      <c r="G1029" s="41"/>
      <c r="H1029" s="41"/>
      <c r="I1029" s="41"/>
      <c r="J1029" s="41"/>
      <c r="K1029" s="41"/>
      <c r="L1029" s="41"/>
      <c r="M1029" s="41"/>
      <c r="N1029" s="41"/>
      <c r="O1029" s="41"/>
      <c r="P1029" s="41"/>
      <c r="Q1029" s="41"/>
      <c r="R1029" s="41"/>
      <c r="S1029" s="41"/>
      <c r="T1029" s="41"/>
      <c r="U1029" s="41"/>
      <c r="V1029" s="41"/>
      <c r="W1029" s="41"/>
      <c r="X1029" s="41"/>
      <c r="Y1029" s="41"/>
      <c r="Z1029" s="41"/>
      <c r="AA1029" s="41"/>
      <c r="AB1029" s="41"/>
      <c r="AC1029" s="41"/>
      <c r="AD1029" s="41"/>
      <c r="AE1029" s="41"/>
      <c r="AF1029" s="41"/>
      <c r="AG1029" s="41"/>
      <c r="AH1029" s="41"/>
      <c r="AI1029" s="41"/>
      <c r="AJ1029" s="41"/>
      <c r="AK1029" s="41"/>
      <c r="AL1029" s="41"/>
      <c r="AM1029" s="41"/>
      <c r="AN1029" s="41"/>
      <c r="AO1029" s="41"/>
      <c r="AP1029" s="41"/>
      <c r="AQ1029" s="41"/>
      <c r="AR1029" s="41"/>
      <c r="AS1029" s="41"/>
      <c r="AT1029" s="41"/>
      <c r="AU1029" s="41"/>
      <c r="AV1029" s="41"/>
      <c r="AW1029" s="41"/>
      <c r="AX1029" s="41"/>
      <c r="AY1029" s="41"/>
      <c r="AZ1029" s="41"/>
      <c r="BA1029" s="41"/>
      <c r="BB1029" s="41"/>
      <c r="BC1029" s="41"/>
      <c r="BD1029" s="41"/>
      <c r="BE1029" s="41"/>
      <c r="BF1029" s="41"/>
      <c r="BG1029" s="41"/>
      <c r="BH1029" s="41"/>
      <c r="BJ1029" s="41"/>
      <c r="BK1029" s="41"/>
      <c r="BL1029" s="41"/>
      <c r="BM1029" s="41"/>
      <c r="BN1029" s="41"/>
      <c r="BO1029" s="41"/>
      <c r="BP1029" s="41"/>
      <c r="BQ1029" s="41"/>
      <c r="BR1029" s="41"/>
      <c r="BS1029" s="41">
        <v>0.05</v>
      </c>
      <c r="BT1029" s="41"/>
      <c r="BU1029" s="41"/>
      <c r="BV1029" s="41">
        <v>0.05</v>
      </c>
      <c r="BW1029" s="41">
        <v>0.05</v>
      </c>
      <c r="BX1029" s="41"/>
      <c r="BY1029" s="41"/>
      <c r="BZ1029" s="41"/>
      <c r="CA1029" s="41"/>
      <c r="CB1029" s="41"/>
      <c r="CC1029" s="41"/>
      <c r="CD1029" s="41"/>
      <c r="CE1029" s="41">
        <v>0.1</v>
      </c>
      <c r="CF1029" s="41">
        <v>0.05</v>
      </c>
      <c r="CG1029" s="41">
        <v>0.05</v>
      </c>
      <c r="CH1029" s="41">
        <v>0.05</v>
      </c>
      <c r="CI1029" s="41"/>
      <c r="CJ1029" s="41">
        <v>0.05</v>
      </c>
      <c r="CK1029" s="41"/>
      <c r="CL1029" s="41">
        <v>0.2</v>
      </c>
      <c r="CM1029" s="41"/>
      <c r="CN1029" s="41"/>
      <c r="CO1029" s="41"/>
      <c r="CP1029" s="41"/>
      <c r="CQ1029" s="41"/>
      <c r="CR1029" s="41"/>
      <c r="CS1029" s="41"/>
      <c r="CT1029" s="41"/>
      <c r="CU1029" s="41">
        <v>0.05</v>
      </c>
      <c r="CV1029" s="41"/>
      <c r="CW1029" s="41"/>
      <c r="CX1029" s="41"/>
      <c r="CY1029" s="41"/>
      <c r="CZ1029" s="41"/>
      <c r="DA1029" s="41"/>
      <c r="DB1029" s="41"/>
      <c r="DC1029" s="41"/>
      <c r="DD1029" s="41">
        <v>0.05</v>
      </c>
      <c r="DE1029" s="41"/>
      <c r="DF1029" s="41"/>
      <c r="DG1029" s="41"/>
      <c r="DH1029" s="41"/>
      <c r="DI1029" s="41"/>
      <c r="DJ1029" s="41"/>
      <c r="DK1029" s="41"/>
      <c r="DL1029" s="41"/>
      <c r="DM1029" s="41"/>
      <c r="DN1029" s="41"/>
      <c r="DO1029" s="41"/>
      <c r="DP1029" s="41">
        <v>0.25</v>
      </c>
      <c r="DQ1029" s="41"/>
      <c r="DR1029" s="41"/>
      <c r="DS1029" s="43"/>
      <c r="DT1029" s="44">
        <f t="shared" ref="DT1029" si="1011">SUM(F1029:DR1029)</f>
        <v>1</v>
      </c>
    </row>
    <row r="1030" spans="2:124" s="13" customFormat="1">
      <c r="B1030" s="4">
        <f>'6.1Personnel List'!B1031</f>
        <v>1018</v>
      </c>
      <c r="C1030" s="45" t="s">
        <v>1243</v>
      </c>
      <c r="D1030" s="45" t="str">
        <f>'6.1Personnel List'!D1031</f>
        <v>Nurse I</v>
      </c>
      <c r="E1030" s="45" t="str">
        <f>'6.1Personnel List'!H1031</f>
        <v>FT</v>
      </c>
      <c r="G1030" s="41"/>
      <c r="H1030" s="41"/>
      <c r="I1030" s="41"/>
      <c r="J1030" s="41"/>
      <c r="K1030" s="41"/>
      <c r="L1030" s="41"/>
      <c r="M1030" s="41"/>
      <c r="N1030" s="41"/>
      <c r="O1030" s="41"/>
      <c r="P1030" s="41"/>
      <c r="Q1030" s="41"/>
      <c r="R1030" s="41"/>
      <c r="S1030" s="41"/>
      <c r="T1030" s="41"/>
      <c r="U1030" s="41"/>
      <c r="V1030" s="41"/>
      <c r="W1030" s="41"/>
      <c r="X1030" s="41"/>
      <c r="Y1030" s="41"/>
      <c r="Z1030" s="41"/>
      <c r="AA1030" s="41"/>
      <c r="AB1030" s="41"/>
      <c r="AC1030" s="41"/>
      <c r="AD1030" s="41"/>
      <c r="AE1030" s="41"/>
      <c r="AF1030" s="41"/>
      <c r="AG1030" s="41"/>
      <c r="AH1030" s="41"/>
      <c r="AI1030" s="41"/>
      <c r="AJ1030" s="41"/>
      <c r="AK1030" s="41"/>
      <c r="AL1030" s="41"/>
      <c r="AM1030" s="41"/>
      <c r="AN1030" s="41"/>
      <c r="AO1030" s="41"/>
      <c r="AP1030" s="41"/>
      <c r="AQ1030" s="41"/>
      <c r="AR1030" s="41"/>
      <c r="AS1030" s="41"/>
      <c r="AT1030" s="41"/>
      <c r="AU1030" s="41"/>
      <c r="AV1030" s="41"/>
      <c r="AW1030" s="41"/>
      <c r="AX1030" s="41"/>
      <c r="AY1030" s="41"/>
      <c r="AZ1030" s="41"/>
      <c r="BA1030" s="41"/>
      <c r="BB1030" s="41"/>
      <c r="BC1030" s="41"/>
      <c r="BD1030" s="41"/>
      <c r="BE1030" s="41"/>
      <c r="BF1030" s="41"/>
      <c r="BG1030" s="41"/>
      <c r="BH1030" s="41"/>
      <c r="BJ1030" s="41"/>
      <c r="BK1030" s="41"/>
      <c r="BL1030" s="41"/>
      <c r="BM1030" s="41"/>
      <c r="BN1030" s="41"/>
      <c r="BO1030" s="41"/>
      <c r="BP1030" s="41"/>
      <c r="BQ1030" s="41"/>
      <c r="BR1030" s="41"/>
      <c r="BS1030" s="41"/>
      <c r="BT1030" s="41"/>
      <c r="BU1030" s="41"/>
      <c r="BV1030" s="41"/>
      <c r="BW1030" s="41"/>
      <c r="BX1030" s="41"/>
      <c r="BY1030" s="41"/>
      <c r="BZ1030" s="41"/>
      <c r="CA1030" s="41"/>
      <c r="CB1030" s="41"/>
      <c r="CC1030" s="41"/>
      <c r="CD1030" s="41"/>
      <c r="CE1030" s="41"/>
      <c r="CF1030" s="41"/>
      <c r="CG1030" s="41"/>
      <c r="CH1030" s="41"/>
      <c r="CI1030" s="41"/>
      <c r="CJ1030" s="41"/>
      <c r="CK1030" s="41"/>
      <c r="CL1030" s="41"/>
      <c r="CM1030" s="41"/>
      <c r="CN1030" s="92">
        <v>0.25</v>
      </c>
      <c r="CO1030" s="41"/>
      <c r="CP1030" s="41"/>
      <c r="CQ1030" s="41"/>
      <c r="CR1030" s="41"/>
      <c r="CS1030" s="41"/>
      <c r="CT1030" s="41"/>
      <c r="CU1030" s="41"/>
      <c r="CV1030" s="41"/>
      <c r="CW1030" s="41"/>
      <c r="CX1030" s="41"/>
      <c r="CY1030" s="41"/>
      <c r="CZ1030" s="41"/>
      <c r="DA1030" s="41"/>
      <c r="DB1030" s="92">
        <v>0.25</v>
      </c>
      <c r="DC1030" s="92">
        <v>0.25</v>
      </c>
      <c r="DD1030" s="41"/>
      <c r="DE1030" s="41"/>
      <c r="DF1030" s="41"/>
      <c r="DG1030" s="41"/>
      <c r="DH1030" s="41"/>
      <c r="DI1030" s="41"/>
      <c r="DJ1030" s="92">
        <v>0.25</v>
      </c>
      <c r="DK1030" s="41"/>
      <c r="DL1030" s="41"/>
      <c r="DM1030" s="41"/>
      <c r="DN1030" s="41"/>
      <c r="DO1030" s="41"/>
      <c r="DP1030" s="41"/>
      <c r="DQ1030" s="41"/>
      <c r="DR1030" s="41"/>
      <c r="DS1030" s="43"/>
      <c r="DT1030" s="44">
        <f t="shared" ref="DT1030" si="1012">SUM(F1030:DR1030)</f>
        <v>1</v>
      </c>
    </row>
    <row r="1031" spans="2:124" s="13" customFormat="1">
      <c r="B1031" s="4">
        <f>'6.1Personnel List'!B1032</f>
        <v>1019</v>
      </c>
      <c r="C1031" s="45" t="s">
        <v>1244</v>
      </c>
      <c r="D1031" s="45" t="str">
        <f>'6.1Personnel List'!D1032</f>
        <v>Nurse I</v>
      </c>
      <c r="E1031" s="45" t="str">
        <f>'6.1Personnel List'!H1032</f>
        <v>FT</v>
      </c>
      <c r="G1031" s="41"/>
      <c r="H1031" s="41"/>
      <c r="I1031" s="41"/>
      <c r="J1031" s="41"/>
      <c r="K1031" s="41"/>
      <c r="L1031" s="41"/>
      <c r="M1031" s="41"/>
      <c r="N1031" s="41"/>
      <c r="O1031" s="41"/>
      <c r="P1031" s="41"/>
      <c r="Q1031" s="41"/>
      <c r="R1031" s="41"/>
      <c r="S1031" s="41"/>
      <c r="T1031" s="41"/>
      <c r="U1031" s="41"/>
      <c r="V1031" s="41"/>
      <c r="W1031" s="41"/>
      <c r="X1031" s="41"/>
      <c r="Y1031" s="41"/>
      <c r="Z1031" s="41"/>
      <c r="AA1031" s="41"/>
      <c r="AB1031" s="41"/>
      <c r="AC1031" s="41"/>
      <c r="AD1031" s="41"/>
      <c r="AE1031" s="41"/>
      <c r="AF1031" s="41"/>
      <c r="AG1031" s="41"/>
      <c r="AH1031" s="41"/>
      <c r="AI1031" s="41"/>
      <c r="AJ1031" s="41"/>
      <c r="AK1031" s="41"/>
      <c r="AL1031" s="41"/>
      <c r="AM1031" s="41"/>
      <c r="AN1031" s="41"/>
      <c r="AO1031" s="41"/>
      <c r="AP1031" s="41"/>
      <c r="AQ1031" s="41"/>
      <c r="AR1031" s="41"/>
      <c r="AS1031" s="41"/>
      <c r="AT1031" s="41"/>
      <c r="AU1031" s="41"/>
      <c r="AV1031" s="41"/>
      <c r="AW1031" s="41"/>
      <c r="AX1031" s="41"/>
      <c r="AY1031" s="41"/>
      <c r="AZ1031" s="41"/>
      <c r="BA1031" s="41"/>
      <c r="BB1031" s="41"/>
      <c r="BC1031" s="41"/>
      <c r="BD1031" s="41"/>
      <c r="BE1031" s="41"/>
      <c r="BF1031" s="41"/>
      <c r="BG1031" s="41"/>
      <c r="BH1031" s="41"/>
      <c r="BJ1031" s="41"/>
      <c r="BK1031" s="94"/>
      <c r="BL1031" s="94"/>
      <c r="BM1031" s="94"/>
      <c r="BN1031" s="94"/>
      <c r="BO1031" s="94"/>
      <c r="BP1031" s="94"/>
      <c r="BQ1031" s="94"/>
      <c r="BR1031" s="94"/>
      <c r="BS1031" s="94"/>
      <c r="BT1031" s="94"/>
      <c r="BU1031" s="94"/>
      <c r="BV1031" s="94"/>
      <c r="BW1031" s="94"/>
      <c r="BX1031" s="94"/>
      <c r="BY1031" s="94"/>
      <c r="BZ1031" s="94"/>
      <c r="CA1031" s="94"/>
      <c r="CB1031" s="94"/>
      <c r="CC1031" s="94"/>
      <c r="CD1031" s="94"/>
      <c r="CE1031" s="94"/>
      <c r="CF1031" s="94"/>
      <c r="CG1031" s="94"/>
      <c r="CH1031" s="94"/>
      <c r="CI1031" s="94"/>
      <c r="CJ1031" s="94"/>
      <c r="CK1031" s="94"/>
      <c r="CL1031" s="94"/>
      <c r="CM1031" s="94"/>
      <c r="CN1031" s="94"/>
      <c r="CO1031" s="94"/>
      <c r="CP1031" s="94"/>
      <c r="CQ1031" s="94"/>
      <c r="CR1031" s="94"/>
      <c r="CS1031" s="94"/>
      <c r="CT1031" s="94">
        <v>1</v>
      </c>
      <c r="CU1031" s="94"/>
      <c r="CV1031" s="94"/>
      <c r="CW1031" s="94"/>
      <c r="CX1031" s="94"/>
      <c r="CY1031" s="94"/>
      <c r="CZ1031" s="94"/>
      <c r="DA1031" s="94"/>
      <c r="DB1031" s="94"/>
      <c r="DC1031" s="94"/>
      <c r="DD1031" s="94"/>
      <c r="DE1031" s="94"/>
      <c r="DF1031" s="94"/>
      <c r="DG1031" s="94"/>
      <c r="DH1031" s="94"/>
      <c r="DI1031" s="94"/>
      <c r="DJ1031" s="94"/>
      <c r="DK1031" s="41"/>
      <c r="DL1031" s="41"/>
      <c r="DM1031" s="41"/>
      <c r="DN1031" s="41"/>
      <c r="DO1031" s="41"/>
      <c r="DP1031" s="41"/>
      <c r="DQ1031" s="41"/>
      <c r="DR1031" s="41"/>
      <c r="DS1031" s="43"/>
      <c r="DT1031" s="44">
        <f t="shared" ref="DT1031" si="1013">SUM(F1031:DR1031)</f>
        <v>1</v>
      </c>
    </row>
    <row r="1032" spans="2:124" s="13" customFormat="1">
      <c r="B1032" s="4">
        <f>'6.1Personnel List'!B1033</f>
        <v>1020</v>
      </c>
      <c r="C1032" s="45" t="s">
        <v>1245</v>
      </c>
      <c r="D1032" s="45" t="str">
        <f>'6.1Personnel List'!D1033</f>
        <v>Nurse I</v>
      </c>
      <c r="E1032" s="45" t="str">
        <f>'6.1Personnel List'!H1033</f>
        <v>FT</v>
      </c>
      <c r="G1032" s="41"/>
      <c r="H1032" s="41"/>
      <c r="I1032" s="41"/>
      <c r="J1032" s="41"/>
      <c r="K1032" s="41"/>
      <c r="L1032" s="41"/>
      <c r="M1032" s="41"/>
      <c r="N1032" s="41"/>
      <c r="O1032" s="41"/>
      <c r="P1032" s="41"/>
      <c r="Q1032" s="41"/>
      <c r="R1032" s="41"/>
      <c r="S1032" s="41"/>
      <c r="T1032" s="41"/>
      <c r="U1032" s="41"/>
      <c r="V1032" s="41"/>
      <c r="W1032" s="41"/>
      <c r="X1032" s="41"/>
      <c r="Y1032" s="41"/>
      <c r="Z1032" s="41"/>
      <c r="AA1032" s="41"/>
      <c r="AB1032" s="41"/>
      <c r="AC1032" s="41"/>
      <c r="AD1032" s="41"/>
      <c r="AE1032" s="41"/>
      <c r="AF1032" s="41"/>
      <c r="AG1032" s="41"/>
      <c r="AH1032" s="41"/>
      <c r="AI1032" s="41"/>
      <c r="AJ1032" s="41"/>
      <c r="AK1032" s="41"/>
      <c r="AL1032" s="41"/>
      <c r="AM1032" s="41"/>
      <c r="AN1032" s="41"/>
      <c r="AO1032" s="41"/>
      <c r="AP1032" s="41"/>
      <c r="AQ1032" s="41"/>
      <c r="AR1032" s="41"/>
      <c r="AS1032" s="41"/>
      <c r="AT1032" s="41"/>
      <c r="AU1032" s="41"/>
      <c r="AV1032" s="41"/>
      <c r="AW1032" s="41"/>
      <c r="AX1032" s="41"/>
      <c r="AY1032" s="41"/>
      <c r="AZ1032" s="41"/>
      <c r="BA1032" s="41"/>
      <c r="BB1032" s="41"/>
      <c r="BC1032" s="41"/>
      <c r="BD1032" s="41"/>
      <c r="BE1032" s="41"/>
      <c r="BF1032" s="41"/>
      <c r="BG1032" s="41"/>
      <c r="BH1032" s="41"/>
      <c r="BJ1032" s="41"/>
      <c r="BK1032" s="41"/>
      <c r="BL1032" s="41"/>
      <c r="BM1032" s="41"/>
      <c r="BN1032" s="41"/>
      <c r="BO1032" s="41"/>
      <c r="BP1032" s="41"/>
      <c r="BQ1032" s="41"/>
      <c r="BR1032" s="41"/>
      <c r="BS1032" s="41">
        <v>0.05</v>
      </c>
      <c r="BT1032" s="41"/>
      <c r="BU1032" s="41">
        <v>0.05</v>
      </c>
      <c r="BV1032" s="41">
        <v>0.05</v>
      </c>
      <c r="BW1032" s="41">
        <v>0.05</v>
      </c>
      <c r="BX1032" s="41"/>
      <c r="BY1032" s="41"/>
      <c r="BZ1032" s="41"/>
      <c r="CA1032" s="41"/>
      <c r="CB1032" s="41"/>
      <c r="CC1032" s="41"/>
      <c r="CD1032" s="41"/>
      <c r="CE1032" s="41">
        <v>0.05</v>
      </c>
      <c r="CF1032" s="41">
        <v>0.03</v>
      </c>
      <c r="CG1032" s="41">
        <v>0.02</v>
      </c>
      <c r="CH1032" s="41">
        <v>0.05</v>
      </c>
      <c r="CI1032" s="41">
        <v>0.05</v>
      </c>
      <c r="CJ1032" s="41"/>
      <c r="CK1032" s="41"/>
      <c r="CL1032" s="41"/>
      <c r="CM1032" s="41"/>
      <c r="CN1032" s="41"/>
      <c r="CO1032" s="41"/>
      <c r="CP1032" s="41"/>
      <c r="CQ1032" s="41"/>
      <c r="CR1032" s="41"/>
      <c r="CS1032" s="41"/>
      <c r="CT1032" s="41"/>
      <c r="CU1032" s="41"/>
      <c r="CV1032" s="41"/>
      <c r="CW1032" s="41"/>
      <c r="CX1032" s="41"/>
      <c r="CY1032" s="41"/>
      <c r="CZ1032" s="41"/>
      <c r="DA1032" s="41"/>
      <c r="DB1032" s="41"/>
      <c r="DC1032" s="41"/>
      <c r="DD1032" s="41"/>
      <c r="DE1032" s="41"/>
      <c r="DF1032" s="41"/>
      <c r="DG1032" s="41"/>
      <c r="DH1032" s="41"/>
      <c r="DI1032" s="41"/>
      <c r="DJ1032" s="41"/>
      <c r="DK1032" s="41">
        <v>0.6</v>
      </c>
      <c r="DL1032" s="41"/>
      <c r="DM1032" s="41"/>
      <c r="DN1032" s="41"/>
      <c r="DO1032" s="41"/>
      <c r="DP1032" s="41"/>
      <c r="DQ1032" s="41"/>
      <c r="DR1032" s="41"/>
      <c r="DS1032" s="43"/>
      <c r="DT1032" s="44">
        <f t="shared" ref="DT1032" si="1014">SUM(F1032:DR1032)</f>
        <v>1</v>
      </c>
    </row>
    <row r="1033" spans="2:124" s="13" customFormat="1">
      <c r="B1033" s="4">
        <f>'6.1Personnel List'!B1034</f>
        <v>1021</v>
      </c>
      <c r="C1033" s="45" t="s">
        <v>1246</v>
      </c>
      <c r="D1033" s="45" t="str">
        <f>'6.1Personnel List'!D1034</f>
        <v>Nurse I</v>
      </c>
      <c r="E1033" s="45" t="str">
        <f>'6.1Personnel List'!H1034</f>
        <v>FT</v>
      </c>
      <c r="G1033" s="41"/>
      <c r="H1033" s="41"/>
      <c r="I1033" s="41"/>
      <c r="J1033" s="41"/>
      <c r="K1033" s="41"/>
      <c r="L1033" s="41"/>
      <c r="M1033" s="41"/>
      <c r="N1033" s="41"/>
      <c r="O1033" s="41"/>
      <c r="P1033" s="41"/>
      <c r="Q1033" s="41"/>
      <c r="R1033" s="41"/>
      <c r="S1033" s="41"/>
      <c r="T1033" s="41"/>
      <c r="U1033" s="41"/>
      <c r="V1033" s="41"/>
      <c r="W1033" s="41"/>
      <c r="X1033" s="41"/>
      <c r="Y1033" s="41"/>
      <c r="Z1033" s="41"/>
      <c r="AA1033" s="41"/>
      <c r="AB1033" s="41"/>
      <c r="AC1033" s="41"/>
      <c r="AD1033" s="41"/>
      <c r="AE1033" s="41"/>
      <c r="AF1033" s="41"/>
      <c r="AG1033" s="41"/>
      <c r="AH1033" s="41"/>
      <c r="AI1033" s="41"/>
      <c r="AJ1033" s="41"/>
      <c r="AK1033" s="41"/>
      <c r="AL1033" s="41"/>
      <c r="AM1033" s="41"/>
      <c r="AN1033" s="41"/>
      <c r="AO1033" s="41"/>
      <c r="AP1033" s="41"/>
      <c r="AQ1033" s="41"/>
      <c r="AR1033" s="41"/>
      <c r="AS1033" s="41"/>
      <c r="AT1033" s="41"/>
      <c r="AU1033" s="41"/>
      <c r="AV1033" s="41"/>
      <c r="AW1033" s="41"/>
      <c r="AX1033" s="41"/>
      <c r="AY1033" s="41"/>
      <c r="AZ1033" s="41"/>
      <c r="BA1033" s="41"/>
      <c r="BB1033" s="41"/>
      <c r="BC1033" s="41"/>
      <c r="BD1033" s="41"/>
      <c r="BE1033" s="41"/>
      <c r="BF1033" s="41"/>
      <c r="BG1033" s="41"/>
      <c r="BH1033" s="41"/>
      <c r="BJ1033" s="41"/>
      <c r="BK1033" s="41"/>
      <c r="BL1033" s="41"/>
      <c r="BM1033" s="41"/>
      <c r="BN1033" s="41"/>
      <c r="BO1033" s="41"/>
      <c r="BP1033" s="41"/>
      <c r="BQ1033" s="41"/>
      <c r="BR1033" s="41"/>
      <c r="BS1033" s="41"/>
      <c r="BT1033" s="41"/>
      <c r="BU1033" s="41"/>
      <c r="BV1033" s="41">
        <v>0.05</v>
      </c>
      <c r="BW1033" s="41">
        <v>0.2</v>
      </c>
      <c r="BX1033" s="41"/>
      <c r="BY1033" s="41"/>
      <c r="BZ1033" s="41"/>
      <c r="CA1033" s="41"/>
      <c r="CB1033" s="41"/>
      <c r="CC1033" s="41"/>
      <c r="CD1033" s="41"/>
      <c r="CE1033" s="41">
        <v>0.1</v>
      </c>
      <c r="CF1033" s="41">
        <v>0.1</v>
      </c>
      <c r="CG1033" s="41">
        <v>0.1</v>
      </c>
      <c r="CH1033" s="41"/>
      <c r="CI1033" s="41"/>
      <c r="CJ1033" s="41"/>
      <c r="CK1033" s="41"/>
      <c r="CL1033" s="41"/>
      <c r="CM1033" s="41"/>
      <c r="CN1033" s="41"/>
      <c r="CO1033" s="41"/>
      <c r="CP1033" s="41"/>
      <c r="CQ1033" s="41"/>
      <c r="CR1033" s="41"/>
      <c r="CS1033" s="41"/>
      <c r="CT1033" s="41"/>
      <c r="CU1033" s="41"/>
      <c r="CV1033" s="41"/>
      <c r="CW1033" s="41"/>
      <c r="CX1033" s="41"/>
      <c r="CY1033" s="41"/>
      <c r="CZ1033" s="41"/>
      <c r="DA1033" s="41"/>
      <c r="DB1033" s="41"/>
      <c r="DC1033" s="41"/>
      <c r="DD1033" s="41"/>
      <c r="DE1033" s="41"/>
      <c r="DF1033" s="41"/>
      <c r="DG1033" s="41"/>
      <c r="DH1033" s="41"/>
      <c r="DI1033" s="41"/>
      <c r="DJ1033" s="41"/>
      <c r="DK1033" s="41"/>
      <c r="DL1033" s="41"/>
      <c r="DM1033" s="41">
        <v>0.45</v>
      </c>
      <c r="DN1033" s="41"/>
      <c r="DO1033" s="41"/>
      <c r="DP1033" s="41"/>
      <c r="DQ1033" s="41"/>
      <c r="DR1033" s="41"/>
      <c r="DS1033" s="43"/>
      <c r="DT1033" s="44">
        <f t="shared" ref="DT1033" si="1015">SUM(F1033:DR1033)</f>
        <v>1</v>
      </c>
    </row>
    <row r="1034" spans="2:124" s="13" customFormat="1">
      <c r="B1034" s="4">
        <f>'6.1Personnel List'!B1035</f>
        <v>1022</v>
      </c>
      <c r="C1034" s="45" t="s">
        <v>1247</v>
      </c>
      <c r="D1034" s="45" t="str">
        <f>'6.1Personnel List'!D1035</f>
        <v>Nurse I</v>
      </c>
      <c r="E1034" s="45" t="str">
        <f>'6.1Personnel List'!H1035</f>
        <v>FT</v>
      </c>
      <c r="G1034" s="41"/>
      <c r="H1034" s="41"/>
      <c r="I1034" s="41"/>
      <c r="J1034" s="41"/>
      <c r="K1034" s="41"/>
      <c r="L1034" s="41"/>
      <c r="M1034" s="41"/>
      <c r="N1034" s="41"/>
      <c r="O1034" s="41"/>
      <c r="P1034" s="41"/>
      <c r="Q1034" s="41"/>
      <c r="R1034" s="41"/>
      <c r="S1034" s="41"/>
      <c r="T1034" s="41"/>
      <c r="U1034" s="41"/>
      <c r="V1034" s="41"/>
      <c r="W1034" s="41"/>
      <c r="X1034" s="41"/>
      <c r="Y1034" s="41"/>
      <c r="Z1034" s="41"/>
      <c r="AA1034" s="41"/>
      <c r="AB1034" s="41"/>
      <c r="AC1034" s="41"/>
      <c r="AD1034" s="41"/>
      <c r="AE1034" s="41"/>
      <c r="AF1034" s="41"/>
      <c r="AG1034" s="41"/>
      <c r="AH1034" s="41"/>
      <c r="AI1034" s="41"/>
      <c r="AJ1034" s="41"/>
      <c r="AK1034" s="41"/>
      <c r="AL1034" s="41"/>
      <c r="AM1034" s="41"/>
      <c r="AN1034" s="41"/>
      <c r="AO1034" s="41"/>
      <c r="AP1034" s="41"/>
      <c r="AQ1034" s="41"/>
      <c r="AR1034" s="41"/>
      <c r="AS1034" s="41"/>
      <c r="AT1034" s="41"/>
      <c r="AU1034" s="41"/>
      <c r="AV1034" s="41"/>
      <c r="AW1034" s="41"/>
      <c r="AX1034" s="41"/>
      <c r="AY1034" s="41"/>
      <c r="AZ1034" s="41"/>
      <c r="BA1034" s="41"/>
      <c r="BB1034" s="41"/>
      <c r="BC1034" s="41"/>
      <c r="BD1034" s="41"/>
      <c r="BE1034" s="41"/>
      <c r="BF1034" s="41"/>
      <c r="BG1034" s="41"/>
      <c r="BH1034" s="41"/>
      <c r="BJ1034" s="41"/>
      <c r="BK1034" s="41"/>
      <c r="BL1034" s="41"/>
      <c r="BM1034" s="41"/>
      <c r="BN1034" s="41"/>
      <c r="BO1034" s="41"/>
      <c r="BP1034" s="41"/>
      <c r="BQ1034" s="41"/>
      <c r="BR1034" s="41"/>
      <c r="BS1034" s="41">
        <v>0.05</v>
      </c>
      <c r="BT1034" s="41"/>
      <c r="BU1034" s="41">
        <v>0.05</v>
      </c>
      <c r="BV1034" s="41">
        <v>0.05</v>
      </c>
      <c r="BW1034" s="41">
        <v>0.05</v>
      </c>
      <c r="BX1034" s="41"/>
      <c r="BY1034" s="41"/>
      <c r="BZ1034" s="41"/>
      <c r="CA1034" s="41"/>
      <c r="CB1034" s="41"/>
      <c r="CC1034" s="41"/>
      <c r="CD1034" s="41"/>
      <c r="CE1034" s="41">
        <v>0.05</v>
      </c>
      <c r="CF1034" s="41">
        <v>0.03</v>
      </c>
      <c r="CG1034" s="41">
        <v>0.02</v>
      </c>
      <c r="CH1034" s="41">
        <v>0.05</v>
      </c>
      <c r="CI1034" s="41">
        <v>0.05</v>
      </c>
      <c r="CJ1034" s="41"/>
      <c r="CK1034" s="41"/>
      <c r="CL1034" s="41"/>
      <c r="CM1034" s="41"/>
      <c r="CN1034" s="41"/>
      <c r="CO1034" s="41"/>
      <c r="CP1034" s="41"/>
      <c r="CQ1034" s="41"/>
      <c r="CR1034" s="41"/>
      <c r="CS1034" s="41"/>
      <c r="CT1034" s="41"/>
      <c r="CU1034" s="41"/>
      <c r="CV1034" s="41"/>
      <c r="CW1034" s="41"/>
      <c r="CX1034" s="41"/>
      <c r="CY1034" s="41"/>
      <c r="CZ1034" s="41"/>
      <c r="DA1034" s="41"/>
      <c r="DB1034" s="41"/>
      <c r="DC1034" s="41"/>
      <c r="DD1034" s="41"/>
      <c r="DE1034" s="41"/>
      <c r="DF1034" s="41"/>
      <c r="DG1034" s="41"/>
      <c r="DH1034" s="41"/>
      <c r="DI1034" s="41"/>
      <c r="DJ1034" s="41"/>
      <c r="DK1034" s="41">
        <v>0.6</v>
      </c>
      <c r="DL1034" s="41"/>
      <c r="DM1034" s="41"/>
      <c r="DN1034" s="41"/>
      <c r="DO1034" s="41"/>
      <c r="DP1034" s="41"/>
      <c r="DQ1034" s="41"/>
      <c r="DR1034" s="41"/>
      <c r="DS1034" s="43"/>
      <c r="DT1034" s="44">
        <f t="shared" ref="DT1034" si="1016">SUM(F1034:DR1034)</f>
        <v>1</v>
      </c>
    </row>
    <row r="1035" spans="2:124" s="13" customFormat="1">
      <c r="B1035" s="4">
        <f>'6.1Personnel List'!B1036</f>
        <v>1023</v>
      </c>
      <c r="C1035" s="45" t="s">
        <v>1248</v>
      </c>
      <c r="D1035" s="45" t="str">
        <f>'6.1Personnel List'!D1036</f>
        <v>Nurse I</v>
      </c>
      <c r="E1035" s="45" t="str">
        <f>'6.1Personnel List'!H1036</f>
        <v>FT</v>
      </c>
      <c r="G1035" s="41"/>
      <c r="H1035" s="41"/>
      <c r="I1035" s="41"/>
      <c r="J1035" s="41"/>
      <c r="K1035" s="41"/>
      <c r="L1035" s="41"/>
      <c r="M1035" s="41"/>
      <c r="N1035" s="41"/>
      <c r="O1035" s="41"/>
      <c r="P1035" s="41"/>
      <c r="Q1035" s="41"/>
      <c r="R1035" s="41"/>
      <c r="S1035" s="41"/>
      <c r="T1035" s="41"/>
      <c r="U1035" s="41"/>
      <c r="V1035" s="41"/>
      <c r="W1035" s="41"/>
      <c r="X1035" s="41"/>
      <c r="Y1035" s="41"/>
      <c r="Z1035" s="41"/>
      <c r="AA1035" s="41"/>
      <c r="AB1035" s="41"/>
      <c r="AC1035" s="41"/>
      <c r="AD1035" s="41"/>
      <c r="AE1035" s="41"/>
      <c r="AF1035" s="41"/>
      <c r="AG1035" s="41"/>
      <c r="AH1035" s="41"/>
      <c r="AI1035" s="41"/>
      <c r="AJ1035" s="41"/>
      <c r="AK1035" s="41"/>
      <c r="AL1035" s="41"/>
      <c r="AM1035" s="41"/>
      <c r="AN1035" s="41"/>
      <c r="AO1035" s="41"/>
      <c r="AP1035" s="41"/>
      <c r="AQ1035" s="41"/>
      <c r="AR1035" s="41"/>
      <c r="AS1035" s="41"/>
      <c r="AT1035" s="41"/>
      <c r="AU1035" s="41"/>
      <c r="AV1035" s="41"/>
      <c r="AW1035" s="41"/>
      <c r="AX1035" s="41"/>
      <c r="AY1035" s="41"/>
      <c r="AZ1035" s="41"/>
      <c r="BA1035" s="41"/>
      <c r="BB1035" s="41"/>
      <c r="BC1035" s="41"/>
      <c r="BD1035" s="41"/>
      <c r="BE1035" s="41"/>
      <c r="BF1035" s="41"/>
      <c r="BG1035" s="41"/>
      <c r="BH1035" s="41"/>
      <c r="BJ1035" s="41"/>
      <c r="BK1035" s="41"/>
      <c r="BL1035" s="41"/>
      <c r="BM1035" s="41"/>
      <c r="BN1035" s="41"/>
      <c r="BO1035" s="41"/>
      <c r="BP1035" s="41"/>
      <c r="BQ1035" s="41"/>
      <c r="BR1035" s="41"/>
      <c r="BS1035" s="41">
        <v>0.05</v>
      </c>
      <c r="BT1035" s="41"/>
      <c r="BU1035" s="41">
        <v>0.05</v>
      </c>
      <c r="BV1035" s="41">
        <v>0.05</v>
      </c>
      <c r="BW1035" s="41">
        <v>0.05</v>
      </c>
      <c r="BX1035" s="41"/>
      <c r="BY1035" s="41"/>
      <c r="BZ1035" s="41"/>
      <c r="CA1035" s="41"/>
      <c r="CB1035" s="41"/>
      <c r="CC1035" s="41"/>
      <c r="CD1035" s="41"/>
      <c r="CE1035" s="41">
        <v>0.05</v>
      </c>
      <c r="CF1035" s="41">
        <v>0.03</v>
      </c>
      <c r="CG1035" s="41">
        <v>0.02</v>
      </c>
      <c r="CH1035" s="41">
        <v>0.05</v>
      </c>
      <c r="CI1035" s="41">
        <v>0.05</v>
      </c>
      <c r="CJ1035" s="41"/>
      <c r="CK1035" s="41"/>
      <c r="CL1035" s="41"/>
      <c r="CM1035" s="41"/>
      <c r="CN1035" s="41"/>
      <c r="CO1035" s="41"/>
      <c r="CP1035" s="41"/>
      <c r="CQ1035" s="41">
        <v>0.3</v>
      </c>
      <c r="CR1035" s="41"/>
      <c r="CS1035" s="41"/>
      <c r="CT1035" s="41"/>
      <c r="CU1035" s="41"/>
      <c r="CV1035" s="41"/>
      <c r="CW1035" s="41"/>
      <c r="CX1035" s="41"/>
      <c r="CY1035" s="41"/>
      <c r="CZ1035" s="41"/>
      <c r="DA1035" s="41"/>
      <c r="DB1035" s="41"/>
      <c r="DC1035" s="41"/>
      <c r="DD1035" s="41"/>
      <c r="DE1035" s="41"/>
      <c r="DF1035" s="41"/>
      <c r="DG1035" s="41"/>
      <c r="DH1035" s="41"/>
      <c r="DI1035" s="41"/>
      <c r="DJ1035" s="41"/>
      <c r="DK1035" s="41">
        <v>0.3</v>
      </c>
      <c r="DL1035" s="41"/>
      <c r="DM1035" s="41"/>
      <c r="DN1035" s="41"/>
      <c r="DO1035" s="41"/>
      <c r="DP1035" s="41"/>
      <c r="DQ1035" s="41"/>
      <c r="DR1035" s="41"/>
      <c r="DS1035" s="43"/>
      <c r="DT1035" s="44">
        <f t="shared" ref="DT1035" si="1017">SUM(F1035:DR1035)</f>
        <v>1</v>
      </c>
    </row>
    <row r="1036" spans="2:124" s="13" customFormat="1">
      <c r="B1036" s="4">
        <f>'6.1Personnel List'!B1037</f>
        <v>1024</v>
      </c>
      <c r="C1036" s="45" t="s">
        <v>1249</v>
      </c>
      <c r="D1036" s="45" t="str">
        <f>'6.1Personnel List'!D1037</f>
        <v>Nurse I</v>
      </c>
      <c r="E1036" s="45" t="str">
        <f>'6.1Personnel List'!H1037</f>
        <v>FT</v>
      </c>
      <c r="G1036" s="41"/>
      <c r="H1036" s="41"/>
      <c r="I1036" s="41"/>
      <c r="J1036" s="41"/>
      <c r="K1036" s="41"/>
      <c r="L1036" s="41"/>
      <c r="M1036" s="41"/>
      <c r="N1036" s="41"/>
      <c r="O1036" s="41"/>
      <c r="P1036" s="41"/>
      <c r="Q1036" s="41"/>
      <c r="R1036" s="41"/>
      <c r="S1036" s="41"/>
      <c r="T1036" s="41"/>
      <c r="U1036" s="41"/>
      <c r="V1036" s="41"/>
      <c r="W1036" s="41"/>
      <c r="X1036" s="41"/>
      <c r="Y1036" s="41"/>
      <c r="Z1036" s="41"/>
      <c r="AA1036" s="41"/>
      <c r="AB1036" s="41"/>
      <c r="AC1036" s="41"/>
      <c r="AD1036" s="41"/>
      <c r="AE1036" s="41"/>
      <c r="AF1036" s="41"/>
      <c r="AG1036" s="41"/>
      <c r="AH1036" s="41"/>
      <c r="AI1036" s="41"/>
      <c r="AJ1036" s="41"/>
      <c r="AK1036" s="41"/>
      <c r="AL1036" s="41"/>
      <c r="AM1036" s="41"/>
      <c r="AN1036" s="41"/>
      <c r="AO1036" s="41"/>
      <c r="AP1036" s="41"/>
      <c r="AQ1036" s="41"/>
      <c r="AR1036" s="41"/>
      <c r="AS1036" s="41"/>
      <c r="AT1036" s="41"/>
      <c r="AU1036" s="41"/>
      <c r="AV1036" s="41"/>
      <c r="AW1036" s="41"/>
      <c r="AX1036" s="41"/>
      <c r="AY1036" s="41"/>
      <c r="AZ1036" s="41"/>
      <c r="BA1036" s="41"/>
      <c r="BB1036" s="41"/>
      <c r="BC1036" s="41"/>
      <c r="BD1036" s="41"/>
      <c r="BE1036" s="41"/>
      <c r="BF1036" s="41"/>
      <c r="BG1036" s="41"/>
      <c r="BH1036" s="41"/>
      <c r="BJ1036" s="41"/>
      <c r="BK1036" s="41"/>
      <c r="BL1036" s="41"/>
      <c r="BM1036" s="41"/>
      <c r="BN1036" s="41"/>
      <c r="BO1036" s="41"/>
      <c r="BP1036" s="41"/>
      <c r="BQ1036" s="41"/>
      <c r="BR1036" s="41"/>
      <c r="BS1036" s="41">
        <v>0.05</v>
      </c>
      <c r="BT1036" s="41"/>
      <c r="BU1036" s="41">
        <v>0.05</v>
      </c>
      <c r="BV1036" s="41">
        <v>0.05</v>
      </c>
      <c r="BW1036" s="41">
        <v>0.05</v>
      </c>
      <c r="BX1036" s="41"/>
      <c r="BY1036" s="41"/>
      <c r="BZ1036" s="41"/>
      <c r="CA1036" s="41"/>
      <c r="CB1036" s="41"/>
      <c r="CC1036" s="41"/>
      <c r="CD1036" s="41"/>
      <c r="CE1036" s="41">
        <v>0.05</v>
      </c>
      <c r="CF1036" s="41">
        <v>0.03</v>
      </c>
      <c r="CG1036" s="41">
        <v>0.02</v>
      </c>
      <c r="CH1036" s="41">
        <v>0.05</v>
      </c>
      <c r="CI1036" s="41">
        <v>0.05</v>
      </c>
      <c r="CJ1036" s="41"/>
      <c r="CK1036" s="41"/>
      <c r="CL1036" s="41"/>
      <c r="CM1036" s="41"/>
      <c r="CN1036" s="41"/>
      <c r="CO1036" s="41"/>
      <c r="CP1036" s="41"/>
      <c r="CQ1036" s="41"/>
      <c r="CR1036" s="41"/>
      <c r="CS1036" s="41"/>
      <c r="CT1036" s="41"/>
      <c r="CU1036" s="41"/>
      <c r="CV1036" s="41"/>
      <c r="CW1036" s="41"/>
      <c r="CX1036" s="41"/>
      <c r="CY1036" s="41"/>
      <c r="CZ1036" s="41"/>
      <c r="DA1036" s="41"/>
      <c r="DB1036" s="41"/>
      <c r="DC1036" s="41"/>
      <c r="DD1036" s="41"/>
      <c r="DE1036" s="41"/>
      <c r="DF1036" s="41"/>
      <c r="DG1036" s="41"/>
      <c r="DH1036" s="41"/>
      <c r="DI1036" s="41"/>
      <c r="DJ1036" s="41"/>
      <c r="DK1036" s="41">
        <v>0.6</v>
      </c>
      <c r="DL1036" s="41"/>
      <c r="DM1036" s="41"/>
      <c r="DN1036" s="41"/>
      <c r="DO1036" s="41"/>
      <c r="DP1036" s="41"/>
      <c r="DQ1036" s="41"/>
      <c r="DR1036" s="41"/>
      <c r="DS1036" s="43"/>
      <c r="DT1036" s="44">
        <f t="shared" ref="DT1036" si="1018">SUM(F1036:DR1036)</f>
        <v>1</v>
      </c>
    </row>
    <row r="1037" spans="2:124" s="13" customFormat="1">
      <c r="B1037" s="4">
        <f>'6.1Personnel List'!B1038</f>
        <v>1025</v>
      </c>
      <c r="C1037" s="45" t="s">
        <v>1250</v>
      </c>
      <c r="D1037" s="45" t="str">
        <f>'6.1Personnel List'!D1038</f>
        <v>Nurse I</v>
      </c>
      <c r="E1037" s="45" t="str">
        <f>'6.1Personnel List'!H1038</f>
        <v>FT</v>
      </c>
      <c r="G1037" s="41"/>
      <c r="H1037" s="41"/>
      <c r="I1037" s="41"/>
      <c r="J1037" s="41"/>
      <c r="K1037" s="41"/>
      <c r="L1037" s="41"/>
      <c r="M1037" s="41"/>
      <c r="N1037" s="41"/>
      <c r="O1037" s="41"/>
      <c r="P1037" s="41"/>
      <c r="Q1037" s="41"/>
      <c r="R1037" s="41"/>
      <c r="S1037" s="41"/>
      <c r="T1037" s="41"/>
      <c r="U1037" s="41"/>
      <c r="V1037" s="41"/>
      <c r="W1037" s="41"/>
      <c r="X1037" s="41"/>
      <c r="Y1037" s="41"/>
      <c r="Z1037" s="41"/>
      <c r="AA1037" s="41"/>
      <c r="AB1037" s="41"/>
      <c r="AC1037" s="41"/>
      <c r="AD1037" s="41"/>
      <c r="AE1037" s="41"/>
      <c r="AF1037" s="41"/>
      <c r="AG1037" s="41"/>
      <c r="AH1037" s="41"/>
      <c r="AI1037" s="41"/>
      <c r="AJ1037" s="41"/>
      <c r="AK1037" s="41"/>
      <c r="AL1037" s="41"/>
      <c r="AM1037" s="41"/>
      <c r="AN1037" s="41"/>
      <c r="AO1037" s="41"/>
      <c r="AP1037" s="41"/>
      <c r="AQ1037" s="41"/>
      <c r="AR1037" s="41"/>
      <c r="AS1037" s="41"/>
      <c r="AT1037" s="41"/>
      <c r="AU1037" s="41"/>
      <c r="AV1037" s="41"/>
      <c r="AW1037" s="41"/>
      <c r="AX1037" s="41"/>
      <c r="AY1037" s="41"/>
      <c r="AZ1037" s="41"/>
      <c r="BA1037" s="41"/>
      <c r="BB1037" s="41"/>
      <c r="BC1037" s="41"/>
      <c r="BD1037" s="41"/>
      <c r="BE1037" s="41"/>
      <c r="BF1037" s="41"/>
      <c r="BG1037" s="41"/>
      <c r="BH1037" s="41"/>
      <c r="BJ1037" s="41"/>
      <c r="BK1037" s="41"/>
      <c r="BL1037" s="41"/>
      <c r="BM1037" s="41"/>
      <c r="BN1037" s="41"/>
      <c r="BO1037" s="41"/>
      <c r="BP1037" s="41"/>
      <c r="BQ1037" s="41"/>
      <c r="BR1037" s="41"/>
      <c r="BS1037" s="41"/>
      <c r="BT1037" s="41"/>
      <c r="BU1037" s="41"/>
      <c r="BV1037" s="41">
        <v>0.05</v>
      </c>
      <c r="BW1037" s="41"/>
      <c r="BX1037" s="41"/>
      <c r="BY1037" s="41"/>
      <c r="BZ1037" s="41"/>
      <c r="CA1037" s="41"/>
      <c r="CB1037" s="41">
        <v>0.05</v>
      </c>
      <c r="CC1037" s="41"/>
      <c r="CD1037" s="41"/>
      <c r="CE1037" s="41">
        <v>0.05</v>
      </c>
      <c r="CF1037" s="41">
        <v>0.02</v>
      </c>
      <c r="CG1037" s="41">
        <v>0.03</v>
      </c>
      <c r="CH1037" s="41"/>
      <c r="CI1037" s="41"/>
      <c r="CJ1037" s="41"/>
      <c r="CK1037" s="41"/>
      <c r="CL1037" s="41">
        <v>0.8</v>
      </c>
      <c r="CM1037" s="41"/>
      <c r="CN1037" s="41"/>
      <c r="CO1037" s="41"/>
      <c r="CP1037" s="41"/>
      <c r="CQ1037" s="41"/>
      <c r="CR1037" s="41"/>
      <c r="CS1037" s="41"/>
      <c r="CT1037" s="41"/>
      <c r="CU1037" s="41"/>
      <c r="CV1037" s="41"/>
      <c r="CW1037" s="41"/>
      <c r="CX1037" s="41"/>
      <c r="CY1037" s="41"/>
      <c r="CZ1037" s="41"/>
      <c r="DA1037" s="41"/>
      <c r="DB1037" s="41"/>
      <c r="DC1037" s="41"/>
      <c r="DD1037" s="41"/>
      <c r="DE1037" s="41"/>
      <c r="DF1037" s="41"/>
      <c r="DG1037" s="41"/>
      <c r="DH1037" s="41"/>
      <c r="DI1037" s="41"/>
      <c r="DJ1037" s="41"/>
      <c r="DK1037" s="41"/>
      <c r="DL1037" s="41"/>
      <c r="DM1037" s="41"/>
      <c r="DN1037" s="41"/>
      <c r="DO1037" s="41"/>
      <c r="DP1037" s="41"/>
      <c r="DQ1037" s="41"/>
      <c r="DR1037" s="41"/>
      <c r="DS1037" s="43"/>
      <c r="DT1037" s="44">
        <f t="shared" ref="DT1037" si="1019">SUM(F1037:DR1037)</f>
        <v>1</v>
      </c>
    </row>
    <row r="1038" spans="2:124" s="13" customFormat="1">
      <c r="B1038" s="4">
        <f>'6.1Personnel List'!B1039</f>
        <v>1026</v>
      </c>
      <c r="C1038" s="45" t="s">
        <v>1251</v>
      </c>
      <c r="D1038" s="45" t="str">
        <f>'6.1Personnel List'!D1039</f>
        <v>Nurse I</v>
      </c>
      <c r="E1038" s="45" t="str">
        <f>'6.1Personnel List'!H1039</f>
        <v>FT</v>
      </c>
      <c r="G1038" s="41"/>
      <c r="H1038" s="41"/>
      <c r="I1038" s="41"/>
      <c r="J1038" s="41"/>
      <c r="K1038" s="41"/>
      <c r="L1038" s="41"/>
      <c r="M1038" s="41"/>
      <c r="N1038" s="41"/>
      <c r="O1038" s="41"/>
      <c r="P1038" s="41"/>
      <c r="Q1038" s="41"/>
      <c r="R1038" s="41"/>
      <c r="S1038" s="41"/>
      <c r="T1038" s="41"/>
      <c r="U1038" s="41"/>
      <c r="V1038" s="41"/>
      <c r="W1038" s="41"/>
      <c r="X1038" s="41"/>
      <c r="Y1038" s="41"/>
      <c r="Z1038" s="41"/>
      <c r="AA1038" s="41"/>
      <c r="AB1038" s="41"/>
      <c r="AC1038" s="41"/>
      <c r="AD1038" s="41"/>
      <c r="AE1038" s="41"/>
      <c r="AF1038" s="41"/>
      <c r="AG1038" s="41"/>
      <c r="AH1038" s="41"/>
      <c r="AI1038" s="41"/>
      <c r="AJ1038" s="41"/>
      <c r="AK1038" s="41"/>
      <c r="AL1038" s="41"/>
      <c r="AM1038" s="41"/>
      <c r="AN1038" s="41"/>
      <c r="AO1038" s="41"/>
      <c r="AP1038" s="41"/>
      <c r="AQ1038" s="41"/>
      <c r="AR1038" s="41"/>
      <c r="AS1038" s="41"/>
      <c r="AT1038" s="41"/>
      <c r="AU1038" s="41"/>
      <c r="AV1038" s="41"/>
      <c r="AW1038" s="41"/>
      <c r="AX1038" s="41"/>
      <c r="AY1038" s="41"/>
      <c r="AZ1038" s="41"/>
      <c r="BA1038" s="41"/>
      <c r="BB1038" s="41"/>
      <c r="BC1038" s="41"/>
      <c r="BD1038" s="41"/>
      <c r="BE1038" s="41"/>
      <c r="BF1038" s="41"/>
      <c r="BG1038" s="41"/>
      <c r="BH1038" s="41"/>
      <c r="BJ1038" s="41"/>
      <c r="BK1038" s="41"/>
      <c r="BL1038" s="41"/>
      <c r="BM1038" s="41"/>
      <c r="BN1038" s="41"/>
      <c r="BO1038" s="41"/>
      <c r="BP1038" s="41"/>
      <c r="BQ1038" s="41"/>
      <c r="BR1038" s="41"/>
      <c r="BS1038" s="41">
        <v>0.05</v>
      </c>
      <c r="BT1038" s="41"/>
      <c r="BU1038" s="41"/>
      <c r="BV1038" s="41">
        <v>0.05</v>
      </c>
      <c r="BW1038" s="41">
        <v>0.05</v>
      </c>
      <c r="BX1038" s="41"/>
      <c r="BY1038" s="41"/>
      <c r="BZ1038" s="41"/>
      <c r="CA1038" s="41"/>
      <c r="CB1038" s="41"/>
      <c r="CC1038" s="41"/>
      <c r="CD1038" s="41"/>
      <c r="CE1038" s="41">
        <v>0.1</v>
      </c>
      <c r="CF1038" s="41">
        <v>0.05</v>
      </c>
      <c r="CG1038" s="41">
        <v>0.05</v>
      </c>
      <c r="CH1038" s="41">
        <v>0.05</v>
      </c>
      <c r="CI1038" s="41"/>
      <c r="CJ1038" s="41">
        <v>0.05</v>
      </c>
      <c r="CK1038" s="41"/>
      <c r="CL1038" s="41">
        <v>0.2</v>
      </c>
      <c r="CM1038" s="41"/>
      <c r="CN1038" s="41"/>
      <c r="CO1038" s="41"/>
      <c r="CP1038" s="41"/>
      <c r="CQ1038" s="41"/>
      <c r="CR1038" s="41"/>
      <c r="CS1038" s="41"/>
      <c r="CT1038" s="41"/>
      <c r="CU1038" s="41">
        <v>0.05</v>
      </c>
      <c r="CV1038" s="41"/>
      <c r="CW1038" s="41"/>
      <c r="CX1038" s="41"/>
      <c r="CY1038" s="41"/>
      <c r="CZ1038" s="41"/>
      <c r="DA1038" s="41"/>
      <c r="DB1038" s="41"/>
      <c r="DC1038" s="41"/>
      <c r="DD1038" s="41">
        <v>0.05</v>
      </c>
      <c r="DE1038" s="41"/>
      <c r="DF1038" s="41"/>
      <c r="DG1038" s="41"/>
      <c r="DH1038" s="41"/>
      <c r="DI1038" s="41"/>
      <c r="DJ1038" s="41"/>
      <c r="DK1038" s="41"/>
      <c r="DL1038" s="41">
        <v>0.25</v>
      </c>
      <c r="DM1038" s="41"/>
      <c r="DN1038" s="41"/>
      <c r="DO1038" s="41"/>
      <c r="DP1038" s="41"/>
      <c r="DQ1038" s="41"/>
      <c r="DR1038" s="41"/>
      <c r="DS1038" s="43"/>
      <c r="DT1038" s="44">
        <f t="shared" ref="DT1038" si="1020">SUM(F1038:DR1038)</f>
        <v>1</v>
      </c>
    </row>
    <row r="1039" spans="2:124" s="13" customFormat="1">
      <c r="B1039" s="4">
        <f>'6.1Personnel List'!B1040</f>
        <v>1027</v>
      </c>
      <c r="C1039" s="45" t="s">
        <v>1252</v>
      </c>
      <c r="D1039" s="45" t="str">
        <f>'6.1Personnel List'!D1040</f>
        <v>Nurse I</v>
      </c>
      <c r="E1039" s="45" t="str">
        <f>'6.1Personnel List'!H1040</f>
        <v>FT</v>
      </c>
      <c r="G1039" s="41"/>
      <c r="H1039" s="41"/>
      <c r="I1039" s="41"/>
      <c r="J1039" s="41"/>
      <c r="K1039" s="41"/>
      <c r="L1039" s="41"/>
      <c r="M1039" s="41"/>
      <c r="N1039" s="41"/>
      <c r="O1039" s="41"/>
      <c r="P1039" s="41"/>
      <c r="Q1039" s="41"/>
      <c r="R1039" s="41"/>
      <c r="S1039" s="41"/>
      <c r="T1039" s="41"/>
      <c r="U1039" s="41"/>
      <c r="V1039" s="41"/>
      <c r="W1039" s="41"/>
      <c r="X1039" s="41"/>
      <c r="Y1039" s="41"/>
      <c r="Z1039" s="41"/>
      <c r="AA1039" s="41"/>
      <c r="AB1039" s="41"/>
      <c r="AC1039" s="41"/>
      <c r="AD1039" s="41"/>
      <c r="AE1039" s="41"/>
      <c r="AF1039" s="41"/>
      <c r="AG1039" s="41"/>
      <c r="AH1039" s="41"/>
      <c r="AI1039" s="41"/>
      <c r="AJ1039" s="41"/>
      <c r="AK1039" s="41"/>
      <c r="AL1039" s="41"/>
      <c r="AM1039" s="41"/>
      <c r="AN1039" s="41"/>
      <c r="AO1039" s="41"/>
      <c r="AP1039" s="41"/>
      <c r="AQ1039" s="41"/>
      <c r="AR1039" s="41"/>
      <c r="AS1039" s="41"/>
      <c r="AT1039" s="41"/>
      <c r="AU1039" s="41"/>
      <c r="AV1039" s="41"/>
      <c r="AW1039" s="41"/>
      <c r="AX1039" s="41"/>
      <c r="AY1039" s="41"/>
      <c r="AZ1039" s="41"/>
      <c r="BA1039" s="41"/>
      <c r="BB1039" s="41"/>
      <c r="BC1039" s="41"/>
      <c r="BD1039" s="41"/>
      <c r="BE1039" s="41"/>
      <c r="BF1039" s="41"/>
      <c r="BG1039" s="41"/>
      <c r="BH1039" s="41"/>
      <c r="BJ1039" s="41"/>
      <c r="BK1039" s="41"/>
      <c r="BL1039" s="41"/>
      <c r="BM1039" s="41"/>
      <c r="BN1039" s="41"/>
      <c r="BO1039" s="41"/>
      <c r="BP1039" s="41"/>
      <c r="BQ1039" s="41"/>
      <c r="BR1039" s="41"/>
      <c r="BS1039" s="41"/>
      <c r="BT1039" s="41"/>
      <c r="BU1039" s="41"/>
      <c r="BV1039" s="41">
        <v>0.05</v>
      </c>
      <c r="BW1039" s="41"/>
      <c r="BX1039" s="41"/>
      <c r="BY1039" s="41"/>
      <c r="BZ1039" s="41"/>
      <c r="CA1039" s="41"/>
      <c r="CB1039" s="41">
        <v>0.05</v>
      </c>
      <c r="CC1039" s="41"/>
      <c r="CD1039" s="41"/>
      <c r="CE1039" s="41">
        <v>0.05</v>
      </c>
      <c r="CF1039" s="41">
        <v>0.02</v>
      </c>
      <c r="CG1039" s="41">
        <v>0.03</v>
      </c>
      <c r="CH1039" s="41"/>
      <c r="CI1039" s="41"/>
      <c r="CJ1039" s="41"/>
      <c r="CK1039" s="41"/>
      <c r="CL1039" s="41">
        <v>0.8</v>
      </c>
      <c r="CM1039" s="41"/>
      <c r="CN1039" s="41"/>
      <c r="CO1039" s="41"/>
      <c r="CP1039" s="41"/>
      <c r="CQ1039" s="41"/>
      <c r="CR1039" s="41"/>
      <c r="CS1039" s="41"/>
      <c r="CT1039" s="41"/>
      <c r="CU1039" s="41"/>
      <c r="CV1039" s="41"/>
      <c r="CW1039" s="41"/>
      <c r="CX1039" s="41"/>
      <c r="CY1039" s="41"/>
      <c r="CZ1039" s="41"/>
      <c r="DA1039" s="41"/>
      <c r="DB1039" s="41"/>
      <c r="DC1039" s="41"/>
      <c r="DD1039" s="41"/>
      <c r="DE1039" s="41"/>
      <c r="DF1039" s="41"/>
      <c r="DG1039" s="41"/>
      <c r="DH1039" s="41"/>
      <c r="DI1039" s="41"/>
      <c r="DJ1039" s="41"/>
      <c r="DK1039" s="41"/>
      <c r="DL1039" s="41"/>
      <c r="DM1039" s="41"/>
      <c r="DN1039" s="41"/>
      <c r="DO1039" s="41"/>
      <c r="DP1039" s="41"/>
      <c r="DQ1039" s="41"/>
      <c r="DR1039" s="41"/>
      <c r="DS1039" s="43"/>
      <c r="DT1039" s="44">
        <f t="shared" ref="DT1039" si="1021">SUM(F1039:DR1039)</f>
        <v>1</v>
      </c>
    </row>
    <row r="1040" spans="2:124" s="13" customFormat="1">
      <c r="B1040" s="4">
        <f>'6.1Personnel List'!B1041</f>
        <v>1028</v>
      </c>
      <c r="C1040" s="45" t="s">
        <v>1253</v>
      </c>
      <c r="D1040" s="45" t="str">
        <f>'6.1Personnel List'!D1041</f>
        <v>Nurse I</v>
      </c>
      <c r="E1040" s="45" t="str">
        <f>'6.1Personnel List'!H1041</f>
        <v>FT</v>
      </c>
      <c r="G1040" s="41"/>
      <c r="H1040" s="41"/>
      <c r="I1040" s="41"/>
      <c r="J1040" s="41"/>
      <c r="K1040" s="41"/>
      <c r="L1040" s="41"/>
      <c r="M1040" s="41"/>
      <c r="N1040" s="41"/>
      <c r="O1040" s="41"/>
      <c r="P1040" s="41"/>
      <c r="Q1040" s="41"/>
      <c r="R1040" s="41"/>
      <c r="S1040" s="41"/>
      <c r="T1040" s="41"/>
      <c r="U1040" s="41"/>
      <c r="V1040" s="41"/>
      <c r="W1040" s="41"/>
      <c r="X1040" s="41"/>
      <c r="Y1040" s="41"/>
      <c r="Z1040" s="41"/>
      <c r="AA1040" s="41"/>
      <c r="AB1040" s="41"/>
      <c r="AC1040" s="41"/>
      <c r="AD1040" s="41"/>
      <c r="AE1040" s="41"/>
      <c r="AF1040" s="41"/>
      <c r="AG1040" s="41"/>
      <c r="AH1040" s="41"/>
      <c r="AI1040" s="41"/>
      <c r="AJ1040" s="41"/>
      <c r="AK1040" s="41"/>
      <c r="AL1040" s="41"/>
      <c r="AM1040" s="41"/>
      <c r="AN1040" s="41"/>
      <c r="AO1040" s="41"/>
      <c r="AP1040" s="41"/>
      <c r="AQ1040" s="41"/>
      <c r="AR1040" s="41"/>
      <c r="AS1040" s="41"/>
      <c r="AT1040" s="41"/>
      <c r="AU1040" s="41"/>
      <c r="AV1040" s="41"/>
      <c r="AW1040" s="41"/>
      <c r="AX1040" s="41"/>
      <c r="AY1040" s="41"/>
      <c r="AZ1040" s="41"/>
      <c r="BA1040" s="41"/>
      <c r="BB1040" s="41"/>
      <c r="BC1040" s="41"/>
      <c r="BD1040" s="41"/>
      <c r="BE1040" s="41"/>
      <c r="BF1040" s="41"/>
      <c r="BG1040" s="41"/>
      <c r="BH1040" s="41"/>
      <c r="BJ1040" s="41"/>
      <c r="BK1040" s="94"/>
      <c r="BL1040" s="94"/>
      <c r="BM1040" s="94"/>
      <c r="BN1040" s="94"/>
      <c r="BO1040" s="94"/>
      <c r="BP1040" s="94"/>
      <c r="BQ1040" s="94"/>
      <c r="BR1040" s="94"/>
      <c r="BS1040" s="94"/>
      <c r="BT1040" s="94"/>
      <c r="BU1040" s="94"/>
      <c r="BV1040" s="94"/>
      <c r="BW1040" s="94"/>
      <c r="BX1040" s="94"/>
      <c r="BY1040" s="94"/>
      <c r="BZ1040" s="94"/>
      <c r="CA1040" s="94"/>
      <c r="CB1040" s="94"/>
      <c r="CC1040" s="94"/>
      <c r="CD1040" s="94"/>
      <c r="CE1040" s="94"/>
      <c r="CF1040" s="94"/>
      <c r="CG1040" s="94"/>
      <c r="CH1040" s="94"/>
      <c r="CI1040" s="94"/>
      <c r="CJ1040" s="94"/>
      <c r="CK1040" s="94"/>
      <c r="CL1040" s="94"/>
      <c r="CM1040" s="94"/>
      <c r="CN1040" s="94"/>
      <c r="CO1040" s="94"/>
      <c r="CP1040" s="94"/>
      <c r="CQ1040" s="94"/>
      <c r="CR1040" s="94"/>
      <c r="CS1040" s="94"/>
      <c r="CT1040" s="94"/>
      <c r="CU1040" s="94">
        <v>1</v>
      </c>
      <c r="CV1040" s="94"/>
      <c r="CW1040" s="94"/>
      <c r="CX1040" s="94"/>
      <c r="CY1040" s="94"/>
      <c r="CZ1040" s="94"/>
      <c r="DA1040" s="94"/>
      <c r="DB1040" s="94"/>
      <c r="DC1040" s="94"/>
      <c r="DD1040" s="94"/>
      <c r="DE1040" s="94"/>
      <c r="DF1040" s="94"/>
      <c r="DG1040" s="94"/>
      <c r="DH1040" s="94"/>
      <c r="DI1040" s="94"/>
      <c r="DJ1040" s="94"/>
      <c r="DK1040" s="41"/>
      <c r="DL1040" s="41"/>
      <c r="DM1040" s="41"/>
      <c r="DN1040" s="41"/>
      <c r="DO1040" s="41"/>
      <c r="DP1040" s="41"/>
      <c r="DQ1040" s="41"/>
      <c r="DR1040" s="41"/>
      <c r="DS1040" s="43"/>
      <c r="DT1040" s="44">
        <f t="shared" ref="DT1040" si="1022">SUM(F1040:DR1040)</f>
        <v>1</v>
      </c>
    </row>
    <row r="1041" spans="2:124" s="13" customFormat="1">
      <c r="B1041" s="4">
        <f>'6.1Personnel List'!B1042</f>
        <v>1029</v>
      </c>
      <c r="C1041" s="45" t="s">
        <v>1254</v>
      </c>
      <c r="D1041" s="45" t="str">
        <f>'6.1Personnel List'!D1042</f>
        <v>Nurse I</v>
      </c>
      <c r="E1041" s="45" t="str">
        <f>'6.1Personnel List'!H1042</f>
        <v>FT</v>
      </c>
      <c r="G1041" s="41"/>
      <c r="H1041" s="41"/>
      <c r="I1041" s="41"/>
      <c r="J1041" s="41"/>
      <c r="K1041" s="41"/>
      <c r="L1041" s="41"/>
      <c r="M1041" s="41"/>
      <c r="N1041" s="41"/>
      <c r="O1041" s="41"/>
      <c r="P1041" s="41"/>
      <c r="Q1041" s="41"/>
      <c r="R1041" s="41"/>
      <c r="S1041" s="41"/>
      <c r="T1041" s="41"/>
      <c r="U1041" s="41"/>
      <c r="V1041" s="41"/>
      <c r="W1041" s="41"/>
      <c r="X1041" s="41"/>
      <c r="Y1041" s="41"/>
      <c r="Z1041" s="41"/>
      <c r="AA1041" s="41"/>
      <c r="AB1041" s="41"/>
      <c r="AC1041" s="41"/>
      <c r="AD1041" s="41"/>
      <c r="AE1041" s="41"/>
      <c r="AF1041" s="41"/>
      <c r="AG1041" s="41"/>
      <c r="AH1041" s="41"/>
      <c r="AI1041" s="41"/>
      <c r="AJ1041" s="41"/>
      <c r="AK1041" s="41"/>
      <c r="AL1041" s="41"/>
      <c r="AM1041" s="41"/>
      <c r="AN1041" s="41"/>
      <c r="AO1041" s="41"/>
      <c r="AP1041" s="41"/>
      <c r="AQ1041" s="41"/>
      <c r="AR1041" s="41"/>
      <c r="AS1041" s="41"/>
      <c r="AT1041" s="41"/>
      <c r="AU1041" s="41"/>
      <c r="AV1041" s="41"/>
      <c r="AW1041" s="41"/>
      <c r="AX1041" s="41"/>
      <c r="AY1041" s="41"/>
      <c r="AZ1041" s="41"/>
      <c r="BA1041" s="41"/>
      <c r="BB1041" s="41"/>
      <c r="BC1041" s="41"/>
      <c r="BD1041" s="41"/>
      <c r="BE1041" s="41"/>
      <c r="BF1041" s="41"/>
      <c r="BG1041" s="41"/>
      <c r="BH1041" s="41"/>
      <c r="BJ1041" s="41"/>
      <c r="BK1041" s="41"/>
      <c r="BL1041" s="41"/>
      <c r="BM1041" s="41"/>
      <c r="BN1041" s="41"/>
      <c r="BO1041" s="41"/>
      <c r="BP1041" s="41"/>
      <c r="BQ1041" s="41"/>
      <c r="BR1041" s="41"/>
      <c r="BS1041" s="41"/>
      <c r="BT1041" s="41"/>
      <c r="BU1041" s="41"/>
      <c r="BV1041" s="41"/>
      <c r="BW1041" s="41"/>
      <c r="BX1041" s="41"/>
      <c r="BY1041" s="41"/>
      <c r="BZ1041" s="41"/>
      <c r="CA1041" s="41"/>
      <c r="CB1041" s="41">
        <v>0.01</v>
      </c>
      <c r="CC1041" s="41"/>
      <c r="CD1041" s="41"/>
      <c r="CE1041" s="41">
        <v>0.02</v>
      </c>
      <c r="CF1041" s="41">
        <v>0.02</v>
      </c>
      <c r="CG1041" s="41">
        <v>0.1</v>
      </c>
      <c r="CH1041" s="41">
        <v>0.1</v>
      </c>
      <c r="CI1041" s="41">
        <v>0.02</v>
      </c>
      <c r="CJ1041" s="41"/>
      <c r="CK1041" s="41">
        <v>0.01</v>
      </c>
      <c r="CL1041" s="41">
        <v>0.05</v>
      </c>
      <c r="CM1041" s="41"/>
      <c r="CN1041" s="41">
        <v>0.05</v>
      </c>
      <c r="CO1041" s="41">
        <v>0.05</v>
      </c>
      <c r="CP1041" s="41">
        <v>0.05</v>
      </c>
      <c r="CQ1041" s="41">
        <v>0.05</v>
      </c>
      <c r="CR1041" s="41">
        <v>0.02</v>
      </c>
      <c r="CS1041" s="41">
        <v>0.01</v>
      </c>
      <c r="CT1041" s="41"/>
      <c r="CU1041" s="41"/>
      <c r="CV1041" s="41">
        <v>0.02</v>
      </c>
      <c r="CW1041" s="41"/>
      <c r="CX1041" s="41"/>
      <c r="CY1041" s="41"/>
      <c r="CZ1041" s="41"/>
      <c r="DA1041" s="41"/>
      <c r="DB1041" s="41"/>
      <c r="DC1041" s="41"/>
      <c r="DD1041" s="41">
        <v>0.12</v>
      </c>
      <c r="DE1041" s="41"/>
      <c r="DF1041" s="41"/>
      <c r="DG1041" s="41"/>
      <c r="DH1041" s="41"/>
      <c r="DI1041" s="41"/>
      <c r="DJ1041" s="41">
        <v>0.05</v>
      </c>
      <c r="DK1041" s="41">
        <v>0.05</v>
      </c>
      <c r="DL1041" s="41">
        <v>0.05</v>
      </c>
      <c r="DM1041" s="41">
        <v>0.05</v>
      </c>
      <c r="DN1041" s="41"/>
      <c r="DO1041" s="41"/>
      <c r="DP1041" s="41">
        <v>0.05</v>
      </c>
      <c r="DQ1041" s="41"/>
      <c r="DR1041" s="41">
        <v>0.05</v>
      </c>
      <c r="DS1041" s="43"/>
      <c r="DT1041" s="44">
        <f t="shared" ref="DT1041" si="1023">SUM(F1041:DR1041)</f>
        <v>1.0000000000000002</v>
      </c>
    </row>
    <row r="1042" spans="2:124" s="13" customFormat="1">
      <c r="B1042" s="4">
        <f>'6.1Personnel List'!B1043</f>
        <v>1030</v>
      </c>
      <c r="C1042" s="45" t="s">
        <v>1255</v>
      </c>
      <c r="D1042" s="45" t="str">
        <f>'6.1Personnel List'!D1043</f>
        <v>Nurse I</v>
      </c>
      <c r="E1042" s="45" t="str">
        <f>'6.1Personnel List'!H1043</f>
        <v>FT</v>
      </c>
      <c r="G1042" s="41"/>
      <c r="H1042" s="41"/>
      <c r="I1042" s="41"/>
      <c r="J1042" s="41"/>
      <c r="K1042" s="41"/>
      <c r="L1042" s="41"/>
      <c r="M1042" s="41"/>
      <c r="N1042" s="41"/>
      <c r="O1042" s="41"/>
      <c r="P1042" s="41"/>
      <c r="Q1042" s="41"/>
      <c r="R1042" s="41"/>
      <c r="S1042" s="41"/>
      <c r="T1042" s="41"/>
      <c r="U1042" s="41"/>
      <c r="V1042" s="41"/>
      <c r="W1042" s="41"/>
      <c r="X1042" s="41"/>
      <c r="Y1042" s="41"/>
      <c r="Z1042" s="41"/>
      <c r="AA1042" s="41"/>
      <c r="AB1042" s="41"/>
      <c r="AC1042" s="41"/>
      <c r="AD1042" s="41"/>
      <c r="AE1042" s="41"/>
      <c r="AF1042" s="41"/>
      <c r="AG1042" s="41"/>
      <c r="AH1042" s="41"/>
      <c r="AI1042" s="41"/>
      <c r="AJ1042" s="41"/>
      <c r="AK1042" s="41"/>
      <c r="AL1042" s="41"/>
      <c r="AM1042" s="41"/>
      <c r="AN1042" s="41"/>
      <c r="AO1042" s="41"/>
      <c r="AP1042" s="41"/>
      <c r="AQ1042" s="41"/>
      <c r="AR1042" s="41"/>
      <c r="AS1042" s="41"/>
      <c r="AT1042" s="41"/>
      <c r="AU1042" s="41"/>
      <c r="AV1042" s="41"/>
      <c r="AW1042" s="41"/>
      <c r="AX1042" s="41"/>
      <c r="AY1042" s="41"/>
      <c r="AZ1042" s="41"/>
      <c r="BA1042" s="41"/>
      <c r="BB1042" s="41"/>
      <c r="BC1042" s="41"/>
      <c r="BD1042" s="41"/>
      <c r="BE1042" s="41"/>
      <c r="BF1042" s="41"/>
      <c r="BG1042" s="41"/>
      <c r="BH1042" s="41"/>
      <c r="BJ1042" s="41"/>
      <c r="BK1042" s="41"/>
      <c r="BL1042" s="41"/>
      <c r="BM1042" s="41"/>
      <c r="BN1042" s="41"/>
      <c r="BO1042" s="41"/>
      <c r="BP1042" s="41"/>
      <c r="BQ1042" s="41"/>
      <c r="BR1042" s="41"/>
      <c r="BS1042" s="41"/>
      <c r="BT1042" s="41"/>
      <c r="BU1042" s="41"/>
      <c r="BV1042" s="41">
        <v>0.05</v>
      </c>
      <c r="BW1042" s="41"/>
      <c r="BX1042" s="41"/>
      <c r="BY1042" s="41"/>
      <c r="BZ1042" s="41"/>
      <c r="CA1042" s="41"/>
      <c r="CB1042" s="41">
        <v>0.05</v>
      </c>
      <c r="CC1042" s="41"/>
      <c r="CD1042" s="41"/>
      <c r="CE1042" s="41">
        <v>0.05</v>
      </c>
      <c r="CF1042" s="41">
        <v>0.05</v>
      </c>
      <c r="CG1042" s="41"/>
      <c r="CH1042" s="41"/>
      <c r="CI1042" s="41"/>
      <c r="CJ1042" s="41"/>
      <c r="CK1042" s="41"/>
      <c r="CL1042" s="41">
        <v>0.8</v>
      </c>
      <c r="CM1042" s="41"/>
      <c r="CN1042" s="41"/>
      <c r="CO1042" s="41"/>
      <c r="CP1042" s="41"/>
      <c r="CQ1042" s="41"/>
      <c r="CR1042" s="41"/>
      <c r="CS1042" s="41"/>
      <c r="CT1042" s="41"/>
      <c r="CU1042" s="41"/>
      <c r="CV1042" s="41"/>
      <c r="CW1042" s="41"/>
      <c r="CX1042" s="41"/>
      <c r="CY1042" s="41"/>
      <c r="CZ1042" s="41"/>
      <c r="DA1042" s="41"/>
      <c r="DB1042" s="41"/>
      <c r="DC1042" s="41"/>
      <c r="DD1042" s="41"/>
      <c r="DE1042" s="41"/>
      <c r="DF1042" s="41"/>
      <c r="DG1042" s="41"/>
      <c r="DH1042" s="41"/>
      <c r="DI1042" s="41"/>
      <c r="DJ1042" s="41"/>
      <c r="DK1042" s="41"/>
      <c r="DL1042" s="41"/>
      <c r="DM1042" s="41"/>
      <c r="DN1042" s="41"/>
      <c r="DO1042" s="41"/>
      <c r="DP1042" s="41"/>
      <c r="DQ1042" s="41"/>
      <c r="DR1042" s="41"/>
      <c r="DS1042" s="43"/>
      <c r="DT1042" s="44">
        <f t="shared" ref="DT1042" si="1024">SUM(F1042:DR1042)</f>
        <v>1</v>
      </c>
    </row>
    <row r="1043" spans="2:124" s="13" customFormat="1">
      <c r="B1043" s="4">
        <f>'6.1Personnel List'!B1044</f>
        <v>1031</v>
      </c>
      <c r="C1043" s="45" t="s">
        <v>1256</v>
      </c>
      <c r="D1043" s="45" t="str">
        <f>'6.1Personnel List'!D1044</f>
        <v>Nurse I</v>
      </c>
      <c r="E1043" s="45" t="str">
        <f>'6.1Personnel List'!H1044</f>
        <v>FT</v>
      </c>
      <c r="G1043" s="41"/>
      <c r="H1043" s="41"/>
      <c r="I1043" s="41"/>
      <c r="J1043" s="41"/>
      <c r="K1043" s="41"/>
      <c r="L1043" s="41"/>
      <c r="M1043" s="41"/>
      <c r="N1043" s="41"/>
      <c r="O1043" s="41"/>
      <c r="P1043" s="41"/>
      <c r="Q1043" s="41"/>
      <c r="R1043" s="41"/>
      <c r="S1043" s="41"/>
      <c r="T1043" s="41"/>
      <c r="U1043" s="41"/>
      <c r="V1043" s="41"/>
      <c r="W1043" s="41"/>
      <c r="X1043" s="41"/>
      <c r="Y1043" s="41"/>
      <c r="Z1043" s="41"/>
      <c r="AA1043" s="41"/>
      <c r="AB1043" s="41"/>
      <c r="AC1043" s="41"/>
      <c r="AD1043" s="41"/>
      <c r="AE1043" s="41"/>
      <c r="AF1043" s="41"/>
      <c r="AG1043" s="41"/>
      <c r="AH1043" s="41"/>
      <c r="AI1043" s="41"/>
      <c r="AJ1043" s="41"/>
      <c r="AK1043" s="41"/>
      <c r="AL1043" s="41"/>
      <c r="AM1043" s="41"/>
      <c r="AN1043" s="41"/>
      <c r="AO1043" s="41"/>
      <c r="AP1043" s="41"/>
      <c r="AQ1043" s="41"/>
      <c r="AR1043" s="41"/>
      <c r="AS1043" s="41"/>
      <c r="AT1043" s="41"/>
      <c r="AU1043" s="41"/>
      <c r="AV1043" s="41"/>
      <c r="AW1043" s="41"/>
      <c r="AX1043" s="41"/>
      <c r="AY1043" s="41"/>
      <c r="AZ1043" s="41"/>
      <c r="BA1043" s="41"/>
      <c r="BB1043" s="41"/>
      <c r="BC1043" s="41"/>
      <c r="BD1043" s="41"/>
      <c r="BE1043" s="41"/>
      <c r="BF1043" s="41"/>
      <c r="BG1043" s="41"/>
      <c r="BH1043" s="41"/>
      <c r="BJ1043" s="41"/>
      <c r="BK1043" s="41"/>
      <c r="BL1043" s="41"/>
      <c r="BM1043" s="41"/>
      <c r="BN1043" s="41"/>
      <c r="BO1043" s="41"/>
      <c r="BP1043" s="41"/>
      <c r="BQ1043" s="41"/>
      <c r="BR1043" s="41"/>
      <c r="BS1043" s="41"/>
      <c r="BT1043" s="41"/>
      <c r="BU1043" s="41"/>
      <c r="BV1043" s="41">
        <v>0.05</v>
      </c>
      <c r="BW1043" s="41"/>
      <c r="BX1043" s="41"/>
      <c r="BY1043" s="41"/>
      <c r="BZ1043" s="41"/>
      <c r="CA1043" s="41"/>
      <c r="CB1043" s="41">
        <v>0.05</v>
      </c>
      <c r="CC1043" s="41"/>
      <c r="CD1043" s="41"/>
      <c r="CE1043" s="41">
        <v>0.05</v>
      </c>
      <c r="CF1043" s="41">
        <v>0.02</v>
      </c>
      <c r="CG1043" s="41">
        <v>0.03</v>
      </c>
      <c r="CH1043" s="41"/>
      <c r="CI1043" s="41"/>
      <c r="CJ1043" s="41"/>
      <c r="CK1043" s="41"/>
      <c r="CL1043" s="41">
        <v>0.8</v>
      </c>
      <c r="CM1043" s="41"/>
      <c r="CN1043" s="41"/>
      <c r="CO1043" s="41"/>
      <c r="CP1043" s="41"/>
      <c r="CQ1043" s="41"/>
      <c r="CR1043" s="41"/>
      <c r="CS1043" s="41"/>
      <c r="CT1043" s="41"/>
      <c r="CU1043" s="41"/>
      <c r="CV1043" s="41"/>
      <c r="CW1043" s="41"/>
      <c r="CX1043" s="41"/>
      <c r="CY1043" s="41"/>
      <c r="CZ1043" s="41"/>
      <c r="DA1043" s="41"/>
      <c r="DB1043" s="41"/>
      <c r="DC1043" s="41"/>
      <c r="DD1043" s="41"/>
      <c r="DE1043" s="41"/>
      <c r="DF1043" s="41"/>
      <c r="DG1043" s="41"/>
      <c r="DH1043" s="41"/>
      <c r="DI1043" s="41"/>
      <c r="DJ1043" s="41"/>
      <c r="DK1043" s="41"/>
      <c r="DL1043" s="41"/>
      <c r="DM1043" s="41"/>
      <c r="DN1043" s="41"/>
      <c r="DO1043" s="41"/>
      <c r="DP1043" s="41"/>
      <c r="DQ1043" s="41"/>
      <c r="DR1043" s="41"/>
      <c r="DS1043" s="43"/>
      <c r="DT1043" s="44">
        <f t="shared" ref="DT1043" si="1025">SUM(F1043:DR1043)</f>
        <v>1</v>
      </c>
    </row>
    <row r="1044" spans="2:124" s="13" customFormat="1">
      <c r="B1044" s="4">
        <f>'6.1Personnel List'!B1045</f>
        <v>1032</v>
      </c>
      <c r="C1044" s="45" t="s">
        <v>1257</v>
      </c>
      <c r="D1044" s="45" t="str">
        <f>'6.1Personnel List'!D1045</f>
        <v>Nurse I</v>
      </c>
      <c r="E1044" s="45" t="str">
        <f>'6.1Personnel List'!H1045</f>
        <v>FT</v>
      </c>
      <c r="G1044" s="41"/>
      <c r="H1044" s="41"/>
      <c r="I1044" s="41"/>
      <c r="J1044" s="41"/>
      <c r="K1044" s="41"/>
      <c r="L1044" s="41"/>
      <c r="M1044" s="41"/>
      <c r="N1044" s="41"/>
      <c r="O1044" s="41"/>
      <c r="P1044" s="41"/>
      <c r="Q1044" s="41"/>
      <c r="R1044" s="41"/>
      <c r="S1044" s="41"/>
      <c r="T1044" s="41"/>
      <c r="U1044" s="41"/>
      <c r="V1044" s="41"/>
      <c r="W1044" s="41"/>
      <c r="X1044" s="41"/>
      <c r="Y1044" s="41"/>
      <c r="Z1044" s="41"/>
      <c r="AA1044" s="41"/>
      <c r="AB1044" s="41"/>
      <c r="AC1044" s="41"/>
      <c r="AD1044" s="41"/>
      <c r="AE1044" s="41"/>
      <c r="AF1044" s="41"/>
      <c r="AG1044" s="41"/>
      <c r="AH1044" s="41"/>
      <c r="AI1044" s="41"/>
      <c r="AJ1044" s="41"/>
      <c r="AK1044" s="41"/>
      <c r="AL1044" s="41"/>
      <c r="AM1044" s="41"/>
      <c r="AN1044" s="41"/>
      <c r="AO1044" s="41"/>
      <c r="AP1044" s="41"/>
      <c r="AQ1044" s="41"/>
      <c r="AR1044" s="41"/>
      <c r="AS1044" s="41"/>
      <c r="AT1044" s="41"/>
      <c r="AU1044" s="41"/>
      <c r="AV1044" s="41"/>
      <c r="AW1044" s="41"/>
      <c r="AX1044" s="41"/>
      <c r="AY1044" s="41"/>
      <c r="AZ1044" s="41"/>
      <c r="BA1044" s="41"/>
      <c r="BB1044" s="41"/>
      <c r="BC1044" s="41"/>
      <c r="BD1044" s="41"/>
      <c r="BE1044" s="41"/>
      <c r="BF1044" s="41"/>
      <c r="BG1044" s="41"/>
      <c r="BH1044" s="41"/>
      <c r="BJ1044" s="41"/>
      <c r="BK1044" s="41"/>
      <c r="BL1044" s="41"/>
      <c r="BM1044" s="41"/>
      <c r="BN1044" s="41"/>
      <c r="BO1044" s="41"/>
      <c r="BP1044" s="41"/>
      <c r="BQ1044" s="41"/>
      <c r="BR1044" s="41"/>
      <c r="BS1044" s="41">
        <v>0.05</v>
      </c>
      <c r="BT1044" s="41"/>
      <c r="BU1044" s="41"/>
      <c r="BV1044" s="41">
        <v>0.05</v>
      </c>
      <c r="BW1044" s="41">
        <v>0.05</v>
      </c>
      <c r="BX1044" s="41"/>
      <c r="BY1044" s="41"/>
      <c r="BZ1044" s="41"/>
      <c r="CA1044" s="41"/>
      <c r="CB1044" s="41"/>
      <c r="CC1044" s="41"/>
      <c r="CD1044" s="41"/>
      <c r="CE1044" s="41">
        <v>0.1</v>
      </c>
      <c r="CF1044" s="41">
        <v>0.05</v>
      </c>
      <c r="CG1044" s="41">
        <v>0.05</v>
      </c>
      <c r="CH1044" s="41">
        <v>0.05</v>
      </c>
      <c r="CI1044" s="41"/>
      <c r="CJ1044" s="41">
        <v>0.05</v>
      </c>
      <c r="CK1044" s="41"/>
      <c r="CL1044" s="41">
        <v>0.2</v>
      </c>
      <c r="CM1044" s="41"/>
      <c r="CN1044" s="41"/>
      <c r="CO1044" s="41"/>
      <c r="CP1044" s="41"/>
      <c r="CQ1044" s="41"/>
      <c r="CR1044" s="41"/>
      <c r="CS1044" s="41"/>
      <c r="CT1044" s="41"/>
      <c r="CU1044" s="41">
        <v>0.05</v>
      </c>
      <c r="CV1044" s="41"/>
      <c r="CW1044" s="41"/>
      <c r="CX1044" s="41"/>
      <c r="CY1044" s="41"/>
      <c r="CZ1044" s="41"/>
      <c r="DA1044" s="41"/>
      <c r="DB1044" s="41"/>
      <c r="DC1044" s="41"/>
      <c r="DD1044" s="41">
        <v>0.05</v>
      </c>
      <c r="DE1044" s="41"/>
      <c r="DF1044" s="41"/>
      <c r="DG1044" s="41"/>
      <c r="DH1044" s="41"/>
      <c r="DI1044" s="41"/>
      <c r="DJ1044" s="41"/>
      <c r="DK1044" s="41"/>
      <c r="DL1044" s="41">
        <v>0.25</v>
      </c>
      <c r="DM1044" s="41"/>
      <c r="DN1044" s="41"/>
      <c r="DO1044" s="41"/>
      <c r="DP1044" s="41"/>
      <c r="DQ1044" s="41"/>
      <c r="DR1044" s="41"/>
      <c r="DS1044" s="43"/>
      <c r="DT1044" s="44">
        <f t="shared" ref="DT1044" si="1026">SUM(F1044:DR1044)</f>
        <v>1</v>
      </c>
    </row>
    <row r="1045" spans="2:124" s="13" customFormat="1">
      <c r="B1045" s="4">
        <f>'6.1Personnel List'!B1046</f>
        <v>1033</v>
      </c>
      <c r="C1045" s="45" t="s">
        <v>1258</v>
      </c>
      <c r="D1045" s="45" t="str">
        <f>'6.1Personnel List'!D1046</f>
        <v>Nurse I</v>
      </c>
      <c r="E1045" s="45" t="str">
        <f>'6.1Personnel List'!H1046</f>
        <v>FT</v>
      </c>
      <c r="G1045" s="41"/>
      <c r="H1045" s="41"/>
      <c r="I1045" s="41"/>
      <c r="J1045" s="41"/>
      <c r="K1045" s="41"/>
      <c r="L1045" s="41"/>
      <c r="M1045" s="41"/>
      <c r="N1045" s="41"/>
      <c r="O1045" s="41"/>
      <c r="P1045" s="41"/>
      <c r="Q1045" s="41"/>
      <c r="R1045" s="41"/>
      <c r="S1045" s="41"/>
      <c r="T1045" s="41"/>
      <c r="U1045" s="41"/>
      <c r="V1045" s="41"/>
      <c r="W1045" s="41"/>
      <c r="X1045" s="41"/>
      <c r="Y1045" s="41"/>
      <c r="Z1045" s="41"/>
      <c r="AA1045" s="41"/>
      <c r="AB1045" s="41"/>
      <c r="AC1045" s="41"/>
      <c r="AD1045" s="41"/>
      <c r="AE1045" s="41"/>
      <c r="AF1045" s="41"/>
      <c r="AG1045" s="41"/>
      <c r="AH1045" s="41"/>
      <c r="AI1045" s="41"/>
      <c r="AJ1045" s="41"/>
      <c r="AK1045" s="41"/>
      <c r="AL1045" s="41"/>
      <c r="AM1045" s="41"/>
      <c r="AN1045" s="41"/>
      <c r="AO1045" s="41"/>
      <c r="AP1045" s="41"/>
      <c r="AQ1045" s="41"/>
      <c r="AR1045" s="41"/>
      <c r="AS1045" s="41"/>
      <c r="AT1045" s="41"/>
      <c r="AU1045" s="41"/>
      <c r="AV1045" s="41"/>
      <c r="AW1045" s="41"/>
      <c r="AX1045" s="41"/>
      <c r="AY1045" s="41"/>
      <c r="AZ1045" s="41"/>
      <c r="BA1045" s="41"/>
      <c r="BB1045" s="41"/>
      <c r="BC1045" s="41"/>
      <c r="BD1045" s="41"/>
      <c r="BE1045" s="41"/>
      <c r="BF1045" s="41"/>
      <c r="BG1045" s="41"/>
      <c r="BH1045" s="41"/>
      <c r="BJ1045" s="41"/>
      <c r="BK1045" s="41"/>
      <c r="BL1045" s="41"/>
      <c r="BM1045" s="41"/>
      <c r="BN1045" s="41"/>
      <c r="BO1045" s="41"/>
      <c r="BP1045" s="41"/>
      <c r="BQ1045" s="41"/>
      <c r="BR1045" s="41"/>
      <c r="BS1045" s="41"/>
      <c r="BT1045" s="41"/>
      <c r="BU1045" s="41"/>
      <c r="BV1045" s="41">
        <v>0.05</v>
      </c>
      <c r="BW1045" s="41">
        <v>0.2</v>
      </c>
      <c r="BX1045" s="41"/>
      <c r="BY1045" s="41"/>
      <c r="BZ1045" s="41"/>
      <c r="CA1045" s="41"/>
      <c r="CB1045" s="41"/>
      <c r="CC1045" s="41"/>
      <c r="CD1045" s="41"/>
      <c r="CE1045" s="41">
        <v>0.1</v>
      </c>
      <c r="CF1045" s="41">
        <v>0.1</v>
      </c>
      <c r="CG1045" s="41">
        <v>0.1</v>
      </c>
      <c r="CH1045" s="41"/>
      <c r="CI1045" s="41"/>
      <c r="CJ1045" s="41"/>
      <c r="CK1045" s="41"/>
      <c r="CL1045" s="41"/>
      <c r="CM1045" s="41"/>
      <c r="CN1045" s="41"/>
      <c r="CO1045" s="41"/>
      <c r="CP1045" s="41"/>
      <c r="CQ1045" s="41"/>
      <c r="CR1045" s="41"/>
      <c r="CS1045" s="41"/>
      <c r="CT1045" s="41"/>
      <c r="CU1045" s="41"/>
      <c r="CV1045" s="41"/>
      <c r="CW1045" s="41"/>
      <c r="CX1045" s="41"/>
      <c r="CY1045" s="41"/>
      <c r="CZ1045" s="41"/>
      <c r="DA1045" s="41"/>
      <c r="DB1045" s="41"/>
      <c r="DC1045" s="41"/>
      <c r="DD1045" s="41"/>
      <c r="DE1045" s="41"/>
      <c r="DF1045" s="41"/>
      <c r="DG1045" s="41"/>
      <c r="DH1045" s="41"/>
      <c r="DI1045" s="41"/>
      <c r="DJ1045" s="41"/>
      <c r="DK1045" s="41"/>
      <c r="DL1045" s="41"/>
      <c r="DM1045" s="41">
        <v>0.45</v>
      </c>
      <c r="DN1045" s="41"/>
      <c r="DO1045" s="41"/>
      <c r="DP1045" s="41"/>
      <c r="DQ1045" s="41"/>
      <c r="DR1045" s="41"/>
      <c r="DS1045" s="43"/>
      <c r="DT1045" s="44">
        <f t="shared" ref="DT1045" si="1027">SUM(F1045:DR1045)</f>
        <v>1</v>
      </c>
    </row>
    <row r="1046" spans="2:124" s="13" customFormat="1">
      <c r="B1046" s="4">
        <f>'6.1Personnel List'!B1047</f>
        <v>1034</v>
      </c>
      <c r="C1046" s="45" t="s">
        <v>1259</v>
      </c>
      <c r="D1046" s="45" t="str">
        <f>'6.1Personnel List'!D1047</f>
        <v>Nurse I</v>
      </c>
      <c r="E1046" s="45" t="str">
        <f>'6.1Personnel List'!H1047</f>
        <v>FT</v>
      </c>
      <c r="G1046" s="41"/>
      <c r="H1046" s="41"/>
      <c r="I1046" s="41"/>
      <c r="J1046" s="41"/>
      <c r="K1046" s="41"/>
      <c r="L1046" s="41"/>
      <c r="M1046" s="41"/>
      <c r="N1046" s="41"/>
      <c r="O1046" s="41"/>
      <c r="P1046" s="41"/>
      <c r="Q1046" s="41"/>
      <c r="R1046" s="41"/>
      <c r="S1046" s="41"/>
      <c r="T1046" s="41"/>
      <c r="U1046" s="41"/>
      <c r="V1046" s="41"/>
      <c r="W1046" s="41"/>
      <c r="X1046" s="41"/>
      <c r="Y1046" s="41"/>
      <c r="Z1046" s="41"/>
      <c r="AA1046" s="41"/>
      <c r="AB1046" s="41"/>
      <c r="AC1046" s="41"/>
      <c r="AD1046" s="41"/>
      <c r="AE1046" s="41"/>
      <c r="AF1046" s="41"/>
      <c r="AG1046" s="41"/>
      <c r="AH1046" s="41"/>
      <c r="AI1046" s="41"/>
      <c r="AJ1046" s="41"/>
      <c r="AK1046" s="41"/>
      <c r="AL1046" s="41"/>
      <c r="AM1046" s="41"/>
      <c r="AN1046" s="41"/>
      <c r="AO1046" s="41"/>
      <c r="AP1046" s="41"/>
      <c r="AQ1046" s="41"/>
      <c r="AR1046" s="41"/>
      <c r="AS1046" s="41"/>
      <c r="AT1046" s="41"/>
      <c r="AU1046" s="41"/>
      <c r="AV1046" s="41"/>
      <c r="AW1046" s="41"/>
      <c r="AX1046" s="41"/>
      <c r="AY1046" s="41"/>
      <c r="AZ1046" s="41"/>
      <c r="BA1046" s="41"/>
      <c r="BB1046" s="41"/>
      <c r="BC1046" s="41"/>
      <c r="BD1046" s="41"/>
      <c r="BE1046" s="41"/>
      <c r="BF1046" s="41"/>
      <c r="BG1046" s="41"/>
      <c r="BH1046" s="41"/>
      <c r="BJ1046" s="41"/>
      <c r="BK1046" s="41"/>
      <c r="BL1046" s="41"/>
      <c r="BM1046" s="41"/>
      <c r="BN1046" s="41"/>
      <c r="BO1046" s="41"/>
      <c r="BP1046" s="41"/>
      <c r="BQ1046" s="41"/>
      <c r="BR1046" s="41"/>
      <c r="BS1046" s="41"/>
      <c r="BT1046" s="41"/>
      <c r="BU1046" s="41"/>
      <c r="BV1046" s="41">
        <v>0.05</v>
      </c>
      <c r="BW1046" s="41">
        <v>0.2</v>
      </c>
      <c r="BX1046" s="41"/>
      <c r="BY1046" s="41"/>
      <c r="BZ1046" s="41"/>
      <c r="CA1046" s="41"/>
      <c r="CB1046" s="41"/>
      <c r="CC1046" s="41"/>
      <c r="CD1046" s="41"/>
      <c r="CE1046" s="41">
        <v>0.1</v>
      </c>
      <c r="CF1046" s="41">
        <v>0.1</v>
      </c>
      <c r="CG1046" s="41">
        <v>0.1</v>
      </c>
      <c r="CH1046" s="41"/>
      <c r="CI1046" s="41"/>
      <c r="CJ1046" s="41"/>
      <c r="CK1046" s="41"/>
      <c r="CL1046" s="41"/>
      <c r="CM1046" s="41"/>
      <c r="CN1046" s="41"/>
      <c r="CO1046" s="41"/>
      <c r="CP1046" s="41"/>
      <c r="CQ1046" s="41"/>
      <c r="CR1046" s="41"/>
      <c r="CS1046" s="41"/>
      <c r="CT1046" s="41"/>
      <c r="CU1046" s="41"/>
      <c r="CV1046" s="41"/>
      <c r="CW1046" s="41"/>
      <c r="CX1046" s="41"/>
      <c r="CY1046" s="41"/>
      <c r="CZ1046" s="41"/>
      <c r="DA1046" s="41"/>
      <c r="DB1046" s="41"/>
      <c r="DC1046" s="41"/>
      <c r="DD1046" s="41"/>
      <c r="DE1046" s="41"/>
      <c r="DF1046" s="41"/>
      <c r="DG1046" s="41"/>
      <c r="DH1046" s="41"/>
      <c r="DI1046" s="41"/>
      <c r="DJ1046" s="41"/>
      <c r="DK1046" s="41"/>
      <c r="DL1046" s="41"/>
      <c r="DM1046" s="41">
        <v>0.45</v>
      </c>
      <c r="DN1046" s="41"/>
      <c r="DO1046" s="41"/>
      <c r="DP1046" s="41"/>
      <c r="DQ1046" s="41"/>
      <c r="DR1046" s="41"/>
      <c r="DS1046" s="43"/>
      <c r="DT1046" s="44">
        <f t="shared" ref="DT1046" si="1028">SUM(F1046:DR1046)</f>
        <v>1</v>
      </c>
    </row>
    <row r="1047" spans="2:124" s="13" customFormat="1">
      <c r="B1047" s="4">
        <f>'6.1Personnel List'!B1048</f>
        <v>1035</v>
      </c>
      <c r="C1047" s="45" t="s">
        <v>1260</v>
      </c>
      <c r="D1047" s="45" t="str">
        <f>'6.1Personnel List'!D1048</f>
        <v>Nurse I</v>
      </c>
      <c r="E1047" s="45" t="str">
        <f>'6.1Personnel List'!H1048</f>
        <v>FT</v>
      </c>
      <c r="G1047" s="41"/>
      <c r="H1047" s="41"/>
      <c r="I1047" s="41"/>
      <c r="J1047" s="41"/>
      <c r="K1047" s="41"/>
      <c r="L1047" s="41"/>
      <c r="M1047" s="41"/>
      <c r="N1047" s="41"/>
      <c r="O1047" s="41"/>
      <c r="P1047" s="41"/>
      <c r="Q1047" s="41"/>
      <c r="R1047" s="41"/>
      <c r="S1047" s="41"/>
      <c r="T1047" s="41"/>
      <c r="U1047" s="41"/>
      <c r="V1047" s="41"/>
      <c r="W1047" s="41"/>
      <c r="X1047" s="41"/>
      <c r="Y1047" s="41"/>
      <c r="Z1047" s="41"/>
      <c r="AA1047" s="41"/>
      <c r="AB1047" s="41"/>
      <c r="AC1047" s="41"/>
      <c r="AD1047" s="41"/>
      <c r="AE1047" s="41"/>
      <c r="AF1047" s="41"/>
      <c r="AG1047" s="41"/>
      <c r="AH1047" s="41"/>
      <c r="AI1047" s="41"/>
      <c r="AJ1047" s="41"/>
      <c r="AK1047" s="41"/>
      <c r="AL1047" s="41"/>
      <c r="AM1047" s="41"/>
      <c r="AN1047" s="41"/>
      <c r="AO1047" s="41"/>
      <c r="AP1047" s="41"/>
      <c r="AQ1047" s="41"/>
      <c r="AR1047" s="41"/>
      <c r="AS1047" s="41"/>
      <c r="AT1047" s="41"/>
      <c r="AU1047" s="41"/>
      <c r="AV1047" s="41"/>
      <c r="AW1047" s="41"/>
      <c r="AX1047" s="41"/>
      <c r="AY1047" s="41"/>
      <c r="AZ1047" s="41"/>
      <c r="BA1047" s="41"/>
      <c r="BB1047" s="41"/>
      <c r="BC1047" s="41"/>
      <c r="BD1047" s="41"/>
      <c r="BE1047" s="41"/>
      <c r="BF1047" s="41"/>
      <c r="BG1047" s="41"/>
      <c r="BH1047" s="41"/>
      <c r="BJ1047" s="41"/>
      <c r="BK1047" s="41"/>
      <c r="BL1047" s="41"/>
      <c r="BM1047" s="41"/>
      <c r="BN1047" s="41"/>
      <c r="BO1047" s="41"/>
      <c r="BP1047" s="41"/>
      <c r="BQ1047" s="41"/>
      <c r="BR1047" s="41"/>
      <c r="BS1047" s="41">
        <v>0.05</v>
      </c>
      <c r="BT1047" s="41"/>
      <c r="BU1047" s="41"/>
      <c r="BV1047" s="41">
        <v>0.05</v>
      </c>
      <c r="BW1047" s="41">
        <v>0.05</v>
      </c>
      <c r="BX1047" s="41"/>
      <c r="BY1047" s="41"/>
      <c r="BZ1047" s="41"/>
      <c r="CA1047" s="41"/>
      <c r="CB1047" s="41"/>
      <c r="CC1047" s="41"/>
      <c r="CD1047" s="41"/>
      <c r="CE1047" s="41">
        <v>0.1</v>
      </c>
      <c r="CF1047" s="41">
        <v>0.05</v>
      </c>
      <c r="CG1047" s="41">
        <v>0.05</v>
      </c>
      <c r="CH1047" s="41">
        <v>0.05</v>
      </c>
      <c r="CI1047" s="41"/>
      <c r="CJ1047" s="41">
        <v>0.05</v>
      </c>
      <c r="CK1047" s="41"/>
      <c r="CL1047" s="41">
        <v>0.2</v>
      </c>
      <c r="CM1047" s="41"/>
      <c r="CN1047" s="41"/>
      <c r="CO1047" s="41"/>
      <c r="CP1047" s="41"/>
      <c r="CQ1047" s="41"/>
      <c r="CR1047" s="41"/>
      <c r="CS1047" s="41"/>
      <c r="CT1047" s="41"/>
      <c r="CU1047" s="41">
        <v>0.05</v>
      </c>
      <c r="CV1047" s="41"/>
      <c r="CW1047" s="41"/>
      <c r="CX1047" s="41"/>
      <c r="CY1047" s="41"/>
      <c r="CZ1047" s="41"/>
      <c r="DA1047" s="41"/>
      <c r="DB1047" s="41"/>
      <c r="DC1047" s="41"/>
      <c r="DD1047" s="41">
        <v>0.05</v>
      </c>
      <c r="DE1047" s="41"/>
      <c r="DF1047" s="41"/>
      <c r="DG1047" s="41"/>
      <c r="DH1047" s="41"/>
      <c r="DI1047" s="41"/>
      <c r="DJ1047" s="41"/>
      <c r="DK1047" s="41"/>
      <c r="DL1047" s="41"/>
      <c r="DM1047" s="41"/>
      <c r="DN1047" s="41"/>
      <c r="DO1047" s="41"/>
      <c r="DP1047" s="41">
        <v>0.25</v>
      </c>
      <c r="DQ1047" s="41"/>
      <c r="DR1047" s="41"/>
      <c r="DS1047" s="43"/>
      <c r="DT1047" s="44">
        <f t="shared" ref="DT1047" si="1029">SUM(F1047:DR1047)</f>
        <v>1</v>
      </c>
    </row>
    <row r="1048" spans="2:124" s="13" customFormat="1">
      <c r="B1048" s="4">
        <f>'6.1Personnel List'!B1049</f>
        <v>1036</v>
      </c>
      <c r="C1048" s="45" t="s">
        <v>1261</v>
      </c>
      <c r="D1048" s="45" t="str">
        <f>'6.1Personnel List'!D1049</f>
        <v>Nurse I</v>
      </c>
      <c r="E1048" s="45" t="str">
        <f>'6.1Personnel List'!H1049</f>
        <v>FT</v>
      </c>
      <c r="G1048" s="41"/>
      <c r="H1048" s="41"/>
      <c r="I1048" s="41"/>
      <c r="J1048" s="41"/>
      <c r="K1048" s="41"/>
      <c r="L1048" s="41"/>
      <c r="M1048" s="41"/>
      <c r="N1048" s="41"/>
      <c r="O1048" s="41"/>
      <c r="P1048" s="41"/>
      <c r="Q1048" s="41"/>
      <c r="R1048" s="41"/>
      <c r="S1048" s="41"/>
      <c r="T1048" s="41"/>
      <c r="U1048" s="41"/>
      <c r="V1048" s="41"/>
      <c r="W1048" s="41"/>
      <c r="X1048" s="41"/>
      <c r="Y1048" s="41"/>
      <c r="Z1048" s="41"/>
      <c r="AA1048" s="41"/>
      <c r="AB1048" s="41"/>
      <c r="AC1048" s="41"/>
      <c r="AD1048" s="41"/>
      <c r="AE1048" s="41"/>
      <c r="AF1048" s="41"/>
      <c r="AG1048" s="41"/>
      <c r="AH1048" s="41"/>
      <c r="AI1048" s="41"/>
      <c r="AJ1048" s="41"/>
      <c r="AK1048" s="41"/>
      <c r="AL1048" s="41"/>
      <c r="AM1048" s="41"/>
      <c r="AN1048" s="41"/>
      <c r="AO1048" s="41"/>
      <c r="AP1048" s="41"/>
      <c r="AQ1048" s="41"/>
      <c r="AR1048" s="41"/>
      <c r="AS1048" s="41"/>
      <c r="AT1048" s="41"/>
      <c r="AU1048" s="41"/>
      <c r="AV1048" s="41"/>
      <c r="AW1048" s="41"/>
      <c r="AX1048" s="41"/>
      <c r="AY1048" s="41"/>
      <c r="AZ1048" s="41"/>
      <c r="BA1048" s="41"/>
      <c r="BB1048" s="41"/>
      <c r="BC1048" s="41"/>
      <c r="BD1048" s="41"/>
      <c r="BE1048" s="41"/>
      <c r="BF1048" s="41"/>
      <c r="BG1048" s="41"/>
      <c r="BH1048" s="41"/>
      <c r="BJ1048" s="41"/>
      <c r="BK1048" s="41"/>
      <c r="BL1048" s="41"/>
      <c r="BM1048" s="41"/>
      <c r="BN1048" s="41"/>
      <c r="BO1048" s="41"/>
      <c r="BP1048" s="41"/>
      <c r="BQ1048" s="41"/>
      <c r="BR1048" s="41"/>
      <c r="BS1048" s="41"/>
      <c r="BT1048" s="41"/>
      <c r="BU1048" s="41"/>
      <c r="BV1048" s="41">
        <v>0.05</v>
      </c>
      <c r="BW1048" s="41">
        <v>0.2</v>
      </c>
      <c r="BX1048" s="41"/>
      <c r="BY1048" s="41"/>
      <c r="BZ1048" s="41"/>
      <c r="CA1048" s="41"/>
      <c r="CB1048" s="41"/>
      <c r="CC1048" s="41"/>
      <c r="CD1048" s="41"/>
      <c r="CE1048" s="41">
        <v>0.1</v>
      </c>
      <c r="CF1048" s="41">
        <v>0.1</v>
      </c>
      <c r="CG1048" s="41">
        <v>0.1</v>
      </c>
      <c r="CH1048" s="41"/>
      <c r="CI1048" s="41"/>
      <c r="CJ1048" s="41"/>
      <c r="CK1048" s="41"/>
      <c r="CL1048" s="41"/>
      <c r="CM1048" s="41"/>
      <c r="CN1048" s="41"/>
      <c r="CO1048" s="41"/>
      <c r="CP1048" s="41"/>
      <c r="CQ1048" s="41"/>
      <c r="CR1048" s="41"/>
      <c r="CS1048" s="41"/>
      <c r="CT1048" s="41"/>
      <c r="CU1048" s="41"/>
      <c r="CV1048" s="41"/>
      <c r="CW1048" s="41"/>
      <c r="CX1048" s="41"/>
      <c r="CY1048" s="41"/>
      <c r="CZ1048" s="41"/>
      <c r="DA1048" s="41"/>
      <c r="DB1048" s="41"/>
      <c r="DC1048" s="41"/>
      <c r="DD1048" s="41"/>
      <c r="DE1048" s="41"/>
      <c r="DF1048" s="41"/>
      <c r="DG1048" s="41"/>
      <c r="DH1048" s="41"/>
      <c r="DI1048" s="41"/>
      <c r="DJ1048" s="41"/>
      <c r="DK1048" s="41"/>
      <c r="DL1048" s="41"/>
      <c r="DM1048" s="41">
        <v>0.45</v>
      </c>
      <c r="DN1048" s="41"/>
      <c r="DO1048" s="41"/>
      <c r="DP1048" s="41"/>
      <c r="DQ1048" s="41"/>
      <c r="DR1048" s="41"/>
      <c r="DS1048" s="43"/>
      <c r="DT1048" s="44">
        <f t="shared" ref="DT1048" si="1030">SUM(F1048:DR1048)</f>
        <v>1</v>
      </c>
    </row>
    <row r="1049" spans="2:124" s="13" customFormat="1">
      <c r="B1049" s="4">
        <f>'6.1Personnel List'!B1050</f>
        <v>1037</v>
      </c>
      <c r="C1049" s="45" t="s">
        <v>1262</v>
      </c>
      <c r="D1049" s="45" t="str">
        <f>'6.1Personnel List'!D1050</f>
        <v>Nurse I</v>
      </c>
      <c r="E1049" s="45" t="str">
        <f>'6.1Personnel List'!H1050</f>
        <v>FT</v>
      </c>
      <c r="G1049" s="41"/>
      <c r="H1049" s="41"/>
      <c r="I1049" s="41"/>
      <c r="J1049" s="41"/>
      <c r="K1049" s="41"/>
      <c r="L1049" s="41"/>
      <c r="M1049" s="41"/>
      <c r="N1049" s="41"/>
      <c r="O1049" s="41"/>
      <c r="P1049" s="41"/>
      <c r="Q1049" s="41"/>
      <c r="R1049" s="41"/>
      <c r="S1049" s="41"/>
      <c r="T1049" s="41"/>
      <c r="U1049" s="41"/>
      <c r="V1049" s="41"/>
      <c r="W1049" s="41"/>
      <c r="X1049" s="41"/>
      <c r="Y1049" s="41"/>
      <c r="Z1049" s="41"/>
      <c r="AA1049" s="41"/>
      <c r="AB1049" s="41"/>
      <c r="AC1049" s="41"/>
      <c r="AD1049" s="41"/>
      <c r="AE1049" s="41"/>
      <c r="AF1049" s="41"/>
      <c r="AG1049" s="41"/>
      <c r="AH1049" s="41"/>
      <c r="AI1049" s="41"/>
      <c r="AJ1049" s="41"/>
      <c r="AK1049" s="41"/>
      <c r="AL1049" s="41"/>
      <c r="AM1049" s="41"/>
      <c r="AN1049" s="41"/>
      <c r="AO1049" s="41"/>
      <c r="AP1049" s="41"/>
      <c r="AQ1049" s="41"/>
      <c r="AR1049" s="41"/>
      <c r="AS1049" s="41"/>
      <c r="AT1049" s="41"/>
      <c r="AU1049" s="41"/>
      <c r="AV1049" s="41"/>
      <c r="AW1049" s="41"/>
      <c r="AX1049" s="41"/>
      <c r="AY1049" s="41"/>
      <c r="AZ1049" s="41"/>
      <c r="BA1049" s="41"/>
      <c r="BB1049" s="41"/>
      <c r="BC1049" s="41"/>
      <c r="BD1049" s="41"/>
      <c r="BE1049" s="41"/>
      <c r="BF1049" s="41"/>
      <c r="BG1049" s="41"/>
      <c r="BH1049" s="41"/>
      <c r="BJ1049" s="41"/>
      <c r="BK1049" s="94"/>
      <c r="BL1049" s="94"/>
      <c r="BM1049" s="94"/>
      <c r="BN1049" s="94"/>
      <c r="BO1049" s="94"/>
      <c r="BP1049" s="94"/>
      <c r="BQ1049" s="94"/>
      <c r="BR1049" s="94"/>
      <c r="BS1049" s="94"/>
      <c r="BT1049" s="94"/>
      <c r="BU1049" s="94"/>
      <c r="BV1049" s="94"/>
      <c r="BW1049" s="94"/>
      <c r="BX1049" s="94"/>
      <c r="BY1049" s="94"/>
      <c r="BZ1049" s="94"/>
      <c r="CA1049" s="94"/>
      <c r="CB1049" s="94"/>
      <c r="CC1049" s="94"/>
      <c r="CD1049" s="94"/>
      <c r="CE1049" s="94"/>
      <c r="CF1049" s="94"/>
      <c r="CG1049" s="94"/>
      <c r="CH1049" s="94"/>
      <c r="CI1049" s="94"/>
      <c r="CJ1049" s="94"/>
      <c r="CK1049" s="94"/>
      <c r="CL1049" s="94"/>
      <c r="CM1049" s="94"/>
      <c r="CN1049" s="94"/>
      <c r="CO1049" s="94"/>
      <c r="CP1049" s="94"/>
      <c r="CQ1049" s="94"/>
      <c r="CR1049" s="94"/>
      <c r="CS1049" s="94"/>
      <c r="CT1049" s="94"/>
      <c r="CU1049" s="94">
        <v>0.2</v>
      </c>
      <c r="CV1049" s="94"/>
      <c r="CW1049" s="94">
        <v>0.8</v>
      </c>
      <c r="CX1049" s="94"/>
      <c r="CY1049" s="94"/>
      <c r="CZ1049" s="94"/>
      <c r="DA1049" s="94"/>
      <c r="DB1049" s="94"/>
      <c r="DC1049" s="94"/>
      <c r="DD1049" s="94"/>
      <c r="DE1049" s="94"/>
      <c r="DF1049" s="94"/>
      <c r="DG1049" s="94"/>
      <c r="DH1049" s="94"/>
      <c r="DI1049" s="94"/>
      <c r="DJ1049" s="94"/>
      <c r="DK1049" s="41"/>
      <c r="DL1049" s="41"/>
      <c r="DM1049" s="41"/>
      <c r="DN1049" s="41"/>
      <c r="DO1049" s="41"/>
      <c r="DP1049" s="41"/>
      <c r="DQ1049" s="41"/>
      <c r="DR1049" s="41"/>
      <c r="DS1049" s="43"/>
      <c r="DT1049" s="44">
        <f t="shared" ref="DT1049" si="1031">SUM(F1049:DR1049)</f>
        <v>1</v>
      </c>
    </row>
    <row r="1050" spans="2:124" s="13" customFormat="1">
      <c r="B1050" s="4">
        <f>'6.1Personnel List'!B1051</f>
        <v>1038</v>
      </c>
      <c r="C1050" s="45" t="s">
        <v>1263</v>
      </c>
      <c r="D1050" s="45" t="str">
        <f>'6.1Personnel List'!D1051</f>
        <v>Nurse I</v>
      </c>
      <c r="E1050" s="45" t="str">
        <f>'6.1Personnel List'!H1051</f>
        <v>FT</v>
      </c>
      <c r="G1050" s="41"/>
      <c r="H1050" s="41"/>
      <c r="I1050" s="41"/>
      <c r="J1050" s="41"/>
      <c r="K1050" s="41"/>
      <c r="L1050" s="41"/>
      <c r="M1050" s="41"/>
      <c r="N1050" s="41"/>
      <c r="O1050" s="41"/>
      <c r="P1050" s="41"/>
      <c r="Q1050" s="41"/>
      <c r="R1050" s="41"/>
      <c r="S1050" s="41"/>
      <c r="T1050" s="41"/>
      <c r="U1050" s="41"/>
      <c r="V1050" s="41"/>
      <c r="W1050" s="41"/>
      <c r="X1050" s="41"/>
      <c r="Y1050" s="41"/>
      <c r="Z1050" s="41"/>
      <c r="AA1050" s="41"/>
      <c r="AB1050" s="41"/>
      <c r="AC1050" s="41"/>
      <c r="AD1050" s="41"/>
      <c r="AE1050" s="41"/>
      <c r="AF1050" s="41"/>
      <c r="AG1050" s="41"/>
      <c r="AH1050" s="41"/>
      <c r="AI1050" s="41"/>
      <c r="AJ1050" s="41"/>
      <c r="AK1050" s="41"/>
      <c r="AL1050" s="41"/>
      <c r="AM1050" s="41"/>
      <c r="AN1050" s="41"/>
      <c r="AO1050" s="41"/>
      <c r="AP1050" s="41"/>
      <c r="AQ1050" s="41"/>
      <c r="AR1050" s="41"/>
      <c r="AS1050" s="41"/>
      <c r="AT1050" s="41"/>
      <c r="AU1050" s="41"/>
      <c r="AV1050" s="41"/>
      <c r="AW1050" s="41"/>
      <c r="AX1050" s="41"/>
      <c r="AY1050" s="41"/>
      <c r="AZ1050" s="41"/>
      <c r="BA1050" s="41"/>
      <c r="BB1050" s="41"/>
      <c r="BC1050" s="41"/>
      <c r="BD1050" s="41"/>
      <c r="BE1050" s="41"/>
      <c r="BF1050" s="41"/>
      <c r="BG1050" s="41"/>
      <c r="BH1050" s="41"/>
      <c r="BJ1050" s="41"/>
      <c r="BK1050" s="41"/>
      <c r="BL1050" s="41"/>
      <c r="BM1050" s="41"/>
      <c r="BN1050" s="41"/>
      <c r="BO1050" s="41"/>
      <c r="BP1050" s="41"/>
      <c r="BQ1050" s="41"/>
      <c r="BR1050" s="41"/>
      <c r="BS1050" s="41"/>
      <c r="BT1050" s="41"/>
      <c r="BU1050" s="41"/>
      <c r="BV1050" s="41"/>
      <c r="BW1050" s="41"/>
      <c r="BX1050" s="41"/>
      <c r="BY1050" s="41"/>
      <c r="BZ1050" s="41"/>
      <c r="CA1050" s="41"/>
      <c r="CB1050" s="41">
        <v>0.01</v>
      </c>
      <c r="CC1050" s="41"/>
      <c r="CD1050" s="41"/>
      <c r="CE1050" s="41">
        <v>0.02</v>
      </c>
      <c r="CF1050" s="41">
        <v>0.02</v>
      </c>
      <c r="CG1050" s="41">
        <v>0.1</v>
      </c>
      <c r="CH1050" s="41">
        <v>0.1</v>
      </c>
      <c r="CI1050" s="41">
        <v>0.02</v>
      </c>
      <c r="CJ1050" s="41"/>
      <c r="CK1050" s="41">
        <v>0.01</v>
      </c>
      <c r="CL1050" s="41">
        <v>0.05</v>
      </c>
      <c r="CM1050" s="41"/>
      <c r="CN1050" s="41">
        <v>0.05</v>
      </c>
      <c r="CO1050" s="41">
        <v>0.05</v>
      </c>
      <c r="CP1050" s="41">
        <v>0.05</v>
      </c>
      <c r="CQ1050" s="41">
        <v>0.05</v>
      </c>
      <c r="CR1050" s="41">
        <v>0.02</v>
      </c>
      <c r="CS1050" s="41">
        <v>0.01</v>
      </c>
      <c r="CT1050" s="41"/>
      <c r="CU1050" s="41"/>
      <c r="CV1050" s="41">
        <v>0.02</v>
      </c>
      <c r="CW1050" s="41"/>
      <c r="CX1050" s="41"/>
      <c r="CY1050" s="41"/>
      <c r="CZ1050" s="41"/>
      <c r="DA1050" s="41"/>
      <c r="DB1050" s="41"/>
      <c r="DC1050" s="41"/>
      <c r="DD1050" s="41">
        <v>0.12</v>
      </c>
      <c r="DE1050" s="41"/>
      <c r="DF1050" s="41"/>
      <c r="DG1050" s="41"/>
      <c r="DH1050" s="41"/>
      <c r="DI1050" s="41"/>
      <c r="DJ1050" s="41">
        <v>0.05</v>
      </c>
      <c r="DK1050" s="41">
        <v>0.05</v>
      </c>
      <c r="DL1050" s="41">
        <v>0.05</v>
      </c>
      <c r="DM1050" s="41">
        <v>0.05</v>
      </c>
      <c r="DN1050" s="41"/>
      <c r="DO1050" s="41"/>
      <c r="DP1050" s="41">
        <v>0.05</v>
      </c>
      <c r="DQ1050" s="41"/>
      <c r="DR1050" s="41">
        <v>0.05</v>
      </c>
      <c r="DS1050" s="43"/>
      <c r="DT1050" s="44">
        <f t="shared" ref="DT1050" si="1032">SUM(F1050:DR1050)</f>
        <v>1.0000000000000002</v>
      </c>
    </row>
    <row r="1051" spans="2:124" s="13" customFormat="1">
      <c r="B1051" s="4">
        <f>'6.1Personnel List'!B1052</f>
        <v>1039</v>
      </c>
      <c r="C1051" s="45" t="s">
        <v>1264</v>
      </c>
      <c r="D1051" s="45" t="str">
        <f>'6.1Personnel List'!D1052</f>
        <v>Nurse I</v>
      </c>
      <c r="E1051" s="45" t="str">
        <f>'6.1Personnel List'!H1052</f>
        <v>FT</v>
      </c>
      <c r="G1051" s="41"/>
      <c r="H1051" s="41"/>
      <c r="I1051" s="41"/>
      <c r="J1051" s="41"/>
      <c r="K1051" s="41"/>
      <c r="L1051" s="41"/>
      <c r="M1051" s="41"/>
      <c r="N1051" s="41"/>
      <c r="O1051" s="41"/>
      <c r="P1051" s="41"/>
      <c r="Q1051" s="41"/>
      <c r="R1051" s="41"/>
      <c r="S1051" s="41"/>
      <c r="T1051" s="41"/>
      <c r="U1051" s="41"/>
      <c r="V1051" s="41"/>
      <c r="W1051" s="41"/>
      <c r="X1051" s="41"/>
      <c r="Y1051" s="41"/>
      <c r="Z1051" s="41"/>
      <c r="AA1051" s="41"/>
      <c r="AB1051" s="41"/>
      <c r="AC1051" s="41"/>
      <c r="AD1051" s="41"/>
      <c r="AE1051" s="41"/>
      <c r="AF1051" s="41"/>
      <c r="AG1051" s="41"/>
      <c r="AH1051" s="41"/>
      <c r="AI1051" s="41"/>
      <c r="AJ1051" s="41"/>
      <c r="AK1051" s="41"/>
      <c r="AL1051" s="41"/>
      <c r="AM1051" s="41"/>
      <c r="AN1051" s="41"/>
      <c r="AO1051" s="41"/>
      <c r="AP1051" s="41"/>
      <c r="AQ1051" s="41"/>
      <c r="AR1051" s="41"/>
      <c r="AS1051" s="41"/>
      <c r="AT1051" s="41"/>
      <c r="AU1051" s="41"/>
      <c r="AV1051" s="41"/>
      <c r="AW1051" s="41"/>
      <c r="AX1051" s="41"/>
      <c r="AY1051" s="41"/>
      <c r="AZ1051" s="41"/>
      <c r="BA1051" s="41"/>
      <c r="BB1051" s="41"/>
      <c r="BC1051" s="41"/>
      <c r="BD1051" s="41"/>
      <c r="BE1051" s="41"/>
      <c r="BF1051" s="41"/>
      <c r="BG1051" s="41"/>
      <c r="BH1051" s="41"/>
      <c r="BJ1051" s="41"/>
      <c r="BK1051" s="41"/>
      <c r="BL1051" s="41"/>
      <c r="BM1051" s="41"/>
      <c r="BN1051" s="41"/>
      <c r="BO1051" s="41"/>
      <c r="BP1051" s="41"/>
      <c r="BQ1051" s="41"/>
      <c r="BR1051" s="41"/>
      <c r="BS1051" s="41"/>
      <c r="BT1051" s="41"/>
      <c r="BU1051" s="41"/>
      <c r="BV1051" s="41"/>
      <c r="BW1051" s="41"/>
      <c r="BX1051" s="41"/>
      <c r="BY1051" s="41"/>
      <c r="BZ1051" s="41"/>
      <c r="CA1051" s="41"/>
      <c r="CB1051" s="41"/>
      <c r="CC1051" s="41"/>
      <c r="CD1051" s="41"/>
      <c r="CE1051" s="41"/>
      <c r="CF1051" s="41"/>
      <c r="CG1051" s="41"/>
      <c r="CH1051" s="41"/>
      <c r="CI1051" s="41"/>
      <c r="CJ1051" s="41"/>
      <c r="CK1051" s="41"/>
      <c r="CL1051" s="41"/>
      <c r="CM1051" s="41"/>
      <c r="CN1051" s="92">
        <v>0.25</v>
      </c>
      <c r="CO1051" s="41"/>
      <c r="CP1051" s="41"/>
      <c r="CQ1051" s="41"/>
      <c r="CR1051" s="41"/>
      <c r="CS1051" s="41"/>
      <c r="CT1051" s="41"/>
      <c r="CU1051" s="41"/>
      <c r="CV1051" s="41"/>
      <c r="CW1051" s="41"/>
      <c r="CX1051" s="41"/>
      <c r="CY1051" s="41"/>
      <c r="CZ1051" s="41"/>
      <c r="DA1051" s="41"/>
      <c r="DB1051" s="92">
        <v>0.25</v>
      </c>
      <c r="DC1051" s="92">
        <v>0.25</v>
      </c>
      <c r="DD1051" s="41"/>
      <c r="DE1051" s="41"/>
      <c r="DF1051" s="41"/>
      <c r="DG1051" s="41"/>
      <c r="DH1051" s="41"/>
      <c r="DI1051" s="41"/>
      <c r="DJ1051" s="92">
        <v>0.25</v>
      </c>
      <c r="DK1051" s="41"/>
      <c r="DL1051" s="41"/>
      <c r="DM1051" s="41"/>
      <c r="DN1051" s="41"/>
      <c r="DO1051" s="41"/>
      <c r="DP1051" s="41"/>
      <c r="DQ1051" s="41"/>
      <c r="DR1051" s="41"/>
      <c r="DS1051" s="43"/>
      <c r="DT1051" s="44">
        <f t="shared" ref="DT1051" si="1033">SUM(F1051:DR1051)</f>
        <v>1</v>
      </c>
    </row>
    <row r="1052" spans="2:124" s="13" customFormat="1">
      <c r="B1052" s="4">
        <f>'6.1Personnel List'!B1053</f>
        <v>1040</v>
      </c>
      <c r="C1052" s="45" t="s">
        <v>1265</v>
      </c>
      <c r="D1052" s="45" t="str">
        <f>'6.1Personnel List'!D1053</f>
        <v>Nurse I</v>
      </c>
      <c r="E1052" s="45" t="str">
        <f>'6.1Personnel List'!H1053</f>
        <v>FT</v>
      </c>
      <c r="G1052" s="41"/>
      <c r="H1052" s="41"/>
      <c r="I1052" s="41"/>
      <c r="J1052" s="41"/>
      <c r="K1052" s="41"/>
      <c r="L1052" s="41"/>
      <c r="M1052" s="41"/>
      <c r="N1052" s="41"/>
      <c r="O1052" s="41"/>
      <c r="P1052" s="41"/>
      <c r="Q1052" s="41"/>
      <c r="R1052" s="41"/>
      <c r="S1052" s="41"/>
      <c r="T1052" s="41"/>
      <c r="U1052" s="41"/>
      <c r="V1052" s="41"/>
      <c r="W1052" s="41"/>
      <c r="X1052" s="41"/>
      <c r="Y1052" s="41"/>
      <c r="Z1052" s="41"/>
      <c r="AA1052" s="41"/>
      <c r="AB1052" s="41"/>
      <c r="AC1052" s="41"/>
      <c r="AD1052" s="41"/>
      <c r="AE1052" s="41"/>
      <c r="AF1052" s="41"/>
      <c r="AG1052" s="41"/>
      <c r="AH1052" s="41"/>
      <c r="AI1052" s="41"/>
      <c r="AJ1052" s="41"/>
      <c r="AK1052" s="41"/>
      <c r="AL1052" s="41"/>
      <c r="AM1052" s="41"/>
      <c r="AN1052" s="41"/>
      <c r="AO1052" s="41"/>
      <c r="AP1052" s="41"/>
      <c r="AQ1052" s="41"/>
      <c r="AR1052" s="41"/>
      <c r="AS1052" s="41"/>
      <c r="AT1052" s="41"/>
      <c r="AU1052" s="41"/>
      <c r="AV1052" s="41"/>
      <c r="AW1052" s="41"/>
      <c r="AX1052" s="41"/>
      <c r="AY1052" s="41"/>
      <c r="AZ1052" s="41"/>
      <c r="BA1052" s="41"/>
      <c r="BB1052" s="41"/>
      <c r="BC1052" s="41"/>
      <c r="BD1052" s="41"/>
      <c r="BE1052" s="41"/>
      <c r="BF1052" s="41"/>
      <c r="BG1052" s="41"/>
      <c r="BH1052" s="41"/>
      <c r="BJ1052" s="41"/>
      <c r="BK1052" s="41"/>
      <c r="BL1052" s="41"/>
      <c r="BM1052" s="41"/>
      <c r="BN1052" s="41"/>
      <c r="BO1052" s="41"/>
      <c r="BP1052" s="41"/>
      <c r="BQ1052" s="41"/>
      <c r="BR1052" s="41"/>
      <c r="BS1052" s="41"/>
      <c r="BT1052" s="41"/>
      <c r="BU1052" s="41"/>
      <c r="BV1052" s="41"/>
      <c r="BW1052" s="41"/>
      <c r="BX1052" s="41"/>
      <c r="BY1052" s="41"/>
      <c r="BZ1052" s="41"/>
      <c r="CA1052" s="41"/>
      <c r="CB1052" s="41">
        <v>0.01</v>
      </c>
      <c r="CC1052" s="41"/>
      <c r="CD1052" s="41"/>
      <c r="CE1052" s="41">
        <v>0.02</v>
      </c>
      <c r="CF1052" s="41">
        <v>0.02</v>
      </c>
      <c r="CG1052" s="41">
        <v>0.1</v>
      </c>
      <c r="CH1052" s="41">
        <v>0.1</v>
      </c>
      <c r="CI1052" s="41">
        <v>0.02</v>
      </c>
      <c r="CJ1052" s="41"/>
      <c r="CK1052" s="41">
        <v>0.01</v>
      </c>
      <c r="CL1052" s="41">
        <v>0.05</v>
      </c>
      <c r="CM1052" s="41"/>
      <c r="CN1052" s="41">
        <v>0.05</v>
      </c>
      <c r="CO1052" s="41">
        <v>0.05</v>
      </c>
      <c r="CP1052" s="41">
        <v>0.05</v>
      </c>
      <c r="CQ1052" s="41">
        <v>0.05</v>
      </c>
      <c r="CR1052" s="41">
        <v>0.02</v>
      </c>
      <c r="CS1052" s="41">
        <v>0.01</v>
      </c>
      <c r="CT1052" s="41"/>
      <c r="CU1052" s="41"/>
      <c r="CV1052" s="41">
        <v>0.02</v>
      </c>
      <c r="CW1052" s="41"/>
      <c r="CX1052" s="41"/>
      <c r="CY1052" s="41"/>
      <c r="CZ1052" s="41"/>
      <c r="DA1052" s="41"/>
      <c r="DB1052" s="41"/>
      <c r="DC1052" s="41"/>
      <c r="DD1052" s="41">
        <v>0.12</v>
      </c>
      <c r="DE1052" s="41"/>
      <c r="DF1052" s="41"/>
      <c r="DG1052" s="41"/>
      <c r="DH1052" s="41"/>
      <c r="DI1052" s="41"/>
      <c r="DJ1052" s="41">
        <v>0.05</v>
      </c>
      <c r="DK1052" s="41">
        <v>0.05</v>
      </c>
      <c r="DL1052" s="41">
        <v>0.05</v>
      </c>
      <c r="DM1052" s="41">
        <v>0.05</v>
      </c>
      <c r="DN1052" s="41"/>
      <c r="DO1052" s="41"/>
      <c r="DP1052" s="41">
        <v>0.05</v>
      </c>
      <c r="DQ1052" s="41"/>
      <c r="DR1052" s="41">
        <v>0.05</v>
      </c>
      <c r="DS1052" s="43"/>
      <c r="DT1052" s="44">
        <f t="shared" ref="DT1052" si="1034">SUM(F1052:DR1052)</f>
        <v>1.0000000000000002</v>
      </c>
    </row>
    <row r="1053" spans="2:124" s="13" customFormat="1">
      <c r="B1053" s="4">
        <f>'6.1Personnel List'!B1054</f>
        <v>1041</v>
      </c>
      <c r="C1053" s="45" t="s">
        <v>1266</v>
      </c>
      <c r="D1053" s="45" t="str">
        <f>'6.1Personnel List'!D1054</f>
        <v>Nurse I</v>
      </c>
      <c r="E1053" s="45" t="str">
        <f>'6.1Personnel List'!H1054</f>
        <v>FT</v>
      </c>
      <c r="G1053" s="41"/>
      <c r="H1053" s="41"/>
      <c r="I1053" s="41"/>
      <c r="J1053" s="41"/>
      <c r="K1053" s="41"/>
      <c r="L1053" s="41"/>
      <c r="M1053" s="41"/>
      <c r="N1053" s="41"/>
      <c r="O1053" s="41"/>
      <c r="P1053" s="41"/>
      <c r="Q1053" s="41"/>
      <c r="R1053" s="41"/>
      <c r="S1053" s="41"/>
      <c r="T1053" s="41"/>
      <c r="U1053" s="41"/>
      <c r="V1053" s="41"/>
      <c r="W1053" s="41"/>
      <c r="X1053" s="41"/>
      <c r="Y1053" s="41"/>
      <c r="Z1053" s="41"/>
      <c r="AA1053" s="41"/>
      <c r="AB1053" s="41"/>
      <c r="AC1053" s="41"/>
      <c r="AD1053" s="41"/>
      <c r="AE1053" s="41"/>
      <c r="AF1053" s="41"/>
      <c r="AG1053" s="41"/>
      <c r="AH1053" s="41"/>
      <c r="AI1053" s="41"/>
      <c r="AJ1053" s="41"/>
      <c r="AK1053" s="41"/>
      <c r="AL1053" s="41"/>
      <c r="AM1053" s="41"/>
      <c r="AN1053" s="41"/>
      <c r="AO1053" s="41"/>
      <c r="AP1053" s="41"/>
      <c r="AQ1053" s="41"/>
      <c r="AR1053" s="41"/>
      <c r="AS1053" s="41"/>
      <c r="AT1053" s="41"/>
      <c r="AU1053" s="41"/>
      <c r="AV1053" s="41"/>
      <c r="AW1053" s="41"/>
      <c r="AX1053" s="41"/>
      <c r="AY1053" s="41"/>
      <c r="AZ1053" s="41"/>
      <c r="BA1053" s="41"/>
      <c r="BB1053" s="41"/>
      <c r="BC1053" s="41"/>
      <c r="BD1053" s="41"/>
      <c r="BE1053" s="41"/>
      <c r="BF1053" s="41"/>
      <c r="BG1053" s="41"/>
      <c r="BH1053" s="41"/>
      <c r="BJ1053" s="41"/>
      <c r="BK1053" s="41"/>
      <c r="BL1053" s="41"/>
      <c r="BM1053" s="41"/>
      <c r="BN1053" s="41"/>
      <c r="BO1053" s="41"/>
      <c r="BP1053" s="41"/>
      <c r="BQ1053" s="41"/>
      <c r="BR1053" s="41"/>
      <c r="BS1053" s="41"/>
      <c r="BT1053" s="41"/>
      <c r="BU1053" s="41"/>
      <c r="BV1053" s="41"/>
      <c r="BW1053" s="41"/>
      <c r="BX1053" s="41"/>
      <c r="BY1053" s="41"/>
      <c r="BZ1053" s="41"/>
      <c r="CA1053" s="41"/>
      <c r="CB1053" s="41">
        <v>0.01</v>
      </c>
      <c r="CC1053" s="41"/>
      <c r="CD1053" s="41"/>
      <c r="CE1053" s="41">
        <v>0.02</v>
      </c>
      <c r="CF1053" s="41">
        <v>0.02</v>
      </c>
      <c r="CG1053" s="41">
        <v>0.1</v>
      </c>
      <c r="CH1053" s="41">
        <v>0.1</v>
      </c>
      <c r="CI1053" s="41">
        <v>0.02</v>
      </c>
      <c r="CJ1053" s="41"/>
      <c r="CK1053" s="41">
        <v>0.01</v>
      </c>
      <c r="CL1053" s="41">
        <v>0.05</v>
      </c>
      <c r="CM1053" s="41"/>
      <c r="CN1053" s="41">
        <v>0.05</v>
      </c>
      <c r="CO1053" s="41">
        <v>0.05</v>
      </c>
      <c r="CP1053" s="41">
        <v>0.05</v>
      </c>
      <c r="CQ1053" s="41">
        <v>0.05</v>
      </c>
      <c r="CR1053" s="41">
        <v>0.02</v>
      </c>
      <c r="CS1053" s="41">
        <v>0.01</v>
      </c>
      <c r="CT1053" s="41"/>
      <c r="CU1053" s="41"/>
      <c r="CV1053" s="41">
        <v>0.02</v>
      </c>
      <c r="CW1053" s="41"/>
      <c r="CX1053" s="41"/>
      <c r="CY1053" s="41"/>
      <c r="CZ1053" s="41"/>
      <c r="DA1053" s="41"/>
      <c r="DB1053" s="41"/>
      <c r="DC1053" s="41"/>
      <c r="DD1053" s="41">
        <v>0.12</v>
      </c>
      <c r="DE1053" s="41"/>
      <c r="DF1053" s="41"/>
      <c r="DG1053" s="41"/>
      <c r="DH1053" s="41"/>
      <c r="DI1053" s="41"/>
      <c r="DJ1053" s="41">
        <v>0.05</v>
      </c>
      <c r="DK1053" s="41">
        <v>0.05</v>
      </c>
      <c r="DL1053" s="41">
        <v>0.05</v>
      </c>
      <c r="DM1053" s="41">
        <v>0.05</v>
      </c>
      <c r="DN1053" s="41"/>
      <c r="DO1053" s="41"/>
      <c r="DP1053" s="41">
        <v>0.05</v>
      </c>
      <c r="DQ1053" s="41"/>
      <c r="DR1053" s="41">
        <v>0.05</v>
      </c>
      <c r="DS1053" s="43"/>
      <c r="DT1053" s="44">
        <f t="shared" ref="DT1053" si="1035">SUM(F1053:DR1053)</f>
        <v>1.0000000000000002</v>
      </c>
    </row>
    <row r="1054" spans="2:124" s="13" customFormat="1">
      <c r="B1054" s="4">
        <f>'6.1Personnel List'!B1055</f>
        <v>1042</v>
      </c>
      <c r="C1054" s="45" t="s">
        <v>1267</v>
      </c>
      <c r="D1054" s="45" t="str">
        <f>'6.1Personnel List'!D1055</f>
        <v>Nurse I</v>
      </c>
      <c r="E1054" s="45" t="str">
        <f>'6.1Personnel List'!H1055</f>
        <v>FT</v>
      </c>
      <c r="G1054" s="41"/>
      <c r="H1054" s="41"/>
      <c r="I1054" s="41"/>
      <c r="J1054" s="41"/>
      <c r="K1054" s="41"/>
      <c r="L1054" s="41"/>
      <c r="M1054" s="41"/>
      <c r="N1054" s="41"/>
      <c r="O1054" s="41"/>
      <c r="P1054" s="41"/>
      <c r="Q1054" s="41"/>
      <c r="R1054" s="41"/>
      <c r="S1054" s="41"/>
      <c r="T1054" s="41"/>
      <c r="U1054" s="41"/>
      <c r="V1054" s="41"/>
      <c r="W1054" s="41"/>
      <c r="X1054" s="41"/>
      <c r="Y1054" s="41"/>
      <c r="Z1054" s="41"/>
      <c r="AA1054" s="41"/>
      <c r="AB1054" s="41"/>
      <c r="AC1054" s="41"/>
      <c r="AD1054" s="41"/>
      <c r="AE1054" s="41"/>
      <c r="AF1054" s="41"/>
      <c r="AG1054" s="41"/>
      <c r="AH1054" s="41"/>
      <c r="AI1054" s="41"/>
      <c r="AJ1054" s="41"/>
      <c r="AK1054" s="41"/>
      <c r="AL1054" s="41"/>
      <c r="AM1054" s="41"/>
      <c r="AN1054" s="41"/>
      <c r="AO1054" s="41"/>
      <c r="AP1054" s="41"/>
      <c r="AQ1054" s="41"/>
      <c r="AR1054" s="41"/>
      <c r="AS1054" s="41"/>
      <c r="AT1054" s="41"/>
      <c r="AU1054" s="41"/>
      <c r="AV1054" s="41"/>
      <c r="AW1054" s="41"/>
      <c r="AX1054" s="41"/>
      <c r="AY1054" s="41"/>
      <c r="AZ1054" s="41"/>
      <c r="BA1054" s="41"/>
      <c r="BB1054" s="41"/>
      <c r="BC1054" s="41"/>
      <c r="BD1054" s="41"/>
      <c r="BE1054" s="41"/>
      <c r="BF1054" s="41"/>
      <c r="BG1054" s="41"/>
      <c r="BH1054" s="41"/>
      <c r="BJ1054" s="41"/>
      <c r="BK1054" s="41"/>
      <c r="BL1054" s="41"/>
      <c r="BM1054" s="41"/>
      <c r="BN1054" s="41"/>
      <c r="BO1054" s="41"/>
      <c r="BP1054" s="41"/>
      <c r="BQ1054" s="41"/>
      <c r="BR1054" s="41"/>
      <c r="BS1054" s="41"/>
      <c r="BT1054" s="41"/>
      <c r="BU1054" s="41"/>
      <c r="BV1054" s="41"/>
      <c r="BW1054" s="41"/>
      <c r="BX1054" s="41"/>
      <c r="BY1054" s="41"/>
      <c r="BZ1054" s="41"/>
      <c r="CA1054" s="41"/>
      <c r="CB1054" s="41"/>
      <c r="CC1054" s="41"/>
      <c r="CD1054" s="41"/>
      <c r="CE1054" s="41"/>
      <c r="CF1054" s="41"/>
      <c r="CG1054" s="41"/>
      <c r="CH1054" s="41"/>
      <c r="CI1054" s="41"/>
      <c r="CJ1054" s="41"/>
      <c r="CK1054" s="41"/>
      <c r="CL1054" s="41"/>
      <c r="CM1054" s="41"/>
      <c r="CN1054" s="92">
        <v>0.25</v>
      </c>
      <c r="CO1054" s="41"/>
      <c r="CP1054" s="41"/>
      <c r="CQ1054" s="41"/>
      <c r="CR1054" s="41"/>
      <c r="CS1054" s="41"/>
      <c r="CT1054" s="41"/>
      <c r="CU1054" s="41"/>
      <c r="CV1054" s="41"/>
      <c r="CW1054" s="41"/>
      <c r="CX1054" s="41"/>
      <c r="CY1054" s="41"/>
      <c r="CZ1054" s="41"/>
      <c r="DA1054" s="41"/>
      <c r="DB1054" s="92">
        <v>0.25</v>
      </c>
      <c r="DC1054" s="92">
        <v>0.25</v>
      </c>
      <c r="DD1054" s="41"/>
      <c r="DE1054" s="41"/>
      <c r="DF1054" s="41"/>
      <c r="DG1054" s="41"/>
      <c r="DH1054" s="41"/>
      <c r="DI1054" s="41"/>
      <c r="DJ1054" s="92">
        <v>0.25</v>
      </c>
      <c r="DK1054" s="41"/>
      <c r="DL1054" s="41"/>
      <c r="DM1054" s="41"/>
      <c r="DN1054" s="41"/>
      <c r="DO1054" s="41"/>
      <c r="DP1054" s="41"/>
      <c r="DQ1054" s="41"/>
      <c r="DR1054" s="41"/>
      <c r="DS1054" s="43"/>
      <c r="DT1054" s="44">
        <f t="shared" ref="DT1054" si="1036">SUM(F1054:DR1054)</f>
        <v>1</v>
      </c>
    </row>
    <row r="1055" spans="2:124" s="13" customFormat="1">
      <c r="B1055" s="4">
        <f>'6.1Personnel List'!B1056</f>
        <v>1043</v>
      </c>
      <c r="C1055" s="45" t="s">
        <v>1268</v>
      </c>
      <c r="D1055" s="45" t="str">
        <f>'6.1Personnel List'!D1056</f>
        <v>Nurse I</v>
      </c>
      <c r="E1055" s="45" t="str">
        <f>'6.1Personnel List'!H1056</f>
        <v>FT</v>
      </c>
      <c r="G1055" s="41"/>
      <c r="H1055" s="41"/>
      <c r="I1055" s="41"/>
      <c r="J1055" s="41"/>
      <c r="K1055" s="41"/>
      <c r="L1055" s="41"/>
      <c r="M1055" s="41"/>
      <c r="N1055" s="41"/>
      <c r="O1055" s="41"/>
      <c r="P1055" s="41"/>
      <c r="Q1055" s="41"/>
      <c r="R1055" s="41"/>
      <c r="S1055" s="41"/>
      <c r="T1055" s="41"/>
      <c r="U1055" s="41"/>
      <c r="V1055" s="41"/>
      <c r="W1055" s="41"/>
      <c r="X1055" s="41"/>
      <c r="Y1055" s="41"/>
      <c r="Z1055" s="41"/>
      <c r="AA1055" s="41"/>
      <c r="AB1055" s="41"/>
      <c r="AC1055" s="41"/>
      <c r="AD1055" s="41"/>
      <c r="AE1055" s="41"/>
      <c r="AF1055" s="41"/>
      <c r="AG1055" s="41"/>
      <c r="AH1055" s="41"/>
      <c r="AI1055" s="41"/>
      <c r="AJ1055" s="41"/>
      <c r="AK1055" s="41"/>
      <c r="AL1055" s="41"/>
      <c r="AM1055" s="41"/>
      <c r="AN1055" s="41"/>
      <c r="AO1055" s="41"/>
      <c r="AP1055" s="41"/>
      <c r="AQ1055" s="41"/>
      <c r="AR1055" s="41"/>
      <c r="AS1055" s="41"/>
      <c r="AT1055" s="41"/>
      <c r="AU1055" s="41"/>
      <c r="AV1055" s="41"/>
      <c r="AW1055" s="41"/>
      <c r="AX1055" s="41"/>
      <c r="AY1055" s="41"/>
      <c r="AZ1055" s="41"/>
      <c r="BA1055" s="41"/>
      <c r="BB1055" s="41"/>
      <c r="BC1055" s="41"/>
      <c r="BD1055" s="41"/>
      <c r="BE1055" s="41"/>
      <c r="BF1055" s="41"/>
      <c r="BG1055" s="41"/>
      <c r="BH1055" s="41"/>
      <c r="BJ1055" s="41"/>
      <c r="BK1055" s="41"/>
      <c r="BL1055" s="41"/>
      <c r="BM1055" s="41"/>
      <c r="BN1055" s="41"/>
      <c r="BO1055" s="41"/>
      <c r="BP1055" s="41"/>
      <c r="BQ1055" s="41"/>
      <c r="BR1055" s="41"/>
      <c r="BS1055" s="41">
        <v>0.05</v>
      </c>
      <c r="BT1055" s="41"/>
      <c r="BU1055" s="41"/>
      <c r="BV1055" s="41">
        <v>0.05</v>
      </c>
      <c r="BW1055" s="41">
        <v>0.05</v>
      </c>
      <c r="BX1055" s="41"/>
      <c r="BY1055" s="41"/>
      <c r="BZ1055" s="41"/>
      <c r="CA1055" s="41"/>
      <c r="CB1055" s="41"/>
      <c r="CC1055" s="41"/>
      <c r="CD1055" s="41"/>
      <c r="CE1055" s="41">
        <v>0.1</v>
      </c>
      <c r="CF1055" s="41">
        <v>0.05</v>
      </c>
      <c r="CG1055" s="41">
        <v>0.05</v>
      </c>
      <c r="CH1055" s="41">
        <v>0.05</v>
      </c>
      <c r="CI1055" s="41"/>
      <c r="CJ1055" s="41">
        <v>0.05</v>
      </c>
      <c r="CK1055" s="41"/>
      <c r="CL1055" s="41">
        <v>0.2</v>
      </c>
      <c r="CM1055" s="41"/>
      <c r="CN1055" s="41"/>
      <c r="CO1055" s="41"/>
      <c r="CP1055" s="41"/>
      <c r="CQ1055" s="41"/>
      <c r="CR1055" s="41"/>
      <c r="CS1055" s="41"/>
      <c r="CT1055" s="41"/>
      <c r="CU1055" s="41">
        <v>0.05</v>
      </c>
      <c r="CV1055" s="41"/>
      <c r="CW1055" s="41"/>
      <c r="CX1055" s="41"/>
      <c r="CY1055" s="41"/>
      <c r="CZ1055" s="41"/>
      <c r="DA1055" s="41"/>
      <c r="DB1055" s="41"/>
      <c r="DC1055" s="41"/>
      <c r="DD1055" s="41">
        <v>0.05</v>
      </c>
      <c r="DE1055" s="41"/>
      <c r="DF1055" s="41"/>
      <c r="DG1055" s="41"/>
      <c r="DH1055" s="41"/>
      <c r="DI1055" s="41"/>
      <c r="DJ1055" s="41"/>
      <c r="DK1055" s="41"/>
      <c r="DL1055" s="41"/>
      <c r="DM1055" s="41"/>
      <c r="DN1055" s="41"/>
      <c r="DO1055" s="41"/>
      <c r="DP1055" s="41">
        <v>0.25</v>
      </c>
      <c r="DQ1055" s="41"/>
      <c r="DR1055" s="41"/>
      <c r="DS1055" s="43"/>
      <c r="DT1055" s="44">
        <f t="shared" ref="DT1055" si="1037">SUM(F1055:DR1055)</f>
        <v>1</v>
      </c>
    </row>
    <row r="1056" spans="2:124" s="13" customFormat="1">
      <c r="B1056" s="4">
        <f>'6.1Personnel List'!B1057</f>
        <v>1044</v>
      </c>
      <c r="C1056" s="45" t="s">
        <v>1269</v>
      </c>
      <c r="D1056" s="45" t="str">
        <f>'6.1Personnel List'!D1057</f>
        <v>Nurse I</v>
      </c>
      <c r="E1056" s="45" t="str">
        <f>'6.1Personnel List'!H1057</f>
        <v>FT</v>
      </c>
      <c r="G1056" s="41"/>
      <c r="H1056" s="41"/>
      <c r="I1056" s="41"/>
      <c r="J1056" s="41"/>
      <c r="K1056" s="41"/>
      <c r="L1056" s="41"/>
      <c r="M1056" s="41"/>
      <c r="N1056" s="41"/>
      <c r="O1056" s="41"/>
      <c r="P1056" s="41"/>
      <c r="Q1056" s="41"/>
      <c r="R1056" s="41"/>
      <c r="S1056" s="41"/>
      <c r="T1056" s="41"/>
      <c r="U1056" s="41"/>
      <c r="V1056" s="41"/>
      <c r="W1056" s="41"/>
      <c r="X1056" s="41"/>
      <c r="Y1056" s="41"/>
      <c r="Z1056" s="41"/>
      <c r="AA1056" s="41"/>
      <c r="AB1056" s="41"/>
      <c r="AC1056" s="41"/>
      <c r="AD1056" s="41"/>
      <c r="AE1056" s="41"/>
      <c r="AF1056" s="41"/>
      <c r="AG1056" s="41"/>
      <c r="AH1056" s="41"/>
      <c r="AI1056" s="41"/>
      <c r="AJ1056" s="41"/>
      <c r="AK1056" s="41"/>
      <c r="AL1056" s="41"/>
      <c r="AM1056" s="41"/>
      <c r="AN1056" s="41"/>
      <c r="AO1056" s="41"/>
      <c r="AP1056" s="41"/>
      <c r="AQ1056" s="41"/>
      <c r="AR1056" s="41"/>
      <c r="AS1056" s="41"/>
      <c r="AT1056" s="41"/>
      <c r="AU1056" s="41"/>
      <c r="AV1056" s="41"/>
      <c r="AW1056" s="41"/>
      <c r="AX1056" s="41"/>
      <c r="AY1056" s="41"/>
      <c r="AZ1056" s="41"/>
      <c r="BA1056" s="41"/>
      <c r="BB1056" s="41"/>
      <c r="BC1056" s="41"/>
      <c r="BD1056" s="41"/>
      <c r="BE1056" s="41"/>
      <c r="BF1056" s="41"/>
      <c r="BG1056" s="41"/>
      <c r="BH1056" s="41"/>
      <c r="BJ1056" s="41"/>
      <c r="BK1056" s="41"/>
      <c r="BL1056" s="41"/>
      <c r="BM1056" s="41"/>
      <c r="BN1056" s="41"/>
      <c r="BO1056" s="41"/>
      <c r="BP1056" s="41"/>
      <c r="BQ1056" s="41"/>
      <c r="BR1056" s="41"/>
      <c r="BS1056" s="41"/>
      <c r="BT1056" s="41"/>
      <c r="BU1056" s="41"/>
      <c r="BV1056" s="41">
        <v>0.05</v>
      </c>
      <c r="BW1056" s="41"/>
      <c r="BX1056" s="41"/>
      <c r="BY1056" s="41"/>
      <c r="BZ1056" s="41"/>
      <c r="CA1056" s="41"/>
      <c r="CB1056" s="41">
        <v>0.05</v>
      </c>
      <c r="CC1056" s="41"/>
      <c r="CD1056" s="41"/>
      <c r="CE1056" s="41">
        <v>0.05</v>
      </c>
      <c r="CF1056" s="41">
        <v>0.02</v>
      </c>
      <c r="CG1056" s="41">
        <v>0.03</v>
      </c>
      <c r="CH1056" s="41"/>
      <c r="CI1056" s="41"/>
      <c r="CJ1056" s="41"/>
      <c r="CK1056" s="41"/>
      <c r="CL1056" s="41">
        <v>0.8</v>
      </c>
      <c r="CM1056" s="41"/>
      <c r="CN1056" s="41"/>
      <c r="CO1056" s="41"/>
      <c r="CP1056" s="41"/>
      <c r="CQ1056" s="41"/>
      <c r="CR1056" s="41"/>
      <c r="CS1056" s="41"/>
      <c r="CT1056" s="41"/>
      <c r="CU1056" s="41"/>
      <c r="CV1056" s="41"/>
      <c r="CW1056" s="41"/>
      <c r="CX1056" s="41"/>
      <c r="CY1056" s="41"/>
      <c r="CZ1056" s="41"/>
      <c r="DA1056" s="41"/>
      <c r="DB1056" s="41"/>
      <c r="DC1056" s="41"/>
      <c r="DD1056" s="41"/>
      <c r="DE1056" s="41"/>
      <c r="DF1056" s="41"/>
      <c r="DG1056" s="41"/>
      <c r="DH1056" s="41"/>
      <c r="DI1056" s="41"/>
      <c r="DJ1056" s="41"/>
      <c r="DK1056" s="41"/>
      <c r="DL1056" s="41"/>
      <c r="DM1056" s="41"/>
      <c r="DN1056" s="41"/>
      <c r="DO1056" s="41"/>
      <c r="DP1056" s="41"/>
      <c r="DQ1056" s="41"/>
      <c r="DR1056" s="41"/>
      <c r="DS1056" s="43"/>
      <c r="DT1056" s="44">
        <f t="shared" ref="DT1056" si="1038">SUM(F1056:DR1056)</f>
        <v>1</v>
      </c>
    </row>
    <row r="1057" spans="2:124" s="13" customFormat="1">
      <c r="B1057" s="4">
        <f>'6.1Personnel List'!B1058</f>
        <v>1045</v>
      </c>
      <c r="C1057" s="45" t="s">
        <v>1270</v>
      </c>
      <c r="D1057" s="45" t="str">
        <f>'6.1Personnel List'!D1058</f>
        <v>Nurse I</v>
      </c>
      <c r="E1057" s="45" t="str">
        <f>'6.1Personnel List'!H1058</f>
        <v>FT</v>
      </c>
      <c r="G1057" s="41"/>
      <c r="H1057" s="41"/>
      <c r="I1057" s="41"/>
      <c r="J1057" s="41"/>
      <c r="K1057" s="41"/>
      <c r="L1057" s="41"/>
      <c r="M1057" s="41"/>
      <c r="N1057" s="41"/>
      <c r="O1057" s="41"/>
      <c r="P1057" s="41"/>
      <c r="Q1057" s="41"/>
      <c r="R1057" s="41"/>
      <c r="S1057" s="41"/>
      <c r="T1057" s="41"/>
      <c r="U1057" s="41"/>
      <c r="V1057" s="41"/>
      <c r="W1057" s="41"/>
      <c r="X1057" s="41"/>
      <c r="Y1057" s="41"/>
      <c r="Z1057" s="41"/>
      <c r="AA1057" s="41"/>
      <c r="AB1057" s="41"/>
      <c r="AC1057" s="41"/>
      <c r="AD1057" s="41"/>
      <c r="AE1057" s="41"/>
      <c r="AF1057" s="41"/>
      <c r="AG1057" s="41"/>
      <c r="AH1057" s="41"/>
      <c r="AI1057" s="41"/>
      <c r="AJ1057" s="41"/>
      <c r="AK1057" s="41"/>
      <c r="AL1057" s="41"/>
      <c r="AM1057" s="41"/>
      <c r="AN1057" s="41"/>
      <c r="AO1057" s="41"/>
      <c r="AP1057" s="41"/>
      <c r="AQ1057" s="41"/>
      <c r="AR1057" s="41"/>
      <c r="AS1057" s="41"/>
      <c r="AT1057" s="41"/>
      <c r="AU1057" s="41"/>
      <c r="AV1057" s="41"/>
      <c r="AW1057" s="41"/>
      <c r="AX1057" s="41"/>
      <c r="AY1057" s="41"/>
      <c r="AZ1057" s="41"/>
      <c r="BA1057" s="41"/>
      <c r="BB1057" s="41"/>
      <c r="BC1057" s="41"/>
      <c r="BD1057" s="41"/>
      <c r="BE1057" s="41"/>
      <c r="BF1057" s="41"/>
      <c r="BG1057" s="41"/>
      <c r="BH1057" s="41"/>
      <c r="BJ1057" s="41"/>
      <c r="BK1057" s="41"/>
      <c r="BL1057" s="41"/>
      <c r="BM1057" s="41"/>
      <c r="BN1057" s="41"/>
      <c r="BO1057" s="41"/>
      <c r="BP1057" s="41"/>
      <c r="BQ1057" s="41"/>
      <c r="BR1057" s="41"/>
      <c r="BS1057" s="41"/>
      <c r="BT1057" s="41"/>
      <c r="BU1057" s="41"/>
      <c r="BV1057" s="41"/>
      <c r="BW1057" s="41"/>
      <c r="BX1057" s="41"/>
      <c r="BY1057" s="41"/>
      <c r="BZ1057" s="41"/>
      <c r="CA1057" s="41"/>
      <c r="CB1057" s="41"/>
      <c r="CC1057" s="41"/>
      <c r="CD1057" s="41"/>
      <c r="CE1057" s="41"/>
      <c r="CF1057" s="41"/>
      <c r="CG1057" s="41"/>
      <c r="CH1057" s="41"/>
      <c r="CI1057" s="41"/>
      <c r="CJ1057" s="41"/>
      <c r="CK1057" s="41"/>
      <c r="CL1057" s="41"/>
      <c r="CM1057" s="41"/>
      <c r="CN1057" s="92">
        <v>0.25</v>
      </c>
      <c r="CO1057" s="41"/>
      <c r="CP1057" s="41"/>
      <c r="CQ1057" s="41"/>
      <c r="CR1057" s="41"/>
      <c r="CS1057" s="41"/>
      <c r="CT1057" s="41"/>
      <c r="CU1057" s="41"/>
      <c r="CV1057" s="41"/>
      <c r="CW1057" s="41"/>
      <c r="CX1057" s="41"/>
      <c r="CY1057" s="41"/>
      <c r="CZ1057" s="41"/>
      <c r="DA1057" s="41"/>
      <c r="DB1057" s="92">
        <v>0.25</v>
      </c>
      <c r="DC1057" s="92">
        <v>0.25</v>
      </c>
      <c r="DD1057" s="41"/>
      <c r="DE1057" s="41"/>
      <c r="DF1057" s="41"/>
      <c r="DG1057" s="41"/>
      <c r="DH1057" s="41"/>
      <c r="DI1057" s="41"/>
      <c r="DJ1057" s="92">
        <v>0.25</v>
      </c>
      <c r="DK1057" s="41"/>
      <c r="DL1057" s="41"/>
      <c r="DM1057" s="41"/>
      <c r="DN1057" s="41"/>
      <c r="DO1057" s="41"/>
      <c r="DP1057" s="41"/>
      <c r="DQ1057" s="41"/>
      <c r="DR1057" s="41"/>
      <c r="DS1057" s="43"/>
      <c r="DT1057" s="44">
        <f t="shared" ref="DT1057" si="1039">SUM(F1057:DR1057)</f>
        <v>1</v>
      </c>
    </row>
    <row r="1058" spans="2:124" s="13" customFormat="1">
      <c r="B1058" s="4">
        <f>'6.1Personnel List'!B1059</f>
        <v>1046</v>
      </c>
      <c r="C1058" s="45" t="s">
        <v>1271</v>
      </c>
      <c r="D1058" s="45" t="str">
        <f>'6.1Personnel List'!D1059</f>
        <v>Nurse I</v>
      </c>
      <c r="E1058" s="45" t="str">
        <f>'6.1Personnel List'!H1059</f>
        <v>FT</v>
      </c>
      <c r="G1058" s="41"/>
      <c r="H1058" s="41"/>
      <c r="I1058" s="41"/>
      <c r="J1058" s="41"/>
      <c r="K1058" s="41"/>
      <c r="L1058" s="41"/>
      <c r="M1058" s="41"/>
      <c r="N1058" s="41"/>
      <c r="O1058" s="41"/>
      <c r="P1058" s="41"/>
      <c r="Q1058" s="41"/>
      <c r="R1058" s="41"/>
      <c r="S1058" s="41"/>
      <c r="T1058" s="41"/>
      <c r="U1058" s="41"/>
      <c r="V1058" s="41"/>
      <c r="W1058" s="41"/>
      <c r="X1058" s="41"/>
      <c r="Y1058" s="41"/>
      <c r="Z1058" s="41"/>
      <c r="AA1058" s="41"/>
      <c r="AB1058" s="41"/>
      <c r="AC1058" s="41"/>
      <c r="AD1058" s="41"/>
      <c r="AE1058" s="41"/>
      <c r="AF1058" s="41"/>
      <c r="AG1058" s="41"/>
      <c r="AH1058" s="41"/>
      <c r="AI1058" s="41"/>
      <c r="AJ1058" s="41"/>
      <c r="AK1058" s="41"/>
      <c r="AL1058" s="41"/>
      <c r="AM1058" s="41"/>
      <c r="AN1058" s="41"/>
      <c r="AO1058" s="41"/>
      <c r="AP1058" s="41"/>
      <c r="AQ1058" s="41"/>
      <c r="AR1058" s="41"/>
      <c r="AS1058" s="41"/>
      <c r="AT1058" s="41"/>
      <c r="AU1058" s="41"/>
      <c r="AV1058" s="41"/>
      <c r="AW1058" s="41"/>
      <c r="AX1058" s="41"/>
      <c r="AY1058" s="41"/>
      <c r="AZ1058" s="41"/>
      <c r="BA1058" s="41"/>
      <c r="BB1058" s="41"/>
      <c r="BC1058" s="41"/>
      <c r="BD1058" s="41"/>
      <c r="BE1058" s="41"/>
      <c r="BF1058" s="41"/>
      <c r="BG1058" s="41"/>
      <c r="BH1058" s="41"/>
      <c r="BJ1058" s="41"/>
      <c r="BK1058" s="94"/>
      <c r="BL1058" s="94"/>
      <c r="BM1058" s="94"/>
      <c r="BN1058" s="94"/>
      <c r="BO1058" s="94"/>
      <c r="BP1058" s="94"/>
      <c r="BQ1058" s="94"/>
      <c r="BR1058" s="94"/>
      <c r="BS1058" s="94"/>
      <c r="BT1058" s="94"/>
      <c r="BU1058" s="94"/>
      <c r="BV1058" s="94"/>
      <c r="BW1058" s="94"/>
      <c r="BX1058" s="94"/>
      <c r="BY1058" s="94"/>
      <c r="BZ1058" s="94"/>
      <c r="CA1058" s="94"/>
      <c r="CB1058" s="94"/>
      <c r="CC1058" s="94"/>
      <c r="CD1058" s="94"/>
      <c r="CE1058" s="94"/>
      <c r="CF1058" s="94"/>
      <c r="CG1058" s="94"/>
      <c r="CH1058" s="94"/>
      <c r="CI1058" s="94"/>
      <c r="CJ1058" s="94"/>
      <c r="CK1058" s="94"/>
      <c r="CL1058" s="94"/>
      <c r="CM1058" s="94"/>
      <c r="CN1058" s="94"/>
      <c r="CO1058" s="94"/>
      <c r="CP1058" s="94"/>
      <c r="CQ1058" s="94"/>
      <c r="CR1058" s="94"/>
      <c r="CS1058" s="94"/>
      <c r="CT1058" s="94"/>
      <c r="CU1058" s="94">
        <v>1</v>
      </c>
      <c r="CV1058" s="94"/>
      <c r="CW1058" s="94"/>
      <c r="CX1058" s="94"/>
      <c r="CY1058" s="94"/>
      <c r="CZ1058" s="94"/>
      <c r="DA1058" s="94"/>
      <c r="DB1058" s="94"/>
      <c r="DC1058" s="94"/>
      <c r="DD1058" s="94"/>
      <c r="DE1058" s="94"/>
      <c r="DF1058" s="94"/>
      <c r="DG1058" s="94"/>
      <c r="DH1058" s="94"/>
      <c r="DI1058" s="94"/>
      <c r="DJ1058" s="94"/>
      <c r="DK1058" s="41"/>
      <c r="DL1058" s="41"/>
      <c r="DM1058" s="41"/>
      <c r="DN1058" s="41"/>
      <c r="DO1058" s="41"/>
      <c r="DP1058" s="41"/>
      <c r="DQ1058" s="41"/>
      <c r="DR1058" s="41"/>
      <c r="DS1058" s="43"/>
      <c r="DT1058" s="44">
        <f t="shared" ref="DT1058" si="1040">SUM(F1058:DR1058)</f>
        <v>1</v>
      </c>
    </row>
    <row r="1059" spans="2:124" s="13" customFormat="1">
      <c r="B1059" s="4">
        <f>'6.1Personnel List'!B1060</f>
        <v>1047</v>
      </c>
      <c r="C1059" s="45" t="s">
        <v>1272</v>
      </c>
      <c r="D1059" s="45" t="str">
        <f>'6.1Personnel List'!D1060</f>
        <v>Nurse I</v>
      </c>
      <c r="E1059" s="45" t="str">
        <f>'6.1Personnel List'!H1060</f>
        <v>FT</v>
      </c>
      <c r="G1059" s="41"/>
      <c r="H1059" s="41"/>
      <c r="I1059" s="41"/>
      <c r="J1059" s="41"/>
      <c r="K1059" s="41"/>
      <c r="L1059" s="41"/>
      <c r="M1059" s="41"/>
      <c r="N1059" s="41"/>
      <c r="O1059" s="41"/>
      <c r="P1059" s="41"/>
      <c r="Q1059" s="41"/>
      <c r="R1059" s="41"/>
      <c r="S1059" s="41"/>
      <c r="T1059" s="41"/>
      <c r="U1059" s="41"/>
      <c r="V1059" s="41"/>
      <c r="W1059" s="41"/>
      <c r="X1059" s="41"/>
      <c r="Y1059" s="41"/>
      <c r="Z1059" s="41"/>
      <c r="AA1059" s="41"/>
      <c r="AB1059" s="41"/>
      <c r="AC1059" s="41"/>
      <c r="AD1059" s="41"/>
      <c r="AE1059" s="41"/>
      <c r="AF1059" s="41"/>
      <c r="AG1059" s="41"/>
      <c r="AH1059" s="41"/>
      <c r="AI1059" s="41"/>
      <c r="AJ1059" s="41"/>
      <c r="AK1059" s="41"/>
      <c r="AL1059" s="41"/>
      <c r="AM1059" s="41"/>
      <c r="AN1059" s="41"/>
      <c r="AO1059" s="41"/>
      <c r="AP1059" s="41"/>
      <c r="AQ1059" s="41"/>
      <c r="AR1059" s="41"/>
      <c r="AS1059" s="41"/>
      <c r="AT1059" s="41"/>
      <c r="AU1059" s="41"/>
      <c r="AV1059" s="41"/>
      <c r="AW1059" s="41"/>
      <c r="AX1059" s="41"/>
      <c r="AY1059" s="41"/>
      <c r="AZ1059" s="41"/>
      <c r="BA1059" s="41"/>
      <c r="BB1059" s="41"/>
      <c r="BC1059" s="41"/>
      <c r="BD1059" s="41"/>
      <c r="BE1059" s="41"/>
      <c r="BF1059" s="41"/>
      <c r="BG1059" s="41"/>
      <c r="BH1059" s="41"/>
      <c r="BJ1059" s="41"/>
      <c r="BK1059" s="41"/>
      <c r="BL1059" s="41"/>
      <c r="BM1059" s="41"/>
      <c r="BN1059" s="41"/>
      <c r="BO1059" s="41"/>
      <c r="BP1059" s="41"/>
      <c r="BQ1059" s="41"/>
      <c r="BR1059" s="41"/>
      <c r="BS1059" s="41">
        <v>0.05</v>
      </c>
      <c r="BT1059" s="41"/>
      <c r="BU1059" s="41">
        <v>0.05</v>
      </c>
      <c r="BV1059" s="41">
        <v>0.05</v>
      </c>
      <c r="BW1059" s="41">
        <v>0.05</v>
      </c>
      <c r="BX1059" s="41"/>
      <c r="BY1059" s="41"/>
      <c r="BZ1059" s="41"/>
      <c r="CA1059" s="41"/>
      <c r="CB1059" s="41"/>
      <c r="CC1059" s="41"/>
      <c r="CD1059" s="41"/>
      <c r="CE1059" s="41">
        <v>0.05</v>
      </c>
      <c r="CF1059" s="41">
        <v>0.03</v>
      </c>
      <c r="CG1059" s="41">
        <v>0.02</v>
      </c>
      <c r="CH1059" s="41">
        <v>0.05</v>
      </c>
      <c r="CI1059" s="41">
        <v>0.05</v>
      </c>
      <c r="CJ1059" s="41"/>
      <c r="CK1059" s="41"/>
      <c r="CL1059" s="41"/>
      <c r="CM1059" s="41"/>
      <c r="CN1059" s="41"/>
      <c r="CO1059" s="41"/>
      <c r="CP1059" s="41"/>
      <c r="CQ1059" s="41"/>
      <c r="CR1059" s="41"/>
      <c r="CS1059" s="41"/>
      <c r="CT1059" s="41"/>
      <c r="CU1059" s="41"/>
      <c r="CV1059" s="41"/>
      <c r="CW1059" s="41"/>
      <c r="CX1059" s="41"/>
      <c r="CY1059" s="41"/>
      <c r="CZ1059" s="41"/>
      <c r="DA1059" s="41"/>
      <c r="DB1059" s="41"/>
      <c r="DC1059" s="41"/>
      <c r="DD1059" s="41"/>
      <c r="DE1059" s="41"/>
      <c r="DF1059" s="41"/>
      <c r="DG1059" s="41"/>
      <c r="DH1059" s="41"/>
      <c r="DI1059" s="41"/>
      <c r="DJ1059" s="41"/>
      <c r="DK1059" s="41">
        <v>0.6</v>
      </c>
      <c r="DL1059" s="41"/>
      <c r="DM1059" s="41"/>
      <c r="DN1059" s="41"/>
      <c r="DO1059" s="41"/>
      <c r="DP1059" s="41"/>
      <c r="DQ1059" s="41"/>
      <c r="DR1059" s="41"/>
      <c r="DS1059" s="43"/>
      <c r="DT1059" s="44">
        <f t="shared" ref="DT1059" si="1041">SUM(F1059:DR1059)</f>
        <v>1</v>
      </c>
    </row>
    <row r="1060" spans="2:124" s="13" customFormat="1">
      <c r="B1060" s="4">
        <f>'6.1Personnel List'!B1061</f>
        <v>1048</v>
      </c>
      <c r="C1060" s="45" t="s">
        <v>1273</v>
      </c>
      <c r="D1060" s="45" t="str">
        <f>'6.1Personnel List'!D1061</f>
        <v>Nurse I</v>
      </c>
      <c r="E1060" s="45" t="str">
        <f>'6.1Personnel List'!H1061</f>
        <v>FT</v>
      </c>
      <c r="G1060" s="41"/>
      <c r="H1060" s="41"/>
      <c r="I1060" s="41"/>
      <c r="J1060" s="41"/>
      <c r="K1060" s="41"/>
      <c r="L1060" s="41"/>
      <c r="M1060" s="41"/>
      <c r="N1060" s="41"/>
      <c r="O1060" s="41"/>
      <c r="P1060" s="41"/>
      <c r="Q1060" s="41"/>
      <c r="R1060" s="41"/>
      <c r="S1060" s="41"/>
      <c r="T1060" s="41"/>
      <c r="U1060" s="41"/>
      <c r="V1060" s="41"/>
      <c r="W1060" s="41"/>
      <c r="X1060" s="41"/>
      <c r="Y1060" s="41"/>
      <c r="Z1060" s="41"/>
      <c r="AA1060" s="41"/>
      <c r="AB1060" s="41"/>
      <c r="AC1060" s="41"/>
      <c r="AD1060" s="41"/>
      <c r="AE1060" s="41"/>
      <c r="AF1060" s="41"/>
      <c r="AG1060" s="41"/>
      <c r="AH1060" s="41"/>
      <c r="AI1060" s="41"/>
      <c r="AJ1060" s="41"/>
      <c r="AK1060" s="41"/>
      <c r="AL1060" s="41"/>
      <c r="AM1060" s="41"/>
      <c r="AN1060" s="41"/>
      <c r="AO1060" s="41"/>
      <c r="AP1060" s="41"/>
      <c r="AQ1060" s="41"/>
      <c r="AR1060" s="41"/>
      <c r="AS1060" s="41"/>
      <c r="AT1060" s="41"/>
      <c r="AU1060" s="41"/>
      <c r="AV1060" s="41"/>
      <c r="AW1060" s="41"/>
      <c r="AX1060" s="41"/>
      <c r="AY1060" s="41"/>
      <c r="AZ1060" s="41"/>
      <c r="BA1060" s="41"/>
      <c r="BB1060" s="41"/>
      <c r="BC1060" s="41"/>
      <c r="BD1060" s="41"/>
      <c r="BE1060" s="41"/>
      <c r="BF1060" s="41"/>
      <c r="BG1060" s="41"/>
      <c r="BH1060" s="41"/>
      <c r="BJ1060" s="41"/>
      <c r="BK1060" s="41"/>
      <c r="BL1060" s="41"/>
      <c r="BM1060" s="41"/>
      <c r="BN1060" s="41"/>
      <c r="BO1060" s="41"/>
      <c r="BP1060" s="41"/>
      <c r="BQ1060" s="41"/>
      <c r="BR1060" s="41"/>
      <c r="BS1060" s="41"/>
      <c r="BT1060" s="41"/>
      <c r="BU1060" s="41"/>
      <c r="BV1060" s="41"/>
      <c r="BW1060" s="41"/>
      <c r="BX1060" s="41"/>
      <c r="BY1060" s="41"/>
      <c r="BZ1060" s="41"/>
      <c r="CA1060" s="41"/>
      <c r="CB1060" s="41"/>
      <c r="CC1060" s="41"/>
      <c r="CD1060" s="41"/>
      <c r="CE1060" s="41"/>
      <c r="CF1060" s="41"/>
      <c r="CG1060" s="41"/>
      <c r="CH1060" s="41"/>
      <c r="CI1060" s="41"/>
      <c r="CJ1060" s="41"/>
      <c r="CK1060" s="41"/>
      <c r="CL1060" s="41"/>
      <c r="CM1060" s="41"/>
      <c r="CN1060" s="92">
        <v>0.25</v>
      </c>
      <c r="CO1060" s="41"/>
      <c r="CP1060" s="41"/>
      <c r="CQ1060" s="41"/>
      <c r="CR1060" s="41"/>
      <c r="CS1060" s="41"/>
      <c r="CT1060" s="41"/>
      <c r="CU1060" s="41"/>
      <c r="CV1060" s="41"/>
      <c r="CW1060" s="41"/>
      <c r="CX1060" s="41"/>
      <c r="CY1060" s="41"/>
      <c r="CZ1060" s="41"/>
      <c r="DA1060" s="41"/>
      <c r="DB1060" s="92">
        <v>0.25</v>
      </c>
      <c r="DC1060" s="92">
        <v>0.25</v>
      </c>
      <c r="DD1060" s="41"/>
      <c r="DE1060" s="41"/>
      <c r="DF1060" s="41"/>
      <c r="DG1060" s="41"/>
      <c r="DH1060" s="41"/>
      <c r="DI1060" s="41"/>
      <c r="DJ1060" s="92">
        <v>0.25</v>
      </c>
      <c r="DK1060" s="41"/>
      <c r="DL1060" s="41"/>
      <c r="DM1060" s="41"/>
      <c r="DN1060" s="41"/>
      <c r="DO1060" s="41"/>
      <c r="DP1060" s="41"/>
      <c r="DQ1060" s="41"/>
      <c r="DR1060" s="41"/>
      <c r="DS1060" s="43"/>
      <c r="DT1060" s="44">
        <f t="shared" ref="DT1060" si="1042">SUM(F1060:DR1060)</f>
        <v>1</v>
      </c>
    </row>
    <row r="1061" spans="2:124" s="13" customFormat="1">
      <c r="B1061" s="4">
        <f>'6.1Personnel List'!B1062</f>
        <v>1049</v>
      </c>
      <c r="C1061" s="45" t="s">
        <v>1274</v>
      </c>
      <c r="D1061" s="45" t="str">
        <f>'6.1Personnel List'!D1062</f>
        <v>Nurse I</v>
      </c>
      <c r="E1061" s="45" t="str">
        <f>'6.1Personnel List'!H1062</f>
        <v>FT</v>
      </c>
      <c r="G1061" s="41"/>
      <c r="H1061" s="41"/>
      <c r="I1061" s="41"/>
      <c r="J1061" s="41"/>
      <c r="K1061" s="41"/>
      <c r="L1061" s="41"/>
      <c r="M1061" s="41"/>
      <c r="N1061" s="41"/>
      <c r="O1061" s="41"/>
      <c r="P1061" s="41"/>
      <c r="Q1061" s="41"/>
      <c r="R1061" s="41"/>
      <c r="S1061" s="41"/>
      <c r="T1061" s="41"/>
      <c r="U1061" s="41"/>
      <c r="V1061" s="41"/>
      <c r="W1061" s="41"/>
      <c r="X1061" s="41"/>
      <c r="Y1061" s="41"/>
      <c r="Z1061" s="41"/>
      <c r="AA1061" s="41"/>
      <c r="AB1061" s="41"/>
      <c r="AC1061" s="41"/>
      <c r="AD1061" s="41"/>
      <c r="AE1061" s="41"/>
      <c r="AF1061" s="41"/>
      <c r="AG1061" s="41"/>
      <c r="AH1061" s="41"/>
      <c r="AI1061" s="41"/>
      <c r="AJ1061" s="41"/>
      <c r="AK1061" s="41"/>
      <c r="AL1061" s="41"/>
      <c r="AM1061" s="41"/>
      <c r="AN1061" s="41"/>
      <c r="AO1061" s="41"/>
      <c r="AP1061" s="41"/>
      <c r="AQ1061" s="41"/>
      <c r="AR1061" s="41"/>
      <c r="AS1061" s="41"/>
      <c r="AT1061" s="41"/>
      <c r="AU1061" s="41"/>
      <c r="AV1061" s="41"/>
      <c r="AW1061" s="41"/>
      <c r="AX1061" s="41"/>
      <c r="AY1061" s="41"/>
      <c r="AZ1061" s="41"/>
      <c r="BA1061" s="41"/>
      <c r="BB1061" s="41"/>
      <c r="BC1061" s="41"/>
      <c r="BD1061" s="41"/>
      <c r="BE1061" s="41"/>
      <c r="BF1061" s="41"/>
      <c r="BG1061" s="41"/>
      <c r="BH1061" s="41"/>
      <c r="BJ1061" s="41"/>
      <c r="BK1061" s="41"/>
      <c r="BL1061" s="41"/>
      <c r="BM1061" s="41"/>
      <c r="BN1061" s="41"/>
      <c r="BO1061" s="41"/>
      <c r="BP1061" s="41"/>
      <c r="BQ1061" s="41"/>
      <c r="BR1061" s="41"/>
      <c r="BS1061" s="41">
        <v>0.05</v>
      </c>
      <c r="BT1061" s="41"/>
      <c r="BU1061" s="41">
        <v>0.05</v>
      </c>
      <c r="BV1061" s="41">
        <v>0.05</v>
      </c>
      <c r="BW1061" s="41">
        <v>0.05</v>
      </c>
      <c r="BX1061" s="41"/>
      <c r="BY1061" s="41"/>
      <c r="BZ1061" s="41"/>
      <c r="CA1061" s="41"/>
      <c r="CB1061" s="41"/>
      <c r="CC1061" s="41"/>
      <c r="CD1061" s="41"/>
      <c r="CE1061" s="41">
        <v>0.05</v>
      </c>
      <c r="CF1061" s="41">
        <v>0.03</v>
      </c>
      <c r="CG1061" s="41">
        <v>0.02</v>
      </c>
      <c r="CH1061" s="41">
        <v>0.05</v>
      </c>
      <c r="CI1061" s="41">
        <v>0.05</v>
      </c>
      <c r="CJ1061" s="41"/>
      <c r="CK1061" s="41"/>
      <c r="CL1061" s="41"/>
      <c r="CM1061" s="41"/>
      <c r="CN1061" s="41"/>
      <c r="CO1061" s="41"/>
      <c r="CP1061" s="41"/>
      <c r="CQ1061" s="41">
        <v>0.3</v>
      </c>
      <c r="CR1061" s="41"/>
      <c r="CS1061" s="41"/>
      <c r="CT1061" s="41"/>
      <c r="CU1061" s="41"/>
      <c r="CV1061" s="41"/>
      <c r="CW1061" s="41"/>
      <c r="CX1061" s="41"/>
      <c r="CY1061" s="41"/>
      <c r="CZ1061" s="41"/>
      <c r="DA1061" s="41"/>
      <c r="DB1061" s="41"/>
      <c r="DC1061" s="41"/>
      <c r="DD1061" s="41"/>
      <c r="DE1061" s="41"/>
      <c r="DF1061" s="41"/>
      <c r="DG1061" s="41"/>
      <c r="DH1061" s="41"/>
      <c r="DI1061" s="41"/>
      <c r="DJ1061" s="41"/>
      <c r="DK1061" s="41">
        <v>0.3</v>
      </c>
      <c r="DL1061" s="41"/>
      <c r="DM1061" s="41"/>
      <c r="DN1061" s="41"/>
      <c r="DO1061" s="41"/>
      <c r="DP1061" s="41"/>
      <c r="DQ1061" s="41"/>
      <c r="DR1061" s="41"/>
      <c r="DS1061" s="43"/>
      <c r="DT1061" s="44">
        <f t="shared" ref="DT1061" si="1043">SUM(F1061:DR1061)</f>
        <v>1</v>
      </c>
    </row>
    <row r="1062" spans="2:124" s="13" customFormat="1">
      <c r="B1062" s="4">
        <f>'6.1Personnel List'!B1063</f>
        <v>1050</v>
      </c>
      <c r="C1062" s="45" t="s">
        <v>1275</v>
      </c>
      <c r="D1062" s="45" t="str">
        <f>'6.1Personnel List'!D1063</f>
        <v>Nurse I</v>
      </c>
      <c r="E1062" s="45" t="str">
        <f>'6.1Personnel List'!H1063</f>
        <v>FT</v>
      </c>
      <c r="G1062" s="41"/>
      <c r="H1062" s="41"/>
      <c r="I1062" s="41"/>
      <c r="J1062" s="41"/>
      <c r="K1062" s="41"/>
      <c r="L1062" s="41"/>
      <c r="M1062" s="41"/>
      <c r="N1062" s="41"/>
      <c r="O1062" s="41"/>
      <c r="P1062" s="41"/>
      <c r="Q1062" s="41"/>
      <c r="R1062" s="41"/>
      <c r="S1062" s="41"/>
      <c r="T1062" s="41"/>
      <c r="U1062" s="41"/>
      <c r="V1062" s="41"/>
      <c r="W1062" s="41"/>
      <c r="X1062" s="41"/>
      <c r="Y1062" s="41"/>
      <c r="Z1062" s="41"/>
      <c r="AA1062" s="41"/>
      <c r="AB1062" s="41"/>
      <c r="AC1062" s="41"/>
      <c r="AD1062" s="41"/>
      <c r="AE1062" s="41"/>
      <c r="AF1062" s="41"/>
      <c r="AG1062" s="41"/>
      <c r="AH1062" s="41"/>
      <c r="AI1062" s="41"/>
      <c r="AJ1062" s="41"/>
      <c r="AK1062" s="41"/>
      <c r="AL1062" s="41"/>
      <c r="AM1062" s="41"/>
      <c r="AN1062" s="41"/>
      <c r="AO1062" s="41"/>
      <c r="AP1062" s="41"/>
      <c r="AQ1062" s="41"/>
      <c r="AR1062" s="41"/>
      <c r="AS1062" s="41"/>
      <c r="AT1062" s="41"/>
      <c r="AU1062" s="41"/>
      <c r="AV1062" s="41"/>
      <c r="AW1062" s="41"/>
      <c r="AX1062" s="41"/>
      <c r="AY1062" s="41"/>
      <c r="AZ1062" s="41"/>
      <c r="BA1062" s="41"/>
      <c r="BB1062" s="41"/>
      <c r="BC1062" s="41"/>
      <c r="BD1062" s="41"/>
      <c r="BE1062" s="41"/>
      <c r="BF1062" s="41"/>
      <c r="BG1062" s="41"/>
      <c r="BH1062" s="41"/>
      <c r="BJ1062" s="41"/>
      <c r="BK1062" s="41"/>
      <c r="BL1062" s="41"/>
      <c r="BM1062" s="41"/>
      <c r="BN1062" s="41"/>
      <c r="BO1062" s="41"/>
      <c r="BP1062" s="41"/>
      <c r="BQ1062" s="41"/>
      <c r="BR1062" s="41"/>
      <c r="BS1062" s="41"/>
      <c r="BT1062" s="41"/>
      <c r="BU1062" s="41"/>
      <c r="BV1062" s="41">
        <v>0.05</v>
      </c>
      <c r="BW1062" s="41"/>
      <c r="BX1062" s="41"/>
      <c r="BY1062" s="41"/>
      <c r="BZ1062" s="41"/>
      <c r="CA1062" s="41"/>
      <c r="CB1062" s="41">
        <v>0.05</v>
      </c>
      <c r="CC1062" s="41"/>
      <c r="CD1062" s="41"/>
      <c r="CE1062" s="41">
        <v>0.05</v>
      </c>
      <c r="CF1062" s="41">
        <v>0.02</v>
      </c>
      <c r="CG1062" s="41">
        <v>0.03</v>
      </c>
      <c r="CH1062" s="41"/>
      <c r="CI1062" s="41"/>
      <c r="CJ1062" s="41"/>
      <c r="CK1062" s="41"/>
      <c r="CL1062" s="41">
        <v>0.8</v>
      </c>
      <c r="CM1062" s="41"/>
      <c r="CN1062" s="41"/>
      <c r="CO1062" s="41"/>
      <c r="CP1062" s="41"/>
      <c r="CQ1062" s="41"/>
      <c r="CR1062" s="41"/>
      <c r="CS1062" s="41"/>
      <c r="CT1062" s="41"/>
      <c r="CU1062" s="41"/>
      <c r="CV1062" s="41"/>
      <c r="CW1062" s="41"/>
      <c r="CX1062" s="41"/>
      <c r="CY1062" s="41"/>
      <c r="CZ1062" s="41"/>
      <c r="DA1062" s="41"/>
      <c r="DB1062" s="41"/>
      <c r="DC1062" s="41"/>
      <c r="DD1062" s="41"/>
      <c r="DE1062" s="41"/>
      <c r="DF1062" s="41"/>
      <c r="DG1062" s="41"/>
      <c r="DH1062" s="41"/>
      <c r="DI1062" s="41"/>
      <c r="DJ1062" s="41"/>
      <c r="DK1062" s="41"/>
      <c r="DL1062" s="41"/>
      <c r="DM1062" s="41"/>
      <c r="DN1062" s="41"/>
      <c r="DO1062" s="41"/>
      <c r="DP1062" s="41"/>
      <c r="DQ1062" s="41"/>
      <c r="DR1062" s="41"/>
      <c r="DS1062" s="43"/>
      <c r="DT1062" s="44">
        <f t="shared" ref="DT1062" si="1044">SUM(F1062:DR1062)</f>
        <v>1</v>
      </c>
    </row>
    <row r="1063" spans="2:124" s="13" customFormat="1">
      <c r="B1063" s="4">
        <f>'6.1Personnel List'!B1064</f>
        <v>1051</v>
      </c>
      <c r="C1063" s="45" t="s">
        <v>1276</v>
      </c>
      <c r="D1063" s="45" t="str">
        <f>'6.1Personnel List'!D1064</f>
        <v>Nurse I</v>
      </c>
      <c r="E1063" s="45" t="str">
        <f>'6.1Personnel List'!H1064</f>
        <v>FT</v>
      </c>
      <c r="G1063" s="41"/>
      <c r="H1063" s="41"/>
      <c r="I1063" s="41"/>
      <c r="J1063" s="41"/>
      <c r="K1063" s="41"/>
      <c r="L1063" s="41"/>
      <c r="M1063" s="41"/>
      <c r="N1063" s="41"/>
      <c r="O1063" s="41"/>
      <c r="P1063" s="41"/>
      <c r="Q1063" s="41"/>
      <c r="R1063" s="41"/>
      <c r="S1063" s="41"/>
      <c r="T1063" s="41"/>
      <c r="U1063" s="41"/>
      <c r="V1063" s="41"/>
      <c r="W1063" s="41"/>
      <c r="X1063" s="41"/>
      <c r="Y1063" s="41"/>
      <c r="Z1063" s="41"/>
      <c r="AA1063" s="41"/>
      <c r="AB1063" s="41"/>
      <c r="AC1063" s="41"/>
      <c r="AD1063" s="41"/>
      <c r="AE1063" s="41"/>
      <c r="AF1063" s="41"/>
      <c r="AG1063" s="41"/>
      <c r="AH1063" s="41"/>
      <c r="AI1063" s="41"/>
      <c r="AJ1063" s="41"/>
      <c r="AK1063" s="41"/>
      <c r="AL1063" s="41"/>
      <c r="AM1063" s="41"/>
      <c r="AN1063" s="41"/>
      <c r="AO1063" s="41"/>
      <c r="AP1063" s="41"/>
      <c r="AQ1063" s="41"/>
      <c r="AR1063" s="41"/>
      <c r="AS1063" s="41"/>
      <c r="AT1063" s="41"/>
      <c r="AU1063" s="41"/>
      <c r="AV1063" s="41"/>
      <c r="AW1063" s="41"/>
      <c r="AX1063" s="41"/>
      <c r="AY1063" s="41"/>
      <c r="AZ1063" s="41"/>
      <c r="BA1063" s="41"/>
      <c r="BB1063" s="41"/>
      <c r="BC1063" s="41"/>
      <c r="BD1063" s="41"/>
      <c r="BE1063" s="41"/>
      <c r="BF1063" s="41"/>
      <c r="BG1063" s="41"/>
      <c r="BH1063" s="41"/>
      <c r="BJ1063" s="41"/>
      <c r="BK1063" s="41"/>
      <c r="BL1063" s="41"/>
      <c r="BM1063" s="41"/>
      <c r="BN1063" s="41"/>
      <c r="BO1063" s="41"/>
      <c r="BP1063" s="41"/>
      <c r="BQ1063" s="41"/>
      <c r="BR1063" s="41"/>
      <c r="BS1063" s="41">
        <v>0.05</v>
      </c>
      <c r="BT1063" s="41"/>
      <c r="BU1063" s="41"/>
      <c r="BV1063" s="41">
        <v>0.05</v>
      </c>
      <c r="BW1063" s="41">
        <v>0.05</v>
      </c>
      <c r="BX1063" s="41"/>
      <c r="BY1063" s="41"/>
      <c r="BZ1063" s="41"/>
      <c r="CA1063" s="41"/>
      <c r="CB1063" s="41"/>
      <c r="CC1063" s="41"/>
      <c r="CD1063" s="41"/>
      <c r="CE1063" s="41">
        <v>0.1</v>
      </c>
      <c r="CF1063" s="41">
        <v>0.05</v>
      </c>
      <c r="CG1063" s="41">
        <v>0.05</v>
      </c>
      <c r="CH1063" s="41">
        <v>0.05</v>
      </c>
      <c r="CI1063" s="41"/>
      <c r="CJ1063" s="41">
        <v>0.05</v>
      </c>
      <c r="CK1063" s="41"/>
      <c r="CL1063" s="41">
        <v>0.2</v>
      </c>
      <c r="CM1063" s="41"/>
      <c r="CN1063" s="41"/>
      <c r="CO1063" s="41"/>
      <c r="CP1063" s="41"/>
      <c r="CQ1063" s="41"/>
      <c r="CR1063" s="41"/>
      <c r="CS1063" s="41"/>
      <c r="CT1063" s="41"/>
      <c r="CU1063" s="41">
        <v>0.05</v>
      </c>
      <c r="CV1063" s="41"/>
      <c r="CW1063" s="41"/>
      <c r="CX1063" s="41"/>
      <c r="CY1063" s="41"/>
      <c r="CZ1063" s="41"/>
      <c r="DA1063" s="41"/>
      <c r="DB1063" s="41"/>
      <c r="DC1063" s="41"/>
      <c r="DD1063" s="41">
        <v>0.05</v>
      </c>
      <c r="DE1063" s="41"/>
      <c r="DF1063" s="41"/>
      <c r="DG1063" s="41"/>
      <c r="DH1063" s="41"/>
      <c r="DI1063" s="41"/>
      <c r="DJ1063" s="41"/>
      <c r="DK1063" s="41"/>
      <c r="DL1063" s="41"/>
      <c r="DM1063" s="41"/>
      <c r="DN1063" s="41"/>
      <c r="DO1063" s="41"/>
      <c r="DP1063" s="41">
        <v>0.25</v>
      </c>
      <c r="DQ1063" s="41"/>
      <c r="DR1063" s="41"/>
      <c r="DS1063" s="43"/>
      <c r="DT1063" s="44">
        <f t="shared" ref="DT1063" si="1045">SUM(F1063:DR1063)</f>
        <v>1</v>
      </c>
    </row>
    <row r="1064" spans="2:124" s="13" customFormat="1">
      <c r="B1064" s="4">
        <f>'6.1Personnel List'!B1065</f>
        <v>1052</v>
      </c>
      <c r="C1064" s="45" t="s">
        <v>1277</v>
      </c>
      <c r="D1064" s="45" t="str">
        <f>'6.1Personnel List'!D1065</f>
        <v>Nurse I</v>
      </c>
      <c r="E1064" s="45" t="str">
        <f>'6.1Personnel List'!H1065</f>
        <v>FT</v>
      </c>
      <c r="G1064" s="41"/>
      <c r="H1064" s="41"/>
      <c r="I1064" s="41"/>
      <c r="J1064" s="41"/>
      <c r="K1064" s="41"/>
      <c r="L1064" s="41"/>
      <c r="M1064" s="41"/>
      <c r="N1064" s="41"/>
      <c r="O1064" s="41"/>
      <c r="P1064" s="41"/>
      <c r="Q1064" s="41"/>
      <c r="R1064" s="41"/>
      <c r="S1064" s="41"/>
      <c r="T1064" s="41"/>
      <c r="U1064" s="41"/>
      <c r="V1064" s="41"/>
      <c r="W1064" s="41"/>
      <c r="X1064" s="41"/>
      <c r="Y1064" s="41"/>
      <c r="Z1064" s="41"/>
      <c r="AA1064" s="41"/>
      <c r="AB1064" s="41"/>
      <c r="AC1064" s="41"/>
      <c r="AD1064" s="41"/>
      <c r="AE1064" s="41"/>
      <c r="AF1064" s="41"/>
      <c r="AG1064" s="41"/>
      <c r="AH1064" s="41"/>
      <c r="AI1064" s="41"/>
      <c r="AJ1064" s="41"/>
      <c r="AK1064" s="41"/>
      <c r="AL1064" s="41"/>
      <c r="AM1064" s="41"/>
      <c r="AN1064" s="41"/>
      <c r="AO1064" s="41"/>
      <c r="AP1064" s="41"/>
      <c r="AQ1064" s="41"/>
      <c r="AR1064" s="41"/>
      <c r="AS1064" s="41"/>
      <c r="AT1064" s="41"/>
      <c r="AU1064" s="41"/>
      <c r="AV1064" s="41"/>
      <c r="AW1064" s="41"/>
      <c r="AX1064" s="41"/>
      <c r="AY1064" s="41"/>
      <c r="AZ1064" s="41"/>
      <c r="BA1064" s="41"/>
      <c r="BB1064" s="41"/>
      <c r="BC1064" s="41"/>
      <c r="BD1064" s="41"/>
      <c r="BE1064" s="41"/>
      <c r="BF1064" s="41"/>
      <c r="BG1064" s="41"/>
      <c r="BH1064" s="41"/>
      <c r="BJ1064" s="41"/>
      <c r="BK1064" s="94"/>
      <c r="BL1064" s="94"/>
      <c r="BM1064" s="94"/>
      <c r="BN1064" s="94"/>
      <c r="BO1064" s="94"/>
      <c r="BP1064" s="94"/>
      <c r="BQ1064" s="94"/>
      <c r="BR1064" s="94"/>
      <c r="BS1064" s="94"/>
      <c r="BT1064" s="94"/>
      <c r="BU1064" s="94"/>
      <c r="BV1064" s="94"/>
      <c r="BW1064" s="94"/>
      <c r="BX1064" s="94"/>
      <c r="BY1064" s="94"/>
      <c r="BZ1064" s="94"/>
      <c r="CA1064" s="94"/>
      <c r="CB1064" s="94"/>
      <c r="CC1064" s="94"/>
      <c r="CD1064" s="94"/>
      <c r="CE1064" s="94"/>
      <c r="CF1064" s="94"/>
      <c r="CG1064" s="94"/>
      <c r="CH1064" s="94"/>
      <c r="CI1064" s="94">
        <v>0.5</v>
      </c>
      <c r="CJ1064" s="94"/>
      <c r="CK1064" s="94"/>
      <c r="CL1064" s="94"/>
      <c r="CM1064" s="94"/>
      <c r="CN1064" s="94"/>
      <c r="CO1064" s="94"/>
      <c r="CP1064" s="94"/>
      <c r="CQ1064" s="94"/>
      <c r="CR1064" s="94"/>
      <c r="CS1064" s="94"/>
      <c r="CT1064" s="94"/>
      <c r="CU1064" s="94">
        <v>0.5</v>
      </c>
      <c r="CV1064" s="94"/>
      <c r="CW1064" s="94"/>
      <c r="CX1064" s="94"/>
      <c r="CY1064" s="94"/>
      <c r="CZ1064" s="94"/>
      <c r="DA1064" s="94"/>
      <c r="DB1064" s="94"/>
      <c r="DC1064" s="94"/>
      <c r="DD1064" s="94"/>
      <c r="DE1064" s="94"/>
      <c r="DF1064" s="94"/>
      <c r="DG1064" s="94"/>
      <c r="DH1064" s="94"/>
      <c r="DI1064" s="94"/>
      <c r="DJ1064" s="94"/>
      <c r="DK1064" s="41"/>
      <c r="DL1064" s="41"/>
      <c r="DM1064" s="41"/>
      <c r="DN1064" s="41"/>
      <c r="DO1064" s="41"/>
      <c r="DP1064" s="41"/>
      <c r="DQ1064" s="41"/>
      <c r="DR1064" s="41"/>
      <c r="DS1064" s="43"/>
      <c r="DT1064" s="44">
        <f t="shared" ref="DT1064" si="1046">SUM(F1064:DR1064)</f>
        <v>1</v>
      </c>
    </row>
    <row r="1065" spans="2:124" s="13" customFormat="1">
      <c r="B1065" s="4">
        <f>'6.1Personnel List'!B1066</f>
        <v>1053</v>
      </c>
      <c r="C1065" s="45" t="s">
        <v>1278</v>
      </c>
      <c r="D1065" s="45" t="str">
        <f>'6.1Personnel List'!D1066</f>
        <v>Nurse I</v>
      </c>
      <c r="E1065" s="45" t="str">
        <f>'6.1Personnel List'!H1066</f>
        <v>FT</v>
      </c>
      <c r="G1065" s="41"/>
      <c r="H1065" s="41"/>
      <c r="I1065" s="41"/>
      <c r="J1065" s="41"/>
      <c r="K1065" s="41"/>
      <c r="L1065" s="41"/>
      <c r="M1065" s="41"/>
      <c r="N1065" s="41"/>
      <c r="O1065" s="41"/>
      <c r="P1065" s="41"/>
      <c r="Q1065" s="41"/>
      <c r="R1065" s="41"/>
      <c r="S1065" s="41"/>
      <c r="T1065" s="41"/>
      <c r="U1065" s="41"/>
      <c r="V1065" s="41"/>
      <c r="W1065" s="41"/>
      <c r="X1065" s="41"/>
      <c r="Y1065" s="41"/>
      <c r="Z1065" s="41"/>
      <c r="AA1065" s="41"/>
      <c r="AB1065" s="41"/>
      <c r="AC1065" s="41"/>
      <c r="AD1065" s="41"/>
      <c r="AE1065" s="41"/>
      <c r="AF1065" s="41"/>
      <c r="AG1065" s="41"/>
      <c r="AH1065" s="41"/>
      <c r="AI1065" s="41"/>
      <c r="AJ1065" s="41"/>
      <c r="AK1065" s="41"/>
      <c r="AL1065" s="41"/>
      <c r="AM1065" s="41"/>
      <c r="AN1065" s="41"/>
      <c r="AO1065" s="41"/>
      <c r="AP1065" s="41"/>
      <c r="AQ1065" s="41"/>
      <c r="AR1065" s="41"/>
      <c r="AS1065" s="41"/>
      <c r="AT1065" s="41"/>
      <c r="AU1065" s="41"/>
      <c r="AV1065" s="41"/>
      <c r="AW1065" s="41"/>
      <c r="AX1065" s="41"/>
      <c r="AY1065" s="41"/>
      <c r="AZ1065" s="41"/>
      <c r="BA1065" s="41"/>
      <c r="BB1065" s="41"/>
      <c r="BC1065" s="41"/>
      <c r="BD1065" s="41"/>
      <c r="BE1065" s="41"/>
      <c r="BF1065" s="41"/>
      <c r="BG1065" s="41"/>
      <c r="BH1065" s="41"/>
      <c r="BJ1065" s="41"/>
      <c r="BK1065" s="94"/>
      <c r="BL1065" s="94"/>
      <c r="BM1065" s="94"/>
      <c r="BN1065" s="94"/>
      <c r="BO1065" s="94"/>
      <c r="BP1065" s="94"/>
      <c r="BQ1065" s="94"/>
      <c r="BR1065" s="94"/>
      <c r="BS1065" s="94"/>
      <c r="BT1065" s="94"/>
      <c r="BU1065" s="94"/>
      <c r="BV1065" s="94"/>
      <c r="BW1065" s="94"/>
      <c r="BX1065" s="94"/>
      <c r="BY1065" s="94"/>
      <c r="BZ1065" s="94"/>
      <c r="CA1065" s="94"/>
      <c r="CB1065" s="94"/>
      <c r="CC1065" s="94"/>
      <c r="CD1065" s="94"/>
      <c r="CE1065" s="94"/>
      <c r="CF1065" s="94"/>
      <c r="CG1065" s="94"/>
      <c r="CH1065" s="94"/>
      <c r="CI1065" s="94"/>
      <c r="CJ1065" s="94"/>
      <c r="CK1065" s="94"/>
      <c r="CL1065" s="94"/>
      <c r="CM1065" s="94"/>
      <c r="CN1065" s="94"/>
      <c r="CO1065" s="94"/>
      <c r="CP1065" s="94"/>
      <c r="CQ1065" s="94"/>
      <c r="CR1065" s="94"/>
      <c r="CS1065" s="94"/>
      <c r="CT1065" s="94"/>
      <c r="CU1065" s="94">
        <v>1</v>
      </c>
      <c r="CV1065" s="94"/>
      <c r="CW1065" s="94"/>
      <c r="CX1065" s="94"/>
      <c r="CY1065" s="94"/>
      <c r="CZ1065" s="94"/>
      <c r="DA1065" s="94"/>
      <c r="DB1065" s="94"/>
      <c r="DC1065" s="94"/>
      <c r="DD1065" s="94"/>
      <c r="DE1065" s="94"/>
      <c r="DF1065" s="94"/>
      <c r="DG1065" s="94"/>
      <c r="DH1065" s="94"/>
      <c r="DI1065" s="94"/>
      <c r="DJ1065" s="94"/>
      <c r="DK1065" s="41"/>
      <c r="DL1065" s="41"/>
      <c r="DM1065" s="41"/>
      <c r="DN1065" s="41"/>
      <c r="DO1065" s="41"/>
      <c r="DP1065" s="41"/>
      <c r="DQ1065" s="41"/>
      <c r="DR1065" s="41"/>
      <c r="DS1065" s="43"/>
      <c r="DT1065" s="44">
        <f t="shared" ref="DT1065" si="1047">SUM(F1065:DR1065)</f>
        <v>1</v>
      </c>
    </row>
    <row r="1066" spans="2:124" s="13" customFormat="1">
      <c r="B1066" s="4">
        <f>'6.1Personnel List'!B1067</f>
        <v>1054</v>
      </c>
      <c r="C1066" s="45" t="s">
        <v>1279</v>
      </c>
      <c r="D1066" s="45" t="str">
        <f>'6.1Personnel List'!D1067</f>
        <v>Nurse I</v>
      </c>
      <c r="E1066" s="45" t="str">
        <f>'6.1Personnel List'!H1067</f>
        <v>FT</v>
      </c>
      <c r="G1066" s="41"/>
      <c r="H1066" s="41"/>
      <c r="I1066" s="41"/>
      <c r="J1066" s="41"/>
      <c r="K1066" s="41"/>
      <c r="L1066" s="41"/>
      <c r="M1066" s="41"/>
      <c r="N1066" s="41"/>
      <c r="O1066" s="41"/>
      <c r="P1066" s="41"/>
      <c r="Q1066" s="41"/>
      <c r="R1066" s="41"/>
      <c r="S1066" s="41"/>
      <c r="T1066" s="41"/>
      <c r="U1066" s="41"/>
      <c r="V1066" s="41"/>
      <c r="W1066" s="41"/>
      <c r="X1066" s="41"/>
      <c r="Y1066" s="41"/>
      <c r="Z1066" s="41"/>
      <c r="AA1066" s="41"/>
      <c r="AB1066" s="41"/>
      <c r="AC1066" s="41"/>
      <c r="AD1066" s="41"/>
      <c r="AE1066" s="41"/>
      <c r="AF1066" s="41"/>
      <c r="AG1066" s="41"/>
      <c r="AH1066" s="41"/>
      <c r="AI1066" s="41"/>
      <c r="AJ1066" s="41"/>
      <c r="AK1066" s="41"/>
      <c r="AL1066" s="41"/>
      <c r="AM1066" s="41"/>
      <c r="AN1066" s="41"/>
      <c r="AO1066" s="41"/>
      <c r="AP1066" s="41"/>
      <c r="AQ1066" s="41"/>
      <c r="AR1066" s="41"/>
      <c r="AS1066" s="41"/>
      <c r="AT1066" s="41"/>
      <c r="AU1066" s="41"/>
      <c r="AV1066" s="41"/>
      <c r="AW1066" s="41"/>
      <c r="AX1066" s="41"/>
      <c r="AY1066" s="41"/>
      <c r="AZ1066" s="41"/>
      <c r="BA1066" s="41"/>
      <c r="BB1066" s="41"/>
      <c r="BC1066" s="41"/>
      <c r="BD1066" s="41"/>
      <c r="BE1066" s="41"/>
      <c r="BF1066" s="41"/>
      <c r="BG1066" s="41"/>
      <c r="BH1066" s="41"/>
      <c r="BJ1066" s="41"/>
      <c r="BK1066" s="41"/>
      <c r="BL1066" s="41"/>
      <c r="BM1066" s="41"/>
      <c r="BN1066" s="41"/>
      <c r="BO1066" s="41"/>
      <c r="BP1066" s="41"/>
      <c r="BQ1066" s="41"/>
      <c r="BR1066" s="41"/>
      <c r="BS1066" s="41">
        <v>0.05</v>
      </c>
      <c r="BT1066" s="41"/>
      <c r="BU1066" s="41">
        <v>0.05</v>
      </c>
      <c r="BV1066" s="41">
        <v>0.05</v>
      </c>
      <c r="BW1066" s="41">
        <v>0.05</v>
      </c>
      <c r="BX1066" s="41"/>
      <c r="BY1066" s="41"/>
      <c r="BZ1066" s="41"/>
      <c r="CA1066" s="41"/>
      <c r="CB1066" s="41"/>
      <c r="CC1066" s="41"/>
      <c r="CD1066" s="41"/>
      <c r="CE1066" s="41">
        <v>0.05</v>
      </c>
      <c r="CF1066" s="41">
        <v>0.03</v>
      </c>
      <c r="CG1066" s="41">
        <v>0.02</v>
      </c>
      <c r="CH1066" s="41">
        <v>0.05</v>
      </c>
      <c r="CI1066" s="41">
        <v>0.05</v>
      </c>
      <c r="CJ1066" s="41"/>
      <c r="CK1066" s="41"/>
      <c r="CL1066" s="41"/>
      <c r="CM1066" s="41"/>
      <c r="CN1066" s="41"/>
      <c r="CO1066" s="41"/>
      <c r="CP1066" s="41"/>
      <c r="CQ1066" s="41"/>
      <c r="CR1066" s="41"/>
      <c r="CS1066" s="41"/>
      <c r="CT1066" s="41"/>
      <c r="CU1066" s="41"/>
      <c r="CV1066" s="41"/>
      <c r="CW1066" s="41"/>
      <c r="CX1066" s="41"/>
      <c r="CY1066" s="41"/>
      <c r="CZ1066" s="41"/>
      <c r="DA1066" s="41"/>
      <c r="DB1066" s="41"/>
      <c r="DC1066" s="41"/>
      <c r="DD1066" s="41"/>
      <c r="DE1066" s="41"/>
      <c r="DF1066" s="41"/>
      <c r="DG1066" s="41"/>
      <c r="DH1066" s="41"/>
      <c r="DI1066" s="41"/>
      <c r="DJ1066" s="41"/>
      <c r="DK1066" s="41">
        <v>0.6</v>
      </c>
      <c r="DL1066" s="41"/>
      <c r="DM1066" s="41"/>
      <c r="DN1066" s="41"/>
      <c r="DO1066" s="41"/>
      <c r="DP1066" s="41"/>
      <c r="DQ1066" s="41"/>
      <c r="DR1066" s="41"/>
      <c r="DS1066" s="43"/>
      <c r="DT1066" s="44">
        <f t="shared" ref="DT1066" si="1048">SUM(F1066:DR1066)</f>
        <v>1</v>
      </c>
    </row>
    <row r="1067" spans="2:124" s="13" customFormat="1">
      <c r="B1067" s="4">
        <f>'6.1Personnel List'!B1068</f>
        <v>1055</v>
      </c>
      <c r="C1067" s="45" t="s">
        <v>1280</v>
      </c>
      <c r="D1067" s="45" t="str">
        <f>'6.1Personnel List'!D1068</f>
        <v>Nurse I</v>
      </c>
      <c r="E1067" s="45" t="str">
        <f>'6.1Personnel List'!H1068</f>
        <v>FT</v>
      </c>
      <c r="G1067" s="41"/>
      <c r="H1067" s="41"/>
      <c r="I1067" s="41"/>
      <c r="J1067" s="41"/>
      <c r="K1067" s="41"/>
      <c r="L1067" s="41"/>
      <c r="M1067" s="41"/>
      <c r="N1067" s="41"/>
      <c r="O1067" s="41"/>
      <c r="P1067" s="41"/>
      <c r="Q1067" s="41"/>
      <c r="R1067" s="41"/>
      <c r="S1067" s="41"/>
      <c r="T1067" s="41"/>
      <c r="U1067" s="41"/>
      <c r="V1067" s="41"/>
      <c r="W1067" s="41"/>
      <c r="X1067" s="41"/>
      <c r="Y1067" s="41"/>
      <c r="Z1067" s="41"/>
      <c r="AA1067" s="41"/>
      <c r="AB1067" s="41"/>
      <c r="AC1067" s="41"/>
      <c r="AD1067" s="41"/>
      <c r="AE1067" s="41"/>
      <c r="AF1067" s="41"/>
      <c r="AG1067" s="41"/>
      <c r="AH1067" s="41"/>
      <c r="AI1067" s="41"/>
      <c r="AJ1067" s="41"/>
      <c r="AK1067" s="41"/>
      <c r="AL1067" s="41"/>
      <c r="AM1067" s="41"/>
      <c r="AN1067" s="41"/>
      <c r="AO1067" s="41"/>
      <c r="AP1067" s="41"/>
      <c r="AQ1067" s="41"/>
      <c r="AR1067" s="41"/>
      <c r="AS1067" s="41"/>
      <c r="AT1067" s="41"/>
      <c r="AU1067" s="41"/>
      <c r="AV1067" s="41"/>
      <c r="AW1067" s="41"/>
      <c r="AX1067" s="41"/>
      <c r="AY1067" s="41"/>
      <c r="AZ1067" s="41"/>
      <c r="BA1067" s="41"/>
      <c r="BB1067" s="41"/>
      <c r="BC1067" s="41"/>
      <c r="BD1067" s="41"/>
      <c r="BE1067" s="41"/>
      <c r="BF1067" s="41"/>
      <c r="BG1067" s="41"/>
      <c r="BH1067" s="41"/>
      <c r="BJ1067" s="41"/>
      <c r="BK1067" s="41"/>
      <c r="BL1067" s="41"/>
      <c r="BM1067" s="41"/>
      <c r="BN1067" s="41"/>
      <c r="BO1067" s="41"/>
      <c r="BP1067" s="41"/>
      <c r="BQ1067" s="41"/>
      <c r="BR1067" s="41"/>
      <c r="BS1067" s="41"/>
      <c r="BT1067" s="41"/>
      <c r="BU1067" s="41"/>
      <c r="BV1067" s="41"/>
      <c r="BW1067" s="41"/>
      <c r="BX1067" s="41"/>
      <c r="BY1067" s="41"/>
      <c r="BZ1067" s="41"/>
      <c r="CA1067" s="41"/>
      <c r="CB1067" s="41"/>
      <c r="CC1067" s="41"/>
      <c r="CD1067" s="41"/>
      <c r="CE1067" s="41"/>
      <c r="CF1067" s="41"/>
      <c r="CG1067" s="41"/>
      <c r="CH1067" s="41"/>
      <c r="CI1067" s="41"/>
      <c r="CJ1067" s="41"/>
      <c r="CK1067" s="41"/>
      <c r="CL1067" s="41"/>
      <c r="CM1067" s="41"/>
      <c r="CN1067" s="92">
        <v>0.25</v>
      </c>
      <c r="CO1067" s="41"/>
      <c r="CP1067" s="41"/>
      <c r="CQ1067" s="41"/>
      <c r="CR1067" s="41"/>
      <c r="CS1067" s="41"/>
      <c r="CT1067" s="41"/>
      <c r="CU1067" s="41"/>
      <c r="CV1067" s="41"/>
      <c r="CW1067" s="41"/>
      <c r="CX1067" s="41"/>
      <c r="CY1067" s="41"/>
      <c r="CZ1067" s="41"/>
      <c r="DA1067" s="41"/>
      <c r="DB1067" s="92">
        <v>0.25</v>
      </c>
      <c r="DC1067" s="92">
        <v>0.25</v>
      </c>
      <c r="DD1067" s="41"/>
      <c r="DE1067" s="41"/>
      <c r="DF1067" s="41"/>
      <c r="DG1067" s="41"/>
      <c r="DH1067" s="41"/>
      <c r="DI1067" s="41"/>
      <c r="DJ1067" s="92">
        <v>0.25</v>
      </c>
      <c r="DK1067" s="41"/>
      <c r="DL1067" s="41"/>
      <c r="DM1067" s="41"/>
      <c r="DN1067" s="41"/>
      <c r="DO1067" s="41"/>
      <c r="DP1067" s="41"/>
      <c r="DQ1067" s="41"/>
      <c r="DR1067" s="41"/>
      <c r="DS1067" s="43"/>
      <c r="DT1067" s="44">
        <f t="shared" ref="DT1067" si="1049">SUM(F1067:DR1067)</f>
        <v>1</v>
      </c>
    </row>
    <row r="1068" spans="2:124" s="13" customFormat="1">
      <c r="B1068" s="4">
        <f>'6.1Personnel List'!B1069</f>
        <v>1056</v>
      </c>
      <c r="C1068" s="45" t="s">
        <v>1281</v>
      </c>
      <c r="D1068" s="45" t="str">
        <f>'6.1Personnel List'!D1069</f>
        <v>Nurse I</v>
      </c>
      <c r="E1068" s="45" t="str">
        <f>'6.1Personnel List'!H1069</f>
        <v>FT</v>
      </c>
      <c r="G1068" s="41"/>
      <c r="H1068" s="41"/>
      <c r="I1068" s="41"/>
      <c r="J1068" s="41"/>
      <c r="K1068" s="41"/>
      <c r="L1068" s="41"/>
      <c r="M1068" s="41"/>
      <c r="N1068" s="41"/>
      <c r="O1068" s="41"/>
      <c r="P1068" s="41"/>
      <c r="Q1068" s="41"/>
      <c r="R1068" s="41"/>
      <c r="S1068" s="41"/>
      <c r="T1068" s="41"/>
      <c r="U1068" s="41"/>
      <c r="V1068" s="41"/>
      <c r="W1068" s="41"/>
      <c r="X1068" s="41"/>
      <c r="Y1068" s="41"/>
      <c r="Z1068" s="41"/>
      <c r="AA1068" s="41"/>
      <c r="AB1068" s="41"/>
      <c r="AC1068" s="41"/>
      <c r="AD1068" s="41"/>
      <c r="AE1068" s="41"/>
      <c r="AF1068" s="41"/>
      <c r="AG1068" s="41"/>
      <c r="AH1068" s="41"/>
      <c r="AI1068" s="41"/>
      <c r="AJ1068" s="41"/>
      <c r="AK1068" s="41"/>
      <c r="AL1068" s="41"/>
      <c r="AM1068" s="41"/>
      <c r="AN1068" s="41"/>
      <c r="AO1068" s="41"/>
      <c r="AP1068" s="41"/>
      <c r="AQ1068" s="41"/>
      <c r="AR1068" s="41"/>
      <c r="AS1068" s="41"/>
      <c r="AT1068" s="41"/>
      <c r="AU1068" s="41"/>
      <c r="AV1068" s="41"/>
      <c r="AW1068" s="41"/>
      <c r="AX1068" s="41"/>
      <c r="AY1068" s="41"/>
      <c r="AZ1068" s="41"/>
      <c r="BA1068" s="41"/>
      <c r="BB1068" s="41"/>
      <c r="BC1068" s="41"/>
      <c r="BD1068" s="41"/>
      <c r="BE1068" s="41"/>
      <c r="BF1068" s="41"/>
      <c r="BG1068" s="41"/>
      <c r="BH1068" s="41"/>
      <c r="BJ1068" s="41"/>
      <c r="BK1068" s="41"/>
      <c r="BL1068" s="41"/>
      <c r="BM1068" s="41"/>
      <c r="BN1068" s="41"/>
      <c r="BO1068" s="41"/>
      <c r="BP1068" s="41"/>
      <c r="BQ1068" s="41"/>
      <c r="BR1068" s="41"/>
      <c r="BS1068" s="41"/>
      <c r="BT1068" s="41"/>
      <c r="BU1068" s="41"/>
      <c r="BV1068" s="41"/>
      <c r="BW1068" s="41"/>
      <c r="BX1068" s="41"/>
      <c r="BY1068" s="41"/>
      <c r="BZ1068" s="41"/>
      <c r="CA1068" s="41"/>
      <c r="CB1068" s="41"/>
      <c r="CC1068" s="41"/>
      <c r="CD1068" s="41"/>
      <c r="CE1068" s="41"/>
      <c r="CF1068" s="41"/>
      <c r="CG1068" s="41"/>
      <c r="CH1068" s="41"/>
      <c r="CI1068" s="41"/>
      <c r="CJ1068" s="41"/>
      <c r="CK1068" s="41"/>
      <c r="CL1068" s="41"/>
      <c r="CM1068" s="41"/>
      <c r="CN1068" s="92">
        <v>0.25</v>
      </c>
      <c r="CO1068" s="41"/>
      <c r="CP1068" s="41"/>
      <c r="CQ1068" s="41"/>
      <c r="CR1068" s="41"/>
      <c r="CS1068" s="41"/>
      <c r="CT1068" s="41"/>
      <c r="CU1068" s="41"/>
      <c r="CV1068" s="41"/>
      <c r="CW1068" s="41"/>
      <c r="CX1068" s="41"/>
      <c r="CY1068" s="41"/>
      <c r="CZ1068" s="41"/>
      <c r="DA1068" s="41"/>
      <c r="DB1068" s="92">
        <v>0.25</v>
      </c>
      <c r="DC1068" s="92">
        <v>0.25</v>
      </c>
      <c r="DD1068" s="41"/>
      <c r="DE1068" s="41"/>
      <c r="DF1068" s="41"/>
      <c r="DG1068" s="41"/>
      <c r="DH1068" s="41"/>
      <c r="DI1068" s="41"/>
      <c r="DJ1068" s="92">
        <v>0.25</v>
      </c>
      <c r="DK1068" s="41"/>
      <c r="DL1068" s="41"/>
      <c r="DM1068" s="41"/>
      <c r="DN1068" s="41"/>
      <c r="DO1068" s="41"/>
      <c r="DP1068" s="41"/>
      <c r="DQ1068" s="41"/>
      <c r="DR1068" s="41"/>
      <c r="DS1068" s="43"/>
      <c r="DT1068" s="44">
        <f t="shared" ref="DT1068" si="1050">SUM(F1068:DR1068)</f>
        <v>1</v>
      </c>
    </row>
    <row r="1069" spans="2:124" s="13" customFormat="1">
      <c r="B1069" s="4">
        <f>'6.1Personnel List'!B1070</f>
        <v>1057</v>
      </c>
      <c r="C1069" s="45" t="s">
        <v>1282</v>
      </c>
      <c r="D1069" s="45" t="str">
        <f>'6.1Personnel List'!D1070</f>
        <v>Nurse I</v>
      </c>
      <c r="E1069" s="45" t="str">
        <f>'6.1Personnel List'!H1070</f>
        <v>FT</v>
      </c>
      <c r="G1069" s="41"/>
      <c r="H1069" s="41"/>
      <c r="I1069" s="41"/>
      <c r="J1069" s="41"/>
      <c r="K1069" s="41"/>
      <c r="L1069" s="41"/>
      <c r="M1069" s="41"/>
      <c r="N1069" s="41"/>
      <c r="O1069" s="41"/>
      <c r="P1069" s="41"/>
      <c r="Q1069" s="41"/>
      <c r="R1069" s="41"/>
      <c r="S1069" s="41"/>
      <c r="T1069" s="41"/>
      <c r="U1069" s="41"/>
      <c r="V1069" s="41"/>
      <c r="W1069" s="41"/>
      <c r="X1069" s="41"/>
      <c r="Y1069" s="41"/>
      <c r="Z1069" s="41"/>
      <c r="AA1069" s="41"/>
      <c r="AB1069" s="41"/>
      <c r="AC1069" s="41"/>
      <c r="AD1069" s="41"/>
      <c r="AE1069" s="41"/>
      <c r="AF1069" s="41"/>
      <c r="AG1069" s="41"/>
      <c r="AH1069" s="41"/>
      <c r="AI1069" s="41"/>
      <c r="AJ1069" s="41"/>
      <c r="AK1069" s="41"/>
      <c r="AL1069" s="41"/>
      <c r="AM1069" s="41"/>
      <c r="AN1069" s="41"/>
      <c r="AO1069" s="41"/>
      <c r="AP1069" s="41"/>
      <c r="AQ1069" s="41"/>
      <c r="AR1069" s="41"/>
      <c r="AS1069" s="41"/>
      <c r="AT1069" s="41"/>
      <c r="AU1069" s="41"/>
      <c r="AV1069" s="41"/>
      <c r="AW1069" s="41"/>
      <c r="AX1069" s="41"/>
      <c r="AY1069" s="41"/>
      <c r="AZ1069" s="41"/>
      <c r="BA1069" s="41"/>
      <c r="BB1069" s="41"/>
      <c r="BC1069" s="41"/>
      <c r="BD1069" s="41"/>
      <c r="BE1069" s="41"/>
      <c r="BF1069" s="41"/>
      <c r="BG1069" s="41"/>
      <c r="BH1069" s="41"/>
      <c r="BJ1069" s="41"/>
      <c r="BK1069" s="41"/>
      <c r="BL1069" s="41"/>
      <c r="BM1069" s="41"/>
      <c r="BN1069" s="41"/>
      <c r="BO1069" s="41"/>
      <c r="BP1069" s="41"/>
      <c r="BQ1069" s="41"/>
      <c r="BR1069" s="41"/>
      <c r="BS1069" s="41">
        <v>0.05</v>
      </c>
      <c r="BT1069" s="41"/>
      <c r="BU1069" s="41">
        <v>0.05</v>
      </c>
      <c r="BV1069" s="41">
        <v>0.05</v>
      </c>
      <c r="BW1069" s="41">
        <v>0.05</v>
      </c>
      <c r="BX1069" s="41"/>
      <c r="BY1069" s="41"/>
      <c r="BZ1069" s="41"/>
      <c r="CA1069" s="41"/>
      <c r="CB1069" s="41"/>
      <c r="CC1069" s="41"/>
      <c r="CD1069" s="41"/>
      <c r="CE1069" s="41">
        <v>0.05</v>
      </c>
      <c r="CF1069" s="41">
        <v>0.03</v>
      </c>
      <c r="CG1069" s="41">
        <v>0.02</v>
      </c>
      <c r="CH1069" s="41">
        <v>0.05</v>
      </c>
      <c r="CI1069" s="41">
        <v>0.05</v>
      </c>
      <c r="CJ1069" s="41"/>
      <c r="CK1069" s="41"/>
      <c r="CL1069" s="41"/>
      <c r="CM1069" s="41"/>
      <c r="CN1069" s="41"/>
      <c r="CO1069" s="41"/>
      <c r="CP1069" s="41"/>
      <c r="CQ1069" s="41">
        <v>0.3</v>
      </c>
      <c r="CR1069" s="41"/>
      <c r="CS1069" s="41"/>
      <c r="CT1069" s="41"/>
      <c r="CU1069" s="41"/>
      <c r="CV1069" s="41"/>
      <c r="CW1069" s="41"/>
      <c r="CX1069" s="41"/>
      <c r="CY1069" s="41"/>
      <c r="CZ1069" s="41"/>
      <c r="DA1069" s="41"/>
      <c r="DB1069" s="41"/>
      <c r="DC1069" s="41"/>
      <c r="DD1069" s="41"/>
      <c r="DE1069" s="41"/>
      <c r="DF1069" s="41"/>
      <c r="DG1069" s="41"/>
      <c r="DH1069" s="41"/>
      <c r="DI1069" s="41"/>
      <c r="DJ1069" s="41"/>
      <c r="DK1069" s="41">
        <v>0.3</v>
      </c>
      <c r="DL1069" s="41"/>
      <c r="DM1069" s="41"/>
      <c r="DN1069" s="41"/>
      <c r="DO1069" s="41"/>
      <c r="DP1069" s="41"/>
      <c r="DQ1069" s="41"/>
      <c r="DR1069" s="41"/>
      <c r="DS1069" s="43"/>
      <c r="DT1069" s="44">
        <f t="shared" ref="DT1069" si="1051">SUM(F1069:DR1069)</f>
        <v>1</v>
      </c>
    </row>
    <row r="1070" spans="2:124" s="13" customFormat="1">
      <c r="B1070" s="4">
        <f>'6.1Personnel List'!B1071</f>
        <v>1058</v>
      </c>
      <c r="C1070" s="45" t="s">
        <v>1283</v>
      </c>
      <c r="D1070" s="45" t="str">
        <f>'6.1Personnel List'!D1071</f>
        <v>Nurse I</v>
      </c>
      <c r="E1070" s="45" t="str">
        <f>'6.1Personnel List'!H1071</f>
        <v>FT</v>
      </c>
      <c r="G1070" s="41"/>
      <c r="H1070" s="41"/>
      <c r="I1070" s="41"/>
      <c r="J1070" s="41"/>
      <c r="K1070" s="41"/>
      <c r="L1070" s="41"/>
      <c r="M1070" s="41"/>
      <c r="N1070" s="41"/>
      <c r="O1070" s="41"/>
      <c r="P1070" s="41"/>
      <c r="Q1070" s="41"/>
      <c r="R1070" s="41"/>
      <c r="S1070" s="41"/>
      <c r="T1070" s="41"/>
      <c r="U1070" s="41"/>
      <c r="V1070" s="41"/>
      <c r="W1070" s="41"/>
      <c r="X1070" s="41"/>
      <c r="Y1070" s="41"/>
      <c r="Z1070" s="41"/>
      <c r="AA1070" s="41"/>
      <c r="AB1070" s="41"/>
      <c r="AC1070" s="41"/>
      <c r="AD1070" s="41"/>
      <c r="AE1070" s="41"/>
      <c r="AF1070" s="41"/>
      <c r="AG1070" s="41"/>
      <c r="AH1070" s="41"/>
      <c r="AI1070" s="41"/>
      <c r="AJ1070" s="41"/>
      <c r="AK1070" s="41"/>
      <c r="AL1070" s="41"/>
      <c r="AM1070" s="41"/>
      <c r="AN1070" s="41"/>
      <c r="AO1070" s="41"/>
      <c r="AP1070" s="41"/>
      <c r="AQ1070" s="41"/>
      <c r="AR1070" s="41"/>
      <c r="AS1070" s="41"/>
      <c r="AT1070" s="41"/>
      <c r="AU1070" s="41"/>
      <c r="AV1070" s="41"/>
      <c r="AW1070" s="41"/>
      <c r="AX1070" s="41"/>
      <c r="AY1070" s="41"/>
      <c r="AZ1070" s="41"/>
      <c r="BA1070" s="41"/>
      <c r="BB1070" s="41"/>
      <c r="BC1070" s="41"/>
      <c r="BD1070" s="41"/>
      <c r="BE1070" s="41"/>
      <c r="BF1070" s="41"/>
      <c r="BG1070" s="41"/>
      <c r="BH1070" s="41"/>
      <c r="BJ1070" s="41"/>
      <c r="BK1070" s="41"/>
      <c r="BL1070" s="41"/>
      <c r="BM1070" s="41"/>
      <c r="BN1070" s="41"/>
      <c r="BO1070" s="41"/>
      <c r="BP1070" s="41"/>
      <c r="BQ1070" s="41"/>
      <c r="BR1070" s="41"/>
      <c r="BS1070" s="41">
        <v>0.05</v>
      </c>
      <c r="BT1070" s="41"/>
      <c r="BU1070" s="41">
        <v>0.05</v>
      </c>
      <c r="BV1070" s="41">
        <v>0.05</v>
      </c>
      <c r="BW1070" s="41">
        <v>0.05</v>
      </c>
      <c r="BX1070" s="41"/>
      <c r="BY1070" s="41"/>
      <c r="BZ1070" s="41"/>
      <c r="CA1070" s="41"/>
      <c r="CB1070" s="41"/>
      <c r="CC1070" s="41"/>
      <c r="CD1070" s="41"/>
      <c r="CE1070" s="41">
        <v>0.05</v>
      </c>
      <c r="CF1070" s="41">
        <v>0.03</v>
      </c>
      <c r="CG1070" s="41">
        <v>0.02</v>
      </c>
      <c r="CH1070" s="41">
        <v>0.05</v>
      </c>
      <c r="CI1070" s="41">
        <v>0.05</v>
      </c>
      <c r="CJ1070" s="41"/>
      <c r="CK1070" s="41"/>
      <c r="CL1070" s="41"/>
      <c r="CM1070" s="41"/>
      <c r="CN1070" s="41"/>
      <c r="CO1070" s="41"/>
      <c r="CP1070" s="41"/>
      <c r="CQ1070" s="41"/>
      <c r="CR1070" s="41"/>
      <c r="CS1070" s="41"/>
      <c r="CT1070" s="41"/>
      <c r="CU1070" s="41"/>
      <c r="CV1070" s="41"/>
      <c r="CW1070" s="41"/>
      <c r="CX1070" s="41"/>
      <c r="CY1070" s="41"/>
      <c r="CZ1070" s="41"/>
      <c r="DA1070" s="41"/>
      <c r="DB1070" s="41"/>
      <c r="DC1070" s="41"/>
      <c r="DD1070" s="41"/>
      <c r="DE1070" s="41"/>
      <c r="DF1070" s="41"/>
      <c r="DG1070" s="41"/>
      <c r="DH1070" s="41"/>
      <c r="DI1070" s="41"/>
      <c r="DJ1070" s="41"/>
      <c r="DK1070" s="41">
        <v>0.6</v>
      </c>
      <c r="DL1070" s="41"/>
      <c r="DM1070" s="41"/>
      <c r="DN1070" s="41"/>
      <c r="DO1070" s="41"/>
      <c r="DP1070" s="41"/>
      <c r="DQ1070" s="41"/>
      <c r="DR1070" s="41"/>
      <c r="DS1070" s="43"/>
      <c r="DT1070" s="44">
        <f t="shared" ref="DT1070" si="1052">SUM(F1070:DR1070)</f>
        <v>1</v>
      </c>
    </row>
    <row r="1071" spans="2:124" s="13" customFormat="1">
      <c r="B1071" s="4">
        <f>'6.1Personnel List'!B1072</f>
        <v>1059</v>
      </c>
      <c r="C1071" s="45" t="s">
        <v>1284</v>
      </c>
      <c r="D1071" s="45" t="str">
        <f>'6.1Personnel List'!D1072</f>
        <v>Nurse I</v>
      </c>
      <c r="E1071" s="45" t="str">
        <f>'6.1Personnel List'!H1072</f>
        <v>FT</v>
      </c>
      <c r="G1071" s="41"/>
      <c r="H1071" s="41"/>
      <c r="I1071" s="41"/>
      <c r="J1071" s="41"/>
      <c r="K1071" s="41"/>
      <c r="L1071" s="41"/>
      <c r="M1071" s="41"/>
      <c r="N1071" s="41"/>
      <c r="O1071" s="41"/>
      <c r="P1071" s="41"/>
      <c r="Q1071" s="41"/>
      <c r="R1071" s="41"/>
      <c r="S1071" s="41"/>
      <c r="T1071" s="41"/>
      <c r="U1071" s="41"/>
      <c r="V1071" s="41"/>
      <c r="W1071" s="41"/>
      <c r="X1071" s="41"/>
      <c r="Y1071" s="41"/>
      <c r="Z1071" s="41"/>
      <c r="AA1071" s="41"/>
      <c r="AB1071" s="41"/>
      <c r="AC1071" s="41"/>
      <c r="AD1071" s="41"/>
      <c r="AE1071" s="41"/>
      <c r="AF1071" s="41"/>
      <c r="AG1071" s="41"/>
      <c r="AH1071" s="41"/>
      <c r="AI1071" s="41"/>
      <c r="AJ1071" s="41"/>
      <c r="AK1071" s="41"/>
      <c r="AL1071" s="41"/>
      <c r="AM1071" s="41"/>
      <c r="AN1071" s="41"/>
      <c r="AO1071" s="41"/>
      <c r="AP1071" s="41"/>
      <c r="AQ1071" s="41"/>
      <c r="AR1071" s="41"/>
      <c r="AS1071" s="41"/>
      <c r="AT1071" s="41"/>
      <c r="AU1071" s="41"/>
      <c r="AV1071" s="41"/>
      <c r="AW1071" s="41"/>
      <c r="AX1071" s="41"/>
      <c r="AY1071" s="41"/>
      <c r="AZ1071" s="41"/>
      <c r="BA1071" s="41"/>
      <c r="BB1071" s="41"/>
      <c r="BC1071" s="41"/>
      <c r="BD1071" s="41"/>
      <c r="BE1071" s="41"/>
      <c r="BF1071" s="41"/>
      <c r="BG1071" s="41"/>
      <c r="BH1071" s="41"/>
      <c r="BJ1071" s="41"/>
      <c r="BK1071" s="41"/>
      <c r="BL1071" s="41"/>
      <c r="BM1071" s="41"/>
      <c r="BN1071" s="41"/>
      <c r="BO1071" s="41"/>
      <c r="BP1071" s="41"/>
      <c r="BQ1071" s="41"/>
      <c r="BR1071" s="41"/>
      <c r="BS1071" s="41">
        <v>0.05</v>
      </c>
      <c r="BT1071" s="41"/>
      <c r="BU1071" s="41">
        <v>0.05</v>
      </c>
      <c r="BV1071" s="41">
        <v>0.05</v>
      </c>
      <c r="BW1071" s="41">
        <v>0.05</v>
      </c>
      <c r="BX1071" s="41"/>
      <c r="BY1071" s="41"/>
      <c r="BZ1071" s="41"/>
      <c r="CA1071" s="41"/>
      <c r="CB1071" s="41"/>
      <c r="CC1071" s="41"/>
      <c r="CD1071" s="41"/>
      <c r="CE1071" s="41">
        <v>0.05</v>
      </c>
      <c r="CF1071" s="41">
        <v>0.03</v>
      </c>
      <c r="CG1071" s="41">
        <v>0.02</v>
      </c>
      <c r="CH1071" s="41">
        <v>0.05</v>
      </c>
      <c r="CI1071" s="41">
        <v>0.05</v>
      </c>
      <c r="CJ1071" s="41"/>
      <c r="CK1071" s="41"/>
      <c r="CL1071" s="41"/>
      <c r="CM1071" s="41"/>
      <c r="CN1071" s="41"/>
      <c r="CO1071" s="41"/>
      <c r="CP1071" s="41"/>
      <c r="CQ1071" s="41"/>
      <c r="CR1071" s="41"/>
      <c r="CS1071" s="41"/>
      <c r="CT1071" s="41"/>
      <c r="CU1071" s="41"/>
      <c r="CV1071" s="41"/>
      <c r="CW1071" s="41"/>
      <c r="CX1071" s="41"/>
      <c r="CY1071" s="41"/>
      <c r="CZ1071" s="41"/>
      <c r="DA1071" s="41"/>
      <c r="DB1071" s="41"/>
      <c r="DC1071" s="41"/>
      <c r="DD1071" s="41"/>
      <c r="DE1071" s="41"/>
      <c r="DF1071" s="41"/>
      <c r="DG1071" s="41"/>
      <c r="DH1071" s="41"/>
      <c r="DI1071" s="41"/>
      <c r="DJ1071" s="41"/>
      <c r="DK1071" s="41">
        <v>0.6</v>
      </c>
      <c r="DL1071" s="41"/>
      <c r="DM1071" s="41"/>
      <c r="DN1071" s="41"/>
      <c r="DO1071" s="41"/>
      <c r="DP1071" s="41"/>
      <c r="DQ1071" s="41"/>
      <c r="DR1071" s="41"/>
      <c r="DS1071" s="43"/>
      <c r="DT1071" s="44">
        <f t="shared" ref="DT1071" si="1053">SUM(F1071:DR1071)</f>
        <v>1</v>
      </c>
    </row>
    <row r="1072" spans="2:124" s="13" customFormat="1">
      <c r="B1072" s="4">
        <f>'6.1Personnel List'!B1073</f>
        <v>1060</v>
      </c>
      <c r="C1072" s="45" t="s">
        <v>1285</v>
      </c>
      <c r="D1072" s="45" t="str">
        <f>'6.1Personnel List'!D1073</f>
        <v>Nurse I</v>
      </c>
      <c r="E1072" s="45" t="str">
        <f>'6.1Personnel List'!H1073</f>
        <v>FT</v>
      </c>
      <c r="G1072" s="41"/>
      <c r="H1072" s="41"/>
      <c r="I1072" s="41"/>
      <c r="J1072" s="41"/>
      <c r="K1072" s="41"/>
      <c r="L1072" s="41"/>
      <c r="M1072" s="41"/>
      <c r="N1072" s="41"/>
      <c r="O1072" s="41"/>
      <c r="P1072" s="41"/>
      <c r="Q1072" s="41"/>
      <c r="R1072" s="41"/>
      <c r="S1072" s="41"/>
      <c r="T1072" s="41"/>
      <c r="U1072" s="41"/>
      <c r="V1072" s="41"/>
      <c r="W1072" s="41"/>
      <c r="X1072" s="41"/>
      <c r="Y1072" s="41"/>
      <c r="Z1072" s="41"/>
      <c r="AA1072" s="41"/>
      <c r="AB1072" s="41"/>
      <c r="AC1072" s="41"/>
      <c r="AD1072" s="41"/>
      <c r="AE1072" s="41"/>
      <c r="AF1072" s="41"/>
      <c r="AG1072" s="41"/>
      <c r="AH1072" s="41"/>
      <c r="AI1072" s="41"/>
      <c r="AJ1072" s="41"/>
      <c r="AK1072" s="41"/>
      <c r="AL1072" s="41"/>
      <c r="AM1072" s="41"/>
      <c r="AN1072" s="41"/>
      <c r="AO1072" s="41"/>
      <c r="AP1072" s="41"/>
      <c r="AQ1072" s="41"/>
      <c r="AR1072" s="41"/>
      <c r="AS1072" s="41"/>
      <c r="AT1072" s="41"/>
      <c r="AU1072" s="41"/>
      <c r="AV1072" s="41"/>
      <c r="AW1072" s="41"/>
      <c r="AX1072" s="41"/>
      <c r="AY1072" s="41"/>
      <c r="AZ1072" s="41"/>
      <c r="BA1072" s="41"/>
      <c r="BB1072" s="41"/>
      <c r="BC1072" s="41"/>
      <c r="BD1072" s="41"/>
      <c r="BE1072" s="41"/>
      <c r="BF1072" s="41"/>
      <c r="BG1072" s="41"/>
      <c r="BH1072" s="41"/>
      <c r="BJ1072" s="41"/>
      <c r="BK1072" s="41"/>
      <c r="BL1072" s="41"/>
      <c r="BM1072" s="41"/>
      <c r="BN1072" s="41"/>
      <c r="BO1072" s="41"/>
      <c r="BP1072" s="41"/>
      <c r="BQ1072" s="41"/>
      <c r="BR1072" s="41"/>
      <c r="BS1072" s="41">
        <v>0.05</v>
      </c>
      <c r="BT1072" s="41"/>
      <c r="BU1072" s="41"/>
      <c r="BV1072" s="41">
        <v>0.05</v>
      </c>
      <c r="BW1072" s="41">
        <v>0.05</v>
      </c>
      <c r="BX1072" s="41"/>
      <c r="BY1072" s="41"/>
      <c r="BZ1072" s="41"/>
      <c r="CA1072" s="41"/>
      <c r="CB1072" s="41"/>
      <c r="CC1072" s="41"/>
      <c r="CD1072" s="41"/>
      <c r="CE1072" s="41">
        <v>0.1</v>
      </c>
      <c r="CF1072" s="41">
        <v>0.05</v>
      </c>
      <c r="CG1072" s="41">
        <v>0.05</v>
      </c>
      <c r="CH1072" s="41">
        <v>0.05</v>
      </c>
      <c r="CI1072" s="41"/>
      <c r="CJ1072" s="41">
        <v>0.05</v>
      </c>
      <c r="CK1072" s="41"/>
      <c r="CL1072" s="41">
        <v>0.2</v>
      </c>
      <c r="CM1072" s="41"/>
      <c r="CN1072" s="41"/>
      <c r="CO1072" s="41"/>
      <c r="CP1072" s="41"/>
      <c r="CQ1072" s="41"/>
      <c r="CR1072" s="41"/>
      <c r="CS1072" s="41"/>
      <c r="CT1072" s="41"/>
      <c r="CU1072" s="41">
        <v>0.05</v>
      </c>
      <c r="CV1072" s="41"/>
      <c r="CW1072" s="41"/>
      <c r="CX1072" s="41"/>
      <c r="CY1072" s="41"/>
      <c r="CZ1072" s="41"/>
      <c r="DA1072" s="41"/>
      <c r="DB1072" s="41"/>
      <c r="DC1072" s="41"/>
      <c r="DD1072" s="41">
        <v>0.05</v>
      </c>
      <c r="DE1072" s="41"/>
      <c r="DF1072" s="41"/>
      <c r="DG1072" s="41"/>
      <c r="DH1072" s="41"/>
      <c r="DI1072" s="41"/>
      <c r="DJ1072" s="41"/>
      <c r="DK1072" s="41"/>
      <c r="DL1072" s="41"/>
      <c r="DM1072" s="41"/>
      <c r="DN1072" s="41"/>
      <c r="DO1072" s="41"/>
      <c r="DP1072" s="41">
        <v>0.25</v>
      </c>
      <c r="DQ1072" s="41"/>
      <c r="DR1072" s="41"/>
      <c r="DS1072" s="43"/>
      <c r="DT1072" s="44">
        <f t="shared" ref="DT1072" si="1054">SUM(F1072:DR1072)</f>
        <v>1</v>
      </c>
    </row>
    <row r="1073" spans="2:124" s="13" customFormat="1">
      <c r="B1073" s="4">
        <f>'6.1Personnel List'!B1074</f>
        <v>1061</v>
      </c>
      <c r="C1073" s="45" t="s">
        <v>1286</v>
      </c>
      <c r="D1073" s="45" t="str">
        <f>'6.1Personnel List'!D1074</f>
        <v>Nurse I</v>
      </c>
      <c r="E1073" s="45" t="str">
        <f>'6.1Personnel List'!H1074</f>
        <v>FT</v>
      </c>
      <c r="G1073" s="41"/>
      <c r="H1073" s="41"/>
      <c r="I1073" s="41"/>
      <c r="J1073" s="41"/>
      <c r="K1073" s="41"/>
      <c r="L1073" s="41"/>
      <c r="M1073" s="41"/>
      <c r="N1073" s="41"/>
      <c r="O1073" s="41"/>
      <c r="P1073" s="41"/>
      <c r="Q1073" s="41"/>
      <c r="R1073" s="41"/>
      <c r="S1073" s="41"/>
      <c r="T1073" s="41"/>
      <c r="U1073" s="41"/>
      <c r="V1073" s="41"/>
      <c r="W1073" s="41"/>
      <c r="X1073" s="41"/>
      <c r="Y1073" s="41"/>
      <c r="Z1073" s="41"/>
      <c r="AA1073" s="41"/>
      <c r="AB1073" s="41"/>
      <c r="AC1073" s="41"/>
      <c r="AD1073" s="41"/>
      <c r="AE1073" s="41"/>
      <c r="AF1073" s="41"/>
      <c r="AG1073" s="41"/>
      <c r="AH1073" s="41"/>
      <c r="AI1073" s="41"/>
      <c r="AJ1073" s="41"/>
      <c r="AK1073" s="41"/>
      <c r="AL1073" s="41"/>
      <c r="AM1073" s="41"/>
      <c r="AN1073" s="41"/>
      <c r="AO1073" s="41"/>
      <c r="AP1073" s="41"/>
      <c r="AQ1073" s="41"/>
      <c r="AR1073" s="41"/>
      <c r="AS1073" s="41"/>
      <c r="AT1073" s="41"/>
      <c r="AU1073" s="41"/>
      <c r="AV1073" s="41"/>
      <c r="AW1073" s="41"/>
      <c r="AX1073" s="41"/>
      <c r="AY1073" s="41"/>
      <c r="AZ1073" s="41"/>
      <c r="BA1073" s="41"/>
      <c r="BB1073" s="41"/>
      <c r="BC1073" s="41"/>
      <c r="BD1073" s="41"/>
      <c r="BE1073" s="41"/>
      <c r="BF1073" s="41"/>
      <c r="BG1073" s="41"/>
      <c r="BH1073" s="41"/>
      <c r="BJ1073" s="41"/>
      <c r="BK1073" s="41"/>
      <c r="BL1073" s="41"/>
      <c r="BM1073" s="41"/>
      <c r="BN1073" s="41"/>
      <c r="BO1073" s="41"/>
      <c r="BP1073" s="41"/>
      <c r="BQ1073" s="41"/>
      <c r="BR1073" s="41"/>
      <c r="BS1073" s="41"/>
      <c r="BT1073" s="41"/>
      <c r="BU1073" s="41"/>
      <c r="BV1073" s="41">
        <v>0.05</v>
      </c>
      <c r="BW1073" s="41">
        <v>0.2</v>
      </c>
      <c r="BX1073" s="41"/>
      <c r="BY1073" s="41"/>
      <c r="BZ1073" s="41"/>
      <c r="CA1073" s="41"/>
      <c r="CB1073" s="41"/>
      <c r="CC1073" s="41"/>
      <c r="CD1073" s="41"/>
      <c r="CE1073" s="41">
        <v>0.1</v>
      </c>
      <c r="CF1073" s="41">
        <v>0.1</v>
      </c>
      <c r="CG1073" s="41">
        <v>0.1</v>
      </c>
      <c r="CH1073" s="41"/>
      <c r="CI1073" s="41"/>
      <c r="CJ1073" s="41"/>
      <c r="CK1073" s="41"/>
      <c r="CL1073" s="41"/>
      <c r="CM1073" s="41"/>
      <c r="CN1073" s="41"/>
      <c r="CO1073" s="41"/>
      <c r="CP1073" s="41"/>
      <c r="CQ1073" s="41"/>
      <c r="CR1073" s="41"/>
      <c r="CS1073" s="41"/>
      <c r="CT1073" s="41"/>
      <c r="CU1073" s="41"/>
      <c r="CV1073" s="41"/>
      <c r="CW1073" s="41"/>
      <c r="CX1073" s="41"/>
      <c r="CY1073" s="41"/>
      <c r="CZ1073" s="41"/>
      <c r="DA1073" s="41"/>
      <c r="DB1073" s="41"/>
      <c r="DC1073" s="41"/>
      <c r="DD1073" s="41"/>
      <c r="DE1073" s="41"/>
      <c r="DF1073" s="41"/>
      <c r="DG1073" s="41"/>
      <c r="DH1073" s="41"/>
      <c r="DI1073" s="41"/>
      <c r="DJ1073" s="41"/>
      <c r="DK1073" s="41"/>
      <c r="DL1073" s="41"/>
      <c r="DM1073" s="41">
        <v>0.45</v>
      </c>
      <c r="DN1073" s="41"/>
      <c r="DO1073" s="41"/>
      <c r="DP1073" s="41"/>
      <c r="DQ1073" s="41"/>
      <c r="DR1073" s="41"/>
      <c r="DS1073" s="43"/>
      <c r="DT1073" s="44">
        <f t="shared" ref="DT1073" si="1055">SUM(F1073:DR1073)</f>
        <v>1</v>
      </c>
    </row>
    <row r="1074" spans="2:124" s="13" customFormat="1">
      <c r="B1074" s="4">
        <f>'6.1Personnel List'!B1075</f>
        <v>1062</v>
      </c>
      <c r="C1074" s="45" t="s">
        <v>1287</v>
      </c>
      <c r="D1074" s="45" t="str">
        <f>'6.1Personnel List'!D1075</f>
        <v>Nurse I</v>
      </c>
      <c r="E1074" s="45" t="str">
        <f>'6.1Personnel List'!H1075</f>
        <v>FT</v>
      </c>
      <c r="G1074" s="41"/>
      <c r="H1074" s="41"/>
      <c r="I1074" s="41"/>
      <c r="J1074" s="41"/>
      <c r="K1074" s="41"/>
      <c r="L1074" s="41"/>
      <c r="M1074" s="41"/>
      <c r="N1074" s="41"/>
      <c r="O1074" s="41"/>
      <c r="P1074" s="41"/>
      <c r="Q1074" s="41"/>
      <c r="R1074" s="41"/>
      <c r="S1074" s="41"/>
      <c r="T1074" s="41"/>
      <c r="U1074" s="41"/>
      <c r="V1074" s="41"/>
      <c r="W1074" s="41"/>
      <c r="X1074" s="41"/>
      <c r="Y1074" s="41"/>
      <c r="Z1074" s="41"/>
      <c r="AA1074" s="41"/>
      <c r="AB1074" s="41"/>
      <c r="AC1074" s="41"/>
      <c r="AD1074" s="41"/>
      <c r="AE1074" s="41"/>
      <c r="AF1074" s="41"/>
      <c r="AG1074" s="41"/>
      <c r="AH1074" s="41"/>
      <c r="AI1074" s="41"/>
      <c r="AJ1074" s="41"/>
      <c r="AK1074" s="41"/>
      <c r="AL1074" s="41"/>
      <c r="AM1074" s="41"/>
      <c r="AN1074" s="41"/>
      <c r="AO1074" s="41"/>
      <c r="AP1074" s="41"/>
      <c r="AQ1074" s="41"/>
      <c r="AR1074" s="41"/>
      <c r="AS1074" s="41"/>
      <c r="AT1074" s="41"/>
      <c r="AU1074" s="41"/>
      <c r="AV1074" s="41"/>
      <c r="AW1074" s="41"/>
      <c r="AX1074" s="41"/>
      <c r="AY1074" s="41"/>
      <c r="AZ1074" s="41"/>
      <c r="BA1074" s="41"/>
      <c r="BB1074" s="41"/>
      <c r="BC1074" s="41"/>
      <c r="BD1074" s="41"/>
      <c r="BE1074" s="41"/>
      <c r="BF1074" s="41"/>
      <c r="BG1074" s="41"/>
      <c r="BH1074" s="41"/>
      <c r="BJ1074" s="41"/>
      <c r="BK1074" s="41"/>
      <c r="BL1074" s="41"/>
      <c r="BM1074" s="41"/>
      <c r="BN1074" s="41"/>
      <c r="BO1074" s="41"/>
      <c r="BP1074" s="41"/>
      <c r="BQ1074" s="41"/>
      <c r="BR1074" s="41"/>
      <c r="BS1074" s="41"/>
      <c r="BT1074" s="41"/>
      <c r="BU1074" s="41"/>
      <c r="BV1074" s="41">
        <v>0.05</v>
      </c>
      <c r="BW1074" s="41"/>
      <c r="BX1074" s="41"/>
      <c r="BY1074" s="41"/>
      <c r="BZ1074" s="41"/>
      <c r="CA1074" s="41"/>
      <c r="CB1074" s="41">
        <v>0.05</v>
      </c>
      <c r="CC1074" s="41"/>
      <c r="CD1074" s="41"/>
      <c r="CE1074" s="41">
        <v>0.05</v>
      </c>
      <c r="CF1074" s="41">
        <v>0.05</v>
      </c>
      <c r="CG1074" s="41"/>
      <c r="CH1074" s="41"/>
      <c r="CI1074" s="41"/>
      <c r="CJ1074" s="41"/>
      <c r="CK1074" s="41"/>
      <c r="CL1074" s="41">
        <v>0.8</v>
      </c>
      <c r="CM1074" s="41"/>
      <c r="CN1074" s="41"/>
      <c r="CO1074" s="41"/>
      <c r="CP1074" s="41"/>
      <c r="CQ1074" s="41"/>
      <c r="CR1074" s="41"/>
      <c r="CS1074" s="41"/>
      <c r="CT1074" s="41"/>
      <c r="CU1074" s="41"/>
      <c r="CV1074" s="41"/>
      <c r="CW1074" s="41"/>
      <c r="CX1074" s="41"/>
      <c r="CY1074" s="41"/>
      <c r="CZ1074" s="41"/>
      <c r="DA1074" s="41"/>
      <c r="DB1074" s="41"/>
      <c r="DC1074" s="41"/>
      <c r="DD1074" s="41"/>
      <c r="DE1074" s="41"/>
      <c r="DF1074" s="41"/>
      <c r="DG1074" s="41"/>
      <c r="DH1074" s="41"/>
      <c r="DI1074" s="41"/>
      <c r="DJ1074" s="41"/>
      <c r="DK1074" s="41"/>
      <c r="DL1074" s="41"/>
      <c r="DM1074" s="41"/>
      <c r="DN1074" s="41"/>
      <c r="DO1074" s="41"/>
      <c r="DP1074" s="41"/>
      <c r="DQ1074" s="41"/>
      <c r="DR1074" s="41"/>
      <c r="DS1074" s="43"/>
      <c r="DT1074" s="44">
        <f t="shared" ref="DT1074" si="1056">SUM(F1074:DR1074)</f>
        <v>1</v>
      </c>
    </row>
    <row r="1075" spans="2:124" s="13" customFormat="1">
      <c r="B1075" s="4">
        <f>'6.1Personnel List'!B1076</f>
        <v>1063</v>
      </c>
      <c r="C1075" s="45" t="s">
        <v>1288</v>
      </c>
      <c r="D1075" s="45" t="str">
        <f>'6.1Personnel List'!D1076</f>
        <v>Nurse I</v>
      </c>
      <c r="E1075" s="45" t="str">
        <f>'6.1Personnel List'!H1076</f>
        <v>FT</v>
      </c>
      <c r="G1075" s="41"/>
      <c r="H1075" s="41"/>
      <c r="I1075" s="41"/>
      <c r="J1075" s="41"/>
      <c r="K1075" s="41"/>
      <c r="L1075" s="41"/>
      <c r="M1075" s="41"/>
      <c r="N1075" s="41"/>
      <c r="O1075" s="41"/>
      <c r="P1075" s="41"/>
      <c r="Q1075" s="41"/>
      <c r="R1075" s="41"/>
      <c r="S1075" s="41"/>
      <c r="T1075" s="41"/>
      <c r="U1075" s="41"/>
      <c r="V1075" s="41"/>
      <c r="W1075" s="41"/>
      <c r="X1075" s="41"/>
      <c r="Y1075" s="41"/>
      <c r="Z1075" s="41"/>
      <c r="AA1075" s="41"/>
      <c r="AB1075" s="41"/>
      <c r="AC1075" s="41"/>
      <c r="AD1075" s="41"/>
      <c r="AE1075" s="41"/>
      <c r="AF1075" s="41"/>
      <c r="AG1075" s="41"/>
      <c r="AH1075" s="41"/>
      <c r="AI1075" s="41"/>
      <c r="AJ1075" s="41"/>
      <c r="AK1075" s="41"/>
      <c r="AL1075" s="41"/>
      <c r="AM1075" s="41"/>
      <c r="AN1075" s="41"/>
      <c r="AO1075" s="41"/>
      <c r="AP1075" s="41"/>
      <c r="AQ1075" s="41"/>
      <c r="AR1075" s="41"/>
      <c r="AS1075" s="41"/>
      <c r="AT1075" s="41"/>
      <c r="AU1075" s="41"/>
      <c r="AV1075" s="41"/>
      <c r="AW1075" s="41"/>
      <c r="AX1075" s="41"/>
      <c r="AY1075" s="41"/>
      <c r="AZ1075" s="41"/>
      <c r="BA1075" s="41"/>
      <c r="BB1075" s="41"/>
      <c r="BC1075" s="41"/>
      <c r="BD1075" s="41"/>
      <c r="BE1075" s="41"/>
      <c r="BF1075" s="41"/>
      <c r="BG1075" s="41"/>
      <c r="BH1075" s="41"/>
      <c r="BJ1075" s="41"/>
      <c r="BK1075" s="41"/>
      <c r="BL1075" s="41"/>
      <c r="BM1075" s="41"/>
      <c r="BN1075" s="41"/>
      <c r="BO1075" s="41"/>
      <c r="BP1075" s="41"/>
      <c r="BQ1075" s="41"/>
      <c r="BR1075" s="41"/>
      <c r="BS1075" s="41"/>
      <c r="BT1075" s="41"/>
      <c r="BU1075" s="41"/>
      <c r="BV1075" s="41">
        <v>0.05</v>
      </c>
      <c r="BW1075" s="41"/>
      <c r="BX1075" s="41"/>
      <c r="BY1075" s="41"/>
      <c r="BZ1075" s="41"/>
      <c r="CA1075" s="41"/>
      <c r="CB1075" s="41">
        <v>0.05</v>
      </c>
      <c r="CC1075" s="41"/>
      <c r="CD1075" s="41"/>
      <c r="CE1075" s="41">
        <v>0.05</v>
      </c>
      <c r="CF1075" s="41">
        <v>0.05</v>
      </c>
      <c r="CG1075" s="41"/>
      <c r="CH1075" s="41"/>
      <c r="CI1075" s="41"/>
      <c r="CJ1075" s="41"/>
      <c r="CK1075" s="41"/>
      <c r="CL1075" s="41">
        <v>0.8</v>
      </c>
      <c r="CM1075" s="41"/>
      <c r="CN1075" s="41"/>
      <c r="CO1075" s="41"/>
      <c r="CP1075" s="41"/>
      <c r="CQ1075" s="41"/>
      <c r="CR1075" s="41"/>
      <c r="CS1075" s="41"/>
      <c r="CT1075" s="41"/>
      <c r="CU1075" s="41"/>
      <c r="CV1075" s="41"/>
      <c r="CW1075" s="41"/>
      <c r="CX1075" s="41"/>
      <c r="CY1075" s="41"/>
      <c r="CZ1075" s="41"/>
      <c r="DA1075" s="41"/>
      <c r="DB1075" s="41"/>
      <c r="DC1075" s="41"/>
      <c r="DD1075" s="41"/>
      <c r="DE1075" s="41"/>
      <c r="DF1075" s="41"/>
      <c r="DG1075" s="41"/>
      <c r="DH1075" s="41"/>
      <c r="DI1075" s="41"/>
      <c r="DJ1075" s="41"/>
      <c r="DK1075" s="41"/>
      <c r="DL1075" s="41"/>
      <c r="DM1075" s="41"/>
      <c r="DN1075" s="41"/>
      <c r="DO1075" s="41"/>
      <c r="DP1075" s="41"/>
      <c r="DQ1075" s="41"/>
      <c r="DR1075" s="41"/>
      <c r="DS1075" s="43"/>
      <c r="DT1075" s="44">
        <f t="shared" ref="DT1075" si="1057">SUM(F1075:DR1075)</f>
        <v>1</v>
      </c>
    </row>
    <row r="1076" spans="2:124" s="13" customFormat="1">
      <c r="B1076" s="4">
        <f>'6.1Personnel List'!B1077</f>
        <v>1064</v>
      </c>
      <c r="C1076" s="45" t="s">
        <v>1289</v>
      </c>
      <c r="D1076" s="45" t="str">
        <f>'6.1Personnel List'!D1077</f>
        <v>Nurse I</v>
      </c>
      <c r="E1076" s="45" t="str">
        <f>'6.1Personnel List'!H1077</f>
        <v>FT</v>
      </c>
      <c r="G1076" s="41"/>
      <c r="H1076" s="41"/>
      <c r="I1076" s="41"/>
      <c r="J1076" s="41"/>
      <c r="K1076" s="41"/>
      <c r="L1076" s="41"/>
      <c r="M1076" s="41"/>
      <c r="N1076" s="41"/>
      <c r="O1076" s="41"/>
      <c r="P1076" s="41"/>
      <c r="Q1076" s="41"/>
      <c r="R1076" s="41"/>
      <c r="S1076" s="41"/>
      <c r="T1076" s="41"/>
      <c r="U1076" s="41"/>
      <c r="V1076" s="41"/>
      <c r="W1076" s="41"/>
      <c r="X1076" s="41"/>
      <c r="Y1076" s="41"/>
      <c r="Z1076" s="41"/>
      <c r="AA1076" s="41"/>
      <c r="AB1076" s="41"/>
      <c r="AC1076" s="41"/>
      <c r="AD1076" s="41"/>
      <c r="AE1076" s="41"/>
      <c r="AF1076" s="41"/>
      <c r="AG1076" s="41"/>
      <c r="AH1076" s="41"/>
      <c r="AI1076" s="41"/>
      <c r="AJ1076" s="41"/>
      <c r="AK1076" s="41"/>
      <c r="AL1076" s="41"/>
      <c r="AM1076" s="41"/>
      <c r="AN1076" s="41"/>
      <c r="AO1076" s="41"/>
      <c r="AP1076" s="41"/>
      <c r="AQ1076" s="41"/>
      <c r="AR1076" s="41"/>
      <c r="AS1076" s="41"/>
      <c r="AT1076" s="41"/>
      <c r="AU1076" s="41"/>
      <c r="AV1076" s="41"/>
      <c r="AW1076" s="41"/>
      <c r="AX1076" s="41"/>
      <c r="AY1076" s="41"/>
      <c r="AZ1076" s="41"/>
      <c r="BA1076" s="41"/>
      <c r="BB1076" s="41"/>
      <c r="BC1076" s="41"/>
      <c r="BD1076" s="41"/>
      <c r="BE1076" s="41"/>
      <c r="BF1076" s="41"/>
      <c r="BG1076" s="41"/>
      <c r="BH1076" s="41"/>
      <c r="BJ1076" s="41"/>
      <c r="BK1076" s="41"/>
      <c r="BL1076" s="41"/>
      <c r="BM1076" s="41"/>
      <c r="BN1076" s="41"/>
      <c r="BO1076" s="41"/>
      <c r="BP1076" s="41"/>
      <c r="BQ1076" s="41"/>
      <c r="BR1076" s="41"/>
      <c r="BS1076" s="41"/>
      <c r="BT1076" s="41"/>
      <c r="BU1076" s="41"/>
      <c r="BV1076" s="41">
        <v>0.05</v>
      </c>
      <c r="BW1076" s="41"/>
      <c r="BX1076" s="41"/>
      <c r="BY1076" s="41"/>
      <c r="BZ1076" s="41"/>
      <c r="CA1076" s="41"/>
      <c r="CB1076" s="41">
        <v>0.05</v>
      </c>
      <c r="CC1076" s="41"/>
      <c r="CD1076" s="41"/>
      <c r="CE1076" s="41">
        <v>0.05</v>
      </c>
      <c r="CF1076" s="41">
        <v>0.05</v>
      </c>
      <c r="CG1076" s="41"/>
      <c r="CH1076" s="41"/>
      <c r="CI1076" s="41"/>
      <c r="CJ1076" s="41"/>
      <c r="CK1076" s="41"/>
      <c r="CL1076" s="41">
        <v>0.8</v>
      </c>
      <c r="CM1076" s="41"/>
      <c r="CN1076" s="41"/>
      <c r="CO1076" s="41"/>
      <c r="CP1076" s="41"/>
      <c r="CQ1076" s="41"/>
      <c r="CR1076" s="41"/>
      <c r="CS1076" s="41"/>
      <c r="CT1076" s="41"/>
      <c r="CU1076" s="41"/>
      <c r="CV1076" s="41"/>
      <c r="CW1076" s="41"/>
      <c r="CX1076" s="41"/>
      <c r="CY1076" s="41"/>
      <c r="CZ1076" s="41"/>
      <c r="DA1076" s="41"/>
      <c r="DB1076" s="41"/>
      <c r="DC1076" s="41"/>
      <c r="DD1076" s="41"/>
      <c r="DE1076" s="41"/>
      <c r="DF1076" s="41"/>
      <c r="DG1076" s="41"/>
      <c r="DH1076" s="41"/>
      <c r="DI1076" s="41"/>
      <c r="DJ1076" s="41"/>
      <c r="DK1076" s="41"/>
      <c r="DL1076" s="41"/>
      <c r="DM1076" s="41"/>
      <c r="DN1076" s="41"/>
      <c r="DO1076" s="41"/>
      <c r="DP1076" s="41"/>
      <c r="DQ1076" s="41"/>
      <c r="DR1076" s="41"/>
      <c r="DS1076" s="43"/>
      <c r="DT1076" s="44">
        <f t="shared" ref="DT1076" si="1058">SUM(F1076:DR1076)</f>
        <v>1</v>
      </c>
    </row>
    <row r="1077" spans="2:124" s="13" customFormat="1">
      <c r="B1077" s="4">
        <f>'6.1Personnel List'!B1078</f>
        <v>1065</v>
      </c>
      <c r="C1077" s="45" t="s">
        <v>1290</v>
      </c>
      <c r="D1077" s="45" t="str">
        <f>'6.1Personnel List'!D1078</f>
        <v>Nurse I</v>
      </c>
      <c r="E1077" s="45" t="str">
        <f>'6.1Personnel List'!H1078</f>
        <v>FT</v>
      </c>
      <c r="G1077" s="41"/>
      <c r="H1077" s="41"/>
      <c r="I1077" s="41"/>
      <c r="J1077" s="41"/>
      <c r="K1077" s="41"/>
      <c r="L1077" s="41"/>
      <c r="M1077" s="41"/>
      <c r="N1077" s="41"/>
      <c r="O1077" s="41"/>
      <c r="P1077" s="41"/>
      <c r="Q1077" s="41"/>
      <c r="R1077" s="41"/>
      <c r="S1077" s="41"/>
      <c r="T1077" s="41"/>
      <c r="U1077" s="41"/>
      <c r="V1077" s="41"/>
      <c r="W1077" s="41"/>
      <c r="X1077" s="41"/>
      <c r="Y1077" s="41"/>
      <c r="Z1077" s="41"/>
      <c r="AA1077" s="41"/>
      <c r="AB1077" s="41"/>
      <c r="AC1077" s="41"/>
      <c r="AD1077" s="41"/>
      <c r="AE1077" s="41"/>
      <c r="AF1077" s="41"/>
      <c r="AG1077" s="41"/>
      <c r="AH1077" s="41"/>
      <c r="AI1077" s="41"/>
      <c r="AJ1077" s="41"/>
      <c r="AK1077" s="41"/>
      <c r="AL1077" s="41"/>
      <c r="AM1077" s="41"/>
      <c r="AN1077" s="41"/>
      <c r="AO1077" s="41"/>
      <c r="AP1077" s="41"/>
      <c r="AQ1077" s="41"/>
      <c r="AR1077" s="41"/>
      <c r="AS1077" s="41"/>
      <c r="AT1077" s="41"/>
      <c r="AU1077" s="41"/>
      <c r="AV1077" s="41"/>
      <c r="AW1077" s="41"/>
      <c r="AX1077" s="41"/>
      <c r="AY1077" s="41"/>
      <c r="AZ1077" s="41"/>
      <c r="BA1077" s="41"/>
      <c r="BB1077" s="41"/>
      <c r="BC1077" s="41"/>
      <c r="BD1077" s="41"/>
      <c r="BE1077" s="41"/>
      <c r="BF1077" s="41"/>
      <c r="BG1077" s="41"/>
      <c r="BH1077" s="41"/>
      <c r="BJ1077" s="41"/>
      <c r="BK1077" s="41"/>
      <c r="BL1077" s="41"/>
      <c r="BM1077" s="41"/>
      <c r="BN1077" s="41"/>
      <c r="BO1077" s="41"/>
      <c r="BP1077" s="41"/>
      <c r="BQ1077" s="41"/>
      <c r="BR1077" s="41"/>
      <c r="BS1077" s="41"/>
      <c r="BT1077" s="41"/>
      <c r="BU1077" s="41"/>
      <c r="BV1077" s="41"/>
      <c r="BW1077" s="41"/>
      <c r="BX1077" s="41"/>
      <c r="BY1077" s="41"/>
      <c r="BZ1077" s="41"/>
      <c r="CA1077" s="41"/>
      <c r="CB1077" s="41">
        <v>0.01</v>
      </c>
      <c r="CC1077" s="41"/>
      <c r="CD1077" s="41"/>
      <c r="CE1077" s="41">
        <v>0.02</v>
      </c>
      <c r="CF1077" s="41">
        <v>0.02</v>
      </c>
      <c r="CG1077" s="41">
        <v>0.1</v>
      </c>
      <c r="CH1077" s="41">
        <v>0.1</v>
      </c>
      <c r="CI1077" s="41">
        <v>0.02</v>
      </c>
      <c r="CJ1077" s="41"/>
      <c r="CK1077" s="41">
        <v>0.01</v>
      </c>
      <c r="CL1077" s="41">
        <v>0.05</v>
      </c>
      <c r="CM1077" s="41"/>
      <c r="CN1077" s="41">
        <v>0.05</v>
      </c>
      <c r="CO1077" s="41">
        <v>0.05</v>
      </c>
      <c r="CP1077" s="41">
        <v>0.05</v>
      </c>
      <c r="CQ1077" s="41">
        <v>0.05</v>
      </c>
      <c r="CR1077" s="41">
        <v>0.02</v>
      </c>
      <c r="CS1077" s="41">
        <v>0.01</v>
      </c>
      <c r="CT1077" s="41"/>
      <c r="CU1077" s="41"/>
      <c r="CV1077" s="41">
        <v>0.02</v>
      </c>
      <c r="CW1077" s="41"/>
      <c r="CX1077" s="41"/>
      <c r="CY1077" s="41"/>
      <c r="CZ1077" s="41"/>
      <c r="DA1077" s="41"/>
      <c r="DB1077" s="41"/>
      <c r="DC1077" s="41"/>
      <c r="DD1077" s="41">
        <v>0.12</v>
      </c>
      <c r="DE1077" s="41"/>
      <c r="DF1077" s="41"/>
      <c r="DG1077" s="41"/>
      <c r="DH1077" s="41"/>
      <c r="DI1077" s="41"/>
      <c r="DJ1077" s="41">
        <v>0.05</v>
      </c>
      <c r="DK1077" s="41">
        <v>0.05</v>
      </c>
      <c r="DL1077" s="41">
        <v>0.05</v>
      </c>
      <c r="DM1077" s="41">
        <v>0.05</v>
      </c>
      <c r="DN1077" s="41"/>
      <c r="DO1077" s="41"/>
      <c r="DP1077" s="41">
        <v>0.05</v>
      </c>
      <c r="DQ1077" s="41"/>
      <c r="DR1077" s="41">
        <v>0.05</v>
      </c>
      <c r="DS1077" s="43"/>
      <c r="DT1077" s="44">
        <f t="shared" ref="DT1077" si="1059">SUM(F1077:DR1077)</f>
        <v>1.0000000000000002</v>
      </c>
    </row>
    <row r="1078" spans="2:124" s="13" customFormat="1">
      <c r="B1078" s="4">
        <f>'6.1Personnel List'!B1079</f>
        <v>1066</v>
      </c>
      <c r="C1078" s="45" t="s">
        <v>1291</v>
      </c>
      <c r="D1078" s="45" t="str">
        <f>'6.1Personnel List'!D1079</f>
        <v>Nurse I</v>
      </c>
      <c r="E1078" s="45" t="str">
        <f>'6.1Personnel List'!H1079</f>
        <v>FT</v>
      </c>
      <c r="G1078" s="41"/>
      <c r="H1078" s="41"/>
      <c r="I1078" s="41"/>
      <c r="J1078" s="41"/>
      <c r="K1078" s="41"/>
      <c r="L1078" s="41"/>
      <c r="M1078" s="41"/>
      <c r="N1078" s="41"/>
      <c r="O1078" s="41"/>
      <c r="P1078" s="41"/>
      <c r="Q1078" s="41"/>
      <c r="R1078" s="41"/>
      <c r="S1078" s="41"/>
      <c r="T1078" s="41"/>
      <c r="U1078" s="41"/>
      <c r="V1078" s="41"/>
      <c r="W1078" s="41"/>
      <c r="X1078" s="41"/>
      <c r="Y1078" s="41"/>
      <c r="Z1078" s="41"/>
      <c r="AA1078" s="41"/>
      <c r="AB1078" s="41"/>
      <c r="AC1078" s="41"/>
      <c r="AD1078" s="41"/>
      <c r="AE1078" s="41"/>
      <c r="AF1078" s="41"/>
      <c r="AG1078" s="41"/>
      <c r="AH1078" s="41"/>
      <c r="AI1078" s="41"/>
      <c r="AJ1078" s="41"/>
      <c r="AK1078" s="41"/>
      <c r="AL1078" s="41"/>
      <c r="AM1078" s="41"/>
      <c r="AN1078" s="41"/>
      <c r="AO1078" s="41"/>
      <c r="AP1078" s="41"/>
      <c r="AQ1078" s="41"/>
      <c r="AR1078" s="41"/>
      <c r="AS1078" s="41"/>
      <c r="AT1078" s="41"/>
      <c r="AU1078" s="41"/>
      <c r="AV1078" s="41"/>
      <c r="AW1078" s="41"/>
      <c r="AX1078" s="41"/>
      <c r="AY1078" s="41"/>
      <c r="AZ1078" s="41"/>
      <c r="BA1078" s="41"/>
      <c r="BB1078" s="41"/>
      <c r="BC1078" s="41"/>
      <c r="BD1078" s="41"/>
      <c r="BE1078" s="41"/>
      <c r="BF1078" s="41"/>
      <c r="BG1078" s="41"/>
      <c r="BH1078" s="41"/>
      <c r="BJ1078" s="41"/>
      <c r="BK1078" s="41"/>
      <c r="BL1078" s="41"/>
      <c r="BM1078" s="41"/>
      <c r="BN1078" s="41"/>
      <c r="BO1078" s="41"/>
      <c r="BP1078" s="41"/>
      <c r="BQ1078" s="41"/>
      <c r="BR1078" s="41"/>
      <c r="BS1078" s="41"/>
      <c r="BT1078" s="41"/>
      <c r="BU1078" s="41"/>
      <c r="BV1078" s="41">
        <v>0.05</v>
      </c>
      <c r="BW1078" s="41"/>
      <c r="BX1078" s="41"/>
      <c r="BY1078" s="41"/>
      <c r="BZ1078" s="41"/>
      <c r="CA1078" s="41"/>
      <c r="CB1078" s="41">
        <v>0.05</v>
      </c>
      <c r="CC1078" s="41"/>
      <c r="CD1078" s="41"/>
      <c r="CE1078" s="41">
        <v>0.05</v>
      </c>
      <c r="CF1078" s="41">
        <v>0.02</v>
      </c>
      <c r="CG1078" s="41">
        <v>0.03</v>
      </c>
      <c r="CH1078" s="41"/>
      <c r="CI1078" s="41"/>
      <c r="CJ1078" s="41"/>
      <c r="CK1078" s="41"/>
      <c r="CL1078" s="41">
        <v>0.8</v>
      </c>
      <c r="CM1078" s="41"/>
      <c r="CN1078" s="41"/>
      <c r="CO1078" s="41"/>
      <c r="CP1078" s="41"/>
      <c r="CQ1078" s="41"/>
      <c r="CR1078" s="41"/>
      <c r="CS1078" s="41"/>
      <c r="CT1078" s="41"/>
      <c r="CU1078" s="41"/>
      <c r="CV1078" s="41"/>
      <c r="CW1078" s="41"/>
      <c r="CX1078" s="41"/>
      <c r="CY1078" s="41"/>
      <c r="CZ1078" s="41"/>
      <c r="DA1078" s="41"/>
      <c r="DB1078" s="41"/>
      <c r="DC1078" s="41"/>
      <c r="DD1078" s="41"/>
      <c r="DE1078" s="41"/>
      <c r="DF1078" s="41"/>
      <c r="DG1078" s="41"/>
      <c r="DH1078" s="41"/>
      <c r="DI1078" s="41"/>
      <c r="DJ1078" s="41"/>
      <c r="DK1078" s="41"/>
      <c r="DL1078" s="41"/>
      <c r="DM1078" s="41"/>
      <c r="DN1078" s="41"/>
      <c r="DO1078" s="41"/>
      <c r="DP1078" s="41"/>
      <c r="DQ1078" s="41"/>
      <c r="DR1078" s="41"/>
      <c r="DS1078" s="43"/>
      <c r="DT1078" s="44">
        <f t="shared" ref="DT1078" si="1060">SUM(F1078:DR1078)</f>
        <v>1</v>
      </c>
    </row>
    <row r="1079" spans="2:124" s="13" customFormat="1">
      <c r="B1079" s="4">
        <f>'6.1Personnel List'!B1080</f>
        <v>1067</v>
      </c>
      <c r="C1079" s="45" t="s">
        <v>1292</v>
      </c>
      <c r="D1079" s="45" t="str">
        <f>'6.1Personnel List'!D1080</f>
        <v>Nurse I</v>
      </c>
      <c r="E1079" s="45" t="str">
        <f>'6.1Personnel List'!H1080</f>
        <v>FT</v>
      </c>
      <c r="G1079" s="41"/>
      <c r="H1079" s="41"/>
      <c r="I1079" s="41"/>
      <c r="J1079" s="41"/>
      <c r="K1079" s="41"/>
      <c r="L1079" s="41"/>
      <c r="M1079" s="41"/>
      <c r="N1079" s="41"/>
      <c r="O1079" s="41"/>
      <c r="P1079" s="41"/>
      <c r="Q1079" s="41"/>
      <c r="R1079" s="41"/>
      <c r="S1079" s="41"/>
      <c r="T1079" s="41"/>
      <c r="U1079" s="41"/>
      <c r="V1079" s="41"/>
      <c r="W1079" s="41"/>
      <c r="X1079" s="41"/>
      <c r="Y1079" s="41"/>
      <c r="Z1079" s="41"/>
      <c r="AA1079" s="41"/>
      <c r="AB1079" s="41"/>
      <c r="AC1079" s="41"/>
      <c r="AD1079" s="41"/>
      <c r="AE1079" s="41"/>
      <c r="AF1079" s="41"/>
      <c r="AG1079" s="41"/>
      <c r="AH1079" s="41"/>
      <c r="AI1079" s="41"/>
      <c r="AJ1079" s="41"/>
      <c r="AK1079" s="41"/>
      <c r="AL1079" s="41"/>
      <c r="AM1079" s="41"/>
      <c r="AN1079" s="41"/>
      <c r="AO1079" s="41"/>
      <c r="AP1079" s="41"/>
      <c r="AQ1079" s="41"/>
      <c r="AR1079" s="41"/>
      <c r="AS1079" s="41"/>
      <c r="AT1079" s="41"/>
      <c r="AU1079" s="41"/>
      <c r="AV1079" s="41"/>
      <c r="AW1079" s="41"/>
      <c r="AX1079" s="41"/>
      <c r="AY1079" s="41"/>
      <c r="AZ1079" s="41"/>
      <c r="BA1079" s="41"/>
      <c r="BB1079" s="41"/>
      <c r="BC1079" s="41"/>
      <c r="BD1079" s="41"/>
      <c r="BE1079" s="41"/>
      <c r="BF1079" s="41"/>
      <c r="BG1079" s="41"/>
      <c r="BH1079" s="41"/>
      <c r="BJ1079" s="41"/>
      <c r="BK1079" s="41"/>
      <c r="BL1079" s="41"/>
      <c r="BM1079" s="41"/>
      <c r="BN1079" s="41"/>
      <c r="BO1079" s="41"/>
      <c r="BP1079" s="41"/>
      <c r="BQ1079" s="41"/>
      <c r="BR1079" s="41"/>
      <c r="BS1079" s="41"/>
      <c r="BT1079" s="41"/>
      <c r="BU1079" s="41"/>
      <c r="BV1079" s="41">
        <v>0.05</v>
      </c>
      <c r="BW1079" s="41"/>
      <c r="BX1079" s="41"/>
      <c r="BY1079" s="41"/>
      <c r="BZ1079" s="41"/>
      <c r="CA1079" s="41"/>
      <c r="CB1079" s="41">
        <v>0.05</v>
      </c>
      <c r="CC1079" s="41"/>
      <c r="CD1079" s="41"/>
      <c r="CE1079" s="41">
        <v>0.05</v>
      </c>
      <c r="CF1079" s="41">
        <v>0.05</v>
      </c>
      <c r="CG1079" s="41"/>
      <c r="CH1079" s="41"/>
      <c r="CI1079" s="41"/>
      <c r="CJ1079" s="41"/>
      <c r="CK1079" s="41"/>
      <c r="CL1079" s="41">
        <v>0.8</v>
      </c>
      <c r="CM1079" s="41"/>
      <c r="CN1079" s="41"/>
      <c r="CO1079" s="41"/>
      <c r="CP1079" s="41"/>
      <c r="CQ1079" s="41"/>
      <c r="CR1079" s="41"/>
      <c r="CS1079" s="41"/>
      <c r="CT1079" s="41"/>
      <c r="CU1079" s="41"/>
      <c r="CV1079" s="41"/>
      <c r="CW1079" s="41"/>
      <c r="CX1079" s="41"/>
      <c r="CY1079" s="41"/>
      <c r="CZ1079" s="41"/>
      <c r="DA1079" s="41"/>
      <c r="DB1079" s="41"/>
      <c r="DC1079" s="41"/>
      <c r="DD1079" s="41"/>
      <c r="DE1079" s="41"/>
      <c r="DF1079" s="41"/>
      <c r="DG1079" s="41"/>
      <c r="DH1079" s="41"/>
      <c r="DI1079" s="41"/>
      <c r="DJ1079" s="41"/>
      <c r="DK1079" s="41"/>
      <c r="DL1079" s="41"/>
      <c r="DM1079" s="41"/>
      <c r="DN1079" s="41"/>
      <c r="DO1079" s="41"/>
      <c r="DP1079" s="41"/>
      <c r="DQ1079" s="41"/>
      <c r="DR1079" s="41"/>
      <c r="DS1079" s="43"/>
      <c r="DT1079" s="44">
        <f t="shared" ref="DT1079" si="1061">SUM(F1079:DR1079)</f>
        <v>1</v>
      </c>
    </row>
    <row r="1080" spans="2:124" s="13" customFormat="1">
      <c r="B1080" s="4">
        <f>'6.1Personnel List'!B1081</f>
        <v>1068</v>
      </c>
      <c r="C1080" s="45" t="s">
        <v>1293</v>
      </c>
      <c r="D1080" s="45" t="str">
        <f>'6.1Personnel List'!D1081</f>
        <v>Nurse I</v>
      </c>
      <c r="E1080" s="45" t="str">
        <f>'6.1Personnel List'!H1081</f>
        <v>FT</v>
      </c>
      <c r="G1080" s="41"/>
      <c r="H1080" s="41"/>
      <c r="I1080" s="41"/>
      <c r="J1080" s="41"/>
      <c r="K1080" s="41"/>
      <c r="L1080" s="41"/>
      <c r="M1080" s="41"/>
      <c r="N1080" s="41"/>
      <c r="O1080" s="41"/>
      <c r="P1080" s="41"/>
      <c r="Q1080" s="41"/>
      <c r="R1080" s="41"/>
      <c r="S1080" s="41"/>
      <c r="T1080" s="41"/>
      <c r="U1080" s="41"/>
      <c r="V1080" s="41"/>
      <c r="W1080" s="41"/>
      <c r="X1080" s="41"/>
      <c r="Y1080" s="41"/>
      <c r="Z1080" s="41"/>
      <c r="AA1080" s="41"/>
      <c r="AB1080" s="41"/>
      <c r="AC1080" s="41"/>
      <c r="AD1080" s="41"/>
      <c r="AE1080" s="41"/>
      <c r="AF1080" s="41"/>
      <c r="AG1080" s="41"/>
      <c r="AH1080" s="41"/>
      <c r="AI1080" s="41"/>
      <c r="AJ1080" s="41"/>
      <c r="AK1080" s="41"/>
      <c r="AL1080" s="41"/>
      <c r="AM1080" s="41"/>
      <c r="AN1080" s="41"/>
      <c r="AO1080" s="41"/>
      <c r="AP1080" s="41"/>
      <c r="AQ1080" s="41"/>
      <c r="AR1080" s="41"/>
      <c r="AS1080" s="41"/>
      <c r="AT1080" s="41"/>
      <c r="AU1080" s="41"/>
      <c r="AV1080" s="41"/>
      <c r="AW1080" s="41"/>
      <c r="AX1080" s="41"/>
      <c r="AY1080" s="41"/>
      <c r="AZ1080" s="41"/>
      <c r="BA1080" s="41"/>
      <c r="BB1080" s="41"/>
      <c r="BC1080" s="41"/>
      <c r="BD1080" s="41"/>
      <c r="BE1080" s="41"/>
      <c r="BF1080" s="41"/>
      <c r="BG1080" s="41"/>
      <c r="BH1080" s="41"/>
      <c r="BJ1080" s="41"/>
      <c r="BK1080" s="41"/>
      <c r="BL1080" s="41"/>
      <c r="BM1080" s="41"/>
      <c r="BN1080" s="41"/>
      <c r="BO1080" s="41"/>
      <c r="BP1080" s="41"/>
      <c r="BQ1080" s="41"/>
      <c r="BR1080" s="41"/>
      <c r="BS1080" s="41"/>
      <c r="BT1080" s="41"/>
      <c r="BU1080" s="41"/>
      <c r="BV1080" s="41"/>
      <c r="BW1080" s="41"/>
      <c r="BX1080" s="41"/>
      <c r="BY1080" s="41"/>
      <c r="BZ1080" s="41"/>
      <c r="CA1080" s="41"/>
      <c r="CB1080" s="41"/>
      <c r="CC1080" s="41"/>
      <c r="CD1080" s="41"/>
      <c r="CE1080" s="41"/>
      <c r="CF1080" s="41"/>
      <c r="CG1080" s="41"/>
      <c r="CH1080" s="41"/>
      <c r="CI1080" s="41"/>
      <c r="CJ1080" s="41"/>
      <c r="CK1080" s="41"/>
      <c r="CL1080" s="41"/>
      <c r="CM1080" s="41"/>
      <c r="CN1080" s="92">
        <v>0.25</v>
      </c>
      <c r="CO1080" s="41"/>
      <c r="CP1080" s="41"/>
      <c r="CQ1080" s="41"/>
      <c r="CR1080" s="41"/>
      <c r="CS1080" s="41"/>
      <c r="CT1080" s="41"/>
      <c r="CU1080" s="41"/>
      <c r="CV1080" s="41"/>
      <c r="CW1080" s="41"/>
      <c r="CX1080" s="41"/>
      <c r="CY1080" s="41"/>
      <c r="CZ1080" s="41"/>
      <c r="DA1080" s="41"/>
      <c r="DB1080" s="92">
        <v>0.25</v>
      </c>
      <c r="DC1080" s="92">
        <v>0.25</v>
      </c>
      <c r="DD1080" s="41"/>
      <c r="DE1080" s="41"/>
      <c r="DF1080" s="41"/>
      <c r="DG1080" s="41"/>
      <c r="DH1080" s="41"/>
      <c r="DI1080" s="41"/>
      <c r="DJ1080" s="92">
        <v>0.25</v>
      </c>
      <c r="DK1080" s="41"/>
      <c r="DL1080" s="41"/>
      <c r="DM1080" s="41"/>
      <c r="DN1080" s="41"/>
      <c r="DO1080" s="41"/>
      <c r="DP1080" s="41"/>
      <c r="DQ1080" s="41"/>
      <c r="DR1080" s="41"/>
      <c r="DS1080" s="43"/>
      <c r="DT1080" s="44">
        <f t="shared" ref="DT1080" si="1062">SUM(F1080:DR1080)</f>
        <v>1</v>
      </c>
    </row>
    <row r="1081" spans="2:124" s="13" customFormat="1">
      <c r="B1081" s="4">
        <f>'6.1Personnel List'!B1082</f>
        <v>1069</v>
      </c>
      <c r="C1081" s="45" t="s">
        <v>1294</v>
      </c>
      <c r="D1081" s="45" t="str">
        <f>'6.1Personnel List'!D1082</f>
        <v>Nurse I</v>
      </c>
      <c r="E1081" s="45" t="str">
        <f>'6.1Personnel List'!H1082</f>
        <v>FT</v>
      </c>
      <c r="G1081" s="41"/>
      <c r="H1081" s="41"/>
      <c r="I1081" s="41"/>
      <c r="J1081" s="41"/>
      <c r="K1081" s="41"/>
      <c r="L1081" s="41"/>
      <c r="M1081" s="41"/>
      <c r="N1081" s="41"/>
      <c r="O1081" s="41"/>
      <c r="P1081" s="41"/>
      <c r="Q1081" s="41"/>
      <c r="R1081" s="41"/>
      <c r="S1081" s="41"/>
      <c r="T1081" s="41"/>
      <c r="U1081" s="41"/>
      <c r="V1081" s="41"/>
      <c r="W1081" s="41"/>
      <c r="X1081" s="41"/>
      <c r="Y1081" s="41"/>
      <c r="Z1081" s="41"/>
      <c r="AA1081" s="41"/>
      <c r="AB1081" s="41"/>
      <c r="AC1081" s="41"/>
      <c r="AD1081" s="41"/>
      <c r="AE1081" s="41"/>
      <c r="AF1081" s="41"/>
      <c r="AG1081" s="41"/>
      <c r="AH1081" s="41"/>
      <c r="AI1081" s="41"/>
      <c r="AJ1081" s="41"/>
      <c r="AK1081" s="41"/>
      <c r="AL1081" s="41"/>
      <c r="AM1081" s="41"/>
      <c r="AN1081" s="41"/>
      <c r="AO1081" s="41"/>
      <c r="AP1081" s="41"/>
      <c r="AQ1081" s="41"/>
      <c r="AR1081" s="41"/>
      <c r="AS1081" s="41"/>
      <c r="AT1081" s="41"/>
      <c r="AU1081" s="41"/>
      <c r="AV1081" s="41"/>
      <c r="AW1081" s="41"/>
      <c r="AX1081" s="41"/>
      <c r="AY1081" s="41"/>
      <c r="AZ1081" s="41"/>
      <c r="BA1081" s="41"/>
      <c r="BB1081" s="41"/>
      <c r="BC1081" s="41"/>
      <c r="BD1081" s="41"/>
      <c r="BE1081" s="41"/>
      <c r="BF1081" s="41"/>
      <c r="BG1081" s="41"/>
      <c r="BH1081" s="41"/>
      <c r="BJ1081" s="41"/>
      <c r="BK1081" s="94"/>
      <c r="BL1081" s="94"/>
      <c r="BM1081" s="94"/>
      <c r="BN1081" s="94"/>
      <c r="BO1081" s="94"/>
      <c r="BP1081" s="94"/>
      <c r="BQ1081" s="94"/>
      <c r="BR1081" s="94"/>
      <c r="BS1081" s="94"/>
      <c r="BT1081" s="94"/>
      <c r="BU1081" s="94"/>
      <c r="BV1081" s="94"/>
      <c r="BW1081" s="94">
        <v>0.5</v>
      </c>
      <c r="BX1081" s="94"/>
      <c r="BY1081" s="94"/>
      <c r="BZ1081" s="94"/>
      <c r="CA1081" s="94">
        <v>0.5</v>
      </c>
      <c r="CB1081" s="94"/>
      <c r="CC1081" s="94"/>
      <c r="CD1081" s="94"/>
      <c r="CE1081" s="94"/>
      <c r="CF1081" s="94"/>
      <c r="CG1081" s="94"/>
      <c r="CH1081" s="94"/>
      <c r="CI1081" s="94"/>
      <c r="CJ1081" s="94"/>
      <c r="CK1081" s="94"/>
      <c r="CL1081" s="94"/>
      <c r="CM1081" s="94"/>
      <c r="CN1081" s="94"/>
      <c r="CO1081" s="94"/>
      <c r="CP1081" s="94"/>
      <c r="CQ1081" s="94"/>
      <c r="CR1081" s="94"/>
      <c r="CS1081" s="94"/>
      <c r="CT1081" s="94"/>
      <c r="CU1081" s="94"/>
      <c r="CV1081" s="94"/>
      <c r="CW1081" s="94"/>
      <c r="CX1081" s="94"/>
      <c r="CY1081" s="94"/>
      <c r="CZ1081" s="94"/>
      <c r="DA1081" s="94"/>
      <c r="DB1081" s="94"/>
      <c r="DC1081" s="94"/>
      <c r="DD1081" s="94"/>
      <c r="DE1081" s="94"/>
      <c r="DF1081" s="94"/>
      <c r="DG1081" s="94"/>
      <c r="DH1081" s="94"/>
      <c r="DI1081" s="94"/>
      <c r="DJ1081" s="94"/>
      <c r="DK1081" s="41"/>
      <c r="DL1081" s="41"/>
      <c r="DM1081" s="41"/>
      <c r="DN1081" s="41"/>
      <c r="DO1081" s="41"/>
      <c r="DP1081" s="41"/>
      <c r="DQ1081" s="41"/>
      <c r="DR1081" s="41"/>
      <c r="DS1081" s="43"/>
      <c r="DT1081" s="44">
        <f t="shared" ref="DT1081" si="1063">SUM(F1081:DR1081)</f>
        <v>1</v>
      </c>
    </row>
    <row r="1082" spans="2:124" s="13" customFormat="1">
      <c r="B1082" s="4">
        <f>'6.1Personnel List'!B1083</f>
        <v>1070</v>
      </c>
      <c r="C1082" s="45" t="s">
        <v>1295</v>
      </c>
      <c r="D1082" s="45" t="str">
        <f>'6.1Personnel List'!D1083</f>
        <v>Nurse I</v>
      </c>
      <c r="E1082" s="45" t="str">
        <f>'6.1Personnel List'!H1083</f>
        <v>FT</v>
      </c>
      <c r="G1082" s="41"/>
      <c r="H1082" s="41"/>
      <c r="I1082" s="41"/>
      <c r="J1082" s="41"/>
      <c r="K1082" s="41"/>
      <c r="L1082" s="41"/>
      <c r="M1082" s="41"/>
      <c r="N1082" s="41"/>
      <c r="O1082" s="41"/>
      <c r="P1082" s="41"/>
      <c r="Q1082" s="41"/>
      <c r="R1082" s="41"/>
      <c r="S1082" s="41"/>
      <c r="T1082" s="41"/>
      <c r="U1082" s="41"/>
      <c r="V1082" s="41"/>
      <c r="W1082" s="41"/>
      <c r="X1082" s="41"/>
      <c r="Y1082" s="41"/>
      <c r="Z1082" s="41"/>
      <c r="AA1082" s="41"/>
      <c r="AB1082" s="41"/>
      <c r="AC1082" s="41"/>
      <c r="AD1082" s="41"/>
      <c r="AE1082" s="41"/>
      <c r="AF1082" s="41"/>
      <c r="AG1082" s="41"/>
      <c r="AH1082" s="41"/>
      <c r="AI1082" s="41"/>
      <c r="AJ1082" s="41"/>
      <c r="AK1082" s="41"/>
      <c r="AL1082" s="41"/>
      <c r="AM1082" s="41"/>
      <c r="AN1082" s="41"/>
      <c r="AO1082" s="41"/>
      <c r="AP1082" s="41"/>
      <c r="AQ1082" s="41"/>
      <c r="AR1082" s="41"/>
      <c r="AS1082" s="41"/>
      <c r="AT1082" s="41"/>
      <c r="AU1082" s="41"/>
      <c r="AV1082" s="41"/>
      <c r="AW1082" s="41"/>
      <c r="AX1082" s="41"/>
      <c r="AY1082" s="41"/>
      <c r="AZ1082" s="41"/>
      <c r="BA1082" s="41"/>
      <c r="BB1082" s="41"/>
      <c r="BC1082" s="41"/>
      <c r="BD1082" s="41"/>
      <c r="BE1082" s="41"/>
      <c r="BF1082" s="41"/>
      <c r="BG1082" s="41"/>
      <c r="BH1082" s="41"/>
      <c r="BJ1082" s="41"/>
      <c r="BK1082" s="41"/>
      <c r="BL1082" s="41"/>
      <c r="BM1082" s="41"/>
      <c r="BN1082" s="41"/>
      <c r="BO1082" s="41"/>
      <c r="BP1082" s="41"/>
      <c r="BQ1082" s="41"/>
      <c r="BR1082" s="41"/>
      <c r="BS1082" s="41"/>
      <c r="BT1082" s="41"/>
      <c r="BU1082" s="41"/>
      <c r="BV1082" s="41"/>
      <c r="BW1082" s="41"/>
      <c r="BX1082" s="41"/>
      <c r="BY1082" s="41"/>
      <c r="BZ1082" s="41"/>
      <c r="CA1082" s="41"/>
      <c r="CB1082" s="41">
        <v>0.01</v>
      </c>
      <c r="CC1082" s="41"/>
      <c r="CD1082" s="41"/>
      <c r="CE1082" s="41">
        <v>0.02</v>
      </c>
      <c r="CF1082" s="41">
        <v>0.02</v>
      </c>
      <c r="CG1082" s="41">
        <v>0.1</v>
      </c>
      <c r="CH1082" s="41">
        <v>0.1</v>
      </c>
      <c r="CI1082" s="41">
        <v>0.02</v>
      </c>
      <c r="CJ1082" s="41"/>
      <c r="CK1082" s="41">
        <v>0.01</v>
      </c>
      <c r="CL1082" s="41">
        <v>0.05</v>
      </c>
      <c r="CM1082" s="41"/>
      <c r="CN1082" s="41">
        <v>0.05</v>
      </c>
      <c r="CO1082" s="41">
        <v>0.05</v>
      </c>
      <c r="CP1082" s="41">
        <v>0.05</v>
      </c>
      <c r="CQ1082" s="41">
        <v>0.05</v>
      </c>
      <c r="CR1082" s="41">
        <v>0.02</v>
      </c>
      <c r="CS1082" s="41">
        <v>0.01</v>
      </c>
      <c r="CT1082" s="41"/>
      <c r="CU1082" s="41"/>
      <c r="CV1082" s="41">
        <v>0.02</v>
      </c>
      <c r="CW1082" s="41"/>
      <c r="CX1082" s="41"/>
      <c r="CY1082" s="41"/>
      <c r="CZ1082" s="41"/>
      <c r="DA1082" s="41"/>
      <c r="DB1082" s="41"/>
      <c r="DC1082" s="41"/>
      <c r="DD1082" s="41">
        <v>0.12</v>
      </c>
      <c r="DE1082" s="41"/>
      <c r="DF1082" s="41"/>
      <c r="DG1082" s="41"/>
      <c r="DH1082" s="41"/>
      <c r="DI1082" s="41"/>
      <c r="DJ1082" s="41">
        <v>0.05</v>
      </c>
      <c r="DK1082" s="41">
        <v>0.05</v>
      </c>
      <c r="DL1082" s="41">
        <v>0.05</v>
      </c>
      <c r="DM1082" s="41">
        <v>0.05</v>
      </c>
      <c r="DN1082" s="41"/>
      <c r="DO1082" s="41"/>
      <c r="DP1082" s="41">
        <v>0.05</v>
      </c>
      <c r="DQ1082" s="41"/>
      <c r="DR1082" s="41">
        <v>0.05</v>
      </c>
      <c r="DS1082" s="43"/>
      <c r="DT1082" s="44">
        <f t="shared" ref="DT1082" si="1064">SUM(F1082:DR1082)</f>
        <v>1.0000000000000002</v>
      </c>
    </row>
    <row r="1083" spans="2:124" s="13" customFormat="1">
      <c r="B1083" s="4">
        <f>'6.1Personnel List'!B1084</f>
        <v>1071</v>
      </c>
      <c r="C1083" s="45" t="s">
        <v>1296</v>
      </c>
      <c r="D1083" s="45" t="str">
        <f>'6.1Personnel List'!D1084</f>
        <v>Nurse I</v>
      </c>
      <c r="E1083" s="45" t="str">
        <f>'6.1Personnel List'!H1084</f>
        <v>FT</v>
      </c>
      <c r="G1083" s="41"/>
      <c r="H1083" s="41"/>
      <c r="I1083" s="41"/>
      <c r="J1083" s="41"/>
      <c r="K1083" s="41"/>
      <c r="L1083" s="41"/>
      <c r="M1083" s="41"/>
      <c r="N1083" s="41"/>
      <c r="O1083" s="41"/>
      <c r="P1083" s="41"/>
      <c r="Q1083" s="41"/>
      <c r="R1083" s="41"/>
      <c r="S1083" s="41"/>
      <c r="T1083" s="41"/>
      <c r="U1083" s="41"/>
      <c r="V1083" s="41"/>
      <c r="W1083" s="41"/>
      <c r="X1083" s="41"/>
      <c r="Y1083" s="41"/>
      <c r="Z1083" s="41"/>
      <c r="AA1083" s="41"/>
      <c r="AB1083" s="41"/>
      <c r="AC1083" s="41"/>
      <c r="AD1083" s="41"/>
      <c r="AE1083" s="41"/>
      <c r="AF1083" s="41"/>
      <c r="AG1083" s="41"/>
      <c r="AH1083" s="41"/>
      <c r="AI1083" s="41"/>
      <c r="AJ1083" s="41"/>
      <c r="AK1083" s="41"/>
      <c r="AL1083" s="41"/>
      <c r="AM1083" s="41"/>
      <c r="AN1083" s="41"/>
      <c r="AO1083" s="41"/>
      <c r="AP1083" s="41"/>
      <c r="AQ1083" s="41"/>
      <c r="AR1083" s="41"/>
      <c r="AS1083" s="41"/>
      <c r="AT1083" s="41"/>
      <c r="AU1083" s="41"/>
      <c r="AV1083" s="41"/>
      <c r="AW1083" s="41"/>
      <c r="AX1083" s="41"/>
      <c r="AY1083" s="41"/>
      <c r="AZ1083" s="41"/>
      <c r="BA1083" s="41"/>
      <c r="BB1083" s="41"/>
      <c r="BC1083" s="41"/>
      <c r="BD1083" s="41"/>
      <c r="BE1083" s="41"/>
      <c r="BF1083" s="41"/>
      <c r="BG1083" s="41"/>
      <c r="BH1083" s="41"/>
      <c r="BJ1083" s="41"/>
      <c r="BK1083" s="41"/>
      <c r="BL1083" s="41"/>
      <c r="BM1083" s="41"/>
      <c r="BN1083" s="41"/>
      <c r="BO1083" s="41"/>
      <c r="BP1083" s="41"/>
      <c r="BQ1083" s="41"/>
      <c r="BR1083" s="41"/>
      <c r="BS1083" s="41"/>
      <c r="BT1083" s="41"/>
      <c r="BU1083" s="41"/>
      <c r="BV1083" s="41"/>
      <c r="BW1083" s="41"/>
      <c r="BX1083" s="41"/>
      <c r="BY1083" s="41"/>
      <c r="BZ1083" s="41"/>
      <c r="CA1083" s="41"/>
      <c r="CB1083" s="41"/>
      <c r="CC1083" s="41"/>
      <c r="CD1083" s="41"/>
      <c r="CE1083" s="41"/>
      <c r="CF1083" s="41"/>
      <c r="CG1083" s="41"/>
      <c r="CH1083" s="41"/>
      <c r="CI1083" s="41"/>
      <c r="CJ1083" s="41"/>
      <c r="CK1083" s="41"/>
      <c r="CL1083" s="41"/>
      <c r="CM1083" s="41"/>
      <c r="CN1083" s="92">
        <v>0.25</v>
      </c>
      <c r="CO1083" s="41"/>
      <c r="CP1083" s="41"/>
      <c r="CQ1083" s="41"/>
      <c r="CR1083" s="41"/>
      <c r="CS1083" s="41"/>
      <c r="CT1083" s="41"/>
      <c r="CU1083" s="41"/>
      <c r="CV1083" s="41"/>
      <c r="CW1083" s="41"/>
      <c r="CX1083" s="41"/>
      <c r="CY1083" s="41"/>
      <c r="CZ1083" s="41"/>
      <c r="DA1083" s="41"/>
      <c r="DB1083" s="92">
        <v>0.25</v>
      </c>
      <c r="DC1083" s="92">
        <v>0.25</v>
      </c>
      <c r="DD1083" s="41"/>
      <c r="DE1083" s="41"/>
      <c r="DF1083" s="41"/>
      <c r="DG1083" s="41"/>
      <c r="DH1083" s="41"/>
      <c r="DI1083" s="41"/>
      <c r="DJ1083" s="92">
        <v>0.25</v>
      </c>
      <c r="DK1083" s="41"/>
      <c r="DL1083" s="41"/>
      <c r="DM1083" s="41"/>
      <c r="DN1083" s="41"/>
      <c r="DO1083" s="41"/>
      <c r="DP1083" s="41"/>
      <c r="DQ1083" s="41"/>
      <c r="DR1083" s="41"/>
      <c r="DS1083" s="43"/>
      <c r="DT1083" s="44">
        <f t="shared" ref="DT1083" si="1065">SUM(F1083:DR1083)</f>
        <v>1</v>
      </c>
    </row>
    <row r="1084" spans="2:124" s="13" customFormat="1">
      <c r="B1084" s="4">
        <f>'6.1Personnel List'!B1085</f>
        <v>1072</v>
      </c>
      <c r="C1084" s="45" t="s">
        <v>1297</v>
      </c>
      <c r="D1084" s="45" t="str">
        <f>'6.1Personnel List'!D1085</f>
        <v>Nurse I</v>
      </c>
      <c r="E1084" s="45" t="str">
        <f>'6.1Personnel List'!H1085</f>
        <v>FT</v>
      </c>
      <c r="G1084" s="41"/>
      <c r="H1084" s="41"/>
      <c r="I1084" s="41"/>
      <c r="J1084" s="41"/>
      <c r="K1084" s="41"/>
      <c r="L1084" s="41"/>
      <c r="M1084" s="41"/>
      <c r="N1084" s="41"/>
      <c r="O1084" s="41"/>
      <c r="P1084" s="41"/>
      <c r="Q1084" s="41"/>
      <c r="R1084" s="41"/>
      <c r="S1084" s="41"/>
      <c r="T1084" s="41"/>
      <c r="U1084" s="41"/>
      <c r="V1084" s="41"/>
      <c r="W1084" s="41"/>
      <c r="X1084" s="41"/>
      <c r="Y1084" s="41"/>
      <c r="Z1084" s="41"/>
      <c r="AA1084" s="41"/>
      <c r="AB1084" s="41"/>
      <c r="AC1084" s="41"/>
      <c r="AD1084" s="41"/>
      <c r="AE1084" s="41"/>
      <c r="AF1084" s="41"/>
      <c r="AG1084" s="41"/>
      <c r="AH1084" s="41"/>
      <c r="AI1084" s="41"/>
      <c r="AJ1084" s="41"/>
      <c r="AK1084" s="41"/>
      <c r="AL1084" s="41"/>
      <c r="AM1084" s="41"/>
      <c r="AN1084" s="41"/>
      <c r="AO1084" s="41"/>
      <c r="AP1084" s="41"/>
      <c r="AQ1084" s="41"/>
      <c r="AR1084" s="41"/>
      <c r="AS1084" s="41"/>
      <c r="AT1084" s="41"/>
      <c r="AU1084" s="41"/>
      <c r="AV1084" s="41"/>
      <c r="AW1084" s="41"/>
      <c r="AX1084" s="41"/>
      <c r="AY1084" s="41"/>
      <c r="AZ1084" s="41"/>
      <c r="BA1084" s="41"/>
      <c r="BB1084" s="41"/>
      <c r="BC1084" s="41"/>
      <c r="BD1084" s="41"/>
      <c r="BE1084" s="41"/>
      <c r="BF1084" s="41"/>
      <c r="BG1084" s="41"/>
      <c r="BH1084" s="41"/>
      <c r="BJ1084" s="41"/>
      <c r="BK1084" s="41"/>
      <c r="BL1084" s="41"/>
      <c r="BM1084" s="41"/>
      <c r="BN1084" s="41"/>
      <c r="BO1084" s="41"/>
      <c r="BP1084" s="41"/>
      <c r="BQ1084" s="41"/>
      <c r="BR1084" s="41"/>
      <c r="BS1084" s="41">
        <v>0.05</v>
      </c>
      <c r="BT1084" s="41"/>
      <c r="BU1084" s="41"/>
      <c r="BV1084" s="41">
        <v>0.05</v>
      </c>
      <c r="BW1084" s="41">
        <v>0.05</v>
      </c>
      <c r="BX1084" s="41"/>
      <c r="BY1084" s="41"/>
      <c r="BZ1084" s="41"/>
      <c r="CA1084" s="41"/>
      <c r="CB1084" s="41"/>
      <c r="CC1084" s="41"/>
      <c r="CD1084" s="41"/>
      <c r="CE1084" s="41">
        <v>0.1</v>
      </c>
      <c r="CF1084" s="41">
        <v>0.05</v>
      </c>
      <c r="CG1084" s="41">
        <v>0.05</v>
      </c>
      <c r="CH1084" s="41">
        <v>0.05</v>
      </c>
      <c r="CI1084" s="41"/>
      <c r="CJ1084" s="41">
        <v>0.05</v>
      </c>
      <c r="CK1084" s="41"/>
      <c r="CL1084" s="41">
        <v>0.2</v>
      </c>
      <c r="CM1084" s="41"/>
      <c r="CN1084" s="41"/>
      <c r="CO1084" s="41"/>
      <c r="CP1084" s="41"/>
      <c r="CQ1084" s="41"/>
      <c r="CR1084" s="41"/>
      <c r="CS1084" s="41"/>
      <c r="CT1084" s="41"/>
      <c r="CU1084" s="41">
        <v>0.05</v>
      </c>
      <c r="CV1084" s="41"/>
      <c r="CW1084" s="41"/>
      <c r="CX1084" s="41"/>
      <c r="CY1084" s="41"/>
      <c r="CZ1084" s="41"/>
      <c r="DA1084" s="41"/>
      <c r="DB1084" s="41"/>
      <c r="DC1084" s="41"/>
      <c r="DD1084" s="41">
        <v>0.05</v>
      </c>
      <c r="DE1084" s="41"/>
      <c r="DF1084" s="41"/>
      <c r="DG1084" s="41"/>
      <c r="DH1084" s="41"/>
      <c r="DI1084" s="41"/>
      <c r="DJ1084" s="41"/>
      <c r="DK1084" s="41"/>
      <c r="DL1084" s="41">
        <v>0.25</v>
      </c>
      <c r="DM1084" s="41"/>
      <c r="DN1084" s="41"/>
      <c r="DO1084" s="41"/>
      <c r="DP1084" s="41"/>
      <c r="DQ1084" s="41"/>
      <c r="DR1084" s="41"/>
      <c r="DS1084" s="43"/>
      <c r="DT1084" s="44">
        <f t="shared" ref="DT1084" si="1066">SUM(F1084:DR1084)</f>
        <v>1</v>
      </c>
    </row>
    <row r="1085" spans="2:124" s="13" customFormat="1">
      <c r="B1085" s="4">
        <f>'6.1Personnel List'!B1086</f>
        <v>1073</v>
      </c>
      <c r="C1085" s="45" t="s">
        <v>1298</v>
      </c>
      <c r="D1085" s="45" t="str">
        <f>'6.1Personnel List'!D1086</f>
        <v>Nurse I</v>
      </c>
      <c r="E1085" s="45" t="str">
        <f>'6.1Personnel List'!H1086</f>
        <v>FT</v>
      </c>
      <c r="G1085" s="41"/>
      <c r="H1085" s="41"/>
      <c r="I1085" s="41"/>
      <c r="J1085" s="41"/>
      <c r="K1085" s="41"/>
      <c r="L1085" s="41"/>
      <c r="M1085" s="41"/>
      <c r="N1085" s="41"/>
      <c r="O1085" s="41"/>
      <c r="P1085" s="41"/>
      <c r="Q1085" s="41"/>
      <c r="R1085" s="41"/>
      <c r="S1085" s="41"/>
      <c r="T1085" s="41"/>
      <c r="U1085" s="41"/>
      <c r="V1085" s="41"/>
      <c r="W1085" s="41"/>
      <c r="X1085" s="41"/>
      <c r="Y1085" s="41"/>
      <c r="Z1085" s="41"/>
      <c r="AA1085" s="41"/>
      <c r="AB1085" s="41"/>
      <c r="AC1085" s="41"/>
      <c r="AD1085" s="41"/>
      <c r="AE1085" s="41"/>
      <c r="AF1085" s="41"/>
      <c r="AG1085" s="41"/>
      <c r="AH1085" s="41"/>
      <c r="AI1085" s="41"/>
      <c r="AJ1085" s="41"/>
      <c r="AK1085" s="41"/>
      <c r="AL1085" s="41"/>
      <c r="AM1085" s="41"/>
      <c r="AN1085" s="41"/>
      <c r="AO1085" s="41"/>
      <c r="AP1085" s="41"/>
      <c r="AQ1085" s="41"/>
      <c r="AR1085" s="41"/>
      <c r="AS1085" s="41"/>
      <c r="AT1085" s="41"/>
      <c r="AU1085" s="41"/>
      <c r="AV1085" s="41"/>
      <c r="AW1085" s="41"/>
      <c r="AX1085" s="41"/>
      <c r="AY1085" s="41"/>
      <c r="AZ1085" s="41"/>
      <c r="BA1085" s="41"/>
      <c r="BB1085" s="41"/>
      <c r="BC1085" s="41"/>
      <c r="BD1085" s="41"/>
      <c r="BE1085" s="41"/>
      <c r="BF1085" s="41"/>
      <c r="BG1085" s="41"/>
      <c r="BH1085" s="41"/>
      <c r="BJ1085" s="41"/>
      <c r="BK1085" s="41"/>
      <c r="BL1085" s="41"/>
      <c r="BM1085" s="41"/>
      <c r="BN1085" s="41"/>
      <c r="BO1085" s="41"/>
      <c r="BP1085" s="41"/>
      <c r="BQ1085" s="41"/>
      <c r="BR1085" s="41"/>
      <c r="BS1085" s="41"/>
      <c r="BT1085" s="41"/>
      <c r="BU1085" s="41"/>
      <c r="BV1085" s="41"/>
      <c r="BW1085" s="41"/>
      <c r="BX1085" s="41"/>
      <c r="BY1085" s="41"/>
      <c r="BZ1085" s="41"/>
      <c r="CA1085" s="41"/>
      <c r="CB1085" s="41"/>
      <c r="CC1085" s="41"/>
      <c r="CD1085" s="41"/>
      <c r="CE1085" s="41"/>
      <c r="CF1085" s="41"/>
      <c r="CG1085" s="41"/>
      <c r="CH1085" s="41"/>
      <c r="CI1085" s="41"/>
      <c r="CJ1085" s="41"/>
      <c r="CK1085" s="41"/>
      <c r="CL1085" s="41"/>
      <c r="CM1085" s="41"/>
      <c r="CN1085" s="92">
        <v>0.25</v>
      </c>
      <c r="CO1085" s="41"/>
      <c r="CP1085" s="41"/>
      <c r="CQ1085" s="41"/>
      <c r="CR1085" s="41"/>
      <c r="CS1085" s="41"/>
      <c r="CT1085" s="41"/>
      <c r="CU1085" s="41"/>
      <c r="CV1085" s="41"/>
      <c r="CW1085" s="41"/>
      <c r="CX1085" s="41"/>
      <c r="CY1085" s="41"/>
      <c r="CZ1085" s="41"/>
      <c r="DA1085" s="41"/>
      <c r="DB1085" s="92">
        <v>0.25</v>
      </c>
      <c r="DC1085" s="92">
        <v>0.25</v>
      </c>
      <c r="DD1085" s="41"/>
      <c r="DE1085" s="41"/>
      <c r="DF1085" s="41"/>
      <c r="DG1085" s="41"/>
      <c r="DH1085" s="41"/>
      <c r="DI1085" s="41"/>
      <c r="DJ1085" s="92">
        <v>0.25</v>
      </c>
      <c r="DK1085" s="41"/>
      <c r="DL1085" s="41"/>
      <c r="DM1085" s="41"/>
      <c r="DN1085" s="41"/>
      <c r="DO1085" s="41"/>
      <c r="DP1085" s="41"/>
      <c r="DQ1085" s="41"/>
      <c r="DR1085" s="41"/>
      <c r="DS1085" s="43"/>
      <c r="DT1085" s="44">
        <f t="shared" ref="DT1085" si="1067">SUM(F1085:DR1085)</f>
        <v>1</v>
      </c>
    </row>
    <row r="1086" spans="2:124" s="13" customFormat="1">
      <c r="B1086" s="4">
        <f>'6.1Personnel List'!B1087</f>
        <v>1074</v>
      </c>
      <c r="C1086" s="45" t="s">
        <v>1299</v>
      </c>
      <c r="D1086" s="45" t="str">
        <f>'6.1Personnel List'!D1087</f>
        <v>Nurse I</v>
      </c>
      <c r="E1086" s="45" t="str">
        <f>'6.1Personnel List'!H1087</f>
        <v>FT</v>
      </c>
      <c r="G1086" s="41"/>
      <c r="H1086" s="41"/>
      <c r="I1086" s="41"/>
      <c r="J1086" s="41"/>
      <c r="K1086" s="41"/>
      <c r="L1086" s="41"/>
      <c r="M1086" s="41"/>
      <c r="N1086" s="41"/>
      <c r="O1086" s="41"/>
      <c r="P1086" s="41"/>
      <c r="Q1086" s="41"/>
      <c r="R1086" s="41"/>
      <c r="S1086" s="41"/>
      <c r="T1086" s="41"/>
      <c r="U1086" s="41"/>
      <c r="V1086" s="41"/>
      <c r="W1086" s="41"/>
      <c r="X1086" s="41"/>
      <c r="Y1086" s="41"/>
      <c r="Z1086" s="41"/>
      <c r="AA1086" s="41"/>
      <c r="AB1086" s="41"/>
      <c r="AC1086" s="41"/>
      <c r="AD1086" s="41"/>
      <c r="AE1086" s="41"/>
      <c r="AF1086" s="41"/>
      <c r="AG1086" s="41"/>
      <c r="AH1086" s="41"/>
      <c r="AI1086" s="41"/>
      <c r="AJ1086" s="41"/>
      <c r="AK1086" s="41"/>
      <c r="AL1086" s="41"/>
      <c r="AM1086" s="41"/>
      <c r="AN1086" s="41"/>
      <c r="AO1086" s="41"/>
      <c r="AP1086" s="41"/>
      <c r="AQ1086" s="41"/>
      <c r="AR1086" s="41"/>
      <c r="AS1086" s="41"/>
      <c r="AT1086" s="41"/>
      <c r="AU1086" s="41"/>
      <c r="AV1086" s="41"/>
      <c r="AW1086" s="41"/>
      <c r="AX1086" s="41"/>
      <c r="AY1086" s="41"/>
      <c r="AZ1086" s="41"/>
      <c r="BA1086" s="41"/>
      <c r="BB1086" s="41"/>
      <c r="BC1086" s="41"/>
      <c r="BD1086" s="41"/>
      <c r="BE1086" s="41"/>
      <c r="BF1086" s="41"/>
      <c r="BG1086" s="41"/>
      <c r="BH1086" s="41"/>
      <c r="BJ1086" s="41"/>
      <c r="BK1086" s="41"/>
      <c r="BL1086" s="41"/>
      <c r="BM1086" s="41"/>
      <c r="BN1086" s="41"/>
      <c r="BO1086" s="41"/>
      <c r="BP1086" s="41"/>
      <c r="BQ1086" s="41"/>
      <c r="BR1086" s="41"/>
      <c r="BS1086" s="41">
        <v>0.05</v>
      </c>
      <c r="BT1086" s="41"/>
      <c r="BU1086" s="41"/>
      <c r="BV1086" s="41">
        <v>0.05</v>
      </c>
      <c r="BW1086" s="41">
        <v>0.05</v>
      </c>
      <c r="BX1086" s="41"/>
      <c r="BY1086" s="41"/>
      <c r="BZ1086" s="41"/>
      <c r="CA1086" s="41"/>
      <c r="CB1086" s="41"/>
      <c r="CC1086" s="41"/>
      <c r="CD1086" s="41"/>
      <c r="CE1086" s="41">
        <v>0.1</v>
      </c>
      <c r="CF1086" s="41">
        <v>0.05</v>
      </c>
      <c r="CG1086" s="41">
        <v>0.05</v>
      </c>
      <c r="CH1086" s="41">
        <v>0.05</v>
      </c>
      <c r="CI1086" s="41"/>
      <c r="CJ1086" s="41">
        <v>0.05</v>
      </c>
      <c r="CK1086" s="41"/>
      <c r="CL1086" s="41">
        <v>0.2</v>
      </c>
      <c r="CM1086" s="41"/>
      <c r="CN1086" s="41"/>
      <c r="CO1086" s="41"/>
      <c r="CP1086" s="41"/>
      <c r="CQ1086" s="41"/>
      <c r="CR1086" s="41"/>
      <c r="CS1086" s="41"/>
      <c r="CT1086" s="41"/>
      <c r="CU1086" s="41">
        <v>0.05</v>
      </c>
      <c r="CV1086" s="41"/>
      <c r="CW1086" s="41"/>
      <c r="CX1086" s="41"/>
      <c r="CY1086" s="41"/>
      <c r="CZ1086" s="41"/>
      <c r="DA1086" s="41"/>
      <c r="DB1086" s="41"/>
      <c r="DC1086" s="41"/>
      <c r="DD1086" s="41">
        <v>0.05</v>
      </c>
      <c r="DE1086" s="41"/>
      <c r="DF1086" s="41"/>
      <c r="DG1086" s="41"/>
      <c r="DH1086" s="41"/>
      <c r="DI1086" s="41"/>
      <c r="DJ1086" s="41"/>
      <c r="DK1086" s="41"/>
      <c r="DL1086" s="41">
        <v>0.25</v>
      </c>
      <c r="DM1086" s="41"/>
      <c r="DN1086" s="41"/>
      <c r="DO1086" s="41"/>
      <c r="DP1086" s="41"/>
      <c r="DQ1086" s="41"/>
      <c r="DR1086" s="41"/>
      <c r="DS1086" s="43"/>
      <c r="DT1086" s="44">
        <f t="shared" ref="DT1086" si="1068">SUM(F1086:DR1086)</f>
        <v>1</v>
      </c>
    </row>
    <row r="1087" spans="2:124" s="13" customFormat="1">
      <c r="B1087" s="4">
        <f>'6.1Personnel List'!B1088</f>
        <v>1075</v>
      </c>
      <c r="C1087" s="45" t="s">
        <v>1300</v>
      </c>
      <c r="D1087" s="45" t="str">
        <f>'6.1Personnel List'!D1088</f>
        <v>Nurse I</v>
      </c>
      <c r="E1087" s="45" t="str">
        <f>'6.1Personnel List'!H1088</f>
        <v>FT</v>
      </c>
      <c r="G1087" s="41"/>
      <c r="H1087" s="41"/>
      <c r="I1087" s="41"/>
      <c r="J1087" s="41"/>
      <c r="K1087" s="41"/>
      <c r="L1087" s="41"/>
      <c r="M1087" s="41"/>
      <c r="N1087" s="41"/>
      <c r="O1087" s="41"/>
      <c r="P1087" s="41"/>
      <c r="Q1087" s="41"/>
      <c r="R1087" s="41"/>
      <c r="S1087" s="41"/>
      <c r="T1087" s="41"/>
      <c r="U1087" s="41"/>
      <c r="V1087" s="41"/>
      <c r="W1087" s="41"/>
      <c r="X1087" s="41"/>
      <c r="Y1087" s="41"/>
      <c r="Z1087" s="41"/>
      <c r="AA1087" s="41"/>
      <c r="AB1087" s="41"/>
      <c r="AC1087" s="41"/>
      <c r="AD1087" s="41"/>
      <c r="AE1087" s="41"/>
      <c r="AF1087" s="41"/>
      <c r="AG1087" s="41"/>
      <c r="AH1087" s="41"/>
      <c r="AI1087" s="41"/>
      <c r="AJ1087" s="41"/>
      <c r="AK1087" s="41"/>
      <c r="AL1087" s="41"/>
      <c r="AM1087" s="41"/>
      <c r="AN1087" s="41"/>
      <c r="AO1087" s="41"/>
      <c r="AP1087" s="41"/>
      <c r="AQ1087" s="41"/>
      <c r="AR1087" s="41"/>
      <c r="AS1087" s="41"/>
      <c r="AT1087" s="41"/>
      <c r="AU1087" s="41"/>
      <c r="AV1087" s="41"/>
      <c r="AW1087" s="41"/>
      <c r="AX1087" s="41"/>
      <c r="AY1087" s="41"/>
      <c r="AZ1087" s="41"/>
      <c r="BA1087" s="41"/>
      <c r="BB1087" s="41"/>
      <c r="BC1087" s="41"/>
      <c r="BD1087" s="41"/>
      <c r="BE1087" s="41"/>
      <c r="BF1087" s="41"/>
      <c r="BG1087" s="41"/>
      <c r="BH1087" s="41"/>
      <c r="BJ1087" s="41"/>
      <c r="BK1087" s="41"/>
      <c r="BL1087" s="41"/>
      <c r="BM1087" s="41"/>
      <c r="BN1087" s="41"/>
      <c r="BO1087" s="41"/>
      <c r="BP1087" s="41"/>
      <c r="BQ1087" s="41"/>
      <c r="BR1087" s="41"/>
      <c r="BS1087" s="41"/>
      <c r="BT1087" s="41"/>
      <c r="BU1087" s="41"/>
      <c r="BV1087" s="41"/>
      <c r="BW1087" s="41"/>
      <c r="BX1087" s="41"/>
      <c r="BY1087" s="41"/>
      <c r="BZ1087" s="41"/>
      <c r="CA1087" s="41"/>
      <c r="CB1087" s="41"/>
      <c r="CC1087" s="41"/>
      <c r="CD1087" s="41"/>
      <c r="CE1087" s="41"/>
      <c r="CF1087" s="41"/>
      <c r="CG1087" s="41"/>
      <c r="CH1087" s="41"/>
      <c r="CI1087" s="41"/>
      <c r="CJ1087" s="41"/>
      <c r="CK1087" s="41"/>
      <c r="CL1087" s="41"/>
      <c r="CM1087" s="41"/>
      <c r="CN1087" s="92">
        <v>0.25</v>
      </c>
      <c r="CO1087" s="41"/>
      <c r="CP1087" s="41"/>
      <c r="CQ1087" s="41"/>
      <c r="CR1087" s="41"/>
      <c r="CS1087" s="41"/>
      <c r="CT1087" s="41"/>
      <c r="CU1087" s="41"/>
      <c r="CV1087" s="41"/>
      <c r="CW1087" s="41"/>
      <c r="CX1087" s="41"/>
      <c r="CY1087" s="41"/>
      <c r="CZ1087" s="41"/>
      <c r="DA1087" s="41"/>
      <c r="DB1087" s="92">
        <v>0.25</v>
      </c>
      <c r="DC1087" s="92">
        <v>0.25</v>
      </c>
      <c r="DD1087" s="41"/>
      <c r="DE1087" s="41"/>
      <c r="DF1087" s="41"/>
      <c r="DG1087" s="41"/>
      <c r="DH1087" s="41"/>
      <c r="DI1087" s="41"/>
      <c r="DJ1087" s="92">
        <v>0.25</v>
      </c>
      <c r="DK1087" s="41"/>
      <c r="DL1087" s="41"/>
      <c r="DM1087" s="41"/>
      <c r="DN1087" s="41"/>
      <c r="DO1087" s="41"/>
      <c r="DP1087" s="41"/>
      <c r="DQ1087" s="41"/>
      <c r="DR1087" s="41"/>
      <c r="DS1087" s="43"/>
      <c r="DT1087" s="44">
        <f t="shared" ref="DT1087" si="1069">SUM(F1087:DR1087)</f>
        <v>1</v>
      </c>
    </row>
    <row r="1088" spans="2:124" s="13" customFormat="1">
      <c r="B1088" s="4">
        <f>'6.1Personnel List'!B1089</f>
        <v>1076</v>
      </c>
      <c r="C1088" s="45" t="s">
        <v>1301</v>
      </c>
      <c r="D1088" s="45" t="str">
        <f>'6.1Personnel List'!D1089</f>
        <v>Nurse I</v>
      </c>
      <c r="E1088" s="45" t="str">
        <f>'6.1Personnel List'!H1089</f>
        <v>FT</v>
      </c>
      <c r="G1088" s="41"/>
      <c r="H1088" s="41"/>
      <c r="I1088" s="41"/>
      <c r="J1088" s="41"/>
      <c r="K1088" s="41"/>
      <c r="L1088" s="41"/>
      <c r="M1088" s="41"/>
      <c r="N1088" s="41"/>
      <c r="O1088" s="41"/>
      <c r="P1088" s="41"/>
      <c r="Q1088" s="41"/>
      <c r="R1088" s="41"/>
      <c r="S1088" s="41"/>
      <c r="T1088" s="41"/>
      <c r="U1088" s="41"/>
      <c r="V1088" s="41"/>
      <c r="W1088" s="41"/>
      <c r="X1088" s="41"/>
      <c r="Y1088" s="41"/>
      <c r="Z1088" s="41"/>
      <c r="AA1088" s="41"/>
      <c r="AB1088" s="41"/>
      <c r="AC1088" s="41"/>
      <c r="AD1088" s="41"/>
      <c r="AE1088" s="41"/>
      <c r="AF1088" s="41"/>
      <c r="AG1088" s="41"/>
      <c r="AH1088" s="41"/>
      <c r="AI1088" s="41"/>
      <c r="AJ1088" s="41"/>
      <c r="AK1088" s="41"/>
      <c r="AL1088" s="41"/>
      <c r="AM1088" s="41"/>
      <c r="AN1088" s="41"/>
      <c r="AO1088" s="41"/>
      <c r="AP1088" s="41"/>
      <c r="AQ1088" s="41"/>
      <c r="AR1088" s="41"/>
      <c r="AS1088" s="41"/>
      <c r="AT1088" s="41"/>
      <c r="AU1088" s="41"/>
      <c r="AV1088" s="41"/>
      <c r="AW1088" s="41"/>
      <c r="AX1088" s="41"/>
      <c r="AY1088" s="41"/>
      <c r="AZ1088" s="41"/>
      <c r="BA1088" s="41"/>
      <c r="BB1088" s="41"/>
      <c r="BC1088" s="41"/>
      <c r="BD1088" s="41"/>
      <c r="BE1088" s="41"/>
      <c r="BF1088" s="41"/>
      <c r="BG1088" s="41"/>
      <c r="BH1088" s="41"/>
      <c r="BJ1088" s="41"/>
      <c r="BK1088" s="41"/>
      <c r="BL1088" s="41"/>
      <c r="BM1088" s="41"/>
      <c r="BN1088" s="41"/>
      <c r="BO1088" s="41"/>
      <c r="BP1088" s="41"/>
      <c r="BQ1088" s="41"/>
      <c r="BR1088" s="41"/>
      <c r="BS1088" s="41"/>
      <c r="BT1088" s="41"/>
      <c r="BU1088" s="41"/>
      <c r="BV1088" s="41">
        <v>0.05</v>
      </c>
      <c r="BW1088" s="41"/>
      <c r="BX1088" s="41"/>
      <c r="BY1088" s="41"/>
      <c r="BZ1088" s="41"/>
      <c r="CA1088" s="41"/>
      <c r="CB1088" s="41">
        <v>0.05</v>
      </c>
      <c r="CC1088" s="41"/>
      <c r="CD1088" s="41"/>
      <c r="CE1088" s="41">
        <v>0.05</v>
      </c>
      <c r="CF1088" s="41">
        <v>0.02</v>
      </c>
      <c r="CG1088" s="41">
        <v>0.03</v>
      </c>
      <c r="CH1088" s="41"/>
      <c r="CI1088" s="41"/>
      <c r="CJ1088" s="41"/>
      <c r="CK1088" s="41"/>
      <c r="CL1088" s="41">
        <v>0.8</v>
      </c>
      <c r="CM1088" s="41"/>
      <c r="CN1088" s="41"/>
      <c r="CO1088" s="41"/>
      <c r="CP1088" s="41"/>
      <c r="CQ1088" s="41"/>
      <c r="CR1088" s="41"/>
      <c r="CS1088" s="41"/>
      <c r="CT1088" s="41"/>
      <c r="CU1088" s="41"/>
      <c r="CV1088" s="41"/>
      <c r="CW1088" s="41"/>
      <c r="CX1088" s="41"/>
      <c r="CY1088" s="41"/>
      <c r="CZ1088" s="41"/>
      <c r="DA1088" s="41"/>
      <c r="DB1088" s="41"/>
      <c r="DC1088" s="41"/>
      <c r="DD1088" s="41"/>
      <c r="DE1088" s="41"/>
      <c r="DF1088" s="41"/>
      <c r="DG1088" s="41"/>
      <c r="DH1088" s="41"/>
      <c r="DI1088" s="41"/>
      <c r="DJ1088" s="41"/>
      <c r="DK1088" s="41"/>
      <c r="DL1088" s="41"/>
      <c r="DM1088" s="41"/>
      <c r="DN1088" s="41"/>
      <c r="DO1088" s="41"/>
      <c r="DP1088" s="41"/>
      <c r="DQ1088" s="41"/>
      <c r="DR1088" s="41"/>
      <c r="DS1088" s="43"/>
      <c r="DT1088" s="44">
        <f t="shared" ref="DT1088" si="1070">SUM(F1088:DR1088)</f>
        <v>1</v>
      </c>
    </row>
    <row r="1089" spans="2:124" s="13" customFormat="1">
      <c r="B1089" s="4">
        <f>'6.1Personnel List'!B1090</f>
        <v>1077</v>
      </c>
      <c r="C1089" s="45" t="s">
        <v>1302</v>
      </c>
      <c r="D1089" s="45" t="str">
        <f>'6.1Personnel List'!D1090</f>
        <v>Nurse I</v>
      </c>
      <c r="E1089" s="45" t="str">
        <f>'6.1Personnel List'!H1090</f>
        <v>FT</v>
      </c>
      <c r="G1089" s="41"/>
      <c r="H1089" s="41"/>
      <c r="I1089" s="41"/>
      <c r="J1089" s="41"/>
      <c r="K1089" s="41"/>
      <c r="L1089" s="41"/>
      <c r="M1089" s="41"/>
      <c r="N1089" s="41"/>
      <c r="O1089" s="41"/>
      <c r="P1089" s="41"/>
      <c r="Q1089" s="41"/>
      <c r="R1089" s="41"/>
      <c r="S1089" s="41"/>
      <c r="T1089" s="41"/>
      <c r="U1089" s="41"/>
      <c r="V1089" s="41"/>
      <c r="W1089" s="41"/>
      <c r="X1089" s="41"/>
      <c r="Y1089" s="41"/>
      <c r="Z1089" s="41"/>
      <c r="AA1089" s="41"/>
      <c r="AB1089" s="41"/>
      <c r="AC1089" s="41"/>
      <c r="AD1089" s="41"/>
      <c r="AE1089" s="41"/>
      <c r="AF1089" s="41"/>
      <c r="AG1089" s="41"/>
      <c r="AH1089" s="41"/>
      <c r="AI1089" s="41"/>
      <c r="AJ1089" s="41"/>
      <c r="AK1089" s="41"/>
      <c r="AL1089" s="41"/>
      <c r="AM1089" s="41"/>
      <c r="AN1089" s="41"/>
      <c r="AO1089" s="41"/>
      <c r="AP1089" s="41"/>
      <c r="AQ1089" s="41"/>
      <c r="AR1089" s="41"/>
      <c r="AS1089" s="41"/>
      <c r="AT1089" s="41"/>
      <c r="AU1089" s="41"/>
      <c r="AV1089" s="41"/>
      <c r="AW1089" s="41"/>
      <c r="AX1089" s="41"/>
      <c r="AY1089" s="41"/>
      <c r="AZ1089" s="41"/>
      <c r="BA1089" s="41"/>
      <c r="BB1089" s="41"/>
      <c r="BC1089" s="41"/>
      <c r="BD1089" s="41"/>
      <c r="BE1089" s="41"/>
      <c r="BF1089" s="41"/>
      <c r="BG1089" s="41"/>
      <c r="BH1089" s="41"/>
      <c r="BJ1089" s="41"/>
      <c r="BK1089" s="41"/>
      <c r="BL1089" s="41"/>
      <c r="BM1089" s="41"/>
      <c r="BN1089" s="41"/>
      <c r="BO1089" s="41"/>
      <c r="BP1089" s="41"/>
      <c r="BQ1089" s="41"/>
      <c r="BR1089" s="41"/>
      <c r="BS1089" s="41">
        <v>0.05</v>
      </c>
      <c r="BT1089" s="41"/>
      <c r="BU1089" s="41"/>
      <c r="BV1089" s="41">
        <v>0.05</v>
      </c>
      <c r="BW1089" s="41">
        <v>0.05</v>
      </c>
      <c r="BX1089" s="41"/>
      <c r="BY1089" s="41"/>
      <c r="BZ1089" s="41"/>
      <c r="CA1089" s="41"/>
      <c r="CB1089" s="41"/>
      <c r="CC1089" s="41"/>
      <c r="CD1089" s="41"/>
      <c r="CE1089" s="41">
        <v>0.1</v>
      </c>
      <c r="CF1089" s="41">
        <v>0.05</v>
      </c>
      <c r="CG1089" s="41">
        <v>0.05</v>
      </c>
      <c r="CH1089" s="41">
        <v>0.05</v>
      </c>
      <c r="CI1089" s="41"/>
      <c r="CJ1089" s="41">
        <v>0.05</v>
      </c>
      <c r="CK1089" s="41"/>
      <c r="CL1089" s="41">
        <v>0.2</v>
      </c>
      <c r="CM1089" s="41"/>
      <c r="CN1089" s="41"/>
      <c r="CO1089" s="41"/>
      <c r="CP1089" s="41"/>
      <c r="CQ1089" s="41"/>
      <c r="CR1089" s="41"/>
      <c r="CS1089" s="41"/>
      <c r="CT1089" s="41"/>
      <c r="CU1089" s="41">
        <v>0.05</v>
      </c>
      <c r="CV1089" s="41"/>
      <c r="CW1089" s="41"/>
      <c r="CX1089" s="41"/>
      <c r="CY1089" s="41"/>
      <c r="CZ1089" s="41"/>
      <c r="DA1089" s="41"/>
      <c r="DB1089" s="41"/>
      <c r="DC1089" s="41"/>
      <c r="DD1089" s="41">
        <v>0.05</v>
      </c>
      <c r="DE1089" s="41"/>
      <c r="DF1089" s="41"/>
      <c r="DG1089" s="41"/>
      <c r="DH1089" s="41"/>
      <c r="DI1089" s="41"/>
      <c r="DJ1089" s="41"/>
      <c r="DK1089" s="41"/>
      <c r="DL1089" s="41"/>
      <c r="DM1089" s="41"/>
      <c r="DN1089" s="41"/>
      <c r="DO1089" s="41"/>
      <c r="DP1089" s="41">
        <v>0.25</v>
      </c>
      <c r="DQ1089" s="41"/>
      <c r="DR1089" s="41"/>
      <c r="DS1089" s="43"/>
      <c r="DT1089" s="44">
        <f t="shared" ref="DT1089" si="1071">SUM(F1089:DR1089)</f>
        <v>1</v>
      </c>
    </row>
    <row r="1090" spans="2:124" s="13" customFormat="1">
      <c r="B1090" s="4">
        <f>'6.1Personnel List'!B1091</f>
        <v>1078</v>
      </c>
      <c r="C1090" s="45" t="s">
        <v>1303</v>
      </c>
      <c r="D1090" s="45" t="str">
        <f>'6.1Personnel List'!D1091</f>
        <v>Nurse I</v>
      </c>
      <c r="E1090" s="45" t="str">
        <f>'6.1Personnel List'!H1091</f>
        <v>FT</v>
      </c>
      <c r="G1090" s="41"/>
      <c r="H1090" s="41"/>
      <c r="I1090" s="41"/>
      <c r="J1090" s="41"/>
      <c r="K1090" s="41"/>
      <c r="L1090" s="41"/>
      <c r="M1090" s="41"/>
      <c r="N1090" s="41"/>
      <c r="O1090" s="41"/>
      <c r="P1090" s="41"/>
      <c r="Q1090" s="41"/>
      <c r="R1090" s="41"/>
      <c r="S1090" s="41"/>
      <c r="T1090" s="41"/>
      <c r="U1090" s="41"/>
      <c r="V1090" s="41"/>
      <c r="W1090" s="41"/>
      <c r="X1090" s="41"/>
      <c r="Y1090" s="41"/>
      <c r="Z1090" s="41"/>
      <c r="AA1090" s="41"/>
      <c r="AB1090" s="41"/>
      <c r="AC1090" s="41"/>
      <c r="AD1090" s="41"/>
      <c r="AE1090" s="41"/>
      <c r="AF1090" s="41"/>
      <c r="AG1090" s="41"/>
      <c r="AH1090" s="41"/>
      <c r="AI1090" s="41"/>
      <c r="AJ1090" s="41"/>
      <c r="AK1090" s="41"/>
      <c r="AL1090" s="41"/>
      <c r="AM1090" s="41"/>
      <c r="AN1090" s="41"/>
      <c r="AO1090" s="41"/>
      <c r="AP1090" s="41"/>
      <c r="AQ1090" s="41"/>
      <c r="AR1090" s="41"/>
      <c r="AS1090" s="41"/>
      <c r="AT1090" s="41"/>
      <c r="AU1090" s="41"/>
      <c r="AV1090" s="41"/>
      <c r="AW1090" s="41"/>
      <c r="AX1090" s="41"/>
      <c r="AY1090" s="41"/>
      <c r="AZ1090" s="41"/>
      <c r="BA1090" s="41"/>
      <c r="BB1090" s="41"/>
      <c r="BC1090" s="41"/>
      <c r="BD1090" s="41"/>
      <c r="BE1090" s="41"/>
      <c r="BF1090" s="41"/>
      <c r="BG1090" s="41"/>
      <c r="BH1090" s="41"/>
      <c r="BJ1090" s="41"/>
      <c r="BK1090" s="41"/>
      <c r="BL1090" s="41"/>
      <c r="BM1090" s="41"/>
      <c r="BN1090" s="41"/>
      <c r="BO1090" s="41"/>
      <c r="BP1090" s="41"/>
      <c r="BQ1090" s="41"/>
      <c r="BR1090" s="41"/>
      <c r="BS1090" s="41">
        <v>0.05</v>
      </c>
      <c r="BT1090" s="41"/>
      <c r="BU1090" s="41"/>
      <c r="BV1090" s="41">
        <v>0.05</v>
      </c>
      <c r="BW1090" s="41">
        <v>0.05</v>
      </c>
      <c r="BX1090" s="41"/>
      <c r="BY1090" s="41"/>
      <c r="BZ1090" s="41"/>
      <c r="CA1090" s="41"/>
      <c r="CB1090" s="41"/>
      <c r="CC1090" s="41"/>
      <c r="CD1090" s="41"/>
      <c r="CE1090" s="41">
        <v>0.1</v>
      </c>
      <c r="CF1090" s="41">
        <v>0.05</v>
      </c>
      <c r="CG1090" s="41">
        <v>0.05</v>
      </c>
      <c r="CH1090" s="41">
        <v>0.05</v>
      </c>
      <c r="CI1090" s="41"/>
      <c r="CJ1090" s="41">
        <v>0.05</v>
      </c>
      <c r="CK1090" s="41"/>
      <c r="CL1090" s="41">
        <v>0.2</v>
      </c>
      <c r="CM1090" s="41"/>
      <c r="CN1090" s="41"/>
      <c r="CO1090" s="41"/>
      <c r="CP1090" s="41"/>
      <c r="CQ1090" s="41"/>
      <c r="CR1090" s="41"/>
      <c r="CS1090" s="41"/>
      <c r="CT1090" s="41"/>
      <c r="CU1090" s="41">
        <v>0.05</v>
      </c>
      <c r="CV1090" s="41"/>
      <c r="CW1090" s="41"/>
      <c r="CX1090" s="41"/>
      <c r="CY1090" s="41"/>
      <c r="CZ1090" s="41"/>
      <c r="DA1090" s="41"/>
      <c r="DB1090" s="41"/>
      <c r="DC1090" s="41"/>
      <c r="DD1090" s="41">
        <v>0.05</v>
      </c>
      <c r="DE1090" s="41"/>
      <c r="DF1090" s="41"/>
      <c r="DG1090" s="41"/>
      <c r="DH1090" s="41"/>
      <c r="DI1090" s="41"/>
      <c r="DJ1090" s="41"/>
      <c r="DK1090" s="41"/>
      <c r="DL1090" s="41"/>
      <c r="DM1090" s="41"/>
      <c r="DN1090" s="41"/>
      <c r="DO1090" s="41"/>
      <c r="DP1090" s="41">
        <v>0.25</v>
      </c>
      <c r="DQ1090" s="41"/>
      <c r="DR1090" s="41"/>
      <c r="DS1090" s="43"/>
      <c r="DT1090" s="44">
        <f t="shared" ref="DT1090" si="1072">SUM(F1090:DR1090)</f>
        <v>1</v>
      </c>
    </row>
    <row r="1091" spans="2:124" s="13" customFormat="1">
      <c r="B1091" s="4">
        <f>'6.1Personnel List'!B1092</f>
        <v>1079</v>
      </c>
      <c r="C1091" s="45" t="s">
        <v>1304</v>
      </c>
      <c r="D1091" s="45" t="str">
        <f>'6.1Personnel List'!D1092</f>
        <v>Nurse I</v>
      </c>
      <c r="E1091" s="45" t="str">
        <f>'6.1Personnel List'!H1092</f>
        <v>FT</v>
      </c>
      <c r="G1091" s="41"/>
      <c r="H1091" s="41"/>
      <c r="I1091" s="41"/>
      <c r="J1091" s="41"/>
      <c r="K1091" s="41"/>
      <c r="L1091" s="41"/>
      <c r="M1091" s="41"/>
      <c r="N1091" s="41"/>
      <c r="O1091" s="41"/>
      <c r="P1091" s="41"/>
      <c r="Q1091" s="41"/>
      <c r="R1091" s="41"/>
      <c r="S1091" s="41"/>
      <c r="T1091" s="41"/>
      <c r="U1091" s="41"/>
      <c r="V1091" s="41"/>
      <c r="W1091" s="41"/>
      <c r="X1091" s="41"/>
      <c r="Y1091" s="41"/>
      <c r="Z1091" s="41"/>
      <c r="AA1091" s="41"/>
      <c r="AB1091" s="41"/>
      <c r="AC1091" s="41"/>
      <c r="AD1091" s="41"/>
      <c r="AE1091" s="41"/>
      <c r="AF1091" s="41"/>
      <c r="AG1091" s="41"/>
      <c r="AH1091" s="41"/>
      <c r="AI1091" s="41"/>
      <c r="AJ1091" s="41"/>
      <c r="AK1091" s="41"/>
      <c r="AL1091" s="41"/>
      <c r="AM1091" s="41"/>
      <c r="AN1091" s="41"/>
      <c r="AO1091" s="41"/>
      <c r="AP1091" s="41"/>
      <c r="AQ1091" s="41"/>
      <c r="AR1091" s="41"/>
      <c r="AS1091" s="41"/>
      <c r="AT1091" s="41"/>
      <c r="AU1091" s="41"/>
      <c r="AV1091" s="41"/>
      <c r="AW1091" s="41"/>
      <c r="AX1091" s="41"/>
      <c r="AY1091" s="41"/>
      <c r="AZ1091" s="41"/>
      <c r="BA1091" s="41"/>
      <c r="BB1091" s="41"/>
      <c r="BC1091" s="41"/>
      <c r="BD1091" s="41"/>
      <c r="BE1091" s="41"/>
      <c r="BF1091" s="41"/>
      <c r="BG1091" s="41"/>
      <c r="BH1091" s="41"/>
      <c r="BJ1091" s="41"/>
      <c r="BK1091" s="41"/>
      <c r="BL1091" s="41"/>
      <c r="BM1091" s="41"/>
      <c r="BN1091" s="41"/>
      <c r="BO1091" s="41"/>
      <c r="BP1091" s="41"/>
      <c r="BQ1091" s="41"/>
      <c r="BR1091" s="41"/>
      <c r="BS1091" s="41">
        <v>0.05</v>
      </c>
      <c r="BT1091" s="41"/>
      <c r="BU1091" s="41"/>
      <c r="BV1091" s="41">
        <v>0.05</v>
      </c>
      <c r="BW1091" s="41">
        <v>0.05</v>
      </c>
      <c r="BX1091" s="41"/>
      <c r="BY1091" s="41"/>
      <c r="BZ1091" s="41"/>
      <c r="CA1091" s="41"/>
      <c r="CB1091" s="41"/>
      <c r="CC1091" s="41"/>
      <c r="CD1091" s="41"/>
      <c r="CE1091" s="41">
        <v>0.1</v>
      </c>
      <c r="CF1091" s="41">
        <v>0.05</v>
      </c>
      <c r="CG1091" s="41">
        <v>0.05</v>
      </c>
      <c r="CH1091" s="41">
        <v>0.05</v>
      </c>
      <c r="CI1091" s="41"/>
      <c r="CJ1091" s="41">
        <v>0.05</v>
      </c>
      <c r="CK1091" s="41"/>
      <c r="CL1091" s="41">
        <v>0.2</v>
      </c>
      <c r="CM1091" s="41"/>
      <c r="CN1091" s="41"/>
      <c r="CO1091" s="41"/>
      <c r="CP1091" s="41"/>
      <c r="CQ1091" s="41"/>
      <c r="CR1091" s="41"/>
      <c r="CS1091" s="41"/>
      <c r="CT1091" s="41"/>
      <c r="CU1091" s="41">
        <v>0.05</v>
      </c>
      <c r="CV1091" s="41"/>
      <c r="CW1091" s="41"/>
      <c r="CX1091" s="41"/>
      <c r="CY1091" s="41"/>
      <c r="CZ1091" s="41"/>
      <c r="DA1091" s="41"/>
      <c r="DB1091" s="41"/>
      <c r="DC1091" s="41"/>
      <c r="DD1091" s="41">
        <v>0.05</v>
      </c>
      <c r="DE1091" s="41"/>
      <c r="DF1091" s="41"/>
      <c r="DG1091" s="41"/>
      <c r="DH1091" s="41"/>
      <c r="DI1091" s="41"/>
      <c r="DJ1091" s="41"/>
      <c r="DK1091" s="41"/>
      <c r="DL1091" s="41">
        <v>0.25</v>
      </c>
      <c r="DM1091" s="41"/>
      <c r="DN1091" s="41"/>
      <c r="DO1091" s="41"/>
      <c r="DP1091" s="41"/>
      <c r="DQ1091" s="41"/>
      <c r="DR1091" s="41"/>
      <c r="DS1091" s="43"/>
      <c r="DT1091" s="44">
        <f t="shared" ref="DT1091" si="1073">SUM(F1091:DR1091)</f>
        <v>1</v>
      </c>
    </row>
    <row r="1092" spans="2:124" s="13" customFormat="1">
      <c r="B1092" s="4">
        <f>'6.1Personnel List'!B1093</f>
        <v>1080</v>
      </c>
      <c r="C1092" s="45" t="s">
        <v>1305</v>
      </c>
      <c r="D1092" s="45" t="str">
        <f>'6.1Personnel List'!D1093</f>
        <v>Nurse I</v>
      </c>
      <c r="E1092" s="45" t="str">
        <f>'6.1Personnel List'!H1093</f>
        <v>FT</v>
      </c>
      <c r="G1092" s="41"/>
      <c r="H1092" s="41"/>
      <c r="I1092" s="41"/>
      <c r="J1092" s="41"/>
      <c r="K1092" s="41"/>
      <c r="L1092" s="41"/>
      <c r="M1092" s="41"/>
      <c r="N1092" s="41"/>
      <c r="O1092" s="41"/>
      <c r="P1092" s="41"/>
      <c r="Q1092" s="41"/>
      <c r="R1092" s="41"/>
      <c r="S1092" s="41"/>
      <c r="T1092" s="41"/>
      <c r="U1092" s="41"/>
      <c r="V1092" s="41"/>
      <c r="W1092" s="41"/>
      <c r="X1092" s="41"/>
      <c r="Y1092" s="41"/>
      <c r="Z1092" s="41"/>
      <c r="AA1092" s="41"/>
      <c r="AB1092" s="41"/>
      <c r="AC1092" s="41"/>
      <c r="AD1092" s="41"/>
      <c r="AE1092" s="41"/>
      <c r="AF1092" s="41"/>
      <c r="AG1092" s="41"/>
      <c r="AH1092" s="41"/>
      <c r="AI1092" s="41"/>
      <c r="AJ1092" s="41"/>
      <c r="AK1092" s="41"/>
      <c r="AL1092" s="41"/>
      <c r="AM1092" s="41"/>
      <c r="AN1092" s="41"/>
      <c r="AO1092" s="41"/>
      <c r="AP1092" s="41"/>
      <c r="AQ1092" s="41"/>
      <c r="AR1092" s="41"/>
      <c r="AS1092" s="41"/>
      <c r="AT1092" s="41"/>
      <c r="AU1092" s="41"/>
      <c r="AV1092" s="41"/>
      <c r="AW1092" s="41"/>
      <c r="AX1092" s="41"/>
      <c r="AY1092" s="41"/>
      <c r="AZ1092" s="41"/>
      <c r="BA1092" s="41"/>
      <c r="BB1092" s="41"/>
      <c r="BC1092" s="41"/>
      <c r="BD1092" s="41"/>
      <c r="BE1092" s="41"/>
      <c r="BF1092" s="41"/>
      <c r="BG1092" s="41"/>
      <c r="BH1092" s="41"/>
      <c r="BJ1092" s="41"/>
      <c r="BK1092" s="41"/>
      <c r="BL1092" s="41"/>
      <c r="BM1092" s="41"/>
      <c r="BN1092" s="41"/>
      <c r="BO1092" s="41"/>
      <c r="BP1092" s="41"/>
      <c r="BQ1092" s="41"/>
      <c r="BR1092" s="41"/>
      <c r="BS1092" s="41"/>
      <c r="BT1092" s="41"/>
      <c r="BU1092" s="41"/>
      <c r="BV1092" s="41">
        <v>0.05</v>
      </c>
      <c r="BW1092" s="41"/>
      <c r="BX1092" s="41"/>
      <c r="BY1092" s="41"/>
      <c r="BZ1092" s="41"/>
      <c r="CA1092" s="41"/>
      <c r="CB1092" s="41">
        <v>0.05</v>
      </c>
      <c r="CC1092" s="41"/>
      <c r="CD1092" s="41"/>
      <c r="CE1092" s="41">
        <v>0.05</v>
      </c>
      <c r="CF1092" s="41">
        <v>0.05</v>
      </c>
      <c r="CG1092" s="41"/>
      <c r="CH1092" s="41"/>
      <c r="CI1092" s="41"/>
      <c r="CJ1092" s="41"/>
      <c r="CK1092" s="41"/>
      <c r="CL1092" s="41">
        <v>0.8</v>
      </c>
      <c r="CM1092" s="41"/>
      <c r="CN1092" s="41"/>
      <c r="CO1092" s="41"/>
      <c r="CP1092" s="41"/>
      <c r="CQ1092" s="41"/>
      <c r="CR1092" s="41"/>
      <c r="CS1092" s="41"/>
      <c r="CT1092" s="41"/>
      <c r="CU1092" s="41"/>
      <c r="CV1092" s="41"/>
      <c r="CW1092" s="41"/>
      <c r="CX1092" s="41"/>
      <c r="CY1092" s="41"/>
      <c r="CZ1092" s="41"/>
      <c r="DA1092" s="41"/>
      <c r="DB1092" s="41"/>
      <c r="DC1092" s="41"/>
      <c r="DD1092" s="41"/>
      <c r="DE1092" s="41"/>
      <c r="DF1092" s="41"/>
      <c r="DG1092" s="41"/>
      <c r="DH1092" s="41"/>
      <c r="DI1092" s="41"/>
      <c r="DJ1092" s="41"/>
      <c r="DK1092" s="41"/>
      <c r="DL1092" s="41"/>
      <c r="DM1092" s="41"/>
      <c r="DN1092" s="41"/>
      <c r="DO1092" s="41"/>
      <c r="DP1092" s="41"/>
      <c r="DQ1092" s="41"/>
      <c r="DR1092" s="41"/>
      <c r="DS1092" s="43"/>
      <c r="DT1092" s="44">
        <f t="shared" ref="DT1092" si="1074">SUM(F1092:DR1092)</f>
        <v>1</v>
      </c>
    </row>
    <row r="1093" spans="2:124" s="13" customFormat="1">
      <c r="B1093" s="4">
        <f>'6.1Personnel List'!B1094</f>
        <v>1081</v>
      </c>
      <c r="C1093" s="45" t="s">
        <v>1306</v>
      </c>
      <c r="D1093" s="45" t="str">
        <f>'6.1Personnel List'!D1094</f>
        <v>Nurse I</v>
      </c>
      <c r="E1093" s="45" t="str">
        <f>'6.1Personnel List'!H1094</f>
        <v>FT</v>
      </c>
      <c r="G1093" s="41"/>
      <c r="H1093" s="41"/>
      <c r="I1093" s="41"/>
      <c r="J1093" s="41"/>
      <c r="K1093" s="41"/>
      <c r="L1093" s="41"/>
      <c r="M1093" s="41"/>
      <c r="N1093" s="41"/>
      <c r="O1093" s="41"/>
      <c r="P1093" s="41"/>
      <c r="Q1093" s="41"/>
      <c r="R1093" s="41"/>
      <c r="S1093" s="41"/>
      <c r="T1093" s="41"/>
      <c r="U1093" s="41"/>
      <c r="V1093" s="41"/>
      <c r="W1093" s="41"/>
      <c r="X1093" s="41"/>
      <c r="Y1093" s="41"/>
      <c r="Z1093" s="41"/>
      <c r="AA1093" s="41"/>
      <c r="AB1093" s="41"/>
      <c r="AC1093" s="41"/>
      <c r="AD1093" s="41"/>
      <c r="AE1093" s="41"/>
      <c r="AF1093" s="41"/>
      <c r="AG1093" s="41"/>
      <c r="AH1093" s="41"/>
      <c r="AI1093" s="41"/>
      <c r="AJ1093" s="41"/>
      <c r="AK1093" s="41"/>
      <c r="AL1093" s="41"/>
      <c r="AM1093" s="41"/>
      <c r="AN1093" s="41"/>
      <c r="AO1093" s="41"/>
      <c r="AP1093" s="41"/>
      <c r="AQ1093" s="41"/>
      <c r="AR1093" s="41"/>
      <c r="AS1093" s="41"/>
      <c r="AT1093" s="41"/>
      <c r="AU1093" s="41"/>
      <c r="AV1093" s="41"/>
      <c r="AW1093" s="41"/>
      <c r="AX1093" s="41"/>
      <c r="AY1093" s="41"/>
      <c r="AZ1093" s="41"/>
      <c r="BA1093" s="41"/>
      <c r="BB1093" s="41"/>
      <c r="BC1093" s="41"/>
      <c r="BD1093" s="41"/>
      <c r="BE1093" s="41"/>
      <c r="BF1093" s="41"/>
      <c r="BG1093" s="41"/>
      <c r="BH1093" s="41"/>
      <c r="BJ1093" s="41"/>
      <c r="BK1093" s="41"/>
      <c r="BL1093" s="41"/>
      <c r="BM1093" s="41"/>
      <c r="BN1093" s="41"/>
      <c r="BO1093" s="41"/>
      <c r="BP1093" s="41"/>
      <c r="BQ1093" s="41"/>
      <c r="BR1093" s="41"/>
      <c r="BS1093" s="41">
        <v>0.05</v>
      </c>
      <c r="BT1093" s="41"/>
      <c r="BU1093" s="41"/>
      <c r="BV1093" s="41">
        <v>0.05</v>
      </c>
      <c r="BW1093" s="41">
        <v>0.05</v>
      </c>
      <c r="BX1093" s="41"/>
      <c r="BY1093" s="41"/>
      <c r="BZ1093" s="41"/>
      <c r="CA1093" s="41"/>
      <c r="CB1093" s="41"/>
      <c r="CC1093" s="41"/>
      <c r="CD1093" s="41"/>
      <c r="CE1093" s="41">
        <v>0.1</v>
      </c>
      <c r="CF1093" s="41">
        <v>0.05</v>
      </c>
      <c r="CG1093" s="41">
        <v>0.05</v>
      </c>
      <c r="CH1093" s="41">
        <v>0.05</v>
      </c>
      <c r="CI1093" s="41"/>
      <c r="CJ1093" s="41">
        <v>0.05</v>
      </c>
      <c r="CK1093" s="41"/>
      <c r="CL1093" s="41">
        <v>0.2</v>
      </c>
      <c r="CM1093" s="41"/>
      <c r="CN1093" s="41"/>
      <c r="CO1093" s="41"/>
      <c r="CP1093" s="41"/>
      <c r="CQ1093" s="41"/>
      <c r="CR1093" s="41"/>
      <c r="CS1093" s="41"/>
      <c r="CT1093" s="41"/>
      <c r="CU1093" s="41">
        <v>0.05</v>
      </c>
      <c r="CV1093" s="41"/>
      <c r="CW1093" s="41"/>
      <c r="CX1093" s="41"/>
      <c r="CY1093" s="41"/>
      <c r="CZ1093" s="41"/>
      <c r="DA1093" s="41"/>
      <c r="DB1093" s="41"/>
      <c r="DC1093" s="41"/>
      <c r="DD1093" s="41">
        <v>0.05</v>
      </c>
      <c r="DE1093" s="41"/>
      <c r="DF1093" s="41"/>
      <c r="DG1093" s="41"/>
      <c r="DH1093" s="41"/>
      <c r="DI1093" s="41"/>
      <c r="DJ1093" s="41"/>
      <c r="DK1093" s="41"/>
      <c r="DL1093" s="41">
        <v>0.25</v>
      </c>
      <c r="DM1093" s="41"/>
      <c r="DN1093" s="41"/>
      <c r="DO1093" s="41"/>
      <c r="DP1093" s="41"/>
      <c r="DQ1093" s="41"/>
      <c r="DR1093" s="41"/>
      <c r="DS1093" s="43"/>
      <c r="DT1093" s="44">
        <f t="shared" ref="DT1093" si="1075">SUM(F1093:DR1093)</f>
        <v>1</v>
      </c>
    </row>
    <row r="1094" spans="2:124" s="13" customFormat="1">
      <c r="B1094" s="4">
        <f>'6.1Personnel List'!B1095</f>
        <v>1082</v>
      </c>
      <c r="C1094" s="45" t="s">
        <v>1307</v>
      </c>
      <c r="D1094" s="45" t="str">
        <f>'6.1Personnel List'!D1095</f>
        <v>Nurse I</v>
      </c>
      <c r="E1094" s="45" t="str">
        <f>'6.1Personnel List'!H1095</f>
        <v>FT</v>
      </c>
      <c r="G1094" s="41"/>
      <c r="H1094" s="41"/>
      <c r="I1094" s="41"/>
      <c r="J1094" s="41"/>
      <c r="K1094" s="41"/>
      <c r="L1094" s="41"/>
      <c r="M1094" s="41"/>
      <c r="N1094" s="41"/>
      <c r="O1094" s="41"/>
      <c r="P1094" s="41"/>
      <c r="Q1094" s="41"/>
      <c r="R1094" s="41"/>
      <c r="S1094" s="41"/>
      <c r="T1094" s="41"/>
      <c r="U1094" s="41"/>
      <c r="V1094" s="41"/>
      <c r="W1094" s="41"/>
      <c r="X1094" s="41"/>
      <c r="Y1094" s="41"/>
      <c r="Z1094" s="41"/>
      <c r="AA1094" s="41"/>
      <c r="AB1094" s="41"/>
      <c r="AC1094" s="41"/>
      <c r="AD1094" s="41"/>
      <c r="AE1094" s="41"/>
      <c r="AF1094" s="41"/>
      <c r="AG1094" s="41"/>
      <c r="AH1094" s="41"/>
      <c r="AI1094" s="41"/>
      <c r="AJ1094" s="41"/>
      <c r="AK1094" s="41"/>
      <c r="AL1094" s="41"/>
      <c r="AM1094" s="41"/>
      <c r="AN1094" s="41"/>
      <c r="AO1094" s="41"/>
      <c r="AP1094" s="41"/>
      <c r="AQ1094" s="41"/>
      <c r="AR1094" s="41"/>
      <c r="AS1094" s="41"/>
      <c r="AT1094" s="41"/>
      <c r="AU1094" s="41"/>
      <c r="AV1094" s="41"/>
      <c r="AW1094" s="41"/>
      <c r="AX1094" s="41"/>
      <c r="AY1094" s="41"/>
      <c r="AZ1094" s="41"/>
      <c r="BA1094" s="41"/>
      <c r="BB1094" s="41"/>
      <c r="BC1094" s="41"/>
      <c r="BD1094" s="41"/>
      <c r="BE1094" s="41"/>
      <c r="BF1094" s="41"/>
      <c r="BG1094" s="41"/>
      <c r="BH1094" s="41"/>
      <c r="BJ1094" s="41"/>
      <c r="BK1094" s="41"/>
      <c r="BL1094" s="41"/>
      <c r="BM1094" s="41"/>
      <c r="BN1094" s="41"/>
      <c r="BO1094" s="41"/>
      <c r="BP1094" s="41"/>
      <c r="BQ1094" s="41"/>
      <c r="BR1094" s="41"/>
      <c r="BS1094" s="41"/>
      <c r="BT1094" s="41"/>
      <c r="BU1094" s="41"/>
      <c r="BV1094" s="41">
        <v>0.05</v>
      </c>
      <c r="BW1094" s="41"/>
      <c r="BX1094" s="41"/>
      <c r="BY1094" s="41"/>
      <c r="BZ1094" s="41"/>
      <c r="CA1094" s="41"/>
      <c r="CB1094" s="41">
        <v>0.05</v>
      </c>
      <c r="CC1094" s="41"/>
      <c r="CD1094" s="41"/>
      <c r="CE1094" s="41">
        <v>0.05</v>
      </c>
      <c r="CF1094" s="41">
        <v>0.02</v>
      </c>
      <c r="CG1094" s="41">
        <v>0.03</v>
      </c>
      <c r="CH1094" s="41"/>
      <c r="CI1094" s="41"/>
      <c r="CJ1094" s="41"/>
      <c r="CK1094" s="41"/>
      <c r="CL1094" s="41">
        <v>0.8</v>
      </c>
      <c r="CM1094" s="41"/>
      <c r="CN1094" s="41"/>
      <c r="CO1094" s="41"/>
      <c r="CP1094" s="41"/>
      <c r="CQ1094" s="41"/>
      <c r="CR1094" s="41"/>
      <c r="CS1094" s="41"/>
      <c r="CT1094" s="41"/>
      <c r="CU1094" s="41"/>
      <c r="CV1094" s="41"/>
      <c r="CW1094" s="41"/>
      <c r="CX1094" s="41"/>
      <c r="CY1094" s="41"/>
      <c r="CZ1094" s="41"/>
      <c r="DA1094" s="41"/>
      <c r="DB1094" s="41"/>
      <c r="DC1094" s="41"/>
      <c r="DD1094" s="41"/>
      <c r="DE1094" s="41"/>
      <c r="DF1094" s="41"/>
      <c r="DG1094" s="41"/>
      <c r="DH1094" s="41"/>
      <c r="DI1094" s="41"/>
      <c r="DJ1094" s="41"/>
      <c r="DK1094" s="41"/>
      <c r="DL1094" s="41"/>
      <c r="DM1094" s="41"/>
      <c r="DN1094" s="41"/>
      <c r="DO1094" s="41"/>
      <c r="DP1094" s="41"/>
      <c r="DQ1094" s="41"/>
      <c r="DR1094" s="41"/>
      <c r="DS1094" s="43"/>
      <c r="DT1094" s="44">
        <f t="shared" ref="DT1094" si="1076">SUM(F1094:DR1094)</f>
        <v>1</v>
      </c>
    </row>
    <row r="1095" spans="2:124" s="13" customFormat="1">
      <c r="B1095" s="4">
        <f>'6.1Personnel List'!B1096</f>
        <v>1083</v>
      </c>
      <c r="C1095" s="45" t="s">
        <v>1308</v>
      </c>
      <c r="D1095" s="45" t="str">
        <f>'6.1Personnel List'!D1096</f>
        <v>Nurse I</v>
      </c>
      <c r="E1095" s="45" t="str">
        <f>'6.1Personnel List'!H1096</f>
        <v>FT</v>
      </c>
      <c r="G1095" s="41"/>
      <c r="H1095" s="41"/>
      <c r="I1095" s="41"/>
      <c r="J1095" s="41"/>
      <c r="K1095" s="41"/>
      <c r="L1095" s="41"/>
      <c r="M1095" s="41"/>
      <c r="N1095" s="41"/>
      <c r="O1095" s="41"/>
      <c r="P1095" s="41"/>
      <c r="Q1095" s="41"/>
      <c r="R1095" s="41"/>
      <c r="S1095" s="41"/>
      <c r="T1095" s="41"/>
      <c r="U1095" s="41"/>
      <c r="V1095" s="41"/>
      <c r="W1095" s="41"/>
      <c r="X1095" s="41"/>
      <c r="Y1095" s="41"/>
      <c r="Z1095" s="41"/>
      <c r="AA1095" s="41"/>
      <c r="AB1095" s="41"/>
      <c r="AC1095" s="41"/>
      <c r="AD1095" s="41"/>
      <c r="AE1095" s="41"/>
      <c r="AF1095" s="41"/>
      <c r="AG1095" s="41"/>
      <c r="AH1095" s="41"/>
      <c r="AI1095" s="41"/>
      <c r="AJ1095" s="41"/>
      <c r="AK1095" s="41"/>
      <c r="AL1095" s="41"/>
      <c r="AM1095" s="41"/>
      <c r="AN1095" s="41"/>
      <c r="AO1095" s="41"/>
      <c r="AP1095" s="41"/>
      <c r="AQ1095" s="41"/>
      <c r="AR1095" s="41"/>
      <c r="AS1095" s="41"/>
      <c r="AT1095" s="41"/>
      <c r="AU1095" s="41"/>
      <c r="AV1095" s="41"/>
      <c r="AW1095" s="41"/>
      <c r="AX1095" s="41"/>
      <c r="AY1095" s="41"/>
      <c r="AZ1095" s="41"/>
      <c r="BA1095" s="41"/>
      <c r="BB1095" s="41"/>
      <c r="BC1095" s="41"/>
      <c r="BD1095" s="41"/>
      <c r="BE1095" s="41"/>
      <c r="BF1095" s="41"/>
      <c r="BG1095" s="41"/>
      <c r="BH1095" s="41"/>
      <c r="BJ1095" s="41"/>
      <c r="BK1095" s="41"/>
      <c r="BL1095" s="41"/>
      <c r="BM1095" s="41"/>
      <c r="BN1095" s="41"/>
      <c r="BO1095" s="41"/>
      <c r="BP1095" s="41"/>
      <c r="BQ1095" s="41"/>
      <c r="BR1095" s="41"/>
      <c r="BS1095" s="41"/>
      <c r="BT1095" s="41"/>
      <c r="BU1095" s="41"/>
      <c r="BV1095" s="41">
        <v>0.05</v>
      </c>
      <c r="BW1095" s="41">
        <v>0.2</v>
      </c>
      <c r="BX1095" s="41"/>
      <c r="BY1095" s="41"/>
      <c r="BZ1095" s="41"/>
      <c r="CA1095" s="41"/>
      <c r="CB1095" s="41"/>
      <c r="CC1095" s="41"/>
      <c r="CD1095" s="41"/>
      <c r="CE1095" s="41">
        <v>0.1</v>
      </c>
      <c r="CF1095" s="41">
        <v>0.1</v>
      </c>
      <c r="CG1095" s="41">
        <v>0.1</v>
      </c>
      <c r="CH1095" s="41"/>
      <c r="CI1095" s="41"/>
      <c r="CJ1095" s="41"/>
      <c r="CK1095" s="41"/>
      <c r="CL1095" s="41"/>
      <c r="CM1095" s="41"/>
      <c r="CN1095" s="41"/>
      <c r="CO1095" s="41"/>
      <c r="CP1095" s="41"/>
      <c r="CQ1095" s="41"/>
      <c r="CR1095" s="41"/>
      <c r="CS1095" s="41"/>
      <c r="CT1095" s="41"/>
      <c r="CU1095" s="41"/>
      <c r="CV1095" s="41"/>
      <c r="CW1095" s="41"/>
      <c r="CX1095" s="41"/>
      <c r="CY1095" s="41"/>
      <c r="CZ1095" s="41"/>
      <c r="DA1095" s="41"/>
      <c r="DB1095" s="41"/>
      <c r="DC1095" s="41"/>
      <c r="DD1095" s="41"/>
      <c r="DE1095" s="41"/>
      <c r="DF1095" s="41"/>
      <c r="DG1095" s="41"/>
      <c r="DH1095" s="41"/>
      <c r="DI1095" s="41"/>
      <c r="DJ1095" s="41"/>
      <c r="DK1095" s="41"/>
      <c r="DL1095" s="41"/>
      <c r="DM1095" s="41">
        <v>0.45</v>
      </c>
      <c r="DN1095" s="41"/>
      <c r="DO1095" s="41"/>
      <c r="DP1095" s="41"/>
      <c r="DQ1095" s="41"/>
      <c r="DR1095" s="41"/>
      <c r="DS1095" s="43"/>
      <c r="DT1095" s="44">
        <f t="shared" ref="DT1095" si="1077">SUM(F1095:DR1095)</f>
        <v>1</v>
      </c>
    </row>
    <row r="1096" spans="2:124" s="13" customFormat="1">
      <c r="B1096" s="4">
        <f>'6.1Personnel List'!B1097</f>
        <v>1084</v>
      </c>
      <c r="C1096" s="45" t="s">
        <v>1309</v>
      </c>
      <c r="D1096" s="45" t="str">
        <f>'6.1Personnel List'!D1097</f>
        <v>Nurse I</v>
      </c>
      <c r="E1096" s="45" t="str">
        <f>'6.1Personnel List'!H1097</f>
        <v>FT</v>
      </c>
      <c r="G1096" s="41"/>
      <c r="H1096" s="41"/>
      <c r="I1096" s="41"/>
      <c r="J1096" s="41"/>
      <c r="K1096" s="41"/>
      <c r="L1096" s="41"/>
      <c r="M1096" s="41"/>
      <c r="N1096" s="41"/>
      <c r="O1096" s="41"/>
      <c r="P1096" s="41"/>
      <c r="Q1096" s="41"/>
      <c r="R1096" s="41"/>
      <c r="S1096" s="41"/>
      <c r="T1096" s="41"/>
      <c r="U1096" s="41"/>
      <c r="V1096" s="41"/>
      <c r="W1096" s="41"/>
      <c r="X1096" s="41"/>
      <c r="Y1096" s="41"/>
      <c r="Z1096" s="41"/>
      <c r="AA1096" s="41"/>
      <c r="AB1096" s="41"/>
      <c r="AC1096" s="41"/>
      <c r="AD1096" s="41"/>
      <c r="AE1096" s="41"/>
      <c r="AF1096" s="41"/>
      <c r="AG1096" s="41"/>
      <c r="AH1096" s="41"/>
      <c r="AI1096" s="41"/>
      <c r="AJ1096" s="41"/>
      <c r="AK1096" s="41"/>
      <c r="AL1096" s="41"/>
      <c r="AM1096" s="41"/>
      <c r="AN1096" s="41"/>
      <c r="AO1096" s="41"/>
      <c r="AP1096" s="41"/>
      <c r="AQ1096" s="41"/>
      <c r="AR1096" s="41"/>
      <c r="AS1096" s="41"/>
      <c r="AT1096" s="41"/>
      <c r="AU1096" s="41"/>
      <c r="AV1096" s="41"/>
      <c r="AW1096" s="41"/>
      <c r="AX1096" s="41"/>
      <c r="AY1096" s="41"/>
      <c r="AZ1096" s="41"/>
      <c r="BA1096" s="41"/>
      <c r="BB1096" s="41"/>
      <c r="BC1096" s="41"/>
      <c r="BD1096" s="41"/>
      <c r="BE1096" s="41"/>
      <c r="BF1096" s="41"/>
      <c r="BG1096" s="41"/>
      <c r="BH1096" s="41"/>
      <c r="BJ1096" s="41"/>
      <c r="BK1096" s="41"/>
      <c r="BL1096" s="41"/>
      <c r="BM1096" s="41"/>
      <c r="BN1096" s="41"/>
      <c r="BO1096" s="41"/>
      <c r="BP1096" s="41"/>
      <c r="BQ1096" s="41"/>
      <c r="BR1096" s="41"/>
      <c r="BS1096" s="41">
        <v>0.05</v>
      </c>
      <c r="BT1096" s="41"/>
      <c r="BU1096" s="41"/>
      <c r="BV1096" s="41">
        <v>0.05</v>
      </c>
      <c r="BW1096" s="41">
        <v>0.05</v>
      </c>
      <c r="BX1096" s="41"/>
      <c r="BY1096" s="41"/>
      <c r="BZ1096" s="41"/>
      <c r="CA1096" s="41"/>
      <c r="CB1096" s="41"/>
      <c r="CC1096" s="41"/>
      <c r="CD1096" s="41"/>
      <c r="CE1096" s="41">
        <v>0.1</v>
      </c>
      <c r="CF1096" s="41">
        <v>0.05</v>
      </c>
      <c r="CG1096" s="41">
        <v>0.05</v>
      </c>
      <c r="CH1096" s="41">
        <v>0.05</v>
      </c>
      <c r="CI1096" s="41"/>
      <c r="CJ1096" s="41">
        <v>0.05</v>
      </c>
      <c r="CK1096" s="41"/>
      <c r="CL1096" s="41">
        <v>0.2</v>
      </c>
      <c r="CM1096" s="41"/>
      <c r="CN1096" s="41"/>
      <c r="CO1096" s="41"/>
      <c r="CP1096" s="41"/>
      <c r="CQ1096" s="41"/>
      <c r="CR1096" s="41"/>
      <c r="CS1096" s="41"/>
      <c r="CT1096" s="41"/>
      <c r="CU1096" s="41">
        <v>0.05</v>
      </c>
      <c r="CV1096" s="41"/>
      <c r="CW1096" s="41"/>
      <c r="CX1096" s="41"/>
      <c r="CY1096" s="41"/>
      <c r="CZ1096" s="41"/>
      <c r="DA1096" s="41"/>
      <c r="DB1096" s="41"/>
      <c r="DC1096" s="41"/>
      <c r="DD1096" s="41">
        <v>0.05</v>
      </c>
      <c r="DE1096" s="41"/>
      <c r="DF1096" s="41"/>
      <c r="DG1096" s="41"/>
      <c r="DH1096" s="41"/>
      <c r="DI1096" s="41"/>
      <c r="DJ1096" s="41"/>
      <c r="DK1096" s="41"/>
      <c r="DL1096" s="41">
        <v>0.25</v>
      </c>
      <c r="DM1096" s="41"/>
      <c r="DN1096" s="41"/>
      <c r="DO1096" s="41"/>
      <c r="DP1096" s="41"/>
      <c r="DQ1096" s="41"/>
      <c r="DR1096" s="41"/>
      <c r="DS1096" s="43"/>
      <c r="DT1096" s="44">
        <f t="shared" ref="DT1096" si="1078">SUM(F1096:DR1096)</f>
        <v>1</v>
      </c>
    </row>
    <row r="1097" spans="2:124" s="13" customFormat="1">
      <c r="B1097" s="4">
        <f>'6.1Personnel List'!B1098</f>
        <v>1085</v>
      </c>
      <c r="C1097" s="45" t="s">
        <v>1310</v>
      </c>
      <c r="D1097" s="45" t="str">
        <f>'6.1Personnel List'!D1098</f>
        <v>Nurse I</v>
      </c>
      <c r="E1097" s="45" t="str">
        <f>'6.1Personnel List'!H1098</f>
        <v>FT</v>
      </c>
      <c r="G1097" s="41"/>
      <c r="H1097" s="41"/>
      <c r="I1097" s="41"/>
      <c r="J1097" s="41"/>
      <c r="K1097" s="41"/>
      <c r="L1097" s="41"/>
      <c r="M1097" s="41"/>
      <c r="N1097" s="41"/>
      <c r="O1097" s="41"/>
      <c r="P1097" s="41"/>
      <c r="Q1097" s="41"/>
      <c r="R1097" s="41"/>
      <c r="S1097" s="41"/>
      <c r="T1097" s="41"/>
      <c r="U1097" s="41"/>
      <c r="V1097" s="41"/>
      <c r="W1097" s="41"/>
      <c r="X1097" s="41"/>
      <c r="Y1097" s="41"/>
      <c r="Z1097" s="41"/>
      <c r="AA1097" s="41"/>
      <c r="AB1097" s="41"/>
      <c r="AC1097" s="41"/>
      <c r="AD1097" s="41"/>
      <c r="AE1097" s="41"/>
      <c r="AF1097" s="41"/>
      <c r="AG1097" s="41"/>
      <c r="AH1097" s="41"/>
      <c r="AI1097" s="41"/>
      <c r="AJ1097" s="41"/>
      <c r="AK1097" s="41"/>
      <c r="AL1097" s="41"/>
      <c r="AM1097" s="41"/>
      <c r="AN1097" s="41"/>
      <c r="AO1097" s="41"/>
      <c r="AP1097" s="41"/>
      <c r="AQ1097" s="41"/>
      <c r="AR1097" s="41"/>
      <c r="AS1097" s="41"/>
      <c r="AT1097" s="41"/>
      <c r="AU1097" s="41"/>
      <c r="AV1097" s="41"/>
      <c r="AW1097" s="41"/>
      <c r="AX1097" s="41"/>
      <c r="AY1097" s="41"/>
      <c r="AZ1097" s="41"/>
      <c r="BA1097" s="41"/>
      <c r="BB1097" s="41"/>
      <c r="BC1097" s="41"/>
      <c r="BD1097" s="41"/>
      <c r="BE1097" s="41"/>
      <c r="BF1097" s="41"/>
      <c r="BG1097" s="41"/>
      <c r="BH1097" s="41"/>
      <c r="BJ1097" s="41"/>
      <c r="BK1097" s="41"/>
      <c r="BL1097" s="41"/>
      <c r="BM1097" s="41"/>
      <c r="BN1097" s="41"/>
      <c r="BO1097" s="41"/>
      <c r="BP1097" s="41"/>
      <c r="BQ1097" s="41"/>
      <c r="BR1097" s="41"/>
      <c r="BS1097" s="41">
        <v>0.05</v>
      </c>
      <c r="BT1097" s="41"/>
      <c r="BU1097" s="41"/>
      <c r="BV1097" s="41">
        <v>0.05</v>
      </c>
      <c r="BW1097" s="41">
        <v>0.05</v>
      </c>
      <c r="BX1097" s="41"/>
      <c r="BY1097" s="41"/>
      <c r="BZ1097" s="41"/>
      <c r="CA1097" s="41"/>
      <c r="CB1097" s="41"/>
      <c r="CC1097" s="41"/>
      <c r="CD1097" s="41"/>
      <c r="CE1097" s="41">
        <v>0.1</v>
      </c>
      <c r="CF1097" s="41">
        <v>0.05</v>
      </c>
      <c r="CG1097" s="41">
        <v>0.05</v>
      </c>
      <c r="CH1097" s="41">
        <v>0.05</v>
      </c>
      <c r="CI1097" s="41"/>
      <c r="CJ1097" s="41">
        <v>0.05</v>
      </c>
      <c r="CK1097" s="41"/>
      <c r="CL1097" s="41">
        <v>0.2</v>
      </c>
      <c r="CM1097" s="41"/>
      <c r="CN1097" s="41"/>
      <c r="CO1097" s="41"/>
      <c r="CP1097" s="41"/>
      <c r="CQ1097" s="41"/>
      <c r="CR1097" s="41"/>
      <c r="CS1097" s="41"/>
      <c r="CT1097" s="41"/>
      <c r="CU1097" s="41">
        <v>0.05</v>
      </c>
      <c r="CV1097" s="41"/>
      <c r="CW1097" s="41"/>
      <c r="CX1097" s="41"/>
      <c r="CY1097" s="41"/>
      <c r="CZ1097" s="41"/>
      <c r="DA1097" s="41"/>
      <c r="DB1097" s="41"/>
      <c r="DC1097" s="41"/>
      <c r="DD1097" s="41">
        <v>0.05</v>
      </c>
      <c r="DE1097" s="41"/>
      <c r="DF1097" s="41"/>
      <c r="DG1097" s="41"/>
      <c r="DH1097" s="41"/>
      <c r="DI1097" s="41"/>
      <c r="DJ1097" s="41"/>
      <c r="DK1097" s="41"/>
      <c r="DL1097" s="41">
        <v>0.25</v>
      </c>
      <c r="DM1097" s="41"/>
      <c r="DN1097" s="41"/>
      <c r="DO1097" s="41"/>
      <c r="DP1097" s="41"/>
      <c r="DQ1097" s="41"/>
      <c r="DR1097" s="41"/>
      <c r="DS1097" s="43"/>
      <c r="DT1097" s="44">
        <f t="shared" ref="DT1097" si="1079">SUM(F1097:DR1097)</f>
        <v>1</v>
      </c>
    </row>
    <row r="1098" spans="2:124" s="13" customFormat="1">
      <c r="B1098" s="4">
        <f>'6.1Personnel List'!B1099</f>
        <v>1086</v>
      </c>
      <c r="C1098" s="45" t="s">
        <v>1311</v>
      </c>
      <c r="D1098" s="45" t="str">
        <f>'6.1Personnel List'!D1099</f>
        <v>Nurse I</v>
      </c>
      <c r="E1098" s="45" t="str">
        <f>'6.1Personnel List'!H1099</f>
        <v>FT</v>
      </c>
      <c r="G1098" s="41"/>
      <c r="H1098" s="41"/>
      <c r="I1098" s="41"/>
      <c r="J1098" s="41"/>
      <c r="K1098" s="41"/>
      <c r="L1098" s="41"/>
      <c r="M1098" s="41"/>
      <c r="N1098" s="41"/>
      <c r="O1098" s="41"/>
      <c r="P1098" s="41"/>
      <c r="Q1098" s="41"/>
      <c r="R1098" s="41"/>
      <c r="S1098" s="41"/>
      <c r="T1098" s="41"/>
      <c r="U1098" s="41"/>
      <c r="V1098" s="41"/>
      <c r="W1098" s="41"/>
      <c r="X1098" s="41"/>
      <c r="Y1098" s="41"/>
      <c r="Z1098" s="41"/>
      <c r="AA1098" s="41"/>
      <c r="AB1098" s="41"/>
      <c r="AC1098" s="41"/>
      <c r="AD1098" s="41"/>
      <c r="AE1098" s="41"/>
      <c r="AF1098" s="41"/>
      <c r="AG1098" s="41"/>
      <c r="AH1098" s="41"/>
      <c r="AI1098" s="41"/>
      <c r="AJ1098" s="41"/>
      <c r="AK1098" s="41"/>
      <c r="AL1098" s="41"/>
      <c r="AM1098" s="41"/>
      <c r="AN1098" s="41"/>
      <c r="AO1098" s="41"/>
      <c r="AP1098" s="41"/>
      <c r="AQ1098" s="41"/>
      <c r="AR1098" s="41"/>
      <c r="AS1098" s="41"/>
      <c r="AT1098" s="41"/>
      <c r="AU1098" s="41"/>
      <c r="AV1098" s="41"/>
      <c r="AW1098" s="41"/>
      <c r="AX1098" s="41"/>
      <c r="AY1098" s="41"/>
      <c r="AZ1098" s="41"/>
      <c r="BA1098" s="41"/>
      <c r="BB1098" s="41"/>
      <c r="BC1098" s="41"/>
      <c r="BD1098" s="41"/>
      <c r="BE1098" s="41"/>
      <c r="BF1098" s="41"/>
      <c r="BG1098" s="41"/>
      <c r="BH1098" s="41"/>
      <c r="BJ1098" s="41"/>
      <c r="BK1098" s="41"/>
      <c r="BL1098" s="41"/>
      <c r="BM1098" s="41"/>
      <c r="BN1098" s="41"/>
      <c r="BO1098" s="41"/>
      <c r="BP1098" s="41"/>
      <c r="BQ1098" s="41"/>
      <c r="BR1098" s="41"/>
      <c r="BS1098" s="41"/>
      <c r="BT1098" s="41"/>
      <c r="BU1098" s="41"/>
      <c r="BV1098" s="41">
        <v>0.05</v>
      </c>
      <c r="BW1098" s="41"/>
      <c r="BX1098" s="41"/>
      <c r="BY1098" s="41"/>
      <c r="BZ1098" s="41"/>
      <c r="CA1098" s="41"/>
      <c r="CB1098" s="41">
        <v>0.05</v>
      </c>
      <c r="CC1098" s="41"/>
      <c r="CD1098" s="41"/>
      <c r="CE1098" s="41">
        <v>0.05</v>
      </c>
      <c r="CF1098" s="41">
        <v>0.05</v>
      </c>
      <c r="CG1098" s="41"/>
      <c r="CH1098" s="41"/>
      <c r="CI1098" s="41"/>
      <c r="CJ1098" s="41"/>
      <c r="CK1098" s="41"/>
      <c r="CL1098" s="41">
        <v>0.8</v>
      </c>
      <c r="CM1098" s="41"/>
      <c r="CN1098" s="41"/>
      <c r="CO1098" s="41"/>
      <c r="CP1098" s="41"/>
      <c r="CQ1098" s="41"/>
      <c r="CR1098" s="41"/>
      <c r="CS1098" s="41"/>
      <c r="CT1098" s="41"/>
      <c r="CU1098" s="41"/>
      <c r="CV1098" s="41"/>
      <c r="CW1098" s="41"/>
      <c r="CX1098" s="41"/>
      <c r="CY1098" s="41"/>
      <c r="CZ1098" s="41"/>
      <c r="DA1098" s="41"/>
      <c r="DB1098" s="41"/>
      <c r="DC1098" s="41"/>
      <c r="DD1098" s="41"/>
      <c r="DE1098" s="41"/>
      <c r="DF1098" s="41"/>
      <c r="DG1098" s="41"/>
      <c r="DH1098" s="41"/>
      <c r="DI1098" s="41"/>
      <c r="DJ1098" s="41"/>
      <c r="DK1098" s="41"/>
      <c r="DL1098" s="41"/>
      <c r="DM1098" s="41"/>
      <c r="DN1098" s="41"/>
      <c r="DO1098" s="41"/>
      <c r="DP1098" s="41"/>
      <c r="DQ1098" s="41"/>
      <c r="DR1098" s="41"/>
      <c r="DS1098" s="43"/>
      <c r="DT1098" s="44">
        <f t="shared" ref="DT1098" si="1080">SUM(F1098:DR1098)</f>
        <v>1</v>
      </c>
    </row>
    <row r="1099" spans="2:124" s="13" customFormat="1">
      <c r="B1099" s="4">
        <f>'6.1Personnel List'!B1100</f>
        <v>1087</v>
      </c>
      <c r="C1099" s="45" t="s">
        <v>1312</v>
      </c>
      <c r="D1099" s="45" t="str">
        <f>'6.1Personnel List'!D1100</f>
        <v>Nurse I</v>
      </c>
      <c r="E1099" s="45" t="str">
        <f>'6.1Personnel List'!H1100</f>
        <v>FT</v>
      </c>
      <c r="G1099" s="41"/>
      <c r="H1099" s="41"/>
      <c r="I1099" s="41"/>
      <c r="J1099" s="41"/>
      <c r="K1099" s="41"/>
      <c r="L1099" s="41"/>
      <c r="M1099" s="41"/>
      <c r="N1099" s="41"/>
      <c r="O1099" s="41"/>
      <c r="P1099" s="41"/>
      <c r="Q1099" s="41"/>
      <c r="R1099" s="41"/>
      <c r="S1099" s="41"/>
      <c r="T1099" s="41"/>
      <c r="U1099" s="41"/>
      <c r="V1099" s="41"/>
      <c r="W1099" s="41"/>
      <c r="X1099" s="41"/>
      <c r="Y1099" s="41"/>
      <c r="Z1099" s="41"/>
      <c r="AA1099" s="41"/>
      <c r="AB1099" s="41"/>
      <c r="AC1099" s="41"/>
      <c r="AD1099" s="41"/>
      <c r="AE1099" s="41"/>
      <c r="AF1099" s="41"/>
      <c r="AG1099" s="41"/>
      <c r="AH1099" s="41"/>
      <c r="AI1099" s="41"/>
      <c r="AJ1099" s="41"/>
      <c r="AK1099" s="41"/>
      <c r="AL1099" s="41"/>
      <c r="AM1099" s="41"/>
      <c r="AN1099" s="41"/>
      <c r="AO1099" s="41"/>
      <c r="AP1099" s="41"/>
      <c r="AQ1099" s="41"/>
      <c r="AR1099" s="41"/>
      <c r="AS1099" s="41"/>
      <c r="AT1099" s="41"/>
      <c r="AU1099" s="41"/>
      <c r="AV1099" s="41"/>
      <c r="AW1099" s="41"/>
      <c r="AX1099" s="41"/>
      <c r="AY1099" s="41"/>
      <c r="AZ1099" s="41"/>
      <c r="BA1099" s="41"/>
      <c r="BB1099" s="41"/>
      <c r="BC1099" s="41"/>
      <c r="BD1099" s="41"/>
      <c r="BE1099" s="41"/>
      <c r="BF1099" s="41"/>
      <c r="BG1099" s="41"/>
      <c r="BH1099" s="41"/>
      <c r="BJ1099" s="41"/>
      <c r="BK1099" s="41"/>
      <c r="BL1099" s="41"/>
      <c r="BM1099" s="41"/>
      <c r="BN1099" s="41"/>
      <c r="BO1099" s="41"/>
      <c r="BP1099" s="41"/>
      <c r="BQ1099" s="41"/>
      <c r="BR1099" s="41"/>
      <c r="BS1099" s="41"/>
      <c r="BT1099" s="41"/>
      <c r="BU1099" s="41"/>
      <c r="BV1099" s="41">
        <v>0.05</v>
      </c>
      <c r="BW1099" s="41"/>
      <c r="BX1099" s="41"/>
      <c r="BY1099" s="41"/>
      <c r="BZ1099" s="41"/>
      <c r="CA1099" s="41"/>
      <c r="CB1099" s="41">
        <v>0.05</v>
      </c>
      <c r="CC1099" s="41"/>
      <c r="CD1099" s="41"/>
      <c r="CE1099" s="41">
        <v>0.05</v>
      </c>
      <c r="CF1099" s="41">
        <v>0.05</v>
      </c>
      <c r="CG1099" s="41"/>
      <c r="CH1099" s="41"/>
      <c r="CI1099" s="41"/>
      <c r="CJ1099" s="41"/>
      <c r="CK1099" s="41"/>
      <c r="CL1099" s="41">
        <v>0.8</v>
      </c>
      <c r="CM1099" s="41"/>
      <c r="CN1099" s="41"/>
      <c r="CO1099" s="41"/>
      <c r="CP1099" s="41"/>
      <c r="CQ1099" s="41"/>
      <c r="CR1099" s="41"/>
      <c r="CS1099" s="41"/>
      <c r="CT1099" s="41"/>
      <c r="CU1099" s="41"/>
      <c r="CV1099" s="41"/>
      <c r="CW1099" s="41"/>
      <c r="CX1099" s="41"/>
      <c r="CY1099" s="41"/>
      <c r="CZ1099" s="41"/>
      <c r="DA1099" s="41"/>
      <c r="DB1099" s="41"/>
      <c r="DC1099" s="41"/>
      <c r="DD1099" s="41"/>
      <c r="DE1099" s="41"/>
      <c r="DF1099" s="41"/>
      <c r="DG1099" s="41"/>
      <c r="DH1099" s="41"/>
      <c r="DI1099" s="41"/>
      <c r="DJ1099" s="41"/>
      <c r="DK1099" s="41"/>
      <c r="DL1099" s="41"/>
      <c r="DM1099" s="41"/>
      <c r="DN1099" s="41"/>
      <c r="DO1099" s="41"/>
      <c r="DP1099" s="41"/>
      <c r="DQ1099" s="41"/>
      <c r="DR1099" s="41"/>
      <c r="DS1099" s="43"/>
      <c r="DT1099" s="44">
        <f t="shared" ref="DT1099" si="1081">SUM(F1099:DR1099)</f>
        <v>1</v>
      </c>
    </row>
    <row r="1100" spans="2:124" s="13" customFormat="1">
      <c r="B1100" s="4">
        <f>'6.1Personnel List'!B1101</f>
        <v>1088</v>
      </c>
      <c r="C1100" s="45" t="s">
        <v>1313</v>
      </c>
      <c r="D1100" s="45" t="str">
        <f>'6.1Personnel List'!D1101</f>
        <v>Nurse I</v>
      </c>
      <c r="E1100" s="45" t="str">
        <f>'6.1Personnel List'!H1101</f>
        <v>FT</v>
      </c>
      <c r="G1100" s="41"/>
      <c r="H1100" s="41"/>
      <c r="I1100" s="41"/>
      <c r="J1100" s="41"/>
      <c r="K1100" s="41"/>
      <c r="L1100" s="41"/>
      <c r="M1100" s="41"/>
      <c r="N1100" s="41"/>
      <c r="O1100" s="41"/>
      <c r="P1100" s="41"/>
      <c r="Q1100" s="41"/>
      <c r="R1100" s="41"/>
      <c r="S1100" s="41"/>
      <c r="T1100" s="41"/>
      <c r="U1100" s="41"/>
      <c r="V1100" s="41"/>
      <c r="W1100" s="41"/>
      <c r="X1100" s="41"/>
      <c r="Y1100" s="41"/>
      <c r="Z1100" s="41"/>
      <c r="AA1100" s="41"/>
      <c r="AB1100" s="41"/>
      <c r="AC1100" s="41"/>
      <c r="AD1100" s="41"/>
      <c r="AE1100" s="41"/>
      <c r="AF1100" s="41"/>
      <c r="AG1100" s="41"/>
      <c r="AH1100" s="41"/>
      <c r="AI1100" s="41"/>
      <c r="AJ1100" s="41"/>
      <c r="AK1100" s="41"/>
      <c r="AL1100" s="41"/>
      <c r="AM1100" s="41"/>
      <c r="AN1100" s="41"/>
      <c r="AO1100" s="41"/>
      <c r="AP1100" s="41"/>
      <c r="AQ1100" s="41"/>
      <c r="AR1100" s="41"/>
      <c r="AS1100" s="41"/>
      <c r="AT1100" s="41"/>
      <c r="AU1100" s="41"/>
      <c r="AV1100" s="41"/>
      <c r="AW1100" s="41"/>
      <c r="AX1100" s="41"/>
      <c r="AY1100" s="41"/>
      <c r="AZ1100" s="41"/>
      <c r="BA1100" s="41"/>
      <c r="BB1100" s="41"/>
      <c r="BC1100" s="41"/>
      <c r="BD1100" s="41"/>
      <c r="BE1100" s="41"/>
      <c r="BF1100" s="41"/>
      <c r="BG1100" s="41"/>
      <c r="BH1100" s="41"/>
      <c r="BJ1100" s="41"/>
      <c r="BK1100" s="41"/>
      <c r="BL1100" s="41"/>
      <c r="BM1100" s="41"/>
      <c r="BN1100" s="41"/>
      <c r="BO1100" s="41"/>
      <c r="BP1100" s="41"/>
      <c r="BQ1100" s="41"/>
      <c r="BR1100" s="41"/>
      <c r="BS1100" s="41"/>
      <c r="BT1100" s="41"/>
      <c r="BU1100" s="41"/>
      <c r="BV1100" s="41">
        <v>0.05</v>
      </c>
      <c r="BW1100" s="41"/>
      <c r="BX1100" s="41"/>
      <c r="BY1100" s="41"/>
      <c r="BZ1100" s="41"/>
      <c r="CA1100" s="41"/>
      <c r="CB1100" s="41">
        <v>0.05</v>
      </c>
      <c r="CC1100" s="41"/>
      <c r="CD1100" s="41"/>
      <c r="CE1100" s="41">
        <v>0.05</v>
      </c>
      <c r="CF1100" s="41">
        <v>0.05</v>
      </c>
      <c r="CG1100" s="41"/>
      <c r="CH1100" s="41"/>
      <c r="CI1100" s="41"/>
      <c r="CJ1100" s="41"/>
      <c r="CK1100" s="41"/>
      <c r="CL1100" s="41">
        <v>0.8</v>
      </c>
      <c r="CM1100" s="41"/>
      <c r="CN1100" s="41"/>
      <c r="CO1100" s="41"/>
      <c r="CP1100" s="41"/>
      <c r="CQ1100" s="41"/>
      <c r="CR1100" s="41"/>
      <c r="CS1100" s="41"/>
      <c r="CT1100" s="41"/>
      <c r="CU1100" s="41"/>
      <c r="CV1100" s="41"/>
      <c r="CW1100" s="41"/>
      <c r="CX1100" s="41"/>
      <c r="CY1100" s="41"/>
      <c r="CZ1100" s="41"/>
      <c r="DA1100" s="41"/>
      <c r="DB1100" s="41"/>
      <c r="DC1100" s="41"/>
      <c r="DD1100" s="41"/>
      <c r="DE1100" s="41"/>
      <c r="DF1100" s="41"/>
      <c r="DG1100" s="41"/>
      <c r="DH1100" s="41"/>
      <c r="DI1100" s="41"/>
      <c r="DJ1100" s="41"/>
      <c r="DK1100" s="41"/>
      <c r="DL1100" s="41"/>
      <c r="DM1100" s="41"/>
      <c r="DN1100" s="41"/>
      <c r="DO1100" s="41"/>
      <c r="DP1100" s="41"/>
      <c r="DQ1100" s="41"/>
      <c r="DR1100" s="41"/>
      <c r="DS1100" s="43"/>
      <c r="DT1100" s="44">
        <f t="shared" ref="DT1100" si="1082">SUM(F1100:DR1100)</f>
        <v>1</v>
      </c>
    </row>
    <row r="1101" spans="2:124" s="13" customFormat="1">
      <c r="B1101" s="4">
        <f>'6.1Personnel List'!B1102</f>
        <v>1089</v>
      </c>
      <c r="C1101" s="45" t="s">
        <v>1314</v>
      </c>
      <c r="D1101" s="45" t="str">
        <f>'6.1Personnel List'!D1102</f>
        <v>Nurse I</v>
      </c>
      <c r="E1101" s="45" t="str">
        <f>'6.1Personnel List'!H1102</f>
        <v>FT</v>
      </c>
      <c r="G1101" s="41"/>
      <c r="H1101" s="41"/>
      <c r="I1101" s="41"/>
      <c r="J1101" s="41"/>
      <c r="K1101" s="41"/>
      <c r="L1101" s="41"/>
      <c r="M1101" s="41"/>
      <c r="N1101" s="41"/>
      <c r="O1101" s="41"/>
      <c r="P1101" s="41"/>
      <c r="Q1101" s="41"/>
      <c r="R1101" s="41"/>
      <c r="S1101" s="41"/>
      <c r="T1101" s="41"/>
      <c r="U1101" s="41"/>
      <c r="V1101" s="41"/>
      <c r="W1101" s="41"/>
      <c r="X1101" s="41"/>
      <c r="Y1101" s="41"/>
      <c r="Z1101" s="41"/>
      <c r="AA1101" s="41"/>
      <c r="AB1101" s="41"/>
      <c r="AC1101" s="41"/>
      <c r="AD1101" s="41"/>
      <c r="AE1101" s="41"/>
      <c r="AF1101" s="41"/>
      <c r="AG1101" s="41"/>
      <c r="AH1101" s="41"/>
      <c r="AI1101" s="41"/>
      <c r="AJ1101" s="41"/>
      <c r="AK1101" s="41"/>
      <c r="AL1101" s="41"/>
      <c r="AM1101" s="41"/>
      <c r="AN1101" s="41"/>
      <c r="AO1101" s="41"/>
      <c r="AP1101" s="41"/>
      <c r="AQ1101" s="41"/>
      <c r="AR1101" s="41"/>
      <c r="AS1101" s="41"/>
      <c r="AT1101" s="41"/>
      <c r="AU1101" s="41"/>
      <c r="AV1101" s="41"/>
      <c r="AW1101" s="41"/>
      <c r="AX1101" s="41"/>
      <c r="AY1101" s="41"/>
      <c r="AZ1101" s="41"/>
      <c r="BA1101" s="41"/>
      <c r="BB1101" s="41"/>
      <c r="BC1101" s="41"/>
      <c r="BD1101" s="41"/>
      <c r="BE1101" s="41"/>
      <c r="BF1101" s="41"/>
      <c r="BG1101" s="41"/>
      <c r="BH1101" s="41"/>
      <c r="BJ1101" s="41"/>
      <c r="BK1101" s="41"/>
      <c r="BL1101" s="41"/>
      <c r="BM1101" s="41"/>
      <c r="BN1101" s="41"/>
      <c r="BO1101" s="41"/>
      <c r="BP1101" s="41"/>
      <c r="BQ1101" s="41"/>
      <c r="BR1101" s="41"/>
      <c r="BS1101" s="41"/>
      <c r="BT1101" s="41"/>
      <c r="BU1101" s="41"/>
      <c r="BV1101" s="41"/>
      <c r="BW1101" s="41"/>
      <c r="BX1101" s="41"/>
      <c r="BY1101" s="41"/>
      <c r="BZ1101" s="41"/>
      <c r="CA1101" s="41"/>
      <c r="CB1101" s="41"/>
      <c r="CC1101" s="41"/>
      <c r="CD1101" s="41"/>
      <c r="CE1101" s="41"/>
      <c r="CF1101" s="41"/>
      <c r="CG1101" s="41"/>
      <c r="CH1101" s="41"/>
      <c r="CI1101" s="41"/>
      <c r="CJ1101" s="41"/>
      <c r="CK1101" s="41"/>
      <c r="CL1101" s="41"/>
      <c r="CM1101" s="41"/>
      <c r="CN1101" s="92">
        <v>0.25</v>
      </c>
      <c r="CO1101" s="41"/>
      <c r="CP1101" s="41"/>
      <c r="CQ1101" s="41"/>
      <c r="CR1101" s="41"/>
      <c r="CS1101" s="41"/>
      <c r="CT1101" s="41"/>
      <c r="CU1101" s="41"/>
      <c r="CV1101" s="41"/>
      <c r="CW1101" s="41"/>
      <c r="CX1101" s="41"/>
      <c r="CY1101" s="41"/>
      <c r="CZ1101" s="41"/>
      <c r="DA1101" s="41"/>
      <c r="DB1101" s="92">
        <v>0.25</v>
      </c>
      <c r="DC1101" s="92">
        <v>0.25</v>
      </c>
      <c r="DD1101" s="41"/>
      <c r="DE1101" s="41"/>
      <c r="DF1101" s="41"/>
      <c r="DG1101" s="41"/>
      <c r="DH1101" s="41"/>
      <c r="DI1101" s="41"/>
      <c r="DJ1101" s="92">
        <v>0.25</v>
      </c>
      <c r="DK1101" s="41"/>
      <c r="DL1101" s="41"/>
      <c r="DM1101" s="41"/>
      <c r="DN1101" s="41"/>
      <c r="DO1101" s="41"/>
      <c r="DP1101" s="41"/>
      <c r="DQ1101" s="41"/>
      <c r="DR1101" s="41"/>
      <c r="DS1101" s="43"/>
      <c r="DT1101" s="44">
        <f t="shared" ref="DT1101" si="1083">SUM(F1101:DR1101)</f>
        <v>1</v>
      </c>
    </row>
    <row r="1102" spans="2:124" s="13" customFormat="1">
      <c r="B1102" s="4">
        <f>'6.1Personnel List'!B1103</f>
        <v>1090</v>
      </c>
      <c r="C1102" s="45" t="s">
        <v>1315</v>
      </c>
      <c r="D1102" s="45" t="str">
        <f>'6.1Personnel List'!D1103</f>
        <v>Nurse I</v>
      </c>
      <c r="E1102" s="45" t="str">
        <f>'6.1Personnel List'!H1103</f>
        <v>FT</v>
      </c>
      <c r="G1102" s="41"/>
      <c r="H1102" s="41"/>
      <c r="I1102" s="41"/>
      <c r="J1102" s="41"/>
      <c r="K1102" s="41"/>
      <c r="L1102" s="41"/>
      <c r="M1102" s="41"/>
      <c r="N1102" s="41"/>
      <c r="O1102" s="41"/>
      <c r="P1102" s="41"/>
      <c r="Q1102" s="41"/>
      <c r="R1102" s="41"/>
      <c r="S1102" s="41"/>
      <c r="T1102" s="41"/>
      <c r="U1102" s="41"/>
      <c r="V1102" s="41"/>
      <c r="W1102" s="41"/>
      <c r="X1102" s="41"/>
      <c r="Y1102" s="41"/>
      <c r="Z1102" s="41"/>
      <c r="AA1102" s="41"/>
      <c r="AB1102" s="41"/>
      <c r="AC1102" s="41"/>
      <c r="AD1102" s="41"/>
      <c r="AE1102" s="41"/>
      <c r="AF1102" s="41"/>
      <c r="AG1102" s="41"/>
      <c r="AH1102" s="41"/>
      <c r="AI1102" s="41"/>
      <c r="AJ1102" s="41"/>
      <c r="AK1102" s="41"/>
      <c r="AL1102" s="41"/>
      <c r="AM1102" s="41"/>
      <c r="AN1102" s="41"/>
      <c r="AO1102" s="41"/>
      <c r="AP1102" s="41"/>
      <c r="AQ1102" s="41"/>
      <c r="AR1102" s="41"/>
      <c r="AS1102" s="41"/>
      <c r="AT1102" s="41"/>
      <c r="AU1102" s="41"/>
      <c r="AV1102" s="41"/>
      <c r="AW1102" s="41"/>
      <c r="AX1102" s="41"/>
      <c r="AY1102" s="41"/>
      <c r="AZ1102" s="41"/>
      <c r="BA1102" s="41"/>
      <c r="BB1102" s="41"/>
      <c r="BC1102" s="41"/>
      <c r="BD1102" s="41"/>
      <c r="BE1102" s="41"/>
      <c r="BF1102" s="41"/>
      <c r="BG1102" s="41"/>
      <c r="BH1102" s="41"/>
      <c r="BJ1102" s="41"/>
      <c r="BK1102" s="41"/>
      <c r="BL1102" s="41"/>
      <c r="BM1102" s="41"/>
      <c r="BN1102" s="41"/>
      <c r="BO1102" s="41"/>
      <c r="BP1102" s="41"/>
      <c r="BQ1102" s="41"/>
      <c r="BR1102" s="41"/>
      <c r="BS1102" s="41"/>
      <c r="BT1102" s="41"/>
      <c r="BU1102" s="41"/>
      <c r="BV1102" s="41"/>
      <c r="BW1102" s="41"/>
      <c r="BX1102" s="41"/>
      <c r="BY1102" s="41"/>
      <c r="BZ1102" s="41"/>
      <c r="CA1102" s="41"/>
      <c r="CB1102" s="41"/>
      <c r="CC1102" s="41"/>
      <c r="CD1102" s="41"/>
      <c r="CE1102" s="41"/>
      <c r="CF1102" s="41"/>
      <c r="CG1102" s="41"/>
      <c r="CH1102" s="41"/>
      <c r="CI1102" s="41"/>
      <c r="CJ1102" s="41"/>
      <c r="CK1102" s="41"/>
      <c r="CL1102" s="41"/>
      <c r="CM1102" s="41"/>
      <c r="CN1102" s="92">
        <v>0.25</v>
      </c>
      <c r="CO1102" s="41"/>
      <c r="CP1102" s="41"/>
      <c r="CQ1102" s="41"/>
      <c r="CR1102" s="41"/>
      <c r="CS1102" s="41"/>
      <c r="CT1102" s="41"/>
      <c r="CU1102" s="41"/>
      <c r="CV1102" s="41"/>
      <c r="CW1102" s="41"/>
      <c r="CX1102" s="41"/>
      <c r="CY1102" s="41"/>
      <c r="CZ1102" s="41"/>
      <c r="DA1102" s="41"/>
      <c r="DB1102" s="92">
        <v>0.25</v>
      </c>
      <c r="DC1102" s="92">
        <v>0.25</v>
      </c>
      <c r="DD1102" s="41"/>
      <c r="DE1102" s="41"/>
      <c r="DF1102" s="41"/>
      <c r="DG1102" s="41"/>
      <c r="DH1102" s="41"/>
      <c r="DI1102" s="41"/>
      <c r="DJ1102" s="92">
        <v>0.25</v>
      </c>
      <c r="DK1102" s="41"/>
      <c r="DL1102" s="41"/>
      <c r="DM1102" s="41"/>
      <c r="DN1102" s="41"/>
      <c r="DO1102" s="41"/>
      <c r="DP1102" s="41"/>
      <c r="DQ1102" s="41"/>
      <c r="DR1102" s="41"/>
      <c r="DS1102" s="43"/>
      <c r="DT1102" s="44">
        <f t="shared" ref="DT1102" si="1084">SUM(F1102:DR1102)</f>
        <v>1</v>
      </c>
    </row>
    <row r="1103" spans="2:124" s="13" customFormat="1">
      <c r="B1103" s="4">
        <f>'6.1Personnel List'!B1104</f>
        <v>1091</v>
      </c>
      <c r="C1103" s="45" t="s">
        <v>1316</v>
      </c>
      <c r="D1103" s="45" t="str">
        <f>'6.1Personnel List'!D1104</f>
        <v>Nurse I</v>
      </c>
      <c r="E1103" s="45" t="str">
        <f>'6.1Personnel List'!H1104</f>
        <v>FT</v>
      </c>
      <c r="G1103" s="41"/>
      <c r="H1103" s="41"/>
      <c r="I1103" s="41"/>
      <c r="J1103" s="41"/>
      <c r="K1103" s="41"/>
      <c r="L1103" s="41"/>
      <c r="M1103" s="41"/>
      <c r="N1103" s="41"/>
      <c r="O1103" s="41"/>
      <c r="P1103" s="41"/>
      <c r="Q1103" s="41"/>
      <c r="R1103" s="41"/>
      <c r="S1103" s="41"/>
      <c r="T1103" s="41"/>
      <c r="U1103" s="41"/>
      <c r="V1103" s="41"/>
      <c r="W1103" s="41"/>
      <c r="X1103" s="41"/>
      <c r="Y1103" s="41"/>
      <c r="Z1103" s="41"/>
      <c r="AA1103" s="41"/>
      <c r="AB1103" s="41"/>
      <c r="AC1103" s="41"/>
      <c r="AD1103" s="41"/>
      <c r="AE1103" s="41"/>
      <c r="AF1103" s="41"/>
      <c r="AG1103" s="41"/>
      <c r="AH1103" s="41"/>
      <c r="AI1103" s="41"/>
      <c r="AJ1103" s="41"/>
      <c r="AK1103" s="41"/>
      <c r="AL1103" s="41"/>
      <c r="AM1103" s="41"/>
      <c r="AN1103" s="41"/>
      <c r="AO1103" s="41"/>
      <c r="AP1103" s="41"/>
      <c r="AQ1103" s="41"/>
      <c r="AR1103" s="41"/>
      <c r="AS1103" s="41"/>
      <c r="AT1103" s="41"/>
      <c r="AU1103" s="41"/>
      <c r="AV1103" s="41"/>
      <c r="AW1103" s="41"/>
      <c r="AX1103" s="41"/>
      <c r="AY1103" s="41"/>
      <c r="AZ1103" s="41"/>
      <c r="BA1103" s="41"/>
      <c r="BB1103" s="41"/>
      <c r="BC1103" s="41"/>
      <c r="BD1103" s="41"/>
      <c r="BE1103" s="41"/>
      <c r="BF1103" s="41"/>
      <c r="BG1103" s="41"/>
      <c r="BH1103" s="41"/>
      <c r="BJ1103" s="41"/>
      <c r="BK1103" s="41"/>
      <c r="BL1103" s="41"/>
      <c r="BM1103" s="41"/>
      <c r="BN1103" s="41"/>
      <c r="BO1103" s="41"/>
      <c r="BP1103" s="41"/>
      <c r="BQ1103" s="41"/>
      <c r="BR1103" s="41"/>
      <c r="BS1103" s="41"/>
      <c r="BT1103" s="41"/>
      <c r="BU1103" s="41"/>
      <c r="BV1103" s="41">
        <v>0.05</v>
      </c>
      <c r="BW1103" s="41">
        <v>0.2</v>
      </c>
      <c r="BX1103" s="41"/>
      <c r="BY1103" s="41"/>
      <c r="BZ1103" s="41"/>
      <c r="CA1103" s="41"/>
      <c r="CB1103" s="41"/>
      <c r="CC1103" s="41"/>
      <c r="CD1103" s="41"/>
      <c r="CE1103" s="41">
        <v>0.1</v>
      </c>
      <c r="CF1103" s="41">
        <v>0.1</v>
      </c>
      <c r="CG1103" s="41">
        <v>0.1</v>
      </c>
      <c r="CH1103" s="41"/>
      <c r="CI1103" s="41"/>
      <c r="CJ1103" s="41"/>
      <c r="CK1103" s="41"/>
      <c r="CL1103" s="41"/>
      <c r="CM1103" s="41"/>
      <c r="CN1103" s="41"/>
      <c r="CO1103" s="41"/>
      <c r="CP1103" s="41"/>
      <c r="CQ1103" s="41"/>
      <c r="CR1103" s="41"/>
      <c r="CS1103" s="41"/>
      <c r="CT1103" s="41"/>
      <c r="CU1103" s="41"/>
      <c r="CV1103" s="41"/>
      <c r="CW1103" s="41"/>
      <c r="CX1103" s="41"/>
      <c r="CY1103" s="41"/>
      <c r="CZ1103" s="41"/>
      <c r="DA1103" s="41"/>
      <c r="DB1103" s="41"/>
      <c r="DC1103" s="41"/>
      <c r="DD1103" s="41"/>
      <c r="DE1103" s="41"/>
      <c r="DF1103" s="41"/>
      <c r="DG1103" s="41"/>
      <c r="DH1103" s="41"/>
      <c r="DI1103" s="41"/>
      <c r="DJ1103" s="41"/>
      <c r="DK1103" s="41"/>
      <c r="DL1103" s="41"/>
      <c r="DM1103" s="41">
        <v>0.45</v>
      </c>
      <c r="DN1103" s="41"/>
      <c r="DO1103" s="41"/>
      <c r="DP1103" s="41"/>
      <c r="DQ1103" s="41"/>
      <c r="DR1103" s="41"/>
      <c r="DS1103" s="43"/>
      <c r="DT1103" s="44">
        <f t="shared" ref="DT1103" si="1085">SUM(F1103:DR1103)</f>
        <v>1</v>
      </c>
    </row>
    <row r="1104" spans="2:124" s="13" customFormat="1">
      <c r="B1104" s="4">
        <f>'6.1Personnel List'!B1105</f>
        <v>1092</v>
      </c>
      <c r="C1104" s="45" t="s">
        <v>1317</v>
      </c>
      <c r="D1104" s="45" t="str">
        <f>'6.1Personnel List'!D1105</f>
        <v>Nurse I</v>
      </c>
      <c r="E1104" s="45" t="str">
        <f>'6.1Personnel List'!H1105</f>
        <v>FT</v>
      </c>
      <c r="G1104" s="41"/>
      <c r="H1104" s="41"/>
      <c r="I1104" s="41"/>
      <c r="J1104" s="41"/>
      <c r="K1104" s="41"/>
      <c r="L1104" s="41"/>
      <c r="M1104" s="41"/>
      <c r="N1104" s="41"/>
      <c r="O1104" s="41"/>
      <c r="P1104" s="41"/>
      <c r="Q1104" s="41"/>
      <c r="R1104" s="41"/>
      <c r="S1104" s="41"/>
      <c r="T1104" s="41"/>
      <c r="U1104" s="41"/>
      <c r="V1104" s="41"/>
      <c r="W1104" s="41"/>
      <c r="X1104" s="41"/>
      <c r="Y1104" s="41"/>
      <c r="Z1104" s="41"/>
      <c r="AA1104" s="41"/>
      <c r="AB1104" s="41"/>
      <c r="AC1104" s="41"/>
      <c r="AD1104" s="41"/>
      <c r="AE1104" s="41"/>
      <c r="AF1104" s="41"/>
      <c r="AG1104" s="41"/>
      <c r="AH1104" s="41"/>
      <c r="AI1104" s="41"/>
      <c r="AJ1104" s="41"/>
      <c r="AK1104" s="41"/>
      <c r="AL1104" s="41"/>
      <c r="AM1104" s="41"/>
      <c r="AN1104" s="41"/>
      <c r="AO1104" s="41"/>
      <c r="AP1104" s="41"/>
      <c r="AQ1104" s="41"/>
      <c r="AR1104" s="41"/>
      <c r="AS1104" s="41"/>
      <c r="AT1104" s="41"/>
      <c r="AU1104" s="41"/>
      <c r="AV1104" s="41"/>
      <c r="AW1104" s="41"/>
      <c r="AX1104" s="41"/>
      <c r="AY1104" s="41"/>
      <c r="AZ1104" s="41"/>
      <c r="BA1104" s="41"/>
      <c r="BB1104" s="41"/>
      <c r="BC1104" s="41"/>
      <c r="BD1104" s="41"/>
      <c r="BE1104" s="41"/>
      <c r="BF1104" s="41"/>
      <c r="BG1104" s="41"/>
      <c r="BH1104" s="41"/>
      <c r="BJ1104" s="41"/>
      <c r="BK1104" s="41"/>
      <c r="BL1104" s="41"/>
      <c r="BM1104" s="41"/>
      <c r="BN1104" s="41"/>
      <c r="BO1104" s="41"/>
      <c r="BP1104" s="41"/>
      <c r="BQ1104" s="41"/>
      <c r="BR1104" s="41"/>
      <c r="BS1104" s="41"/>
      <c r="BT1104" s="41"/>
      <c r="BU1104" s="41"/>
      <c r="BV1104" s="41"/>
      <c r="BW1104" s="41"/>
      <c r="BX1104" s="41"/>
      <c r="BY1104" s="41"/>
      <c r="BZ1104" s="41"/>
      <c r="CA1104" s="41"/>
      <c r="CB1104" s="41"/>
      <c r="CC1104" s="41"/>
      <c r="CD1104" s="41"/>
      <c r="CE1104" s="41"/>
      <c r="CF1104" s="41"/>
      <c r="CG1104" s="41"/>
      <c r="CH1104" s="41"/>
      <c r="CI1104" s="41"/>
      <c r="CJ1104" s="41"/>
      <c r="CK1104" s="41"/>
      <c r="CL1104" s="41"/>
      <c r="CM1104" s="41"/>
      <c r="CN1104" s="92">
        <v>0.25</v>
      </c>
      <c r="CO1104" s="41"/>
      <c r="CP1104" s="41"/>
      <c r="CQ1104" s="41"/>
      <c r="CR1104" s="41"/>
      <c r="CS1104" s="41"/>
      <c r="CT1104" s="41"/>
      <c r="CU1104" s="41"/>
      <c r="CV1104" s="41"/>
      <c r="CW1104" s="41"/>
      <c r="CX1104" s="41"/>
      <c r="CY1104" s="41"/>
      <c r="CZ1104" s="41"/>
      <c r="DA1104" s="41"/>
      <c r="DB1104" s="92">
        <v>0.25</v>
      </c>
      <c r="DC1104" s="92">
        <v>0.25</v>
      </c>
      <c r="DD1104" s="41"/>
      <c r="DE1104" s="41"/>
      <c r="DF1104" s="41"/>
      <c r="DG1104" s="41"/>
      <c r="DH1104" s="41"/>
      <c r="DI1104" s="41"/>
      <c r="DJ1104" s="92">
        <v>0.25</v>
      </c>
      <c r="DK1104" s="41"/>
      <c r="DL1104" s="41"/>
      <c r="DM1104" s="41"/>
      <c r="DN1104" s="41"/>
      <c r="DO1104" s="41"/>
      <c r="DP1104" s="41"/>
      <c r="DQ1104" s="41"/>
      <c r="DR1104" s="41"/>
      <c r="DS1104" s="43"/>
      <c r="DT1104" s="44">
        <f t="shared" ref="DT1104" si="1086">SUM(F1104:DR1104)</f>
        <v>1</v>
      </c>
    </row>
    <row r="1105" spans="2:124" s="13" customFormat="1">
      <c r="B1105" s="4">
        <f>'6.1Personnel List'!B1106</f>
        <v>1093</v>
      </c>
      <c r="C1105" s="45" t="s">
        <v>1318</v>
      </c>
      <c r="D1105" s="45" t="str">
        <f>'6.1Personnel List'!D1106</f>
        <v>Nurse I</v>
      </c>
      <c r="E1105" s="45" t="str">
        <f>'6.1Personnel List'!H1106</f>
        <v>FT</v>
      </c>
      <c r="G1105" s="41"/>
      <c r="H1105" s="41"/>
      <c r="I1105" s="41"/>
      <c r="J1105" s="41"/>
      <c r="K1105" s="41"/>
      <c r="L1105" s="41"/>
      <c r="M1105" s="41"/>
      <c r="N1105" s="41"/>
      <c r="O1105" s="41"/>
      <c r="P1105" s="41"/>
      <c r="Q1105" s="41"/>
      <c r="R1105" s="41"/>
      <c r="S1105" s="41"/>
      <c r="T1105" s="41"/>
      <c r="U1105" s="41"/>
      <c r="V1105" s="41"/>
      <c r="W1105" s="41"/>
      <c r="X1105" s="41"/>
      <c r="Y1105" s="41"/>
      <c r="Z1105" s="41"/>
      <c r="AA1105" s="41"/>
      <c r="AB1105" s="41"/>
      <c r="AC1105" s="41"/>
      <c r="AD1105" s="41"/>
      <c r="AE1105" s="41"/>
      <c r="AF1105" s="41"/>
      <c r="AG1105" s="41"/>
      <c r="AH1105" s="41"/>
      <c r="AI1105" s="41"/>
      <c r="AJ1105" s="41"/>
      <c r="AK1105" s="41"/>
      <c r="AL1105" s="41"/>
      <c r="AM1105" s="41"/>
      <c r="AN1105" s="41"/>
      <c r="AO1105" s="41"/>
      <c r="AP1105" s="41"/>
      <c r="AQ1105" s="41"/>
      <c r="AR1105" s="41"/>
      <c r="AS1105" s="41"/>
      <c r="AT1105" s="41"/>
      <c r="AU1105" s="41"/>
      <c r="AV1105" s="41"/>
      <c r="AW1105" s="41"/>
      <c r="AX1105" s="41"/>
      <c r="AY1105" s="41"/>
      <c r="AZ1105" s="41"/>
      <c r="BA1105" s="41"/>
      <c r="BB1105" s="41"/>
      <c r="BC1105" s="41"/>
      <c r="BD1105" s="41"/>
      <c r="BE1105" s="41"/>
      <c r="BF1105" s="41"/>
      <c r="BG1105" s="41"/>
      <c r="BH1105" s="41"/>
      <c r="BJ1105" s="41"/>
      <c r="BK1105" s="41"/>
      <c r="BL1105" s="41"/>
      <c r="BM1105" s="41"/>
      <c r="BN1105" s="41"/>
      <c r="BO1105" s="41"/>
      <c r="BP1105" s="41"/>
      <c r="BQ1105" s="41"/>
      <c r="BR1105" s="41"/>
      <c r="BS1105" s="41"/>
      <c r="BT1105" s="41"/>
      <c r="BU1105" s="41"/>
      <c r="BV1105" s="41"/>
      <c r="BW1105" s="41"/>
      <c r="BX1105" s="41"/>
      <c r="BY1105" s="41"/>
      <c r="BZ1105" s="41"/>
      <c r="CA1105" s="41"/>
      <c r="CB1105" s="41"/>
      <c r="CC1105" s="41"/>
      <c r="CD1105" s="41"/>
      <c r="CE1105" s="41"/>
      <c r="CF1105" s="41"/>
      <c r="CG1105" s="41"/>
      <c r="CH1105" s="41"/>
      <c r="CI1105" s="41"/>
      <c r="CJ1105" s="41"/>
      <c r="CK1105" s="41"/>
      <c r="CL1105" s="41"/>
      <c r="CM1105" s="41"/>
      <c r="CN1105" s="92">
        <v>0.25</v>
      </c>
      <c r="CO1105" s="41"/>
      <c r="CP1105" s="41"/>
      <c r="CQ1105" s="41"/>
      <c r="CR1105" s="41"/>
      <c r="CS1105" s="41"/>
      <c r="CT1105" s="41"/>
      <c r="CU1105" s="41"/>
      <c r="CV1105" s="41"/>
      <c r="CW1105" s="41"/>
      <c r="CX1105" s="41"/>
      <c r="CY1105" s="41"/>
      <c r="CZ1105" s="41"/>
      <c r="DA1105" s="41"/>
      <c r="DB1105" s="92">
        <v>0.25</v>
      </c>
      <c r="DC1105" s="92">
        <v>0.25</v>
      </c>
      <c r="DD1105" s="41"/>
      <c r="DE1105" s="41"/>
      <c r="DF1105" s="41"/>
      <c r="DG1105" s="41"/>
      <c r="DH1105" s="41"/>
      <c r="DI1105" s="41"/>
      <c r="DJ1105" s="92">
        <v>0.25</v>
      </c>
      <c r="DK1105" s="41"/>
      <c r="DL1105" s="41"/>
      <c r="DM1105" s="41"/>
      <c r="DN1105" s="41"/>
      <c r="DO1105" s="41"/>
      <c r="DP1105" s="41"/>
      <c r="DQ1105" s="41"/>
      <c r="DR1105" s="41"/>
      <c r="DS1105" s="43"/>
      <c r="DT1105" s="44">
        <f t="shared" ref="DT1105" si="1087">SUM(F1105:DR1105)</f>
        <v>1</v>
      </c>
    </row>
    <row r="1106" spans="2:124" s="13" customFormat="1">
      <c r="B1106" s="4">
        <f>'6.1Personnel List'!B1107</f>
        <v>1094</v>
      </c>
      <c r="C1106" s="45" t="s">
        <v>1319</v>
      </c>
      <c r="D1106" s="45" t="str">
        <f>'6.1Personnel List'!D1107</f>
        <v>Nurse I</v>
      </c>
      <c r="E1106" s="45" t="str">
        <f>'6.1Personnel List'!H1107</f>
        <v>FT</v>
      </c>
      <c r="G1106" s="41"/>
      <c r="H1106" s="41"/>
      <c r="I1106" s="41"/>
      <c r="J1106" s="41"/>
      <c r="K1106" s="41"/>
      <c r="L1106" s="41"/>
      <c r="M1106" s="41"/>
      <c r="N1106" s="41"/>
      <c r="O1106" s="41"/>
      <c r="P1106" s="41"/>
      <c r="Q1106" s="41"/>
      <c r="R1106" s="41"/>
      <c r="S1106" s="41"/>
      <c r="T1106" s="41"/>
      <c r="U1106" s="41"/>
      <c r="V1106" s="41"/>
      <c r="W1106" s="41"/>
      <c r="X1106" s="41"/>
      <c r="Y1106" s="41"/>
      <c r="Z1106" s="41"/>
      <c r="AA1106" s="41"/>
      <c r="AB1106" s="41"/>
      <c r="AC1106" s="41"/>
      <c r="AD1106" s="41"/>
      <c r="AE1106" s="41"/>
      <c r="AF1106" s="41"/>
      <c r="AG1106" s="41"/>
      <c r="AH1106" s="41"/>
      <c r="AI1106" s="41"/>
      <c r="AJ1106" s="41"/>
      <c r="AK1106" s="41"/>
      <c r="AL1106" s="41"/>
      <c r="AM1106" s="41"/>
      <c r="AN1106" s="41"/>
      <c r="AO1106" s="41"/>
      <c r="AP1106" s="41"/>
      <c r="AQ1106" s="41"/>
      <c r="AR1106" s="41"/>
      <c r="AS1106" s="41"/>
      <c r="AT1106" s="41"/>
      <c r="AU1106" s="41"/>
      <c r="AV1106" s="41"/>
      <c r="AW1106" s="41"/>
      <c r="AX1106" s="41"/>
      <c r="AY1106" s="41"/>
      <c r="AZ1106" s="41"/>
      <c r="BA1106" s="41"/>
      <c r="BB1106" s="41"/>
      <c r="BC1106" s="41"/>
      <c r="BD1106" s="41"/>
      <c r="BE1106" s="41"/>
      <c r="BF1106" s="41"/>
      <c r="BG1106" s="41"/>
      <c r="BH1106" s="41"/>
      <c r="BJ1106" s="41"/>
      <c r="BK1106" s="41"/>
      <c r="BL1106" s="41"/>
      <c r="BM1106" s="41"/>
      <c r="BN1106" s="41"/>
      <c r="BO1106" s="41"/>
      <c r="BP1106" s="41"/>
      <c r="BQ1106" s="41"/>
      <c r="BR1106" s="41"/>
      <c r="BS1106" s="41"/>
      <c r="BT1106" s="41"/>
      <c r="BU1106" s="41"/>
      <c r="BV1106" s="41">
        <v>0.05</v>
      </c>
      <c r="BW1106" s="41"/>
      <c r="BX1106" s="41"/>
      <c r="BY1106" s="41"/>
      <c r="BZ1106" s="41"/>
      <c r="CA1106" s="41"/>
      <c r="CB1106" s="41">
        <v>0.05</v>
      </c>
      <c r="CC1106" s="41"/>
      <c r="CD1106" s="41"/>
      <c r="CE1106" s="41">
        <v>0.05</v>
      </c>
      <c r="CF1106" s="41">
        <v>0.05</v>
      </c>
      <c r="CG1106" s="41"/>
      <c r="CH1106" s="41"/>
      <c r="CI1106" s="41"/>
      <c r="CJ1106" s="41"/>
      <c r="CK1106" s="41"/>
      <c r="CL1106" s="41">
        <v>0.8</v>
      </c>
      <c r="CM1106" s="41"/>
      <c r="CN1106" s="41"/>
      <c r="CO1106" s="41"/>
      <c r="CP1106" s="41"/>
      <c r="CQ1106" s="41"/>
      <c r="CR1106" s="41"/>
      <c r="CS1106" s="41"/>
      <c r="CT1106" s="41"/>
      <c r="CU1106" s="41"/>
      <c r="CV1106" s="41"/>
      <c r="CW1106" s="41"/>
      <c r="CX1106" s="41"/>
      <c r="CY1106" s="41"/>
      <c r="CZ1106" s="41"/>
      <c r="DA1106" s="41"/>
      <c r="DB1106" s="41"/>
      <c r="DC1106" s="41"/>
      <c r="DD1106" s="41"/>
      <c r="DE1106" s="41"/>
      <c r="DF1106" s="41"/>
      <c r="DG1106" s="41"/>
      <c r="DH1106" s="41"/>
      <c r="DI1106" s="41"/>
      <c r="DJ1106" s="41"/>
      <c r="DK1106" s="41"/>
      <c r="DL1106" s="41"/>
      <c r="DM1106" s="41"/>
      <c r="DN1106" s="41"/>
      <c r="DO1106" s="41"/>
      <c r="DP1106" s="41"/>
      <c r="DQ1106" s="41"/>
      <c r="DR1106" s="41"/>
      <c r="DS1106" s="43"/>
      <c r="DT1106" s="44">
        <f t="shared" ref="DT1106" si="1088">SUM(F1106:DR1106)</f>
        <v>1</v>
      </c>
    </row>
    <row r="1107" spans="2:124" s="13" customFormat="1">
      <c r="B1107" s="4">
        <f>'6.1Personnel List'!B1108</f>
        <v>1095</v>
      </c>
      <c r="C1107" s="45" t="s">
        <v>1320</v>
      </c>
      <c r="D1107" s="45" t="str">
        <f>'6.1Personnel List'!D1108</f>
        <v>Administrative Officer I</v>
      </c>
      <c r="E1107" s="45" t="str">
        <f>'6.1Personnel List'!H1108</f>
        <v>FT</v>
      </c>
      <c r="G1107" s="41"/>
      <c r="H1107" s="41"/>
      <c r="I1107" s="41"/>
      <c r="J1107" s="41"/>
      <c r="K1107" s="41"/>
      <c r="L1107" s="41"/>
      <c r="M1107" s="41"/>
      <c r="N1107" s="41"/>
      <c r="O1107" s="41"/>
      <c r="P1107" s="41"/>
      <c r="Q1107" s="41"/>
      <c r="R1107" s="41"/>
      <c r="S1107" s="41"/>
      <c r="T1107" s="41"/>
      <c r="U1107" s="41"/>
      <c r="V1107" s="41"/>
      <c r="W1107" s="41"/>
      <c r="X1107" s="41"/>
      <c r="Y1107" s="41"/>
      <c r="Z1107" s="41"/>
      <c r="AA1107" s="41"/>
      <c r="AB1107" s="41"/>
      <c r="AC1107" s="41"/>
      <c r="AD1107" s="41"/>
      <c r="AE1107" s="41"/>
      <c r="AF1107" s="41"/>
      <c r="AG1107" s="41"/>
      <c r="AH1107" s="41"/>
      <c r="AI1107" s="41"/>
      <c r="AJ1107" s="41"/>
      <c r="AK1107" s="41"/>
      <c r="AL1107" s="41"/>
      <c r="AM1107" s="41"/>
      <c r="AN1107" s="41"/>
      <c r="AO1107" s="41"/>
      <c r="AP1107" s="41"/>
      <c r="AQ1107" s="41"/>
      <c r="AR1107" s="41"/>
      <c r="AS1107" s="41"/>
      <c r="AT1107" s="41"/>
      <c r="AU1107" s="41"/>
      <c r="AV1107" s="41"/>
      <c r="AW1107" s="41"/>
      <c r="AX1107" s="41"/>
      <c r="AY1107" s="41"/>
      <c r="AZ1107" s="41"/>
      <c r="BA1107" s="41"/>
      <c r="BB1107" s="41"/>
      <c r="BC1107" s="41"/>
      <c r="BD1107" s="41"/>
      <c r="BE1107" s="41"/>
      <c r="BF1107" s="41"/>
      <c r="BG1107" s="41"/>
      <c r="BH1107" s="41"/>
      <c r="BJ1107" s="41"/>
      <c r="BK1107" s="41"/>
      <c r="BL1107" s="41"/>
      <c r="BM1107" s="41"/>
      <c r="BN1107" s="41">
        <v>0.2</v>
      </c>
      <c r="BO1107" s="41"/>
      <c r="BP1107" s="41"/>
      <c r="BQ1107" s="41"/>
      <c r="BR1107" s="41"/>
      <c r="BS1107" s="41"/>
      <c r="BT1107" s="41">
        <v>0.8</v>
      </c>
      <c r="BU1107" s="41"/>
      <c r="BV1107" s="41"/>
      <c r="BW1107" s="41"/>
      <c r="BX1107" s="41"/>
      <c r="BY1107" s="41"/>
      <c r="BZ1107" s="41"/>
      <c r="CA1107" s="41"/>
      <c r="CB1107" s="41"/>
      <c r="CC1107" s="41"/>
      <c r="CD1107" s="41"/>
      <c r="CE1107" s="41"/>
      <c r="CF1107" s="41"/>
      <c r="CG1107" s="41"/>
      <c r="CH1107" s="41"/>
      <c r="CI1107" s="41"/>
      <c r="CJ1107" s="41"/>
      <c r="CK1107" s="41"/>
      <c r="CL1107" s="41"/>
      <c r="CM1107" s="41"/>
      <c r="CN1107" s="41"/>
      <c r="CO1107" s="41"/>
      <c r="CP1107" s="41"/>
      <c r="CQ1107" s="41"/>
      <c r="CR1107" s="41"/>
      <c r="CS1107" s="41"/>
      <c r="CT1107" s="41"/>
      <c r="CU1107" s="41"/>
      <c r="CV1107" s="41"/>
      <c r="CW1107" s="41"/>
      <c r="CX1107" s="41"/>
      <c r="CY1107" s="41"/>
      <c r="CZ1107" s="41"/>
      <c r="DA1107" s="41"/>
      <c r="DB1107" s="41"/>
      <c r="DC1107" s="41"/>
      <c r="DD1107" s="41"/>
      <c r="DE1107" s="41"/>
      <c r="DF1107" s="41"/>
      <c r="DG1107" s="41"/>
      <c r="DH1107" s="41"/>
      <c r="DI1107" s="41"/>
      <c r="DJ1107" s="41"/>
      <c r="DK1107" s="41"/>
      <c r="DL1107" s="41"/>
      <c r="DM1107" s="41"/>
      <c r="DN1107" s="41"/>
      <c r="DO1107" s="41"/>
      <c r="DP1107" s="41"/>
      <c r="DQ1107" s="41"/>
      <c r="DR1107" s="41"/>
      <c r="DS1107" s="43"/>
      <c r="DT1107" s="44">
        <f t="shared" ref="DT1107" si="1089">SUM(F1107:DR1107)</f>
        <v>1</v>
      </c>
    </row>
    <row r="1108" spans="2:124" s="13" customFormat="1">
      <c r="B1108" s="4">
        <f>'6.1Personnel List'!B1109</f>
        <v>1096</v>
      </c>
      <c r="C1108" s="45" t="s">
        <v>1321</v>
      </c>
      <c r="D1108" s="45" t="str">
        <f>'6.1Personnel List'!D1109</f>
        <v>Midwife II</v>
      </c>
      <c r="E1108" s="45" t="str">
        <f>'6.1Personnel List'!H1109</f>
        <v>FT</v>
      </c>
      <c r="G1108" s="41"/>
      <c r="H1108" s="41"/>
      <c r="I1108" s="41"/>
      <c r="J1108" s="41"/>
      <c r="K1108" s="41"/>
      <c r="L1108" s="41"/>
      <c r="M1108" s="41"/>
      <c r="N1108" s="41"/>
      <c r="O1108" s="41"/>
      <c r="P1108" s="41"/>
      <c r="Q1108" s="41"/>
      <c r="R1108" s="41"/>
      <c r="S1108" s="41"/>
      <c r="T1108" s="41"/>
      <c r="U1108" s="41"/>
      <c r="V1108" s="41"/>
      <c r="W1108" s="41"/>
      <c r="X1108" s="41"/>
      <c r="Y1108" s="41"/>
      <c r="Z1108" s="41"/>
      <c r="AA1108" s="41"/>
      <c r="AB1108" s="41"/>
      <c r="AC1108" s="41"/>
      <c r="AD1108" s="41"/>
      <c r="AE1108" s="41"/>
      <c r="AF1108" s="41"/>
      <c r="AG1108" s="41"/>
      <c r="AH1108" s="41"/>
      <c r="AI1108" s="41"/>
      <c r="AJ1108" s="41"/>
      <c r="AK1108" s="41"/>
      <c r="AL1108" s="41"/>
      <c r="AM1108" s="41"/>
      <c r="AN1108" s="41"/>
      <c r="AO1108" s="41"/>
      <c r="AP1108" s="41"/>
      <c r="AQ1108" s="41"/>
      <c r="AR1108" s="41"/>
      <c r="AS1108" s="41"/>
      <c r="AT1108" s="41"/>
      <c r="AU1108" s="41"/>
      <c r="AV1108" s="41"/>
      <c r="AW1108" s="41"/>
      <c r="AX1108" s="41"/>
      <c r="AY1108" s="41"/>
      <c r="AZ1108" s="41"/>
      <c r="BA1108" s="41"/>
      <c r="BB1108" s="41"/>
      <c r="BC1108" s="41"/>
      <c r="BD1108" s="41"/>
      <c r="BE1108" s="41"/>
      <c r="BF1108" s="41"/>
      <c r="BG1108" s="41"/>
      <c r="BH1108" s="41"/>
      <c r="BJ1108" s="41"/>
      <c r="BK1108" s="41"/>
      <c r="BL1108" s="41"/>
      <c r="BM1108" s="41"/>
      <c r="BN1108" s="41"/>
      <c r="BO1108" s="41"/>
      <c r="BP1108" s="41"/>
      <c r="BQ1108" s="41"/>
      <c r="BR1108" s="41"/>
      <c r="BS1108" s="41"/>
      <c r="BT1108" s="41"/>
      <c r="BU1108" s="41"/>
      <c r="BV1108" s="41"/>
      <c r="BW1108" s="41"/>
      <c r="BX1108" s="41"/>
      <c r="BY1108" s="41"/>
      <c r="BZ1108" s="41"/>
      <c r="CA1108" s="41">
        <v>1</v>
      </c>
      <c r="CB1108" s="41"/>
      <c r="CC1108" s="41"/>
      <c r="CD1108" s="41"/>
      <c r="CE1108" s="41"/>
      <c r="CF1108" s="41"/>
      <c r="CG1108" s="41"/>
      <c r="CH1108" s="41"/>
      <c r="CI1108" s="41"/>
      <c r="CJ1108" s="41"/>
      <c r="CK1108" s="41"/>
      <c r="CL1108" s="41"/>
      <c r="CM1108" s="41"/>
      <c r="CN1108" s="41"/>
      <c r="CO1108" s="41"/>
      <c r="CP1108" s="41"/>
      <c r="CQ1108" s="41"/>
      <c r="CR1108" s="41"/>
      <c r="CS1108" s="41"/>
      <c r="CT1108" s="41"/>
      <c r="CU1108" s="41"/>
      <c r="CV1108" s="41"/>
      <c r="CW1108" s="41"/>
      <c r="CX1108" s="41"/>
      <c r="CY1108" s="41"/>
      <c r="CZ1108" s="41"/>
      <c r="DA1108" s="41"/>
      <c r="DB1108" s="41"/>
      <c r="DC1108" s="41"/>
      <c r="DD1108" s="41"/>
      <c r="DE1108" s="41"/>
      <c r="DF1108" s="41"/>
      <c r="DG1108" s="41"/>
      <c r="DH1108" s="41"/>
      <c r="DI1108" s="41"/>
      <c r="DJ1108" s="41"/>
      <c r="DK1108" s="41"/>
      <c r="DL1108" s="41"/>
      <c r="DM1108" s="41"/>
      <c r="DN1108" s="41"/>
      <c r="DO1108" s="41"/>
      <c r="DP1108" s="41"/>
      <c r="DQ1108" s="41"/>
      <c r="DR1108" s="41"/>
      <c r="DS1108" s="43"/>
      <c r="DT1108" s="44">
        <f t="shared" ref="DT1108" si="1090">SUM(F1108:DR1108)</f>
        <v>1</v>
      </c>
    </row>
    <row r="1109" spans="2:124" s="13" customFormat="1">
      <c r="B1109" s="4">
        <f>'6.1Personnel List'!B1110</f>
        <v>1097</v>
      </c>
      <c r="C1109" s="45" t="s">
        <v>1323</v>
      </c>
      <c r="D1109" s="45" t="str">
        <f>'6.1Personnel List'!D1110</f>
        <v>Midwife II</v>
      </c>
      <c r="E1109" s="45" t="str">
        <f>'6.1Personnel List'!H1110</f>
        <v>FT</v>
      </c>
      <c r="G1109" s="41"/>
      <c r="H1109" s="41"/>
      <c r="I1109" s="41"/>
      <c r="J1109" s="41"/>
      <c r="K1109" s="41"/>
      <c r="L1109" s="41"/>
      <c r="M1109" s="41"/>
      <c r="N1109" s="41"/>
      <c r="O1109" s="41"/>
      <c r="P1109" s="41"/>
      <c r="Q1109" s="41"/>
      <c r="R1109" s="41"/>
      <c r="S1109" s="41"/>
      <c r="T1109" s="41"/>
      <c r="U1109" s="41"/>
      <c r="V1109" s="41"/>
      <c r="W1109" s="41"/>
      <c r="X1109" s="41"/>
      <c r="Y1109" s="41"/>
      <c r="Z1109" s="41"/>
      <c r="AA1109" s="41"/>
      <c r="AB1109" s="41"/>
      <c r="AC1109" s="41"/>
      <c r="AD1109" s="41"/>
      <c r="AE1109" s="41"/>
      <c r="AF1109" s="41"/>
      <c r="AG1109" s="41"/>
      <c r="AH1109" s="41"/>
      <c r="AI1109" s="41"/>
      <c r="AJ1109" s="41"/>
      <c r="AK1109" s="41"/>
      <c r="AL1109" s="41"/>
      <c r="AM1109" s="41"/>
      <c r="AN1109" s="41"/>
      <c r="AO1109" s="41"/>
      <c r="AP1109" s="41"/>
      <c r="AQ1109" s="41"/>
      <c r="AR1109" s="41"/>
      <c r="AS1109" s="41"/>
      <c r="AT1109" s="41"/>
      <c r="AU1109" s="41"/>
      <c r="AV1109" s="41"/>
      <c r="AW1109" s="41"/>
      <c r="AX1109" s="41"/>
      <c r="AY1109" s="41"/>
      <c r="AZ1109" s="41"/>
      <c r="BA1109" s="41"/>
      <c r="BB1109" s="41"/>
      <c r="BC1109" s="41"/>
      <c r="BD1109" s="41"/>
      <c r="BE1109" s="41"/>
      <c r="BF1109" s="41"/>
      <c r="BG1109" s="41"/>
      <c r="BH1109" s="41"/>
      <c r="BJ1109" s="41"/>
      <c r="BK1109" s="94"/>
      <c r="BL1109" s="94"/>
      <c r="BM1109" s="94"/>
      <c r="BN1109" s="94"/>
      <c r="BO1109" s="94"/>
      <c r="BP1109" s="94"/>
      <c r="BQ1109" s="94"/>
      <c r="BR1109" s="94"/>
      <c r="BS1109" s="94"/>
      <c r="BT1109" s="94"/>
      <c r="BU1109" s="94"/>
      <c r="BV1109" s="94"/>
      <c r="BW1109" s="94"/>
      <c r="BX1109" s="94"/>
      <c r="BY1109" s="94"/>
      <c r="BZ1109" s="94"/>
      <c r="CA1109" s="94"/>
      <c r="CB1109" s="94"/>
      <c r="CC1109" s="94"/>
      <c r="CD1109" s="94"/>
      <c r="CE1109" s="94"/>
      <c r="CF1109" s="94"/>
      <c r="CG1109" s="94"/>
      <c r="CH1109" s="94"/>
      <c r="CI1109" s="94"/>
      <c r="CJ1109" s="94"/>
      <c r="CK1109" s="94"/>
      <c r="CL1109" s="94"/>
      <c r="CM1109" s="94"/>
      <c r="CN1109" s="94"/>
      <c r="CO1109" s="94"/>
      <c r="CP1109" s="94"/>
      <c r="CQ1109" s="94"/>
      <c r="CR1109" s="94"/>
      <c r="CS1109" s="94"/>
      <c r="CT1109" s="94"/>
      <c r="CU1109" s="94"/>
      <c r="CV1109" s="94"/>
      <c r="CW1109" s="94"/>
      <c r="CX1109" s="94"/>
      <c r="CY1109" s="94">
        <v>1</v>
      </c>
      <c r="CZ1109" s="94"/>
      <c r="DA1109" s="94"/>
      <c r="DB1109" s="94"/>
      <c r="DC1109" s="94"/>
      <c r="DD1109" s="94"/>
      <c r="DE1109" s="94"/>
      <c r="DF1109" s="94"/>
      <c r="DG1109" s="94"/>
      <c r="DH1109" s="94"/>
      <c r="DI1109" s="94"/>
      <c r="DJ1109" s="94"/>
      <c r="DK1109" s="41"/>
      <c r="DL1109" s="41"/>
      <c r="DM1109" s="41"/>
      <c r="DN1109" s="41"/>
      <c r="DO1109" s="41"/>
      <c r="DP1109" s="41"/>
      <c r="DQ1109" s="41"/>
      <c r="DR1109" s="41"/>
      <c r="DS1109" s="43"/>
      <c r="DT1109" s="44">
        <f t="shared" ref="DT1109" si="1091">SUM(F1109:DR1109)</f>
        <v>1</v>
      </c>
    </row>
    <row r="1110" spans="2:124" s="13" customFormat="1">
      <c r="B1110" s="4">
        <f>'6.1Personnel List'!B1111</f>
        <v>1098</v>
      </c>
      <c r="C1110" s="45" t="s">
        <v>1324</v>
      </c>
      <c r="D1110" s="45" t="str">
        <f>'6.1Personnel List'!D1111</f>
        <v>Midwife II</v>
      </c>
      <c r="E1110" s="45" t="str">
        <f>'6.1Personnel List'!H1111</f>
        <v>FT</v>
      </c>
      <c r="G1110" s="41"/>
      <c r="H1110" s="41"/>
      <c r="I1110" s="41"/>
      <c r="J1110" s="41"/>
      <c r="K1110" s="41"/>
      <c r="L1110" s="41"/>
      <c r="M1110" s="41"/>
      <c r="N1110" s="41"/>
      <c r="O1110" s="41"/>
      <c r="P1110" s="41"/>
      <c r="Q1110" s="41"/>
      <c r="R1110" s="41"/>
      <c r="S1110" s="41"/>
      <c r="T1110" s="41"/>
      <c r="U1110" s="41"/>
      <c r="V1110" s="41"/>
      <c r="W1110" s="41"/>
      <c r="X1110" s="41"/>
      <c r="Y1110" s="41"/>
      <c r="Z1110" s="41"/>
      <c r="AA1110" s="41"/>
      <c r="AB1110" s="41"/>
      <c r="AC1110" s="41"/>
      <c r="AD1110" s="41"/>
      <c r="AE1110" s="41"/>
      <c r="AF1110" s="41"/>
      <c r="AG1110" s="41"/>
      <c r="AH1110" s="41"/>
      <c r="AI1110" s="41"/>
      <c r="AJ1110" s="41"/>
      <c r="AK1110" s="41"/>
      <c r="AL1110" s="41"/>
      <c r="AM1110" s="41"/>
      <c r="AN1110" s="41"/>
      <c r="AO1110" s="41"/>
      <c r="AP1110" s="41"/>
      <c r="AQ1110" s="41"/>
      <c r="AR1110" s="41"/>
      <c r="AS1110" s="41"/>
      <c r="AT1110" s="41"/>
      <c r="AU1110" s="41"/>
      <c r="AV1110" s="41"/>
      <c r="AW1110" s="41"/>
      <c r="AX1110" s="41"/>
      <c r="AY1110" s="41"/>
      <c r="AZ1110" s="41"/>
      <c r="BA1110" s="41"/>
      <c r="BB1110" s="41"/>
      <c r="BC1110" s="41"/>
      <c r="BD1110" s="41"/>
      <c r="BE1110" s="41"/>
      <c r="BF1110" s="41"/>
      <c r="BG1110" s="41"/>
      <c r="BH1110" s="41"/>
      <c r="BJ1110" s="41"/>
      <c r="BK1110" s="41"/>
      <c r="BL1110" s="41"/>
      <c r="BM1110" s="41"/>
      <c r="BN1110" s="41"/>
      <c r="BO1110" s="41"/>
      <c r="BP1110" s="41"/>
      <c r="BQ1110" s="41"/>
      <c r="BR1110" s="41"/>
      <c r="BS1110" s="41"/>
      <c r="BT1110" s="41"/>
      <c r="BU1110" s="41"/>
      <c r="BV1110" s="41"/>
      <c r="BW1110" s="41"/>
      <c r="BX1110" s="41"/>
      <c r="BY1110" s="41"/>
      <c r="BZ1110" s="41"/>
      <c r="CA1110" s="41">
        <v>1</v>
      </c>
      <c r="CB1110" s="41"/>
      <c r="CC1110" s="41"/>
      <c r="CD1110" s="41"/>
      <c r="CE1110" s="41"/>
      <c r="CF1110" s="41"/>
      <c r="CG1110" s="41"/>
      <c r="CH1110" s="41"/>
      <c r="CI1110" s="41"/>
      <c r="CJ1110" s="41"/>
      <c r="CK1110" s="41"/>
      <c r="CL1110" s="41"/>
      <c r="CM1110" s="41"/>
      <c r="CN1110" s="41"/>
      <c r="CO1110" s="41"/>
      <c r="CP1110" s="41"/>
      <c r="CQ1110" s="41"/>
      <c r="CR1110" s="41"/>
      <c r="CS1110" s="41"/>
      <c r="CT1110" s="41"/>
      <c r="CU1110" s="41"/>
      <c r="CV1110" s="41"/>
      <c r="CW1110" s="41"/>
      <c r="CX1110" s="41"/>
      <c r="CY1110" s="41"/>
      <c r="CZ1110" s="41"/>
      <c r="DA1110" s="41"/>
      <c r="DB1110" s="41"/>
      <c r="DC1110" s="41"/>
      <c r="DD1110" s="41"/>
      <c r="DE1110" s="41"/>
      <c r="DF1110" s="41"/>
      <c r="DG1110" s="41"/>
      <c r="DH1110" s="41"/>
      <c r="DI1110" s="41"/>
      <c r="DJ1110" s="41"/>
      <c r="DK1110" s="41"/>
      <c r="DL1110" s="41"/>
      <c r="DM1110" s="41"/>
      <c r="DN1110" s="41"/>
      <c r="DO1110" s="41"/>
      <c r="DP1110" s="41"/>
      <c r="DQ1110" s="41"/>
      <c r="DR1110" s="41"/>
      <c r="DS1110" s="43"/>
      <c r="DT1110" s="44">
        <f t="shared" ref="DT1110" si="1092">SUM(F1110:DR1110)</f>
        <v>1</v>
      </c>
    </row>
    <row r="1111" spans="2:124" s="13" customFormat="1">
      <c r="B1111" s="4">
        <f>'6.1Personnel List'!B1112</f>
        <v>1099</v>
      </c>
      <c r="C1111" s="45" t="s">
        <v>1325</v>
      </c>
      <c r="D1111" s="45" t="str">
        <f>'6.1Personnel List'!D1112</f>
        <v>Midwife II</v>
      </c>
      <c r="E1111" s="45" t="str">
        <f>'6.1Personnel List'!H1112</f>
        <v>FT</v>
      </c>
      <c r="G1111" s="41"/>
      <c r="H1111" s="41"/>
      <c r="I1111" s="41"/>
      <c r="J1111" s="41"/>
      <c r="K1111" s="41"/>
      <c r="L1111" s="41"/>
      <c r="M1111" s="41"/>
      <c r="N1111" s="41"/>
      <c r="O1111" s="41"/>
      <c r="P1111" s="41"/>
      <c r="Q1111" s="41"/>
      <c r="R1111" s="41"/>
      <c r="S1111" s="41"/>
      <c r="T1111" s="41"/>
      <c r="U1111" s="41"/>
      <c r="V1111" s="41"/>
      <c r="W1111" s="41"/>
      <c r="X1111" s="41"/>
      <c r="Y1111" s="41"/>
      <c r="Z1111" s="41"/>
      <c r="AA1111" s="41"/>
      <c r="AB1111" s="41"/>
      <c r="AC1111" s="41"/>
      <c r="AD1111" s="41"/>
      <c r="AE1111" s="41"/>
      <c r="AF1111" s="41"/>
      <c r="AG1111" s="41"/>
      <c r="AH1111" s="41"/>
      <c r="AI1111" s="41"/>
      <c r="AJ1111" s="41"/>
      <c r="AK1111" s="41"/>
      <c r="AL1111" s="41"/>
      <c r="AM1111" s="41"/>
      <c r="AN1111" s="41"/>
      <c r="AO1111" s="41"/>
      <c r="AP1111" s="41"/>
      <c r="AQ1111" s="41"/>
      <c r="AR1111" s="41"/>
      <c r="AS1111" s="41"/>
      <c r="AT1111" s="41"/>
      <c r="AU1111" s="41"/>
      <c r="AV1111" s="41"/>
      <c r="AW1111" s="41"/>
      <c r="AX1111" s="41"/>
      <c r="AY1111" s="41"/>
      <c r="AZ1111" s="41"/>
      <c r="BA1111" s="41"/>
      <c r="BB1111" s="41"/>
      <c r="BC1111" s="41"/>
      <c r="BD1111" s="41"/>
      <c r="BE1111" s="41"/>
      <c r="BF1111" s="41"/>
      <c r="BG1111" s="41"/>
      <c r="BH1111" s="41"/>
      <c r="BJ1111" s="41"/>
      <c r="BK1111" s="41"/>
      <c r="BL1111" s="41"/>
      <c r="BM1111" s="41"/>
      <c r="BN1111" s="41"/>
      <c r="BO1111" s="41"/>
      <c r="BP1111" s="41"/>
      <c r="BQ1111" s="41"/>
      <c r="BR1111" s="41"/>
      <c r="BS1111" s="41"/>
      <c r="BT1111" s="41"/>
      <c r="BU1111" s="41"/>
      <c r="BV1111" s="41"/>
      <c r="BW1111" s="41"/>
      <c r="BX1111" s="41"/>
      <c r="BY1111" s="41"/>
      <c r="BZ1111" s="41"/>
      <c r="CA1111" s="41"/>
      <c r="CB1111" s="41"/>
      <c r="CC1111" s="41"/>
      <c r="CD1111" s="41"/>
      <c r="CE1111" s="41"/>
      <c r="CF1111" s="41"/>
      <c r="CG1111" s="41"/>
      <c r="CH1111" s="41"/>
      <c r="CI1111" s="41"/>
      <c r="CJ1111" s="41"/>
      <c r="CK1111" s="41"/>
      <c r="CL1111" s="41"/>
      <c r="CM1111" s="41"/>
      <c r="CN1111" s="41"/>
      <c r="CO1111" s="41"/>
      <c r="CP1111" s="41"/>
      <c r="CQ1111" s="41"/>
      <c r="CR1111" s="41"/>
      <c r="CS1111" s="41"/>
      <c r="CT1111" s="41"/>
      <c r="CU1111" s="41">
        <v>0.5</v>
      </c>
      <c r="CV1111" s="41"/>
      <c r="CW1111" s="41"/>
      <c r="CX1111" s="41"/>
      <c r="CY1111" s="41">
        <v>0.5</v>
      </c>
      <c r="CZ1111" s="41"/>
      <c r="DA1111" s="41"/>
      <c r="DB1111" s="41"/>
      <c r="DC1111" s="41"/>
      <c r="DD1111" s="41"/>
      <c r="DE1111" s="41"/>
      <c r="DF1111" s="41"/>
      <c r="DG1111" s="41"/>
      <c r="DH1111" s="41"/>
      <c r="DI1111" s="41"/>
      <c r="DJ1111" s="41"/>
      <c r="DK1111" s="41"/>
      <c r="DL1111" s="41"/>
      <c r="DM1111" s="41"/>
      <c r="DN1111" s="41"/>
      <c r="DO1111" s="41"/>
      <c r="DP1111" s="41"/>
      <c r="DQ1111" s="41"/>
      <c r="DR1111" s="41"/>
      <c r="DS1111" s="43"/>
      <c r="DT1111" s="44">
        <f t="shared" ref="DT1111" si="1093">SUM(F1111:DR1111)</f>
        <v>1</v>
      </c>
    </row>
    <row r="1112" spans="2:124" s="13" customFormat="1">
      <c r="B1112" s="4">
        <f>'6.1Personnel List'!B1113</f>
        <v>1100</v>
      </c>
      <c r="C1112" s="45" t="s">
        <v>1326</v>
      </c>
      <c r="D1112" s="45" t="str">
        <f>'6.1Personnel List'!D1113</f>
        <v>Midwife II</v>
      </c>
      <c r="E1112" s="45" t="str">
        <f>'6.1Personnel List'!H1113</f>
        <v>FT</v>
      </c>
      <c r="G1112" s="41"/>
      <c r="H1112" s="41"/>
      <c r="I1112" s="41"/>
      <c r="J1112" s="41"/>
      <c r="K1112" s="41"/>
      <c r="L1112" s="41"/>
      <c r="M1112" s="41"/>
      <c r="N1112" s="41"/>
      <c r="O1112" s="41"/>
      <c r="P1112" s="41"/>
      <c r="Q1112" s="41"/>
      <c r="R1112" s="41"/>
      <c r="S1112" s="41"/>
      <c r="T1112" s="41"/>
      <c r="U1112" s="41"/>
      <c r="V1112" s="41"/>
      <c r="W1112" s="41"/>
      <c r="X1112" s="41"/>
      <c r="Y1112" s="41"/>
      <c r="Z1112" s="41"/>
      <c r="AA1112" s="41"/>
      <c r="AB1112" s="41"/>
      <c r="AC1112" s="41"/>
      <c r="AD1112" s="41"/>
      <c r="AE1112" s="41"/>
      <c r="AF1112" s="41"/>
      <c r="AG1112" s="41"/>
      <c r="AH1112" s="41"/>
      <c r="AI1112" s="41"/>
      <c r="AJ1112" s="41"/>
      <c r="AK1112" s="41"/>
      <c r="AL1112" s="41"/>
      <c r="AM1112" s="41"/>
      <c r="AN1112" s="41"/>
      <c r="AO1112" s="41"/>
      <c r="AP1112" s="41"/>
      <c r="AQ1112" s="41"/>
      <c r="AR1112" s="41"/>
      <c r="AS1112" s="41"/>
      <c r="AT1112" s="41"/>
      <c r="AU1112" s="41"/>
      <c r="AV1112" s="41"/>
      <c r="AW1112" s="41"/>
      <c r="AX1112" s="41"/>
      <c r="AY1112" s="41"/>
      <c r="AZ1112" s="41"/>
      <c r="BA1112" s="41"/>
      <c r="BB1112" s="41"/>
      <c r="BC1112" s="41"/>
      <c r="BD1112" s="41"/>
      <c r="BE1112" s="41"/>
      <c r="BF1112" s="41"/>
      <c r="BG1112" s="41"/>
      <c r="BH1112" s="41"/>
      <c r="BJ1112" s="41"/>
      <c r="BK1112" s="41"/>
      <c r="BL1112" s="41"/>
      <c r="BM1112" s="41"/>
      <c r="BN1112" s="41"/>
      <c r="BO1112" s="41"/>
      <c r="BP1112" s="41"/>
      <c r="BQ1112" s="41"/>
      <c r="BR1112" s="41"/>
      <c r="BS1112" s="41"/>
      <c r="BT1112" s="41"/>
      <c r="BU1112" s="41">
        <v>1</v>
      </c>
      <c r="BV1112" s="41"/>
      <c r="BW1112" s="41"/>
      <c r="BX1112" s="41"/>
      <c r="BY1112" s="41"/>
      <c r="BZ1112" s="41"/>
      <c r="CA1112" s="41"/>
      <c r="CB1112" s="41"/>
      <c r="CC1112" s="41"/>
      <c r="CD1112" s="41"/>
      <c r="CE1112" s="41"/>
      <c r="CF1112" s="41"/>
      <c r="CG1112" s="41"/>
      <c r="CH1112" s="41"/>
      <c r="CI1112" s="41"/>
      <c r="CJ1112" s="41"/>
      <c r="CK1112" s="41"/>
      <c r="CL1112" s="41"/>
      <c r="CM1112" s="41"/>
      <c r="CN1112" s="41"/>
      <c r="CO1112" s="41"/>
      <c r="CP1112" s="41"/>
      <c r="CQ1112" s="41"/>
      <c r="CR1112" s="41"/>
      <c r="CS1112" s="41"/>
      <c r="CT1112" s="41"/>
      <c r="CU1112" s="41"/>
      <c r="CV1112" s="41"/>
      <c r="CW1112" s="41"/>
      <c r="CX1112" s="41"/>
      <c r="CY1112" s="41"/>
      <c r="CZ1112" s="41"/>
      <c r="DA1112" s="41"/>
      <c r="DB1112" s="41"/>
      <c r="DC1112" s="41"/>
      <c r="DD1112" s="41"/>
      <c r="DE1112" s="41"/>
      <c r="DF1112" s="41"/>
      <c r="DG1112" s="41"/>
      <c r="DH1112" s="41"/>
      <c r="DI1112" s="41"/>
      <c r="DJ1112" s="41"/>
      <c r="DK1112" s="41"/>
      <c r="DL1112" s="41"/>
      <c r="DM1112" s="41"/>
      <c r="DN1112" s="41"/>
      <c r="DO1112" s="41"/>
      <c r="DP1112" s="41"/>
      <c r="DQ1112" s="41"/>
      <c r="DR1112" s="41"/>
      <c r="DS1112" s="43"/>
      <c r="DT1112" s="44">
        <f t="shared" ref="DT1112" si="1094">SUM(F1112:DR1112)</f>
        <v>1</v>
      </c>
    </row>
    <row r="1113" spans="2:124" s="13" customFormat="1">
      <c r="B1113" s="4">
        <f>'6.1Personnel List'!B1114</f>
        <v>1101</v>
      </c>
      <c r="C1113" s="45" t="s">
        <v>1327</v>
      </c>
      <c r="D1113" s="45" t="str">
        <f>'6.1Personnel List'!D1114</f>
        <v>Midwife II</v>
      </c>
      <c r="E1113" s="45" t="str">
        <f>'6.1Personnel List'!H1114</f>
        <v>FT</v>
      </c>
      <c r="G1113" s="41"/>
      <c r="H1113" s="41"/>
      <c r="I1113" s="41"/>
      <c r="J1113" s="41"/>
      <c r="K1113" s="41"/>
      <c r="L1113" s="41"/>
      <c r="M1113" s="41"/>
      <c r="N1113" s="41"/>
      <c r="O1113" s="41"/>
      <c r="P1113" s="41"/>
      <c r="Q1113" s="41"/>
      <c r="R1113" s="41"/>
      <c r="S1113" s="41"/>
      <c r="T1113" s="41"/>
      <c r="U1113" s="41"/>
      <c r="V1113" s="41"/>
      <c r="W1113" s="41"/>
      <c r="X1113" s="41"/>
      <c r="Y1113" s="41"/>
      <c r="Z1113" s="41"/>
      <c r="AA1113" s="41"/>
      <c r="AB1113" s="41"/>
      <c r="AC1113" s="41"/>
      <c r="AD1113" s="41"/>
      <c r="AE1113" s="41"/>
      <c r="AF1113" s="41"/>
      <c r="AG1113" s="41"/>
      <c r="AH1113" s="41"/>
      <c r="AI1113" s="41"/>
      <c r="AJ1113" s="41"/>
      <c r="AK1113" s="41"/>
      <c r="AL1113" s="41"/>
      <c r="AM1113" s="41"/>
      <c r="AN1113" s="41"/>
      <c r="AO1113" s="41"/>
      <c r="AP1113" s="41"/>
      <c r="AQ1113" s="41"/>
      <c r="AR1113" s="41"/>
      <c r="AS1113" s="41"/>
      <c r="AT1113" s="41"/>
      <c r="AU1113" s="41"/>
      <c r="AV1113" s="41"/>
      <c r="AW1113" s="41"/>
      <c r="AX1113" s="41"/>
      <c r="AY1113" s="41"/>
      <c r="AZ1113" s="41"/>
      <c r="BA1113" s="41"/>
      <c r="BB1113" s="41"/>
      <c r="BC1113" s="41"/>
      <c r="BD1113" s="41"/>
      <c r="BE1113" s="41"/>
      <c r="BF1113" s="41"/>
      <c r="BG1113" s="41"/>
      <c r="BH1113" s="41"/>
      <c r="BJ1113" s="41"/>
      <c r="BK1113" s="41"/>
      <c r="BL1113" s="41"/>
      <c r="BM1113" s="41"/>
      <c r="BN1113" s="41"/>
      <c r="BO1113" s="41"/>
      <c r="BP1113" s="41"/>
      <c r="BQ1113" s="41">
        <v>0.1</v>
      </c>
      <c r="BR1113" s="41"/>
      <c r="BS1113" s="41"/>
      <c r="BT1113" s="41"/>
      <c r="BU1113" s="41"/>
      <c r="BV1113" s="41">
        <v>0.1</v>
      </c>
      <c r="BW1113" s="41"/>
      <c r="BX1113" s="41"/>
      <c r="BY1113" s="41"/>
      <c r="BZ1113" s="41"/>
      <c r="CA1113" s="41"/>
      <c r="CB1113" s="41"/>
      <c r="CC1113" s="41"/>
      <c r="CD1113" s="41">
        <v>0.05</v>
      </c>
      <c r="CE1113" s="41">
        <v>0.05</v>
      </c>
      <c r="CF1113" s="41"/>
      <c r="CG1113" s="41"/>
      <c r="CH1113" s="41"/>
      <c r="CI1113" s="41"/>
      <c r="CJ1113" s="41"/>
      <c r="CK1113" s="41">
        <v>0.3</v>
      </c>
      <c r="CL1113" s="41"/>
      <c r="CM1113" s="41"/>
      <c r="CN1113" s="41"/>
      <c r="CO1113" s="41"/>
      <c r="CP1113" s="41"/>
      <c r="CQ1113" s="41"/>
      <c r="CR1113" s="41"/>
      <c r="CS1113" s="41"/>
      <c r="CT1113" s="41"/>
      <c r="CU1113" s="41">
        <v>0.1</v>
      </c>
      <c r="CV1113" s="41"/>
      <c r="CW1113" s="41"/>
      <c r="CX1113" s="41"/>
      <c r="CY1113" s="41">
        <v>0.25</v>
      </c>
      <c r="CZ1113" s="41"/>
      <c r="DA1113" s="41"/>
      <c r="DB1113" s="41"/>
      <c r="DC1113" s="41"/>
      <c r="DD1113" s="41">
        <v>0.05</v>
      </c>
      <c r="DE1113" s="41"/>
      <c r="DF1113" s="41"/>
      <c r="DG1113" s="41"/>
      <c r="DH1113" s="41"/>
      <c r="DI1113" s="41"/>
      <c r="DJ1113" s="41"/>
      <c r="DK1113" s="41"/>
      <c r="DL1113" s="41"/>
      <c r="DM1113" s="41"/>
      <c r="DN1113" s="41"/>
      <c r="DO1113" s="41"/>
      <c r="DP1113" s="41"/>
      <c r="DQ1113" s="41"/>
      <c r="DR1113" s="41"/>
      <c r="DS1113" s="43"/>
      <c r="DT1113" s="44">
        <f t="shared" ref="DT1113:DT1114" si="1095">SUM(F1113:DR1113)</f>
        <v>1</v>
      </c>
    </row>
    <row r="1114" spans="2:124" s="13" customFormat="1">
      <c r="B1114" s="4">
        <f>'6.1Personnel List'!B1115</f>
        <v>1102</v>
      </c>
      <c r="C1114" s="45" t="s">
        <v>1328</v>
      </c>
      <c r="D1114" s="45" t="str">
        <f>'6.1Personnel List'!D1115</f>
        <v>Midwife II</v>
      </c>
      <c r="E1114" s="45" t="str">
        <f>'6.1Personnel List'!H1115</f>
        <v>FT</v>
      </c>
      <c r="G1114" s="41"/>
      <c r="H1114" s="41"/>
      <c r="I1114" s="41"/>
      <c r="J1114" s="41"/>
      <c r="K1114" s="41"/>
      <c r="L1114" s="41"/>
      <c r="M1114" s="41"/>
      <c r="N1114" s="41"/>
      <c r="O1114" s="41"/>
      <c r="P1114" s="41"/>
      <c r="Q1114" s="41"/>
      <c r="R1114" s="41"/>
      <c r="S1114" s="41"/>
      <c r="T1114" s="41"/>
      <c r="U1114" s="41"/>
      <c r="V1114" s="41"/>
      <c r="W1114" s="41"/>
      <c r="X1114" s="41"/>
      <c r="Y1114" s="41"/>
      <c r="Z1114" s="41"/>
      <c r="AA1114" s="41"/>
      <c r="AB1114" s="41"/>
      <c r="AC1114" s="41"/>
      <c r="AD1114" s="41"/>
      <c r="AE1114" s="41"/>
      <c r="AF1114" s="41"/>
      <c r="AG1114" s="41"/>
      <c r="AH1114" s="41"/>
      <c r="AI1114" s="41"/>
      <c r="AJ1114" s="41"/>
      <c r="AK1114" s="41"/>
      <c r="AL1114" s="41"/>
      <c r="AM1114" s="41"/>
      <c r="AN1114" s="41"/>
      <c r="AO1114" s="41"/>
      <c r="AP1114" s="41"/>
      <c r="AQ1114" s="41"/>
      <c r="AR1114" s="41"/>
      <c r="AS1114" s="41"/>
      <c r="AT1114" s="41"/>
      <c r="AU1114" s="41"/>
      <c r="AV1114" s="41"/>
      <c r="AW1114" s="41"/>
      <c r="AX1114" s="41"/>
      <c r="AY1114" s="41"/>
      <c r="AZ1114" s="41"/>
      <c r="BA1114" s="41"/>
      <c r="BB1114" s="41"/>
      <c r="BC1114" s="41"/>
      <c r="BD1114" s="41"/>
      <c r="BE1114" s="41"/>
      <c r="BF1114" s="41"/>
      <c r="BG1114" s="41"/>
      <c r="BH1114" s="41"/>
      <c r="BJ1114" s="41"/>
      <c r="BK1114" s="41"/>
      <c r="BL1114" s="41"/>
      <c r="BM1114" s="41"/>
      <c r="BN1114" s="41"/>
      <c r="BO1114" s="41"/>
      <c r="BP1114" s="41"/>
      <c r="BQ1114" s="41"/>
      <c r="BR1114" s="41"/>
      <c r="BS1114" s="41"/>
      <c r="BT1114" s="41"/>
      <c r="BU1114" s="41"/>
      <c r="BV1114" s="41"/>
      <c r="BW1114" s="41"/>
      <c r="BX1114" s="41"/>
      <c r="BY1114" s="41"/>
      <c r="BZ1114" s="41"/>
      <c r="CA1114" s="41"/>
      <c r="CB1114" s="41"/>
      <c r="CC1114" s="41"/>
      <c r="CD1114" s="41"/>
      <c r="CE1114" s="41"/>
      <c r="CF1114" s="41"/>
      <c r="CG1114" s="41"/>
      <c r="CH1114" s="41"/>
      <c r="CI1114" s="41"/>
      <c r="CJ1114" s="41"/>
      <c r="CK1114" s="41"/>
      <c r="CL1114" s="41"/>
      <c r="CM1114" s="41"/>
      <c r="CN1114" s="41"/>
      <c r="CO1114" s="41"/>
      <c r="CP1114" s="41"/>
      <c r="CQ1114" s="41"/>
      <c r="CR1114" s="41"/>
      <c r="CS1114" s="41"/>
      <c r="CT1114" s="41"/>
      <c r="CU1114" s="41">
        <v>0.5</v>
      </c>
      <c r="CV1114" s="41"/>
      <c r="CW1114" s="41"/>
      <c r="CX1114" s="41"/>
      <c r="CY1114" s="41">
        <v>0.5</v>
      </c>
      <c r="CZ1114" s="41"/>
      <c r="DA1114" s="41"/>
      <c r="DB1114" s="41"/>
      <c r="DC1114" s="41"/>
      <c r="DD1114" s="41"/>
      <c r="DE1114" s="41"/>
      <c r="DF1114" s="41"/>
      <c r="DG1114" s="41"/>
      <c r="DH1114" s="41"/>
      <c r="DI1114" s="41"/>
      <c r="DJ1114" s="41"/>
      <c r="DK1114" s="41"/>
      <c r="DL1114" s="41"/>
      <c r="DM1114" s="41"/>
      <c r="DN1114" s="41"/>
      <c r="DO1114" s="41"/>
      <c r="DP1114" s="41"/>
      <c r="DQ1114" s="41"/>
      <c r="DR1114" s="41"/>
      <c r="DS1114" s="43"/>
      <c r="DT1114" s="44">
        <f t="shared" si="1095"/>
        <v>1</v>
      </c>
    </row>
    <row r="1115" spans="2:124" s="13" customFormat="1">
      <c r="B1115" s="4">
        <f>'6.1Personnel List'!B1116</f>
        <v>1103</v>
      </c>
      <c r="C1115" s="45" t="s">
        <v>1329</v>
      </c>
      <c r="D1115" s="45" t="str">
        <f>'6.1Personnel List'!D1116</f>
        <v>Midwife II</v>
      </c>
      <c r="E1115" s="45" t="str">
        <f>'6.1Personnel List'!H1116</f>
        <v>FT</v>
      </c>
      <c r="G1115" s="41"/>
      <c r="H1115" s="41"/>
      <c r="I1115" s="41"/>
      <c r="J1115" s="41"/>
      <c r="K1115" s="41"/>
      <c r="L1115" s="41"/>
      <c r="M1115" s="41"/>
      <c r="N1115" s="41"/>
      <c r="O1115" s="41"/>
      <c r="P1115" s="41"/>
      <c r="Q1115" s="41"/>
      <c r="R1115" s="41"/>
      <c r="S1115" s="41"/>
      <c r="T1115" s="41"/>
      <c r="U1115" s="41"/>
      <c r="V1115" s="41"/>
      <c r="W1115" s="41"/>
      <c r="X1115" s="41"/>
      <c r="Y1115" s="41"/>
      <c r="Z1115" s="41"/>
      <c r="AA1115" s="41"/>
      <c r="AB1115" s="41"/>
      <c r="AC1115" s="41"/>
      <c r="AD1115" s="41"/>
      <c r="AE1115" s="41"/>
      <c r="AF1115" s="41"/>
      <c r="AG1115" s="41"/>
      <c r="AH1115" s="41"/>
      <c r="AI1115" s="41"/>
      <c r="AJ1115" s="41"/>
      <c r="AK1115" s="41"/>
      <c r="AL1115" s="41"/>
      <c r="AM1115" s="41"/>
      <c r="AN1115" s="41"/>
      <c r="AO1115" s="41"/>
      <c r="AP1115" s="41"/>
      <c r="AQ1115" s="41"/>
      <c r="AR1115" s="41"/>
      <c r="AS1115" s="41"/>
      <c r="AT1115" s="41"/>
      <c r="AU1115" s="41"/>
      <c r="AV1115" s="41"/>
      <c r="AW1115" s="41"/>
      <c r="AX1115" s="41"/>
      <c r="AY1115" s="41"/>
      <c r="AZ1115" s="41"/>
      <c r="BA1115" s="41"/>
      <c r="BB1115" s="41"/>
      <c r="BC1115" s="41"/>
      <c r="BD1115" s="41"/>
      <c r="BE1115" s="41"/>
      <c r="BF1115" s="41"/>
      <c r="BG1115" s="41"/>
      <c r="BH1115" s="41"/>
      <c r="BJ1115" s="41"/>
      <c r="BK1115" s="41"/>
      <c r="BL1115" s="41"/>
      <c r="BM1115" s="41"/>
      <c r="BN1115" s="41"/>
      <c r="BO1115" s="41"/>
      <c r="BP1115" s="41"/>
      <c r="BQ1115" s="41"/>
      <c r="BR1115" s="41"/>
      <c r="BS1115" s="41"/>
      <c r="BT1115" s="41"/>
      <c r="BU1115" s="41">
        <v>1</v>
      </c>
      <c r="BV1115" s="41"/>
      <c r="BW1115" s="41"/>
      <c r="BX1115" s="41"/>
      <c r="BY1115" s="41"/>
      <c r="BZ1115" s="41"/>
      <c r="CA1115" s="41"/>
      <c r="CB1115" s="41"/>
      <c r="CC1115" s="41"/>
      <c r="CD1115" s="41"/>
      <c r="CE1115" s="41"/>
      <c r="CF1115" s="41"/>
      <c r="CG1115" s="41"/>
      <c r="CH1115" s="41"/>
      <c r="CI1115" s="41"/>
      <c r="CJ1115" s="41"/>
      <c r="CK1115" s="41"/>
      <c r="CL1115" s="41"/>
      <c r="CM1115" s="41"/>
      <c r="CN1115" s="41"/>
      <c r="CO1115" s="41"/>
      <c r="CP1115" s="41"/>
      <c r="CQ1115" s="41"/>
      <c r="CR1115" s="41"/>
      <c r="CS1115" s="41"/>
      <c r="CT1115" s="41"/>
      <c r="CU1115" s="41"/>
      <c r="CV1115" s="41"/>
      <c r="CW1115" s="41"/>
      <c r="CX1115" s="41"/>
      <c r="CY1115" s="41"/>
      <c r="CZ1115" s="41"/>
      <c r="DA1115" s="41"/>
      <c r="DB1115" s="41"/>
      <c r="DC1115" s="41"/>
      <c r="DD1115" s="41"/>
      <c r="DE1115" s="41"/>
      <c r="DF1115" s="41"/>
      <c r="DG1115" s="41"/>
      <c r="DH1115" s="41"/>
      <c r="DI1115" s="41"/>
      <c r="DJ1115" s="41"/>
      <c r="DK1115" s="41"/>
      <c r="DL1115" s="41"/>
      <c r="DM1115" s="41"/>
      <c r="DN1115" s="41"/>
      <c r="DO1115" s="41"/>
      <c r="DP1115" s="41"/>
      <c r="DQ1115" s="41"/>
      <c r="DR1115" s="41"/>
      <c r="DS1115" s="43"/>
      <c r="DT1115" s="44">
        <f t="shared" ref="DT1115" si="1096">SUM(F1115:DR1115)</f>
        <v>1</v>
      </c>
    </row>
    <row r="1116" spans="2:124" s="13" customFormat="1">
      <c r="B1116" s="4">
        <f>'6.1Personnel List'!B1117</f>
        <v>1104</v>
      </c>
      <c r="C1116" s="45" t="s">
        <v>1330</v>
      </c>
      <c r="D1116" s="45" t="str">
        <f>'6.1Personnel List'!D1117</f>
        <v>Midwife II</v>
      </c>
      <c r="E1116" s="45" t="str">
        <f>'6.1Personnel List'!H1117</f>
        <v>FT</v>
      </c>
      <c r="G1116" s="41"/>
      <c r="H1116" s="41"/>
      <c r="I1116" s="41"/>
      <c r="J1116" s="41"/>
      <c r="K1116" s="41"/>
      <c r="L1116" s="41"/>
      <c r="M1116" s="41"/>
      <c r="N1116" s="41"/>
      <c r="O1116" s="41"/>
      <c r="P1116" s="41"/>
      <c r="Q1116" s="41"/>
      <c r="R1116" s="41"/>
      <c r="S1116" s="41"/>
      <c r="T1116" s="41"/>
      <c r="U1116" s="41"/>
      <c r="V1116" s="41"/>
      <c r="W1116" s="41"/>
      <c r="X1116" s="41"/>
      <c r="Y1116" s="41"/>
      <c r="Z1116" s="41"/>
      <c r="AA1116" s="41"/>
      <c r="AB1116" s="41"/>
      <c r="AC1116" s="41"/>
      <c r="AD1116" s="41"/>
      <c r="AE1116" s="41"/>
      <c r="AF1116" s="41"/>
      <c r="AG1116" s="41"/>
      <c r="AH1116" s="41"/>
      <c r="AI1116" s="41"/>
      <c r="AJ1116" s="41"/>
      <c r="AK1116" s="41"/>
      <c r="AL1116" s="41"/>
      <c r="AM1116" s="41"/>
      <c r="AN1116" s="41"/>
      <c r="AO1116" s="41"/>
      <c r="AP1116" s="41"/>
      <c r="AQ1116" s="41"/>
      <c r="AR1116" s="41"/>
      <c r="AS1116" s="41"/>
      <c r="AT1116" s="41"/>
      <c r="AU1116" s="41"/>
      <c r="AV1116" s="41"/>
      <c r="AW1116" s="41"/>
      <c r="AX1116" s="41"/>
      <c r="AY1116" s="41"/>
      <c r="AZ1116" s="41"/>
      <c r="BA1116" s="41"/>
      <c r="BB1116" s="41"/>
      <c r="BC1116" s="41"/>
      <c r="BD1116" s="41"/>
      <c r="BE1116" s="41"/>
      <c r="BF1116" s="41"/>
      <c r="BG1116" s="41"/>
      <c r="BH1116" s="41"/>
      <c r="BJ1116" s="41"/>
      <c r="BK1116" s="41"/>
      <c r="BL1116" s="41"/>
      <c r="BM1116" s="41"/>
      <c r="BN1116" s="41"/>
      <c r="BO1116" s="41"/>
      <c r="BP1116" s="41"/>
      <c r="BQ1116" s="41">
        <v>0.1</v>
      </c>
      <c r="BR1116" s="41"/>
      <c r="BS1116" s="41"/>
      <c r="BT1116" s="41"/>
      <c r="BU1116" s="41"/>
      <c r="BV1116" s="41">
        <v>0.1</v>
      </c>
      <c r="BW1116" s="41"/>
      <c r="BX1116" s="41"/>
      <c r="BY1116" s="41"/>
      <c r="BZ1116" s="41"/>
      <c r="CA1116" s="41"/>
      <c r="CB1116" s="41"/>
      <c r="CC1116" s="41"/>
      <c r="CD1116" s="41">
        <v>0.05</v>
      </c>
      <c r="CE1116" s="41">
        <v>0.05</v>
      </c>
      <c r="CF1116" s="41"/>
      <c r="CG1116" s="41"/>
      <c r="CH1116" s="41"/>
      <c r="CI1116" s="41"/>
      <c r="CJ1116" s="41"/>
      <c r="CK1116" s="41">
        <v>0.3</v>
      </c>
      <c r="CL1116" s="41"/>
      <c r="CM1116" s="41"/>
      <c r="CN1116" s="41"/>
      <c r="CO1116" s="41"/>
      <c r="CP1116" s="41"/>
      <c r="CQ1116" s="41"/>
      <c r="CR1116" s="41"/>
      <c r="CS1116" s="41"/>
      <c r="CT1116" s="41"/>
      <c r="CU1116" s="41">
        <v>0.1</v>
      </c>
      <c r="CV1116" s="41"/>
      <c r="CW1116" s="41"/>
      <c r="CX1116" s="41"/>
      <c r="CY1116" s="41">
        <v>0.25</v>
      </c>
      <c r="CZ1116" s="41"/>
      <c r="DA1116" s="41"/>
      <c r="DB1116" s="41"/>
      <c r="DC1116" s="41"/>
      <c r="DD1116" s="41">
        <v>0.05</v>
      </c>
      <c r="DE1116" s="41"/>
      <c r="DF1116" s="41"/>
      <c r="DG1116" s="41"/>
      <c r="DH1116" s="41"/>
      <c r="DI1116" s="41"/>
      <c r="DJ1116" s="41"/>
      <c r="DK1116" s="41"/>
      <c r="DL1116" s="41"/>
      <c r="DM1116" s="41"/>
      <c r="DN1116" s="41"/>
      <c r="DO1116" s="41"/>
      <c r="DP1116" s="41"/>
      <c r="DQ1116" s="41"/>
      <c r="DR1116" s="41"/>
      <c r="DS1116" s="43"/>
      <c r="DT1116" s="44">
        <f t="shared" ref="DT1116" si="1097">SUM(F1116:DR1116)</f>
        <v>1</v>
      </c>
    </row>
    <row r="1117" spans="2:124" s="13" customFormat="1">
      <c r="B1117" s="4">
        <f>'6.1Personnel List'!B1118</f>
        <v>1105</v>
      </c>
      <c r="C1117" s="45" t="s">
        <v>1331</v>
      </c>
      <c r="D1117" s="45" t="str">
        <f>'6.1Personnel List'!D1118</f>
        <v>Midwife II</v>
      </c>
      <c r="E1117" s="45" t="str">
        <f>'6.1Personnel List'!H1118</f>
        <v>FT</v>
      </c>
      <c r="G1117" s="41"/>
      <c r="H1117" s="41"/>
      <c r="I1117" s="41"/>
      <c r="J1117" s="41"/>
      <c r="K1117" s="41"/>
      <c r="L1117" s="41"/>
      <c r="M1117" s="41"/>
      <c r="N1117" s="41"/>
      <c r="O1117" s="41"/>
      <c r="P1117" s="41"/>
      <c r="Q1117" s="41"/>
      <c r="R1117" s="41"/>
      <c r="S1117" s="41"/>
      <c r="T1117" s="41"/>
      <c r="U1117" s="41"/>
      <c r="V1117" s="41"/>
      <c r="W1117" s="41"/>
      <c r="X1117" s="41"/>
      <c r="Y1117" s="41"/>
      <c r="Z1117" s="41"/>
      <c r="AA1117" s="41"/>
      <c r="AB1117" s="41"/>
      <c r="AC1117" s="41"/>
      <c r="AD1117" s="41"/>
      <c r="AE1117" s="41"/>
      <c r="AF1117" s="41"/>
      <c r="AG1117" s="41"/>
      <c r="AH1117" s="41"/>
      <c r="AI1117" s="41"/>
      <c r="AJ1117" s="41"/>
      <c r="AK1117" s="41"/>
      <c r="AL1117" s="41"/>
      <c r="AM1117" s="41"/>
      <c r="AN1117" s="41"/>
      <c r="AO1117" s="41"/>
      <c r="AP1117" s="41"/>
      <c r="AQ1117" s="41"/>
      <c r="AR1117" s="41"/>
      <c r="AS1117" s="41"/>
      <c r="AT1117" s="41"/>
      <c r="AU1117" s="41"/>
      <c r="AV1117" s="41"/>
      <c r="AW1117" s="41"/>
      <c r="AX1117" s="41"/>
      <c r="AY1117" s="41"/>
      <c r="AZ1117" s="41"/>
      <c r="BA1117" s="41"/>
      <c r="BB1117" s="41"/>
      <c r="BC1117" s="41"/>
      <c r="BD1117" s="41"/>
      <c r="BE1117" s="41"/>
      <c r="BF1117" s="41"/>
      <c r="BG1117" s="41"/>
      <c r="BH1117" s="41"/>
      <c r="BJ1117" s="41"/>
      <c r="BK1117" s="41"/>
      <c r="BL1117" s="41"/>
      <c r="BM1117" s="41"/>
      <c r="BN1117" s="41"/>
      <c r="BO1117" s="41"/>
      <c r="BP1117" s="41"/>
      <c r="BQ1117" s="41">
        <v>0.1</v>
      </c>
      <c r="BR1117" s="41"/>
      <c r="BS1117" s="41"/>
      <c r="BT1117" s="41"/>
      <c r="BU1117" s="41"/>
      <c r="BV1117" s="41">
        <v>0.1</v>
      </c>
      <c r="BW1117" s="41"/>
      <c r="BX1117" s="41"/>
      <c r="BY1117" s="41"/>
      <c r="BZ1117" s="41"/>
      <c r="CA1117" s="41"/>
      <c r="CB1117" s="41"/>
      <c r="CC1117" s="41"/>
      <c r="CD1117" s="41">
        <v>0.05</v>
      </c>
      <c r="CE1117" s="41">
        <v>0.05</v>
      </c>
      <c r="CF1117" s="41"/>
      <c r="CG1117" s="41"/>
      <c r="CH1117" s="41"/>
      <c r="CI1117" s="41"/>
      <c r="CJ1117" s="41"/>
      <c r="CK1117" s="41">
        <v>0.3</v>
      </c>
      <c r="CL1117" s="41"/>
      <c r="CM1117" s="41"/>
      <c r="CN1117" s="41"/>
      <c r="CO1117" s="41"/>
      <c r="CP1117" s="41"/>
      <c r="CQ1117" s="41"/>
      <c r="CR1117" s="41"/>
      <c r="CS1117" s="41"/>
      <c r="CT1117" s="41"/>
      <c r="CU1117" s="41">
        <v>0.1</v>
      </c>
      <c r="CV1117" s="41"/>
      <c r="CW1117" s="41"/>
      <c r="CX1117" s="41"/>
      <c r="CY1117" s="41">
        <v>0.25</v>
      </c>
      <c r="CZ1117" s="41"/>
      <c r="DA1117" s="41"/>
      <c r="DB1117" s="41"/>
      <c r="DC1117" s="41"/>
      <c r="DD1117" s="41">
        <v>0.05</v>
      </c>
      <c r="DE1117" s="41"/>
      <c r="DF1117" s="41"/>
      <c r="DG1117" s="41"/>
      <c r="DH1117" s="41"/>
      <c r="DI1117" s="41"/>
      <c r="DJ1117" s="41"/>
      <c r="DK1117" s="41"/>
      <c r="DL1117" s="41"/>
      <c r="DM1117" s="41"/>
      <c r="DN1117" s="41"/>
      <c r="DO1117" s="41"/>
      <c r="DP1117" s="41"/>
      <c r="DQ1117" s="41"/>
      <c r="DR1117" s="41"/>
      <c r="DS1117" s="43"/>
      <c r="DT1117" s="44">
        <f t="shared" ref="DT1117" si="1098">SUM(F1117:DR1117)</f>
        <v>1</v>
      </c>
    </row>
    <row r="1118" spans="2:124" s="13" customFormat="1">
      <c r="B1118" s="4">
        <f>'6.1Personnel List'!B1119</f>
        <v>1106</v>
      </c>
      <c r="C1118" s="45" t="s">
        <v>1332</v>
      </c>
      <c r="D1118" s="45" t="str">
        <f>'6.1Personnel List'!D1119</f>
        <v>Midwife II</v>
      </c>
      <c r="E1118" s="45" t="str">
        <f>'6.1Personnel List'!H1119</f>
        <v>FT</v>
      </c>
      <c r="G1118" s="41"/>
      <c r="H1118" s="41"/>
      <c r="I1118" s="41"/>
      <c r="J1118" s="41"/>
      <c r="K1118" s="41"/>
      <c r="L1118" s="41"/>
      <c r="M1118" s="41"/>
      <c r="N1118" s="41"/>
      <c r="O1118" s="41"/>
      <c r="P1118" s="41"/>
      <c r="Q1118" s="41"/>
      <c r="R1118" s="41"/>
      <c r="S1118" s="41"/>
      <c r="T1118" s="41"/>
      <c r="U1118" s="41"/>
      <c r="V1118" s="41"/>
      <c r="W1118" s="41"/>
      <c r="X1118" s="41"/>
      <c r="Y1118" s="41"/>
      <c r="Z1118" s="41"/>
      <c r="AA1118" s="41"/>
      <c r="AB1118" s="41"/>
      <c r="AC1118" s="41"/>
      <c r="AD1118" s="41"/>
      <c r="AE1118" s="41"/>
      <c r="AF1118" s="41"/>
      <c r="AG1118" s="41"/>
      <c r="AH1118" s="41"/>
      <c r="AI1118" s="41"/>
      <c r="AJ1118" s="41"/>
      <c r="AK1118" s="41"/>
      <c r="AL1118" s="41"/>
      <c r="AM1118" s="41"/>
      <c r="AN1118" s="41"/>
      <c r="AO1118" s="41"/>
      <c r="AP1118" s="41"/>
      <c r="AQ1118" s="41"/>
      <c r="AR1118" s="41"/>
      <c r="AS1118" s="41"/>
      <c r="AT1118" s="41"/>
      <c r="AU1118" s="41"/>
      <c r="AV1118" s="41"/>
      <c r="AW1118" s="41"/>
      <c r="AX1118" s="41"/>
      <c r="AY1118" s="41"/>
      <c r="AZ1118" s="41"/>
      <c r="BA1118" s="41"/>
      <c r="BB1118" s="41"/>
      <c r="BC1118" s="41"/>
      <c r="BD1118" s="41"/>
      <c r="BE1118" s="41"/>
      <c r="BF1118" s="41"/>
      <c r="BG1118" s="41"/>
      <c r="BH1118" s="41"/>
      <c r="BJ1118" s="41"/>
      <c r="BK1118" s="41"/>
      <c r="BL1118" s="41"/>
      <c r="BM1118" s="41"/>
      <c r="BN1118" s="41"/>
      <c r="BO1118" s="41"/>
      <c r="BP1118" s="41"/>
      <c r="BQ1118" s="41">
        <v>0.1</v>
      </c>
      <c r="BR1118" s="41"/>
      <c r="BS1118" s="41"/>
      <c r="BT1118" s="41"/>
      <c r="BU1118" s="41"/>
      <c r="BV1118" s="41">
        <v>0.1</v>
      </c>
      <c r="BW1118" s="41"/>
      <c r="BX1118" s="41"/>
      <c r="BY1118" s="41"/>
      <c r="BZ1118" s="41"/>
      <c r="CA1118" s="41"/>
      <c r="CB1118" s="41"/>
      <c r="CC1118" s="41"/>
      <c r="CD1118" s="41">
        <v>0.05</v>
      </c>
      <c r="CE1118" s="41">
        <v>0.05</v>
      </c>
      <c r="CF1118" s="41"/>
      <c r="CG1118" s="41"/>
      <c r="CH1118" s="41"/>
      <c r="CI1118" s="41"/>
      <c r="CJ1118" s="41"/>
      <c r="CK1118" s="41">
        <v>0.3</v>
      </c>
      <c r="CL1118" s="41"/>
      <c r="CM1118" s="41"/>
      <c r="CN1118" s="41"/>
      <c r="CO1118" s="41"/>
      <c r="CP1118" s="41"/>
      <c r="CQ1118" s="41"/>
      <c r="CR1118" s="41"/>
      <c r="CS1118" s="41"/>
      <c r="CT1118" s="41"/>
      <c r="CU1118" s="41">
        <v>0.1</v>
      </c>
      <c r="CV1118" s="41"/>
      <c r="CW1118" s="41"/>
      <c r="CX1118" s="41"/>
      <c r="CY1118" s="41">
        <v>0.25</v>
      </c>
      <c r="CZ1118" s="41"/>
      <c r="DA1118" s="41"/>
      <c r="DB1118" s="41"/>
      <c r="DC1118" s="41"/>
      <c r="DD1118" s="41">
        <v>0.05</v>
      </c>
      <c r="DE1118" s="41"/>
      <c r="DF1118" s="41"/>
      <c r="DG1118" s="41"/>
      <c r="DH1118" s="41"/>
      <c r="DI1118" s="41"/>
      <c r="DJ1118" s="41"/>
      <c r="DK1118" s="41"/>
      <c r="DL1118" s="41"/>
      <c r="DM1118" s="41"/>
      <c r="DN1118" s="41"/>
      <c r="DO1118" s="41"/>
      <c r="DP1118" s="41"/>
      <c r="DQ1118" s="41"/>
      <c r="DR1118" s="41"/>
      <c r="DS1118" s="43"/>
      <c r="DT1118" s="44">
        <f t="shared" ref="DT1118" si="1099">SUM(F1118:DR1118)</f>
        <v>1</v>
      </c>
    </row>
    <row r="1119" spans="2:124" s="13" customFormat="1">
      <c r="B1119" s="4">
        <f>'6.1Personnel List'!B1120</f>
        <v>1107</v>
      </c>
      <c r="C1119" s="45" t="s">
        <v>1333</v>
      </c>
      <c r="D1119" s="45" t="str">
        <f>'6.1Personnel List'!D1120</f>
        <v>Midwife II</v>
      </c>
      <c r="E1119" s="45" t="str">
        <f>'6.1Personnel List'!H1120</f>
        <v>FT</v>
      </c>
      <c r="G1119" s="41"/>
      <c r="H1119" s="41"/>
      <c r="I1119" s="41"/>
      <c r="J1119" s="41"/>
      <c r="K1119" s="41"/>
      <c r="L1119" s="41"/>
      <c r="M1119" s="41"/>
      <c r="N1119" s="41"/>
      <c r="O1119" s="41"/>
      <c r="P1119" s="41"/>
      <c r="Q1119" s="41"/>
      <c r="R1119" s="41"/>
      <c r="S1119" s="41"/>
      <c r="T1119" s="41"/>
      <c r="U1119" s="41"/>
      <c r="V1119" s="41"/>
      <c r="W1119" s="41"/>
      <c r="X1119" s="41"/>
      <c r="Y1119" s="41"/>
      <c r="Z1119" s="41"/>
      <c r="AA1119" s="41"/>
      <c r="AB1119" s="41"/>
      <c r="AC1119" s="41"/>
      <c r="AD1119" s="41"/>
      <c r="AE1119" s="41"/>
      <c r="AF1119" s="41"/>
      <c r="AG1119" s="41"/>
      <c r="AH1119" s="41"/>
      <c r="AI1119" s="41"/>
      <c r="AJ1119" s="41"/>
      <c r="AK1119" s="41"/>
      <c r="AL1119" s="41"/>
      <c r="AM1119" s="41"/>
      <c r="AN1119" s="41"/>
      <c r="AO1119" s="41"/>
      <c r="AP1119" s="41"/>
      <c r="AQ1119" s="41"/>
      <c r="AR1119" s="41"/>
      <c r="AS1119" s="41"/>
      <c r="AT1119" s="41"/>
      <c r="AU1119" s="41"/>
      <c r="AV1119" s="41"/>
      <c r="AW1119" s="41"/>
      <c r="AX1119" s="41"/>
      <c r="AY1119" s="41"/>
      <c r="AZ1119" s="41"/>
      <c r="BA1119" s="41"/>
      <c r="BB1119" s="41"/>
      <c r="BC1119" s="41"/>
      <c r="BD1119" s="41"/>
      <c r="BE1119" s="41"/>
      <c r="BF1119" s="41"/>
      <c r="BG1119" s="41"/>
      <c r="BH1119" s="41"/>
      <c r="BJ1119" s="41"/>
      <c r="BK1119" s="41"/>
      <c r="BL1119" s="41"/>
      <c r="BM1119" s="41"/>
      <c r="BN1119" s="41"/>
      <c r="BO1119" s="41"/>
      <c r="BP1119" s="41"/>
      <c r="BQ1119" s="41">
        <v>0.1</v>
      </c>
      <c r="BR1119" s="41"/>
      <c r="BS1119" s="41"/>
      <c r="BT1119" s="41"/>
      <c r="BU1119" s="41"/>
      <c r="BV1119" s="41">
        <v>0.1</v>
      </c>
      <c r="BW1119" s="41"/>
      <c r="BX1119" s="41"/>
      <c r="BY1119" s="41"/>
      <c r="BZ1119" s="41"/>
      <c r="CA1119" s="41"/>
      <c r="CB1119" s="41"/>
      <c r="CC1119" s="41"/>
      <c r="CD1119" s="41">
        <v>0.05</v>
      </c>
      <c r="CE1119" s="41">
        <v>0.05</v>
      </c>
      <c r="CF1119" s="41"/>
      <c r="CG1119" s="41"/>
      <c r="CH1119" s="41"/>
      <c r="CI1119" s="41"/>
      <c r="CJ1119" s="41"/>
      <c r="CK1119" s="41">
        <v>0.3</v>
      </c>
      <c r="CL1119" s="41"/>
      <c r="CM1119" s="41"/>
      <c r="CN1119" s="41"/>
      <c r="CO1119" s="41"/>
      <c r="CP1119" s="41"/>
      <c r="CQ1119" s="41"/>
      <c r="CR1119" s="41"/>
      <c r="CS1119" s="41"/>
      <c r="CT1119" s="41"/>
      <c r="CU1119" s="41">
        <v>0.1</v>
      </c>
      <c r="CV1119" s="41"/>
      <c r="CW1119" s="41"/>
      <c r="CX1119" s="41"/>
      <c r="CY1119" s="41">
        <v>0.25</v>
      </c>
      <c r="CZ1119" s="41"/>
      <c r="DA1119" s="41"/>
      <c r="DB1119" s="41"/>
      <c r="DC1119" s="41"/>
      <c r="DD1119" s="41">
        <v>0.05</v>
      </c>
      <c r="DE1119" s="41"/>
      <c r="DF1119" s="41"/>
      <c r="DG1119" s="41"/>
      <c r="DH1119" s="41"/>
      <c r="DI1119" s="41"/>
      <c r="DJ1119" s="41"/>
      <c r="DK1119" s="41"/>
      <c r="DL1119" s="41"/>
      <c r="DM1119" s="41"/>
      <c r="DN1119" s="41"/>
      <c r="DO1119" s="41"/>
      <c r="DP1119" s="41"/>
      <c r="DQ1119" s="41"/>
      <c r="DR1119" s="41"/>
      <c r="DS1119" s="43"/>
      <c r="DT1119" s="44">
        <f t="shared" ref="DT1119" si="1100">SUM(F1119:DR1119)</f>
        <v>1</v>
      </c>
    </row>
    <row r="1120" spans="2:124" s="13" customFormat="1">
      <c r="B1120" s="4">
        <f>'6.1Personnel List'!B1121</f>
        <v>1108</v>
      </c>
      <c r="C1120" s="45" t="s">
        <v>1334</v>
      </c>
      <c r="D1120" s="45" t="str">
        <f>'6.1Personnel List'!D1121</f>
        <v>Midwife II</v>
      </c>
      <c r="E1120" s="45" t="str">
        <f>'6.1Personnel List'!H1121</f>
        <v>FT</v>
      </c>
      <c r="G1120" s="41"/>
      <c r="H1120" s="41"/>
      <c r="I1120" s="41"/>
      <c r="J1120" s="41"/>
      <c r="K1120" s="41"/>
      <c r="L1120" s="41"/>
      <c r="M1120" s="41"/>
      <c r="N1120" s="41"/>
      <c r="O1120" s="41"/>
      <c r="P1120" s="41"/>
      <c r="Q1120" s="41"/>
      <c r="R1120" s="41"/>
      <c r="S1120" s="41"/>
      <c r="T1120" s="41"/>
      <c r="U1120" s="41"/>
      <c r="V1120" s="41"/>
      <c r="W1120" s="41"/>
      <c r="X1120" s="41"/>
      <c r="Y1120" s="41"/>
      <c r="Z1120" s="41"/>
      <c r="AA1120" s="41"/>
      <c r="AB1120" s="41"/>
      <c r="AC1120" s="41"/>
      <c r="AD1120" s="41"/>
      <c r="AE1120" s="41"/>
      <c r="AF1120" s="41"/>
      <c r="AG1120" s="41"/>
      <c r="AH1120" s="41"/>
      <c r="AI1120" s="41"/>
      <c r="AJ1120" s="41"/>
      <c r="AK1120" s="41"/>
      <c r="AL1120" s="41"/>
      <c r="AM1120" s="41"/>
      <c r="AN1120" s="41"/>
      <c r="AO1120" s="41"/>
      <c r="AP1120" s="41"/>
      <c r="AQ1120" s="41"/>
      <c r="AR1120" s="41"/>
      <c r="AS1120" s="41"/>
      <c r="AT1120" s="41"/>
      <c r="AU1120" s="41"/>
      <c r="AV1120" s="41"/>
      <c r="AW1120" s="41"/>
      <c r="AX1120" s="41"/>
      <c r="AY1120" s="41"/>
      <c r="AZ1120" s="41"/>
      <c r="BA1120" s="41"/>
      <c r="BB1120" s="41"/>
      <c r="BC1120" s="41"/>
      <c r="BD1120" s="41"/>
      <c r="BE1120" s="41"/>
      <c r="BF1120" s="41"/>
      <c r="BG1120" s="41"/>
      <c r="BH1120" s="41"/>
      <c r="BJ1120" s="41"/>
      <c r="BK1120" s="41"/>
      <c r="BL1120" s="41"/>
      <c r="BM1120" s="41"/>
      <c r="BN1120" s="41"/>
      <c r="BO1120" s="41"/>
      <c r="BP1120" s="41"/>
      <c r="BQ1120" s="41"/>
      <c r="BR1120" s="41"/>
      <c r="BS1120" s="41"/>
      <c r="BT1120" s="41"/>
      <c r="BU1120" s="41"/>
      <c r="BV1120" s="41"/>
      <c r="BW1120" s="41"/>
      <c r="BX1120" s="41"/>
      <c r="BY1120" s="41"/>
      <c r="BZ1120" s="41"/>
      <c r="CA1120" s="41">
        <v>1</v>
      </c>
      <c r="CB1120" s="41"/>
      <c r="CC1120" s="41"/>
      <c r="CD1120" s="41"/>
      <c r="CE1120" s="41"/>
      <c r="CF1120" s="41"/>
      <c r="CG1120" s="41"/>
      <c r="CH1120" s="41"/>
      <c r="CI1120" s="41"/>
      <c r="CJ1120" s="41"/>
      <c r="CK1120" s="41"/>
      <c r="CL1120" s="41"/>
      <c r="CM1120" s="41"/>
      <c r="CN1120" s="41"/>
      <c r="CO1120" s="41"/>
      <c r="CP1120" s="41"/>
      <c r="CQ1120" s="41"/>
      <c r="CR1120" s="41"/>
      <c r="CS1120" s="41"/>
      <c r="CT1120" s="41"/>
      <c r="CU1120" s="41"/>
      <c r="CV1120" s="41"/>
      <c r="CW1120" s="41"/>
      <c r="CX1120" s="41"/>
      <c r="CY1120" s="41"/>
      <c r="CZ1120" s="41"/>
      <c r="DA1120" s="41"/>
      <c r="DB1120" s="41"/>
      <c r="DC1120" s="41"/>
      <c r="DD1120" s="41"/>
      <c r="DE1120" s="41"/>
      <c r="DF1120" s="41"/>
      <c r="DG1120" s="41"/>
      <c r="DH1120" s="41"/>
      <c r="DI1120" s="41"/>
      <c r="DJ1120" s="41"/>
      <c r="DK1120" s="41"/>
      <c r="DL1120" s="41"/>
      <c r="DM1120" s="41"/>
      <c r="DN1120" s="41"/>
      <c r="DO1120" s="41"/>
      <c r="DP1120" s="41"/>
      <c r="DQ1120" s="41"/>
      <c r="DR1120" s="41"/>
      <c r="DS1120" s="43"/>
      <c r="DT1120" s="44">
        <f t="shared" ref="DT1120" si="1101">SUM(F1120:DR1120)</f>
        <v>1</v>
      </c>
    </row>
    <row r="1121" spans="2:124" s="13" customFormat="1">
      <c r="B1121" s="4">
        <f>'6.1Personnel List'!B1122</f>
        <v>1109</v>
      </c>
      <c r="C1121" s="45" t="s">
        <v>1335</v>
      </c>
      <c r="D1121" s="45" t="str">
        <f>'6.1Personnel List'!D1122</f>
        <v>Midwife II</v>
      </c>
      <c r="E1121" s="45" t="str">
        <f>'6.1Personnel List'!H1122</f>
        <v>FT</v>
      </c>
      <c r="G1121" s="41"/>
      <c r="H1121" s="41"/>
      <c r="I1121" s="41"/>
      <c r="J1121" s="41"/>
      <c r="K1121" s="41"/>
      <c r="L1121" s="41"/>
      <c r="M1121" s="41"/>
      <c r="N1121" s="41"/>
      <c r="O1121" s="41"/>
      <c r="P1121" s="41"/>
      <c r="Q1121" s="41"/>
      <c r="R1121" s="41"/>
      <c r="S1121" s="41"/>
      <c r="T1121" s="41"/>
      <c r="U1121" s="41"/>
      <c r="V1121" s="41"/>
      <c r="W1121" s="41"/>
      <c r="X1121" s="41"/>
      <c r="Y1121" s="41"/>
      <c r="Z1121" s="41"/>
      <c r="AA1121" s="41"/>
      <c r="AB1121" s="41"/>
      <c r="AC1121" s="41"/>
      <c r="AD1121" s="41"/>
      <c r="AE1121" s="41"/>
      <c r="AF1121" s="41"/>
      <c r="AG1121" s="41"/>
      <c r="AH1121" s="41"/>
      <c r="AI1121" s="41"/>
      <c r="AJ1121" s="41"/>
      <c r="AK1121" s="41"/>
      <c r="AL1121" s="41"/>
      <c r="AM1121" s="41"/>
      <c r="AN1121" s="41"/>
      <c r="AO1121" s="41"/>
      <c r="AP1121" s="41"/>
      <c r="AQ1121" s="41"/>
      <c r="AR1121" s="41"/>
      <c r="AS1121" s="41"/>
      <c r="AT1121" s="41"/>
      <c r="AU1121" s="41"/>
      <c r="AV1121" s="41"/>
      <c r="AW1121" s="41"/>
      <c r="AX1121" s="41"/>
      <c r="AY1121" s="41"/>
      <c r="AZ1121" s="41"/>
      <c r="BA1121" s="41"/>
      <c r="BB1121" s="41"/>
      <c r="BC1121" s="41"/>
      <c r="BD1121" s="41"/>
      <c r="BE1121" s="41"/>
      <c r="BF1121" s="41"/>
      <c r="BG1121" s="41"/>
      <c r="BH1121" s="41"/>
      <c r="BJ1121" s="41"/>
      <c r="BK1121" s="41"/>
      <c r="BL1121" s="41"/>
      <c r="BM1121" s="41"/>
      <c r="BN1121" s="41"/>
      <c r="BO1121" s="41"/>
      <c r="BP1121" s="41"/>
      <c r="BQ1121" s="41">
        <v>0.1</v>
      </c>
      <c r="BR1121" s="41"/>
      <c r="BS1121" s="41"/>
      <c r="BT1121" s="41"/>
      <c r="BU1121" s="41"/>
      <c r="BV1121" s="41">
        <v>0.1</v>
      </c>
      <c r="BW1121" s="41"/>
      <c r="BX1121" s="41"/>
      <c r="BY1121" s="41"/>
      <c r="BZ1121" s="41"/>
      <c r="CA1121" s="41"/>
      <c r="CB1121" s="41"/>
      <c r="CC1121" s="41"/>
      <c r="CD1121" s="41">
        <v>0.05</v>
      </c>
      <c r="CE1121" s="41">
        <v>0.05</v>
      </c>
      <c r="CF1121" s="41"/>
      <c r="CG1121" s="41"/>
      <c r="CH1121" s="41"/>
      <c r="CI1121" s="41"/>
      <c r="CJ1121" s="41"/>
      <c r="CK1121" s="41">
        <v>0.3</v>
      </c>
      <c r="CL1121" s="41"/>
      <c r="CM1121" s="41"/>
      <c r="CN1121" s="41"/>
      <c r="CO1121" s="41"/>
      <c r="CP1121" s="41"/>
      <c r="CQ1121" s="41"/>
      <c r="CR1121" s="41"/>
      <c r="CS1121" s="41"/>
      <c r="CT1121" s="41"/>
      <c r="CU1121" s="41">
        <v>0.1</v>
      </c>
      <c r="CV1121" s="41"/>
      <c r="CW1121" s="41"/>
      <c r="CX1121" s="41"/>
      <c r="CY1121" s="41">
        <v>0.25</v>
      </c>
      <c r="CZ1121" s="41"/>
      <c r="DA1121" s="41"/>
      <c r="DB1121" s="41"/>
      <c r="DC1121" s="41"/>
      <c r="DD1121" s="41">
        <v>0.05</v>
      </c>
      <c r="DE1121" s="41"/>
      <c r="DF1121" s="41"/>
      <c r="DG1121" s="41"/>
      <c r="DH1121" s="41"/>
      <c r="DI1121" s="41"/>
      <c r="DJ1121" s="41"/>
      <c r="DK1121" s="41"/>
      <c r="DL1121" s="41"/>
      <c r="DM1121" s="41"/>
      <c r="DN1121" s="41"/>
      <c r="DO1121" s="41"/>
      <c r="DP1121" s="41"/>
      <c r="DQ1121" s="41"/>
      <c r="DR1121" s="41"/>
      <c r="DS1121" s="43"/>
      <c r="DT1121" s="44">
        <f t="shared" ref="DT1121" si="1102">SUM(F1121:DR1121)</f>
        <v>1</v>
      </c>
    </row>
    <row r="1122" spans="2:124" s="13" customFormat="1">
      <c r="B1122" s="4">
        <f>'6.1Personnel List'!B1123</f>
        <v>1110</v>
      </c>
      <c r="C1122" s="45" t="s">
        <v>1336</v>
      </c>
      <c r="D1122" s="45" t="str">
        <f>'6.1Personnel List'!D1123</f>
        <v>Midwife II</v>
      </c>
      <c r="E1122" s="45" t="str">
        <f>'6.1Personnel List'!H1123</f>
        <v>FT</v>
      </c>
      <c r="G1122" s="41"/>
      <c r="H1122" s="41"/>
      <c r="I1122" s="41"/>
      <c r="J1122" s="41"/>
      <c r="K1122" s="41"/>
      <c r="L1122" s="41"/>
      <c r="M1122" s="41"/>
      <c r="N1122" s="41"/>
      <c r="O1122" s="41"/>
      <c r="P1122" s="41"/>
      <c r="Q1122" s="41"/>
      <c r="R1122" s="41"/>
      <c r="S1122" s="41"/>
      <c r="T1122" s="41"/>
      <c r="U1122" s="41"/>
      <c r="V1122" s="41"/>
      <c r="W1122" s="41"/>
      <c r="X1122" s="41"/>
      <c r="Y1122" s="41"/>
      <c r="Z1122" s="41"/>
      <c r="AA1122" s="41"/>
      <c r="AB1122" s="41"/>
      <c r="AC1122" s="41"/>
      <c r="AD1122" s="41"/>
      <c r="AE1122" s="41"/>
      <c r="AF1122" s="41"/>
      <c r="AG1122" s="41"/>
      <c r="AH1122" s="41"/>
      <c r="AI1122" s="41"/>
      <c r="AJ1122" s="41"/>
      <c r="AK1122" s="41"/>
      <c r="AL1122" s="41"/>
      <c r="AM1122" s="41"/>
      <c r="AN1122" s="41"/>
      <c r="AO1122" s="41"/>
      <c r="AP1122" s="41"/>
      <c r="AQ1122" s="41"/>
      <c r="AR1122" s="41"/>
      <c r="AS1122" s="41"/>
      <c r="AT1122" s="41"/>
      <c r="AU1122" s="41"/>
      <c r="AV1122" s="41"/>
      <c r="AW1122" s="41"/>
      <c r="AX1122" s="41"/>
      <c r="AY1122" s="41"/>
      <c r="AZ1122" s="41"/>
      <c r="BA1122" s="41"/>
      <c r="BB1122" s="41"/>
      <c r="BC1122" s="41"/>
      <c r="BD1122" s="41"/>
      <c r="BE1122" s="41"/>
      <c r="BF1122" s="41"/>
      <c r="BG1122" s="41"/>
      <c r="BH1122" s="41"/>
      <c r="BJ1122" s="41"/>
      <c r="BK1122" s="41"/>
      <c r="BL1122" s="41"/>
      <c r="BM1122" s="41"/>
      <c r="BN1122" s="41"/>
      <c r="BO1122" s="41"/>
      <c r="BP1122" s="41"/>
      <c r="BQ1122" s="41">
        <v>0.1</v>
      </c>
      <c r="BR1122" s="41"/>
      <c r="BS1122" s="41"/>
      <c r="BT1122" s="41"/>
      <c r="BU1122" s="41"/>
      <c r="BV1122" s="41">
        <v>0.1</v>
      </c>
      <c r="BW1122" s="41"/>
      <c r="BX1122" s="41"/>
      <c r="BY1122" s="41"/>
      <c r="BZ1122" s="41"/>
      <c r="CA1122" s="41"/>
      <c r="CB1122" s="41"/>
      <c r="CC1122" s="41"/>
      <c r="CD1122" s="41">
        <v>0.05</v>
      </c>
      <c r="CE1122" s="41">
        <v>0.05</v>
      </c>
      <c r="CF1122" s="41"/>
      <c r="CG1122" s="41"/>
      <c r="CH1122" s="41"/>
      <c r="CI1122" s="41"/>
      <c r="CJ1122" s="41"/>
      <c r="CK1122" s="41">
        <v>0.3</v>
      </c>
      <c r="CL1122" s="41"/>
      <c r="CM1122" s="41"/>
      <c r="CN1122" s="41"/>
      <c r="CO1122" s="41"/>
      <c r="CP1122" s="41"/>
      <c r="CQ1122" s="41"/>
      <c r="CR1122" s="41"/>
      <c r="CS1122" s="41"/>
      <c r="CT1122" s="41"/>
      <c r="CU1122" s="41">
        <v>0.1</v>
      </c>
      <c r="CV1122" s="41"/>
      <c r="CW1122" s="41"/>
      <c r="CX1122" s="41"/>
      <c r="CY1122" s="41">
        <v>0.25</v>
      </c>
      <c r="CZ1122" s="41"/>
      <c r="DA1122" s="41"/>
      <c r="DB1122" s="41"/>
      <c r="DC1122" s="41"/>
      <c r="DD1122" s="41">
        <v>0.05</v>
      </c>
      <c r="DE1122" s="41"/>
      <c r="DF1122" s="41"/>
      <c r="DG1122" s="41"/>
      <c r="DH1122" s="41"/>
      <c r="DI1122" s="41"/>
      <c r="DJ1122" s="41"/>
      <c r="DK1122" s="41"/>
      <c r="DL1122" s="41"/>
      <c r="DM1122" s="41"/>
      <c r="DN1122" s="41"/>
      <c r="DO1122" s="41"/>
      <c r="DP1122" s="41"/>
      <c r="DQ1122" s="41"/>
      <c r="DR1122" s="41"/>
      <c r="DS1122" s="43"/>
      <c r="DT1122" s="44">
        <f t="shared" ref="DT1122" si="1103">SUM(F1122:DR1122)</f>
        <v>1</v>
      </c>
    </row>
    <row r="1123" spans="2:124" s="13" customFormat="1">
      <c r="B1123" s="4">
        <f>'6.1Personnel List'!B1124</f>
        <v>1111</v>
      </c>
      <c r="C1123" s="45" t="s">
        <v>1337</v>
      </c>
      <c r="D1123" s="45" t="str">
        <f>'6.1Personnel List'!D1124</f>
        <v>Midwife II</v>
      </c>
      <c r="E1123" s="45" t="str">
        <f>'6.1Personnel List'!H1124</f>
        <v>FT</v>
      </c>
      <c r="G1123" s="41"/>
      <c r="H1123" s="41"/>
      <c r="I1123" s="41"/>
      <c r="J1123" s="41"/>
      <c r="K1123" s="41"/>
      <c r="L1123" s="41"/>
      <c r="M1123" s="41"/>
      <c r="N1123" s="41"/>
      <c r="O1123" s="41"/>
      <c r="P1123" s="41"/>
      <c r="Q1123" s="41"/>
      <c r="R1123" s="41"/>
      <c r="S1123" s="41"/>
      <c r="T1123" s="41"/>
      <c r="U1123" s="41"/>
      <c r="V1123" s="41"/>
      <c r="W1123" s="41"/>
      <c r="X1123" s="41"/>
      <c r="Y1123" s="41"/>
      <c r="Z1123" s="41"/>
      <c r="AA1123" s="41"/>
      <c r="AB1123" s="41"/>
      <c r="AC1123" s="41"/>
      <c r="AD1123" s="41"/>
      <c r="AE1123" s="41"/>
      <c r="AF1123" s="41"/>
      <c r="AG1123" s="41"/>
      <c r="AH1123" s="41"/>
      <c r="AI1123" s="41"/>
      <c r="AJ1123" s="41"/>
      <c r="AK1123" s="41"/>
      <c r="AL1123" s="41"/>
      <c r="AM1123" s="41"/>
      <c r="AN1123" s="41"/>
      <c r="AO1123" s="41"/>
      <c r="AP1123" s="41"/>
      <c r="AQ1123" s="41"/>
      <c r="AR1123" s="41"/>
      <c r="AS1123" s="41"/>
      <c r="AT1123" s="41"/>
      <c r="AU1123" s="41"/>
      <c r="AV1123" s="41"/>
      <c r="AW1123" s="41"/>
      <c r="AX1123" s="41"/>
      <c r="AY1123" s="41"/>
      <c r="AZ1123" s="41"/>
      <c r="BA1123" s="41"/>
      <c r="BB1123" s="41"/>
      <c r="BC1123" s="41"/>
      <c r="BD1123" s="41"/>
      <c r="BE1123" s="41"/>
      <c r="BF1123" s="41"/>
      <c r="BG1123" s="41"/>
      <c r="BH1123" s="41"/>
      <c r="BJ1123" s="41"/>
      <c r="BK1123" s="41"/>
      <c r="BL1123" s="41"/>
      <c r="BM1123" s="41"/>
      <c r="BN1123" s="41"/>
      <c r="BO1123" s="41"/>
      <c r="BP1123" s="41"/>
      <c r="BQ1123" s="41">
        <v>0.1</v>
      </c>
      <c r="BR1123" s="41"/>
      <c r="BS1123" s="41"/>
      <c r="BT1123" s="41"/>
      <c r="BU1123" s="41"/>
      <c r="BV1123" s="41">
        <v>0.1</v>
      </c>
      <c r="BW1123" s="41"/>
      <c r="BX1123" s="41"/>
      <c r="BY1123" s="41"/>
      <c r="BZ1123" s="41"/>
      <c r="CA1123" s="41"/>
      <c r="CB1123" s="41"/>
      <c r="CC1123" s="41"/>
      <c r="CD1123" s="41">
        <v>0.05</v>
      </c>
      <c r="CE1123" s="41">
        <v>0.05</v>
      </c>
      <c r="CF1123" s="41"/>
      <c r="CG1123" s="41"/>
      <c r="CH1123" s="41"/>
      <c r="CI1123" s="41"/>
      <c r="CJ1123" s="41"/>
      <c r="CK1123" s="41">
        <v>0.3</v>
      </c>
      <c r="CL1123" s="41"/>
      <c r="CM1123" s="41"/>
      <c r="CN1123" s="41"/>
      <c r="CO1123" s="41"/>
      <c r="CP1123" s="41"/>
      <c r="CQ1123" s="41"/>
      <c r="CR1123" s="41"/>
      <c r="CS1123" s="41"/>
      <c r="CT1123" s="41"/>
      <c r="CU1123" s="41">
        <v>0.1</v>
      </c>
      <c r="CV1123" s="41"/>
      <c r="CW1123" s="41"/>
      <c r="CX1123" s="41"/>
      <c r="CY1123" s="41">
        <v>0.25</v>
      </c>
      <c r="CZ1123" s="41"/>
      <c r="DA1123" s="41"/>
      <c r="DB1123" s="41"/>
      <c r="DC1123" s="41"/>
      <c r="DD1123" s="41">
        <v>0.05</v>
      </c>
      <c r="DE1123" s="41"/>
      <c r="DF1123" s="41"/>
      <c r="DG1123" s="41"/>
      <c r="DH1123" s="41"/>
      <c r="DI1123" s="41"/>
      <c r="DJ1123" s="41"/>
      <c r="DK1123" s="41"/>
      <c r="DL1123" s="41"/>
      <c r="DM1123" s="41"/>
      <c r="DN1123" s="41"/>
      <c r="DO1123" s="41"/>
      <c r="DP1123" s="41"/>
      <c r="DQ1123" s="41"/>
      <c r="DR1123" s="41"/>
      <c r="DS1123" s="43"/>
      <c r="DT1123" s="44">
        <f t="shared" ref="DT1123" si="1104">SUM(F1123:DR1123)</f>
        <v>1</v>
      </c>
    </row>
    <row r="1124" spans="2:124" s="13" customFormat="1">
      <c r="B1124" s="4">
        <f>'6.1Personnel List'!B1125</f>
        <v>1112</v>
      </c>
      <c r="C1124" s="45" t="s">
        <v>1338</v>
      </c>
      <c r="D1124" s="45" t="str">
        <f>'6.1Personnel List'!D1125</f>
        <v>Midwife II</v>
      </c>
      <c r="E1124" s="45" t="str">
        <f>'6.1Personnel List'!H1125</f>
        <v>FT</v>
      </c>
      <c r="G1124" s="41"/>
      <c r="H1124" s="41"/>
      <c r="I1124" s="41"/>
      <c r="J1124" s="41"/>
      <c r="K1124" s="41"/>
      <c r="L1124" s="41"/>
      <c r="M1124" s="41"/>
      <c r="N1124" s="41"/>
      <c r="O1124" s="41"/>
      <c r="P1124" s="41"/>
      <c r="Q1124" s="41"/>
      <c r="R1124" s="41"/>
      <c r="S1124" s="41"/>
      <c r="T1124" s="41"/>
      <c r="U1124" s="41"/>
      <c r="V1124" s="41"/>
      <c r="W1124" s="41"/>
      <c r="X1124" s="41"/>
      <c r="Y1124" s="41"/>
      <c r="Z1124" s="41"/>
      <c r="AA1124" s="41"/>
      <c r="AB1124" s="41"/>
      <c r="AC1124" s="41"/>
      <c r="AD1124" s="41"/>
      <c r="AE1124" s="41"/>
      <c r="AF1124" s="41"/>
      <c r="AG1124" s="41"/>
      <c r="AH1124" s="41"/>
      <c r="AI1124" s="41"/>
      <c r="AJ1124" s="41"/>
      <c r="AK1124" s="41"/>
      <c r="AL1124" s="41"/>
      <c r="AM1124" s="41"/>
      <c r="AN1124" s="41"/>
      <c r="AO1124" s="41"/>
      <c r="AP1124" s="41"/>
      <c r="AQ1124" s="41"/>
      <c r="AR1124" s="41"/>
      <c r="AS1124" s="41"/>
      <c r="AT1124" s="41"/>
      <c r="AU1124" s="41"/>
      <c r="AV1124" s="41"/>
      <c r="AW1124" s="41"/>
      <c r="AX1124" s="41"/>
      <c r="AY1124" s="41"/>
      <c r="AZ1124" s="41"/>
      <c r="BA1124" s="41"/>
      <c r="BB1124" s="41"/>
      <c r="BC1124" s="41"/>
      <c r="BD1124" s="41"/>
      <c r="BE1124" s="41"/>
      <c r="BF1124" s="41"/>
      <c r="BG1124" s="41"/>
      <c r="BH1124" s="41"/>
      <c r="BJ1124" s="41"/>
      <c r="BK1124" s="41"/>
      <c r="BL1124" s="41"/>
      <c r="BM1124" s="41"/>
      <c r="BN1124" s="41"/>
      <c r="BO1124" s="41"/>
      <c r="BP1124" s="41"/>
      <c r="BQ1124" s="41"/>
      <c r="BR1124" s="41"/>
      <c r="BS1124" s="41"/>
      <c r="BT1124" s="41"/>
      <c r="BU1124" s="41"/>
      <c r="BV1124" s="41"/>
      <c r="BW1124" s="41"/>
      <c r="BX1124" s="41"/>
      <c r="BY1124" s="41"/>
      <c r="BZ1124" s="41"/>
      <c r="CA1124" s="41"/>
      <c r="CB1124" s="41"/>
      <c r="CC1124" s="41"/>
      <c r="CD1124" s="41"/>
      <c r="CE1124" s="41"/>
      <c r="CF1124" s="41"/>
      <c r="CG1124" s="41"/>
      <c r="CH1124" s="41"/>
      <c r="CI1124" s="41"/>
      <c r="CJ1124" s="41"/>
      <c r="CK1124" s="41"/>
      <c r="CL1124" s="41"/>
      <c r="CM1124" s="41"/>
      <c r="CN1124" s="41"/>
      <c r="CO1124" s="41"/>
      <c r="CP1124" s="41"/>
      <c r="CQ1124" s="41"/>
      <c r="CR1124" s="41"/>
      <c r="CS1124" s="41"/>
      <c r="CT1124" s="41"/>
      <c r="CU1124" s="41">
        <v>0.5</v>
      </c>
      <c r="CV1124" s="41"/>
      <c r="CW1124" s="41"/>
      <c r="CX1124" s="41"/>
      <c r="CY1124" s="41">
        <v>0.5</v>
      </c>
      <c r="CZ1124" s="41"/>
      <c r="DA1124" s="41"/>
      <c r="DB1124" s="41"/>
      <c r="DC1124" s="41"/>
      <c r="DD1124" s="41"/>
      <c r="DE1124" s="41"/>
      <c r="DF1124" s="41"/>
      <c r="DG1124" s="41"/>
      <c r="DH1124" s="41"/>
      <c r="DI1124" s="41"/>
      <c r="DJ1124" s="41"/>
      <c r="DK1124" s="41"/>
      <c r="DL1124" s="41"/>
      <c r="DM1124" s="41"/>
      <c r="DN1124" s="41"/>
      <c r="DO1124" s="41"/>
      <c r="DP1124" s="41"/>
      <c r="DQ1124" s="41"/>
      <c r="DR1124" s="41"/>
      <c r="DS1124" s="43"/>
      <c r="DT1124" s="44">
        <f t="shared" ref="DT1124" si="1105">SUM(F1124:DR1124)</f>
        <v>1</v>
      </c>
    </row>
    <row r="1125" spans="2:124" s="13" customFormat="1">
      <c r="B1125" s="4">
        <f>'6.1Personnel List'!B1126</f>
        <v>1113</v>
      </c>
      <c r="C1125" s="45" t="s">
        <v>1339</v>
      </c>
      <c r="D1125" s="45" t="str">
        <f>'6.1Personnel List'!D1126</f>
        <v>Midwife II</v>
      </c>
      <c r="E1125" s="45" t="str">
        <f>'6.1Personnel List'!H1126</f>
        <v>FT</v>
      </c>
      <c r="G1125" s="41"/>
      <c r="H1125" s="41"/>
      <c r="I1125" s="41"/>
      <c r="J1125" s="41"/>
      <c r="K1125" s="41"/>
      <c r="L1125" s="41"/>
      <c r="M1125" s="41"/>
      <c r="N1125" s="41"/>
      <c r="O1125" s="41"/>
      <c r="P1125" s="41"/>
      <c r="Q1125" s="41"/>
      <c r="R1125" s="41"/>
      <c r="S1125" s="41"/>
      <c r="T1125" s="41"/>
      <c r="U1125" s="41"/>
      <c r="V1125" s="41"/>
      <c r="W1125" s="41"/>
      <c r="X1125" s="41"/>
      <c r="Y1125" s="41"/>
      <c r="Z1125" s="41"/>
      <c r="AA1125" s="41"/>
      <c r="AB1125" s="41"/>
      <c r="AC1125" s="41"/>
      <c r="AD1125" s="41"/>
      <c r="AE1125" s="41"/>
      <c r="AF1125" s="41"/>
      <c r="AG1125" s="41"/>
      <c r="AH1125" s="41"/>
      <c r="AI1125" s="41"/>
      <c r="AJ1125" s="41"/>
      <c r="AK1125" s="41"/>
      <c r="AL1125" s="41"/>
      <c r="AM1125" s="41"/>
      <c r="AN1125" s="41"/>
      <c r="AO1125" s="41"/>
      <c r="AP1125" s="41"/>
      <c r="AQ1125" s="41"/>
      <c r="AR1125" s="41"/>
      <c r="AS1125" s="41"/>
      <c r="AT1125" s="41"/>
      <c r="AU1125" s="41"/>
      <c r="AV1125" s="41"/>
      <c r="AW1125" s="41"/>
      <c r="AX1125" s="41"/>
      <c r="AY1125" s="41"/>
      <c r="AZ1125" s="41"/>
      <c r="BA1125" s="41"/>
      <c r="BB1125" s="41"/>
      <c r="BC1125" s="41"/>
      <c r="BD1125" s="41"/>
      <c r="BE1125" s="41"/>
      <c r="BF1125" s="41"/>
      <c r="BG1125" s="41"/>
      <c r="BH1125" s="41"/>
      <c r="BJ1125" s="41"/>
      <c r="BK1125" s="41"/>
      <c r="BL1125" s="41"/>
      <c r="BM1125" s="41"/>
      <c r="BN1125" s="41"/>
      <c r="BO1125" s="41"/>
      <c r="BP1125" s="41"/>
      <c r="BQ1125" s="41">
        <v>0.1</v>
      </c>
      <c r="BR1125" s="41"/>
      <c r="BS1125" s="41"/>
      <c r="BT1125" s="41"/>
      <c r="BU1125" s="41"/>
      <c r="BV1125" s="41">
        <v>0.1</v>
      </c>
      <c r="BW1125" s="41"/>
      <c r="BX1125" s="41"/>
      <c r="BY1125" s="41"/>
      <c r="BZ1125" s="41"/>
      <c r="CA1125" s="41"/>
      <c r="CB1125" s="41"/>
      <c r="CC1125" s="41"/>
      <c r="CD1125" s="41">
        <v>0.05</v>
      </c>
      <c r="CE1125" s="41">
        <v>0.05</v>
      </c>
      <c r="CF1125" s="41"/>
      <c r="CG1125" s="41"/>
      <c r="CH1125" s="41"/>
      <c r="CI1125" s="41"/>
      <c r="CJ1125" s="41"/>
      <c r="CK1125" s="41">
        <v>0.3</v>
      </c>
      <c r="CL1125" s="41"/>
      <c r="CM1125" s="41"/>
      <c r="CN1125" s="41"/>
      <c r="CO1125" s="41"/>
      <c r="CP1125" s="41"/>
      <c r="CQ1125" s="41"/>
      <c r="CR1125" s="41"/>
      <c r="CS1125" s="41"/>
      <c r="CT1125" s="41"/>
      <c r="CU1125" s="41">
        <v>0.1</v>
      </c>
      <c r="CV1125" s="41"/>
      <c r="CW1125" s="41"/>
      <c r="CX1125" s="41"/>
      <c r="CY1125" s="41">
        <v>0.25</v>
      </c>
      <c r="CZ1125" s="41"/>
      <c r="DA1125" s="41"/>
      <c r="DB1125" s="41"/>
      <c r="DC1125" s="41"/>
      <c r="DD1125" s="41">
        <v>0.05</v>
      </c>
      <c r="DE1125" s="41"/>
      <c r="DF1125" s="41"/>
      <c r="DG1125" s="41"/>
      <c r="DH1125" s="41"/>
      <c r="DI1125" s="41"/>
      <c r="DJ1125" s="41"/>
      <c r="DK1125" s="41"/>
      <c r="DL1125" s="41"/>
      <c r="DM1125" s="41"/>
      <c r="DN1125" s="41"/>
      <c r="DO1125" s="41"/>
      <c r="DP1125" s="41"/>
      <c r="DQ1125" s="41"/>
      <c r="DR1125" s="41"/>
      <c r="DS1125" s="43"/>
      <c r="DT1125" s="44">
        <f t="shared" ref="DT1125" si="1106">SUM(F1125:DR1125)</f>
        <v>1</v>
      </c>
    </row>
    <row r="1126" spans="2:124" s="13" customFormat="1">
      <c r="B1126" s="4">
        <f>'6.1Personnel List'!B1127</f>
        <v>1114</v>
      </c>
      <c r="C1126" s="45" t="s">
        <v>1340</v>
      </c>
      <c r="D1126" s="45" t="str">
        <f>'6.1Personnel List'!D1127</f>
        <v>Midwife II</v>
      </c>
      <c r="E1126" s="45" t="str">
        <f>'6.1Personnel List'!H1127</f>
        <v>FT</v>
      </c>
      <c r="G1126" s="41"/>
      <c r="H1126" s="41"/>
      <c r="I1126" s="41"/>
      <c r="J1126" s="41"/>
      <c r="K1126" s="41"/>
      <c r="L1126" s="41"/>
      <c r="M1126" s="41"/>
      <c r="N1126" s="41"/>
      <c r="O1126" s="41"/>
      <c r="P1126" s="41"/>
      <c r="Q1126" s="41"/>
      <c r="R1126" s="41"/>
      <c r="S1126" s="41"/>
      <c r="T1126" s="41"/>
      <c r="U1126" s="41"/>
      <c r="V1126" s="41"/>
      <c r="W1126" s="41"/>
      <c r="X1126" s="41"/>
      <c r="Y1126" s="41"/>
      <c r="Z1126" s="41"/>
      <c r="AA1126" s="41"/>
      <c r="AB1126" s="41"/>
      <c r="AC1126" s="41"/>
      <c r="AD1126" s="41"/>
      <c r="AE1126" s="41"/>
      <c r="AF1126" s="41"/>
      <c r="AG1126" s="41"/>
      <c r="AH1126" s="41"/>
      <c r="AI1126" s="41"/>
      <c r="AJ1126" s="41"/>
      <c r="AK1126" s="41"/>
      <c r="AL1126" s="41"/>
      <c r="AM1126" s="41"/>
      <c r="AN1126" s="41"/>
      <c r="AO1126" s="41"/>
      <c r="AP1126" s="41"/>
      <c r="AQ1126" s="41"/>
      <c r="AR1126" s="41"/>
      <c r="AS1126" s="41"/>
      <c r="AT1126" s="41"/>
      <c r="AU1126" s="41"/>
      <c r="AV1126" s="41"/>
      <c r="AW1126" s="41"/>
      <c r="AX1126" s="41"/>
      <c r="AY1126" s="41"/>
      <c r="AZ1126" s="41"/>
      <c r="BA1126" s="41"/>
      <c r="BB1126" s="41"/>
      <c r="BC1126" s="41"/>
      <c r="BD1126" s="41"/>
      <c r="BE1126" s="41"/>
      <c r="BF1126" s="41"/>
      <c r="BG1126" s="41"/>
      <c r="BH1126" s="41"/>
      <c r="BJ1126" s="41"/>
      <c r="BK1126" s="41"/>
      <c r="BL1126" s="41"/>
      <c r="BM1126" s="41"/>
      <c r="BN1126" s="41"/>
      <c r="BO1126" s="41"/>
      <c r="BP1126" s="41"/>
      <c r="BQ1126" s="41">
        <v>0.1</v>
      </c>
      <c r="BR1126" s="41"/>
      <c r="BS1126" s="41"/>
      <c r="BT1126" s="41"/>
      <c r="BU1126" s="41"/>
      <c r="BV1126" s="41">
        <v>0.1</v>
      </c>
      <c r="BW1126" s="41"/>
      <c r="BX1126" s="41"/>
      <c r="BY1126" s="41"/>
      <c r="BZ1126" s="41"/>
      <c r="CA1126" s="41"/>
      <c r="CB1126" s="41"/>
      <c r="CC1126" s="41"/>
      <c r="CD1126" s="41">
        <v>0.05</v>
      </c>
      <c r="CE1126" s="41">
        <v>0.05</v>
      </c>
      <c r="CF1126" s="41"/>
      <c r="CG1126" s="41"/>
      <c r="CH1126" s="41"/>
      <c r="CI1126" s="41"/>
      <c r="CJ1126" s="41"/>
      <c r="CK1126" s="41">
        <v>0.3</v>
      </c>
      <c r="CL1126" s="41"/>
      <c r="CM1126" s="41"/>
      <c r="CN1126" s="41"/>
      <c r="CO1126" s="41"/>
      <c r="CP1126" s="41"/>
      <c r="CQ1126" s="41"/>
      <c r="CR1126" s="41"/>
      <c r="CS1126" s="41"/>
      <c r="CT1126" s="41"/>
      <c r="CU1126" s="41">
        <v>0.1</v>
      </c>
      <c r="CV1126" s="41"/>
      <c r="CW1126" s="41"/>
      <c r="CX1126" s="41"/>
      <c r="CY1126" s="41">
        <v>0.25</v>
      </c>
      <c r="CZ1126" s="41"/>
      <c r="DA1126" s="41"/>
      <c r="DB1126" s="41"/>
      <c r="DC1126" s="41"/>
      <c r="DD1126" s="41">
        <v>0.05</v>
      </c>
      <c r="DE1126" s="41"/>
      <c r="DF1126" s="41"/>
      <c r="DG1126" s="41"/>
      <c r="DH1126" s="41"/>
      <c r="DI1126" s="41"/>
      <c r="DJ1126" s="41"/>
      <c r="DK1126" s="41"/>
      <c r="DL1126" s="41"/>
      <c r="DM1126" s="41"/>
      <c r="DN1126" s="41"/>
      <c r="DO1126" s="41"/>
      <c r="DP1126" s="41"/>
      <c r="DQ1126" s="41"/>
      <c r="DR1126" s="41"/>
      <c r="DS1126" s="43"/>
      <c r="DT1126" s="44">
        <f t="shared" ref="DT1126" si="1107">SUM(F1126:DR1126)</f>
        <v>1</v>
      </c>
    </row>
    <row r="1127" spans="2:124" s="13" customFormat="1">
      <c r="B1127" s="4">
        <f>'6.1Personnel List'!B1128</f>
        <v>1115</v>
      </c>
      <c r="C1127" s="45" t="s">
        <v>1341</v>
      </c>
      <c r="D1127" s="45" t="str">
        <f>'6.1Personnel List'!D1128</f>
        <v>Midwife II</v>
      </c>
      <c r="E1127" s="45" t="str">
        <f>'6.1Personnel List'!H1128</f>
        <v>FT</v>
      </c>
      <c r="G1127" s="41"/>
      <c r="H1127" s="41"/>
      <c r="I1127" s="41"/>
      <c r="J1127" s="41"/>
      <c r="K1127" s="41"/>
      <c r="L1127" s="41"/>
      <c r="M1127" s="41"/>
      <c r="N1127" s="41"/>
      <c r="O1127" s="41"/>
      <c r="P1127" s="41"/>
      <c r="Q1127" s="41"/>
      <c r="R1127" s="41"/>
      <c r="S1127" s="41"/>
      <c r="T1127" s="41"/>
      <c r="U1127" s="41"/>
      <c r="V1127" s="41"/>
      <c r="W1127" s="41"/>
      <c r="X1127" s="41"/>
      <c r="Y1127" s="41"/>
      <c r="Z1127" s="41"/>
      <c r="AA1127" s="41"/>
      <c r="AB1127" s="41"/>
      <c r="AC1127" s="41"/>
      <c r="AD1127" s="41"/>
      <c r="AE1127" s="41"/>
      <c r="AF1127" s="41"/>
      <c r="AG1127" s="41"/>
      <c r="AH1127" s="41"/>
      <c r="AI1127" s="41"/>
      <c r="AJ1127" s="41"/>
      <c r="AK1127" s="41"/>
      <c r="AL1127" s="41"/>
      <c r="AM1127" s="41"/>
      <c r="AN1127" s="41"/>
      <c r="AO1127" s="41"/>
      <c r="AP1127" s="41"/>
      <c r="AQ1127" s="41"/>
      <c r="AR1127" s="41"/>
      <c r="AS1127" s="41"/>
      <c r="AT1127" s="41"/>
      <c r="AU1127" s="41"/>
      <c r="AV1127" s="41"/>
      <c r="AW1127" s="41"/>
      <c r="AX1127" s="41"/>
      <c r="AY1127" s="41"/>
      <c r="AZ1127" s="41"/>
      <c r="BA1127" s="41"/>
      <c r="BB1127" s="41"/>
      <c r="BC1127" s="41"/>
      <c r="BD1127" s="41"/>
      <c r="BE1127" s="41"/>
      <c r="BF1127" s="41"/>
      <c r="BG1127" s="41"/>
      <c r="BH1127" s="41"/>
      <c r="BJ1127" s="41"/>
      <c r="BK1127" s="41"/>
      <c r="BL1127" s="41"/>
      <c r="BM1127" s="41"/>
      <c r="BN1127" s="41"/>
      <c r="BO1127" s="41"/>
      <c r="BP1127" s="41"/>
      <c r="BQ1127" s="41">
        <v>0.1</v>
      </c>
      <c r="BR1127" s="41"/>
      <c r="BS1127" s="41"/>
      <c r="BT1127" s="41"/>
      <c r="BU1127" s="41"/>
      <c r="BV1127" s="41">
        <v>0.1</v>
      </c>
      <c r="BW1127" s="41"/>
      <c r="BX1127" s="41"/>
      <c r="BY1127" s="41"/>
      <c r="BZ1127" s="41"/>
      <c r="CA1127" s="41"/>
      <c r="CB1127" s="41"/>
      <c r="CC1127" s="41"/>
      <c r="CD1127" s="41">
        <v>0.05</v>
      </c>
      <c r="CE1127" s="41">
        <v>0.05</v>
      </c>
      <c r="CF1127" s="41"/>
      <c r="CG1127" s="41"/>
      <c r="CH1127" s="41"/>
      <c r="CI1127" s="41"/>
      <c r="CJ1127" s="41"/>
      <c r="CK1127" s="41">
        <v>0.3</v>
      </c>
      <c r="CL1127" s="41"/>
      <c r="CM1127" s="41"/>
      <c r="CN1127" s="41"/>
      <c r="CO1127" s="41"/>
      <c r="CP1127" s="41"/>
      <c r="CQ1127" s="41"/>
      <c r="CR1127" s="41"/>
      <c r="CS1127" s="41"/>
      <c r="CT1127" s="41"/>
      <c r="CU1127" s="41">
        <v>0.1</v>
      </c>
      <c r="CV1127" s="41"/>
      <c r="CW1127" s="41"/>
      <c r="CX1127" s="41"/>
      <c r="CY1127" s="41">
        <v>0.25</v>
      </c>
      <c r="CZ1127" s="41"/>
      <c r="DA1127" s="41"/>
      <c r="DB1127" s="41"/>
      <c r="DC1127" s="41"/>
      <c r="DD1127" s="41">
        <v>0.05</v>
      </c>
      <c r="DE1127" s="41"/>
      <c r="DF1127" s="41"/>
      <c r="DG1127" s="41"/>
      <c r="DH1127" s="41"/>
      <c r="DI1127" s="41"/>
      <c r="DJ1127" s="41"/>
      <c r="DK1127" s="41"/>
      <c r="DL1127" s="41"/>
      <c r="DM1127" s="41"/>
      <c r="DN1127" s="41"/>
      <c r="DO1127" s="41"/>
      <c r="DP1127" s="41"/>
      <c r="DQ1127" s="41"/>
      <c r="DR1127" s="41"/>
      <c r="DS1127" s="43"/>
      <c r="DT1127" s="44">
        <f t="shared" ref="DT1127" si="1108">SUM(F1127:DR1127)</f>
        <v>1</v>
      </c>
    </row>
    <row r="1128" spans="2:124" s="13" customFormat="1">
      <c r="B1128" s="4">
        <f>'6.1Personnel List'!B1129</f>
        <v>1116</v>
      </c>
      <c r="C1128" s="45" t="s">
        <v>1342</v>
      </c>
      <c r="D1128" s="45" t="str">
        <f>'6.1Personnel List'!D1129</f>
        <v>Midwife II</v>
      </c>
      <c r="E1128" s="45" t="str">
        <f>'6.1Personnel List'!H1129</f>
        <v>FT</v>
      </c>
      <c r="G1128" s="41"/>
      <c r="H1128" s="41"/>
      <c r="I1128" s="41"/>
      <c r="J1128" s="41"/>
      <c r="K1128" s="41"/>
      <c r="L1128" s="41"/>
      <c r="M1128" s="41"/>
      <c r="N1128" s="41"/>
      <c r="O1128" s="41"/>
      <c r="P1128" s="41"/>
      <c r="Q1128" s="41"/>
      <c r="R1128" s="41"/>
      <c r="S1128" s="41"/>
      <c r="T1128" s="41"/>
      <c r="U1128" s="41"/>
      <c r="V1128" s="41"/>
      <c r="W1128" s="41"/>
      <c r="X1128" s="41"/>
      <c r="Y1128" s="41"/>
      <c r="Z1128" s="41"/>
      <c r="AA1128" s="41"/>
      <c r="AB1128" s="41"/>
      <c r="AC1128" s="41"/>
      <c r="AD1128" s="41"/>
      <c r="AE1128" s="41"/>
      <c r="AF1128" s="41"/>
      <c r="AG1128" s="41"/>
      <c r="AH1128" s="41"/>
      <c r="AI1128" s="41"/>
      <c r="AJ1128" s="41"/>
      <c r="AK1128" s="41"/>
      <c r="AL1128" s="41"/>
      <c r="AM1128" s="41"/>
      <c r="AN1128" s="41"/>
      <c r="AO1128" s="41"/>
      <c r="AP1128" s="41"/>
      <c r="AQ1128" s="41"/>
      <c r="AR1128" s="41"/>
      <c r="AS1128" s="41"/>
      <c r="AT1128" s="41"/>
      <c r="AU1128" s="41"/>
      <c r="AV1128" s="41"/>
      <c r="AW1128" s="41"/>
      <c r="AX1128" s="41"/>
      <c r="AY1128" s="41"/>
      <c r="AZ1128" s="41"/>
      <c r="BA1128" s="41"/>
      <c r="BB1128" s="41"/>
      <c r="BC1128" s="41"/>
      <c r="BD1128" s="41"/>
      <c r="BE1128" s="41"/>
      <c r="BF1128" s="41"/>
      <c r="BG1128" s="41"/>
      <c r="BH1128" s="41"/>
      <c r="BJ1128" s="41"/>
      <c r="BK1128" s="41"/>
      <c r="BL1128" s="41"/>
      <c r="BM1128" s="41"/>
      <c r="BN1128" s="41"/>
      <c r="BO1128" s="41"/>
      <c r="BP1128" s="41"/>
      <c r="BQ1128" s="41">
        <v>0.1</v>
      </c>
      <c r="BR1128" s="41"/>
      <c r="BS1128" s="41"/>
      <c r="BT1128" s="41"/>
      <c r="BU1128" s="41"/>
      <c r="BV1128" s="41">
        <v>0.1</v>
      </c>
      <c r="BW1128" s="41"/>
      <c r="BX1128" s="41"/>
      <c r="BY1128" s="41"/>
      <c r="BZ1128" s="41"/>
      <c r="CA1128" s="41"/>
      <c r="CB1128" s="41"/>
      <c r="CC1128" s="41"/>
      <c r="CD1128" s="41">
        <v>0.05</v>
      </c>
      <c r="CE1128" s="41">
        <v>0.05</v>
      </c>
      <c r="CF1128" s="41"/>
      <c r="CG1128" s="41"/>
      <c r="CH1128" s="41"/>
      <c r="CI1128" s="41"/>
      <c r="CJ1128" s="41"/>
      <c r="CK1128" s="41">
        <v>0.3</v>
      </c>
      <c r="CL1128" s="41"/>
      <c r="CM1128" s="41"/>
      <c r="CN1128" s="41"/>
      <c r="CO1128" s="41"/>
      <c r="CP1128" s="41"/>
      <c r="CQ1128" s="41"/>
      <c r="CR1128" s="41"/>
      <c r="CS1128" s="41"/>
      <c r="CT1128" s="41"/>
      <c r="CU1128" s="41">
        <v>0.1</v>
      </c>
      <c r="CV1128" s="41"/>
      <c r="CW1128" s="41"/>
      <c r="CX1128" s="41"/>
      <c r="CY1128" s="41">
        <v>0.25</v>
      </c>
      <c r="CZ1128" s="41"/>
      <c r="DA1128" s="41"/>
      <c r="DB1128" s="41"/>
      <c r="DC1128" s="41"/>
      <c r="DD1128" s="41">
        <v>0.05</v>
      </c>
      <c r="DE1128" s="41"/>
      <c r="DF1128" s="41"/>
      <c r="DG1128" s="41"/>
      <c r="DH1128" s="41"/>
      <c r="DI1128" s="41"/>
      <c r="DJ1128" s="41"/>
      <c r="DK1128" s="41"/>
      <c r="DL1128" s="41"/>
      <c r="DM1128" s="41"/>
      <c r="DN1128" s="41"/>
      <c r="DO1128" s="41"/>
      <c r="DP1128" s="41"/>
      <c r="DQ1128" s="41"/>
      <c r="DR1128" s="41"/>
      <c r="DS1128" s="43"/>
      <c r="DT1128" s="44">
        <f t="shared" ref="DT1128" si="1109">SUM(F1128:DR1128)</f>
        <v>1</v>
      </c>
    </row>
    <row r="1129" spans="2:124" s="13" customFormat="1">
      <c r="B1129" s="4">
        <f>'6.1Personnel List'!B1130</f>
        <v>1117</v>
      </c>
      <c r="C1129" s="45" t="s">
        <v>1343</v>
      </c>
      <c r="D1129" s="45" t="str">
        <f>'6.1Personnel List'!D1130</f>
        <v>Midwife II</v>
      </c>
      <c r="E1129" s="45" t="str">
        <f>'6.1Personnel List'!H1130</f>
        <v>FT</v>
      </c>
      <c r="G1129" s="41"/>
      <c r="H1129" s="41"/>
      <c r="I1129" s="41"/>
      <c r="J1129" s="41"/>
      <c r="K1129" s="41"/>
      <c r="L1129" s="41"/>
      <c r="M1129" s="41"/>
      <c r="N1129" s="41"/>
      <c r="O1129" s="41"/>
      <c r="P1129" s="41"/>
      <c r="Q1129" s="41"/>
      <c r="R1129" s="41"/>
      <c r="S1129" s="41"/>
      <c r="T1129" s="41"/>
      <c r="U1129" s="41"/>
      <c r="V1129" s="41"/>
      <c r="W1129" s="41"/>
      <c r="X1129" s="41"/>
      <c r="Y1129" s="41"/>
      <c r="Z1129" s="41"/>
      <c r="AA1129" s="41"/>
      <c r="AB1129" s="41"/>
      <c r="AC1129" s="41"/>
      <c r="AD1129" s="41"/>
      <c r="AE1129" s="41"/>
      <c r="AF1129" s="41"/>
      <c r="AG1129" s="41"/>
      <c r="AH1129" s="41"/>
      <c r="AI1129" s="41"/>
      <c r="AJ1129" s="41"/>
      <c r="AK1129" s="41"/>
      <c r="AL1129" s="41"/>
      <c r="AM1129" s="41"/>
      <c r="AN1129" s="41"/>
      <c r="AO1129" s="41"/>
      <c r="AP1129" s="41"/>
      <c r="AQ1129" s="41"/>
      <c r="AR1129" s="41"/>
      <c r="AS1129" s="41"/>
      <c r="AT1129" s="41"/>
      <c r="AU1129" s="41"/>
      <c r="AV1129" s="41"/>
      <c r="AW1129" s="41"/>
      <c r="AX1129" s="41"/>
      <c r="AY1129" s="41"/>
      <c r="AZ1129" s="41"/>
      <c r="BA1129" s="41"/>
      <c r="BB1129" s="41"/>
      <c r="BC1129" s="41"/>
      <c r="BD1129" s="41"/>
      <c r="BE1129" s="41"/>
      <c r="BF1129" s="41"/>
      <c r="BG1129" s="41"/>
      <c r="BH1129" s="41"/>
      <c r="BJ1129" s="41"/>
      <c r="BK1129" s="41"/>
      <c r="BL1129" s="41"/>
      <c r="BM1129" s="41"/>
      <c r="BN1129" s="41"/>
      <c r="BO1129" s="41"/>
      <c r="BP1129" s="41"/>
      <c r="BQ1129" s="41">
        <v>0.1</v>
      </c>
      <c r="BR1129" s="41"/>
      <c r="BS1129" s="41"/>
      <c r="BT1129" s="41"/>
      <c r="BU1129" s="41"/>
      <c r="BV1129" s="41">
        <v>0.1</v>
      </c>
      <c r="BW1129" s="41"/>
      <c r="BX1129" s="41"/>
      <c r="BY1129" s="41"/>
      <c r="BZ1129" s="41"/>
      <c r="CA1129" s="41"/>
      <c r="CB1129" s="41"/>
      <c r="CC1129" s="41"/>
      <c r="CD1129" s="41">
        <v>0.05</v>
      </c>
      <c r="CE1129" s="41">
        <v>0.05</v>
      </c>
      <c r="CF1129" s="41"/>
      <c r="CG1129" s="41"/>
      <c r="CH1129" s="41"/>
      <c r="CI1129" s="41"/>
      <c r="CJ1129" s="41"/>
      <c r="CK1129" s="41">
        <v>0.3</v>
      </c>
      <c r="CL1129" s="41"/>
      <c r="CM1129" s="41"/>
      <c r="CN1129" s="41"/>
      <c r="CO1129" s="41"/>
      <c r="CP1129" s="41"/>
      <c r="CQ1129" s="41"/>
      <c r="CR1129" s="41"/>
      <c r="CS1129" s="41"/>
      <c r="CT1129" s="41"/>
      <c r="CU1129" s="41">
        <v>0.1</v>
      </c>
      <c r="CV1129" s="41"/>
      <c r="CW1129" s="41"/>
      <c r="CX1129" s="41"/>
      <c r="CY1129" s="41">
        <v>0.25</v>
      </c>
      <c r="CZ1129" s="41"/>
      <c r="DA1129" s="41"/>
      <c r="DB1129" s="41"/>
      <c r="DC1129" s="41"/>
      <c r="DD1129" s="41">
        <v>0.05</v>
      </c>
      <c r="DE1129" s="41"/>
      <c r="DF1129" s="41"/>
      <c r="DG1129" s="41"/>
      <c r="DH1129" s="41"/>
      <c r="DI1129" s="41"/>
      <c r="DJ1129" s="41"/>
      <c r="DK1129" s="41"/>
      <c r="DL1129" s="41"/>
      <c r="DM1129" s="41"/>
      <c r="DN1129" s="41"/>
      <c r="DO1129" s="41"/>
      <c r="DP1129" s="41"/>
      <c r="DQ1129" s="41"/>
      <c r="DR1129" s="41"/>
      <c r="DS1129" s="43"/>
      <c r="DT1129" s="44">
        <f t="shared" ref="DT1129" si="1110">SUM(F1129:DR1129)</f>
        <v>1</v>
      </c>
    </row>
    <row r="1130" spans="2:124" s="13" customFormat="1">
      <c r="B1130" s="4">
        <f>'6.1Personnel List'!B1131</f>
        <v>1118</v>
      </c>
      <c r="C1130" s="45" t="s">
        <v>1344</v>
      </c>
      <c r="D1130" s="45" t="str">
        <f>'6.1Personnel List'!D1131</f>
        <v>Midwife II</v>
      </c>
      <c r="E1130" s="45" t="str">
        <f>'6.1Personnel List'!H1131</f>
        <v>FT</v>
      </c>
      <c r="G1130" s="41"/>
      <c r="H1130" s="41"/>
      <c r="I1130" s="41"/>
      <c r="J1130" s="41"/>
      <c r="K1130" s="41"/>
      <c r="L1130" s="41"/>
      <c r="M1130" s="41"/>
      <c r="N1130" s="41"/>
      <c r="O1130" s="41"/>
      <c r="P1130" s="41"/>
      <c r="Q1130" s="41"/>
      <c r="R1130" s="41"/>
      <c r="S1130" s="41"/>
      <c r="T1130" s="41"/>
      <c r="U1130" s="41"/>
      <c r="V1130" s="41"/>
      <c r="W1130" s="41"/>
      <c r="X1130" s="41"/>
      <c r="Y1130" s="41"/>
      <c r="Z1130" s="41"/>
      <c r="AA1130" s="41"/>
      <c r="AB1130" s="41"/>
      <c r="AC1130" s="41"/>
      <c r="AD1130" s="41"/>
      <c r="AE1130" s="41"/>
      <c r="AF1130" s="41"/>
      <c r="AG1130" s="41"/>
      <c r="AH1130" s="41"/>
      <c r="AI1130" s="41"/>
      <c r="AJ1130" s="41"/>
      <c r="AK1130" s="41"/>
      <c r="AL1130" s="41"/>
      <c r="AM1130" s="41"/>
      <c r="AN1130" s="41"/>
      <c r="AO1130" s="41"/>
      <c r="AP1130" s="41"/>
      <c r="AQ1130" s="41"/>
      <c r="AR1130" s="41"/>
      <c r="AS1130" s="41"/>
      <c r="AT1130" s="41"/>
      <c r="AU1130" s="41"/>
      <c r="AV1130" s="41"/>
      <c r="AW1130" s="41"/>
      <c r="AX1130" s="41"/>
      <c r="AY1130" s="41"/>
      <c r="AZ1130" s="41"/>
      <c r="BA1130" s="41"/>
      <c r="BB1130" s="41"/>
      <c r="BC1130" s="41"/>
      <c r="BD1130" s="41"/>
      <c r="BE1130" s="41"/>
      <c r="BF1130" s="41"/>
      <c r="BG1130" s="41"/>
      <c r="BH1130" s="41"/>
      <c r="BJ1130" s="41"/>
      <c r="BK1130" s="41"/>
      <c r="BL1130" s="41"/>
      <c r="BM1130" s="41"/>
      <c r="BN1130" s="41"/>
      <c r="BO1130" s="41"/>
      <c r="BP1130" s="41"/>
      <c r="BQ1130" s="41">
        <v>0.1</v>
      </c>
      <c r="BR1130" s="41"/>
      <c r="BS1130" s="41"/>
      <c r="BT1130" s="41"/>
      <c r="BU1130" s="41"/>
      <c r="BV1130" s="41">
        <v>0.1</v>
      </c>
      <c r="BW1130" s="41"/>
      <c r="BX1130" s="41"/>
      <c r="BY1130" s="41"/>
      <c r="BZ1130" s="41"/>
      <c r="CA1130" s="41"/>
      <c r="CB1130" s="41"/>
      <c r="CC1130" s="41"/>
      <c r="CD1130" s="41">
        <v>0.05</v>
      </c>
      <c r="CE1130" s="41">
        <v>0.05</v>
      </c>
      <c r="CF1130" s="41"/>
      <c r="CG1130" s="41"/>
      <c r="CH1130" s="41"/>
      <c r="CI1130" s="41"/>
      <c r="CJ1130" s="41"/>
      <c r="CK1130" s="41">
        <v>0.3</v>
      </c>
      <c r="CL1130" s="41"/>
      <c r="CM1130" s="41"/>
      <c r="CN1130" s="41"/>
      <c r="CO1130" s="41"/>
      <c r="CP1130" s="41"/>
      <c r="CQ1130" s="41"/>
      <c r="CR1130" s="41"/>
      <c r="CS1130" s="41"/>
      <c r="CT1130" s="41"/>
      <c r="CU1130" s="41">
        <v>0.1</v>
      </c>
      <c r="CV1130" s="41"/>
      <c r="CW1130" s="41"/>
      <c r="CX1130" s="41"/>
      <c r="CY1130" s="41">
        <v>0.25</v>
      </c>
      <c r="CZ1130" s="41"/>
      <c r="DA1130" s="41"/>
      <c r="DB1130" s="41"/>
      <c r="DC1130" s="41"/>
      <c r="DD1130" s="41">
        <v>0.05</v>
      </c>
      <c r="DE1130" s="41"/>
      <c r="DF1130" s="41"/>
      <c r="DG1130" s="41"/>
      <c r="DH1130" s="41"/>
      <c r="DI1130" s="41"/>
      <c r="DJ1130" s="41"/>
      <c r="DK1130" s="41"/>
      <c r="DL1130" s="41"/>
      <c r="DM1130" s="41"/>
      <c r="DN1130" s="41"/>
      <c r="DO1130" s="41"/>
      <c r="DP1130" s="41"/>
      <c r="DQ1130" s="41"/>
      <c r="DR1130" s="41"/>
      <c r="DS1130" s="43"/>
      <c r="DT1130" s="44">
        <f t="shared" ref="DT1130" si="1111">SUM(F1130:DR1130)</f>
        <v>1</v>
      </c>
    </row>
    <row r="1131" spans="2:124" s="13" customFormat="1">
      <c r="B1131" s="4">
        <f>'6.1Personnel List'!B1132</f>
        <v>1119</v>
      </c>
      <c r="C1131" s="45" t="s">
        <v>1345</v>
      </c>
      <c r="D1131" s="45" t="str">
        <f>'6.1Personnel List'!D1132</f>
        <v>Midwife II</v>
      </c>
      <c r="E1131" s="45" t="str">
        <f>'6.1Personnel List'!H1132</f>
        <v>FT</v>
      </c>
      <c r="G1131" s="41"/>
      <c r="H1131" s="41"/>
      <c r="I1131" s="41"/>
      <c r="J1131" s="41"/>
      <c r="K1131" s="41"/>
      <c r="L1131" s="41"/>
      <c r="M1131" s="41"/>
      <c r="N1131" s="41"/>
      <c r="O1131" s="41"/>
      <c r="P1131" s="41"/>
      <c r="Q1131" s="41"/>
      <c r="R1131" s="41"/>
      <c r="S1131" s="41"/>
      <c r="T1131" s="41"/>
      <c r="U1131" s="41"/>
      <c r="V1131" s="41"/>
      <c r="W1131" s="41"/>
      <c r="X1131" s="41"/>
      <c r="Y1131" s="41"/>
      <c r="Z1131" s="41"/>
      <c r="AA1131" s="41"/>
      <c r="AB1131" s="41"/>
      <c r="AC1131" s="41"/>
      <c r="AD1131" s="41"/>
      <c r="AE1131" s="41"/>
      <c r="AF1131" s="41"/>
      <c r="AG1131" s="41"/>
      <c r="AH1131" s="41"/>
      <c r="AI1131" s="41"/>
      <c r="AJ1131" s="41"/>
      <c r="AK1131" s="41"/>
      <c r="AL1131" s="41"/>
      <c r="AM1131" s="41"/>
      <c r="AN1131" s="41"/>
      <c r="AO1131" s="41"/>
      <c r="AP1131" s="41"/>
      <c r="AQ1131" s="41"/>
      <c r="AR1131" s="41"/>
      <c r="AS1131" s="41"/>
      <c r="AT1131" s="41"/>
      <c r="AU1131" s="41"/>
      <c r="AV1131" s="41"/>
      <c r="AW1131" s="41"/>
      <c r="AX1131" s="41"/>
      <c r="AY1131" s="41"/>
      <c r="AZ1131" s="41"/>
      <c r="BA1131" s="41"/>
      <c r="BB1131" s="41"/>
      <c r="BC1131" s="41"/>
      <c r="BD1131" s="41"/>
      <c r="BE1131" s="41"/>
      <c r="BF1131" s="41"/>
      <c r="BG1131" s="41"/>
      <c r="BH1131" s="41"/>
      <c r="BJ1131" s="41"/>
      <c r="BK1131" s="41"/>
      <c r="BL1131" s="41"/>
      <c r="BM1131" s="41"/>
      <c r="BN1131" s="41"/>
      <c r="BO1131" s="41"/>
      <c r="BP1131" s="41"/>
      <c r="BQ1131" s="41">
        <v>0.1</v>
      </c>
      <c r="BR1131" s="41"/>
      <c r="BS1131" s="41"/>
      <c r="BT1131" s="41"/>
      <c r="BU1131" s="41"/>
      <c r="BV1131" s="41">
        <v>0.1</v>
      </c>
      <c r="BW1131" s="41"/>
      <c r="BX1131" s="41"/>
      <c r="BY1131" s="41"/>
      <c r="BZ1131" s="41"/>
      <c r="CA1131" s="41"/>
      <c r="CB1131" s="41"/>
      <c r="CC1131" s="41"/>
      <c r="CD1131" s="41">
        <v>0.05</v>
      </c>
      <c r="CE1131" s="41">
        <v>0.05</v>
      </c>
      <c r="CF1131" s="41"/>
      <c r="CG1131" s="41"/>
      <c r="CH1131" s="41"/>
      <c r="CI1131" s="41"/>
      <c r="CJ1131" s="41"/>
      <c r="CK1131" s="41">
        <v>0.3</v>
      </c>
      <c r="CL1131" s="41"/>
      <c r="CM1131" s="41"/>
      <c r="CN1131" s="41"/>
      <c r="CO1131" s="41"/>
      <c r="CP1131" s="41"/>
      <c r="CQ1131" s="41"/>
      <c r="CR1131" s="41"/>
      <c r="CS1131" s="41"/>
      <c r="CT1131" s="41"/>
      <c r="CU1131" s="41">
        <v>0.1</v>
      </c>
      <c r="CV1131" s="41"/>
      <c r="CW1131" s="41"/>
      <c r="CX1131" s="41"/>
      <c r="CY1131" s="41">
        <v>0.25</v>
      </c>
      <c r="CZ1131" s="41"/>
      <c r="DA1131" s="41"/>
      <c r="DB1131" s="41"/>
      <c r="DC1131" s="41"/>
      <c r="DD1131" s="41">
        <v>0.05</v>
      </c>
      <c r="DE1131" s="41"/>
      <c r="DF1131" s="41"/>
      <c r="DG1131" s="41"/>
      <c r="DH1131" s="41"/>
      <c r="DI1131" s="41"/>
      <c r="DJ1131" s="41"/>
      <c r="DK1131" s="41"/>
      <c r="DL1131" s="41"/>
      <c r="DM1131" s="41"/>
      <c r="DN1131" s="41"/>
      <c r="DO1131" s="41"/>
      <c r="DP1131" s="41"/>
      <c r="DQ1131" s="41"/>
      <c r="DR1131" s="41"/>
      <c r="DS1131" s="43"/>
      <c r="DT1131" s="44">
        <f t="shared" ref="DT1131" si="1112">SUM(F1131:DR1131)</f>
        <v>1</v>
      </c>
    </row>
    <row r="1132" spans="2:124" s="13" customFormat="1">
      <c r="B1132" s="4">
        <f>'6.1Personnel List'!B1133</f>
        <v>1120</v>
      </c>
      <c r="C1132" s="45" t="s">
        <v>1346</v>
      </c>
      <c r="D1132" s="45" t="str">
        <f>'6.1Personnel List'!D1133</f>
        <v>Midwife II</v>
      </c>
      <c r="E1132" s="45" t="str">
        <f>'6.1Personnel List'!H1133</f>
        <v>FT</v>
      </c>
      <c r="G1132" s="41"/>
      <c r="H1132" s="41"/>
      <c r="I1132" s="41"/>
      <c r="J1132" s="41"/>
      <c r="K1132" s="41"/>
      <c r="L1132" s="41"/>
      <c r="M1132" s="41"/>
      <c r="N1132" s="41"/>
      <c r="O1132" s="41"/>
      <c r="P1132" s="41"/>
      <c r="Q1132" s="41"/>
      <c r="R1132" s="41"/>
      <c r="S1132" s="41"/>
      <c r="T1132" s="41"/>
      <c r="U1132" s="41"/>
      <c r="V1132" s="41"/>
      <c r="W1132" s="41"/>
      <c r="X1132" s="41"/>
      <c r="Y1132" s="41"/>
      <c r="Z1132" s="41"/>
      <c r="AA1132" s="41"/>
      <c r="AB1132" s="41"/>
      <c r="AC1132" s="41"/>
      <c r="AD1132" s="41"/>
      <c r="AE1132" s="41"/>
      <c r="AF1132" s="41"/>
      <c r="AG1132" s="41"/>
      <c r="AH1132" s="41"/>
      <c r="AI1132" s="41"/>
      <c r="AJ1132" s="41"/>
      <c r="AK1132" s="41"/>
      <c r="AL1132" s="41"/>
      <c r="AM1132" s="41"/>
      <c r="AN1132" s="41"/>
      <c r="AO1132" s="41"/>
      <c r="AP1132" s="41"/>
      <c r="AQ1132" s="41"/>
      <c r="AR1132" s="41"/>
      <c r="AS1132" s="41"/>
      <c r="AT1132" s="41"/>
      <c r="AU1132" s="41"/>
      <c r="AV1132" s="41"/>
      <c r="AW1132" s="41"/>
      <c r="AX1132" s="41"/>
      <c r="AY1132" s="41"/>
      <c r="AZ1132" s="41"/>
      <c r="BA1132" s="41"/>
      <c r="BB1132" s="41"/>
      <c r="BC1132" s="41"/>
      <c r="BD1132" s="41"/>
      <c r="BE1132" s="41"/>
      <c r="BF1132" s="41"/>
      <c r="BG1132" s="41"/>
      <c r="BH1132" s="41"/>
      <c r="BJ1132" s="41"/>
      <c r="BK1132" s="41"/>
      <c r="BL1132" s="41"/>
      <c r="BM1132" s="41"/>
      <c r="BN1132" s="41"/>
      <c r="BO1132" s="41"/>
      <c r="BP1132" s="41"/>
      <c r="BQ1132" s="41">
        <v>0.1</v>
      </c>
      <c r="BR1132" s="41"/>
      <c r="BS1132" s="41"/>
      <c r="BT1132" s="41"/>
      <c r="BU1132" s="41"/>
      <c r="BV1132" s="41">
        <v>0.1</v>
      </c>
      <c r="BW1132" s="41"/>
      <c r="BX1132" s="41"/>
      <c r="BY1132" s="41"/>
      <c r="BZ1132" s="41"/>
      <c r="CA1132" s="41"/>
      <c r="CB1132" s="41"/>
      <c r="CC1132" s="41"/>
      <c r="CD1132" s="41">
        <v>0.05</v>
      </c>
      <c r="CE1132" s="41">
        <v>0.05</v>
      </c>
      <c r="CF1132" s="41"/>
      <c r="CG1132" s="41"/>
      <c r="CH1132" s="41"/>
      <c r="CI1132" s="41"/>
      <c r="CJ1132" s="41"/>
      <c r="CK1132" s="41">
        <v>0.3</v>
      </c>
      <c r="CL1132" s="41"/>
      <c r="CM1132" s="41"/>
      <c r="CN1132" s="41"/>
      <c r="CO1132" s="41"/>
      <c r="CP1132" s="41"/>
      <c r="CQ1132" s="41"/>
      <c r="CR1132" s="41"/>
      <c r="CS1132" s="41"/>
      <c r="CT1132" s="41"/>
      <c r="CU1132" s="41">
        <v>0.1</v>
      </c>
      <c r="CV1132" s="41"/>
      <c r="CW1132" s="41"/>
      <c r="CX1132" s="41"/>
      <c r="CY1132" s="41">
        <v>0.25</v>
      </c>
      <c r="CZ1132" s="41"/>
      <c r="DA1132" s="41"/>
      <c r="DB1132" s="41"/>
      <c r="DC1132" s="41"/>
      <c r="DD1132" s="41">
        <v>0.05</v>
      </c>
      <c r="DE1132" s="41"/>
      <c r="DF1132" s="41"/>
      <c r="DG1132" s="41"/>
      <c r="DH1132" s="41"/>
      <c r="DI1132" s="41"/>
      <c r="DJ1132" s="41"/>
      <c r="DK1132" s="41"/>
      <c r="DL1132" s="41"/>
      <c r="DM1132" s="41"/>
      <c r="DN1132" s="41"/>
      <c r="DO1132" s="41"/>
      <c r="DP1132" s="41"/>
      <c r="DQ1132" s="41"/>
      <c r="DR1132" s="41"/>
      <c r="DS1132" s="43"/>
      <c r="DT1132" s="44">
        <f t="shared" ref="DT1132" si="1113">SUM(F1132:DR1132)</f>
        <v>1</v>
      </c>
    </row>
    <row r="1133" spans="2:124" s="13" customFormat="1">
      <c r="B1133" s="4">
        <f>'6.1Personnel List'!B1134</f>
        <v>1121</v>
      </c>
      <c r="C1133" s="45" t="s">
        <v>1347</v>
      </c>
      <c r="D1133" s="45" t="str">
        <f>'6.1Personnel List'!D1134</f>
        <v>Midwife II</v>
      </c>
      <c r="E1133" s="45" t="str">
        <f>'6.1Personnel List'!H1134</f>
        <v>FT</v>
      </c>
      <c r="G1133" s="41"/>
      <c r="H1133" s="41"/>
      <c r="I1133" s="41"/>
      <c r="J1133" s="41"/>
      <c r="K1133" s="41"/>
      <c r="L1133" s="41"/>
      <c r="M1133" s="41"/>
      <c r="N1133" s="41"/>
      <c r="O1133" s="41"/>
      <c r="P1133" s="41"/>
      <c r="Q1133" s="41"/>
      <c r="R1133" s="41"/>
      <c r="S1133" s="41"/>
      <c r="T1133" s="41"/>
      <c r="U1133" s="41"/>
      <c r="V1133" s="41"/>
      <c r="W1133" s="41"/>
      <c r="X1133" s="41"/>
      <c r="Y1133" s="41"/>
      <c r="Z1133" s="41"/>
      <c r="AA1133" s="41"/>
      <c r="AB1133" s="41"/>
      <c r="AC1133" s="41"/>
      <c r="AD1133" s="41"/>
      <c r="AE1133" s="41"/>
      <c r="AF1133" s="41"/>
      <c r="AG1133" s="41"/>
      <c r="AH1133" s="41"/>
      <c r="AI1133" s="41"/>
      <c r="AJ1133" s="41"/>
      <c r="AK1133" s="41"/>
      <c r="AL1133" s="41"/>
      <c r="AM1133" s="41"/>
      <c r="AN1133" s="41"/>
      <c r="AO1133" s="41"/>
      <c r="AP1133" s="41"/>
      <c r="AQ1133" s="41"/>
      <c r="AR1133" s="41"/>
      <c r="AS1133" s="41"/>
      <c r="AT1133" s="41"/>
      <c r="AU1133" s="41"/>
      <c r="AV1133" s="41"/>
      <c r="AW1133" s="41"/>
      <c r="AX1133" s="41"/>
      <c r="AY1133" s="41"/>
      <c r="AZ1133" s="41"/>
      <c r="BA1133" s="41"/>
      <c r="BB1133" s="41"/>
      <c r="BC1133" s="41"/>
      <c r="BD1133" s="41"/>
      <c r="BE1133" s="41"/>
      <c r="BF1133" s="41"/>
      <c r="BG1133" s="41"/>
      <c r="BH1133" s="41"/>
      <c r="BJ1133" s="41"/>
      <c r="BK1133" s="41"/>
      <c r="BL1133" s="41"/>
      <c r="BM1133" s="41"/>
      <c r="BN1133" s="41"/>
      <c r="BO1133" s="41"/>
      <c r="BP1133" s="41"/>
      <c r="BQ1133" s="41">
        <v>0.1</v>
      </c>
      <c r="BR1133" s="41"/>
      <c r="BS1133" s="41"/>
      <c r="BT1133" s="41"/>
      <c r="BU1133" s="41"/>
      <c r="BV1133" s="41">
        <v>0.1</v>
      </c>
      <c r="BW1133" s="41"/>
      <c r="BX1133" s="41"/>
      <c r="BY1133" s="41"/>
      <c r="BZ1133" s="41"/>
      <c r="CA1133" s="41"/>
      <c r="CB1133" s="41"/>
      <c r="CC1133" s="41"/>
      <c r="CD1133" s="41">
        <v>0.05</v>
      </c>
      <c r="CE1133" s="41">
        <v>0.05</v>
      </c>
      <c r="CF1133" s="41"/>
      <c r="CG1133" s="41"/>
      <c r="CH1133" s="41"/>
      <c r="CI1133" s="41"/>
      <c r="CJ1133" s="41"/>
      <c r="CK1133" s="41">
        <v>0.3</v>
      </c>
      <c r="CL1133" s="41"/>
      <c r="CM1133" s="41"/>
      <c r="CN1133" s="41"/>
      <c r="CO1133" s="41"/>
      <c r="CP1133" s="41"/>
      <c r="CQ1133" s="41"/>
      <c r="CR1133" s="41"/>
      <c r="CS1133" s="41"/>
      <c r="CT1133" s="41"/>
      <c r="CU1133" s="41">
        <v>0.1</v>
      </c>
      <c r="CV1133" s="41"/>
      <c r="CW1133" s="41"/>
      <c r="CX1133" s="41"/>
      <c r="CY1133" s="41">
        <v>0.25</v>
      </c>
      <c r="CZ1133" s="41"/>
      <c r="DA1133" s="41"/>
      <c r="DB1133" s="41"/>
      <c r="DC1133" s="41"/>
      <c r="DD1133" s="41">
        <v>0.05</v>
      </c>
      <c r="DE1133" s="41"/>
      <c r="DF1133" s="41"/>
      <c r="DG1133" s="41"/>
      <c r="DH1133" s="41"/>
      <c r="DI1133" s="41"/>
      <c r="DJ1133" s="41"/>
      <c r="DK1133" s="41"/>
      <c r="DL1133" s="41"/>
      <c r="DM1133" s="41"/>
      <c r="DN1133" s="41"/>
      <c r="DO1133" s="41"/>
      <c r="DP1133" s="41"/>
      <c r="DQ1133" s="41"/>
      <c r="DR1133" s="41"/>
      <c r="DS1133" s="43"/>
      <c r="DT1133" s="44">
        <f t="shared" ref="DT1133" si="1114">SUM(F1133:DR1133)</f>
        <v>1</v>
      </c>
    </row>
    <row r="1134" spans="2:124" s="13" customFormat="1">
      <c r="B1134" s="4">
        <f>'6.1Personnel List'!B1135</f>
        <v>1122</v>
      </c>
      <c r="C1134" s="45" t="s">
        <v>1348</v>
      </c>
      <c r="D1134" s="45" t="str">
        <f>'6.1Personnel List'!D1135</f>
        <v>Midwife II</v>
      </c>
      <c r="E1134" s="45" t="str">
        <f>'6.1Personnel List'!H1135</f>
        <v>FT</v>
      </c>
      <c r="G1134" s="41"/>
      <c r="H1134" s="41"/>
      <c r="I1134" s="41"/>
      <c r="J1134" s="41"/>
      <c r="K1134" s="41"/>
      <c r="L1134" s="41"/>
      <c r="M1134" s="41"/>
      <c r="N1134" s="41"/>
      <c r="O1134" s="41"/>
      <c r="P1134" s="41"/>
      <c r="Q1134" s="41"/>
      <c r="R1134" s="41"/>
      <c r="S1134" s="41"/>
      <c r="T1134" s="41"/>
      <c r="U1134" s="41"/>
      <c r="V1134" s="41"/>
      <c r="W1134" s="41"/>
      <c r="X1134" s="41"/>
      <c r="Y1134" s="41"/>
      <c r="Z1134" s="41"/>
      <c r="AA1134" s="41"/>
      <c r="AB1134" s="41"/>
      <c r="AC1134" s="41"/>
      <c r="AD1134" s="41"/>
      <c r="AE1134" s="41"/>
      <c r="AF1134" s="41"/>
      <c r="AG1134" s="41"/>
      <c r="AH1134" s="41"/>
      <c r="AI1134" s="41"/>
      <c r="AJ1134" s="41"/>
      <c r="AK1134" s="41"/>
      <c r="AL1134" s="41"/>
      <c r="AM1134" s="41"/>
      <c r="AN1134" s="41"/>
      <c r="AO1134" s="41"/>
      <c r="AP1134" s="41"/>
      <c r="AQ1134" s="41"/>
      <c r="AR1134" s="41"/>
      <c r="AS1134" s="41"/>
      <c r="AT1134" s="41"/>
      <c r="AU1134" s="41"/>
      <c r="AV1134" s="41"/>
      <c r="AW1134" s="41"/>
      <c r="AX1134" s="41"/>
      <c r="AY1134" s="41"/>
      <c r="AZ1134" s="41"/>
      <c r="BA1134" s="41"/>
      <c r="BB1134" s="41"/>
      <c r="BC1134" s="41"/>
      <c r="BD1134" s="41"/>
      <c r="BE1134" s="41"/>
      <c r="BF1134" s="41"/>
      <c r="BG1134" s="41"/>
      <c r="BH1134" s="41"/>
      <c r="BJ1134" s="41"/>
      <c r="BK1134" s="41"/>
      <c r="BL1134" s="41"/>
      <c r="BM1134" s="41"/>
      <c r="BN1134" s="41"/>
      <c r="BO1134" s="41"/>
      <c r="BP1134" s="41"/>
      <c r="BQ1134" s="41">
        <v>0.1</v>
      </c>
      <c r="BR1134" s="41"/>
      <c r="BS1134" s="41"/>
      <c r="BT1134" s="41"/>
      <c r="BU1134" s="41"/>
      <c r="BV1134" s="41">
        <v>0.1</v>
      </c>
      <c r="BW1134" s="41"/>
      <c r="BX1134" s="41"/>
      <c r="BY1134" s="41"/>
      <c r="BZ1134" s="41"/>
      <c r="CA1134" s="41"/>
      <c r="CB1134" s="41"/>
      <c r="CC1134" s="41"/>
      <c r="CD1134" s="41">
        <v>0.05</v>
      </c>
      <c r="CE1134" s="41">
        <v>0.05</v>
      </c>
      <c r="CF1134" s="41"/>
      <c r="CG1134" s="41"/>
      <c r="CH1134" s="41"/>
      <c r="CI1134" s="41"/>
      <c r="CJ1134" s="41"/>
      <c r="CK1134" s="41">
        <v>0.3</v>
      </c>
      <c r="CL1134" s="41"/>
      <c r="CM1134" s="41"/>
      <c r="CN1134" s="41"/>
      <c r="CO1134" s="41"/>
      <c r="CP1134" s="41"/>
      <c r="CQ1134" s="41"/>
      <c r="CR1134" s="41"/>
      <c r="CS1134" s="41"/>
      <c r="CT1134" s="41"/>
      <c r="CU1134" s="41">
        <v>0.1</v>
      </c>
      <c r="CV1134" s="41"/>
      <c r="CW1134" s="41"/>
      <c r="CX1134" s="41"/>
      <c r="CY1134" s="41">
        <v>0.25</v>
      </c>
      <c r="CZ1134" s="41"/>
      <c r="DA1134" s="41"/>
      <c r="DB1134" s="41"/>
      <c r="DC1134" s="41"/>
      <c r="DD1134" s="41">
        <v>0.05</v>
      </c>
      <c r="DE1134" s="41"/>
      <c r="DF1134" s="41"/>
      <c r="DG1134" s="41"/>
      <c r="DH1134" s="41"/>
      <c r="DI1134" s="41"/>
      <c r="DJ1134" s="41"/>
      <c r="DK1134" s="41"/>
      <c r="DL1134" s="41"/>
      <c r="DM1134" s="41"/>
      <c r="DN1134" s="41"/>
      <c r="DO1134" s="41"/>
      <c r="DP1134" s="41"/>
      <c r="DQ1134" s="41"/>
      <c r="DR1134" s="41"/>
      <c r="DS1134" s="43"/>
      <c r="DT1134" s="44">
        <f t="shared" ref="DT1134" si="1115">SUM(F1134:DR1134)</f>
        <v>1</v>
      </c>
    </row>
    <row r="1135" spans="2:124" s="13" customFormat="1">
      <c r="B1135" s="4">
        <f>'6.1Personnel List'!B1136</f>
        <v>1123</v>
      </c>
      <c r="C1135" s="45" t="s">
        <v>1349</v>
      </c>
      <c r="D1135" s="45" t="str">
        <f>'6.1Personnel List'!D1136</f>
        <v>Midwife II</v>
      </c>
      <c r="E1135" s="45" t="str">
        <f>'6.1Personnel List'!H1136</f>
        <v>FT</v>
      </c>
      <c r="G1135" s="41"/>
      <c r="H1135" s="41"/>
      <c r="I1135" s="41"/>
      <c r="J1135" s="41"/>
      <c r="K1135" s="41"/>
      <c r="L1135" s="41"/>
      <c r="M1135" s="41"/>
      <c r="N1135" s="41"/>
      <c r="O1135" s="41"/>
      <c r="P1135" s="41"/>
      <c r="Q1135" s="41"/>
      <c r="R1135" s="41"/>
      <c r="S1135" s="41"/>
      <c r="T1135" s="41"/>
      <c r="U1135" s="41"/>
      <c r="V1135" s="41"/>
      <c r="W1135" s="41"/>
      <c r="X1135" s="41"/>
      <c r="Y1135" s="41"/>
      <c r="Z1135" s="41"/>
      <c r="AA1135" s="41"/>
      <c r="AB1135" s="41"/>
      <c r="AC1135" s="41"/>
      <c r="AD1135" s="41"/>
      <c r="AE1135" s="41"/>
      <c r="AF1135" s="41"/>
      <c r="AG1135" s="41"/>
      <c r="AH1135" s="41"/>
      <c r="AI1135" s="41"/>
      <c r="AJ1135" s="41"/>
      <c r="AK1135" s="41"/>
      <c r="AL1135" s="41"/>
      <c r="AM1135" s="41"/>
      <c r="AN1135" s="41"/>
      <c r="AO1135" s="41"/>
      <c r="AP1135" s="41"/>
      <c r="AQ1135" s="41"/>
      <c r="AR1135" s="41"/>
      <c r="AS1135" s="41"/>
      <c r="AT1135" s="41"/>
      <c r="AU1135" s="41"/>
      <c r="AV1135" s="41"/>
      <c r="AW1135" s="41"/>
      <c r="AX1135" s="41"/>
      <c r="AY1135" s="41"/>
      <c r="AZ1135" s="41"/>
      <c r="BA1135" s="41"/>
      <c r="BB1135" s="41"/>
      <c r="BC1135" s="41"/>
      <c r="BD1135" s="41"/>
      <c r="BE1135" s="41"/>
      <c r="BF1135" s="41"/>
      <c r="BG1135" s="41"/>
      <c r="BH1135" s="41"/>
      <c r="BJ1135" s="41"/>
      <c r="BK1135" s="41"/>
      <c r="BL1135" s="41"/>
      <c r="BM1135" s="41"/>
      <c r="BN1135" s="41"/>
      <c r="BO1135" s="41"/>
      <c r="BP1135" s="41"/>
      <c r="BQ1135" s="41">
        <v>0.1</v>
      </c>
      <c r="BR1135" s="41"/>
      <c r="BS1135" s="41"/>
      <c r="BT1135" s="41"/>
      <c r="BU1135" s="41"/>
      <c r="BV1135" s="41">
        <v>0.1</v>
      </c>
      <c r="BW1135" s="41"/>
      <c r="BX1135" s="41"/>
      <c r="BY1135" s="41"/>
      <c r="BZ1135" s="41"/>
      <c r="CA1135" s="41"/>
      <c r="CB1135" s="41"/>
      <c r="CC1135" s="41"/>
      <c r="CD1135" s="41">
        <v>0.05</v>
      </c>
      <c r="CE1135" s="41">
        <v>0.05</v>
      </c>
      <c r="CF1135" s="41"/>
      <c r="CG1135" s="41"/>
      <c r="CH1135" s="41"/>
      <c r="CI1135" s="41"/>
      <c r="CJ1135" s="41"/>
      <c r="CK1135" s="41">
        <v>0.3</v>
      </c>
      <c r="CL1135" s="41"/>
      <c r="CM1135" s="41"/>
      <c r="CN1135" s="41"/>
      <c r="CO1135" s="41"/>
      <c r="CP1135" s="41"/>
      <c r="CQ1135" s="41"/>
      <c r="CR1135" s="41"/>
      <c r="CS1135" s="41"/>
      <c r="CT1135" s="41"/>
      <c r="CU1135" s="41">
        <v>0.1</v>
      </c>
      <c r="CV1135" s="41"/>
      <c r="CW1135" s="41"/>
      <c r="CX1135" s="41"/>
      <c r="CY1135" s="41">
        <v>0.25</v>
      </c>
      <c r="CZ1135" s="41"/>
      <c r="DA1135" s="41"/>
      <c r="DB1135" s="41"/>
      <c r="DC1135" s="41"/>
      <c r="DD1135" s="41">
        <v>0.05</v>
      </c>
      <c r="DE1135" s="41"/>
      <c r="DF1135" s="41"/>
      <c r="DG1135" s="41"/>
      <c r="DH1135" s="41"/>
      <c r="DI1135" s="41"/>
      <c r="DJ1135" s="41"/>
      <c r="DK1135" s="41"/>
      <c r="DL1135" s="41"/>
      <c r="DM1135" s="41"/>
      <c r="DN1135" s="41"/>
      <c r="DO1135" s="41"/>
      <c r="DP1135" s="41"/>
      <c r="DQ1135" s="41"/>
      <c r="DR1135" s="41"/>
      <c r="DS1135" s="43"/>
      <c r="DT1135" s="44">
        <f t="shared" ref="DT1135" si="1116">SUM(F1135:DR1135)</f>
        <v>1</v>
      </c>
    </row>
    <row r="1136" spans="2:124" s="13" customFormat="1">
      <c r="B1136" s="4">
        <f>'6.1Personnel List'!B1137</f>
        <v>1124</v>
      </c>
      <c r="C1136" s="45" t="s">
        <v>1350</v>
      </c>
      <c r="D1136" s="45" t="str">
        <f>'6.1Personnel List'!D1137</f>
        <v>Midwife II</v>
      </c>
      <c r="E1136" s="45" t="str">
        <f>'6.1Personnel List'!H1137</f>
        <v>FT</v>
      </c>
      <c r="G1136" s="41"/>
      <c r="H1136" s="41"/>
      <c r="I1136" s="41"/>
      <c r="J1136" s="41"/>
      <c r="K1136" s="41"/>
      <c r="L1136" s="41"/>
      <c r="M1136" s="41"/>
      <c r="N1136" s="41"/>
      <c r="O1136" s="41"/>
      <c r="P1136" s="41"/>
      <c r="Q1136" s="41"/>
      <c r="R1136" s="41"/>
      <c r="S1136" s="41"/>
      <c r="T1136" s="41"/>
      <c r="U1136" s="41"/>
      <c r="V1136" s="41"/>
      <c r="W1136" s="41"/>
      <c r="X1136" s="41"/>
      <c r="Y1136" s="41"/>
      <c r="Z1136" s="41"/>
      <c r="AA1136" s="41"/>
      <c r="AB1136" s="41"/>
      <c r="AC1136" s="41"/>
      <c r="AD1136" s="41"/>
      <c r="AE1136" s="41"/>
      <c r="AF1136" s="41"/>
      <c r="AG1136" s="41"/>
      <c r="AH1136" s="41"/>
      <c r="AI1136" s="41"/>
      <c r="AJ1136" s="41"/>
      <c r="AK1136" s="41"/>
      <c r="AL1136" s="41"/>
      <c r="AM1136" s="41"/>
      <c r="AN1136" s="41"/>
      <c r="AO1136" s="41"/>
      <c r="AP1136" s="41"/>
      <c r="AQ1136" s="41"/>
      <c r="AR1136" s="41"/>
      <c r="AS1136" s="41"/>
      <c r="AT1136" s="41"/>
      <c r="AU1136" s="41"/>
      <c r="AV1136" s="41"/>
      <c r="AW1136" s="41"/>
      <c r="AX1136" s="41"/>
      <c r="AY1136" s="41"/>
      <c r="AZ1136" s="41"/>
      <c r="BA1136" s="41"/>
      <c r="BB1136" s="41"/>
      <c r="BC1136" s="41"/>
      <c r="BD1136" s="41"/>
      <c r="BE1136" s="41"/>
      <c r="BF1136" s="41"/>
      <c r="BG1136" s="41"/>
      <c r="BH1136" s="41"/>
      <c r="BJ1136" s="41"/>
      <c r="BK1136" s="41"/>
      <c r="BL1136" s="41"/>
      <c r="BM1136" s="41"/>
      <c r="BN1136" s="41"/>
      <c r="BO1136" s="41"/>
      <c r="BP1136" s="41"/>
      <c r="BQ1136" s="41">
        <v>0.1</v>
      </c>
      <c r="BR1136" s="41"/>
      <c r="BS1136" s="41"/>
      <c r="BT1136" s="41"/>
      <c r="BU1136" s="41"/>
      <c r="BV1136" s="41">
        <v>0.1</v>
      </c>
      <c r="BW1136" s="41"/>
      <c r="BX1136" s="41"/>
      <c r="BY1136" s="41"/>
      <c r="BZ1136" s="41"/>
      <c r="CA1136" s="41"/>
      <c r="CB1136" s="41"/>
      <c r="CC1136" s="41"/>
      <c r="CD1136" s="41">
        <v>0.05</v>
      </c>
      <c r="CE1136" s="41">
        <v>0.05</v>
      </c>
      <c r="CF1136" s="41"/>
      <c r="CG1136" s="41"/>
      <c r="CH1136" s="41"/>
      <c r="CI1136" s="41"/>
      <c r="CJ1136" s="41"/>
      <c r="CK1136" s="41">
        <v>0.3</v>
      </c>
      <c r="CL1136" s="41"/>
      <c r="CM1136" s="41"/>
      <c r="CN1136" s="41"/>
      <c r="CO1136" s="41"/>
      <c r="CP1136" s="41"/>
      <c r="CQ1136" s="41"/>
      <c r="CR1136" s="41"/>
      <c r="CS1136" s="41"/>
      <c r="CT1136" s="41"/>
      <c r="CU1136" s="41">
        <v>0.1</v>
      </c>
      <c r="CV1136" s="41"/>
      <c r="CW1136" s="41"/>
      <c r="CX1136" s="41"/>
      <c r="CY1136" s="41">
        <v>0.25</v>
      </c>
      <c r="CZ1136" s="41"/>
      <c r="DA1136" s="41"/>
      <c r="DB1136" s="41"/>
      <c r="DC1136" s="41"/>
      <c r="DD1136" s="41">
        <v>0.05</v>
      </c>
      <c r="DE1136" s="41"/>
      <c r="DF1136" s="41"/>
      <c r="DG1136" s="41"/>
      <c r="DH1136" s="41"/>
      <c r="DI1136" s="41"/>
      <c r="DJ1136" s="41"/>
      <c r="DK1136" s="41"/>
      <c r="DL1136" s="41"/>
      <c r="DM1136" s="41"/>
      <c r="DN1136" s="41"/>
      <c r="DO1136" s="41"/>
      <c r="DP1136" s="41"/>
      <c r="DQ1136" s="41"/>
      <c r="DR1136" s="41"/>
      <c r="DS1136" s="43"/>
      <c r="DT1136" s="44">
        <f t="shared" ref="DT1136" si="1117">SUM(F1136:DR1136)</f>
        <v>1</v>
      </c>
    </row>
    <row r="1137" spans="2:124" s="13" customFormat="1">
      <c r="B1137" s="4">
        <f>'6.1Personnel List'!B1138</f>
        <v>1125</v>
      </c>
      <c r="C1137" s="45" t="s">
        <v>1351</v>
      </c>
      <c r="D1137" s="45" t="str">
        <f>'6.1Personnel List'!D1138</f>
        <v>Midwife II</v>
      </c>
      <c r="E1137" s="45" t="str">
        <f>'6.1Personnel List'!H1138</f>
        <v>FT</v>
      </c>
      <c r="G1137" s="41"/>
      <c r="H1137" s="41"/>
      <c r="I1137" s="41"/>
      <c r="J1137" s="41"/>
      <c r="K1137" s="41"/>
      <c r="L1137" s="41"/>
      <c r="M1137" s="41"/>
      <c r="N1137" s="41"/>
      <c r="O1137" s="41"/>
      <c r="P1137" s="41"/>
      <c r="Q1137" s="41"/>
      <c r="R1137" s="41"/>
      <c r="S1137" s="41"/>
      <c r="T1137" s="41"/>
      <c r="U1137" s="41"/>
      <c r="V1137" s="41"/>
      <c r="W1137" s="41"/>
      <c r="X1137" s="41"/>
      <c r="Y1137" s="41"/>
      <c r="Z1137" s="41"/>
      <c r="AA1137" s="41"/>
      <c r="AB1137" s="41"/>
      <c r="AC1137" s="41"/>
      <c r="AD1137" s="41"/>
      <c r="AE1137" s="41"/>
      <c r="AF1137" s="41"/>
      <c r="AG1137" s="41"/>
      <c r="AH1137" s="41"/>
      <c r="AI1137" s="41"/>
      <c r="AJ1137" s="41"/>
      <c r="AK1137" s="41"/>
      <c r="AL1137" s="41"/>
      <c r="AM1137" s="41"/>
      <c r="AN1137" s="41"/>
      <c r="AO1137" s="41"/>
      <c r="AP1137" s="41"/>
      <c r="AQ1137" s="41"/>
      <c r="AR1137" s="41"/>
      <c r="AS1137" s="41"/>
      <c r="AT1137" s="41"/>
      <c r="AU1137" s="41"/>
      <c r="AV1137" s="41"/>
      <c r="AW1137" s="41"/>
      <c r="AX1137" s="41"/>
      <c r="AY1137" s="41"/>
      <c r="AZ1137" s="41"/>
      <c r="BA1137" s="41"/>
      <c r="BB1137" s="41"/>
      <c r="BC1137" s="41"/>
      <c r="BD1137" s="41"/>
      <c r="BE1137" s="41"/>
      <c r="BF1137" s="41"/>
      <c r="BG1137" s="41"/>
      <c r="BH1137" s="41"/>
      <c r="BJ1137" s="41"/>
      <c r="BK1137" s="41"/>
      <c r="BL1137" s="41"/>
      <c r="BM1137" s="41"/>
      <c r="BN1137" s="41"/>
      <c r="BO1137" s="41"/>
      <c r="BP1137" s="41"/>
      <c r="BQ1137" s="41">
        <v>0.1</v>
      </c>
      <c r="BR1137" s="41"/>
      <c r="BS1137" s="41"/>
      <c r="BT1137" s="41"/>
      <c r="BU1137" s="41"/>
      <c r="BV1137" s="41">
        <v>0.1</v>
      </c>
      <c r="BW1137" s="41"/>
      <c r="BX1137" s="41"/>
      <c r="BY1137" s="41"/>
      <c r="BZ1137" s="41"/>
      <c r="CA1137" s="41"/>
      <c r="CB1137" s="41"/>
      <c r="CC1137" s="41"/>
      <c r="CD1137" s="41">
        <v>0.05</v>
      </c>
      <c r="CE1137" s="41">
        <v>0.05</v>
      </c>
      <c r="CF1137" s="41"/>
      <c r="CG1137" s="41"/>
      <c r="CH1137" s="41"/>
      <c r="CI1137" s="41"/>
      <c r="CJ1137" s="41"/>
      <c r="CK1137" s="41">
        <v>0.3</v>
      </c>
      <c r="CL1137" s="41"/>
      <c r="CM1137" s="41"/>
      <c r="CN1137" s="41"/>
      <c r="CO1137" s="41"/>
      <c r="CP1137" s="41"/>
      <c r="CQ1137" s="41"/>
      <c r="CR1137" s="41"/>
      <c r="CS1137" s="41"/>
      <c r="CT1137" s="41"/>
      <c r="CU1137" s="41">
        <v>0.1</v>
      </c>
      <c r="CV1137" s="41"/>
      <c r="CW1137" s="41"/>
      <c r="CX1137" s="41"/>
      <c r="CY1137" s="41">
        <v>0.25</v>
      </c>
      <c r="CZ1137" s="41"/>
      <c r="DA1137" s="41"/>
      <c r="DB1137" s="41"/>
      <c r="DC1137" s="41"/>
      <c r="DD1137" s="41">
        <v>0.05</v>
      </c>
      <c r="DE1137" s="41"/>
      <c r="DF1137" s="41"/>
      <c r="DG1137" s="41"/>
      <c r="DH1137" s="41"/>
      <c r="DI1137" s="41"/>
      <c r="DJ1137" s="41"/>
      <c r="DK1137" s="41"/>
      <c r="DL1137" s="41"/>
      <c r="DM1137" s="41"/>
      <c r="DN1137" s="41"/>
      <c r="DO1137" s="41"/>
      <c r="DP1137" s="41"/>
      <c r="DQ1137" s="41"/>
      <c r="DR1137" s="41"/>
      <c r="DS1137" s="43"/>
      <c r="DT1137" s="44">
        <f t="shared" ref="DT1137" si="1118">SUM(F1137:DR1137)</f>
        <v>1</v>
      </c>
    </row>
    <row r="1138" spans="2:124" s="13" customFormat="1">
      <c r="B1138" s="4">
        <f>'6.1Personnel List'!B1139</f>
        <v>1126</v>
      </c>
      <c r="C1138" s="45" t="s">
        <v>1352</v>
      </c>
      <c r="D1138" s="45" t="str">
        <f>'6.1Personnel List'!D1139</f>
        <v>Midwife II</v>
      </c>
      <c r="E1138" s="45" t="str">
        <f>'6.1Personnel List'!H1139</f>
        <v>FT</v>
      </c>
      <c r="G1138" s="41"/>
      <c r="H1138" s="41"/>
      <c r="I1138" s="41"/>
      <c r="J1138" s="41"/>
      <c r="K1138" s="41"/>
      <c r="L1138" s="41"/>
      <c r="M1138" s="41"/>
      <c r="N1138" s="41"/>
      <c r="O1138" s="41"/>
      <c r="P1138" s="41"/>
      <c r="Q1138" s="41"/>
      <c r="R1138" s="41"/>
      <c r="S1138" s="41"/>
      <c r="T1138" s="41"/>
      <c r="U1138" s="41"/>
      <c r="V1138" s="41"/>
      <c r="W1138" s="41"/>
      <c r="X1138" s="41"/>
      <c r="Y1138" s="41"/>
      <c r="Z1138" s="41"/>
      <c r="AA1138" s="41"/>
      <c r="AB1138" s="41"/>
      <c r="AC1138" s="41"/>
      <c r="AD1138" s="41"/>
      <c r="AE1138" s="41"/>
      <c r="AF1138" s="41"/>
      <c r="AG1138" s="41"/>
      <c r="AH1138" s="41"/>
      <c r="AI1138" s="41"/>
      <c r="AJ1138" s="41"/>
      <c r="AK1138" s="41"/>
      <c r="AL1138" s="41"/>
      <c r="AM1138" s="41"/>
      <c r="AN1138" s="41"/>
      <c r="AO1138" s="41"/>
      <c r="AP1138" s="41"/>
      <c r="AQ1138" s="41"/>
      <c r="AR1138" s="41"/>
      <c r="AS1138" s="41"/>
      <c r="AT1138" s="41"/>
      <c r="AU1138" s="41"/>
      <c r="AV1138" s="41"/>
      <c r="AW1138" s="41"/>
      <c r="AX1138" s="41"/>
      <c r="AY1138" s="41"/>
      <c r="AZ1138" s="41"/>
      <c r="BA1138" s="41"/>
      <c r="BB1138" s="41"/>
      <c r="BC1138" s="41"/>
      <c r="BD1138" s="41"/>
      <c r="BE1138" s="41"/>
      <c r="BF1138" s="41"/>
      <c r="BG1138" s="41"/>
      <c r="BH1138" s="41"/>
      <c r="BJ1138" s="41"/>
      <c r="BK1138" s="41"/>
      <c r="BL1138" s="41"/>
      <c r="BM1138" s="41"/>
      <c r="BN1138" s="41"/>
      <c r="BO1138" s="41"/>
      <c r="BP1138" s="41"/>
      <c r="BQ1138" s="41">
        <v>0.1</v>
      </c>
      <c r="BR1138" s="41"/>
      <c r="BS1138" s="41"/>
      <c r="BT1138" s="41"/>
      <c r="BU1138" s="41"/>
      <c r="BV1138" s="41">
        <v>0.1</v>
      </c>
      <c r="BW1138" s="41"/>
      <c r="BX1138" s="41"/>
      <c r="BY1138" s="41"/>
      <c r="BZ1138" s="41"/>
      <c r="CA1138" s="41"/>
      <c r="CB1138" s="41"/>
      <c r="CC1138" s="41"/>
      <c r="CD1138" s="41">
        <v>0.05</v>
      </c>
      <c r="CE1138" s="41">
        <v>0.05</v>
      </c>
      <c r="CF1138" s="41"/>
      <c r="CG1138" s="41"/>
      <c r="CH1138" s="41"/>
      <c r="CI1138" s="41"/>
      <c r="CJ1138" s="41"/>
      <c r="CK1138" s="41">
        <v>0.3</v>
      </c>
      <c r="CL1138" s="41"/>
      <c r="CM1138" s="41"/>
      <c r="CN1138" s="41"/>
      <c r="CO1138" s="41"/>
      <c r="CP1138" s="41"/>
      <c r="CQ1138" s="41"/>
      <c r="CR1138" s="41"/>
      <c r="CS1138" s="41"/>
      <c r="CT1138" s="41"/>
      <c r="CU1138" s="41">
        <v>0.1</v>
      </c>
      <c r="CV1138" s="41"/>
      <c r="CW1138" s="41"/>
      <c r="CX1138" s="41"/>
      <c r="CY1138" s="41">
        <v>0.25</v>
      </c>
      <c r="CZ1138" s="41"/>
      <c r="DA1138" s="41"/>
      <c r="DB1138" s="41"/>
      <c r="DC1138" s="41"/>
      <c r="DD1138" s="41">
        <v>0.05</v>
      </c>
      <c r="DE1138" s="41"/>
      <c r="DF1138" s="41"/>
      <c r="DG1138" s="41"/>
      <c r="DH1138" s="41"/>
      <c r="DI1138" s="41"/>
      <c r="DJ1138" s="41"/>
      <c r="DK1138" s="41"/>
      <c r="DL1138" s="41"/>
      <c r="DM1138" s="41"/>
      <c r="DN1138" s="41"/>
      <c r="DO1138" s="41"/>
      <c r="DP1138" s="41"/>
      <c r="DQ1138" s="41"/>
      <c r="DR1138" s="41"/>
      <c r="DS1138" s="43"/>
      <c r="DT1138" s="44">
        <f t="shared" ref="DT1138" si="1119">SUM(F1138:DR1138)</f>
        <v>1</v>
      </c>
    </row>
    <row r="1139" spans="2:124" s="13" customFormat="1">
      <c r="B1139" s="4">
        <f>'6.1Personnel List'!B1140</f>
        <v>1127</v>
      </c>
      <c r="C1139" s="45" t="s">
        <v>1353</v>
      </c>
      <c r="D1139" s="45" t="str">
        <f>'6.1Personnel List'!D1140</f>
        <v>Midwife II</v>
      </c>
      <c r="E1139" s="45" t="str">
        <f>'6.1Personnel List'!H1140</f>
        <v>FT</v>
      </c>
      <c r="G1139" s="41"/>
      <c r="H1139" s="41"/>
      <c r="I1139" s="41"/>
      <c r="J1139" s="41"/>
      <c r="K1139" s="41"/>
      <c r="L1139" s="41"/>
      <c r="M1139" s="41"/>
      <c r="N1139" s="41"/>
      <c r="O1139" s="41"/>
      <c r="P1139" s="41"/>
      <c r="Q1139" s="41"/>
      <c r="R1139" s="41"/>
      <c r="S1139" s="41"/>
      <c r="T1139" s="41"/>
      <c r="U1139" s="41"/>
      <c r="V1139" s="41"/>
      <c r="W1139" s="41"/>
      <c r="X1139" s="41"/>
      <c r="Y1139" s="41"/>
      <c r="Z1139" s="41"/>
      <c r="AA1139" s="41"/>
      <c r="AB1139" s="41"/>
      <c r="AC1139" s="41"/>
      <c r="AD1139" s="41"/>
      <c r="AE1139" s="41"/>
      <c r="AF1139" s="41"/>
      <c r="AG1139" s="41"/>
      <c r="AH1139" s="41"/>
      <c r="AI1139" s="41"/>
      <c r="AJ1139" s="41"/>
      <c r="AK1139" s="41"/>
      <c r="AL1139" s="41"/>
      <c r="AM1139" s="41"/>
      <c r="AN1139" s="41"/>
      <c r="AO1139" s="41"/>
      <c r="AP1139" s="41"/>
      <c r="AQ1139" s="41"/>
      <c r="AR1139" s="41"/>
      <c r="AS1139" s="41"/>
      <c r="AT1139" s="41"/>
      <c r="AU1139" s="41"/>
      <c r="AV1139" s="41"/>
      <c r="AW1139" s="41"/>
      <c r="AX1139" s="41"/>
      <c r="AY1139" s="41"/>
      <c r="AZ1139" s="41"/>
      <c r="BA1139" s="41"/>
      <c r="BB1139" s="41"/>
      <c r="BC1139" s="41"/>
      <c r="BD1139" s="41"/>
      <c r="BE1139" s="41"/>
      <c r="BF1139" s="41"/>
      <c r="BG1139" s="41"/>
      <c r="BH1139" s="41"/>
      <c r="BJ1139" s="41"/>
      <c r="BK1139" s="41"/>
      <c r="BL1139" s="41"/>
      <c r="BM1139" s="41"/>
      <c r="BN1139" s="41"/>
      <c r="BO1139" s="41"/>
      <c r="BP1139" s="41"/>
      <c r="BQ1139" s="41">
        <v>0.1</v>
      </c>
      <c r="BR1139" s="41"/>
      <c r="BS1139" s="41"/>
      <c r="BT1139" s="41"/>
      <c r="BU1139" s="41"/>
      <c r="BV1139" s="41">
        <v>0.1</v>
      </c>
      <c r="BW1139" s="41"/>
      <c r="BX1139" s="41"/>
      <c r="BY1139" s="41"/>
      <c r="BZ1139" s="41"/>
      <c r="CA1139" s="41"/>
      <c r="CB1139" s="41"/>
      <c r="CC1139" s="41"/>
      <c r="CD1139" s="41">
        <v>0.05</v>
      </c>
      <c r="CE1139" s="41">
        <v>0.05</v>
      </c>
      <c r="CF1139" s="41"/>
      <c r="CG1139" s="41"/>
      <c r="CH1139" s="41"/>
      <c r="CI1139" s="41"/>
      <c r="CJ1139" s="41"/>
      <c r="CK1139" s="41">
        <v>0.3</v>
      </c>
      <c r="CL1139" s="41"/>
      <c r="CM1139" s="41"/>
      <c r="CN1139" s="41"/>
      <c r="CO1139" s="41"/>
      <c r="CP1139" s="41"/>
      <c r="CQ1139" s="41"/>
      <c r="CR1139" s="41"/>
      <c r="CS1139" s="41"/>
      <c r="CT1139" s="41"/>
      <c r="CU1139" s="41">
        <v>0.1</v>
      </c>
      <c r="CV1139" s="41"/>
      <c r="CW1139" s="41"/>
      <c r="CX1139" s="41"/>
      <c r="CY1139" s="41">
        <v>0.25</v>
      </c>
      <c r="CZ1139" s="41"/>
      <c r="DA1139" s="41"/>
      <c r="DB1139" s="41"/>
      <c r="DC1139" s="41"/>
      <c r="DD1139" s="41">
        <v>0.05</v>
      </c>
      <c r="DE1139" s="41"/>
      <c r="DF1139" s="41"/>
      <c r="DG1139" s="41"/>
      <c r="DH1139" s="41"/>
      <c r="DI1139" s="41"/>
      <c r="DJ1139" s="41"/>
      <c r="DK1139" s="41"/>
      <c r="DL1139" s="41"/>
      <c r="DM1139" s="41"/>
      <c r="DN1139" s="41"/>
      <c r="DO1139" s="41"/>
      <c r="DP1139" s="41"/>
      <c r="DQ1139" s="41"/>
      <c r="DR1139" s="41"/>
      <c r="DS1139" s="43"/>
      <c r="DT1139" s="44">
        <f t="shared" ref="DT1139" si="1120">SUM(F1139:DR1139)</f>
        <v>1</v>
      </c>
    </row>
    <row r="1140" spans="2:124" s="13" customFormat="1">
      <c r="B1140" s="4">
        <f>'6.1Personnel List'!B1141</f>
        <v>1128</v>
      </c>
      <c r="C1140" s="45" t="s">
        <v>1354</v>
      </c>
      <c r="D1140" s="45" t="str">
        <f>'6.1Personnel List'!D1141</f>
        <v>Midwife II</v>
      </c>
      <c r="E1140" s="45" t="str">
        <f>'6.1Personnel List'!H1141</f>
        <v>FT</v>
      </c>
      <c r="G1140" s="41"/>
      <c r="H1140" s="41"/>
      <c r="I1140" s="41"/>
      <c r="J1140" s="41"/>
      <c r="K1140" s="41"/>
      <c r="L1140" s="41"/>
      <c r="M1140" s="41"/>
      <c r="N1140" s="41"/>
      <c r="O1140" s="41"/>
      <c r="P1140" s="41"/>
      <c r="Q1140" s="41"/>
      <c r="R1140" s="41"/>
      <c r="S1140" s="41"/>
      <c r="T1140" s="41"/>
      <c r="U1140" s="41"/>
      <c r="V1140" s="41"/>
      <c r="W1140" s="41"/>
      <c r="X1140" s="41"/>
      <c r="Y1140" s="41"/>
      <c r="Z1140" s="41"/>
      <c r="AA1140" s="41"/>
      <c r="AB1140" s="41"/>
      <c r="AC1140" s="41"/>
      <c r="AD1140" s="41"/>
      <c r="AE1140" s="41"/>
      <c r="AF1140" s="41"/>
      <c r="AG1140" s="41"/>
      <c r="AH1140" s="41"/>
      <c r="AI1140" s="41"/>
      <c r="AJ1140" s="41"/>
      <c r="AK1140" s="41"/>
      <c r="AL1140" s="41"/>
      <c r="AM1140" s="41"/>
      <c r="AN1140" s="41"/>
      <c r="AO1140" s="41"/>
      <c r="AP1140" s="41"/>
      <c r="AQ1140" s="41"/>
      <c r="AR1140" s="41"/>
      <c r="AS1140" s="41"/>
      <c r="AT1140" s="41"/>
      <c r="AU1140" s="41"/>
      <c r="AV1140" s="41"/>
      <c r="AW1140" s="41"/>
      <c r="AX1140" s="41"/>
      <c r="AY1140" s="41"/>
      <c r="AZ1140" s="41"/>
      <c r="BA1140" s="41"/>
      <c r="BB1140" s="41"/>
      <c r="BC1140" s="41"/>
      <c r="BD1140" s="41"/>
      <c r="BE1140" s="41"/>
      <c r="BF1140" s="41"/>
      <c r="BG1140" s="41"/>
      <c r="BH1140" s="41"/>
      <c r="BJ1140" s="41"/>
      <c r="BK1140" s="41"/>
      <c r="BL1140" s="41"/>
      <c r="BM1140" s="41"/>
      <c r="BN1140" s="41"/>
      <c r="BO1140" s="41"/>
      <c r="BP1140" s="41"/>
      <c r="BQ1140" s="41">
        <v>0.1</v>
      </c>
      <c r="BR1140" s="41"/>
      <c r="BS1140" s="41"/>
      <c r="BT1140" s="41"/>
      <c r="BU1140" s="41"/>
      <c r="BV1140" s="41">
        <v>0.1</v>
      </c>
      <c r="BW1140" s="41"/>
      <c r="BX1140" s="41"/>
      <c r="BY1140" s="41"/>
      <c r="BZ1140" s="41"/>
      <c r="CA1140" s="41"/>
      <c r="CB1140" s="41"/>
      <c r="CC1140" s="41"/>
      <c r="CD1140" s="41">
        <v>0.05</v>
      </c>
      <c r="CE1140" s="41">
        <v>0.05</v>
      </c>
      <c r="CF1140" s="41"/>
      <c r="CG1140" s="41"/>
      <c r="CH1140" s="41"/>
      <c r="CI1140" s="41"/>
      <c r="CJ1140" s="41"/>
      <c r="CK1140" s="41">
        <v>0.3</v>
      </c>
      <c r="CL1140" s="41"/>
      <c r="CM1140" s="41"/>
      <c r="CN1140" s="41"/>
      <c r="CO1140" s="41"/>
      <c r="CP1140" s="41"/>
      <c r="CQ1140" s="41"/>
      <c r="CR1140" s="41"/>
      <c r="CS1140" s="41"/>
      <c r="CT1140" s="41"/>
      <c r="CU1140" s="41">
        <v>0.1</v>
      </c>
      <c r="CV1140" s="41"/>
      <c r="CW1140" s="41"/>
      <c r="CX1140" s="41"/>
      <c r="CY1140" s="41">
        <v>0.25</v>
      </c>
      <c r="CZ1140" s="41"/>
      <c r="DA1140" s="41"/>
      <c r="DB1140" s="41"/>
      <c r="DC1140" s="41"/>
      <c r="DD1140" s="41">
        <v>0.05</v>
      </c>
      <c r="DE1140" s="41"/>
      <c r="DF1140" s="41"/>
      <c r="DG1140" s="41"/>
      <c r="DH1140" s="41"/>
      <c r="DI1140" s="41"/>
      <c r="DJ1140" s="41"/>
      <c r="DK1140" s="41"/>
      <c r="DL1140" s="41"/>
      <c r="DM1140" s="41"/>
      <c r="DN1140" s="41"/>
      <c r="DO1140" s="41"/>
      <c r="DP1140" s="41"/>
      <c r="DQ1140" s="41"/>
      <c r="DR1140" s="41"/>
      <c r="DS1140" s="43"/>
      <c r="DT1140" s="44">
        <f t="shared" ref="DT1140" si="1121">SUM(F1140:DR1140)</f>
        <v>1</v>
      </c>
    </row>
    <row r="1141" spans="2:124" s="13" customFormat="1">
      <c r="B1141" s="4">
        <f>'6.1Personnel List'!B1142</f>
        <v>1129</v>
      </c>
      <c r="C1141" s="45" t="s">
        <v>1355</v>
      </c>
      <c r="D1141" s="45" t="str">
        <f>'6.1Personnel List'!D1142</f>
        <v>Midwife I</v>
      </c>
      <c r="E1141" s="45" t="str">
        <f>'6.1Personnel List'!H1142</f>
        <v>FT</v>
      </c>
      <c r="G1141" s="41"/>
      <c r="H1141" s="41"/>
      <c r="I1141" s="41"/>
      <c r="J1141" s="41"/>
      <c r="K1141" s="41"/>
      <c r="L1141" s="41"/>
      <c r="M1141" s="41"/>
      <c r="N1141" s="41"/>
      <c r="O1141" s="41"/>
      <c r="P1141" s="41"/>
      <c r="Q1141" s="41"/>
      <c r="R1141" s="41"/>
      <c r="S1141" s="41"/>
      <c r="T1141" s="41"/>
      <c r="U1141" s="41"/>
      <c r="V1141" s="41"/>
      <c r="W1141" s="41"/>
      <c r="X1141" s="41"/>
      <c r="Y1141" s="41"/>
      <c r="Z1141" s="41"/>
      <c r="AA1141" s="41"/>
      <c r="AB1141" s="41"/>
      <c r="AC1141" s="41"/>
      <c r="AD1141" s="41"/>
      <c r="AE1141" s="41"/>
      <c r="AF1141" s="41"/>
      <c r="AG1141" s="41"/>
      <c r="AH1141" s="41"/>
      <c r="AI1141" s="41"/>
      <c r="AJ1141" s="41"/>
      <c r="AK1141" s="41"/>
      <c r="AL1141" s="41"/>
      <c r="AM1141" s="41"/>
      <c r="AN1141" s="41"/>
      <c r="AO1141" s="41"/>
      <c r="AP1141" s="41"/>
      <c r="AQ1141" s="41"/>
      <c r="AR1141" s="41"/>
      <c r="AS1141" s="41"/>
      <c r="AT1141" s="41"/>
      <c r="AU1141" s="41"/>
      <c r="AV1141" s="41"/>
      <c r="AW1141" s="41"/>
      <c r="AX1141" s="41"/>
      <c r="AY1141" s="41"/>
      <c r="AZ1141" s="41"/>
      <c r="BA1141" s="41"/>
      <c r="BB1141" s="41"/>
      <c r="BC1141" s="41"/>
      <c r="BD1141" s="41"/>
      <c r="BE1141" s="41"/>
      <c r="BF1141" s="41"/>
      <c r="BG1141" s="41"/>
      <c r="BH1141" s="41"/>
      <c r="BJ1141" s="41"/>
      <c r="BK1141" s="41"/>
      <c r="BL1141" s="41"/>
      <c r="BM1141" s="41"/>
      <c r="BN1141" s="41"/>
      <c r="BO1141" s="41"/>
      <c r="BP1141" s="41"/>
      <c r="BQ1141" s="41">
        <v>0.1</v>
      </c>
      <c r="BR1141" s="41"/>
      <c r="BS1141" s="41"/>
      <c r="BT1141" s="41"/>
      <c r="BU1141" s="41"/>
      <c r="BV1141" s="41">
        <v>0.1</v>
      </c>
      <c r="BW1141" s="41"/>
      <c r="BX1141" s="41"/>
      <c r="BY1141" s="41"/>
      <c r="BZ1141" s="41"/>
      <c r="CA1141" s="41"/>
      <c r="CB1141" s="41"/>
      <c r="CC1141" s="41"/>
      <c r="CD1141" s="41">
        <v>0.05</v>
      </c>
      <c r="CE1141" s="41">
        <v>0.05</v>
      </c>
      <c r="CF1141" s="41"/>
      <c r="CG1141" s="41"/>
      <c r="CH1141" s="41"/>
      <c r="CI1141" s="41"/>
      <c r="CJ1141" s="41"/>
      <c r="CK1141" s="41">
        <v>0.1</v>
      </c>
      <c r="CL1141" s="41"/>
      <c r="CM1141" s="41"/>
      <c r="CN1141" s="41"/>
      <c r="CO1141" s="41"/>
      <c r="CP1141" s="41"/>
      <c r="CQ1141" s="41"/>
      <c r="CR1141" s="41"/>
      <c r="CS1141" s="41"/>
      <c r="CT1141" s="41"/>
      <c r="CU1141" s="41">
        <v>0.1</v>
      </c>
      <c r="CV1141" s="41"/>
      <c r="CW1141" s="41"/>
      <c r="CX1141" s="41"/>
      <c r="CY1141" s="41">
        <v>0.25</v>
      </c>
      <c r="CZ1141" s="41"/>
      <c r="DA1141" s="41"/>
      <c r="DB1141" s="41"/>
      <c r="DC1141" s="41"/>
      <c r="DD1141" s="41">
        <v>0.05</v>
      </c>
      <c r="DE1141" s="41"/>
      <c r="DF1141" s="41"/>
      <c r="DG1141" s="41"/>
      <c r="DH1141" s="41"/>
      <c r="DI1141" s="41"/>
      <c r="DJ1141" s="41"/>
      <c r="DK1141" s="41"/>
      <c r="DL1141" s="41"/>
      <c r="DM1141" s="41">
        <v>0.2</v>
      </c>
      <c r="DN1141" s="41"/>
      <c r="DO1141" s="41"/>
      <c r="DP1141" s="41"/>
      <c r="DQ1141" s="41"/>
      <c r="DR1141" s="41"/>
      <c r="DS1141" s="43"/>
      <c r="DT1141" s="44">
        <f t="shared" ref="DT1141" si="1122">SUM(F1141:DR1141)</f>
        <v>1</v>
      </c>
    </row>
    <row r="1142" spans="2:124" s="13" customFormat="1">
      <c r="B1142" s="4">
        <f>'6.1Personnel List'!B1143</f>
        <v>1130</v>
      </c>
      <c r="C1142" s="45" t="s">
        <v>1357</v>
      </c>
      <c r="D1142" s="45" t="str">
        <f>'6.1Personnel List'!D1143</f>
        <v>Midwife I</v>
      </c>
      <c r="E1142" s="45" t="str">
        <f>'6.1Personnel List'!H1143</f>
        <v>FT</v>
      </c>
      <c r="G1142" s="41"/>
      <c r="H1142" s="41"/>
      <c r="I1142" s="41"/>
      <c r="J1142" s="41"/>
      <c r="K1142" s="41"/>
      <c r="L1142" s="41"/>
      <c r="M1142" s="41"/>
      <c r="N1142" s="41"/>
      <c r="O1142" s="41"/>
      <c r="P1142" s="41"/>
      <c r="Q1142" s="41"/>
      <c r="R1142" s="41"/>
      <c r="S1142" s="41"/>
      <c r="T1142" s="41"/>
      <c r="U1142" s="41"/>
      <c r="V1142" s="41"/>
      <c r="W1142" s="41"/>
      <c r="X1142" s="41"/>
      <c r="Y1142" s="41"/>
      <c r="Z1142" s="41"/>
      <c r="AA1142" s="41"/>
      <c r="AB1142" s="41"/>
      <c r="AC1142" s="41"/>
      <c r="AD1142" s="41"/>
      <c r="AE1142" s="41"/>
      <c r="AF1142" s="41"/>
      <c r="AG1142" s="41"/>
      <c r="AH1142" s="41"/>
      <c r="AI1142" s="41"/>
      <c r="AJ1142" s="41"/>
      <c r="AK1142" s="41"/>
      <c r="AL1142" s="41"/>
      <c r="AM1142" s="41"/>
      <c r="AN1142" s="41"/>
      <c r="AO1142" s="41"/>
      <c r="AP1142" s="41"/>
      <c r="AQ1142" s="41"/>
      <c r="AR1142" s="41"/>
      <c r="AS1142" s="41"/>
      <c r="AT1142" s="41"/>
      <c r="AU1142" s="41"/>
      <c r="AV1142" s="41"/>
      <c r="AW1142" s="41"/>
      <c r="AX1142" s="41"/>
      <c r="AY1142" s="41"/>
      <c r="AZ1142" s="41"/>
      <c r="BA1142" s="41"/>
      <c r="BB1142" s="41"/>
      <c r="BC1142" s="41"/>
      <c r="BD1142" s="41"/>
      <c r="BE1142" s="41"/>
      <c r="BF1142" s="41"/>
      <c r="BG1142" s="41"/>
      <c r="BH1142" s="41"/>
      <c r="BJ1142" s="41"/>
      <c r="BK1142" s="41"/>
      <c r="BL1142" s="41"/>
      <c r="BM1142" s="41"/>
      <c r="BN1142" s="41"/>
      <c r="BO1142" s="41"/>
      <c r="BP1142" s="41"/>
      <c r="BQ1142" s="41">
        <v>0.1</v>
      </c>
      <c r="BR1142" s="41"/>
      <c r="BS1142" s="41"/>
      <c r="BT1142" s="41"/>
      <c r="BU1142" s="41"/>
      <c r="BV1142" s="41">
        <v>0.1</v>
      </c>
      <c r="BW1142" s="41"/>
      <c r="BX1142" s="41"/>
      <c r="BY1142" s="41"/>
      <c r="BZ1142" s="41"/>
      <c r="CA1142" s="41"/>
      <c r="CB1142" s="41"/>
      <c r="CC1142" s="41"/>
      <c r="CD1142" s="41">
        <v>0.05</v>
      </c>
      <c r="CE1142" s="41">
        <v>0.05</v>
      </c>
      <c r="CF1142" s="41"/>
      <c r="CG1142" s="41"/>
      <c r="CH1142" s="41"/>
      <c r="CI1142" s="41"/>
      <c r="CJ1142" s="41"/>
      <c r="CK1142" s="41">
        <v>0.1</v>
      </c>
      <c r="CL1142" s="41"/>
      <c r="CM1142" s="41"/>
      <c r="CN1142" s="41"/>
      <c r="CO1142" s="41"/>
      <c r="CP1142" s="41"/>
      <c r="CQ1142" s="41"/>
      <c r="CR1142" s="41"/>
      <c r="CS1142" s="41"/>
      <c r="CT1142" s="41"/>
      <c r="CU1142" s="41">
        <v>0.1</v>
      </c>
      <c r="CV1142" s="41"/>
      <c r="CW1142" s="41"/>
      <c r="CX1142" s="41"/>
      <c r="CY1142" s="41">
        <v>0.25</v>
      </c>
      <c r="CZ1142" s="41"/>
      <c r="DA1142" s="41"/>
      <c r="DB1142" s="41"/>
      <c r="DC1142" s="41"/>
      <c r="DD1142" s="41">
        <v>0.05</v>
      </c>
      <c r="DE1142" s="41"/>
      <c r="DF1142" s="41"/>
      <c r="DG1142" s="41"/>
      <c r="DH1142" s="41"/>
      <c r="DI1142" s="41"/>
      <c r="DJ1142" s="41"/>
      <c r="DK1142" s="41"/>
      <c r="DL1142" s="41"/>
      <c r="DM1142" s="41">
        <v>0.2</v>
      </c>
      <c r="DN1142" s="41"/>
      <c r="DO1142" s="41"/>
      <c r="DP1142" s="41"/>
      <c r="DQ1142" s="41"/>
      <c r="DR1142" s="41"/>
      <c r="DS1142" s="43"/>
      <c r="DT1142" s="44">
        <f t="shared" ref="DT1142" si="1123">SUM(F1142:DR1142)</f>
        <v>1</v>
      </c>
    </row>
    <row r="1143" spans="2:124" s="13" customFormat="1">
      <c r="B1143" s="4">
        <f>'6.1Personnel List'!B1144</f>
        <v>1131</v>
      </c>
      <c r="C1143" s="45" t="s">
        <v>1358</v>
      </c>
      <c r="D1143" s="45" t="str">
        <f>'6.1Personnel List'!D1144</f>
        <v>Midwife I</v>
      </c>
      <c r="E1143" s="45" t="str">
        <f>'6.1Personnel List'!H1144</f>
        <v>FT</v>
      </c>
      <c r="G1143" s="41"/>
      <c r="H1143" s="41"/>
      <c r="I1143" s="41"/>
      <c r="J1143" s="41"/>
      <c r="K1143" s="41"/>
      <c r="L1143" s="41"/>
      <c r="M1143" s="41"/>
      <c r="N1143" s="41"/>
      <c r="O1143" s="41"/>
      <c r="P1143" s="41"/>
      <c r="Q1143" s="41"/>
      <c r="R1143" s="41"/>
      <c r="S1143" s="41"/>
      <c r="T1143" s="41"/>
      <c r="U1143" s="41"/>
      <c r="V1143" s="41"/>
      <c r="W1143" s="41"/>
      <c r="X1143" s="41"/>
      <c r="Y1143" s="41"/>
      <c r="Z1143" s="41"/>
      <c r="AA1143" s="41"/>
      <c r="AB1143" s="41"/>
      <c r="AC1143" s="41"/>
      <c r="AD1143" s="41"/>
      <c r="AE1143" s="41"/>
      <c r="AF1143" s="41"/>
      <c r="AG1143" s="41"/>
      <c r="AH1143" s="41"/>
      <c r="AI1143" s="41"/>
      <c r="AJ1143" s="41"/>
      <c r="AK1143" s="41"/>
      <c r="AL1143" s="41"/>
      <c r="AM1143" s="41"/>
      <c r="AN1143" s="41"/>
      <c r="AO1143" s="41"/>
      <c r="AP1143" s="41"/>
      <c r="AQ1143" s="41"/>
      <c r="AR1143" s="41"/>
      <c r="AS1143" s="41"/>
      <c r="AT1143" s="41"/>
      <c r="AU1143" s="41"/>
      <c r="AV1143" s="41"/>
      <c r="AW1143" s="41"/>
      <c r="AX1143" s="41"/>
      <c r="AY1143" s="41"/>
      <c r="AZ1143" s="41"/>
      <c r="BA1143" s="41"/>
      <c r="BB1143" s="41"/>
      <c r="BC1143" s="41"/>
      <c r="BD1143" s="41"/>
      <c r="BE1143" s="41"/>
      <c r="BF1143" s="41"/>
      <c r="BG1143" s="41"/>
      <c r="BH1143" s="41"/>
      <c r="BJ1143" s="41"/>
      <c r="BK1143" s="41"/>
      <c r="BL1143" s="41"/>
      <c r="BM1143" s="41"/>
      <c r="BN1143" s="41"/>
      <c r="BO1143" s="41"/>
      <c r="BP1143" s="41"/>
      <c r="BQ1143" s="41">
        <v>0.1</v>
      </c>
      <c r="BR1143" s="41"/>
      <c r="BS1143" s="41"/>
      <c r="BT1143" s="41"/>
      <c r="BU1143" s="41"/>
      <c r="BV1143" s="41">
        <v>0.1</v>
      </c>
      <c r="BW1143" s="41"/>
      <c r="BX1143" s="41"/>
      <c r="BY1143" s="41"/>
      <c r="BZ1143" s="41"/>
      <c r="CA1143" s="41"/>
      <c r="CB1143" s="41"/>
      <c r="CC1143" s="41"/>
      <c r="CD1143" s="41">
        <v>0.05</v>
      </c>
      <c r="CE1143" s="41">
        <v>0.05</v>
      </c>
      <c r="CF1143" s="41"/>
      <c r="CG1143" s="41"/>
      <c r="CH1143" s="41"/>
      <c r="CI1143" s="41"/>
      <c r="CJ1143" s="41"/>
      <c r="CK1143" s="41">
        <v>0.1</v>
      </c>
      <c r="CL1143" s="41"/>
      <c r="CM1143" s="41"/>
      <c r="CN1143" s="41"/>
      <c r="CO1143" s="41"/>
      <c r="CP1143" s="41"/>
      <c r="CQ1143" s="41"/>
      <c r="CR1143" s="41"/>
      <c r="CS1143" s="41"/>
      <c r="CT1143" s="41"/>
      <c r="CU1143" s="41">
        <v>0.1</v>
      </c>
      <c r="CV1143" s="41"/>
      <c r="CW1143" s="41"/>
      <c r="CX1143" s="41"/>
      <c r="CY1143" s="41">
        <v>0.25</v>
      </c>
      <c r="CZ1143" s="41"/>
      <c r="DA1143" s="41"/>
      <c r="DB1143" s="41"/>
      <c r="DC1143" s="41"/>
      <c r="DD1143" s="41">
        <v>0.05</v>
      </c>
      <c r="DE1143" s="41"/>
      <c r="DF1143" s="41"/>
      <c r="DG1143" s="41"/>
      <c r="DH1143" s="41"/>
      <c r="DI1143" s="41"/>
      <c r="DJ1143" s="41"/>
      <c r="DK1143" s="41"/>
      <c r="DL1143" s="41"/>
      <c r="DM1143" s="41">
        <v>0.2</v>
      </c>
      <c r="DN1143" s="41"/>
      <c r="DO1143" s="41"/>
      <c r="DP1143" s="41"/>
      <c r="DQ1143" s="41"/>
      <c r="DR1143" s="41"/>
      <c r="DS1143" s="43"/>
      <c r="DT1143" s="44">
        <f t="shared" ref="DT1143" si="1124">SUM(F1143:DR1143)</f>
        <v>1</v>
      </c>
    </row>
    <row r="1144" spans="2:124" s="13" customFormat="1">
      <c r="B1144" s="4">
        <f>'6.1Personnel List'!B1145</f>
        <v>1132</v>
      </c>
      <c r="C1144" s="45" t="s">
        <v>1359</v>
      </c>
      <c r="D1144" s="45" t="str">
        <f>'6.1Personnel List'!D1145</f>
        <v>Midwife I</v>
      </c>
      <c r="E1144" s="45" t="str">
        <f>'6.1Personnel List'!H1145</f>
        <v>FT</v>
      </c>
      <c r="G1144" s="41"/>
      <c r="H1144" s="41"/>
      <c r="I1144" s="41"/>
      <c r="J1144" s="41"/>
      <c r="K1144" s="41"/>
      <c r="L1144" s="41"/>
      <c r="M1144" s="41"/>
      <c r="N1144" s="41"/>
      <c r="O1144" s="41"/>
      <c r="P1144" s="41"/>
      <c r="Q1144" s="41"/>
      <c r="R1144" s="41"/>
      <c r="S1144" s="41"/>
      <c r="T1144" s="41"/>
      <c r="U1144" s="41"/>
      <c r="V1144" s="41"/>
      <c r="W1144" s="41"/>
      <c r="X1144" s="41"/>
      <c r="Y1144" s="41"/>
      <c r="Z1144" s="41"/>
      <c r="AA1144" s="41"/>
      <c r="AB1144" s="41"/>
      <c r="AC1144" s="41"/>
      <c r="AD1144" s="41"/>
      <c r="AE1144" s="41"/>
      <c r="AF1144" s="41"/>
      <c r="AG1144" s="41"/>
      <c r="AH1144" s="41"/>
      <c r="AI1144" s="41"/>
      <c r="AJ1144" s="41"/>
      <c r="AK1144" s="41"/>
      <c r="AL1144" s="41"/>
      <c r="AM1144" s="41"/>
      <c r="AN1144" s="41"/>
      <c r="AO1144" s="41"/>
      <c r="AP1144" s="41"/>
      <c r="AQ1144" s="41"/>
      <c r="AR1144" s="41"/>
      <c r="AS1144" s="41"/>
      <c r="AT1144" s="41"/>
      <c r="AU1144" s="41"/>
      <c r="AV1144" s="41"/>
      <c r="AW1144" s="41"/>
      <c r="AX1144" s="41"/>
      <c r="AY1144" s="41"/>
      <c r="AZ1144" s="41"/>
      <c r="BA1144" s="41"/>
      <c r="BB1144" s="41"/>
      <c r="BC1144" s="41"/>
      <c r="BD1144" s="41"/>
      <c r="BE1144" s="41"/>
      <c r="BF1144" s="41"/>
      <c r="BG1144" s="41"/>
      <c r="BH1144" s="41"/>
      <c r="BJ1144" s="41"/>
      <c r="BK1144" s="41"/>
      <c r="BL1144" s="41"/>
      <c r="BM1144" s="41"/>
      <c r="BN1144" s="41"/>
      <c r="BO1144" s="41"/>
      <c r="BP1144" s="41"/>
      <c r="BQ1144" s="41">
        <v>0.1</v>
      </c>
      <c r="BR1144" s="41"/>
      <c r="BS1144" s="41"/>
      <c r="BT1144" s="41"/>
      <c r="BU1144" s="41"/>
      <c r="BV1144" s="41">
        <v>0.1</v>
      </c>
      <c r="BW1144" s="41"/>
      <c r="BX1144" s="41"/>
      <c r="BY1144" s="41"/>
      <c r="BZ1144" s="41"/>
      <c r="CA1144" s="41"/>
      <c r="CB1144" s="41"/>
      <c r="CC1144" s="41"/>
      <c r="CD1144" s="41">
        <v>0.05</v>
      </c>
      <c r="CE1144" s="41">
        <v>0.05</v>
      </c>
      <c r="CF1144" s="41"/>
      <c r="CG1144" s="41"/>
      <c r="CH1144" s="41"/>
      <c r="CI1144" s="41"/>
      <c r="CJ1144" s="41"/>
      <c r="CK1144" s="41">
        <v>0.3</v>
      </c>
      <c r="CL1144" s="41"/>
      <c r="CM1144" s="41"/>
      <c r="CN1144" s="41"/>
      <c r="CO1144" s="41"/>
      <c r="CP1144" s="41"/>
      <c r="CQ1144" s="41"/>
      <c r="CR1144" s="41"/>
      <c r="CS1144" s="41"/>
      <c r="CT1144" s="41"/>
      <c r="CU1144" s="41">
        <v>0.1</v>
      </c>
      <c r="CV1144" s="41"/>
      <c r="CW1144" s="41"/>
      <c r="CX1144" s="41"/>
      <c r="CY1144" s="41">
        <v>0.25</v>
      </c>
      <c r="CZ1144" s="41"/>
      <c r="DA1144" s="41"/>
      <c r="DB1144" s="41"/>
      <c r="DC1144" s="41"/>
      <c r="DD1144" s="41">
        <v>0.05</v>
      </c>
      <c r="DE1144" s="41"/>
      <c r="DF1144" s="41"/>
      <c r="DG1144" s="41"/>
      <c r="DH1144" s="41"/>
      <c r="DI1144" s="41"/>
      <c r="DJ1144" s="41"/>
      <c r="DK1144" s="41"/>
      <c r="DL1144" s="41"/>
      <c r="DM1144" s="41"/>
      <c r="DN1144" s="41"/>
      <c r="DO1144" s="41"/>
      <c r="DP1144" s="41"/>
      <c r="DQ1144" s="41"/>
      <c r="DR1144" s="41"/>
      <c r="DS1144" s="43"/>
      <c r="DT1144" s="44">
        <f t="shared" ref="DT1144" si="1125">SUM(F1144:DR1144)</f>
        <v>1</v>
      </c>
    </row>
    <row r="1145" spans="2:124" s="13" customFormat="1">
      <c r="B1145" s="4">
        <f>'6.1Personnel List'!B1146</f>
        <v>1133</v>
      </c>
      <c r="C1145" s="45" t="s">
        <v>1360</v>
      </c>
      <c r="D1145" s="45" t="str">
        <f>'6.1Personnel List'!D1146</f>
        <v>Midwife I</v>
      </c>
      <c r="E1145" s="45" t="str">
        <f>'6.1Personnel List'!H1146</f>
        <v>FT</v>
      </c>
      <c r="G1145" s="41"/>
      <c r="H1145" s="41"/>
      <c r="I1145" s="41"/>
      <c r="J1145" s="41"/>
      <c r="K1145" s="41"/>
      <c r="L1145" s="41"/>
      <c r="M1145" s="41"/>
      <c r="N1145" s="41"/>
      <c r="O1145" s="41"/>
      <c r="P1145" s="41"/>
      <c r="Q1145" s="41"/>
      <c r="R1145" s="41"/>
      <c r="S1145" s="41"/>
      <c r="T1145" s="41"/>
      <c r="U1145" s="41"/>
      <c r="V1145" s="41"/>
      <c r="W1145" s="41"/>
      <c r="X1145" s="41"/>
      <c r="Y1145" s="41"/>
      <c r="Z1145" s="41"/>
      <c r="AA1145" s="41"/>
      <c r="AB1145" s="41"/>
      <c r="AC1145" s="41"/>
      <c r="AD1145" s="41"/>
      <c r="AE1145" s="41"/>
      <c r="AF1145" s="41"/>
      <c r="AG1145" s="41"/>
      <c r="AH1145" s="41"/>
      <c r="AI1145" s="41"/>
      <c r="AJ1145" s="41"/>
      <c r="AK1145" s="41"/>
      <c r="AL1145" s="41"/>
      <c r="AM1145" s="41"/>
      <c r="AN1145" s="41"/>
      <c r="AO1145" s="41"/>
      <c r="AP1145" s="41"/>
      <c r="AQ1145" s="41"/>
      <c r="AR1145" s="41"/>
      <c r="AS1145" s="41"/>
      <c r="AT1145" s="41"/>
      <c r="AU1145" s="41"/>
      <c r="AV1145" s="41"/>
      <c r="AW1145" s="41"/>
      <c r="AX1145" s="41"/>
      <c r="AY1145" s="41"/>
      <c r="AZ1145" s="41"/>
      <c r="BA1145" s="41"/>
      <c r="BB1145" s="41"/>
      <c r="BC1145" s="41"/>
      <c r="BD1145" s="41"/>
      <c r="BE1145" s="41"/>
      <c r="BF1145" s="41"/>
      <c r="BG1145" s="41"/>
      <c r="BH1145" s="41"/>
      <c r="BJ1145" s="41"/>
      <c r="BK1145" s="41"/>
      <c r="BL1145" s="41"/>
      <c r="BM1145" s="41"/>
      <c r="BN1145" s="41"/>
      <c r="BO1145" s="41"/>
      <c r="BP1145" s="41"/>
      <c r="BQ1145" s="41">
        <v>0.1</v>
      </c>
      <c r="BR1145" s="41"/>
      <c r="BS1145" s="41"/>
      <c r="BT1145" s="41"/>
      <c r="BU1145" s="41"/>
      <c r="BV1145" s="41">
        <v>0.1</v>
      </c>
      <c r="BW1145" s="41"/>
      <c r="BX1145" s="41"/>
      <c r="BY1145" s="41"/>
      <c r="BZ1145" s="41"/>
      <c r="CA1145" s="41"/>
      <c r="CB1145" s="41"/>
      <c r="CC1145" s="41"/>
      <c r="CD1145" s="41">
        <v>0.05</v>
      </c>
      <c r="CE1145" s="41">
        <v>0.05</v>
      </c>
      <c r="CF1145" s="41"/>
      <c r="CG1145" s="41"/>
      <c r="CH1145" s="41"/>
      <c r="CI1145" s="41"/>
      <c r="CJ1145" s="41"/>
      <c r="CK1145" s="41">
        <v>0.1</v>
      </c>
      <c r="CL1145" s="41"/>
      <c r="CM1145" s="41"/>
      <c r="CN1145" s="41"/>
      <c r="CO1145" s="41"/>
      <c r="CP1145" s="41"/>
      <c r="CQ1145" s="41"/>
      <c r="CR1145" s="41"/>
      <c r="CS1145" s="41"/>
      <c r="CT1145" s="41"/>
      <c r="CU1145" s="41">
        <v>0.1</v>
      </c>
      <c r="CV1145" s="41"/>
      <c r="CW1145" s="41"/>
      <c r="CX1145" s="41"/>
      <c r="CY1145" s="41">
        <v>0.25</v>
      </c>
      <c r="CZ1145" s="41"/>
      <c r="DA1145" s="41"/>
      <c r="DB1145" s="41"/>
      <c r="DC1145" s="41"/>
      <c r="DD1145" s="41">
        <v>0.05</v>
      </c>
      <c r="DE1145" s="41"/>
      <c r="DF1145" s="41"/>
      <c r="DG1145" s="41"/>
      <c r="DH1145" s="41"/>
      <c r="DI1145" s="41"/>
      <c r="DJ1145" s="41"/>
      <c r="DK1145" s="41"/>
      <c r="DL1145" s="41"/>
      <c r="DM1145" s="41">
        <v>0.2</v>
      </c>
      <c r="DN1145" s="41"/>
      <c r="DO1145" s="41"/>
      <c r="DP1145" s="41"/>
      <c r="DQ1145" s="41"/>
      <c r="DR1145" s="41"/>
      <c r="DS1145" s="43"/>
      <c r="DT1145" s="44">
        <f t="shared" ref="DT1145" si="1126">SUM(F1145:DR1145)</f>
        <v>1</v>
      </c>
    </row>
    <row r="1146" spans="2:124" s="13" customFormat="1">
      <c r="B1146" s="4">
        <f>'6.1Personnel List'!B1147</f>
        <v>1134</v>
      </c>
      <c r="C1146" s="45" t="s">
        <v>1361</v>
      </c>
      <c r="D1146" s="45" t="str">
        <f>'6.1Personnel List'!D1147</f>
        <v>Midwife I</v>
      </c>
      <c r="E1146" s="45" t="str">
        <f>'6.1Personnel List'!H1147</f>
        <v>FT</v>
      </c>
      <c r="G1146" s="41"/>
      <c r="H1146" s="41"/>
      <c r="I1146" s="41"/>
      <c r="J1146" s="41"/>
      <c r="K1146" s="41"/>
      <c r="L1146" s="41"/>
      <c r="M1146" s="41"/>
      <c r="N1146" s="41"/>
      <c r="O1146" s="41"/>
      <c r="P1146" s="41"/>
      <c r="Q1146" s="41"/>
      <c r="R1146" s="41"/>
      <c r="S1146" s="41"/>
      <c r="T1146" s="41"/>
      <c r="U1146" s="41"/>
      <c r="V1146" s="41"/>
      <c r="W1146" s="41"/>
      <c r="X1146" s="41"/>
      <c r="Y1146" s="41"/>
      <c r="Z1146" s="41"/>
      <c r="AA1146" s="41"/>
      <c r="AB1146" s="41"/>
      <c r="AC1146" s="41"/>
      <c r="AD1146" s="41"/>
      <c r="AE1146" s="41"/>
      <c r="AF1146" s="41"/>
      <c r="AG1146" s="41"/>
      <c r="AH1146" s="41"/>
      <c r="AI1146" s="41"/>
      <c r="AJ1146" s="41"/>
      <c r="AK1146" s="41"/>
      <c r="AL1146" s="41"/>
      <c r="AM1146" s="41"/>
      <c r="AN1146" s="41"/>
      <c r="AO1146" s="41"/>
      <c r="AP1146" s="41"/>
      <c r="AQ1146" s="41"/>
      <c r="AR1146" s="41"/>
      <c r="AS1146" s="41"/>
      <c r="AT1146" s="41"/>
      <c r="AU1146" s="41"/>
      <c r="AV1146" s="41"/>
      <c r="AW1146" s="41"/>
      <c r="AX1146" s="41"/>
      <c r="AY1146" s="41"/>
      <c r="AZ1146" s="41"/>
      <c r="BA1146" s="41"/>
      <c r="BB1146" s="41"/>
      <c r="BC1146" s="41"/>
      <c r="BD1146" s="41"/>
      <c r="BE1146" s="41"/>
      <c r="BF1146" s="41"/>
      <c r="BG1146" s="41"/>
      <c r="BH1146" s="41"/>
      <c r="BJ1146" s="41"/>
      <c r="BK1146" s="41"/>
      <c r="BL1146" s="41"/>
      <c r="BM1146" s="41"/>
      <c r="BN1146" s="41"/>
      <c r="BO1146" s="41"/>
      <c r="BP1146" s="41"/>
      <c r="BQ1146" s="41">
        <v>0.1</v>
      </c>
      <c r="BR1146" s="41"/>
      <c r="BS1146" s="41"/>
      <c r="BT1146" s="41"/>
      <c r="BU1146" s="41"/>
      <c r="BV1146" s="41">
        <v>0.1</v>
      </c>
      <c r="BW1146" s="41"/>
      <c r="BX1146" s="41"/>
      <c r="BY1146" s="41"/>
      <c r="BZ1146" s="41"/>
      <c r="CA1146" s="41"/>
      <c r="CB1146" s="41"/>
      <c r="CC1146" s="41"/>
      <c r="CD1146" s="41">
        <v>0.05</v>
      </c>
      <c r="CE1146" s="41">
        <v>0.05</v>
      </c>
      <c r="CF1146" s="41"/>
      <c r="CG1146" s="41"/>
      <c r="CH1146" s="41"/>
      <c r="CI1146" s="41"/>
      <c r="CJ1146" s="41"/>
      <c r="CK1146" s="41">
        <v>0.1</v>
      </c>
      <c r="CL1146" s="41"/>
      <c r="CM1146" s="41"/>
      <c r="CN1146" s="41"/>
      <c r="CO1146" s="41"/>
      <c r="CP1146" s="41"/>
      <c r="CQ1146" s="41"/>
      <c r="CR1146" s="41"/>
      <c r="CS1146" s="41"/>
      <c r="CT1146" s="41"/>
      <c r="CU1146" s="41">
        <v>0.1</v>
      </c>
      <c r="CV1146" s="41"/>
      <c r="CW1146" s="41"/>
      <c r="CX1146" s="41"/>
      <c r="CY1146" s="41">
        <v>0.25</v>
      </c>
      <c r="CZ1146" s="41"/>
      <c r="DA1146" s="41"/>
      <c r="DB1146" s="41"/>
      <c r="DC1146" s="41"/>
      <c r="DD1146" s="41">
        <v>0.05</v>
      </c>
      <c r="DE1146" s="41"/>
      <c r="DF1146" s="41"/>
      <c r="DG1146" s="41"/>
      <c r="DH1146" s="41"/>
      <c r="DI1146" s="41"/>
      <c r="DJ1146" s="41"/>
      <c r="DK1146" s="41"/>
      <c r="DL1146" s="41"/>
      <c r="DM1146" s="41">
        <v>0.2</v>
      </c>
      <c r="DN1146" s="41"/>
      <c r="DO1146" s="41"/>
      <c r="DP1146" s="41"/>
      <c r="DQ1146" s="41"/>
      <c r="DR1146" s="41"/>
      <c r="DS1146" s="43"/>
      <c r="DT1146" s="44">
        <f t="shared" ref="DT1146" si="1127">SUM(F1146:DR1146)</f>
        <v>1</v>
      </c>
    </row>
    <row r="1147" spans="2:124" s="13" customFormat="1">
      <c r="B1147" s="4">
        <f>'6.1Personnel List'!B1148</f>
        <v>1135</v>
      </c>
      <c r="C1147" s="45" t="s">
        <v>1362</v>
      </c>
      <c r="D1147" s="45" t="str">
        <f>'6.1Personnel List'!D1148</f>
        <v>Midwife I</v>
      </c>
      <c r="E1147" s="45" t="str">
        <f>'6.1Personnel List'!H1148</f>
        <v>FT</v>
      </c>
      <c r="G1147" s="41"/>
      <c r="H1147" s="41"/>
      <c r="I1147" s="41"/>
      <c r="J1147" s="41"/>
      <c r="K1147" s="41"/>
      <c r="L1147" s="41"/>
      <c r="M1147" s="41"/>
      <c r="N1147" s="41"/>
      <c r="O1147" s="41"/>
      <c r="P1147" s="41"/>
      <c r="Q1147" s="41"/>
      <c r="R1147" s="41"/>
      <c r="S1147" s="41"/>
      <c r="T1147" s="41"/>
      <c r="U1147" s="41"/>
      <c r="V1147" s="41"/>
      <c r="W1147" s="41"/>
      <c r="X1147" s="41"/>
      <c r="Y1147" s="41"/>
      <c r="Z1147" s="41"/>
      <c r="AA1147" s="41"/>
      <c r="AB1147" s="41"/>
      <c r="AC1147" s="41"/>
      <c r="AD1147" s="41"/>
      <c r="AE1147" s="41"/>
      <c r="AF1147" s="41"/>
      <c r="AG1147" s="41"/>
      <c r="AH1147" s="41"/>
      <c r="AI1147" s="41"/>
      <c r="AJ1147" s="41"/>
      <c r="AK1147" s="41"/>
      <c r="AL1147" s="41"/>
      <c r="AM1147" s="41"/>
      <c r="AN1147" s="41"/>
      <c r="AO1147" s="41"/>
      <c r="AP1147" s="41"/>
      <c r="AQ1147" s="41"/>
      <c r="AR1147" s="41"/>
      <c r="AS1147" s="41"/>
      <c r="AT1147" s="41"/>
      <c r="AU1147" s="41"/>
      <c r="AV1147" s="41"/>
      <c r="AW1147" s="41"/>
      <c r="AX1147" s="41"/>
      <c r="AY1147" s="41"/>
      <c r="AZ1147" s="41"/>
      <c r="BA1147" s="41"/>
      <c r="BB1147" s="41"/>
      <c r="BC1147" s="41"/>
      <c r="BD1147" s="41"/>
      <c r="BE1147" s="41"/>
      <c r="BF1147" s="41"/>
      <c r="BG1147" s="41"/>
      <c r="BH1147" s="41"/>
      <c r="BJ1147" s="41"/>
      <c r="BK1147" s="41"/>
      <c r="BL1147" s="41"/>
      <c r="BM1147" s="41"/>
      <c r="BN1147" s="41"/>
      <c r="BO1147" s="41"/>
      <c r="BP1147" s="41"/>
      <c r="BQ1147" s="41">
        <v>0.1</v>
      </c>
      <c r="BR1147" s="41"/>
      <c r="BS1147" s="41"/>
      <c r="BT1147" s="41"/>
      <c r="BU1147" s="41"/>
      <c r="BV1147" s="41">
        <v>0.1</v>
      </c>
      <c r="BW1147" s="41"/>
      <c r="BX1147" s="41"/>
      <c r="BY1147" s="41"/>
      <c r="BZ1147" s="41"/>
      <c r="CA1147" s="41"/>
      <c r="CB1147" s="41"/>
      <c r="CC1147" s="41"/>
      <c r="CD1147" s="41">
        <v>0.05</v>
      </c>
      <c r="CE1147" s="41">
        <v>0.05</v>
      </c>
      <c r="CF1147" s="41"/>
      <c r="CG1147" s="41"/>
      <c r="CH1147" s="41"/>
      <c r="CI1147" s="41"/>
      <c r="CJ1147" s="41"/>
      <c r="CK1147" s="41">
        <v>0.1</v>
      </c>
      <c r="CL1147" s="41"/>
      <c r="CM1147" s="41"/>
      <c r="CN1147" s="41"/>
      <c r="CO1147" s="41"/>
      <c r="CP1147" s="41"/>
      <c r="CQ1147" s="41"/>
      <c r="CR1147" s="41"/>
      <c r="CS1147" s="41"/>
      <c r="CT1147" s="41"/>
      <c r="CU1147" s="41">
        <v>0.1</v>
      </c>
      <c r="CV1147" s="41"/>
      <c r="CW1147" s="41"/>
      <c r="CX1147" s="41"/>
      <c r="CY1147" s="41">
        <v>0.25</v>
      </c>
      <c r="CZ1147" s="41"/>
      <c r="DA1147" s="41"/>
      <c r="DB1147" s="41"/>
      <c r="DC1147" s="41"/>
      <c r="DD1147" s="41">
        <v>0.05</v>
      </c>
      <c r="DE1147" s="41"/>
      <c r="DF1147" s="41"/>
      <c r="DG1147" s="41"/>
      <c r="DH1147" s="41"/>
      <c r="DI1147" s="41"/>
      <c r="DJ1147" s="41"/>
      <c r="DK1147" s="41"/>
      <c r="DL1147" s="41"/>
      <c r="DM1147" s="41">
        <v>0.2</v>
      </c>
      <c r="DN1147" s="41"/>
      <c r="DO1147" s="41"/>
      <c r="DP1147" s="41"/>
      <c r="DQ1147" s="41"/>
      <c r="DR1147" s="41"/>
      <c r="DS1147" s="43"/>
      <c r="DT1147" s="44">
        <f t="shared" ref="DT1147" si="1128">SUM(F1147:DR1147)</f>
        <v>1</v>
      </c>
    </row>
    <row r="1148" spans="2:124" s="13" customFormat="1">
      <c r="B1148" s="4">
        <f>'6.1Personnel List'!B1149</f>
        <v>1136</v>
      </c>
      <c r="C1148" s="45" t="s">
        <v>1363</v>
      </c>
      <c r="D1148" s="45" t="str">
        <f>'6.1Personnel List'!D1149</f>
        <v>Midwife I</v>
      </c>
      <c r="E1148" s="45" t="str">
        <f>'6.1Personnel List'!H1149</f>
        <v>FT</v>
      </c>
      <c r="G1148" s="41"/>
      <c r="H1148" s="41"/>
      <c r="I1148" s="41"/>
      <c r="J1148" s="41"/>
      <c r="K1148" s="41"/>
      <c r="L1148" s="41"/>
      <c r="M1148" s="41"/>
      <c r="N1148" s="41"/>
      <c r="O1148" s="41"/>
      <c r="P1148" s="41"/>
      <c r="Q1148" s="41"/>
      <c r="R1148" s="41"/>
      <c r="S1148" s="41"/>
      <c r="T1148" s="41"/>
      <c r="U1148" s="41"/>
      <c r="V1148" s="41"/>
      <c r="W1148" s="41"/>
      <c r="X1148" s="41"/>
      <c r="Y1148" s="41"/>
      <c r="Z1148" s="41"/>
      <c r="AA1148" s="41"/>
      <c r="AB1148" s="41"/>
      <c r="AC1148" s="41"/>
      <c r="AD1148" s="41"/>
      <c r="AE1148" s="41"/>
      <c r="AF1148" s="41"/>
      <c r="AG1148" s="41"/>
      <c r="AH1148" s="41"/>
      <c r="AI1148" s="41"/>
      <c r="AJ1148" s="41"/>
      <c r="AK1148" s="41"/>
      <c r="AL1148" s="41"/>
      <c r="AM1148" s="41"/>
      <c r="AN1148" s="41"/>
      <c r="AO1148" s="41"/>
      <c r="AP1148" s="41"/>
      <c r="AQ1148" s="41"/>
      <c r="AR1148" s="41"/>
      <c r="AS1148" s="41"/>
      <c r="AT1148" s="41"/>
      <c r="AU1148" s="41"/>
      <c r="AV1148" s="41"/>
      <c r="AW1148" s="41"/>
      <c r="AX1148" s="41"/>
      <c r="AY1148" s="41"/>
      <c r="AZ1148" s="41"/>
      <c r="BA1148" s="41"/>
      <c r="BB1148" s="41"/>
      <c r="BC1148" s="41"/>
      <c r="BD1148" s="41"/>
      <c r="BE1148" s="41"/>
      <c r="BF1148" s="41"/>
      <c r="BG1148" s="41"/>
      <c r="BH1148" s="41"/>
      <c r="BJ1148" s="41"/>
      <c r="BK1148" s="41"/>
      <c r="BL1148" s="41"/>
      <c r="BM1148" s="41"/>
      <c r="BN1148" s="41"/>
      <c r="BO1148" s="41"/>
      <c r="BP1148" s="41"/>
      <c r="BQ1148" s="41">
        <v>0.1</v>
      </c>
      <c r="BR1148" s="41"/>
      <c r="BS1148" s="41"/>
      <c r="BT1148" s="41"/>
      <c r="BU1148" s="41"/>
      <c r="BV1148" s="41">
        <v>0.1</v>
      </c>
      <c r="BW1148" s="41"/>
      <c r="BX1148" s="41"/>
      <c r="BY1148" s="41"/>
      <c r="BZ1148" s="41"/>
      <c r="CA1148" s="41"/>
      <c r="CB1148" s="41"/>
      <c r="CC1148" s="41"/>
      <c r="CD1148" s="41">
        <v>0.05</v>
      </c>
      <c r="CE1148" s="41">
        <v>0.05</v>
      </c>
      <c r="CF1148" s="41"/>
      <c r="CG1148" s="41"/>
      <c r="CH1148" s="41"/>
      <c r="CI1148" s="41"/>
      <c r="CJ1148" s="41"/>
      <c r="CK1148" s="41">
        <v>0.1</v>
      </c>
      <c r="CL1148" s="41"/>
      <c r="CM1148" s="41"/>
      <c r="CN1148" s="41"/>
      <c r="CO1148" s="41"/>
      <c r="CP1148" s="41"/>
      <c r="CQ1148" s="41"/>
      <c r="CR1148" s="41"/>
      <c r="CS1148" s="41"/>
      <c r="CT1148" s="41"/>
      <c r="CU1148" s="41">
        <v>0.1</v>
      </c>
      <c r="CV1148" s="41"/>
      <c r="CW1148" s="41"/>
      <c r="CX1148" s="41"/>
      <c r="CY1148" s="41">
        <v>0.25</v>
      </c>
      <c r="CZ1148" s="41"/>
      <c r="DA1148" s="41"/>
      <c r="DB1148" s="41"/>
      <c r="DC1148" s="41"/>
      <c r="DD1148" s="41">
        <v>0.05</v>
      </c>
      <c r="DE1148" s="41"/>
      <c r="DF1148" s="41"/>
      <c r="DG1148" s="41"/>
      <c r="DH1148" s="41"/>
      <c r="DI1148" s="41"/>
      <c r="DJ1148" s="41"/>
      <c r="DK1148" s="41"/>
      <c r="DL1148" s="41"/>
      <c r="DM1148" s="41">
        <v>0.2</v>
      </c>
      <c r="DN1148" s="41"/>
      <c r="DO1148" s="41"/>
      <c r="DP1148" s="41"/>
      <c r="DQ1148" s="41"/>
      <c r="DR1148" s="41"/>
      <c r="DS1148" s="43"/>
      <c r="DT1148" s="44">
        <f t="shared" ref="DT1148" si="1129">SUM(F1148:DR1148)</f>
        <v>1</v>
      </c>
    </row>
    <row r="1149" spans="2:124" s="13" customFormat="1">
      <c r="B1149" s="4">
        <f>'6.1Personnel List'!B1150</f>
        <v>1137</v>
      </c>
      <c r="C1149" s="45" t="s">
        <v>1364</v>
      </c>
      <c r="D1149" s="45" t="str">
        <f>'6.1Personnel List'!D1150</f>
        <v>Midwife I</v>
      </c>
      <c r="E1149" s="45" t="str">
        <f>'6.1Personnel List'!H1150</f>
        <v>FT</v>
      </c>
      <c r="G1149" s="41"/>
      <c r="H1149" s="41"/>
      <c r="I1149" s="41"/>
      <c r="J1149" s="41"/>
      <c r="K1149" s="41"/>
      <c r="L1149" s="41"/>
      <c r="M1149" s="41"/>
      <c r="N1149" s="41"/>
      <c r="O1149" s="41"/>
      <c r="P1149" s="41"/>
      <c r="Q1149" s="41"/>
      <c r="R1149" s="41"/>
      <c r="S1149" s="41"/>
      <c r="T1149" s="41"/>
      <c r="U1149" s="41"/>
      <c r="V1149" s="41"/>
      <c r="W1149" s="41"/>
      <c r="X1149" s="41"/>
      <c r="Y1149" s="41"/>
      <c r="Z1149" s="41"/>
      <c r="AA1149" s="41"/>
      <c r="AB1149" s="41"/>
      <c r="AC1149" s="41"/>
      <c r="AD1149" s="41"/>
      <c r="AE1149" s="41"/>
      <c r="AF1149" s="41"/>
      <c r="AG1149" s="41"/>
      <c r="AH1149" s="41"/>
      <c r="AI1149" s="41"/>
      <c r="AJ1149" s="41"/>
      <c r="AK1149" s="41"/>
      <c r="AL1149" s="41"/>
      <c r="AM1149" s="41"/>
      <c r="AN1149" s="41"/>
      <c r="AO1149" s="41"/>
      <c r="AP1149" s="41"/>
      <c r="AQ1149" s="41"/>
      <c r="AR1149" s="41"/>
      <c r="AS1149" s="41"/>
      <c r="AT1149" s="41"/>
      <c r="AU1149" s="41"/>
      <c r="AV1149" s="41"/>
      <c r="AW1149" s="41"/>
      <c r="AX1149" s="41"/>
      <c r="AY1149" s="41"/>
      <c r="AZ1149" s="41"/>
      <c r="BA1149" s="41"/>
      <c r="BB1149" s="41"/>
      <c r="BC1149" s="41"/>
      <c r="BD1149" s="41"/>
      <c r="BE1149" s="41"/>
      <c r="BF1149" s="41"/>
      <c r="BG1149" s="41"/>
      <c r="BH1149" s="41"/>
      <c r="BJ1149" s="41"/>
      <c r="BK1149" s="41"/>
      <c r="BL1149" s="41"/>
      <c r="BM1149" s="41"/>
      <c r="BN1149" s="41"/>
      <c r="BO1149" s="41"/>
      <c r="BP1149" s="41"/>
      <c r="BQ1149" s="41">
        <v>0.1</v>
      </c>
      <c r="BR1149" s="41"/>
      <c r="BS1149" s="41"/>
      <c r="BT1149" s="41"/>
      <c r="BU1149" s="41"/>
      <c r="BV1149" s="41">
        <v>0.1</v>
      </c>
      <c r="BW1149" s="41"/>
      <c r="BX1149" s="41"/>
      <c r="BY1149" s="41"/>
      <c r="BZ1149" s="41"/>
      <c r="CA1149" s="41"/>
      <c r="CB1149" s="41"/>
      <c r="CC1149" s="41"/>
      <c r="CD1149" s="41">
        <v>0.05</v>
      </c>
      <c r="CE1149" s="41">
        <v>0.05</v>
      </c>
      <c r="CF1149" s="41"/>
      <c r="CG1149" s="41"/>
      <c r="CH1149" s="41"/>
      <c r="CI1149" s="41"/>
      <c r="CJ1149" s="41"/>
      <c r="CK1149" s="41">
        <v>0.1</v>
      </c>
      <c r="CL1149" s="41"/>
      <c r="CM1149" s="41"/>
      <c r="CN1149" s="41"/>
      <c r="CO1149" s="41"/>
      <c r="CP1149" s="41"/>
      <c r="CQ1149" s="41"/>
      <c r="CR1149" s="41"/>
      <c r="CS1149" s="41"/>
      <c r="CT1149" s="41"/>
      <c r="CU1149" s="41">
        <v>0.1</v>
      </c>
      <c r="CV1149" s="41"/>
      <c r="CW1149" s="41"/>
      <c r="CX1149" s="41"/>
      <c r="CY1149" s="41">
        <v>0.25</v>
      </c>
      <c r="CZ1149" s="41"/>
      <c r="DA1149" s="41"/>
      <c r="DB1149" s="41"/>
      <c r="DC1149" s="41"/>
      <c r="DD1149" s="41">
        <v>0.05</v>
      </c>
      <c r="DE1149" s="41"/>
      <c r="DF1149" s="41"/>
      <c r="DG1149" s="41"/>
      <c r="DH1149" s="41"/>
      <c r="DI1149" s="41"/>
      <c r="DJ1149" s="41"/>
      <c r="DK1149" s="41"/>
      <c r="DL1149" s="41"/>
      <c r="DM1149" s="41">
        <v>0.2</v>
      </c>
      <c r="DN1149" s="41"/>
      <c r="DO1149" s="41"/>
      <c r="DP1149" s="41"/>
      <c r="DQ1149" s="41"/>
      <c r="DR1149" s="41"/>
      <c r="DS1149" s="43"/>
      <c r="DT1149" s="44">
        <f t="shared" ref="DT1149" si="1130">SUM(F1149:DR1149)</f>
        <v>1</v>
      </c>
    </row>
    <row r="1150" spans="2:124" s="13" customFormat="1">
      <c r="B1150" s="4">
        <f>'6.1Personnel List'!B1151</f>
        <v>1138</v>
      </c>
      <c r="C1150" s="45" t="s">
        <v>1365</v>
      </c>
      <c r="D1150" s="45" t="str">
        <f>'6.1Personnel List'!D1151</f>
        <v>Midwife I</v>
      </c>
      <c r="E1150" s="45" t="str">
        <f>'6.1Personnel List'!H1151</f>
        <v>FT</v>
      </c>
      <c r="G1150" s="41"/>
      <c r="H1150" s="41"/>
      <c r="I1150" s="41"/>
      <c r="J1150" s="41"/>
      <c r="K1150" s="41"/>
      <c r="L1150" s="41"/>
      <c r="M1150" s="41"/>
      <c r="N1150" s="41"/>
      <c r="O1150" s="41"/>
      <c r="P1150" s="41"/>
      <c r="Q1150" s="41"/>
      <c r="R1150" s="41"/>
      <c r="S1150" s="41"/>
      <c r="T1150" s="41"/>
      <c r="U1150" s="41"/>
      <c r="V1150" s="41"/>
      <c r="W1150" s="41"/>
      <c r="X1150" s="41"/>
      <c r="Y1150" s="41"/>
      <c r="Z1150" s="41"/>
      <c r="AA1150" s="41"/>
      <c r="AB1150" s="41"/>
      <c r="AC1150" s="41"/>
      <c r="AD1150" s="41"/>
      <c r="AE1150" s="41"/>
      <c r="AF1150" s="41"/>
      <c r="AG1150" s="41"/>
      <c r="AH1150" s="41"/>
      <c r="AI1150" s="41"/>
      <c r="AJ1150" s="41"/>
      <c r="AK1150" s="41"/>
      <c r="AL1150" s="41"/>
      <c r="AM1150" s="41"/>
      <c r="AN1150" s="41"/>
      <c r="AO1150" s="41"/>
      <c r="AP1150" s="41"/>
      <c r="AQ1150" s="41"/>
      <c r="AR1150" s="41"/>
      <c r="AS1150" s="41"/>
      <c r="AT1150" s="41"/>
      <c r="AU1150" s="41"/>
      <c r="AV1150" s="41"/>
      <c r="AW1150" s="41"/>
      <c r="AX1150" s="41"/>
      <c r="AY1150" s="41"/>
      <c r="AZ1150" s="41"/>
      <c r="BA1150" s="41"/>
      <c r="BB1150" s="41"/>
      <c r="BC1150" s="41"/>
      <c r="BD1150" s="41"/>
      <c r="BE1150" s="41"/>
      <c r="BF1150" s="41"/>
      <c r="BG1150" s="41"/>
      <c r="BH1150" s="41"/>
      <c r="BJ1150" s="41"/>
      <c r="BK1150" s="41"/>
      <c r="BL1150" s="41"/>
      <c r="BM1150" s="41"/>
      <c r="BN1150" s="41"/>
      <c r="BO1150" s="41"/>
      <c r="BP1150" s="41"/>
      <c r="BQ1150" s="41">
        <v>0.1</v>
      </c>
      <c r="BR1150" s="41"/>
      <c r="BS1150" s="41"/>
      <c r="BT1150" s="41"/>
      <c r="BU1150" s="41"/>
      <c r="BV1150" s="41">
        <v>0.1</v>
      </c>
      <c r="BW1150" s="41"/>
      <c r="BX1150" s="41"/>
      <c r="BY1150" s="41"/>
      <c r="BZ1150" s="41"/>
      <c r="CA1150" s="41"/>
      <c r="CB1150" s="41"/>
      <c r="CC1150" s="41"/>
      <c r="CD1150" s="41">
        <v>0.05</v>
      </c>
      <c r="CE1150" s="41">
        <v>0.05</v>
      </c>
      <c r="CF1150" s="41"/>
      <c r="CG1150" s="41"/>
      <c r="CH1150" s="41"/>
      <c r="CI1150" s="41"/>
      <c r="CJ1150" s="41"/>
      <c r="CK1150" s="41">
        <v>0.1</v>
      </c>
      <c r="CL1150" s="41"/>
      <c r="CM1150" s="41"/>
      <c r="CN1150" s="41"/>
      <c r="CO1150" s="41"/>
      <c r="CP1150" s="41"/>
      <c r="CQ1150" s="41"/>
      <c r="CR1150" s="41"/>
      <c r="CS1150" s="41"/>
      <c r="CT1150" s="41"/>
      <c r="CU1150" s="41">
        <v>0.1</v>
      </c>
      <c r="CV1150" s="41"/>
      <c r="CW1150" s="41"/>
      <c r="CX1150" s="41"/>
      <c r="CY1150" s="41">
        <v>0.25</v>
      </c>
      <c r="CZ1150" s="41"/>
      <c r="DA1150" s="41"/>
      <c r="DB1150" s="41"/>
      <c r="DC1150" s="41"/>
      <c r="DD1150" s="41">
        <v>0.05</v>
      </c>
      <c r="DE1150" s="41"/>
      <c r="DF1150" s="41"/>
      <c r="DG1150" s="41"/>
      <c r="DH1150" s="41"/>
      <c r="DI1150" s="41"/>
      <c r="DJ1150" s="41"/>
      <c r="DK1150" s="41"/>
      <c r="DL1150" s="41"/>
      <c r="DM1150" s="41">
        <v>0.2</v>
      </c>
      <c r="DN1150" s="41"/>
      <c r="DO1150" s="41"/>
      <c r="DP1150" s="41"/>
      <c r="DQ1150" s="41"/>
      <c r="DR1150" s="41"/>
      <c r="DS1150" s="43"/>
      <c r="DT1150" s="44">
        <f t="shared" ref="DT1150" si="1131">SUM(F1150:DR1150)</f>
        <v>1</v>
      </c>
    </row>
    <row r="1151" spans="2:124" s="13" customFormat="1">
      <c r="B1151" s="4">
        <f>'6.1Personnel List'!B1152</f>
        <v>1139</v>
      </c>
      <c r="C1151" s="45" t="s">
        <v>1366</v>
      </c>
      <c r="D1151" s="45" t="str">
        <f>'6.1Personnel List'!D1152</f>
        <v>Midwife I</v>
      </c>
      <c r="E1151" s="45" t="str">
        <f>'6.1Personnel List'!H1152</f>
        <v>FT</v>
      </c>
      <c r="G1151" s="41"/>
      <c r="H1151" s="41"/>
      <c r="I1151" s="41"/>
      <c r="J1151" s="41"/>
      <c r="K1151" s="41"/>
      <c r="L1151" s="41"/>
      <c r="M1151" s="41"/>
      <c r="N1151" s="41"/>
      <c r="O1151" s="41"/>
      <c r="P1151" s="41"/>
      <c r="Q1151" s="41"/>
      <c r="R1151" s="41"/>
      <c r="S1151" s="41"/>
      <c r="T1151" s="41"/>
      <c r="U1151" s="41"/>
      <c r="V1151" s="41"/>
      <c r="W1151" s="41"/>
      <c r="X1151" s="41"/>
      <c r="Y1151" s="41"/>
      <c r="Z1151" s="41"/>
      <c r="AA1151" s="41"/>
      <c r="AB1151" s="41"/>
      <c r="AC1151" s="41"/>
      <c r="AD1151" s="41"/>
      <c r="AE1151" s="41"/>
      <c r="AF1151" s="41"/>
      <c r="AG1151" s="41"/>
      <c r="AH1151" s="41"/>
      <c r="AI1151" s="41"/>
      <c r="AJ1151" s="41"/>
      <c r="AK1151" s="41"/>
      <c r="AL1151" s="41"/>
      <c r="AM1151" s="41"/>
      <c r="AN1151" s="41"/>
      <c r="AO1151" s="41"/>
      <c r="AP1151" s="41"/>
      <c r="AQ1151" s="41"/>
      <c r="AR1151" s="41"/>
      <c r="AS1151" s="41"/>
      <c r="AT1151" s="41"/>
      <c r="AU1151" s="41"/>
      <c r="AV1151" s="41"/>
      <c r="AW1151" s="41"/>
      <c r="AX1151" s="41"/>
      <c r="AY1151" s="41"/>
      <c r="AZ1151" s="41"/>
      <c r="BA1151" s="41"/>
      <c r="BB1151" s="41"/>
      <c r="BC1151" s="41"/>
      <c r="BD1151" s="41"/>
      <c r="BE1151" s="41"/>
      <c r="BF1151" s="41"/>
      <c r="BG1151" s="41"/>
      <c r="BH1151" s="41"/>
      <c r="BJ1151" s="41"/>
      <c r="BK1151" s="41"/>
      <c r="BL1151" s="41"/>
      <c r="BM1151" s="41"/>
      <c r="BN1151" s="41"/>
      <c r="BO1151" s="41"/>
      <c r="BP1151" s="41"/>
      <c r="BQ1151" s="41">
        <v>0.1</v>
      </c>
      <c r="BR1151" s="41"/>
      <c r="BS1151" s="41"/>
      <c r="BT1151" s="41"/>
      <c r="BU1151" s="41"/>
      <c r="BV1151" s="41">
        <v>0.1</v>
      </c>
      <c r="BW1151" s="41"/>
      <c r="BX1151" s="41"/>
      <c r="BY1151" s="41"/>
      <c r="BZ1151" s="41"/>
      <c r="CA1151" s="41"/>
      <c r="CB1151" s="41"/>
      <c r="CC1151" s="41"/>
      <c r="CD1151" s="41">
        <v>0.05</v>
      </c>
      <c r="CE1151" s="41">
        <v>0.05</v>
      </c>
      <c r="CF1151" s="41"/>
      <c r="CG1151" s="41"/>
      <c r="CH1151" s="41"/>
      <c r="CI1151" s="41"/>
      <c r="CJ1151" s="41"/>
      <c r="CK1151" s="41">
        <v>0.1</v>
      </c>
      <c r="CL1151" s="41"/>
      <c r="CM1151" s="41"/>
      <c r="CN1151" s="41"/>
      <c r="CO1151" s="41"/>
      <c r="CP1151" s="41"/>
      <c r="CQ1151" s="41"/>
      <c r="CR1151" s="41"/>
      <c r="CS1151" s="41"/>
      <c r="CT1151" s="41"/>
      <c r="CU1151" s="41">
        <v>0.1</v>
      </c>
      <c r="CV1151" s="41"/>
      <c r="CW1151" s="41"/>
      <c r="CX1151" s="41"/>
      <c r="CY1151" s="41">
        <v>0.25</v>
      </c>
      <c r="CZ1151" s="41"/>
      <c r="DA1151" s="41"/>
      <c r="DB1151" s="41"/>
      <c r="DC1151" s="41"/>
      <c r="DD1151" s="41">
        <v>0.05</v>
      </c>
      <c r="DE1151" s="41"/>
      <c r="DF1151" s="41"/>
      <c r="DG1151" s="41"/>
      <c r="DH1151" s="41"/>
      <c r="DI1151" s="41"/>
      <c r="DJ1151" s="41"/>
      <c r="DK1151" s="41"/>
      <c r="DL1151" s="41"/>
      <c r="DM1151" s="41">
        <v>0.2</v>
      </c>
      <c r="DN1151" s="41"/>
      <c r="DO1151" s="41"/>
      <c r="DP1151" s="41"/>
      <c r="DQ1151" s="41"/>
      <c r="DR1151" s="41"/>
      <c r="DS1151" s="43"/>
      <c r="DT1151" s="44">
        <f t="shared" ref="DT1151" si="1132">SUM(F1151:DR1151)</f>
        <v>1</v>
      </c>
    </row>
    <row r="1152" spans="2:124" s="13" customFormat="1">
      <c r="B1152" s="4">
        <f>'6.1Personnel List'!B1153</f>
        <v>1140</v>
      </c>
      <c r="C1152" s="45" t="s">
        <v>1367</v>
      </c>
      <c r="D1152" s="45" t="str">
        <f>'6.1Personnel List'!D1153</f>
        <v>Midwife I</v>
      </c>
      <c r="E1152" s="45" t="str">
        <f>'6.1Personnel List'!H1153</f>
        <v>FT</v>
      </c>
      <c r="G1152" s="41"/>
      <c r="H1152" s="41"/>
      <c r="I1152" s="41"/>
      <c r="J1152" s="41"/>
      <c r="K1152" s="41"/>
      <c r="L1152" s="41"/>
      <c r="M1152" s="41"/>
      <c r="N1152" s="41"/>
      <c r="O1152" s="41"/>
      <c r="P1152" s="41"/>
      <c r="Q1152" s="41"/>
      <c r="R1152" s="41"/>
      <c r="S1152" s="41"/>
      <c r="T1152" s="41"/>
      <c r="U1152" s="41"/>
      <c r="V1152" s="41"/>
      <c r="W1152" s="41"/>
      <c r="X1152" s="41"/>
      <c r="Y1152" s="41"/>
      <c r="Z1152" s="41"/>
      <c r="AA1152" s="41"/>
      <c r="AB1152" s="41"/>
      <c r="AC1152" s="41"/>
      <c r="AD1152" s="41"/>
      <c r="AE1152" s="41"/>
      <c r="AF1152" s="41"/>
      <c r="AG1152" s="41"/>
      <c r="AH1152" s="41"/>
      <c r="AI1152" s="41"/>
      <c r="AJ1152" s="41"/>
      <c r="AK1152" s="41"/>
      <c r="AL1152" s="41"/>
      <c r="AM1152" s="41"/>
      <c r="AN1152" s="41"/>
      <c r="AO1152" s="41"/>
      <c r="AP1152" s="41"/>
      <c r="AQ1152" s="41"/>
      <c r="AR1152" s="41"/>
      <c r="AS1152" s="41"/>
      <c r="AT1152" s="41"/>
      <c r="AU1152" s="41"/>
      <c r="AV1152" s="41"/>
      <c r="AW1152" s="41"/>
      <c r="AX1152" s="41"/>
      <c r="AY1152" s="41"/>
      <c r="AZ1152" s="41"/>
      <c r="BA1152" s="41"/>
      <c r="BB1152" s="41"/>
      <c r="BC1152" s="41"/>
      <c r="BD1152" s="41"/>
      <c r="BE1152" s="41"/>
      <c r="BF1152" s="41"/>
      <c r="BG1152" s="41"/>
      <c r="BH1152" s="41"/>
      <c r="BJ1152" s="41"/>
      <c r="BK1152" s="41"/>
      <c r="BL1152" s="41"/>
      <c r="BM1152" s="41"/>
      <c r="BN1152" s="41"/>
      <c r="BO1152" s="41"/>
      <c r="BP1152" s="41"/>
      <c r="BQ1152" s="41">
        <v>0.1</v>
      </c>
      <c r="BR1152" s="41"/>
      <c r="BS1152" s="41"/>
      <c r="BT1152" s="41"/>
      <c r="BU1152" s="41"/>
      <c r="BV1152" s="41">
        <v>0.1</v>
      </c>
      <c r="BW1152" s="41"/>
      <c r="BX1152" s="41"/>
      <c r="BY1152" s="41"/>
      <c r="BZ1152" s="41"/>
      <c r="CA1152" s="41"/>
      <c r="CB1152" s="41"/>
      <c r="CC1152" s="41"/>
      <c r="CD1152" s="41">
        <v>0.05</v>
      </c>
      <c r="CE1152" s="41">
        <v>0.05</v>
      </c>
      <c r="CF1152" s="41"/>
      <c r="CG1152" s="41"/>
      <c r="CH1152" s="41"/>
      <c r="CI1152" s="41"/>
      <c r="CJ1152" s="41"/>
      <c r="CK1152" s="41">
        <v>0.1</v>
      </c>
      <c r="CL1152" s="41"/>
      <c r="CM1152" s="41"/>
      <c r="CN1152" s="41"/>
      <c r="CO1152" s="41"/>
      <c r="CP1152" s="41"/>
      <c r="CQ1152" s="41"/>
      <c r="CR1152" s="41"/>
      <c r="CS1152" s="41"/>
      <c r="CT1152" s="41"/>
      <c r="CU1152" s="41">
        <v>0.1</v>
      </c>
      <c r="CV1152" s="41"/>
      <c r="CW1152" s="41"/>
      <c r="CX1152" s="41"/>
      <c r="CY1152" s="41">
        <v>0.25</v>
      </c>
      <c r="CZ1152" s="41"/>
      <c r="DA1152" s="41"/>
      <c r="DB1152" s="41"/>
      <c r="DC1152" s="41"/>
      <c r="DD1152" s="41">
        <v>0.05</v>
      </c>
      <c r="DE1152" s="41"/>
      <c r="DF1152" s="41"/>
      <c r="DG1152" s="41"/>
      <c r="DH1152" s="41"/>
      <c r="DI1152" s="41"/>
      <c r="DJ1152" s="41"/>
      <c r="DK1152" s="41"/>
      <c r="DL1152" s="41"/>
      <c r="DM1152" s="41">
        <v>0.2</v>
      </c>
      <c r="DN1152" s="41"/>
      <c r="DO1152" s="41"/>
      <c r="DP1152" s="41"/>
      <c r="DQ1152" s="41"/>
      <c r="DR1152" s="41"/>
      <c r="DS1152" s="43"/>
      <c r="DT1152" s="44">
        <f t="shared" ref="DT1152" si="1133">SUM(F1152:DR1152)</f>
        <v>1</v>
      </c>
    </row>
    <row r="1153" spans="2:124" s="13" customFormat="1">
      <c r="B1153" s="4">
        <f>'6.1Personnel List'!B1154</f>
        <v>1141</v>
      </c>
      <c r="C1153" s="45" t="s">
        <v>1368</v>
      </c>
      <c r="D1153" s="45" t="str">
        <f>'6.1Personnel List'!D1154</f>
        <v>Midwife I</v>
      </c>
      <c r="E1153" s="45" t="str">
        <f>'6.1Personnel List'!H1154</f>
        <v>FT</v>
      </c>
      <c r="G1153" s="41"/>
      <c r="H1153" s="41"/>
      <c r="I1153" s="41"/>
      <c r="J1153" s="41"/>
      <c r="K1153" s="41"/>
      <c r="L1153" s="41"/>
      <c r="M1153" s="41"/>
      <c r="N1153" s="41"/>
      <c r="O1153" s="41"/>
      <c r="P1153" s="41"/>
      <c r="Q1153" s="41"/>
      <c r="R1153" s="41"/>
      <c r="S1153" s="41"/>
      <c r="T1153" s="41"/>
      <c r="U1153" s="41"/>
      <c r="V1153" s="41"/>
      <c r="W1153" s="41"/>
      <c r="X1153" s="41"/>
      <c r="Y1153" s="41"/>
      <c r="Z1153" s="41"/>
      <c r="AA1153" s="41"/>
      <c r="AB1153" s="41"/>
      <c r="AC1153" s="41"/>
      <c r="AD1153" s="41"/>
      <c r="AE1153" s="41"/>
      <c r="AF1153" s="41"/>
      <c r="AG1153" s="41"/>
      <c r="AH1153" s="41"/>
      <c r="AI1153" s="41"/>
      <c r="AJ1153" s="41"/>
      <c r="AK1153" s="41"/>
      <c r="AL1153" s="41"/>
      <c r="AM1153" s="41"/>
      <c r="AN1153" s="41"/>
      <c r="AO1153" s="41"/>
      <c r="AP1153" s="41"/>
      <c r="AQ1153" s="41"/>
      <c r="AR1153" s="41"/>
      <c r="AS1153" s="41"/>
      <c r="AT1153" s="41"/>
      <c r="AU1153" s="41"/>
      <c r="AV1153" s="41"/>
      <c r="AW1153" s="41"/>
      <c r="AX1153" s="41"/>
      <c r="AY1153" s="41"/>
      <c r="AZ1153" s="41"/>
      <c r="BA1153" s="41"/>
      <c r="BB1153" s="41"/>
      <c r="BC1153" s="41"/>
      <c r="BD1153" s="41"/>
      <c r="BE1153" s="41"/>
      <c r="BF1153" s="41"/>
      <c r="BG1153" s="41"/>
      <c r="BH1153" s="41"/>
      <c r="BJ1153" s="41"/>
      <c r="BK1153" s="41"/>
      <c r="BL1153" s="41"/>
      <c r="BM1153" s="41"/>
      <c r="BN1153" s="41"/>
      <c r="BO1153" s="41"/>
      <c r="BP1153" s="41"/>
      <c r="BQ1153" s="41">
        <v>0.1</v>
      </c>
      <c r="BR1153" s="41"/>
      <c r="BS1153" s="41"/>
      <c r="BT1153" s="41"/>
      <c r="BU1153" s="41"/>
      <c r="BV1153" s="41">
        <v>0.1</v>
      </c>
      <c r="BW1153" s="41"/>
      <c r="BX1153" s="41"/>
      <c r="BY1153" s="41"/>
      <c r="BZ1153" s="41"/>
      <c r="CA1153" s="41"/>
      <c r="CB1153" s="41"/>
      <c r="CC1153" s="41"/>
      <c r="CD1153" s="41">
        <v>0.05</v>
      </c>
      <c r="CE1153" s="41">
        <v>0.05</v>
      </c>
      <c r="CF1153" s="41"/>
      <c r="CG1153" s="41"/>
      <c r="CH1153" s="41"/>
      <c r="CI1153" s="41"/>
      <c r="CJ1153" s="41"/>
      <c r="CK1153" s="41">
        <v>0.1</v>
      </c>
      <c r="CL1153" s="41"/>
      <c r="CM1153" s="41"/>
      <c r="CN1153" s="41"/>
      <c r="CO1153" s="41"/>
      <c r="CP1153" s="41"/>
      <c r="CQ1153" s="41"/>
      <c r="CR1153" s="41"/>
      <c r="CS1153" s="41"/>
      <c r="CT1153" s="41"/>
      <c r="CU1153" s="41">
        <v>0.1</v>
      </c>
      <c r="CV1153" s="41"/>
      <c r="CW1153" s="41"/>
      <c r="CX1153" s="41"/>
      <c r="CY1153" s="41">
        <v>0.25</v>
      </c>
      <c r="CZ1153" s="41"/>
      <c r="DA1153" s="41"/>
      <c r="DB1153" s="41"/>
      <c r="DC1153" s="41"/>
      <c r="DD1153" s="41">
        <v>0.05</v>
      </c>
      <c r="DE1153" s="41"/>
      <c r="DF1153" s="41"/>
      <c r="DG1153" s="41"/>
      <c r="DH1153" s="41"/>
      <c r="DI1153" s="41"/>
      <c r="DJ1153" s="41"/>
      <c r="DK1153" s="41"/>
      <c r="DL1153" s="41"/>
      <c r="DM1153" s="41">
        <v>0.2</v>
      </c>
      <c r="DN1153" s="41"/>
      <c r="DO1153" s="41"/>
      <c r="DP1153" s="41"/>
      <c r="DQ1153" s="41"/>
      <c r="DR1153" s="41"/>
      <c r="DS1153" s="43"/>
      <c r="DT1153" s="44">
        <f t="shared" ref="DT1153" si="1134">SUM(F1153:DR1153)</f>
        <v>1</v>
      </c>
    </row>
    <row r="1154" spans="2:124" s="13" customFormat="1">
      <c r="B1154" s="4">
        <f>'6.1Personnel List'!B1155</f>
        <v>1142</v>
      </c>
      <c r="C1154" s="45" t="s">
        <v>1369</v>
      </c>
      <c r="D1154" s="45" t="str">
        <f>'6.1Personnel List'!D1155</f>
        <v>Midwife I</v>
      </c>
      <c r="E1154" s="45" t="str">
        <f>'6.1Personnel List'!H1155</f>
        <v>FT</v>
      </c>
      <c r="G1154" s="41"/>
      <c r="H1154" s="41"/>
      <c r="I1154" s="41"/>
      <c r="J1154" s="41"/>
      <c r="K1154" s="41"/>
      <c r="L1154" s="41"/>
      <c r="M1154" s="41"/>
      <c r="N1154" s="41"/>
      <c r="O1154" s="41"/>
      <c r="P1154" s="41"/>
      <c r="Q1154" s="41"/>
      <c r="R1154" s="41"/>
      <c r="S1154" s="41"/>
      <c r="T1154" s="41"/>
      <c r="U1154" s="41"/>
      <c r="V1154" s="41"/>
      <c r="W1154" s="41"/>
      <c r="X1154" s="41"/>
      <c r="Y1154" s="41"/>
      <c r="Z1154" s="41"/>
      <c r="AA1154" s="41"/>
      <c r="AB1154" s="41"/>
      <c r="AC1154" s="41"/>
      <c r="AD1154" s="41"/>
      <c r="AE1154" s="41"/>
      <c r="AF1154" s="41"/>
      <c r="AG1154" s="41"/>
      <c r="AH1154" s="41"/>
      <c r="AI1154" s="41"/>
      <c r="AJ1154" s="41"/>
      <c r="AK1154" s="41"/>
      <c r="AL1154" s="41"/>
      <c r="AM1154" s="41"/>
      <c r="AN1154" s="41"/>
      <c r="AO1154" s="41"/>
      <c r="AP1154" s="41"/>
      <c r="AQ1154" s="41"/>
      <c r="AR1154" s="41"/>
      <c r="AS1154" s="41"/>
      <c r="AT1154" s="41"/>
      <c r="AU1154" s="41"/>
      <c r="AV1154" s="41"/>
      <c r="AW1154" s="41"/>
      <c r="AX1154" s="41"/>
      <c r="AY1154" s="41"/>
      <c r="AZ1154" s="41"/>
      <c r="BA1154" s="41"/>
      <c r="BB1154" s="41"/>
      <c r="BC1154" s="41"/>
      <c r="BD1154" s="41"/>
      <c r="BE1154" s="41"/>
      <c r="BF1154" s="41"/>
      <c r="BG1154" s="41"/>
      <c r="BH1154" s="41"/>
      <c r="BJ1154" s="41"/>
      <c r="BK1154" s="41"/>
      <c r="BL1154" s="41"/>
      <c r="BM1154" s="41"/>
      <c r="BN1154" s="41"/>
      <c r="BO1154" s="41"/>
      <c r="BP1154" s="41"/>
      <c r="BQ1154" s="41">
        <v>0.1</v>
      </c>
      <c r="BR1154" s="41"/>
      <c r="BS1154" s="41"/>
      <c r="BT1154" s="41"/>
      <c r="BU1154" s="41"/>
      <c r="BV1154" s="41">
        <v>0.1</v>
      </c>
      <c r="BW1154" s="41"/>
      <c r="BX1154" s="41"/>
      <c r="BY1154" s="41"/>
      <c r="BZ1154" s="41"/>
      <c r="CA1154" s="41"/>
      <c r="CB1154" s="41"/>
      <c r="CC1154" s="41"/>
      <c r="CD1154" s="41">
        <v>0.05</v>
      </c>
      <c r="CE1154" s="41">
        <v>0.05</v>
      </c>
      <c r="CF1154" s="41"/>
      <c r="CG1154" s="41"/>
      <c r="CH1154" s="41"/>
      <c r="CI1154" s="41"/>
      <c r="CJ1154" s="41"/>
      <c r="CK1154" s="41">
        <v>0.1</v>
      </c>
      <c r="CL1154" s="41"/>
      <c r="CM1154" s="41"/>
      <c r="CN1154" s="41"/>
      <c r="CO1154" s="41"/>
      <c r="CP1154" s="41"/>
      <c r="CQ1154" s="41"/>
      <c r="CR1154" s="41"/>
      <c r="CS1154" s="41"/>
      <c r="CT1154" s="41"/>
      <c r="CU1154" s="41">
        <v>0.1</v>
      </c>
      <c r="CV1154" s="41"/>
      <c r="CW1154" s="41"/>
      <c r="CX1154" s="41"/>
      <c r="CY1154" s="41">
        <v>0.25</v>
      </c>
      <c r="CZ1154" s="41"/>
      <c r="DA1154" s="41"/>
      <c r="DB1154" s="41"/>
      <c r="DC1154" s="41"/>
      <c r="DD1154" s="41">
        <v>0.05</v>
      </c>
      <c r="DE1154" s="41"/>
      <c r="DF1154" s="41"/>
      <c r="DG1154" s="41"/>
      <c r="DH1154" s="41"/>
      <c r="DI1154" s="41"/>
      <c r="DJ1154" s="41"/>
      <c r="DK1154" s="41"/>
      <c r="DL1154" s="41"/>
      <c r="DM1154" s="41">
        <v>0.2</v>
      </c>
      <c r="DN1154" s="41"/>
      <c r="DO1154" s="41"/>
      <c r="DP1154" s="41"/>
      <c r="DQ1154" s="41"/>
      <c r="DR1154" s="41"/>
      <c r="DS1154" s="43"/>
      <c r="DT1154" s="44">
        <f t="shared" ref="DT1154" si="1135">SUM(F1154:DR1154)</f>
        <v>1</v>
      </c>
    </row>
    <row r="1155" spans="2:124" s="13" customFormat="1">
      <c r="B1155" s="4">
        <f>'6.1Personnel List'!B1156</f>
        <v>1143</v>
      </c>
      <c r="C1155" s="45" t="s">
        <v>1370</v>
      </c>
      <c r="D1155" s="45" t="str">
        <f>'6.1Personnel List'!D1156</f>
        <v>Midwife I</v>
      </c>
      <c r="E1155" s="45" t="str">
        <f>'6.1Personnel List'!H1156</f>
        <v>FT</v>
      </c>
      <c r="G1155" s="41"/>
      <c r="H1155" s="41"/>
      <c r="I1155" s="41"/>
      <c r="J1155" s="41"/>
      <c r="K1155" s="41"/>
      <c r="L1155" s="41"/>
      <c r="M1155" s="41"/>
      <c r="N1155" s="41"/>
      <c r="O1155" s="41"/>
      <c r="P1155" s="41"/>
      <c r="Q1155" s="41"/>
      <c r="R1155" s="41"/>
      <c r="S1155" s="41"/>
      <c r="T1155" s="41"/>
      <c r="U1155" s="41"/>
      <c r="V1155" s="41"/>
      <c r="W1155" s="41"/>
      <c r="X1155" s="41"/>
      <c r="Y1155" s="41"/>
      <c r="Z1155" s="41"/>
      <c r="AA1155" s="41"/>
      <c r="AB1155" s="41"/>
      <c r="AC1155" s="41"/>
      <c r="AD1155" s="41"/>
      <c r="AE1155" s="41"/>
      <c r="AF1155" s="41"/>
      <c r="AG1155" s="41"/>
      <c r="AH1155" s="41"/>
      <c r="AI1155" s="41"/>
      <c r="AJ1155" s="41"/>
      <c r="AK1155" s="41"/>
      <c r="AL1155" s="41"/>
      <c r="AM1155" s="41"/>
      <c r="AN1155" s="41"/>
      <c r="AO1155" s="41"/>
      <c r="AP1155" s="41"/>
      <c r="AQ1155" s="41"/>
      <c r="AR1155" s="41"/>
      <c r="AS1155" s="41"/>
      <c r="AT1155" s="41"/>
      <c r="AU1155" s="41"/>
      <c r="AV1155" s="41"/>
      <c r="AW1155" s="41"/>
      <c r="AX1155" s="41"/>
      <c r="AY1155" s="41"/>
      <c r="AZ1155" s="41"/>
      <c r="BA1155" s="41"/>
      <c r="BB1155" s="41"/>
      <c r="BC1155" s="41"/>
      <c r="BD1155" s="41"/>
      <c r="BE1155" s="41"/>
      <c r="BF1155" s="41"/>
      <c r="BG1155" s="41"/>
      <c r="BH1155" s="41"/>
      <c r="BJ1155" s="41"/>
      <c r="BK1155" s="41"/>
      <c r="BL1155" s="41"/>
      <c r="BM1155" s="41"/>
      <c r="BN1155" s="41"/>
      <c r="BO1155" s="41"/>
      <c r="BP1155" s="41"/>
      <c r="BQ1155" s="41">
        <v>0.1</v>
      </c>
      <c r="BR1155" s="41"/>
      <c r="BS1155" s="41"/>
      <c r="BT1155" s="41"/>
      <c r="BU1155" s="41"/>
      <c r="BV1155" s="41">
        <v>0.1</v>
      </c>
      <c r="BW1155" s="41"/>
      <c r="BX1155" s="41"/>
      <c r="BY1155" s="41"/>
      <c r="BZ1155" s="41"/>
      <c r="CA1155" s="41"/>
      <c r="CB1155" s="41"/>
      <c r="CC1155" s="41"/>
      <c r="CD1155" s="41">
        <v>0.05</v>
      </c>
      <c r="CE1155" s="41">
        <v>0.05</v>
      </c>
      <c r="CF1155" s="41"/>
      <c r="CG1155" s="41"/>
      <c r="CH1155" s="41"/>
      <c r="CI1155" s="41"/>
      <c r="CJ1155" s="41"/>
      <c r="CK1155" s="41">
        <v>0.1</v>
      </c>
      <c r="CL1155" s="41"/>
      <c r="CM1155" s="41"/>
      <c r="CN1155" s="41"/>
      <c r="CO1155" s="41"/>
      <c r="CP1155" s="41"/>
      <c r="CQ1155" s="41"/>
      <c r="CR1155" s="41"/>
      <c r="CS1155" s="41"/>
      <c r="CT1155" s="41"/>
      <c r="CU1155" s="41">
        <v>0.1</v>
      </c>
      <c r="CV1155" s="41"/>
      <c r="CW1155" s="41"/>
      <c r="CX1155" s="41"/>
      <c r="CY1155" s="41">
        <v>0.25</v>
      </c>
      <c r="CZ1155" s="41"/>
      <c r="DA1155" s="41"/>
      <c r="DB1155" s="41"/>
      <c r="DC1155" s="41"/>
      <c r="DD1155" s="41">
        <v>0.05</v>
      </c>
      <c r="DE1155" s="41"/>
      <c r="DF1155" s="41"/>
      <c r="DG1155" s="41"/>
      <c r="DH1155" s="41"/>
      <c r="DI1155" s="41"/>
      <c r="DJ1155" s="41"/>
      <c r="DK1155" s="41"/>
      <c r="DL1155" s="41"/>
      <c r="DM1155" s="41">
        <v>0.2</v>
      </c>
      <c r="DN1155" s="41"/>
      <c r="DO1155" s="41"/>
      <c r="DP1155" s="41"/>
      <c r="DQ1155" s="41"/>
      <c r="DR1155" s="41"/>
      <c r="DS1155" s="43"/>
      <c r="DT1155" s="44">
        <f t="shared" ref="DT1155" si="1136">SUM(F1155:DR1155)</f>
        <v>1</v>
      </c>
    </row>
    <row r="1156" spans="2:124" s="13" customFormat="1">
      <c r="B1156" s="4">
        <f>'6.1Personnel List'!B1157</f>
        <v>1144</v>
      </c>
      <c r="C1156" s="45" t="s">
        <v>1371</v>
      </c>
      <c r="D1156" s="45" t="str">
        <f>'6.1Personnel List'!D1157</f>
        <v>Midwife I</v>
      </c>
      <c r="E1156" s="45" t="str">
        <f>'6.1Personnel List'!H1157</f>
        <v>FT</v>
      </c>
      <c r="G1156" s="41"/>
      <c r="H1156" s="41"/>
      <c r="I1156" s="41"/>
      <c r="J1156" s="41"/>
      <c r="K1156" s="41"/>
      <c r="L1156" s="41"/>
      <c r="M1156" s="41"/>
      <c r="N1156" s="41"/>
      <c r="O1156" s="41"/>
      <c r="P1156" s="41"/>
      <c r="Q1156" s="41"/>
      <c r="R1156" s="41"/>
      <c r="S1156" s="41"/>
      <c r="T1156" s="41"/>
      <c r="U1156" s="41"/>
      <c r="V1156" s="41"/>
      <c r="W1156" s="41"/>
      <c r="X1156" s="41"/>
      <c r="Y1156" s="41"/>
      <c r="Z1156" s="41"/>
      <c r="AA1156" s="41"/>
      <c r="AB1156" s="41"/>
      <c r="AC1156" s="41"/>
      <c r="AD1156" s="41"/>
      <c r="AE1156" s="41"/>
      <c r="AF1156" s="41"/>
      <c r="AG1156" s="41"/>
      <c r="AH1156" s="41"/>
      <c r="AI1156" s="41"/>
      <c r="AJ1156" s="41"/>
      <c r="AK1156" s="41"/>
      <c r="AL1156" s="41"/>
      <c r="AM1156" s="41"/>
      <c r="AN1156" s="41"/>
      <c r="AO1156" s="41"/>
      <c r="AP1156" s="41"/>
      <c r="AQ1156" s="41"/>
      <c r="AR1156" s="41"/>
      <c r="AS1156" s="41"/>
      <c r="AT1156" s="41"/>
      <c r="AU1156" s="41"/>
      <c r="AV1156" s="41"/>
      <c r="AW1156" s="41"/>
      <c r="AX1156" s="41"/>
      <c r="AY1156" s="41"/>
      <c r="AZ1156" s="41"/>
      <c r="BA1156" s="41"/>
      <c r="BB1156" s="41"/>
      <c r="BC1156" s="41"/>
      <c r="BD1156" s="41"/>
      <c r="BE1156" s="41"/>
      <c r="BF1156" s="41"/>
      <c r="BG1156" s="41"/>
      <c r="BH1156" s="41"/>
      <c r="BJ1156" s="41"/>
      <c r="BK1156" s="41"/>
      <c r="BL1156" s="41"/>
      <c r="BM1156" s="41"/>
      <c r="BN1156" s="41"/>
      <c r="BO1156" s="41"/>
      <c r="BP1156" s="41"/>
      <c r="BQ1156" s="41">
        <v>0.1</v>
      </c>
      <c r="BR1156" s="41"/>
      <c r="BS1156" s="41"/>
      <c r="BT1156" s="41"/>
      <c r="BU1156" s="41"/>
      <c r="BV1156" s="41">
        <v>0.1</v>
      </c>
      <c r="BW1156" s="41"/>
      <c r="BX1156" s="41"/>
      <c r="BY1156" s="41"/>
      <c r="BZ1156" s="41"/>
      <c r="CA1156" s="41"/>
      <c r="CB1156" s="41"/>
      <c r="CC1156" s="41"/>
      <c r="CD1156" s="41">
        <v>0.05</v>
      </c>
      <c r="CE1156" s="41">
        <v>0.05</v>
      </c>
      <c r="CF1156" s="41"/>
      <c r="CG1156" s="41"/>
      <c r="CH1156" s="41"/>
      <c r="CI1156" s="41"/>
      <c r="CJ1156" s="41"/>
      <c r="CK1156" s="41">
        <v>0.1</v>
      </c>
      <c r="CL1156" s="41"/>
      <c r="CM1156" s="41"/>
      <c r="CN1156" s="41"/>
      <c r="CO1156" s="41"/>
      <c r="CP1156" s="41"/>
      <c r="CQ1156" s="41"/>
      <c r="CR1156" s="41"/>
      <c r="CS1156" s="41"/>
      <c r="CT1156" s="41"/>
      <c r="CU1156" s="41">
        <v>0.1</v>
      </c>
      <c r="CV1156" s="41"/>
      <c r="CW1156" s="41"/>
      <c r="CX1156" s="41"/>
      <c r="CY1156" s="41">
        <v>0.25</v>
      </c>
      <c r="CZ1156" s="41"/>
      <c r="DA1156" s="41"/>
      <c r="DB1156" s="41"/>
      <c r="DC1156" s="41"/>
      <c r="DD1156" s="41">
        <v>0.05</v>
      </c>
      <c r="DE1156" s="41"/>
      <c r="DF1156" s="41"/>
      <c r="DG1156" s="41"/>
      <c r="DH1156" s="41"/>
      <c r="DI1156" s="41"/>
      <c r="DJ1156" s="41"/>
      <c r="DK1156" s="41"/>
      <c r="DL1156" s="41"/>
      <c r="DM1156" s="41">
        <v>0.2</v>
      </c>
      <c r="DN1156" s="41"/>
      <c r="DO1156" s="41"/>
      <c r="DP1156" s="41"/>
      <c r="DQ1156" s="41"/>
      <c r="DR1156" s="41"/>
      <c r="DS1156" s="43"/>
      <c r="DT1156" s="44">
        <f t="shared" ref="DT1156" si="1137">SUM(F1156:DR1156)</f>
        <v>1</v>
      </c>
    </row>
    <row r="1157" spans="2:124" s="13" customFormat="1">
      <c r="B1157" s="4">
        <f>'6.1Personnel List'!B1158</f>
        <v>1145</v>
      </c>
      <c r="C1157" s="45" t="s">
        <v>1372</v>
      </c>
      <c r="D1157" s="45" t="str">
        <f>'6.1Personnel List'!D1158</f>
        <v>Midwife I</v>
      </c>
      <c r="E1157" s="45" t="str">
        <f>'6.1Personnel List'!H1158</f>
        <v>FT</v>
      </c>
      <c r="G1157" s="41"/>
      <c r="H1157" s="41"/>
      <c r="I1157" s="41"/>
      <c r="J1157" s="41"/>
      <c r="K1157" s="41"/>
      <c r="L1157" s="41"/>
      <c r="M1157" s="41"/>
      <c r="N1157" s="41"/>
      <c r="O1157" s="41"/>
      <c r="P1157" s="41"/>
      <c r="Q1157" s="41"/>
      <c r="R1157" s="41"/>
      <c r="S1157" s="41"/>
      <c r="T1157" s="41"/>
      <c r="U1157" s="41"/>
      <c r="V1157" s="41"/>
      <c r="W1157" s="41"/>
      <c r="X1157" s="41"/>
      <c r="Y1157" s="41"/>
      <c r="Z1157" s="41"/>
      <c r="AA1157" s="41"/>
      <c r="AB1157" s="41"/>
      <c r="AC1157" s="41"/>
      <c r="AD1157" s="41"/>
      <c r="AE1157" s="41"/>
      <c r="AF1157" s="41"/>
      <c r="AG1157" s="41"/>
      <c r="AH1157" s="41"/>
      <c r="AI1157" s="41"/>
      <c r="AJ1157" s="41"/>
      <c r="AK1157" s="41"/>
      <c r="AL1157" s="41"/>
      <c r="AM1157" s="41"/>
      <c r="AN1157" s="41"/>
      <c r="AO1157" s="41"/>
      <c r="AP1157" s="41"/>
      <c r="AQ1157" s="41"/>
      <c r="AR1157" s="41"/>
      <c r="AS1157" s="41"/>
      <c r="AT1157" s="41"/>
      <c r="AU1157" s="41"/>
      <c r="AV1157" s="41"/>
      <c r="AW1157" s="41"/>
      <c r="AX1157" s="41"/>
      <c r="AY1157" s="41"/>
      <c r="AZ1157" s="41"/>
      <c r="BA1157" s="41"/>
      <c r="BB1157" s="41"/>
      <c r="BC1157" s="41"/>
      <c r="BD1157" s="41"/>
      <c r="BE1157" s="41"/>
      <c r="BF1157" s="41"/>
      <c r="BG1157" s="41"/>
      <c r="BH1157" s="41"/>
      <c r="BJ1157" s="41"/>
      <c r="BK1157" s="41"/>
      <c r="BL1157" s="41"/>
      <c r="BM1157" s="41"/>
      <c r="BN1157" s="41"/>
      <c r="BO1157" s="41"/>
      <c r="BP1157" s="41"/>
      <c r="BQ1157" s="41">
        <v>0.1</v>
      </c>
      <c r="BR1157" s="41"/>
      <c r="BS1157" s="41"/>
      <c r="BT1157" s="41"/>
      <c r="BU1157" s="41"/>
      <c r="BV1157" s="41">
        <v>0.1</v>
      </c>
      <c r="BW1157" s="41"/>
      <c r="BX1157" s="41"/>
      <c r="BY1157" s="41"/>
      <c r="BZ1157" s="41"/>
      <c r="CA1157" s="41"/>
      <c r="CB1157" s="41"/>
      <c r="CC1157" s="41"/>
      <c r="CD1157" s="41">
        <v>0.05</v>
      </c>
      <c r="CE1157" s="41">
        <v>0.05</v>
      </c>
      <c r="CF1157" s="41"/>
      <c r="CG1157" s="41"/>
      <c r="CH1157" s="41"/>
      <c r="CI1157" s="41"/>
      <c r="CJ1157" s="41"/>
      <c r="CK1157" s="41">
        <v>0.1</v>
      </c>
      <c r="CL1157" s="41"/>
      <c r="CM1157" s="41"/>
      <c r="CN1157" s="41"/>
      <c r="CO1157" s="41"/>
      <c r="CP1157" s="41"/>
      <c r="CQ1157" s="41"/>
      <c r="CR1157" s="41"/>
      <c r="CS1157" s="41"/>
      <c r="CT1157" s="41"/>
      <c r="CU1157" s="41">
        <v>0.1</v>
      </c>
      <c r="CV1157" s="41"/>
      <c r="CW1157" s="41"/>
      <c r="CX1157" s="41"/>
      <c r="CY1157" s="41">
        <v>0.25</v>
      </c>
      <c r="CZ1157" s="41"/>
      <c r="DA1157" s="41"/>
      <c r="DB1157" s="41"/>
      <c r="DC1157" s="41"/>
      <c r="DD1157" s="41">
        <v>0.05</v>
      </c>
      <c r="DE1157" s="41"/>
      <c r="DF1157" s="41"/>
      <c r="DG1157" s="41"/>
      <c r="DH1157" s="41"/>
      <c r="DI1157" s="41"/>
      <c r="DJ1157" s="41"/>
      <c r="DK1157" s="41"/>
      <c r="DL1157" s="41"/>
      <c r="DM1157" s="41">
        <v>0.2</v>
      </c>
      <c r="DN1157" s="41"/>
      <c r="DO1157" s="41"/>
      <c r="DP1157" s="41"/>
      <c r="DQ1157" s="41"/>
      <c r="DR1157" s="41"/>
      <c r="DS1157" s="43"/>
      <c r="DT1157" s="44">
        <f t="shared" ref="DT1157" si="1138">SUM(F1157:DR1157)</f>
        <v>1</v>
      </c>
    </row>
    <row r="1158" spans="2:124" s="13" customFormat="1">
      <c r="B1158" s="4">
        <f>'6.1Personnel List'!B1159</f>
        <v>1146</v>
      </c>
      <c r="C1158" s="45" t="s">
        <v>1373</v>
      </c>
      <c r="D1158" s="45" t="str">
        <f>'6.1Personnel List'!D1159</f>
        <v>Nursing Attendant II</v>
      </c>
      <c r="E1158" s="45" t="str">
        <f>'6.1Personnel List'!H1159</f>
        <v>FT</v>
      </c>
      <c r="G1158" s="41"/>
      <c r="H1158" s="41"/>
      <c r="I1158" s="41"/>
      <c r="J1158" s="41"/>
      <c r="K1158" s="41"/>
      <c r="L1158" s="41"/>
      <c r="M1158" s="41"/>
      <c r="N1158" s="41"/>
      <c r="O1158" s="41"/>
      <c r="P1158" s="41"/>
      <c r="Q1158" s="41"/>
      <c r="R1158" s="41"/>
      <c r="S1158" s="41"/>
      <c r="T1158" s="41"/>
      <c r="U1158" s="41"/>
      <c r="V1158" s="41"/>
      <c r="W1158" s="41"/>
      <c r="X1158" s="41"/>
      <c r="Y1158" s="41"/>
      <c r="Z1158" s="41"/>
      <c r="AA1158" s="41"/>
      <c r="AB1158" s="41"/>
      <c r="AC1158" s="41"/>
      <c r="AD1158" s="41"/>
      <c r="AE1158" s="41"/>
      <c r="AF1158" s="41"/>
      <c r="AG1158" s="41"/>
      <c r="AH1158" s="41"/>
      <c r="AI1158" s="41"/>
      <c r="AJ1158" s="41"/>
      <c r="AK1158" s="41"/>
      <c r="AL1158" s="41"/>
      <c r="AM1158" s="41"/>
      <c r="AN1158" s="41"/>
      <c r="AO1158" s="41"/>
      <c r="AP1158" s="41"/>
      <c r="AQ1158" s="41"/>
      <c r="AR1158" s="41"/>
      <c r="AS1158" s="41"/>
      <c r="AT1158" s="41"/>
      <c r="AU1158" s="41"/>
      <c r="AV1158" s="41"/>
      <c r="AW1158" s="41"/>
      <c r="AX1158" s="41"/>
      <c r="AY1158" s="41"/>
      <c r="AZ1158" s="41"/>
      <c r="BA1158" s="41"/>
      <c r="BB1158" s="41"/>
      <c r="BC1158" s="41"/>
      <c r="BD1158" s="41"/>
      <c r="BE1158" s="41"/>
      <c r="BF1158" s="41"/>
      <c r="BG1158" s="41"/>
      <c r="BH1158" s="41"/>
      <c r="BJ1158" s="41"/>
      <c r="BK1158" s="94"/>
      <c r="BL1158" s="94"/>
      <c r="BM1158" s="94"/>
      <c r="BN1158" s="94"/>
      <c r="BO1158" s="94"/>
      <c r="BP1158" s="94"/>
      <c r="BQ1158" s="94"/>
      <c r="BR1158" s="94"/>
      <c r="BS1158" s="94"/>
      <c r="BT1158" s="94"/>
      <c r="BU1158" s="94"/>
      <c r="BV1158" s="94"/>
      <c r="BW1158" s="94"/>
      <c r="BX1158" s="94"/>
      <c r="BY1158" s="94"/>
      <c r="BZ1158" s="94"/>
      <c r="CA1158" s="94"/>
      <c r="CB1158" s="94"/>
      <c r="CC1158" s="94"/>
      <c r="CD1158" s="94"/>
      <c r="CE1158" s="94"/>
      <c r="CF1158" s="94"/>
      <c r="CG1158" s="94"/>
      <c r="CH1158" s="94"/>
      <c r="CI1158" s="94"/>
      <c r="CJ1158" s="94"/>
      <c r="CK1158" s="94"/>
      <c r="CL1158" s="94"/>
      <c r="CM1158" s="94"/>
      <c r="CN1158" s="94"/>
      <c r="CO1158" s="94"/>
      <c r="CP1158" s="94"/>
      <c r="CQ1158" s="94"/>
      <c r="CR1158" s="94"/>
      <c r="CS1158" s="94"/>
      <c r="CT1158" s="94"/>
      <c r="CU1158" s="94"/>
      <c r="CV1158" s="94"/>
      <c r="CW1158" s="94"/>
      <c r="CX1158" s="94"/>
      <c r="CY1158" s="94"/>
      <c r="CZ1158" s="94"/>
      <c r="DA1158" s="94"/>
      <c r="DB1158" s="94"/>
      <c r="DC1158" s="94"/>
      <c r="DD1158" s="94"/>
      <c r="DE1158" s="94"/>
      <c r="DF1158" s="94"/>
      <c r="DG1158" s="94"/>
      <c r="DH1158" s="94"/>
      <c r="DI1158" s="94"/>
      <c r="DJ1158" s="94"/>
      <c r="DK1158" s="41">
        <v>1</v>
      </c>
      <c r="DL1158" s="41"/>
      <c r="DM1158" s="41"/>
      <c r="DN1158" s="41"/>
      <c r="DO1158" s="41"/>
      <c r="DP1158" s="41"/>
      <c r="DQ1158" s="41"/>
      <c r="DR1158" s="41"/>
      <c r="DS1158" s="43"/>
      <c r="DT1158" s="44">
        <f t="shared" ref="DT1158" si="1139">SUM(F1158:DR1158)</f>
        <v>1</v>
      </c>
    </row>
    <row r="1159" spans="2:124" s="13" customFormat="1">
      <c r="B1159" s="4">
        <f>'6.1Personnel List'!B1160</f>
        <v>1147</v>
      </c>
      <c r="C1159" s="45" t="s">
        <v>1375</v>
      </c>
      <c r="D1159" s="45" t="str">
        <f>'6.1Personnel List'!D1160</f>
        <v>Nursing Attendant II</v>
      </c>
      <c r="E1159" s="45" t="str">
        <f>'6.1Personnel List'!H1160</f>
        <v>FT</v>
      </c>
      <c r="G1159" s="41"/>
      <c r="H1159" s="41"/>
      <c r="I1159" s="41"/>
      <c r="J1159" s="41"/>
      <c r="K1159" s="41"/>
      <c r="L1159" s="41"/>
      <c r="M1159" s="41"/>
      <c r="N1159" s="41"/>
      <c r="O1159" s="41"/>
      <c r="P1159" s="41"/>
      <c r="Q1159" s="41"/>
      <c r="R1159" s="41"/>
      <c r="S1159" s="41"/>
      <c r="T1159" s="41"/>
      <c r="U1159" s="41"/>
      <c r="V1159" s="41"/>
      <c r="W1159" s="41"/>
      <c r="X1159" s="41"/>
      <c r="Y1159" s="41"/>
      <c r="Z1159" s="41"/>
      <c r="AA1159" s="41"/>
      <c r="AB1159" s="41"/>
      <c r="AC1159" s="41"/>
      <c r="AD1159" s="41"/>
      <c r="AE1159" s="41"/>
      <c r="AF1159" s="41"/>
      <c r="AG1159" s="41"/>
      <c r="AH1159" s="41"/>
      <c r="AI1159" s="41"/>
      <c r="AJ1159" s="41"/>
      <c r="AK1159" s="41"/>
      <c r="AL1159" s="41"/>
      <c r="AM1159" s="41"/>
      <c r="AN1159" s="41"/>
      <c r="AO1159" s="41"/>
      <c r="AP1159" s="41"/>
      <c r="AQ1159" s="41"/>
      <c r="AR1159" s="41"/>
      <c r="AS1159" s="41"/>
      <c r="AT1159" s="41"/>
      <c r="AU1159" s="41"/>
      <c r="AV1159" s="41"/>
      <c r="AW1159" s="41"/>
      <c r="AX1159" s="41"/>
      <c r="AY1159" s="41"/>
      <c r="AZ1159" s="41"/>
      <c r="BA1159" s="41"/>
      <c r="BB1159" s="41"/>
      <c r="BC1159" s="41"/>
      <c r="BD1159" s="41"/>
      <c r="BE1159" s="41"/>
      <c r="BF1159" s="41"/>
      <c r="BG1159" s="41"/>
      <c r="BH1159" s="41"/>
      <c r="BJ1159" s="41"/>
      <c r="BK1159" s="41"/>
      <c r="BL1159" s="41"/>
      <c r="BM1159" s="41"/>
      <c r="BN1159" s="41"/>
      <c r="BO1159" s="41"/>
      <c r="BP1159" s="41"/>
      <c r="BQ1159" s="41"/>
      <c r="BR1159" s="41"/>
      <c r="BS1159" s="41"/>
      <c r="BT1159" s="41"/>
      <c r="BU1159" s="41"/>
      <c r="BV1159" s="41">
        <v>0.1</v>
      </c>
      <c r="BW1159" s="41"/>
      <c r="BX1159" s="41"/>
      <c r="BY1159" s="41"/>
      <c r="BZ1159" s="41"/>
      <c r="CA1159" s="41"/>
      <c r="CB1159" s="41"/>
      <c r="CC1159" s="41"/>
      <c r="CD1159" s="41"/>
      <c r="CE1159" s="41">
        <v>0.1</v>
      </c>
      <c r="CF1159" s="41"/>
      <c r="CG1159" s="41"/>
      <c r="CH1159" s="41">
        <v>0.1</v>
      </c>
      <c r="CI1159" s="41"/>
      <c r="CJ1159" s="41"/>
      <c r="CK1159" s="41"/>
      <c r="CL1159" s="41"/>
      <c r="CM1159" s="41"/>
      <c r="CN1159" s="41"/>
      <c r="CO1159" s="41"/>
      <c r="CP1159" s="41"/>
      <c r="CQ1159" s="41"/>
      <c r="CR1159" s="41"/>
      <c r="CS1159" s="41"/>
      <c r="CT1159" s="41"/>
      <c r="CU1159" s="41"/>
      <c r="CV1159" s="41"/>
      <c r="CW1159" s="41"/>
      <c r="CX1159" s="41"/>
      <c r="CY1159" s="41"/>
      <c r="CZ1159" s="41"/>
      <c r="DA1159" s="41"/>
      <c r="DB1159" s="41"/>
      <c r="DC1159" s="41"/>
      <c r="DD1159" s="41"/>
      <c r="DE1159" s="41"/>
      <c r="DF1159" s="41"/>
      <c r="DG1159" s="41"/>
      <c r="DH1159" s="41"/>
      <c r="DI1159" s="41"/>
      <c r="DJ1159" s="41"/>
      <c r="DK1159" s="41"/>
      <c r="DL1159" s="41"/>
      <c r="DM1159" s="41">
        <v>0.7</v>
      </c>
      <c r="DN1159" s="41"/>
      <c r="DO1159" s="41"/>
      <c r="DP1159" s="41"/>
      <c r="DQ1159" s="41"/>
      <c r="DR1159" s="41"/>
      <c r="DS1159" s="43"/>
      <c r="DT1159" s="44">
        <f t="shared" ref="DT1159" si="1140">SUM(F1159:DR1159)</f>
        <v>1</v>
      </c>
    </row>
    <row r="1160" spans="2:124" s="13" customFormat="1">
      <c r="B1160" s="4">
        <f>'6.1Personnel List'!B1161</f>
        <v>1148</v>
      </c>
      <c r="C1160" s="45" t="s">
        <v>1376</v>
      </c>
      <c r="D1160" s="45" t="str">
        <f>'6.1Personnel List'!D1161</f>
        <v>Nursing Attendant II</v>
      </c>
      <c r="E1160" s="45" t="str">
        <f>'6.1Personnel List'!H1161</f>
        <v>FT</v>
      </c>
      <c r="G1160" s="41"/>
      <c r="H1160" s="41"/>
      <c r="I1160" s="41"/>
      <c r="J1160" s="41"/>
      <c r="K1160" s="41"/>
      <c r="L1160" s="41"/>
      <c r="M1160" s="41"/>
      <c r="N1160" s="41"/>
      <c r="O1160" s="41"/>
      <c r="P1160" s="41"/>
      <c r="Q1160" s="41"/>
      <c r="R1160" s="41"/>
      <c r="S1160" s="41"/>
      <c r="T1160" s="41"/>
      <c r="U1160" s="41"/>
      <c r="V1160" s="41"/>
      <c r="W1160" s="41"/>
      <c r="X1160" s="41"/>
      <c r="Y1160" s="41"/>
      <c r="Z1160" s="41"/>
      <c r="AA1160" s="41"/>
      <c r="AB1160" s="41"/>
      <c r="AC1160" s="41"/>
      <c r="AD1160" s="41"/>
      <c r="AE1160" s="41"/>
      <c r="AF1160" s="41"/>
      <c r="AG1160" s="41"/>
      <c r="AH1160" s="41"/>
      <c r="AI1160" s="41"/>
      <c r="AJ1160" s="41"/>
      <c r="AK1160" s="41"/>
      <c r="AL1160" s="41"/>
      <c r="AM1160" s="41"/>
      <c r="AN1160" s="41"/>
      <c r="AO1160" s="41"/>
      <c r="AP1160" s="41"/>
      <c r="AQ1160" s="41"/>
      <c r="AR1160" s="41"/>
      <c r="AS1160" s="41"/>
      <c r="AT1160" s="41"/>
      <c r="AU1160" s="41"/>
      <c r="AV1160" s="41"/>
      <c r="AW1160" s="41"/>
      <c r="AX1160" s="41"/>
      <c r="AY1160" s="41"/>
      <c r="AZ1160" s="41"/>
      <c r="BA1160" s="41"/>
      <c r="BB1160" s="41"/>
      <c r="BC1160" s="41"/>
      <c r="BD1160" s="41"/>
      <c r="BE1160" s="41"/>
      <c r="BF1160" s="41"/>
      <c r="BG1160" s="41"/>
      <c r="BH1160" s="41"/>
      <c r="BJ1160" s="41"/>
      <c r="BK1160" s="94"/>
      <c r="BL1160" s="94"/>
      <c r="BM1160" s="94"/>
      <c r="BN1160" s="94"/>
      <c r="BO1160" s="94"/>
      <c r="BP1160" s="94"/>
      <c r="BQ1160" s="94"/>
      <c r="BR1160" s="94"/>
      <c r="BS1160" s="94"/>
      <c r="BT1160" s="94"/>
      <c r="BU1160" s="94"/>
      <c r="BV1160" s="94"/>
      <c r="BW1160" s="94"/>
      <c r="BX1160" s="94"/>
      <c r="BY1160" s="94"/>
      <c r="BZ1160" s="94"/>
      <c r="CA1160" s="94"/>
      <c r="CB1160" s="94"/>
      <c r="CC1160" s="94"/>
      <c r="CD1160" s="94"/>
      <c r="CE1160" s="94"/>
      <c r="CF1160" s="94"/>
      <c r="CG1160" s="94"/>
      <c r="CH1160" s="94"/>
      <c r="CI1160" s="94"/>
      <c r="CJ1160" s="94"/>
      <c r="CK1160" s="94"/>
      <c r="CL1160" s="94"/>
      <c r="CM1160" s="94"/>
      <c r="CN1160" s="94"/>
      <c r="CO1160" s="94"/>
      <c r="CP1160" s="94"/>
      <c r="CQ1160" s="94"/>
      <c r="CR1160" s="94"/>
      <c r="CS1160" s="94"/>
      <c r="CT1160" s="94"/>
      <c r="CU1160" s="94">
        <v>1</v>
      </c>
      <c r="CV1160" s="94"/>
      <c r="CW1160" s="94"/>
      <c r="CX1160" s="94"/>
      <c r="CY1160" s="94"/>
      <c r="CZ1160" s="94"/>
      <c r="DA1160" s="94"/>
      <c r="DB1160" s="94"/>
      <c r="DC1160" s="94"/>
      <c r="DD1160" s="94"/>
      <c r="DE1160" s="94"/>
      <c r="DF1160" s="94"/>
      <c r="DG1160" s="94"/>
      <c r="DH1160" s="94"/>
      <c r="DI1160" s="94"/>
      <c r="DJ1160" s="94"/>
      <c r="DK1160" s="41"/>
      <c r="DL1160" s="41"/>
      <c r="DM1160" s="41"/>
      <c r="DN1160" s="41"/>
      <c r="DO1160" s="41"/>
      <c r="DP1160" s="41"/>
      <c r="DQ1160" s="41"/>
      <c r="DR1160" s="41"/>
      <c r="DS1160" s="43"/>
      <c r="DT1160" s="44">
        <f t="shared" ref="DT1160" si="1141">SUM(F1160:DR1160)</f>
        <v>1</v>
      </c>
    </row>
    <row r="1161" spans="2:124" s="13" customFormat="1">
      <c r="B1161" s="4">
        <f>'6.1Personnel List'!B1162</f>
        <v>1149</v>
      </c>
      <c r="C1161" s="45" t="s">
        <v>1377</v>
      </c>
      <c r="D1161" s="45" t="str">
        <f>'6.1Personnel List'!D1162</f>
        <v>Nursing Attendant II</v>
      </c>
      <c r="E1161" s="45" t="str">
        <f>'6.1Personnel List'!H1162</f>
        <v>FT</v>
      </c>
      <c r="G1161" s="41"/>
      <c r="H1161" s="41"/>
      <c r="I1161" s="41"/>
      <c r="J1161" s="41"/>
      <c r="K1161" s="41"/>
      <c r="L1161" s="41"/>
      <c r="M1161" s="41"/>
      <c r="N1161" s="41"/>
      <c r="O1161" s="41"/>
      <c r="P1161" s="41"/>
      <c r="Q1161" s="41"/>
      <c r="R1161" s="41"/>
      <c r="S1161" s="41"/>
      <c r="T1161" s="41"/>
      <c r="U1161" s="41"/>
      <c r="V1161" s="41"/>
      <c r="W1161" s="41"/>
      <c r="X1161" s="41"/>
      <c r="Y1161" s="41"/>
      <c r="Z1161" s="41"/>
      <c r="AA1161" s="41"/>
      <c r="AB1161" s="41"/>
      <c r="AC1161" s="41"/>
      <c r="AD1161" s="41"/>
      <c r="AE1161" s="41"/>
      <c r="AF1161" s="41"/>
      <c r="AG1161" s="41"/>
      <c r="AH1161" s="41"/>
      <c r="AI1161" s="41"/>
      <c r="AJ1161" s="41"/>
      <c r="AK1161" s="41"/>
      <c r="AL1161" s="41"/>
      <c r="AM1161" s="41"/>
      <c r="AN1161" s="41"/>
      <c r="AO1161" s="41"/>
      <c r="AP1161" s="41"/>
      <c r="AQ1161" s="41"/>
      <c r="AR1161" s="41"/>
      <c r="AS1161" s="41"/>
      <c r="AT1161" s="41"/>
      <c r="AU1161" s="41"/>
      <c r="AV1161" s="41"/>
      <c r="AW1161" s="41"/>
      <c r="AX1161" s="41"/>
      <c r="AY1161" s="41"/>
      <c r="AZ1161" s="41"/>
      <c r="BA1161" s="41"/>
      <c r="BB1161" s="41"/>
      <c r="BC1161" s="41"/>
      <c r="BD1161" s="41"/>
      <c r="BE1161" s="41"/>
      <c r="BF1161" s="41"/>
      <c r="BG1161" s="41"/>
      <c r="BH1161" s="41"/>
      <c r="BJ1161" s="41"/>
      <c r="BK1161" s="41"/>
      <c r="BL1161" s="41"/>
      <c r="BM1161" s="41"/>
      <c r="BN1161" s="41"/>
      <c r="BO1161" s="41"/>
      <c r="BP1161" s="41"/>
      <c r="BQ1161" s="41"/>
      <c r="BR1161" s="41"/>
      <c r="BS1161" s="41"/>
      <c r="BT1161" s="41"/>
      <c r="BU1161" s="41"/>
      <c r="BV1161" s="41">
        <v>0.2</v>
      </c>
      <c r="BW1161" s="41"/>
      <c r="BX1161" s="41"/>
      <c r="BY1161" s="41"/>
      <c r="BZ1161" s="41"/>
      <c r="CA1161" s="41"/>
      <c r="CB1161" s="41">
        <v>0.2</v>
      </c>
      <c r="CC1161" s="41"/>
      <c r="CD1161" s="41"/>
      <c r="CE1161" s="41">
        <v>0.2</v>
      </c>
      <c r="CF1161" s="41"/>
      <c r="CG1161" s="41"/>
      <c r="CH1161" s="41"/>
      <c r="CI1161" s="41"/>
      <c r="CJ1161" s="41"/>
      <c r="CK1161" s="41"/>
      <c r="CL1161" s="41">
        <v>0.4</v>
      </c>
      <c r="CM1161" s="41"/>
      <c r="CN1161" s="41"/>
      <c r="CO1161" s="41"/>
      <c r="CP1161" s="41"/>
      <c r="CQ1161" s="41"/>
      <c r="CR1161" s="41"/>
      <c r="CS1161" s="41"/>
      <c r="CT1161" s="41"/>
      <c r="CU1161" s="41"/>
      <c r="CV1161" s="41"/>
      <c r="CW1161" s="41"/>
      <c r="CX1161" s="41"/>
      <c r="CY1161" s="41"/>
      <c r="CZ1161" s="41"/>
      <c r="DA1161" s="41"/>
      <c r="DB1161" s="41"/>
      <c r="DC1161" s="41"/>
      <c r="DD1161" s="41"/>
      <c r="DE1161" s="41"/>
      <c r="DF1161" s="41"/>
      <c r="DG1161" s="41"/>
      <c r="DH1161" s="41"/>
      <c r="DI1161" s="41"/>
      <c r="DJ1161" s="41"/>
      <c r="DK1161" s="41"/>
      <c r="DL1161" s="41"/>
      <c r="DM1161" s="41"/>
      <c r="DN1161" s="41"/>
      <c r="DO1161" s="41"/>
      <c r="DP1161" s="41"/>
      <c r="DQ1161" s="41"/>
      <c r="DR1161" s="41"/>
      <c r="DS1161" s="43"/>
      <c r="DT1161" s="44">
        <f t="shared" ref="DT1161" si="1142">SUM(F1161:DR1161)</f>
        <v>1</v>
      </c>
    </row>
    <row r="1162" spans="2:124" s="13" customFormat="1">
      <c r="B1162" s="4">
        <f>'6.1Personnel List'!B1163</f>
        <v>1150</v>
      </c>
      <c r="C1162" s="45" t="s">
        <v>1378</v>
      </c>
      <c r="D1162" s="45" t="str">
        <f>'6.1Personnel List'!D1163</f>
        <v>Nursing Attendant II</v>
      </c>
      <c r="E1162" s="45" t="str">
        <f>'6.1Personnel List'!H1163</f>
        <v>FT</v>
      </c>
      <c r="G1162" s="41"/>
      <c r="H1162" s="41"/>
      <c r="I1162" s="41"/>
      <c r="J1162" s="41"/>
      <c r="K1162" s="41"/>
      <c r="L1162" s="41"/>
      <c r="M1162" s="41"/>
      <c r="N1162" s="41"/>
      <c r="O1162" s="41"/>
      <c r="P1162" s="41"/>
      <c r="Q1162" s="41"/>
      <c r="R1162" s="41"/>
      <c r="S1162" s="41"/>
      <c r="T1162" s="41"/>
      <c r="U1162" s="41"/>
      <c r="V1162" s="41"/>
      <c r="W1162" s="41"/>
      <c r="X1162" s="41"/>
      <c r="Y1162" s="41"/>
      <c r="Z1162" s="41"/>
      <c r="AA1162" s="41"/>
      <c r="AB1162" s="41"/>
      <c r="AC1162" s="41"/>
      <c r="AD1162" s="41"/>
      <c r="AE1162" s="41"/>
      <c r="AF1162" s="41"/>
      <c r="AG1162" s="41"/>
      <c r="AH1162" s="41"/>
      <c r="AI1162" s="41"/>
      <c r="AJ1162" s="41"/>
      <c r="AK1162" s="41"/>
      <c r="AL1162" s="41"/>
      <c r="AM1162" s="41"/>
      <c r="AN1162" s="41"/>
      <c r="AO1162" s="41"/>
      <c r="AP1162" s="41"/>
      <c r="AQ1162" s="41"/>
      <c r="AR1162" s="41"/>
      <c r="AS1162" s="41"/>
      <c r="AT1162" s="41"/>
      <c r="AU1162" s="41"/>
      <c r="AV1162" s="41"/>
      <c r="AW1162" s="41"/>
      <c r="AX1162" s="41"/>
      <c r="AY1162" s="41"/>
      <c r="AZ1162" s="41"/>
      <c r="BA1162" s="41"/>
      <c r="BB1162" s="41"/>
      <c r="BC1162" s="41"/>
      <c r="BD1162" s="41"/>
      <c r="BE1162" s="41"/>
      <c r="BF1162" s="41"/>
      <c r="BG1162" s="41"/>
      <c r="BH1162" s="41"/>
      <c r="BJ1162" s="41"/>
      <c r="BK1162" s="94"/>
      <c r="BL1162" s="94"/>
      <c r="BM1162" s="94"/>
      <c r="BN1162" s="94"/>
      <c r="BO1162" s="94"/>
      <c r="BP1162" s="94"/>
      <c r="BQ1162" s="94"/>
      <c r="BR1162" s="94"/>
      <c r="BS1162" s="94"/>
      <c r="BT1162" s="94"/>
      <c r="BU1162" s="94"/>
      <c r="BV1162" s="94"/>
      <c r="BW1162" s="94"/>
      <c r="BX1162" s="94"/>
      <c r="BY1162" s="94"/>
      <c r="BZ1162" s="94"/>
      <c r="CA1162" s="94"/>
      <c r="CB1162" s="94"/>
      <c r="CC1162" s="94"/>
      <c r="CD1162" s="94"/>
      <c r="CE1162" s="94"/>
      <c r="CF1162" s="94"/>
      <c r="CG1162" s="94"/>
      <c r="CH1162" s="94"/>
      <c r="CI1162" s="94"/>
      <c r="CJ1162" s="94"/>
      <c r="CK1162" s="94"/>
      <c r="CL1162" s="94"/>
      <c r="CM1162" s="94"/>
      <c r="CN1162" s="94"/>
      <c r="CO1162" s="94"/>
      <c r="CP1162" s="94"/>
      <c r="CQ1162" s="94"/>
      <c r="CR1162" s="94"/>
      <c r="CS1162" s="94"/>
      <c r="CT1162" s="94"/>
      <c r="CU1162" s="94">
        <v>1</v>
      </c>
      <c r="CV1162" s="94"/>
      <c r="CW1162" s="94"/>
      <c r="CX1162" s="94"/>
      <c r="CY1162" s="94"/>
      <c r="CZ1162" s="94"/>
      <c r="DA1162" s="94"/>
      <c r="DB1162" s="94"/>
      <c r="DC1162" s="94"/>
      <c r="DD1162" s="94"/>
      <c r="DE1162" s="94"/>
      <c r="DF1162" s="94"/>
      <c r="DG1162" s="94"/>
      <c r="DH1162" s="94"/>
      <c r="DI1162" s="94"/>
      <c r="DJ1162" s="94"/>
      <c r="DK1162" s="41"/>
      <c r="DL1162" s="41"/>
      <c r="DM1162" s="41"/>
      <c r="DN1162" s="41"/>
      <c r="DO1162" s="41"/>
      <c r="DP1162" s="41"/>
      <c r="DQ1162" s="41"/>
      <c r="DR1162" s="41"/>
      <c r="DS1162" s="43"/>
      <c r="DT1162" s="44">
        <f t="shared" ref="DT1162" si="1143">SUM(F1162:DR1162)</f>
        <v>1</v>
      </c>
    </row>
    <row r="1163" spans="2:124" s="13" customFormat="1">
      <c r="B1163" s="4">
        <f>'6.1Personnel List'!B1164</f>
        <v>1151</v>
      </c>
      <c r="C1163" s="45" t="s">
        <v>1379</v>
      </c>
      <c r="D1163" s="45" t="str">
        <f>'6.1Personnel List'!D1164</f>
        <v>Nursing Attendant II</v>
      </c>
      <c r="E1163" s="45" t="str">
        <f>'6.1Personnel List'!H1164</f>
        <v>FT</v>
      </c>
      <c r="G1163" s="41"/>
      <c r="H1163" s="41"/>
      <c r="I1163" s="41"/>
      <c r="J1163" s="41"/>
      <c r="K1163" s="41"/>
      <c r="L1163" s="41"/>
      <c r="M1163" s="41"/>
      <c r="N1163" s="41"/>
      <c r="O1163" s="41"/>
      <c r="P1163" s="41"/>
      <c r="Q1163" s="41"/>
      <c r="R1163" s="41"/>
      <c r="S1163" s="41"/>
      <c r="T1163" s="41"/>
      <c r="U1163" s="41"/>
      <c r="V1163" s="41"/>
      <c r="W1163" s="41"/>
      <c r="X1163" s="41"/>
      <c r="Y1163" s="41"/>
      <c r="Z1163" s="41"/>
      <c r="AA1163" s="41"/>
      <c r="AB1163" s="41"/>
      <c r="AC1163" s="41"/>
      <c r="AD1163" s="41"/>
      <c r="AE1163" s="41"/>
      <c r="AF1163" s="41"/>
      <c r="AG1163" s="41"/>
      <c r="AH1163" s="41"/>
      <c r="AI1163" s="41"/>
      <c r="AJ1163" s="41"/>
      <c r="AK1163" s="41"/>
      <c r="AL1163" s="41"/>
      <c r="AM1163" s="41"/>
      <c r="AN1163" s="41"/>
      <c r="AO1163" s="41"/>
      <c r="AP1163" s="41"/>
      <c r="AQ1163" s="41"/>
      <c r="AR1163" s="41"/>
      <c r="AS1163" s="41"/>
      <c r="AT1163" s="41"/>
      <c r="AU1163" s="41"/>
      <c r="AV1163" s="41"/>
      <c r="AW1163" s="41"/>
      <c r="AX1163" s="41"/>
      <c r="AY1163" s="41"/>
      <c r="AZ1163" s="41"/>
      <c r="BA1163" s="41"/>
      <c r="BB1163" s="41"/>
      <c r="BC1163" s="41"/>
      <c r="BD1163" s="41"/>
      <c r="BE1163" s="41"/>
      <c r="BF1163" s="41"/>
      <c r="BG1163" s="41"/>
      <c r="BH1163" s="41"/>
      <c r="BJ1163" s="41"/>
      <c r="BK1163" s="94"/>
      <c r="BL1163" s="94"/>
      <c r="BM1163" s="94"/>
      <c r="BN1163" s="94"/>
      <c r="BO1163" s="94"/>
      <c r="BP1163" s="94"/>
      <c r="BQ1163" s="94"/>
      <c r="BR1163" s="94"/>
      <c r="BS1163" s="94"/>
      <c r="BT1163" s="94"/>
      <c r="BU1163" s="94"/>
      <c r="BV1163" s="94"/>
      <c r="BW1163" s="94"/>
      <c r="BX1163" s="94"/>
      <c r="BY1163" s="94"/>
      <c r="BZ1163" s="94"/>
      <c r="CA1163" s="94"/>
      <c r="CB1163" s="94"/>
      <c r="CC1163" s="94"/>
      <c r="CD1163" s="94"/>
      <c r="CE1163" s="94"/>
      <c r="CF1163" s="94"/>
      <c r="CG1163" s="94"/>
      <c r="CH1163" s="94"/>
      <c r="CI1163" s="94"/>
      <c r="CJ1163" s="94"/>
      <c r="CK1163" s="94"/>
      <c r="CL1163" s="94"/>
      <c r="CM1163" s="94"/>
      <c r="CN1163" s="94"/>
      <c r="CO1163" s="94"/>
      <c r="CP1163" s="94"/>
      <c r="CQ1163" s="94"/>
      <c r="CR1163" s="94"/>
      <c r="CS1163" s="94"/>
      <c r="CT1163" s="94"/>
      <c r="CU1163" s="94">
        <v>1</v>
      </c>
      <c r="CV1163" s="94"/>
      <c r="CW1163" s="94"/>
      <c r="CX1163" s="94"/>
      <c r="CY1163" s="94"/>
      <c r="CZ1163" s="94"/>
      <c r="DA1163" s="94"/>
      <c r="DB1163" s="94"/>
      <c r="DC1163" s="94"/>
      <c r="DD1163" s="94"/>
      <c r="DE1163" s="94"/>
      <c r="DF1163" s="94"/>
      <c r="DG1163" s="94"/>
      <c r="DH1163" s="94"/>
      <c r="DI1163" s="94"/>
      <c r="DJ1163" s="94"/>
      <c r="DK1163" s="41"/>
      <c r="DL1163" s="41"/>
      <c r="DM1163" s="41"/>
      <c r="DN1163" s="41"/>
      <c r="DO1163" s="41"/>
      <c r="DP1163" s="41"/>
      <c r="DQ1163" s="41"/>
      <c r="DR1163" s="41"/>
      <c r="DS1163" s="43"/>
      <c r="DT1163" s="44">
        <f t="shared" ref="DT1163" si="1144">SUM(F1163:DR1163)</f>
        <v>1</v>
      </c>
    </row>
    <row r="1164" spans="2:124" s="13" customFormat="1">
      <c r="B1164" s="4">
        <f>'6.1Personnel List'!B1165</f>
        <v>1152</v>
      </c>
      <c r="C1164" s="45" t="s">
        <v>1380</v>
      </c>
      <c r="D1164" s="45" t="str">
        <f>'6.1Personnel List'!D1165</f>
        <v>Nursing Attendant II</v>
      </c>
      <c r="E1164" s="45" t="str">
        <f>'6.1Personnel List'!H1165</f>
        <v>FT</v>
      </c>
      <c r="G1164" s="41"/>
      <c r="H1164" s="41"/>
      <c r="I1164" s="41"/>
      <c r="J1164" s="41"/>
      <c r="K1164" s="41"/>
      <c r="L1164" s="41"/>
      <c r="M1164" s="41"/>
      <c r="N1164" s="41"/>
      <c r="O1164" s="41"/>
      <c r="P1164" s="41"/>
      <c r="Q1164" s="41"/>
      <c r="R1164" s="41"/>
      <c r="S1164" s="41"/>
      <c r="T1164" s="41"/>
      <c r="U1164" s="41"/>
      <c r="V1164" s="41"/>
      <c r="W1164" s="41"/>
      <c r="X1164" s="41"/>
      <c r="Y1164" s="41"/>
      <c r="Z1164" s="41"/>
      <c r="AA1164" s="41"/>
      <c r="AB1164" s="41"/>
      <c r="AC1164" s="41"/>
      <c r="AD1164" s="41"/>
      <c r="AE1164" s="41"/>
      <c r="AF1164" s="41"/>
      <c r="AG1164" s="41"/>
      <c r="AH1164" s="41"/>
      <c r="AI1164" s="41"/>
      <c r="AJ1164" s="41"/>
      <c r="AK1164" s="41"/>
      <c r="AL1164" s="41"/>
      <c r="AM1164" s="41"/>
      <c r="AN1164" s="41"/>
      <c r="AO1164" s="41"/>
      <c r="AP1164" s="41"/>
      <c r="AQ1164" s="41"/>
      <c r="AR1164" s="41"/>
      <c r="AS1164" s="41"/>
      <c r="AT1164" s="41"/>
      <c r="AU1164" s="41"/>
      <c r="AV1164" s="41"/>
      <c r="AW1164" s="41"/>
      <c r="AX1164" s="41"/>
      <c r="AY1164" s="41"/>
      <c r="AZ1164" s="41"/>
      <c r="BA1164" s="41"/>
      <c r="BB1164" s="41"/>
      <c r="BC1164" s="41"/>
      <c r="BD1164" s="41"/>
      <c r="BE1164" s="41"/>
      <c r="BF1164" s="41"/>
      <c r="BG1164" s="41"/>
      <c r="BH1164" s="41"/>
      <c r="BJ1164" s="41"/>
      <c r="BK1164" s="41"/>
      <c r="BL1164" s="41"/>
      <c r="BM1164" s="41"/>
      <c r="BN1164" s="41"/>
      <c r="BO1164" s="41"/>
      <c r="BP1164" s="41"/>
      <c r="BQ1164" s="41"/>
      <c r="BR1164" s="41"/>
      <c r="BS1164" s="41"/>
      <c r="BT1164" s="41"/>
      <c r="BU1164" s="41"/>
      <c r="BV1164" s="41">
        <v>0.2</v>
      </c>
      <c r="BW1164" s="41"/>
      <c r="BX1164" s="41"/>
      <c r="BY1164" s="41"/>
      <c r="BZ1164" s="41"/>
      <c r="CA1164" s="41"/>
      <c r="CB1164" s="41">
        <v>0.2</v>
      </c>
      <c r="CC1164" s="41"/>
      <c r="CD1164" s="41"/>
      <c r="CE1164" s="41">
        <v>0.2</v>
      </c>
      <c r="CF1164" s="41"/>
      <c r="CG1164" s="41"/>
      <c r="CH1164" s="41"/>
      <c r="CI1164" s="41"/>
      <c r="CJ1164" s="41"/>
      <c r="CK1164" s="41"/>
      <c r="CL1164" s="41">
        <v>0.4</v>
      </c>
      <c r="CM1164" s="41"/>
      <c r="CN1164" s="41"/>
      <c r="CO1164" s="41"/>
      <c r="CP1164" s="41"/>
      <c r="CQ1164" s="41"/>
      <c r="CR1164" s="41"/>
      <c r="CS1164" s="41"/>
      <c r="CT1164" s="41"/>
      <c r="CU1164" s="41"/>
      <c r="CV1164" s="41"/>
      <c r="CW1164" s="41"/>
      <c r="CX1164" s="41"/>
      <c r="CY1164" s="41"/>
      <c r="CZ1164" s="41"/>
      <c r="DA1164" s="41"/>
      <c r="DB1164" s="41"/>
      <c r="DC1164" s="41"/>
      <c r="DD1164" s="41"/>
      <c r="DE1164" s="41"/>
      <c r="DF1164" s="41"/>
      <c r="DG1164" s="41"/>
      <c r="DH1164" s="41"/>
      <c r="DI1164" s="41"/>
      <c r="DJ1164" s="41"/>
      <c r="DK1164" s="41"/>
      <c r="DL1164" s="41"/>
      <c r="DM1164" s="41"/>
      <c r="DN1164" s="41"/>
      <c r="DO1164" s="41"/>
      <c r="DP1164" s="41"/>
      <c r="DQ1164" s="41"/>
      <c r="DR1164" s="41"/>
      <c r="DS1164" s="43"/>
      <c r="DT1164" s="44">
        <f t="shared" ref="DT1164" si="1145">SUM(F1164:DR1164)</f>
        <v>1</v>
      </c>
    </row>
    <row r="1165" spans="2:124" s="13" customFormat="1">
      <c r="B1165" s="4">
        <f>'6.1Personnel List'!B1166</f>
        <v>1153</v>
      </c>
      <c r="C1165" s="45" t="s">
        <v>1381</v>
      </c>
      <c r="D1165" s="45" t="str">
        <f>'6.1Personnel List'!D1166</f>
        <v>Nursing Attendant II</v>
      </c>
      <c r="E1165" s="45" t="str">
        <f>'6.1Personnel List'!H1166</f>
        <v>FT</v>
      </c>
      <c r="G1165" s="41"/>
      <c r="H1165" s="41"/>
      <c r="I1165" s="41"/>
      <c r="J1165" s="41"/>
      <c r="K1165" s="41"/>
      <c r="L1165" s="41"/>
      <c r="M1165" s="41"/>
      <c r="N1165" s="41"/>
      <c r="O1165" s="41"/>
      <c r="P1165" s="41"/>
      <c r="Q1165" s="41"/>
      <c r="R1165" s="41"/>
      <c r="S1165" s="41"/>
      <c r="T1165" s="41"/>
      <c r="U1165" s="41"/>
      <c r="V1165" s="41"/>
      <c r="W1165" s="41"/>
      <c r="X1165" s="41"/>
      <c r="Y1165" s="41"/>
      <c r="Z1165" s="41"/>
      <c r="AA1165" s="41"/>
      <c r="AB1165" s="41"/>
      <c r="AC1165" s="41"/>
      <c r="AD1165" s="41"/>
      <c r="AE1165" s="41"/>
      <c r="AF1165" s="41"/>
      <c r="AG1165" s="41"/>
      <c r="AH1165" s="41"/>
      <c r="AI1165" s="41"/>
      <c r="AJ1165" s="41"/>
      <c r="AK1165" s="41"/>
      <c r="AL1165" s="41"/>
      <c r="AM1165" s="41"/>
      <c r="AN1165" s="41"/>
      <c r="AO1165" s="41"/>
      <c r="AP1165" s="41"/>
      <c r="AQ1165" s="41"/>
      <c r="AR1165" s="41"/>
      <c r="AS1165" s="41"/>
      <c r="AT1165" s="41"/>
      <c r="AU1165" s="41"/>
      <c r="AV1165" s="41"/>
      <c r="AW1165" s="41"/>
      <c r="AX1165" s="41"/>
      <c r="AY1165" s="41"/>
      <c r="AZ1165" s="41"/>
      <c r="BA1165" s="41"/>
      <c r="BB1165" s="41"/>
      <c r="BC1165" s="41"/>
      <c r="BD1165" s="41"/>
      <c r="BE1165" s="41"/>
      <c r="BF1165" s="41"/>
      <c r="BG1165" s="41"/>
      <c r="BH1165" s="41"/>
      <c r="BJ1165" s="41"/>
      <c r="BK1165" s="94"/>
      <c r="BL1165" s="94"/>
      <c r="BM1165" s="94"/>
      <c r="BN1165" s="94"/>
      <c r="BO1165" s="94"/>
      <c r="BP1165" s="94"/>
      <c r="BQ1165" s="94"/>
      <c r="BR1165" s="94"/>
      <c r="BS1165" s="94"/>
      <c r="BT1165" s="94"/>
      <c r="BU1165" s="94"/>
      <c r="BV1165" s="94"/>
      <c r="BW1165" s="94"/>
      <c r="BX1165" s="94"/>
      <c r="BY1165" s="94"/>
      <c r="BZ1165" s="94"/>
      <c r="CA1165" s="94"/>
      <c r="CB1165" s="94"/>
      <c r="CC1165" s="94"/>
      <c r="CD1165" s="94"/>
      <c r="CE1165" s="94"/>
      <c r="CF1165" s="94"/>
      <c r="CG1165" s="94"/>
      <c r="CH1165" s="94"/>
      <c r="CI1165" s="94"/>
      <c r="CJ1165" s="94"/>
      <c r="CK1165" s="94"/>
      <c r="CL1165" s="94"/>
      <c r="CM1165" s="94"/>
      <c r="CN1165" s="94">
        <v>1</v>
      </c>
      <c r="CO1165" s="94"/>
      <c r="CP1165" s="94"/>
      <c r="CQ1165" s="94"/>
      <c r="CR1165" s="94"/>
      <c r="CS1165" s="94"/>
      <c r="CT1165" s="94"/>
      <c r="CU1165" s="94"/>
      <c r="CV1165" s="94"/>
      <c r="CW1165" s="94"/>
      <c r="CX1165" s="94"/>
      <c r="CY1165" s="94"/>
      <c r="CZ1165" s="94"/>
      <c r="DA1165" s="94"/>
      <c r="DB1165" s="94"/>
      <c r="DC1165" s="94"/>
      <c r="DD1165" s="94"/>
      <c r="DE1165" s="94"/>
      <c r="DF1165" s="94"/>
      <c r="DG1165" s="94"/>
      <c r="DH1165" s="94"/>
      <c r="DI1165" s="94"/>
      <c r="DJ1165" s="94"/>
      <c r="DK1165" s="41"/>
      <c r="DL1165" s="41"/>
      <c r="DM1165" s="41"/>
      <c r="DN1165" s="41"/>
      <c r="DO1165" s="41"/>
      <c r="DP1165" s="41"/>
      <c r="DQ1165" s="41"/>
      <c r="DR1165" s="41"/>
      <c r="DS1165" s="43"/>
      <c r="DT1165" s="44">
        <f t="shared" ref="DT1165" si="1146">SUM(F1165:DR1165)</f>
        <v>1</v>
      </c>
    </row>
    <row r="1166" spans="2:124" s="13" customFormat="1">
      <c r="B1166" s="4">
        <f>'6.1Personnel List'!B1167</f>
        <v>1154</v>
      </c>
      <c r="C1166" s="45" t="s">
        <v>1382</v>
      </c>
      <c r="D1166" s="45" t="str">
        <f>'6.1Personnel List'!D1167</f>
        <v>Nursing Attendant II</v>
      </c>
      <c r="E1166" s="45" t="str">
        <f>'6.1Personnel List'!H1167</f>
        <v>FT</v>
      </c>
      <c r="G1166" s="41"/>
      <c r="H1166" s="41"/>
      <c r="I1166" s="41"/>
      <c r="J1166" s="41"/>
      <c r="K1166" s="41"/>
      <c r="L1166" s="41"/>
      <c r="M1166" s="41"/>
      <c r="N1166" s="41"/>
      <c r="O1166" s="41"/>
      <c r="P1166" s="41"/>
      <c r="Q1166" s="41"/>
      <c r="R1166" s="41"/>
      <c r="S1166" s="41"/>
      <c r="T1166" s="41"/>
      <c r="U1166" s="41"/>
      <c r="V1166" s="41"/>
      <c r="W1166" s="41"/>
      <c r="X1166" s="41"/>
      <c r="Y1166" s="41"/>
      <c r="Z1166" s="41"/>
      <c r="AA1166" s="41"/>
      <c r="AB1166" s="41"/>
      <c r="AC1166" s="41"/>
      <c r="AD1166" s="41"/>
      <c r="AE1166" s="41"/>
      <c r="AF1166" s="41"/>
      <c r="AG1166" s="41"/>
      <c r="AH1166" s="41"/>
      <c r="AI1166" s="41"/>
      <c r="AJ1166" s="41"/>
      <c r="AK1166" s="41"/>
      <c r="AL1166" s="41"/>
      <c r="AM1166" s="41"/>
      <c r="AN1166" s="41"/>
      <c r="AO1166" s="41"/>
      <c r="AP1166" s="41"/>
      <c r="AQ1166" s="41"/>
      <c r="AR1166" s="41"/>
      <c r="AS1166" s="41"/>
      <c r="AT1166" s="41"/>
      <c r="AU1166" s="41"/>
      <c r="AV1166" s="41"/>
      <c r="AW1166" s="41"/>
      <c r="AX1166" s="41"/>
      <c r="AY1166" s="41"/>
      <c r="AZ1166" s="41"/>
      <c r="BA1166" s="41"/>
      <c r="BB1166" s="41"/>
      <c r="BC1166" s="41"/>
      <c r="BD1166" s="41"/>
      <c r="BE1166" s="41"/>
      <c r="BF1166" s="41"/>
      <c r="BG1166" s="41"/>
      <c r="BH1166" s="41"/>
      <c r="BJ1166" s="41"/>
      <c r="BK1166" s="41"/>
      <c r="BL1166" s="41"/>
      <c r="BM1166" s="41"/>
      <c r="BN1166" s="41"/>
      <c r="BO1166" s="41"/>
      <c r="BP1166" s="41"/>
      <c r="BQ1166" s="41"/>
      <c r="BR1166" s="41"/>
      <c r="BS1166" s="41"/>
      <c r="BT1166" s="41"/>
      <c r="BU1166" s="41"/>
      <c r="BV1166" s="41"/>
      <c r="BW1166" s="41"/>
      <c r="BX1166" s="41"/>
      <c r="BY1166" s="41"/>
      <c r="BZ1166" s="41"/>
      <c r="CA1166" s="41"/>
      <c r="CB1166" s="41">
        <v>0.1</v>
      </c>
      <c r="CC1166" s="41"/>
      <c r="CD1166" s="41"/>
      <c r="CE1166" s="41">
        <v>0.09</v>
      </c>
      <c r="CF1166" s="41">
        <v>0.01</v>
      </c>
      <c r="CG1166" s="41">
        <v>0.01</v>
      </c>
      <c r="CH1166" s="41">
        <v>0.05</v>
      </c>
      <c r="CI1166" s="41">
        <v>0.01</v>
      </c>
      <c r="CJ1166" s="41"/>
      <c r="CK1166" s="41">
        <v>0.01</v>
      </c>
      <c r="CL1166" s="41">
        <v>0.05</v>
      </c>
      <c r="CM1166" s="41"/>
      <c r="CN1166" s="41">
        <v>0.05</v>
      </c>
      <c r="CO1166" s="41">
        <v>0.05</v>
      </c>
      <c r="CP1166" s="41">
        <v>0.05</v>
      </c>
      <c r="CQ1166" s="41">
        <v>0.05</v>
      </c>
      <c r="CR1166" s="41">
        <v>0.02</v>
      </c>
      <c r="CS1166" s="41">
        <v>0.01</v>
      </c>
      <c r="CT1166" s="41"/>
      <c r="CU1166" s="41"/>
      <c r="CV1166" s="41">
        <v>0.02</v>
      </c>
      <c r="CW1166" s="41"/>
      <c r="CX1166" s="41"/>
      <c r="CY1166" s="41"/>
      <c r="CZ1166" s="41"/>
      <c r="DA1166" s="41"/>
      <c r="DB1166" s="41"/>
      <c r="DC1166" s="41"/>
      <c r="DD1166" s="41">
        <v>0.12</v>
      </c>
      <c r="DE1166" s="41"/>
      <c r="DF1166" s="41"/>
      <c r="DG1166" s="41"/>
      <c r="DH1166" s="41"/>
      <c r="DI1166" s="41"/>
      <c r="DJ1166" s="41">
        <v>0.05</v>
      </c>
      <c r="DK1166" s="41">
        <v>0.05</v>
      </c>
      <c r="DL1166" s="41">
        <v>0.05</v>
      </c>
      <c r="DM1166" s="41">
        <v>0.05</v>
      </c>
      <c r="DN1166" s="41"/>
      <c r="DO1166" s="41"/>
      <c r="DP1166" s="41">
        <v>0.05</v>
      </c>
      <c r="DQ1166" s="41"/>
      <c r="DR1166" s="41">
        <v>0.05</v>
      </c>
      <c r="DS1166" s="43"/>
      <c r="DT1166" s="44">
        <f t="shared" ref="DT1166" si="1147">SUM(F1166:DR1166)</f>
        <v>1.0000000000000002</v>
      </c>
    </row>
    <row r="1167" spans="2:124" s="13" customFormat="1">
      <c r="B1167" s="4">
        <f>'6.1Personnel List'!B1168</f>
        <v>1155</v>
      </c>
      <c r="C1167" s="45" t="s">
        <v>1383</v>
      </c>
      <c r="D1167" s="45" t="str">
        <f>'6.1Personnel List'!D1168</f>
        <v>Nursing Attendant II</v>
      </c>
      <c r="E1167" s="45" t="str">
        <f>'6.1Personnel List'!H1168</f>
        <v>FT</v>
      </c>
      <c r="G1167" s="41"/>
      <c r="H1167" s="41"/>
      <c r="I1167" s="41"/>
      <c r="J1167" s="41"/>
      <c r="K1167" s="41"/>
      <c r="L1167" s="41"/>
      <c r="M1167" s="41"/>
      <c r="N1167" s="41"/>
      <c r="O1167" s="41"/>
      <c r="P1167" s="41"/>
      <c r="Q1167" s="41"/>
      <c r="R1167" s="41"/>
      <c r="S1167" s="41"/>
      <c r="T1167" s="41"/>
      <c r="U1167" s="41"/>
      <c r="V1167" s="41"/>
      <c r="W1167" s="41"/>
      <c r="X1167" s="41"/>
      <c r="Y1167" s="41"/>
      <c r="Z1167" s="41"/>
      <c r="AA1167" s="41"/>
      <c r="AB1167" s="41"/>
      <c r="AC1167" s="41"/>
      <c r="AD1167" s="41"/>
      <c r="AE1167" s="41"/>
      <c r="AF1167" s="41"/>
      <c r="AG1167" s="41"/>
      <c r="AH1167" s="41"/>
      <c r="AI1167" s="41"/>
      <c r="AJ1167" s="41"/>
      <c r="AK1167" s="41"/>
      <c r="AL1167" s="41"/>
      <c r="AM1167" s="41"/>
      <c r="AN1167" s="41"/>
      <c r="AO1167" s="41"/>
      <c r="AP1167" s="41"/>
      <c r="AQ1167" s="41"/>
      <c r="AR1167" s="41"/>
      <c r="AS1167" s="41"/>
      <c r="AT1167" s="41"/>
      <c r="AU1167" s="41"/>
      <c r="AV1167" s="41"/>
      <c r="AW1167" s="41"/>
      <c r="AX1167" s="41"/>
      <c r="AY1167" s="41"/>
      <c r="AZ1167" s="41"/>
      <c r="BA1167" s="41"/>
      <c r="BB1167" s="41"/>
      <c r="BC1167" s="41"/>
      <c r="BD1167" s="41"/>
      <c r="BE1167" s="41"/>
      <c r="BF1167" s="41"/>
      <c r="BG1167" s="41"/>
      <c r="BH1167" s="41"/>
      <c r="BJ1167" s="41"/>
      <c r="BK1167" s="94"/>
      <c r="BL1167" s="94"/>
      <c r="BM1167" s="94"/>
      <c r="BN1167" s="94"/>
      <c r="BO1167" s="94"/>
      <c r="BP1167" s="94"/>
      <c r="BQ1167" s="94"/>
      <c r="BR1167" s="94"/>
      <c r="BS1167" s="94"/>
      <c r="BT1167" s="94"/>
      <c r="BU1167" s="94"/>
      <c r="BV1167" s="94"/>
      <c r="BW1167" s="94"/>
      <c r="BX1167" s="94"/>
      <c r="BY1167" s="94"/>
      <c r="BZ1167" s="94"/>
      <c r="CA1167" s="94"/>
      <c r="CB1167" s="94"/>
      <c r="CC1167" s="94"/>
      <c r="CD1167" s="94"/>
      <c r="CE1167" s="94"/>
      <c r="CF1167" s="94"/>
      <c r="CG1167" s="94"/>
      <c r="CH1167" s="94"/>
      <c r="CI1167" s="94"/>
      <c r="CJ1167" s="94"/>
      <c r="CK1167" s="94"/>
      <c r="CL1167" s="94"/>
      <c r="CM1167" s="94"/>
      <c r="CN1167" s="94"/>
      <c r="CO1167" s="94"/>
      <c r="CP1167" s="94"/>
      <c r="CQ1167" s="94"/>
      <c r="CR1167" s="94"/>
      <c r="CS1167" s="94"/>
      <c r="CT1167" s="94"/>
      <c r="CU1167" s="94">
        <v>1</v>
      </c>
      <c r="CV1167" s="94"/>
      <c r="CW1167" s="94"/>
      <c r="CX1167" s="94"/>
      <c r="CY1167" s="94"/>
      <c r="CZ1167" s="94"/>
      <c r="DA1167" s="94"/>
      <c r="DB1167" s="94"/>
      <c r="DC1167" s="94"/>
      <c r="DD1167" s="94"/>
      <c r="DE1167" s="94"/>
      <c r="DF1167" s="94"/>
      <c r="DG1167" s="94"/>
      <c r="DH1167" s="94"/>
      <c r="DI1167" s="94"/>
      <c r="DJ1167" s="94"/>
      <c r="DK1167" s="41"/>
      <c r="DL1167" s="41"/>
      <c r="DM1167" s="41"/>
      <c r="DN1167" s="41"/>
      <c r="DO1167" s="41"/>
      <c r="DP1167" s="41"/>
      <c r="DQ1167" s="41"/>
      <c r="DR1167" s="41"/>
      <c r="DS1167" s="43"/>
      <c r="DT1167" s="44">
        <f t="shared" ref="DT1167" si="1148">SUM(F1167:DR1167)</f>
        <v>1</v>
      </c>
    </row>
    <row r="1168" spans="2:124" s="13" customFormat="1">
      <c r="B1168" s="4">
        <f>'6.1Personnel List'!B1169</f>
        <v>1156</v>
      </c>
      <c r="C1168" s="45" t="s">
        <v>1384</v>
      </c>
      <c r="D1168" s="45" t="str">
        <f>'6.1Personnel List'!D1169</f>
        <v>Nursing Attendant II</v>
      </c>
      <c r="E1168" s="45" t="str">
        <f>'6.1Personnel List'!H1169</f>
        <v>FT</v>
      </c>
      <c r="G1168" s="41"/>
      <c r="H1168" s="41"/>
      <c r="I1168" s="41"/>
      <c r="J1168" s="41"/>
      <c r="K1168" s="41"/>
      <c r="L1168" s="41"/>
      <c r="M1168" s="41"/>
      <c r="N1168" s="41"/>
      <c r="O1168" s="41"/>
      <c r="P1168" s="41"/>
      <c r="Q1168" s="41"/>
      <c r="R1168" s="41"/>
      <c r="S1168" s="41"/>
      <c r="T1168" s="41"/>
      <c r="U1168" s="41"/>
      <c r="V1168" s="41"/>
      <c r="W1168" s="41"/>
      <c r="X1168" s="41"/>
      <c r="Y1168" s="41"/>
      <c r="Z1168" s="41"/>
      <c r="AA1168" s="41"/>
      <c r="AB1168" s="41"/>
      <c r="AC1168" s="41"/>
      <c r="AD1168" s="41"/>
      <c r="AE1168" s="41"/>
      <c r="AF1168" s="41"/>
      <c r="AG1168" s="41"/>
      <c r="AH1168" s="41"/>
      <c r="AI1168" s="41"/>
      <c r="AJ1168" s="41"/>
      <c r="AK1168" s="41"/>
      <c r="AL1168" s="41"/>
      <c r="AM1168" s="41"/>
      <c r="AN1168" s="41"/>
      <c r="AO1168" s="41"/>
      <c r="AP1168" s="41"/>
      <c r="AQ1168" s="41"/>
      <c r="AR1168" s="41"/>
      <c r="AS1168" s="41"/>
      <c r="AT1168" s="41"/>
      <c r="AU1168" s="41"/>
      <c r="AV1168" s="41"/>
      <c r="AW1168" s="41"/>
      <c r="AX1168" s="41"/>
      <c r="AY1168" s="41"/>
      <c r="AZ1168" s="41"/>
      <c r="BA1168" s="41"/>
      <c r="BB1168" s="41"/>
      <c r="BC1168" s="41"/>
      <c r="BD1168" s="41"/>
      <c r="BE1168" s="41"/>
      <c r="BF1168" s="41"/>
      <c r="BG1168" s="41"/>
      <c r="BH1168" s="41"/>
      <c r="BJ1168" s="41"/>
      <c r="BK1168" s="41"/>
      <c r="BL1168" s="41"/>
      <c r="BM1168" s="41"/>
      <c r="BN1168" s="41"/>
      <c r="BO1168" s="41"/>
      <c r="BP1168" s="41"/>
      <c r="BQ1168" s="41"/>
      <c r="BR1168" s="41"/>
      <c r="BS1168" s="41"/>
      <c r="BT1168" s="41"/>
      <c r="BU1168" s="41"/>
      <c r="BV1168" s="41">
        <v>0.2</v>
      </c>
      <c r="BW1168" s="41"/>
      <c r="BX1168" s="41"/>
      <c r="BY1168" s="41"/>
      <c r="BZ1168" s="41"/>
      <c r="CA1168" s="41"/>
      <c r="CB1168" s="41">
        <v>0.2</v>
      </c>
      <c r="CC1168" s="41"/>
      <c r="CD1168" s="41"/>
      <c r="CE1168" s="41">
        <v>0.2</v>
      </c>
      <c r="CF1168" s="41"/>
      <c r="CG1168" s="41"/>
      <c r="CH1168" s="41"/>
      <c r="CI1168" s="41"/>
      <c r="CJ1168" s="41"/>
      <c r="CK1168" s="41"/>
      <c r="CL1168" s="41">
        <v>0.4</v>
      </c>
      <c r="CM1168" s="41"/>
      <c r="CN1168" s="41"/>
      <c r="CO1168" s="41"/>
      <c r="CP1168" s="41"/>
      <c r="CQ1168" s="41"/>
      <c r="CR1168" s="41"/>
      <c r="CS1168" s="41"/>
      <c r="CT1168" s="41"/>
      <c r="CU1168" s="41"/>
      <c r="CV1168" s="41"/>
      <c r="CW1168" s="41"/>
      <c r="CX1168" s="41"/>
      <c r="CY1168" s="41"/>
      <c r="CZ1168" s="41"/>
      <c r="DA1168" s="41"/>
      <c r="DB1168" s="41"/>
      <c r="DC1168" s="41"/>
      <c r="DD1168" s="41"/>
      <c r="DE1168" s="41"/>
      <c r="DF1168" s="41"/>
      <c r="DG1168" s="41"/>
      <c r="DH1168" s="41"/>
      <c r="DI1168" s="41"/>
      <c r="DJ1168" s="41"/>
      <c r="DK1168" s="41"/>
      <c r="DL1168" s="41"/>
      <c r="DM1168" s="41"/>
      <c r="DN1168" s="41"/>
      <c r="DO1168" s="41"/>
      <c r="DP1168" s="41"/>
      <c r="DQ1168" s="41"/>
      <c r="DR1168" s="41"/>
      <c r="DS1168" s="43"/>
      <c r="DT1168" s="44">
        <f t="shared" ref="DT1168" si="1149">SUM(F1168:DR1168)</f>
        <v>1</v>
      </c>
    </row>
    <row r="1169" spans="2:124" s="13" customFormat="1">
      <c r="B1169" s="4">
        <f>'6.1Personnel List'!B1170</f>
        <v>1157</v>
      </c>
      <c r="C1169" s="45" t="s">
        <v>1385</v>
      </c>
      <c r="D1169" s="45" t="str">
        <f>'6.1Personnel List'!D1170</f>
        <v>Nursing Attendant II</v>
      </c>
      <c r="E1169" s="45" t="str">
        <f>'6.1Personnel List'!H1170</f>
        <v>FT</v>
      </c>
      <c r="G1169" s="41"/>
      <c r="H1169" s="41"/>
      <c r="I1169" s="41"/>
      <c r="J1169" s="41"/>
      <c r="K1169" s="41"/>
      <c r="L1169" s="41"/>
      <c r="M1169" s="41"/>
      <c r="N1169" s="41"/>
      <c r="O1169" s="41"/>
      <c r="P1169" s="41"/>
      <c r="Q1169" s="41"/>
      <c r="R1169" s="41"/>
      <c r="S1169" s="41"/>
      <c r="T1169" s="41"/>
      <c r="U1169" s="41"/>
      <c r="V1169" s="41"/>
      <c r="W1169" s="41"/>
      <c r="X1169" s="41"/>
      <c r="Y1169" s="41"/>
      <c r="Z1169" s="41"/>
      <c r="AA1169" s="41"/>
      <c r="AB1169" s="41"/>
      <c r="AC1169" s="41"/>
      <c r="AD1169" s="41"/>
      <c r="AE1169" s="41"/>
      <c r="AF1169" s="41"/>
      <c r="AG1169" s="41"/>
      <c r="AH1169" s="41"/>
      <c r="AI1169" s="41"/>
      <c r="AJ1169" s="41"/>
      <c r="AK1169" s="41"/>
      <c r="AL1169" s="41"/>
      <c r="AM1169" s="41"/>
      <c r="AN1169" s="41"/>
      <c r="AO1169" s="41"/>
      <c r="AP1169" s="41"/>
      <c r="AQ1169" s="41"/>
      <c r="AR1169" s="41"/>
      <c r="AS1169" s="41"/>
      <c r="AT1169" s="41"/>
      <c r="AU1169" s="41"/>
      <c r="AV1169" s="41"/>
      <c r="AW1169" s="41"/>
      <c r="AX1169" s="41"/>
      <c r="AY1169" s="41"/>
      <c r="AZ1169" s="41"/>
      <c r="BA1169" s="41"/>
      <c r="BB1169" s="41"/>
      <c r="BC1169" s="41"/>
      <c r="BD1169" s="41"/>
      <c r="BE1169" s="41"/>
      <c r="BF1169" s="41"/>
      <c r="BG1169" s="41"/>
      <c r="BH1169" s="41"/>
      <c r="BJ1169" s="41"/>
      <c r="BK1169" s="41"/>
      <c r="BL1169" s="41"/>
      <c r="BM1169" s="41"/>
      <c r="BN1169" s="41"/>
      <c r="BO1169" s="41"/>
      <c r="BP1169" s="41"/>
      <c r="BQ1169" s="41"/>
      <c r="BR1169" s="41"/>
      <c r="BS1169" s="41"/>
      <c r="BT1169" s="41"/>
      <c r="BU1169" s="41"/>
      <c r="BV1169" s="41">
        <v>0.2</v>
      </c>
      <c r="BW1169" s="41"/>
      <c r="BX1169" s="41"/>
      <c r="BY1169" s="41"/>
      <c r="BZ1169" s="41"/>
      <c r="CA1169" s="41"/>
      <c r="CB1169" s="41">
        <v>0.2</v>
      </c>
      <c r="CC1169" s="41"/>
      <c r="CD1169" s="41"/>
      <c r="CE1169" s="41">
        <v>0.2</v>
      </c>
      <c r="CF1169" s="41"/>
      <c r="CG1169" s="41"/>
      <c r="CH1169" s="41"/>
      <c r="CI1169" s="41"/>
      <c r="CJ1169" s="41"/>
      <c r="CK1169" s="41"/>
      <c r="CL1169" s="41">
        <v>0.4</v>
      </c>
      <c r="CM1169" s="41"/>
      <c r="CN1169" s="41"/>
      <c r="CO1169" s="41"/>
      <c r="CP1169" s="41"/>
      <c r="CQ1169" s="41"/>
      <c r="CR1169" s="41"/>
      <c r="CS1169" s="41"/>
      <c r="CT1169" s="41"/>
      <c r="CU1169" s="41"/>
      <c r="CV1169" s="41"/>
      <c r="CW1169" s="41"/>
      <c r="CX1169" s="41"/>
      <c r="CY1169" s="41"/>
      <c r="CZ1169" s="41"/>
      <c r="DA1169" s="41"/>
      <c r="DB1169" s="41"/>
      <c r="DC1169" s="41"/>
      <c r="DD1169" s="41"/>
      <c r="DE1169" s="41"/>
      <c r="DF1169" s="41"/>
      <c r="DG1169" s="41"/>
      <c r="DH1169" s="41"/>
      <c r="DI1169" s="41"/>
      <c r="DJ1169" s="41"/>
      <c r="DK1169" s="41"/>
      <c r="DL1169" s="41"/>
      <c r="DM1169" s="41"/>
      <c r="DN1169" s="41"/>
      <c r="DO1169" s="41"/>
      <c r="DP1169" s="41"/>
      <c r="DQ1169" s="41"/>
      <c r="DR1169" s="41"/>
      <c r="DS1169" s="43"/>
      <c r="DT1169" s="44">
        <f t="shared" ref="DT1169" si="1150">SUM(F1169:DR1169)</f>
        <v>1</v>
      </c>
    </row>
    <row r="1170" spans="2:124" s="13" customFormat="1">
      <c r="B1170" s="4">
        <f>'6.1Personnel List'!B1171</f>
        <v>1158</v>
      </c>
      <c r="C1170" s="45" t="s">
        <v>1386</v>
      </c>
      <c r="D1170" s="45" t="str">
        <f>'6.1Personnel List'!D1171</f>
        <v>Nursing Attendant II</v>
      </c>
      <c r="E1170" s="45" t="str">
        <f>'6.1Personnel List'!H1171</f>
        <v>FT</v>
      </c>
      <c r="G1170" s="41"/>
      <c r="H1170" s="41"/>
      <c r="I1170" s="41"/>
      <c r="J1170" s="41"/>
      <c r="K1170" s="41"/>
      <c r="L1170" s="41"/>
      <c r="M1170" s="41"/>
      <c r="N1170" s="41"/>
      <c r="O1170" s="41"/>
      <c r="P1170" s="41"/>
      <c r="Q1170" s="41"/>
      <c r="R1170" s="41"/>
      <c r="S1170" s="41"/>
      <c r="T1170" s="41"/>
      <c r="U1170" s="41"/>
      <c r="V1170" s="41"/>
      <c r="W1170" s="41"/>
      <c r="X1170" s="41"/>
      <c r="Y1170" s="41"/>
      <c r="Z1170" s="41"/>
      <c r="AA1170" s="41"/>
      <c r="AB1170" s="41"/>
      <c r="AC1170" s="41"/>
      <c r="AD1170" s="41"/>
      <c r="AE1170" s="41"/>
      <c r="AF1170" s="41"/>
      <c r="AG1170" s="41"/>
      <c r="AH1170" s="41"/>
      <c r="AI1170" s="41"/>
      <c r="AJ1170" s="41"/>
      <c r="AK1170" s="41"/>
      <c r="AL1170" s="41"/>
      <c r="AM1170" s="41"/>
      <c r="AN1170" s="41"/>
      <c r="AO1170" s="41"/>
      <c r="AP1170" s="41"/>
      <c r="AQ1170" s="41"/>
      <c r="AR1170" s="41"/>
      <c r="AS1170" s="41"/>
      <c r="AT1170" s="41"/>
      <c r="AU1170" s="41"/>
      <c r="AV1170" s="41"/>
      <c r="AW1170" s="41"/>
      <c r="AX1170" s="41"/>
      <c r="AY1170" s="41"/>
      <c r="AZ1170" s="41"/>
      <c r="BA1170" s="41"/>
      <c r="BB1170" s="41"/>
      <c r="BC1170" s="41"/>
      <c r="BD1170" s="41"/>
      <c r="BE1170" s="41"/>
      <c r="BF1170" s="41"/>
      <c r="BG1170" s="41"/>
      <c r="BH1170" s="41"/>
      <c r="BJ1170" s="41"/>
      <c r="BK1170" s="94"/>
      <c r="BL1170" s="94"/>
      <c r="BM1170" s="94"/>
      <c r="BN1170" s="94"/>
      <c r="BO1170" s="94"/>
      <c r="BP1170" s="94"/>
      <c r="BQ1170" s="94"/>
      <c r="BR1170" s="94"/>
      <c r="BS1170" s="94"/>
      <c r="BT1170" s="94"/>
      <c r="BU1170" s="94"/>
      <c r="BV1170" s="94"/>
      <c r="BW1170" s="94"/>
      <c r="BX1170" s="94"/>
      <c r="BY1170" s="94"/>
      <c r="BZ1170" s="94"/>
      <c r="CA1170" s="94"/>
      <c r="CB1170" s="94"/>
      <c r="CC1170" s="94"/>
      <c r="CD1170" s="94"/>
      <c r="CE1170" s="94"/>
      <c r="CF1170" s="94"/>
      <c r="CG1170" s="94"/>
      <c r="CH1170" s="94"/>
      <c r="CI1170" s="94"/>
      <c r="CJ1170" s="94"/>
      <c r="CK1170" s="94"/>
      <c r="CL1170" s="94"/>
      <c r="CM1170" s="94"/>
      <c r="CN1170" s="94"/>
      <c r="CO1170" s="94"/>
      <c r="CP1170" s="94"/>
      <c r="CQ1170" s="94"/>
      <c r="CR1170" s="94"/>
      <c r="CS1170" s="94"/>
      <c r="CT1170" s="94"/>
      <c r="CU1170" s="94">
        <v>1</v>
      </c>
      <c r="CV1170" s="94"/>
      <c r="CW1170" s="94"/>
      <c r="CX1170" s="94"/>
      <c r="CY1170" s="94"/>
      <c r="CZ1170" s="94"/>
      <c r="DA1170" s="94"/>
      <c r="DB1170" s="94"/>
      <c r="DC1170" s="94"/>
      <c r="DD1170" s="94"/>
      <c r="DE1170" s="94"/>
      <c r="DF1170" s="94"/>
      <c r="DG1170" s="94"/>
      <c r="DH1170" s="94"/>
      <c r="DI1170" s="94"/>
      <c r="DJ1170" s="94"/>
      <c r="DK1170" s="41"/>
      <c r="DL1170" s="41"/>
      <c r="DM1170" s="41"/>
      <c r="DN1170" s="41"/>
      <c r="DO1170" s="41"/>
      <c r="DP1170" s="41"/>
      <c r="DQ1170" s="41"/>
      <c r="DR1170" s="41"/>
      <c r="DS1170" s="43"/>
      <c r="DT1170" s="44">
        <f t="shared" ref="DT1170" si="1151">SUM(F1170:DR1170)</f>
        <v>1</v>
      </c>
    </row>
    <row r="1171" spans="2:124" s="13" customFormat="1">
      <c r="B1171" s="4">
        <f>'6.1Personnel List'!B1172</f>
        <v>1159</v>
      </c>
      <c r="C1171" s="45" t="s">
        <v>1387</v>
      </c>
      <c r="D1171" s="45" t="str">
        <f>'6.1Personnel List'!D1172</f>
        <v>Nursing Attendant II</v>
      </c>
      <c r="E1171" s="45" t="str">
        <f>'6.1Personnel List'!H1172</f>
        <v>FT</v>
      </c>
      <c r="G1171" s="41"/>
      <c r="H1171" s="41"/>
      <c r="I1171" s="41"/>
      <c r="J1171" s="41"/>
      <c r="K1171" s="41"/>
      <c r="L1171" s="41"/>
      <c r="M1171" s="41"/>
      <c r="N1171" s="41"/>
      <c r="O1171" s="41"/>
      <c r="P1171" s="41"/>
      <c r="Q1171" s="41"/>
      <c r="R1171" s="41"/>
      <c r="S1171" s="41"/>
      <c r="T1171" s="41"/>
      <c r="U1171" s="41"/>
      <c r="V1171" s="41"/>
      <c r="W1171" s="41"/>
      <c r="X1171" s="41"/>
      <c r="Y1171" s="41"/>
      <c r="Z1171" s="41"/>
      <c r="AA1171" s="41"/>
      <c r="AB1171" s="41"/>
      <c r="AC1171" s="41"/>
      <c r="AD1171" s="41"/>
      <c r="AE1171" s="41"/>
      <c r="AF1171" s="41"/>
      <c r="AG1171" s="41"/>
      <c r="AH1171" s="41"/>
      <c r="AI1171" s="41"/>
      <c r="AJ1171" s="41"/>
      <c r="AK1171" s="41"/>
      <c r="AL1171" s="41"/>
      <c r="AM1171" s="41"/>
      <c r="AN1171" s="41"/>
      <c r="AO1171" s="41"/>
      <c r="AP1171" s="41"/>
      <c r="AQ1171" s="41"/>
      <c r="AR1171" s="41"/>
      <c r="AS1171" s="41"/>
      <c r="AT1171" s="41"/>
      <c r="AU1171" s="41"/>
      <c r="AV1171" s="41"/>
      <c r="AW1171" s="41"/>
      <c r="AX1171" s="41"/>
      <c r="AY1171" s="41"/>
      <c r="AZ1171" s="41"/>
      <c r="BA1171" s="41"/>
      <c r="BB1171" s="41"/>
      <c r="BC1171" s="41"/>
      <c r="BD1171" s="41"/>
      <c r="BE1171" s="41"/>
      <c r="BF1171" s="41"/>
      <c r="BG1171" s="41"/>
      <c r="BH1171" s="41"/>
      <c r="BJ1171" s="41"/>
      <c r="BK1171" s="94"/>
      <c r="BL1171" s="94"/>
      <c r="BM1171" s="94"/>
      <c r="BN1171" s="94"/>
      <c r="BO1171" s="94"/>
      <c r="BP1171" s="94"/>
      <c r="BQ1171" s="94"/>
      <c r="BR1171" s="94"/>
      <c r="BS1171" s="94"/>
      <c r="BT1171" s="94"/>
      <c r="BU1171" s="94"/>
      <c r="BV1171" s="94"/>
      <c r="BW1171" s="94"/>
      <c r="BX1171" s="94"/>
      <c r="BY1171" s="94"/>
      <c r="BZ1171" s="94"/>
      <c r="CA1171" s="94"/>
      <c r="CB1171" s="94"/>
      <c r="CC1171" s="94"/>
      <c r="CD1171" s="94"/>
      <c r="CE1171" s="94"/>
      <c r="CF1171" s="94"/>
      <c r="CG1171" s="94"/>
      <c r="CH1171" s="94"/>
      <c r="CI1171" s="94"/>
      <c r="CJ1171" s="94"/>
      <c r="CK1171" s="94"/>
      <c r="CL1171" s="94"/>
      <c r="CM1171" s="94"/>
      <c r="CN1171" s="94"/>
      <c r="CO1171" s="94">
        <v>1</v>
      </c>
      <c r="CP1171" s="94"/>
      <c r="CQ1171" s="94"/>
      <c r="CR1171" s="94"/>
      <c r="CS1171" s="94"/>
      <c r="CT1171" s="94"/>
      <c r="CU1171" s="94"/>
      <c r="CV1171" s="94"/>
      <c r="CW1171" s="94"/>
      <c r="CX1171" s="94"/>
      <c r="CY1171" s="94"/>
      <c r="CZ1171" s="94"/>
      <c r="DA1171" s="94"/>
      <c r="DB1171" s="94"/>
      <c r="DC1171" s="94"/>
      <c r="DD1171" s="94"/>
      <c r="DE1171" s="94"/>
      <c r="DF1171" s="94"/>
      <c r="DG1171" s="94"/>
      <c r="DH1171" s="94"/>
      <c r="DI1171" s="94"/>
      <c r="DJ1171" s="94"/>
      <c r="DK1171" s="41"/>
      <c r="DL1171" s="41"/>
      <c r="DM1171" s="41"/>
      <c r="DN1171" s="41"/>
      <c r="DO1171" s="41"/>
      <c r="DP1171" s="41"/>
      <c r="DQ1171" s="41"/>
      <c r="DR1171" s="41"/>
      <c r="DS1171" s="43"/>
      <c r="DT1171" s="44">
        <f t="shared" ref="DT1171" si="1152">SUM(F1171:DR1171)</f>
        <v>1</v>
      </c>
    </row>
    <row r="1172" spans="2:124" s="13" customFormat="1">
      <c r="B1172" s="4">
        <f>'6.1Personnel List'!B1173</f>
        <v>1160</v>
      </c>
      <c r="C1172" s="45" t="s">
        <v>1388</v>
      </c>
      <c r="D1172" s="45" t="str">
        <f>'6.1Personnel List'!D1173</f>
        <v>Nursing Attendant II</v>
      </c>
      <c r="E1172" s="45" t="str">
        <f>'6.1Personnel List'!H1173</f>
        <v>FT</v>
      </c>
      <c r="G1172" s="41"/>
      <c r="H1172" s="41"/>
      <c r="I1172" s="41"/>
      <c r="J1172" s="41"/>
      <c r="K1172" s="41"/>
      <c r="L1172" s="41"/>
      <c r="M1172" s="41"/>
      <c r="N1172" s="41"/>
      <c r="O1172" s="41"/>
      <c r="P1172" s="41"/>
      <c r="Q1172" s="41"/>
      <c r="R1172" s="41"/>
      <c r="S1172" s="41"/>
      <c r="T1172" s="41"/>
      <c r="U1172" s="41"/>
      <c r="V1172" s="41"/>
      <c r="W1172" s="41"/>
      <c r="X1172" s="41"/>
      <c r="Y1172" s="41"/>
      <c r="Z1172" s="41"/>
      <c r="AA1172" s="41"/>
      <c r="AB1172" s="41"/>
      <c r="AC1172" s="41"/>
      <c r="AD1172" s="41"/>
      <c r="AE1172" s="41"/>
      <c r="AF1172" s="41"/>
      <c r="AG1172" s="41"/>
      <c r="AH1172" s="41"/>
      <c r="AI1172" s="41"/>
      <c r="AJ1172" s="41"/>
      <c r="AK1172" s="41"/>
      <c r="AL1172" s="41"/>
      <c r="AM1172" s="41"/>
      <c r="AN1172" s="41"/>
      <c r="AO1172" s="41"/>
      <c r="AP1172" s="41"/>
      <c r="AQ1172" s="41"/>
      <c r="AR1172" s="41"/>
      <c r="AS1172" s="41"/>
      <c r="AT1172" s="41"/>
      <c r="AU1172" s="41"/>
      <c r="AV1172" s="41"/>
      <c r="AW1172" s="41"/>
      <c r="AX1172" s="41"/>
      <c r="AY1172" s="41"/>
      <c r="AZ1172" s="41"/>
      <c r="BA1172" s="41"/>
      <c r="BB1172" s="41"/>
      <c r="BC1172" s="41"/>
      <c r="BD1172" s="41"/>
      <c r="BE1172" s="41"/>
      <c r="BF1172" s="41"/>
      <c r="BG1172" s="41"/>
      <c r="BH1172" s="41"/>
      <c r="BJ1172" s="41"/>
      <c r="BK1172" s="41"/>
      <c r="BL1172" s="41"/>
      <c r="BM1172" s="41"/>
      <c r="BN1172" s="41"/>
      <c r="BO1172" s="41"/>
      <c r="BP1172" s="41"/>
      <c r="BQ1172" s="41"/>
      <c r="BR1172" s="41"/>
      <c r="BS1172" s="41"/>
      <c r="BT1172" s="41"/>
      <c r="BU1172" s="41"/>
      <c r="BV1172" s="41">
        <v>0.2</v>
      </c>
      <c r="BW1172" s="41"/>
      <c r="BX1172" s="41"/>
      <c r="BY1172" s="41"/>
      <c r="BZ1172" s="41"/>
      <c r="CA1172" s="41"/>
      <c r="CB1172" s="41">
        <v>0.2</v>
      </c>
      <c r="CC1172" s="41"/>
      <c r="CD1172" s="41"/>
      <c r="CE1172" s="41">
        <v>0.2</v>
      </c>
      <c r="CF1172" s="41"/>
      <c r="CG1172" s="41"/>
      <c r="CH1172" s="41"/>
      <c r="CI1172" s="41"/>
      <c r="CJ1172" s="41"/>
      <c r="CK1172" s="41"/>
      <c r="CL1172" s="41">
        <v>0.4</v>
      </c>
      <c r="CM1172" s="41"/>
      <c r="CN1172" s="41"/>
      <c r="CO1172" s="41"/>
      <c r="CP1172" s="41"/>
      <c r="CQ1172" s="41"/>
      <c r="CR1172" s="41"/>
      <c r="CS1172" s="41"/>
      <c r="CT1172" s="41"/>
      <c r="CU1172" s="41"/>
      <c r="CV1172" s="41"/>
      <c r="CW1172" s="41"/>
      <c r="CX1172" s="41"/>
      <c r="CY1172" s="41"/>
      <c r="CZ1172" s="41"/>
      <c r="DA1172" s="41"/>
      <c r="DB1172" s="41"/>
      <c r="DC1172" s="41"/>
      <c r="DD1172" s="41"/>
      <c r="DE1172" s="41"/>
      <c r="DF1172" s="41"/>
      <c r="DG1172" s="41"/>
      <c r="DH1172" s="41"/>
      <c r="DI1172" s="41"/>
      <c r="DJ1172" s="41"/>
      <c r="DK1172" s="41"/>
      <c r="DL1172" s="41"/>
      <c r="DM1172" s="41"/>
      <c r="DN1172" s="41"/>
      <c r="DO1172" s="41"/>
      <c r="DP1172" s="41"/>
      <c r="DQ1172" s="41"/>
      <c r="DR1172" s="41"/>
      <c r="DS1172" s="43"/>
      <c r="DT1172" s="44">
        <f t="shared" ref="DT1172" si="1153">SUM(F1172:DR1172)</f>
        <v>1</v>
      </c>
    </row>
    <row r="1173" spans="2:124" s="13" customFormat="1">
      <c r="B1173" s="4">
        <f>'6.1Personnel List'!B1174</f>
        <v>1161</v>
      </c>
      <c r="C1173" s="45" t="s">
        <v>1389</v>
      </c>
      <c r="D1173" s="45" t="str">
        <f>'6.1Personnel List'!D1174</f>
        <v>Nursing Attendant II</v>
      </c>
      <c r="E1173" s="45" t="str">
        <f>'6.1Personnel List'!H1174</f>
        <v>FT</v>
      </c>
      <c r="G1173" s="41"/>
      <c r="H1173" s="41"/>
      <c r="I1173" s="41"/>
      <c r="J1173" s="41"/>
      <c r="K1173" s="41"/>
      <c r="L1173" s="41"/>
      <c r="M1173" s="41"/>
      <c r="N1173" s="41"/>
      <c r="O1173" s="41"/>
      <c r="P1173" s="41"/>
      <c r="Q1173" s="41"/>
      <c r="R1173" s="41"/>
      <c r="S1173" s="41"/>
      <c r="T1173" s="41"/>
      <c r="U1173" s="41"/>
      <c r="V1173" s="41"/>
      <c r="W1173" s="41"/>
      <c r="X1173" s="41"/>
      <c r="Y1173" s="41"/>
      <c r="Z1173" s="41"/>
      <c r="AA1173" s="41"/>
      <c r="AB1173" s="41"/>
      <c r="AC1173" s="41"/>
      <c r="AD1173" s="41"/>
      <c r="AE1173" s="41"/>
      <c r="AF1173" s="41"/>
      <c r="AG1173" s="41"/>
      <c r="AH1173" s="41"/>
      <c r="AI1173" s="41"/>
      <c r="AJ1173" s="41"/>
      <c r="AK1173" s="41"/>
      <c r="AL1173" s="41"/>
      <c r="AM1173" s="41"/>
      <c r="AN1173" s="41"/>
      <c r="AO1173" s="41"/>
      <c r="AP1173" s="41"/>
      <c r="AQ1173" s="41"/>
      <c r="AR1173" s="41"/>
      <c r="AS1173" s="41"/>
      <c r="AT1173" s="41"/>
      <c r="AU1173" s="41"/>
      <c r="AV1173" s="41"/>
      <c r="AW1173" s="41"/>
      <c r="AX1173" s="41"/>
      <c r="AY1173" s="41"/>
      <c r="AZ1173" s="41"/>
      <c r="BA1173" s="41"/>
      <c r="BB1173" s="41"/>
      <c r="BC1173" s="41"/>
      <c r="BD1173" s="41"/>
      <c r="BE1173" s="41"/>
      <c r="BF1173" s="41"/>
      <c r="BG1173" s="41"/>
      <c r="BH1173" s="41"/>
      <c r="BJ1173" s="41"/>
      <c r="BK1173" s="41"/>
      <c r="BL1173" s="41"/>
      <c r="BM1173" s="41"/>
      <c r="BN1173" s="41"/>
      <c r="BO1173" s="41"/>
      <c r="BP1173" s="41"/>
      <c r="BQ1173" s="41"/>
      <c r="BR1173" s="41"/>
      <c r="BS1173" s="41"/>
      <c r="BT1173" s="41"/>
      <c r="BU1173" s="41"/>
      <c r="BV1173" s="41">
        <v>0.2</v>
      </c>
      <c r="BW1173" s="41"/>
      <c r="BX1173" s="41"/>
      <c r="BY1173" s="41"/>
      <c r="BZ1173" s="41"/>
      <c r="CA1173" s="41"/>
      <c r="CB1173" s="41">
        <v>0.2</v>
      </c>
      <c r="CC1173" s="41"/>
      <c r="CD1173" s="41"/>
      <c r="CE1173" s="41">
        <v>0.2</v>
      </c>
      <c r="CF1173" s="41"/>
      <c r="CG1173" s="41"/>
      <c r="CH1173" s="41"/>
      <c r="CI1173" s="41"/>
      <c r="CJ1173" s="41"/>
      <c r="CK1173" s="41"/>
      <c r="CL1173" s="41">
        <v>0.4</v>
      </c>
      <c r="CM1173" s="41"/>
      <c r="CN1173" s="41"/>
      <c r="CO1173" s="41"/>
      <c r="CP1173" s="41"/>
      <c r="CQ1173" s="41"/>
      <c r="CR1173" s="41"/>
      <c r="CS1173" s="41"/>
      <c r="CT1173" s="41"/>
      <c r="CU1173" s="41"/>
      <c r="CV1173" s="41"/>
      <c r="CW1173" s="41"/>
      <c r="CX1173" s="41"/>
      <c r="CY1173" s="41"/>
      <c r="CZ1173" s="41"/>
      <c r="DA1173" s="41"/>
      <c r="DB1173" s="41"/>
      <c r="DC1173" s="41"/>
      <c r="DD1173" s="41"/>
      <c r="DE1173" s="41"/>
      <c r="DF1173" s="41"/>
      <c r="DG1173" s="41"/>
      <c r="DH1173" s="41"/>
      <c r="DI1173" s="41"/>
      <c r="DJ1173" s="41"/>
      <c r="DK1173" s="41"/>
      <c r="DL1173" s="41"/>
      <c r="DM1173" s="41"/>
      <c r="DN1173" s="41"/>
      <c r="DO1173" s="41"/>
      <c r="DP1173" s="41"/>
      <c r="DQ1173" s="41"/>
      <c r="DR1173" s="41"/>
      <c r="DS1173" s="43"/>
      <c r="DT1173" s="44">
        <f t="shared" ref="DT1173" si="1154">SUM(F1173:DR1173)</f>
        <v>1</v>
      </c>
    </row>
    <row r="1174" spans="2:124" s="13" customFormat="1">
      <c r="B1174" s="4">
        <f>'6.1Personnel List'!B1175</f>
        <v>1162</v>
      </c>
      <c r="C1174" s="45" t="s">
        <v>1390</v>
      </c>
      <c r="D1174" s="45" t="str">
        <f>'6.1Personnel List'!D1175</f>
        <v>Nursing Attendant II</v>
      </c>
      <c r="E1174" s="45" t="str">
        <f>'6.1Personnel List'!H1175</f>
        <v>FT</v>
      </c>
      <c r="G1174" s="41"/>
      <c r="H1174" s="41"/>
      <c r="I1174" s="41"/>
      <c r="J1174" s="41"/>
      <c r="K1174" s="41"/>
      <c r="L1174" s="41"/>
      <c r="M1174" s="41"/>
      <c r="N1174" s="41"/>
      <c r="O1174" s="41"/>
      <c r="P1174" s="41"/>
      <c r="Q1174" s="41"/>
      <c r="R1174" s="41"/>
      <c r="S1174" s="41"/>
      <c r="T1174" s="41"/>
      <c r="U1174" s="41"/>
      <c r="V1174" s="41"/>
      <c r="W1174" s="41"/>
      <c r="X1174" s="41"/>
      <c r="Y1174" s="41"/>
      <c r="Z1174" s="41"/>
      <c r="AA1174" s="41"/>
      <c r="AB1174" s="41"/>
      <c r="AC1174" s="41"/>
      <c r="AD1174" s="41"/>
      <c r="AE1174" s="41"/>
      <c r="AF1174" s="41"/>
      <c r="AG1174" s="41"/>
      <c r="AH1174" s="41"/>
      <c r="AI1174" s="41"/>
      <c r="AJ1174" s="41"/>
      <c r="AK1174" s="41"/>
      <c r="AL1174" s="41"/>
      <c r="AM1174" s="41"/>
      <c r="AN1174" s="41"/>
      <c r="AO1174" s="41"/>
      <c r="AP1174" s="41"/>
      <c r="AQ1174" s="41"/>
      <c r="AR1174" s="41"/>
      <c r="AS1174" s="41"/>
      <c r="AT1174" s="41"/>
      <c r="AU1174" s="41"/>
      <c r="AV1174" s="41"/>
      <c r="AW1174" s="41"/>
      <c r="AX1174" s="41"/>
      <c r="AY1174" s="41"/>
      <c r="AZ1174" s="41"/>
      <c r="BA1174" s="41"/>
      <c r="BB1174" s="41"/>
      <c r="BC1174" s="41"/>
      <c r="BD1174" s="41"/>
      <c r="BE1174" s="41"/>
      <c r="BF1174" s="41"/>
      <c r="BG1174" s="41"/>
      <c r="BH1174" s="41"/>
      <c r="BJ1174" s="41"/>
      <c r="BK1174" s="41"/>
      <c r="BL1174" s="41"/>
      <c r="BM1174" s="41"/>
      <c r="BN1174" s="41"/>
      <c r="BO1174" s="41"/>
      <c r="BP1174" s="41"/>
      <c r="BQ1174" s="41"/>
      <c r="BR1174" s="41"/>
      <c r="BS1174" s="41"/>
      <c r="BT1174" s="41"/>
      <c r="BU1174" s="41"/>
      <c r="BV1174" s="41">
        <v>0.2</v>
      </c>
      <c r="BW1174" s="41"/>
      <c r="BX1174" s="41"/>
      <c r="BY1174" s="41"/>
      <c r="BZ1174" s="41"/>
      <c r="CA1174" s="41"/>
      <c r="CB1174" s="41">
        <v>0.2</v>
      </c>
      <c r="CC1174" s="41"/>
      <c r="CD1174" s="41"/>
      <c r="CE1174" s="41">
        <v>0.2</v>
      </c>
      <c r="CF1174" s="41"/>
      <c r="CG1174" s="41"/>
      <c r="CH1174" s="41"/>
      <c r="CI1174" s="41"/>
      <c r="CJ1174" s="41"/>
      <c r="CK1174" s="41"/>
      <c r="CL1174" s="41">
        <v>0.4</v>
      </c>
      <c r="CM1174" s="41"/>
      <c r="CN1174" s="41"/>
      <c r="CO1174" s="41"/>
      <c r="CP1174" s="41"/>
      <c r="CQ1174" s="41"/>
      <c r="CR1174" s="41"/>
      <c r="CS1174" s="41"/>
      <c r="CT1174" s="41"/>
      <c r="CU1174" s="41"/>
      <c r="CV1174" s="41"/>
      <c r="CW1174" s="41"/>
      <c r="CX1174" s="41"/>
      <c r="CY1174" s="41"/>
      <c r="CZ1174" s="41"/>
      <c r="DA1174" s="41"/>
      <c r="DB1174" s="41"/>
      <c r="DC1174" s="41"/>
      <c r="DD1174" s="41"/>
      <c r="DE1174" s="41"/>
      <c r="DF1174" s="41"/>
      <c r="DG1174" s="41"/>
      <c r="DH1174" s="41"/>
      <c r="DI1174" s="41"/>
      <c r="DJ1174" s="41"/>
      <c r="DK1174" s="41"/>
      <c r="DL1174" s="41"/>
      <c r="DM1174" s="41"/>
      <c r="DN1174" s="41"/>
      <c r="DO1174" s="41"/>
      <c r="DP1174" s="41"/>
      <c r="DQ1174" s="41"/>
      <c r="DR1174" s="41"/>
      <c r="DS1174" s="43"/>
      <c r="DT1174" s="44">
        <f t="shared" ref="DT1174" si="1155">SUM(F1174:DR1174)</f>
        <v>1</v>
      </c>
    </row>
    <row r="1175" spans="2:124" s="13" customFormat="1">
      <c r="B1175" s="4">
        <f>'6.1Personnel List'!B1176</f>
        <v>1163</v>
      </c>
      <c r="C1175" s="45" t="s">
        <v>1391</v>
      </c>
      <c r="D1175" s="45" t="str">
        <f>'6.1Personnel List'!D1176</f>
        <v>Nursing Attendant II</v>
      </c>
      <c r="E1175" s="45" t="str">
        <f>'6.1Personnel List'!H1176</f>
        <v>FT</v>
      </c>
      <c r="G1175" s="41"/>
      <c r="H1175" s="41"/>
      <c r="I1175" s="41"/>
      <c r="J1175" s="41"/>
      <c r="K1175" s="41"/>
      <c r="L1175" s="41"/>
      <c r="M1175" s="41"/>
      <c r="N1175" s="41"/>
      <c r="O1175" s="41"/>
      <c r="P1175" s="41"/>
      <c r="Q1175" s="41"/>
      <c r="R1175" s="41"/>
      <c r="S1175" s="41"/>
      <c r="T1175" s="41"/>
      <c r="U1175" s="41"/>
      <c r="V1175" s="41"/>
      <c r="W1175" s="41"/>
      <c r="X1175" s="41"/>
      <c r="Y1175" s="41"/>
      <c r="Z1175" s="41"/>
      <c r="AA1175" s="41"/>
      <c r="AB1175" s="41"/>
      <c r="AC1175" s="41"/>
      <c r="AD1175" s="41"/>
      <c r="AE1175" s="41"/>
      <c r="AF1175" s="41"/>
      <c r="AG1175" s="41"/>
      <c r="AH1175" s="41"/>
      <c r="AI1175" s="41"/>
      <c r="AJ1175" s="41"/>
      <c r="AK1175" s="41"/>
      <c r="AL1175" s="41"/>
      <c r="AM1175" s="41"/>
      <c r="AN1175" s="41"/>
      <c r="AO1175" s="41"/>
      <c r="AP1175" s="41"/>
      <c r="AQ1175" s="41"/>
      <c r="AR1175" s="41"/>
      <c r="AS1175" s="41"/>
      <c r="AT1175" s="41"/>
      <c r="AU1175" s="41"/>
      <c r="AV1175" s="41"/>
      <c r="AW1175" s="41"/>
      <c r="AX1175" s="41"/>
      <c r="AY1175" s="41"/>
      <c r="AZ1175" s="41"/>
      <c r="BA1175" s="41"/>
      <c r="BB1175" s="41"/>
      <c r="BC1175" s="41"/>
      <c r="BD1175" s="41"/>
      <c r="BE1175" s="41"/>
      <c r="BF1175" s="41"/>
      <c r="BG1175" s="41"/>
      <c r="BH1175" s="41"/>
      <c r="BJ1175" s="41"/>
      <c r="BK1175" s="94"/>
      <c r="BL1175" s="94"/>
      <c r="BM1175" s="94"/>
      <c r="BN1175" s="94"/>
      <c r="BO1175" s="94"/>
      <c r="BP1175" s="94"/>
      <c r="BQ1175" s="94"/>
      <c r="BR1175" s="94"/>
      <c r="BS1175" s="94"/>
      <c r="BT1175" s="94"/>
      <c r="BU1175" s="94"/>
      <c r="BV1175" s="94"/>
      <c r="BW1175" s="94"/>
      <c r="BX1175" s="94"/>
      <c r="BY1175" s="94"/>
      <c r="BZ1175" s="94"/>
      <c r="CA1175" s="94"/>
      <c r="CB1175" s="94"/>
      <c r="CC1175" s="94"/>
      <c r="CD1175" s="94"/>
      <c r="CE1175" s="94"/>
      <c r="CF1175" s="94"/>
      <c r="CG1175" s="94"/>
      <c r="CH1175" s="94"/>
      <c r="CI1175" s="94"/>
      <c r="CJ1175" s="94"/>
      <c r="CK1175" s="94"/>
      <c r="CL1175" s="94"/>
      <c r="CM1175" s="94"/>
      <c r="CN1175" s="94"/>
      <c r="CO1175" s="94">
        <v>1</v>
      </c>
      <c r="CP1175" s="94"/>
      <c r="CQ1175" s="94"/>
      <c r="CR1175" s="94"/>
      <c r="CS1175" s="94"/>
      <c r="CT1175" s="94"/>
      <c r="CU1175" s="94"/>
      <c r="CV1175" s="94"/>
      <c r="CW1175" s="94"/>
      <c r="CX1175" s="94"/>
      <c r="CY1175" s="94"/>
      <c r="CZ1175" s="94"/>
      <c r="DA1175" s="94"/>
      <c r="DB1175" s="94"/>
      <c r="DC1175" s="94"/>
      <c r="DD1175" s="94"/>
      <c r="DE1175" s="94"/>
      <c r="DF1175" s="94"/>
      <c r="DG1175" s="94"/>
      <c r="DH1175" s="94"/>
      <c r="DI1175" s="94"/>
      <c r="DJ1175" s="94"/>
      <c r="DK1175" s="41"/>
      <c r="DL1175" s="41"/>
      <c r="DM1175" s="41"/>
      <c r="DN1175" s="41"/>
      <c r="DO1175" s="41"/>
      <c r="DP1175" s="41"/>
      <c r="DQ1175" s="41"/>
      <c r="DR1175" s="41"/>
      <c r="DS1175" s="43"/>
      <c r="DT1175" s="44">
        <f t="shared" ref="DT1175" si="1156">SUM(F1175:DR1175)</f>
        <v>1</v>
      </c>
    </row>
    <row r="1176" spans="2:124" s="13" customFormat="1">
      <c r="B1176" s="4">
        <f>'6.1Personnel List'!B1177</f>
        <v>1164</v>
      </c>
      <c r="C1176" s="45" t="s">
        <v>1392</v>
      </c>
      <c r="D1176" s="45" t="str">
        <f>'6.1Personnel List'!D1177</f>
        <v>Nursing Attendant II</v>
      </c>
      <c r="E1176" s="45" t="str">
        <f>'6.1Personnel List'!H1177</f>
        <v>FT</v>
      </c>
      <c r="G1176" s="41"/>
      <c r="H1176" s="41"/>
      <c r="I1176" s="41"/>
      <c r="J1176" s="41"/>
      <c r="K1176" s="41"/>
      <c r="L1176" s="41"/>
      <c r="M1176" s="41"/>
      <c r="N1176" s="41"/>
      <c r="O1176" s="41"/>
      <c r="P1176" s="41"/>
      <c r="Q1176" s="41"/>
      <c r="R1176" s="41"/>
      <c r="S1176" s="41"/>
      <c r="T1176" s="41"/>
      <c r="U1176" s="41"/>
      <c r="V1176" s="41"/>
      <c r="W1176" s="41"/>
      <c r="X1176" s="41"/>
      <c r="Y1176" s="41"/>
      <c r="Z1176" s="41"/>
      <c r="AA1176" s="41"/>
      <c r="AB1176" s="41"/>
      <c r="AC1176" s="41"/>
      <c r="AD1176" s="41"/>
      <c r="AE1176" s="41"/>
      <c r="AF1176" s="41"/>
      <c r="AG1176" s="41"/>
      <c r="AH1176" s="41"/>
      <c r="AI1176" s="41"/>
      <c r="AJ1176" s="41"/>
      <c r="AK1176" s="41"/>
      <c r="AL1176" s="41"/>
      <c r="AM1176" s="41"/>
      <c r="AN1176" s="41"/>
      <c r="AO1176" s="41"/>
      <c r="AP1176" s="41"/>
      <c r="AQ1176" s="41"/>
      <c r="AR1176" s="41"/>
      <c r="AS1176" s="41"/>
      <c r="AT1176" s="41"/>
      <c r="AU1176" s="41"/>
      <c r="AV1176" s="41"/>
      <c r="AW1176" s="41"/>
      <c r="AX1176" s="41"/>
      <c r="AY1176" s="41"/>
      <c r="AZ1176" s="41"/>
      <c r="BA1176" s="41"/>
      <c r="BB1176" s="41"/>
      <c r="BC1176" s="41"/>
      <c r="BD1176" s="41"/>
      <c r="BE1176" s="41"/>
      <c r="BF1176" s="41"/>
      <c r="BG1176" s="41"/>
      <c r="BH1176" s="41"/>
      <c r="BJ1176" s="41"/>
      <c r="BK1176" s="41"/>
      <c r="BL1176" s="41"/>
      <c r="BM1176" s="41"/>
      <c r="BN1176" s="41"/>
      <c r="BO1176" s="41"/>
      <c r="BP1176" s="41"/>
      <c r="BQ1176" s="41"/>
      <c r="BR1176" s="41"/>
      <c r="BS1176" s="41"/>
      <c r="BT1176" s="41"/>
      <c r="BU1176" s="41"/>
      <c r="BV1176" s="41">
        <v>0.2</v>
      </c>
      <c r="BW1176" s="41"/>
      <c r="BX1176" s="41"/>
      <c r="BY1176" s="41"/>
      <c r="BZ1176" s="41"/>
      <c r="CA1176" s="41"/>
      <c r="CB1176" s="41">
        <v>0.2</v>
      </c>
      <c r="CC1176" s="41"/>
      <c r="CD1176" s="41"/>
      <c r="CE1176" s="41">
        <v>0.2</v>
      </c>
      <c r="CF1176" s="41"/>
      <c r="CG1176" s="41"/>
      <c r="CH1176" s="41"/>
      <c r="CI1176" s="41"/>
      <c r="CJ1176" s="41"/>
      <c r="CK1176" s="41"/>
      <c r="CL1176" s="41">
        <v>0.4</v>
      </c>
      <c r="CM1176" s="41"/>
      <c r="CN1176" s="41"/>
      <c r="CO1176" s="41"/>
      <c r="CP1176" s="41"/>
      <c r="CQ1176" s="41"/>
      <c r="CR1176" s="41"/>
      <c r="CS1176" s="41"/>
      <c r="CT1176" s="41"/>
      <c r="CU1176" s="41"/>
      <c r="CV1176" s="41"/>
      <c r="CW1176" s="41"/>
      <c r="CX1176" s="41"/>
      <c r="CY1176" s="41"/>
      <c r="CZ1176" s="41"/>
      <c r="DA1176" s="41"/>
      <c r="DB1176" s="41"/>
      <c r="DC1176" s="41"/>
      <c r="DD1176" s="41"/>
      <c r="DE1176" s="41"/>
      <c r="DF1176" s="41"/>
      <c r="DG1176" s="41"/>
      <c r="DH1176" s="41"/>
      <c r="DI1176" s="41"/>
      <c r="DJ1176" s="41"/>
      <c r="DK1176" s="41"/>
      <c r="DL1176" s="41"/>
      <c r="DM1176" s="41"/>
      <c r="DN1176" s="41"/>
      <c r="DO1176" s="41"/>
      <c r="DP1176" s="41"/>
      <c r="DQ1176" s="41"/>
      <c r="DR1176" s="41"/>
      <c r="DS1176" s="43"/>
      <c r="DT1176" s="44">
        <f t="shared" ref="DT1176" si="1157">SUM(F1176:DR1176)</f>
        <v>1</v>
      </c>
    </row>
    <row r="1177" spans="2:124" s="13" customFormat="1">
      <c r="B1177" s="4">
        <f>'6.1Personnel List'!B1178</f>
        <v>1165</v>
      </c>
      <c r="C1177" s="45" t="s">
        <v>1393</v>
      </c>
      <c r="D1177" s="45" t="str">
        <f>'6.1Personnel List'!D1178</f>
        <v>Nursing Attendant II</v>
      </c>
      <c r="E1177" s="45" t="str">
        <f>'6.1Personnel List'!H1178</f>
        <v>FT</v>
      </c>
      <c r="G1177" s="41"/>
      <c r="H1177" s="41"/>
      <c r="I1177" s="41"/>
      <c r="J1177" s="41"/>
      <c r="K1177" s="41"/>
      <c r="L1177" s="41"/>
      <c r="M1177" s="41"/>
      <c r="N1177" s="41"/>
      <c r="O1177" s="41"/>
      <c r="P1177" s="41"/>
      <c r="Q1177" s="41"/>
      <c r="R1177" s="41"/>
      <c r="S1177" s="41"/>
      <c r="T1177" s="41"/>
      <c r="U1177" s="41"/>
      <c r="V1177" s="41"/>
      <c r="W1177" s="41"/>
      <c r="X1177" s="41"/>
      <c r="Y1177" s="41"/>
      <c r="Z1177" s="41"/>
      <c r="AA1177" s="41"/>
      <c r="AB1177" s="41"/>
      <c r="AC1177" s="41"/>
      <c r="AD1177" s="41"/>
      <c r="AE1177" s="41"/>
      <c r="AF1177" s="41"/>
      <c r="AG1177" s="41"/>
      <c r="AH1177" s="41"/>
      <c r="AI1177" s="41"/>
      <c r="AJ1177" s="41"/>
      <c r="AK1177" s="41"/>
      <c r="AL1177" s="41"/>
      <c r="AM1177" s="41"/>
      <c r="AN1177" s="41"/>
      <c r="AO1177" s="41"/>
      <c r="AP1177" s="41"/>
      <c r="AQ1177" s="41"/>
      <c r="AR1177" s="41"/>
      <c r="AS1177" s="41"/>
      <c r="AT1177" s="41"/>
      <c r="AU1177" s="41"/>
      <c r="AV1177" s="41"/>
      <c r="AW1177" s="41"/>
      <c r="AX1177" s="41"/>
      <c r="AY1177" s="41"/>
      <c r="AZ1177" s="41"/>
      <c r="BA1177" s="41"/>
      <c r="BB1177" s="41"/>
      <c r="BC1177" s="41"/>
      <c r="BD1177" s="41"/>
      <c r="BE1177" s="41"/>
      <c r="BF1177" s="41"/>
      <c r="BG1177" s="41"/>
      <c r="BH1177" s="41"/>
      <c r="BJ1177" s="41"/>
      <c r="BK1177" s="94"/>
      <c r="BL1177" s="94"/>
      <c r="BM1177" s="94"/>
      <c r="BN1177" s="94"/>
      <c r="BO1177" s="94"/>
      <c r="BP1177" s="94"/>
      <c r="BQ1177" s="94"/>
      <c r="BR1177" s="94"/>
      <c r="BS1177" s="94"/>
      <c r="BT1177" s="94"/>
      <c r="BU1177" s="94"/>
      <c r="BV1177" s="94">
        <v>1</v>
      </c>
      <c r="BW1177" s="94"/>
      <c r="BX1177" s="94"/>
      <c r="BY1177" s="94"/>
      <c r="BZ1177" s="94"/>
      <c r="CA1177" s="94"/>
      <c r="CB1177" s="94"/>
      <c r="CC1177" s="94"/>
      <c r="CD1177" s="94"/>
      <c r="CE1177" s="94"/>
      <c r="CF1177" s="94"/>
      <c r="CG1177" s="94"/>
      <c r="CH1177" s="94"/>
      <c r="CI1177" s="94"/>
      <c r="CJ1177" s="94"/>
      <c r="CK1177" s="94"/>
      <c r="CL1177" s="94"/>
      <c r="CM1177" s="94"/>
      <c r="CN1177" s="94"/>
      <c r="CO1177" s="94"/>
      <c r="CP1177" s="94"/>
      <c r="CQ1177" s="94"/>
      <c r="CR1177" s="94"/>
      <c r="CS1177" s="94"/>
      <c r="CT1177" s="94"/>
      <c r="CU1177" s="94"/>
      <c r="CV1177" s="94"/>
      <c r="CW1177" s="94"/>
      <c r="CX1177" s="94"/>
      <c r="CY1177" s="94"/>
      <c r="CZ1177" s="94"/>
      <c r="DA1177" s="94"/>
      <c r="DB1177" s="94"/>
      <c r="DC1177" s="94"/>
      <c r="DD1177" s="94"/>
      <c r="DE1177" s="94"/>
      <c r="DF1177" s="94"/>
      <c r="DG1177" s="94"/>
      <c r="DH1177" s="94"/>
      <c r="DI1177" s="94"/>
      <c r="DJ1177" s="94"/>
      <c r="DK1177" s="41"/>
      <c r="DL1177" s="41"/>
      <c r="DM1177" s="41"/>
      <c r="DN1177" s="41"/>
      <c r="DO1177" s="41"/>
      <c r="DP1177" s="41"/>
      <c r="DQ1177" s="41"/>
      <c r="DR1177" s="41"/>
      <c r="DS1177" s="43"/>
      <c r="DT1177" s="44">
        <f t="shared" ref="DT1177" si="1158">SUM(F1177:DR1177)</f>
        <v>1</v>
      </c>
    </row>
    <row r="1178" spans="2:124" s="13" customFormat="1">
      <c r="B1178" s="4">
        <f>'6.1Personnel List'!B1179</f>
        <v>1166</v>
      </c>
      <c r="C1178" s="45" t="s">
        <v>1394</v>
      </c>
      <c r="D1178" s="45" t="str">
        <f>'6.1Personnel List'!D1179</f>
        <v>Nursing Attendant II</v>
      </c>
      <c r="E1178" s="45" t="str">
        <f>'6.1Personnel List'!H1179</f>
        <v>FT</v>
      </c>
      <c r="G1178" s="41"/>
      <c r="H1178" s="41"/>
      <c r="I1178" s="41"/>
      <c r="J1178" s="41"/>
      <c r="K1178" s="41"/>
      <c r="L1178" s="41"/>
      <c r="M1178" s="41"/>
      <c r="N1178" s="41"/>
      <c r="O1178" s="41"/>
      <c r="P1178" s="41"/>
      <c r="Q1178" s="41"/>
      <c r="R1178" s="41"/>
      <c r="S1178" s="41"/>
      <c r="T1178" s="41"/>
      <c r="U1178" s="41"/>
      <c r="V1178" s="41"/>
      <c r="W1178" s="41"/>
      <c r="X1178" s="41"/>
      <c r="Y1178" s="41"/>
      <c r="Z1178" s="41"/>
      <c r="AA1178" s="41"/>
      <c r="AB1178" s="41"/>
      <c r="AC1178" s="41"/>
      <c r="AD1178" s="41"/>
      <c r="AE1178" s="41"/>
      <c r="AF1178" s="41"/>
      <c r="AG1178" s="41"/>
      <c r="AH1178" s="41"/>
      <c r="AI1178" s="41"/>
      <c r="AJ1178" s="41"/>
      <c r="AK1178" s="41"/>
      <c r="AL1178" s="41"/>
      <c r="AM1178" s="41"/>
      <c r="AN1178" s="41"/>
      <c r="AO1178" s="41"/>
      <c r="AP1178" s="41"/>
      <c r="AQ1178" s="41"/>
      <c r="AR1178" s="41"/>
      <c r="AS1178" s="41"/>
      <c r="AT1178" s="41"/>
      <c r="AU1178" s="41"/>
      <c r="AV1178" s="41"/>
      <c r="AW1178" s="41"/>
      <c r="AX1178" s="41"/>
      <c r="AY1178" s="41"/>
      <c r="AZ1178" s="41"/>
      <c r="BA1178" s="41"/>
      <c r="BB1178" s="41"/>
      <c r="BC1178" s="41"/>
      <c r="BD1178" s="41"/>
      <c r="BE1178" s="41"/>
      <c r="BF1178" s="41"/>
      <c r="BG1178" s="41"/>
      <c r="BH1178" s="41"/>
      <c r="BJ1178" s="41"/>
      <c r="BK1178" s="41"/>
      <c r="BL1178" s="41"/>
      <c r="BM1178" s="41"/>
      <c r="BN1178" s="41"/>
      <c r="BO1178" s="41"/>
      <c r="BP1178" s="41"/>
      <c r="BQ1178" s="41"/>
      <c r="BR1178" s="41"/>
      <c r="BS1178" s="41"/>
      <c r="BT1178" s="41"/>
      <c r="BU1178" s="41"/>
      <c r="BV1178" s="41"/>
      <c r="BW1178" s="41"/>
      <c r="BX1178" s="41"/>
      <c r="BY1178" s="41"/>
      <c r="BZ1178" s="41"/>
      <c r="CA1178" s="41"/>
      <c r="CB1178" s="41">
        <v>0.1</v>
      </c>
      <c r="CC1178" s="41"/>
      <c r="CD1178" s="41"/>
      <c r="CE1178" s="41">
        <v>0.09</v>
      </c>
      <c r="CF1178" s="41">
        <v>0.01</v>
      </c>
      <c r="CG1178" s="41">
        <v>0.01</v>
      </c>
      <c r="CH1178" s="41">
        <v>0.05</v>
      </c>
      <c r="CI1178" s="41">
        <v>0.01</v>
      </c>
      <c r="CJ1178" s="41"/>
      <c r="CK1178" s="41">
        <v>0.01</v>
      </c>
      <c r="CL1178" s="41">
        <v>0.05</v>
      </c>
      <c r="CM1178" s="41"/>
      <c r="CN1178" s="41">
        <v>0.05</v>
      </c>
      <c r="CO1178" s="41">
        <v>0.05</v>
      </c>
      <c r="CP1178" s="41">
        <v>0.05</v>
      </c>
      <c r="CQ1178" s="41">
        <v>0.05</v>
      </c>
      <c r="CR1178" s="41">
        <v>0.02</v>
      </c>
      <c r="CS1178" s="41">
        <v>0.01</v>
      </c>
      <c r="CT1178" s="41"/>
      <c r="CU1178" s="41"/>
      <c r="CV1178" s="41">
        <v>0.02</v>
      </c>
      <c r="CW1178" s="41"/>
      <c r="CX1178" s="41"/>
      <c r="CY1178" s="41"/>
      <c r="CZ1178" s="41"/>
      <c r="DA1178" s="41"/>
      <c r="DB1178" s="41"/>
      <c r="DC1178" s="41"/>
      <c r="DD1178" s="41">
        <v>0.12</v>
      </c>
      <c r="DE1178" s="41"/>
      <c r="DF1178" s="41"/>
      <c r="DG1178" s="41"/>
      <c r="DH1178" s="41"/>
      <c r="DI1178" s="41"/>
      <c r="DJ1178" s="41">
        <v>0.05</v>
      </c>
      <c r="DK1178" s="41">
        <v>0.05</v>
      </c>
      <c r="DL1178" s="41">
        <v>0.05</v>
      </c>
      <c r="DM1178" s="41">
        <v>0.05</v>
      </c>
      <c r="DN1178" s="41"/>
      <c r="DO1178" s="41"/>
      <c r="DP1178" s="41">
        <v>0.05</v>
      </c>
      <c r="DQ1178" s="41"/>
      <c r="DR1178" s="41">
        <v>0.05</v>
      </c>
      <c r="DS1178" s="43"/>
      <c r="DT1178" s="44">
        <f t="shared" ref="DT1178" si="1159">SUM(F1178:DR1178)</f>
        <v>1.0000000000000002</v>
      </c>
    </row>
    <row r="1179" spans="2:124" s="13" customFormat="1">
      <c r="B1179" s="4">
        <f>'6.1Personnel List'!B1180</f>
        <v>1167</v>
      </c>
      <c r="C1179" s="45" t="s">
        <v>1395</v>
      </c>
      <c r="D1179" s="45" t="str">
        <f>'6.1Personnel List'!D1180</f>
        <v>Nursing Attendant II</v>
      </c>
      <c r="E1179" s="45" t="str">
        <f>'6.1Personnel List'!H1180</f>
        <v>FT</v>
      </c>
      <c r="G1179" s="41"/>
      <c r="H1179" s="41"/>
      <c r="I1179" s="41"/>
      <c r="J1179" s="41"/>
      <c r="K1179" s="41"/>
      <c r="L1179" s="41"/>
      <c r="M1179" s="41"/>
      <c r="N1179" s="41"/>
      <c r="O1179" s="41"/>
      <c r="P1179" s="41"/>
      <c r="Q1179" s="41"/>
      <c r="R1179" s="41"/>
      <c r="S1179" s="41"/>
      <c r="T1179" s="41"/>
      <c r="U1179" s="41"/>
      <c r="V1179" s="41"/>
      <c r="W1179" s="41"/>
      <c r="X1179" s="41"/>
      <c r="Y1179" s="41"/>
      <c r="Z1179" s="41"/>
      <c r="AA1179" s="41"/>
      <c r="AB1179" s="41"/>
      <c r="AC1179" s="41"/>
      <c r="AD1179" s="41"/>
      <c r="AE1179" s="41"/>
      <c r="AF1179" s="41"/>
      <c r="AG1179" s="41"/>
      <c r="AH1179" s="41"/>
      <c r="AI1179" s="41"/>
      <c r="AJ1179" s="41"/>
      <c r="AK1179" s="41"/>
      <c r="AL1179" s="41"/>
      <c r="AM1179" s="41"/>
      <c r="AN1179" s="41"/>
      <c r="AO1179" s="41"/>
      <c r="AP1179" s="41"/>
      <c r="AQ1179" s="41"/>
      <c r="AR1179" s="41"/>
      <c r="AS1179" s="41"/>
      <c r="AT1179" s="41"/>
      <c r="AU1179" s="41"/>
      <c r="AV1179" s="41"/>
      <c r="AW1179" s="41"/>
      <c r="AX1179" s="41"/>
      <c r="AY1179" s="41"/>
      <c r="AZ1179" s="41"/>
      <c r="BA1179" s="41"/>
      <c r="BB1179" s="41"/>
      <c r="BC1179" s="41"/>
      <c r="BD1179" s="41"/>
      <c r="BE1179" s="41"/>
      <c r="BF1179" s="41"/>
      <c r="BG1179" s="41"/>
      <c r="BH1179" s="41"/>
      <c r="BJ1179" s="41"/>
      <c r="BK1179" s="41"/>
      <c r="BL1179" s="41"/>
      <c r="BM1179" s="41"/>
      <c r="BN1179" s="41"/>
      <c r="BO1179" s="41"/>
      <c r="BP1179" s="41"/>
      <c r="BQ1179" s="41"/>
      <c r="BR1179" s="41"/>
      <c r="BS1179" s="41"/>
      <c r="BT1179" s="41"/>
      <c r="BU1179" s="41"/>
      <c r="BV1179" s="41"/>
      <c r="BW1179" s="41"/>
      <c r="BX1179" s="41"/>
      <c r="BY1179" s="41"/>
      <c r="BZ1179" s="41"/>
      <c r="CA1179" s="41"/>
      <c r="CB1179" s="41">
        <v>0.1</v>
      </c>
      <c r="CC1179" s="41"/>
      <c r="CD1179" s="41"/>
      <c r="CE1179" s="41">
        <v>0.09</v>
      </c>
      <c r="CF1179" s="41">
        <v>0.01</v>
      </c>
      <c r="CG1179" s="41">
        <v>0.01</v>
      </c>
      <c r="CH1179" s="41">
        <v>0.05</v>
      </c>
      <c r="CI1179" s="41">
        <v>0.01</v>
      </c>
      <c r="CJ1179" s="41"/>
      <c r="CK1179" s="41">
        <v>0.01</v>
      </c>
      <c r="CL1179" s="41">
        <v>0.05</v>
      </c>
      <c r="CM1179" s="41"/>
      <c r="CN1179" s="41">
        <v>0.05</v>
      </c>
      <c r="CO1179" s="41">
        <v>0.05</v>
      </c>
      <c r="CP1179" s="41">
        <v>0.05</v>
      </c>
      <c r="CQ1179" s="41">
        <v>0.05</v>
      </c>
      <c r="CR1179" s="41">
        <v>0.02</v>
      </c>
      <c r="CS1179" s="41">
        <v>0.01</v>
      </c>
      <c r="CT1179" s="41"/>
      <c r="CU1179" s="41"/>
      <c r="CV1179" s="41">
        <v>0.02</v>
      </c>
      <c r="CW1179" s="41"/>
      <c r="CX1179" s="41"/>
      <c r="CY1179" s="41"/>
      <c r="CZ1179" s="41"/>
      <c r="DA1179" s="41"/>
      <c r="DB1179" s="41"/>
      <c r="DC1179" s="41"/>
      <c r="DD1179" s="41">
        <v>0.12</v>
      </c>
      <c r="DE1179" s="41"/>
      <c r="DF1179" s="41"/>
      <c r="DG1179" s="41"/>
      <c r="DH1179" s="41"/>
      <c r="DI1179" s="41"/>
      <c r="DJ1179" s="41">
        <v>0.05</v>
      </c>
      <c r="DK1179" s="41">
        <v>0.05</v>
      </c>
      <c r="DL1179" s="41">
        <v>0.05</v>
      </c>
      <c r="DM1179" s="41">
        <v>0.05</v>
      </c>
      <c r="DN1179" s="41"/>
      <c r="DO1179" s="41"/>
      <c r="DP1179" s="41">
        <v>0.05</v>
      </c>
      <c r="DQ1179" s="41"/>
      <c r="DR1179" s="41">
        <v>0.05</v>
      </c>
      <c r="DS1179" s="43"/>
      <c r="DT1179" s="44">
        <f t="shared" ref="DT1179" si="1160">SUM(F1179:DR1179)</f>
        <v>1.0000000000000002</v>
      </c>
    </row>
    <row r="1180" spans="2:124" s="13" customFormat="1">
      <c r="B1180" s="4">
        <f>'6.1Personnel List'!B1181</f>
        <v>1168</v>
      </c>
      <c r="C1180" s="45" t="s">
        <v>1396</v>
      </c>
      <c r="D1180" s="45" t="str">
        <f>'6.1Personnel List'!D1181</f>
        <v>Nursing Attendant II</v>
      </c>
      <c r="E1180" s="45" t="str">
        <f>'6.1Personnel List'!H1181</f>
        <v>FT</v>
      </c>
      <c r="G1180" s="41"/>
      <c r="H1180" s="41"/>
      <c r="I1180" s="41"/>
      <c r="J1180" s="41"/>
      <c r="K1180" s="41"/>
      <c r="L1180" s="41"/>
      <c r="M1180" s="41"/>
      <c r="N1180" s="41"/>
      <c r="O1180" s="41"/>
      <c r="P1180" s="41"/>
      <c r="Q1180" s="41"/>
      <c r="R1180" s="41"/>
      <c r="S1180" s="41"/>
      <c r="T1180" s="41"/>
      <c r="U1180" s="41"/>
      <c r="V1180" s="41"/>
      <c r="W1180" s="41"/>
      <c r="X1180" s="41"/>
      <c r="Y1180" s="41"/>
      <c r="Z1180" s="41"/>
      <c r="AA1180" s="41"/>
      <c r="AB1180" s="41"/>
      <c r="AC1180" s="41"/>
      <c r="AD1180" s="41"/>
      <c r="AE1180" s="41"/>
      <c r="AF1180" s="41"/>
      <c r="AG1180" s="41"/>
      <c r="AH1180" s="41"/>
      <c r="AI1180" s="41"/>
      <c r="AJ1180" s="41"/>
      <c r="AK1180" s="41"/>
      <c r="AL1180" s="41"/>
      <c r="AM1180" s="41"/>
      <c r="AN1180" s="41"/>
      <c r="AO1180" s="41"/>
      <c r="AP1180" s="41"/>
      <c r="AQ1180" s="41"/>
      <c r="AR1180" s="41"/>
      <c r="AS1180" s="41"/>
      <c r="AT1180" s="41"/>
      <c r="AU1180" s="41"/>
      <c r="AV1180" s="41"/>
      <c r="AW1180" s="41"/>
      <c r="AX1180" s="41"/>
      <c r="AY1180" s="41"/>
      <c r="AZ1180" s="41"/>
      <c r="BA1180" s="41"/>
      <c r="BB1180" s="41"/>
      <c r="BC1180" s="41"/>
      <c r="BD1180" s="41"/>
      <c r="BE1180" s="41"/>
      <c r="BF1180" s="41"/>
      <c r="BG1180" s="41"/>
      <c r="BH1180" s="41"/>
      <c r="BJ1180" s="41"/>
      <c r="BK1180" s="41"/>
      <c r="BL1180" s="41"/>
      <c r="BM1180" s="41"/>
      <c r="BN1180" s="41"/>
      <c r="BO1180" s="41"/>
      <c r="BP1180" s="41"/>
      <c r="BQ1180" s="41"/>
      <c r="BR1180" s="41"/>
      <c r="BS1180" s="41"/>
      <c r="BT1180" s="41"/>
      <c r="BU1180" s="41"/>
      <c r="BV1180" s="41">
        <v>0.2</v>
      </c>
      <c r="BW1180" s="41"/>
      <c r="BX1180" s="41"/>
      <c r="BY1180" s="41"/>
      <c r="BZ1180" s="41"/>
      <c r="CA1180" s="41"/>
      <c r="CB1180" s="41">
        <v>0.2</v>
      </c>
      <c r="CC1180" s="41"/>
      <c r="CD1180" s="41"/>
      <c r="CE1180" s="41">
        <v>0.2</v>
      </c>
      <c r="CF1180" s="41"/>
      <c r="CG1180" s="41"/>
      <c r="CH1180" s="41"/>
      <c r="CI1180" s="41"/>
      <c r="CJ1180" s="41"/>
      <c r="CK1180" s="41"/>
      <c r="CL1180" s="41">
        <v>0.4</v>
      </c>
      <c r="CM1180" s="41"/>
      <c r="CN1180" s="41"/>
      <c r="CO1180" s="41"/>
      <c r="CP1180" s="41"/>
      <c r="CQ1180" s="41"/>
      <c r="CR1180" s="41"/>
      <c r="CS1180" s="41"/>
      <c r="CT1180" s="41"/>
      <c r="CU1180" s="41"/>
      <c r="CV1180" s="41"/>
      <c r="CW1180" s="41"/>
      <c r="CX1180" s="41"/>
      <c r="CY1180" s="41"/>
      <c r="CZ1180" s="41"/>
      <c r="DA1180" s="41"/>
      <c r="DB1180" s="41"/>
      <c r="DC1180" s="41"/>
      <c r="DD1180" s="41"/>
      <c r="DE1180" s="41"/>
      <c r="DF1180" s="41"/>
      <c r="DG1180" s="41"/>
      <c r="DH1180" s="41"/>
      <c r="DI1180" s="41"/>
      <c r="DJ1180" s="41"/>
      <c r="DK1180" s="41"/>
      <c r="DL1180" s="41"/>
      <c r="DM1180" s="41"/>
      <c r="DN1180" s="41"/>
      <c r="DO1180" s="41"/>
      <c r="DP1180" s="41"/>
      <c r="DQ1180" s="41"/>
      <c r="DR1180" s="41"/>
      <c r="DS1180" s="43"/>
      <c r="DT1180" s="44">
        <f t="shared" ref="DT1180" si="1161">SUM(F1180:DR1180)</f>
        <v>1</v>
      </c>
    </row>
    <row r="1181" spans="2:124" s="13" customFormat="1">
      <c r="B1181" s="4">
        <f>'6.1Personnel List'!B1182</f>
        <v>1169</v>
      </c>
      <c r="C1181" s="45" t="s">
        <v>1397</v>
      </c>
      <c r="D1181" s="45" t="str">
        <f>'6.1Personnel List'!D1182</f>
        <v>Nursing Attendant II</v>
      </c>
      <c r="E1181" s="45" t="str">
        <f>'6.1Personnel List'!H1182</f>
        <v>FT</v>
      </c>
      <c r="G1181" s="41"/>
      <c r="H1181" s="41"/>
      <c r="I1181" s="41"/>
      <c r="J1181" s="41"/>
      <c r="K1181" s="41"/>
      <c r="L1181" s="41"/>
      <c r="M1181" s="41"/>
      <c r="N1181" s="41"/>
      <c r="O1181" s="41"/>
      <c r="P1181" s="41"/>
      <c r="Q1181" s="41"/>
      <c r="R1181" s="41"/>
      <c r="S1181" s="41"/>
      <c r="T1181" s="41"/>
      <c r="U1181" s="41"/>
      <c r="V1181" s="41"/>
      <c r="W1181" s="41"/>
      <c r="X1181" s="41"/>
      <c r="Y1181" s="41"/>
      <c r="Z1181" s="41"/>
      <c r="AA1181" s="41"/>
      <c r="AB1181" s="41"/>
      <c r="AC1181" s="41"/>
      <c r="AD1181" s="41"/>
      <c r="AE1181" s="41"/>
      <c r="AF1181" s="41"/>
      <c r="AG1181" s="41"/>
      <c r="AH1181" s="41"/>
      <c r="AI1181" s="41"/>
      <c r="AJ1181" s="41"/>
      <c r="AK1181" s="41"/>
      <c r="AL1181" s="41"/>
      <c r="AM1181" s="41"/>
      <c r="AN1181" s="41"/>
      <c r="AO1181" s="41"/>
      <c r="AP1181" s="41"/>
      <c r="AQ1181" s="41"/>
      <c r="AR1181" s="41"/>
      <c r="AS1181" s="41"/>
      <c r="AT1181" s="41"/>
      <c r="AU1181" s="41"/>
      <c r="AV1181" s="41"/>
      <c r="AW1181" s="41"/>
      <c r="AX1181" s="41"/>
      <c r="AY1181" s="41"/>
      <c r="AZ1181" s="41"/>
      <c r="BA1181" s="41"/>
      <c r="BB1181" s="41"/>
      <c r="BC1181" s="41"/>
      <c r="BD1181" s="41"/>
      <c r="BE1181" s="41"/>
      <c r="BF1181" s="41"/>
      <c r="BG1181" s="41"/>
      <c r="BH1181" s="41"/>
      <c r="BJ1181" s="41"/>
      <c r="BK1181" s="94"/>
      <c r="BL1181" s="94"/>
      <c r="BM1181" s="94"/>
      <c r="BN1181" s="94"/>
      <c r="BO1181" s="94"/>
      <c r="BP1181" s="94"/>
      <c r="BQ1181" s="94"/>
      <c r="BR1181" s="94"/>
      <c r="BS1181" s="94"/>
      <c r="BT1181" s="94"/>
      <c r="BU1181" s="94"/>
      <c r="BV1181" s="94"/>
      <c r="BW1181" s="94"/>
      <c r="BX1181" s="94"/>
      <c r="BY1181" s="94"/>
      <c r="BZ1181" s="94"/>
      <c r="CA1181" s="94"/>
      <c r="CB1181" s="94"/>
      <c r="CC1181" s="94"/>
      <c r="CD1181" s="94"/>
      <c r="CE1181" s="94"/>
      <c r="CF1181" s="94"/>
      <c r="CG1181" s="94"/>
      <c r="CH1181" s="94"/>
      <c r="CI1181" s="94"/>
      <c r="CJ1181" s="94"/>
      <c r="CK1181" s="94"/>
      <c r="CL1181" s="94"/>
      <c r="CM1181" s="94"/>
      <c r="CN1181" s="94"/>
      <c r="CO1181" s="94"/>
      <c r="CP1181" s="94">
        <v>1</v>
      </c>
      <c r="CQ1181" s="94"/>
      <c r="CR1181" s="94"/>
      <c r="CS1181" s="94"/>
      <c r="CT1181" s="94"/>
      <c r="CU1181" s="94"/>
      <c r="CV1181" s="94"/>
      <c r="CW1181" s="94"/>
      <c r="CX1181" s="94"/>
      <c r="CY1181" s="94"/>
      <c r="CZ1181" s="94"/>
      <c r="DA1181" s="94"/>
      <c r="DB1181" s="94"/>
      <c r="DC1181" s="94"/>
      <c r="DD1181" s="94"/>
      <c r="DE1181" s="94"/>
      <c r="DF1181" s="94"/>
      <c r="DG1181" s="94"/>
      <c r="DH1181" s="94"/>
      <c r="DI1181" s="94"/>
      <c r="DJ1181" s="94"/>
      <c r="DK1181" s="41"/>
      <c r="DL1181" s="41"/>
      <c r="DM1181" s="41"/>
      <c r="DN1181" s="41"/>
      <c r="DO1181" s="41"/>
      <c r="DP1181" s="41"/>
      <c r="DQ1181" s="41"/>
      <c r="DR1181" s="41"/>
      <c r="DS1181" s="43"/>
      <c r="DT1181" s="44">
        <f t="shared" ref="DT1181" si="1162">SUM(F1181:DR1181)</f>
        <v>1</v>
      </c>
    </row>
    <row r="1182" spans="2:124" s="13" customFormat="1">
      <c r="B1182" s="4">
        <f>'6.1Personnel List'!B1183</f>
        <v>1170</v>
      </c>
      <c r="C1182" s="45" t="s">
        <v>1398</v>
      </c>
      <c r="D1182" s="45" t="str">
        <f>'6.1Personnel List'!D1183</f>
        <v>Nursing Attendant II</v>
      </c>
      <c r="E1182" s="45" t="str">
        <f>'6.1Personnel List'!H1183</f>
        <v>FT</v>
      </c>
      <c r="G1182" s="41"/>
      <c r="H1182" s="41"/>
      <c r="I1182" s="41"/>
      <c r="J1182" s="41"/>
      <c r="K1182" s="41"/>
      <c r="L1182" s="41"/>
      <c r="M1182" s="41"/>
      <c r="N1182" s="41"/>
      <c r="O1182" s="41"/>
      <c r="P1182" s="41"/>
      <c r="Q1182" s="41"/>
      <c r="R1182" s="41"/>
      <c r="S1182" s="41"/>
      <c r="T1182" s="41"/>
      <c r="U1182" s="41"/>
      <c r="V1182" s="41"/>
      <c r="W1182" s="41"/>
      <c r="X1182" s="41"/>
      <c r="Y1182" s="41"/>
      <c r="Z1182" s="41"/>
      <c r="AA1182" s="41"/>
      <c r="AB1182" s="41"/>
      <c r="AC1182" s="41"/>
      <c r="AD1182" s="41"/>
      <c r="AE1182" s="41"/>
      <c r="AF1182" s="41"/>
      <c r="AG1182" s="41"/>
      <c r="AH1182" s="41"/>
      <c r="AI1182" s="41"/>
      <c r="AJ1182" s="41"/>
      <c r="AK1182" s="41"/>
      <c r="AL1182" s="41"/>
      <c r="AM1182" s="41"/>
      <c r="AN1182" s="41"/>
      <c r="AO1182" s="41"/>
      <c r="AP1182" s="41"/>
      <c r="AQ1182" s="41"/>
      <c r="AR1182" s="41"/>
      <c r="AS1182" s="41"/>
      <c r="AT1182" s="41"/>
      <c r="AU1182" s="41"/>
      <c r="AV1182" s="41"/>
      <c r="AW1182" s="41"/>
      <c r="AX1182" s="41"/>
      <c r="AY1182" s="41"/>
      <c r="AZ1182" s="41"/>
      <c r="BA1182" s="41"/>
      <c r="BB1182" s="41"/>
      <c r="BC1182" s="41"/>
      <c r="BD1182" s="41"/>
      <c r="BE1182" s="41"/>
      <c r="BF1182" s="41"/>
      <c r="BG1182" s="41"/>
      <c r="BH1182" s="41"/>
      <c r="BJ1182" s="41"/>
      <c r="BK1182" s="41"/>
      <c r="BL1182" s="41"/>
      <c r="BM1182" s="41"/>
      <c r="BN1182" s="41"/>
      <c r="BO1182" s="41"/>
      <c r="BP1182" s="41"/>
      <c r="BQ1182" s="41"/>
      <c r="BR1182" s="41"/>
      <c r="BS1182" s="41"/>
      <c r="BT1182" s="41"/>
      <c r="BU1182" s="41"/>
      <c r="BV1182" s="41">
        <v>0.2</v>
      </c>
      <c r="BW1182" s="41"/>
      <c r="BX1182" s="41"/>
      <c r="BY1182" s="41"/>
      <c r="BZ1182" s="41"/>
      <c r="CA1182" s="41"/>
      <c r="CB1182" s="41">
        <v>0.2</v>
      </c>
      <c r="CC1182" s="41"/>
      <c r="CD1182" s="41"/>
      <c r="CE1182" s="41">
        <v>0.2</v>
      </c>
      <c r="CF1182" s="41"/>
      <c r="CG1182" s="41"/>
      <c r="CH1182" s="41"/>
      <c r="CI1182" s="41"/>
      <c r="CJ1182" s="41"/>
      <c r="CK1182" s="41"/>
      <c r="CL1182" s="41">
        <v>0.4</v>
      </c>
      <c r="CM1182" s="41"/>
      <c r="CN1182" s="41"/>
      <c r="CO1182" s="41"/>
      <c r="CP1182" s="41"/>
      <c r="CQ1182" s="41"/>
      <c r="CR1182" s="41"/>
      <c r="CS1182" s="41"/>
      <c r="CT1182" s="41"/>
      <c r="CU1182" s="41"/>
      <c r="CV1182" s="41"/>
      <c r="CW1182" s="41"/>
      <c r="CX1182" s="41"/>
      <c r="CY1182" s="41"/>
      <c r="CZ1182" s="41"/>
      <c r="DA1182" s="41"/>
      <c r="DB1182" s="41"/>
      <c r="DC1182" s="41"/>
      <c r="DD1182" s="41"/>
      <c r="DE1182" s="41"/>
      <c r="DF1182" s="41"/>
      <c r="DG1182" s="41"/>
      <c r="DH1182" s="41"/>
      <c r="DI1182" s="41"/>
      <c r="DJ1182" s="41"/>
      <c r="DK1182" s="41"/>
      <c r="DL1182" s="41"/>
      <c r="DM1182" s="41"/>
      <c r="DN1182" s="41"/>
      <c r="DO1182" s="41"/>
      <c r="DP1182" s="41"/>
      <c r="DQ1182" s="41"/>
      <c r="DR1182" s="41"/>
      <c r="DS1182" s="43"/>
      <c r="DT1182" s="44">
        <f t="shared" ref="DT1182" si="1163">SUM(F1182:DR1182)</f>
        <v>1</v>
      </c>
    </row>
    <row r="1183" spans="2:124" s="13" customFormat="1">
      <c r="B1183" s="4">
        <f>'6.1Personnel List'!B1184</f>
        <v>1171</v>
      </c>
      <c r="C1183" s="45" t="s">
        <v>1399</v>
      </c>
      <c r="D1183" s="45" t="str">
        <f>'6.1Personnel List'!D1184</f>
        <v>Nursing Attendant II</v>
      </c>
      <c r="E1183" s="45" t="str">
        <f>'6.1Personnel List'!H1184</f>
        <v>FT</v>
      </c>
      <c r="G1183" s="41"/>
      <c r="H1183" s="41"/>
      <c r="I1183" s="41"/>
      <c r="J1183" s="41"/>
      <c r="K1183" s="41"/>
      <c r="L1183" s="41"/>
      <c r="M1183" s="41"/>
      <c r="N1183" s="41"/>
      <c r="O1183" s="41"/>
      <c r="P1183" s="41"/>
      <c r="Q1183" s="41"/>
      <c r="R1183" s="41"/>
      <c r="S1183" s="41"/>
      <c r="T1183" s="41"/>
      <c r="U1183" s="41"/>
      <c r="V1183" s="41"/>
      <c r="W1183" s="41"/>
      <c r="X1183" s="41"/>
      <c r="Y1183" s="41"/>
      <c r="Z1183" s="41"/>
      <c r="AA1183" s="41"/>
      <c r="AB1183" s="41"/>
      <c r="AC1183" s="41"/>
      <c r="AD1183" s="41"/>
      <c r="AE1183" s="41"/>
      <c r="AF1183" s="41"/>
      <c r="AG1183" s="41"/>
      <c r="AH1183" s="41"/>
      <c r="AI1183" s="41"/>
      <c r="AJ1183" s="41"/>
      <c r="AK1183" s="41"/>
      <c r="AL1183" s="41"/>
      <c r="AM1183" s="41"/>
      <c r="AN1183" s="41"/>
      <c r="AO1183" s="41"/>
      <c r="AP1183" s="41"/>
      <c r="AQ1183" s="41"/>
      <c r="AR1183" s="41"/>
      <c r="AS1183" s="41"/>
      <c r="AT1183" s="41"/>
      <c r="AU1183" s="41"/>
      <c r="AV1183" s="41"/>
      <c r="AW1183" s="41"/>
      <c r="AX1183" s="41"/>
      <c r="AY1183" s="41"/>
      <c r="AZ1183" s="41"/>
      <c r="BA1183" s="41"/>
      <c r="BB1183" s="41"/>
      <c r="BC1183" s="41"/>
      <c r="BD1183" s="41"/>
      <c r="BE1183" s="41"/>
      <c r="BF1183" s="41"/>
      <c r="BG1183" s="41"/>
      <c r="BH1183" s="41"/>
      <c r="BJ1183" s="41"/>
      <c r="BK1183" s="41"/>
      <c r="BL1183" s="41"/>
      <c r="BM1183" s="41"/>
      <c r="BN1183" s="41"/>
      <c r="BO1183" s="41"/>
      <c r="BP1183" s="41"/>
      <c r="BQ1183" s="41"/>
      <c r="BR1183" s="41"/>
      <c r="BS1183" s="41"/>
      <c r="BT1183" s="41"/>
      <c r="BU1183" s="41"/>
      <c r="BV1183" s="41">
        <v>0.1</v>
      </c>
      <c r="BW1183" s="41"/>
      <c r="BX1183" s="41"/>
      <c r="BY1183" s="41"/>
      <c r="BZ1183" s="41"/>
      <c r="CA1183" s="41"/>
      <c r="CB1183" s="41"/>
      <c r="CC1183" s="41"/>
      <c r="CD1183" s="41"/>
      <c r="CE1183" s="41">
        <v>0.1</v>
      </c>
      <c r="CF1183" s="41"/>
      <c r="CG1183" s="41"/>
      <c r="CH1183" s="41">
        <v>0.1</v>
      </c>
      <c r="CI1183" s="41"/>
      <c r="CJ1183" s="41"/>
      <c r="CK1183" s="41"/>
      <c r="CL1183" s="41"/>
      <c r="CM1183" s="41"/>
      <c r="CN1183" s="41"/>
      <c r="CO1183" s="41"/>
      <c r="CP1183" s="41"/>
      <c r="CQ1183" s="41"/>
      <c r="CR1183" s="41"/>
      <c r="CS1183" s="41"/>
      <c r="CT1183" s="41"/>
      <c r="CU1183" s="41"/>
      <c r="CV1183" s="41"/>
      <c r="CW1183" s="41"/>
      <c r="CX1183" s="41"/>
      <c r="CY1183" s="41"/>
      <c r="CZ1183" s="41"/>
      <c r="DA1183" s="41"/>
      <c r="DB1183" s="41"/>
      <c r="DC1183" s="41"/>
      <c r="DD1183" s="41"/>
      <c r="DE1183" s="41"/>
      <c r="DF1183" s="41"/>
      <c r="DG1183" s="41"/>
      <c r="DH1183" s="41"/>
      <c r="DI1183" s="41"/>
      <c r="DJ1183" s="41"/>
      <c r="DK1183" s="41"/>
      <c r="DL1183" s="41"/>
      <c r="DM1183" s="41">
        <v>0.7</v>
      </c>
      <c r="DN1183" s="41"/>
      <c r="DO1183" s="41"/>
      <c r="DP1183" s="41"/>
      <c r="DQ1183" s="41"/>
      <c r="DR1183" s="41"/>
      <c r="DS1183" s="43"/>
      <c r="DT1183" s="44">
        <f t="shared" ref="DT1183" si="1164">SUM(F1183:DR1183)</f>
        <v>1</v>
      </c>
    </row>
    <row r="1184" spans="2:124" s="13" customFormat="1">
      <c r="B1184" s="4">
        <f>'6.1Personnel List'!B1185</f>
        <v>1172</v>
      </c>
      <c r="C1184" s="45" t="s">
        <v>1400</v>
      </c>
      <c r="D1184" s="45" t="str">
        <f>'6.1Personnel List'!D1185</f>
        <v>Nursing Attendant II</v>
      </c>
      <c r="E1184" s="45" t="str">
        <f>'6.1Personnel List'!H1185</f>
        <v>FT</v>
      </c>
      <c r="G1184" s="41"/>
      <c r="H1184" s="41"/>
      <c r="I1184" s="41"/>
      <c r="J1184" s="41"/>
      <c r="K1184" s="41"/>
      <c r="L1184" s="41"/>
      <c r="M1184" s="41"/>
      <c r="N1184" s="41"/>
      <c r="O1184" s="41"/>
      <c r="P1184" s="41"/>
      <c r="Q1184" s="41"/>
      <c r="R1184" s="41"/>
      <c r="S1184" s="41"/>
      <c r="T1184" s="41"/>
      <c r="U1184" s="41"/>
      <c r="V1184" s="41"/>
      <c r="W1184" s="41"/>
      <c r="X1184" s="41"/>
      <c r="Y1184" s="41"/>
      <c r="Z1184" s="41"/>
      <c r="AA1184" s="41"/>
      <c r="AB1184" s="41"/>
      <c r="AC1184" s="41"/>
      <c r="AD1184" s="41"/>
      <c r="AE1184" s="41"/>
      <c r="AF1184" s="41"/>
      <c r="AG1184" s="41"/>
      <c r="AH1184" s="41"/>
      <c r="AI1184" s="41"/>
      <c r="AJ1184" s="41"/>
      <c r="AK1184" s="41"/>
      <c r="AL1184" s="41"/>
      <c r="AM1184" s="41"/>
      <c r="AN1184" s="41"/>
      <c r="AO1184" s="41"/>
      <c r="AP1184" s="41"/>
      <c r="AQ1184" s="41"/>
      <c r="AR1184" s="41"/>
      <c r="AS1184" s="41"/>
      <c r="AT1184" s="41"/>
      <c r="AU1184" s="41"/>
      <c r="AV1184" s="41"/>
      <c r="AW1184" s="41"/>
      <c r="AX1184" s="41"/>
      <c r="AY1184" s="41"/>
      <c r="AZ1184" s="41"/>
      <c r="BA1184" s="41"/>
      <c r="BB1184" s="41"/>
      <c r="BC1184" s="41"/>
      <c r="BD1184" s="41"/>
      <c r="BE1184" s="41"/>
      <c r="BF1184" s="41"/>
      <c r="BG1184" s="41"/>
      <c r="BH1184" s="41"/>
      <c r="BJ1184" s="41"/>
      <c r="BK1184" s="41"/>
      <c r="BL1184" s="41"/>
      <c r="BM1184" s="41"/>
      <c r="BN1184" s="41"/>
      <c r="BO1184" s="41"/>
      <c r="BP1184" s="41"/>
      <c r="BQ1184" s="41"/>
      <c r="BR1184" s="41"/>
      <c r="BS1184" s="41"/>
      <c r="BT1184" s="41"/>
      <c r="BU1184" s="41"/>
      <c r="BV1184" s="41">
        <v>0.2</v>
      </c>
      <c r="BW1184" s="41"/>
      <c r="BX1184" s="41"/>
      <c r="BY1184" s="41"/>
      <c r="BZ1184" s="41"/>
      <c r="CA1184" s="41"/>
      <c r="CB1184" s="41">
        <v>0.2</v>
      </c>
      <c r="CC1184" s="41"/>
      <c r="CD1184" s="41"/>
      <c r="CE1184" s="41">
        <v>0.2</v>
      </c>
      <c r="CF1184" s="41"/>
      <c r="CG1184" s="41"/>
      <c r="CH1184" s="41"/>
      <c r="CI1184" s="41"/>
      <c r="CJ1184" s="41"/>
      <c r="CK1184" s="41"/>
      <c r="CL1184" s="41">
        <v>0.4</v>
      </c>
      <c r="CM1184" s="41"/>
      <c r="CN1184" s="41"/>
      <c r="CO1184" s="41"/>
      <c r="CP1184" s="41"/>
      <c r="CQ1184" s="41"/>
      <c r="CR1184" s="41"/>
      <c r="CS1184" s="41"/>
      <c r="CT1184" s="41"/>
      <c r="CU1184" s="41"/>
      <c r="CV1184" s="41"/>
      <c r="CW1184" s="41"/>
      <c r="CX1184" s="41"/>
      <c r="CY1184" s="41"/>
      <c r="CZ1184" s="41"/>
      <c r="DA1184" s="41"/>
      <c r="DB1184" s="41"/>
      <c r="DC1184" s="41"/>
      <c r="DD1184" s="41"/>
      <c r="DE1184" s="41"/>
      <c r="DF1184" s="41"/>
      <c r="DG1184" s="41"/>
      <c r="DH1184" s="41"/>
      <c r="DI1184" s="41"/>
      <c r="DJ1184" s="41"/>
      <c r="DK1184" s="41"/>
      <c r="DL1184" s="41"/>
      <c r="DM1184" s="41"/>
      <c r="DN1184" s="41"/>
      <c r="DO1184" s="41"/>
      <c r="DP1184" s="41"/>
      <c r="DQ1184" s="41"/>
      <c r="DR1184" s="41"/>
      <c r="DS1184" s="43"/>
      <c r="DT1184" s="44">
        <f t="shared" ref="DT1184" si="1165">SUM(F1184:DR1184)</f>
        <v>1</v>
      </c>
    </row>
    <row r="1185" spans="2:124" s="13" customFormat="1">
      <c r="B1185" s="4">
        <f>'6.1Personnel List'!B1186</f>
        <v>1173</v>
      </c>
      <c r="C1185" s="45" t="s">
        <v>1401</v>
      </c>
      <c r="D1185" s="45" t="str">
        <f>'6.1Personnel List'!D1186</f>
        <v>Nursing Attendant II</v>
      </c>
      <c r="E1185" s="45" t="str">
        <f>'6.1Personnel List'!H1186</f>
        <v>FT</v>
      </c>
      <c r="G1185" s="41"/>
      <c r="H1185" s="41"/>
      <c r="I1185" s="41"/>
      <c r="J1185" s="41"/>
      <c r="K1185" s="41"/>
      <c r="L1185" s="41"/>
      <c r="M1185" s="41"/>
      <c r="N1185" s="41"/>
      <c r="O1185" s="41"/>
      <c r="P1185" s="41"/>
      <c r="Q1185" s="41"/>
      <c r="R1185" s="41"/>
      <c r="S1185" s="41"/>
      <c r="T1185" s="41"/>
      <c r="U1185" s="41"/>
      <c r="V1185" s="41"/>
      <c r="W1185" s="41"/>
      <c r="X1185" s="41"/>
      <c r="Y1185" s="41"/>
      <c r="Z1185" s="41"/>
      <c r="AA1185" s="41"/>
      <c r="AB1185" s="41"/>
      <c r="AC1185" s="41"/>
      <c r="AD1185" s="41"/>
      <c r="AE1185" s="41"/>
      <c r="AF1185" s="41"/>
      <c r="AG1185" s="41"/>
      <c r="AH1185" s="41"/>
      <c r="AI1185" s="41"/>
      <c r="AJ1185" s="41"/>
      <c r="AK1185" s="41"/>
      <c r="AL1185" s="41"/>
      <c r="AM1185" s="41"/>
      <c r="AN1185" s="41"/>
      <c r="AO1185" s="41"/>
      <c r="AP1185" s="41"/>
      <c r="AQ1185" s="41"/>
      <c r="AR1185" s="41"/>
      <c r="AS1185" s="41"/>
      <c r="AT1185" s="41"/>
      <c r="AU1185" s="41"/>
      <c r="AV1185" s="41"/>
      <c r="AW1185" s="41"/>
      <c r="AX1185" s="41"/>
      <c r="AY1185" s="41"/>
      <c r="AZ1185" s="41"/>
      <c r="BA1185" s="41"/>
      <c r="BB1185" s="41"/>
      <c r="BC1185" s="41"/>
      <c r="BD1185" s="41"/>
      <c r="BE1185" s="41"/>
      <c r="BF1185" s="41"/>
      <c r="BG1185" s="41"/>
      <c r="BH1185" s="41"/>
      <c r="BJ1185" s="41"/>
      <c r="BK1185" s="41"/>
      <c r="BL1185" s="41"/>
      <c r="BM1185" s="41"/>
      <c r="BN1185" s="41"/>
      <c r="BO1185" s="41"/>
      <c r="BP1185" s="41"/>
      <c r="BQ1185" s="41"/>
      <c r="BR1185" s="41"/>
      <c r="BS1185" s="41"/>
      <c r="BT1185" s="41"/>
      <c r="BU1185" s="41"/>
      <c r="BV1185" s="41">
        <v>0.2</v>
      </c>
      <c r="BW1185" s="41"/>
      <c r="BX1185" s="41"/>
      <c r="BY1185" s="41"/>
      <c r="BZ1185" s="41"/>
      <c r="CA1185" s="41"/>
      <c r="CB1185" s="41">
        <v>0.2</v>
      </c>
      <c r="CC1185" s="41"/>
      <c r="CD1185" s="41"/>
      <c r="CE1185" s="41">
        <v>0.2</v>
      </c>
      <c r="CF1185" s="41"/>
      <c r="CG1185" s="41"/>
      <c r="CH1185" s="41"/>
      <c r="CI1185" s="41"/>
      <c r="CJ1185" s="41"/>
      <c r="CK1185" s="41"/>
      <c r="CL1185" s="41">
        <v>0.4</v>
      </c>
      <c r="CM1185" s="41"/>
      <c r="CN1185" s="41"/>
      <c r="CO1185" s="41"/>
      <c r="CP1185" s="41"/>
      <c r="CQ1185" s="41"/>
      <c r="CR1185" s="41"/>
      <c r="CS1185" s="41"/>
      <c r="CT1185" s="41"/>
      <c r="CU1185" s="41"/>
      <c r="CV1185" s="41"/>
      <c r="CW1185" s="41"/>
      <c r="CX1185" s="41"/>
      <c r="CY1185" s="41"/>
      <c r="CZ1185" s="41"/>
      <c r="DA1185" s="41"/>
      <c r="DB1185" s="41"/>
      <c r="DC1185" s="41"/>
      <c r="DD1185" s="41"/>
      <c r="DE1185" s="41"/>
      <c r="DF1185" s="41"/>
      <c r="DG1185" s="41"/>
      <c r="DH1185" s="41"/>
      <c r="DI1185" s="41"/>
      <c r="DJ1185" s="41"/>
      <c r="DK1185" s="41"/>
      <c r="DL1185" s="41"/>
      <c r="DM1185" s="41"/>
      <c r="DN1185" s="41"/>
      <c r="DO1185" s="41"/>
      <c r="DP1185" s="41"/>
      <c r="DQ1185" s="41"/>
      <c r="DR1185" s="41"/>
      <c r="DS1185" s="43"/>
      <c r="DT1185" s="44">
        <f t="shared" ref="DT1185" si="1166">SUM(F1185:DR1185)</f>
        <v>1</v>
      </c>
    </row>
    <row r="1186" spans="2:124" s="13" customFormat="1">
      <c r="B1186" s="4">
        <f>'6.1Personnel List'!B1187</f>
        <v>1174</v>
      </c>
      <c r="C1186" s="45" t="s">
        <v>1402</v>
      </c>
      <c r="D1186" s="45" t="str">
        <f>'6.1Personnel List'!D1187</f>
        <v>Nursing Attendant II</v>
      </c>
      <c r="E1186" s="45" t="str">
        <f>'6.1Personnel List'!H1187</f>
        <v>FT</v>
      </c>
      <c r="G1186" s="41"/>
      <c r="H1186" s="41"/>
      <c r="I1186" s="41"/>
      <c r="J1186" s="41"/>
      <c r="K1186" s="41"/>
      <c r="L1186" s="41"/>
      <c r="M1186" s="41"/>
      <c r="N1186" s="41"/>
      <c r="O1186" s="41"/>
      <c r="P1186" s="41"/>
      <c r="Q1186" s="41"/>
      <c r="R1186" s="41"/>
      <c r="S1186" s="41"/>
      <c r="T1186" s="41"/>
      <c r="U1186" s="41"/>
      <c r="V1186" s="41"/>
      <c r="W1186" s="41"/>
      <c r="X1186" s="41"/>
      <c r="Y1186" s="41"/>
      <c r="Z1186" s="41"/>
      <c r="AA1186" s="41"/>
      <c r="AB1186" s="41"/>
      <c r="AC1186" s="41"/>
      <c r="AD1186" s="41"/>
      <c r="AE1186" s="41"/>
      <c r="AF1186" s="41"/>
      <c r="AG1186" s="41"/>
      <c r="AH1186" s="41"/>
      <c r="AI1186" s="41"/>
      <c r="AJ1186" s="41"/>
      <c r="AK1186" s="41"/>
      <c r="AL1186" s="41"/>
      <c r="AM1186" s="41"/>
      <c r="AN1186" s="41"/>
      <c r="AO1186" s="41"/>
      <c r="AP1186" s="41"/>
      <c r="AQ1186" s="41"/>
      <c r="AR1186" s="41"/>
      <c r="AS1186" s="41"/>
      <c r="AT1186" s="41"/>
      <c r="AU1186" s="41"/>
      <c r="AV1186" s="41"/>
      <c r="AW1186" s="41"/>
      <c r="AX1186" s="41"/>
      <c r="AY1186" s="41"/>
      <c r="AZ1186" s="41"/>
      <c r="BA1186" s="41"/>
      <c r="BB1186" s="41"/>
      <c r="BC1186" s="41"/>
      <c r="BD1186" s="41"/>
      <c r="BE1186" s="41"/>
      <c r="BF1186" s="41"/>
      <c r="BG1186" s="41"/>
      <c r="BH1186" s="41"/>
      <c r="BJ1186" s="41"/>
      <c r="BK1186" s="94"/>
      <c r="BL1186" s="94"/>
      <c r="BM1186" s="94"/>
      <c r="BN1186" s="94"/>
      <c r="BO1186" s="94"/>
      <c r="BP1186" s="94"/>
      <c r="BQ1186" s="94"/>
      <c r="BR1186" s="94"/>
      <c r="BS1186" s="94"/>
      <c r="BT1186" s="94"/>
      <c r="BU1186" s="94"/>
      <c r="BV1186" s="94"/>
      <c r="BW1186" s="94"/>
      <c r="BX1186" s="94"/>
      <c r="BY1186" s="94"/>
      <c r="BZ1186" s="94"/>
      <c r="CA1186" s="94"/>
      <c r="CB1186" s="94"/>
      <c r="CC1186" s="94"/>
      <c r="CD1186" s="94"/>
      <c r="CE1186" s="94"/>
      <c r="CF1186" s="94"/>
      <c r="CG1186" s="94"/>
      <c r="CH1186" s="94"/>
      <c r="CI1186" s="94"/>
      <c r="CJ1186" s="94"/>
      <c r="CK1186" s="94"/>
      <c r="CL1186" s="94"/>
      <c r="CM1186" s="94"/>
      <c r="CN1186" s="94"/>
      <c r="CO1186" s="94"/>
      <c r="CP1186" s="94"/>
      <c r="CQ1186" s="94">
        <v>1</v>
      </c>
      <c r="CR1186" s="94"/>
      <c r="CS1186" s="94"/>
      <c r="CT1186" s="94"/>
      <c r="CU1186" s="94"/>
      <c r="CV1186" s="94"/>
      <c r="CW1186" s="94"/>
      <c r="CX1186" s="94"/>
      <c r="CY1186" s="94"/>
      <c r="CZ1186" s="94"/>
      <c r="DA1186" s="94"/>
      <c r="DB1186" s="94"/>
      <c r="DC1186" s="94"/>
      <c r="DD1186" s="94"/>
      <c r="DE1186" s="94"/>
      <c r="DF1186" s="94"/>
      <c r="DG1186" s="94"/>
      <c r="DH1186" s="94"/>
      <c r="DI1186" s="94"/>
      <c r="DJ1186" s="94"/>
      <c r="DK1186" s="41"/>
      <c r="DL1186" s="41"/>
      <c r="DM1186" s="41"/>
      <c r="DN1186" s="41"/>
      <c r="DO1186" s="41"/>
      <c r="DP1186" s="41"/>
      <c r="DQ1186" s="41"/>
      <c r="DR1186" s="41"/>
      <c r="DS1186" s="43"/>
      <c r="DT1186" s="44">
        <f t="shared" ref="DT1186" si="1167">SUM(F1186:DR1186)</f>
        <v>1</v>
      </c>
    </row>
    <row r="1187" spans="2:124" s="13" customFormat="1">
      <c r="B1187" s="4">
        <f>'6.1Personnel List'!B1188</f>
        <v>1175</v>
      </c>
      <c r="C1187" s="45" t="s">
        <v>1403</v>
      </c>
      <c r="D1187" s="45" t="str">
        <f>'6.1Personnel List'!D1188</f>
        <v>Nursing Attendant II</v>
      </c>
      <c r="E1187" s="45" t="str">
        <f>'6.1Personnel List'!H1188</f>
        <v>FT</v>
      </c>
      <c r="G1187" s="41"/>
      <c r="H1187" s="41"/>
      <c r="I1187" s="41"/>
      <c r="J1187" s="41"/>
      <c r="K1187" s="41"/>
      <c r="L1187" s="41"/>
      <c r="M1187" s="41"/>
      <c r="N1187" s="41"/>
      <c r="O1187" s="41"/>
      <c r="P1187" s="41"/>
      <c r="Q1187" s="41"/>
      <c r="R1187" s="41"/>
      <c r="S1187" s="41"/>
      <c r="T1187" s="41"/>
      <c r="U1187" s="41"/>
      <c r="V1187" s="41"/>
      <c r="W1187" s="41"/>
      <c r="X1187" s="41"/>
      <c r="Y1187" s="41"/>
      <c r="Z1187" s="41"/>
      <c r="AA1187" s="41"/>
      <c r="AB1187" s="41"/>
      <c r="AC1187" s="41"/>
      <c r="AD1187" s="41"/>
      <c r="AE1187" s="41"/>
      <c r="AF1187" s="41"/>
      <c r="AG1187" s="41"/>
      <c r="AH1187" s="41"/>
      <c r="AI1187" s="41"/>
      <c r="AJ1187" s="41"/>
      <c r="AK1187" s="41"/>
      <c r="AL1187" s="41"/>
      <c r="AM1187" s="41"/>
      <c r="AN1187" s="41"/>
      <c r="AO1187" s="41"/>
      <c r="AP1187" s="41"/>
      <c r="AQ1187" s="41"/>
      <c r="AR1187" s="41"/>
      <c r="AS1187" s="41"/>
      <c r="AT1187" s="41"/>
      <c r="AU1187" s="41"/>
      <c r="AV1187" s="41"/>
      <c r="AW1187" s="41"/>
      <c r="AX1187" s="41"/>
      <c r="AY1187" s="41"/>
      <c r="AZ1187" s="41"/>
      <c r="BA1187" s="41"/>
      <c r="BB1187" s="41"/>
      <c r="BC1187" s="41"/>
      <c r="BD1187" s="41"/>
      <c r="BE1187" s="41"/>
      <c r="BF1187" s="41"/>
      <c r="BG1187" s="41"/>
      <c r="BH1187" s="41"/>
      <c r="BJ1187" s="41"/>
      <c r="BK1187" s="41"/>
      <c r="BL1187" s="41"/>
      <c r="BM1187" s="41"/>
      <c r="BN1187" s="41"/>
      <c r="BO1187" s="41"/>
      <c r="BP1187" s="41"/>
      <c r="BQ1187" s="41"/>
      <c r="BR1187" s="41"/>
      <c r="BS1187" s="41"/>
      <c r="BT1187" s="41"/>
      <c r="BU1187" s="41"/>
      <c r="BV1187" s="41">
        <v>0.2</v>
      </c>
      <c r="BW1187" s="41"/>
      <c r="BX1187" s="41"/>
      <c r="BY1187" s="41"/>
      <c r="BZ1187" s="41"/>
      <c r="CA1187" s="41"/>
      <c r="CB1187" s="41">
        <v>0.2</v>
      </c>
      <c r="CC1187" s="41"/>
      <c r="CD1187" s="41"/>
      <c r="CE1187" s="41">
        <v>0.2</v>
      </c>
      <c r="CF1187" s="41"/>
      <c r="CG1187" s="41"/>
      <c r="CH1187" s="41"/>
      <c r="CI1187" s="41"/>
      <c r="CJ1187" s="41"/>
      <c r="CK1187" s="41"/>
      <c r="CL1187" s="41">
        <v>0.4</v>
      </c>
      <c r="CM1187" s="41"/>
      <c r="CN1187" s="41"/>
      <c r="CO1187" s="41"/>
      <c r="CP1187" s="41"/>
      <c r="CQ1187" s="41"/>
      <c r="CR1187" s="41"/>
      <c r="CS1187" s="41"/>
      <c r="CT1187" s="41"/>
      <c r="CU1187" s="41"/>
      <c r="CV1187" s="41"/>
      <c r="CW1187" s="41"/>
      <c r="CX1187" s="41"/>
      <c r="CY1187" s="41"/>
      <c r="CZ1187" s="41"/>
      <c r="DA1187" s="41"/>
      <c r="DB1187" s="41"/>
      <c r="DC1187" s="41"/>
      <c r="DD1187" s="41"/>
      <c r="DE1187" s="41"/>
      <c r="DF1187" s="41"/>
      <c r="DG1187" s="41"/>
      <c r="DH1187" s="41"/>
      <c r="DI1187" s="41"/>
      <c r="DJ1187" s="41"/>
      <c r="DK1187" s="41"/>
      <c r="DL1187" s="41"/>
      <c r="DM1187" s="41"/>
      <c r="DN1187" s="41"/>
      <c r="DO1187" s="41"/>
      <c r="DP1187" s="41"/>
      <c r="DQ1187" s="41"/>
      <c r="DR1187" s="41"/>
      <c r="DS1187" s="43"/>
      <c r="DT1187" s="44">
        <f t="shared" ref="DT1187" si="1168">SUM(F1187:DR1187)</f>
        <v>1</v>
      </c>
    </row>
    <row r="1188" spans="2:124" s="13" customFormat="1">
      <c r="B1188" s="4">
        <f>'6.1Personnel List'!B1189</f>
        <v>1176</v>
      </c>
      <c r="C1188" s="45" t="s">
        <v>1404</v>
      </c>
      <c r="D1188" s="45" t="str">
        <f>'6.1Personnel List'!D1189</f>
        <v>Nursing Attendant II</v>
      </c>
      <c r="E1188" s="45" t="str">
        <f>'6.1Personnel List'!H1189</f>
        <v>FT</v>
      </c>
      <c r="G1188" s="41"/>
      <c r="H1188" s="41"/>
      <c r="I1188" s="41"/>
      <c r="J1188" s="41"/>
      <c r="K1188" s="41"/>
      <c r="L1188" s="41"/>
      <c r="M1188" s="41"/>
      <c r="N1188" s="41"/>
      <c r="O1188" s="41"/>
      <c r="P1188" s="41"/>
      <c r="Q1188" s="41"/>
      <c r="R1188" s="41"/>
      <c r="S1188" s="41"/>
      <c r="T1188" s="41"/>
      <c r="U1188" s="41"/>
      <c r="V1188" s="41"/>
      <c r="W1188" s="41"/>
      <c r="X1188" s="41"/>
      <c r="Y1188" s="41"/>
      <c r="Z1188" s="41"/>
      <c r="AA1188" s="41"/>
      <c r="AB1188" s="41"/>
      <c r="AC1188" s="41"/>
      <c r="AD1188" s="41"/>
      <c r="AE1188" s="41"/>
      <c r="AF1188" s="41"/>
      <c r="AG1188" s="41"/>
      <c r="AH1188" s="41"/>
      <c r="AI1188" s="41"/>
      <c r="AJ1188" s="41"/>
      <c r="AK1188" s="41"/>
      <c r="AL1188" s="41"/>
      <c r="AM1188" s="41"/>
      <c r="AN1188" s="41"/>
      <c r="AO1188" s="41"/>
      <c r="AP1188" s="41"/>
      <c r="AQ1188" s="41"/>
      <c r="AR1188" s="41"/>
      <c r="AS1188" s="41"/>
      <c r="AT1188" s="41"/>
      <c r="AU1188" s="41"/>
      <c r="AV1188" s="41"/>
      <c r="AW1188" s="41"/>
      <c r="AX1188" s="41"/>
      <c r="AY1188" s="41"/>
      <c r="AZ1188" s="41"/>
      <c r="BA1188" s="41"/>
      <c r="BB1188" s="41"/>
      <c r="BC1188" s="41"/>
      <c r="BD1188" s="41"/>
      <c r="BE1188" s="41"/>
      <c r="BF1188" s="41"/>
      <c r="BG1188" s="41"/>
      <c r="BH1188" s="41"/>
      <c r="BJ1188" s="41"/>
      <c r="BK1188" s="94"/>
      <c r="BL1188" s="94"/>
      <c r="BM1188" s="94"/>
      <c r="BN1188" s="94"/>
      <c r="BO1188" s="94"/>
      <c r="BP1188" s="94"/>
      <c r="BQ1188" s="94"/>
      <c r="BR1188" s="94"/>
      <c r="BS1188" s="94"/>
      <c r="BT1188" s="94"/>
      <c r="BU1188" s="94"/>
      <c r="BV1188" s="94"/>
      <c r="BW1188" s="94"/>
      <c r="BX1188" s="94"/>
      <c r="BY1188" s="94"/>
      <c r="BZ1188" s="94"/>
      <c r="CA1188" s="94"/>
      <c r="CB1188" s="94"/>
      <c r="CC1188" s="94"/>
      <c r="CD1188" s="94"/>
      <c r="CE1188" s="94"/>
      <c r="CF1188" s="94"/>
      <c r="CG1188" s="94"/>
      <c r="CH1188" s="94"/>
      <c r="CI1188" s="94"/>
      <c r="CJ1188" s="94"/>
      <c r="CK1188" s="94"/>
      <c r="CL1188" s="94"/>
      <c r="CM1188" s="94"/>
      <c r="CN1188" s="94"/>
      <c r="CO1188" s="94"/>
      <c r="CP1188" s="94"/>
      <c r="CQ1188" s="94"/>
      <c r="CR1188" s="94"/>
      <c r="CS1188" s="94"/>
      <c r="CT1188" s="94"/>
      <c r="CU1188" s="94">
        <v>1</v>
      </c>
      <c r="CV1188" s="94"/>
      <c r="CW1188" s="94"/>
      <c r="CX1188" s="94"/>
      <c r="CY1188" s="94"/>
      <c r="CZ1188" s="94"/>
      <c r="DA1188" s="94"/>
      <c r="DB1188" s="94"/>
      <c r="DC1188" s="94"/>
      <c r="DD1188" s="94"/>
      <c r="DE1188" s="94"/>
      <c r="DF1188" s="94"/>
      <c r="DG1188" s="94"/>
      <c r="DH1188" s="94"/>
      <c r="DI1188" s="94"/>
      <c r="DJ1188" s="94"/>
      <c r="DK1188" s="41"/>
      <c r="DL1188" s="41"/>
      <c r="DM1188" s="41"/>
      <c r="DN1188" s="41"/>
      <c r="DO1188" s="41"/>
      <c r="DP1188" s="41"/>
      <c r="DQ1188" s="41"/>
      <c r="DR1188" s="41"/>
      <c r="DS1188" s="43"/>
      <c r="DT1188" s="44">
        <f t="shared" ref="DT1188" si="1169">SUM(F1188:DR1188)</f>
        <v>1</v>
      </c>
    </row>
    <row r="1189" spans="2:124" s="13" customFormat="1">
      <c r="B1189" s="4">
        <f>'6.1Personnel List'!B1190</f>
        <v>1177</v>
      </c>
      <c r="C1189" s="45" t="s">
        <v>1405</v>
      </c>
      <c r="D1189" s="45" t="str">
        <f>'6.1Personnel List'!D1190</f>
        <v>Nursing Attendant II</v>
      </c>
      <c r="E1189" s="45" t="str">
        <f>'6.1Personnel List'!H1190</f>
        <v>FT</v>
      </c>
      <c r="G1189" s="41"/>
      <c r="H1189" s="41"/>
      <c r="I1189" s="41"/>
      <c r="J1189" s="41"/>
      <c r="K1189" s="41"/>
      <c r="L1189" s="41"/>
      <c r="M1189" s="41"/>
      <c r="N1189" s="41"/>
      <c r="O1189" s="41"/>
      <c r="P1189" s="41"/>
      <c r="Q1189" s="41"/>
      <c r="R1189" s="41"/>
      <c r="S1189" s="41"/>
      <c r="T1189" s="41"/>
      <c r="U1189" s="41"/>
      <c r="V1189" s="41"/>
      <c r="W1189" s="41"/>
      <c r="X1189" s="41"/>
      <c r="Y1189" s="41"/>
      <c r="Z1189" s="41"/>
      <c r="AA1189" s="41"/>
      <c r="AB1189" s="41"/>
      <c r="AC1189" s="41"/>
      <c r="AD1189" s="41"/>
      <c r="AE1189" s="41"/>
      <c r="AF1189" s="41"/>
      <c r="AG1189" s="41"/>
      <c r="AH1189" s="41"/>
      <c r="AI1189" s="41"/>
      <c r="AJ1189" s="41"/>
      <c r="AK1189" s="41"/>
      <c r="AL1189" s="41"/>
      <c r="AM1189" s="41"/>
      <c r="AN1189" s="41"/>
      <c r="AO1189" s="41"/>
      <c r="AP1189" s="41"/>
      <c r="AQ1189" s="41"/>
      <c r="AR1189" s="41"/>
      <c r="AS1189" s="41"/>
      <c r="AT1189" s="41"/>
      <c r="AU1189" s="41"/>
      <c r="AV1189" s="41"/>
      <c r="AW1189" s="41"/>
      <c r="AX1189" s="41"/>
      <c r="AY1189" s="41"/>
      <c r="AZ1189" s="41"/>
      <c r="BA1189" s="41"/>
      <c r="BB1189" s="41"/>
      <c r="BC1189" s="41"/>
      <c r="BD1189" s="41"/>
      <c r="BE1189" s="41"/>
      <c r="BF1189" s="41"/>
      <c r="BG1189" s="41"/>
      <c r="BH1189" s="41"/>
      <c r="BJ1189" s="41"/>
      <c r="BK1189" s="41"/>
      <c r="BL1189" s="41"/>
      <c r="BM1189" s="41"/>
      <c r="BN1189" s="41"/>
      <c r="BO1189" s="41"/>
      <c r="BP1189" s="41"/>
      <c r="BQ1189" s="41"/>
      <c r="BR1189" s="41"/>
      <c r="BS1189" s="41"/>
      <c r="BT1189" s="41"/>
      <c r="BU1189" s="41"/>
      <c r="BV1189" s="41">
        <v>0.2</v>
      </c>
      <c r="BW1189" s="41"/>
      <c r="BX1189" s="41"/>
      <c r="BY1189" s="41"/>
      <c r="BZ1189" s="41"/>
      <c r="CA1189" s="41"/>
      <c r="CB1189" s="41">
        <v>0.2</v>
      </c>
      <c r="CC1189" s="41"/>
      <c r="CD1189" s="41"/>
      <c r="CE1189" s="41">
        <v>0.2</v>
      </c>
      <c r="CF1189" s="41"/>
      <c r="CG1189" s="41"/>
      <c r="CH1189" s="41"/>
      <c r="CI1189" s="41"/>
      <c r="CJ1189" s="41"/>
      <c r="CK1189" s="41"/>
      <c r="CL1189" s="41">
        <v>0.4</v>
      </c>
      <c r="CM1189" s="41"/>
      <c r="CN1189" s="41"/>
      <c r="CO1189" s="41"/>
      <c r="CP1189" s="41"/>
      <c r="CQ1189" s="41"/>
      <c r="CR1189" s="41"/>
      <c r="CS1189" s="41"/>
      <c r="CT1189" s="41"/>
      <c r="CU1189" s="41"/>
      <c r="CV1189" s="41"/>
      <c r="CW1189" s="41"/>
      <c r="CX1189" s="41"/>
      <c r="CY1189" s="41"/>
      <c r="CZ1189" s="41"/>
      <c r="DA1189" s="41"/>
      <c r="DB1189" s="41"/>
      <c r="DC1189" s="41"/>
      <c r="DD1189" s="41"/>
      <c r="DE1189" s="41"/>
      <c r="DF1189" s="41"/>
      <c r="DG1189" s="41"/>
      <c r="DH1189" s="41"/>
      <c r="DI1189" s="41"/>
      <c r="DJ1189" s="41"/>
      <c r="DK1189" s="41"/>
      <c r="DL1189" s="41"/>
      <c r="DM1189" s="41"/>
      <c r="DN1189" s="41"/>
      <c r="DO1189" s="41"/>
      <c r="DP1189" s="41"/>
      <c r="DQ1189" s="41"/>
      <c r="DR1189" s="41"/>
      <c r="DS1189" s="43"/>
      <c r="DT1189" s="44">
        <f t="shared" ref="DT1189" si="1170">SUM(F1189:DR1189)</f>
        <v>1</v>
      </c>
    </row>
    <row r="1190" spans="2:124" s="13" customFormat="1">
      <c r="B1190" s="4">
        <f>'6.1Personnel List'!B1191</f>
        <v>1178</v>
      </c>
      <c r="C1190" s="45" t="s">
        <v>1406</v>
      </c>
      <c r="D1190" s="45" t="str">
        <f>'6.1Personnel List'!D1191</f>
        <v>Nursing Attendant II</v>
      </c>
      <c r="E1190" s="45" t="str">
        <f>'6.1Personnel List'!H1191</f>
        <v>FT</v>
      </c>
      <c r="G1190" s="41"/>
      <c r="H1190" s="41"/>
      <c r="I1190" s="41"/>
      <c r="J1190" s="41"/>
      <c r="K1190" s="41"/>
      <c r="L1190" s="41"/>
      <c r="M1190" s="41"/>
      <c r="N1190" s="41"/>
      <c r="O1190" s="41"/>
      <c r="P1190" s="41"/>
      <c r="Q1190" s="41"/>
      <c r="R1190" s="41"/>
      <c r="S1190" s="41"/>
      <c r="T1190" s="41"/>
      <c r="U1190" s="41"/>
      <c r="V1190" s="41"/>
      <c r="W1190" s="41"/>
      <c r="X1190" s="41"/>
      <c r="Y1190" s="41"/>
      <c r="Z1190" s="41"/>
      <c r="AA1190" s="41"/>
      <c r="AB1190" s="41"/>
      <c r="AC1190" s="41"/>
      <c r="AD1190" s="41"/>
      <c r="AE1190" s="41"/>
      <c r="AF1190" s="41"/>
      <c r="AG1190" s="41"/>
      <c r="AH1190" s="41"/>
      <c r="AI1190" s="41"/>
      <c r="AJ1190" s="41"/>
      <c r="AK1190" s="41"/>
      <c r="AL1190" s="41"/>
      <c r="AM1190" s="41"/>
      <c r="AN1190" s="41"/>
      <c r="AO1190" s="41"/>
      <c r="AP1190" s="41"/>
      <c r="AQ1190" s="41"/>
      <c r="AR1190" s="41"/>
      <c r="AS1190" s="41"/>
      <c r="AT1190" s="41"/>
      <c r="AU1190" s="41"/>
      <c r="AV1190" s="41"/>
      <c r="AW1190" s="41"/>
      <c r="AX1190" s="41"/>
      <c r="AY1190" s="41"/>
      <c r="AZ1190" s="41"/>
      <c r="BA1190" s="41"/>
      <c r="BB1190" s="41"/>
      <c r="BC1190" s="41"/>
      <c r="BD1190" s="41"/>
      <c r="BE1190" s="41"/>
      <c r="BF1190" s="41"/>
      <c r="BG1190" s="41"/>
      <c r="BH1190" s="41"/>
      <c r="BJ1190" s="41"/>
      <c r="BK1190" s="41"/>
      <c r="BL1190" s="41"/>
      <c r="BM1190" s="41"/>
      <c r="BN1190" s="41"/>
      <c r="BO1190" s="41"/>
      <c r="BP1190" s="41"/>
      <c r="BQ1190" s="41"/>
      <c r="BR1190" s="41"/>
      <c r="BS1190" s="41"/>
      <c r="BT1190" s="41"/>
      <c r="BU1190" s="41"/>
      <c r="BV1190" s="41"/>
      <c r="BW1190" s="41"/>
      <c r="BX1190" s="41"/>
      <c r="BY1190" s="41"/>
      <c r="BZ1190" s="41"/>
      <c r="CA1190" s="41"/>
      <c r="CB1190" s="41">
        <v>0.1</v>
      </c>
      <c r="CC1190" s="41"/>
      <c r="CD1190" s="41"/>
      <c r="CE1190" s="41">
        <v>0.09</v>
      </c>
      <c r="CF1190" s="41">
        <v>0.01</v>
      </c>
      <c r="CG1190" s="41">
        <v>0.01</v>
      </c>
      <c r="CH1190" s="41">
        <v>0.05</v>
      </c>
      <c r="CI1190" s="41">
        <v>0.01</v>
      </c>
      <c r="CJ1190" s="41"/>
      <c r="CK1190" s="41">
        <v>0.01</v>
      </c>
      <c r="CL1190" s="41">
        <v>0.05</v>
      </c>
      <c r="CM1190" s="41"/>
      <c r="CN1190" s="41">
        <v>0.05</v>
      </c>
      <c r="CO1190" s="41">
        <v>0.05</v>
      </c>
      <c r="CP1190" s="41">
        <v>0.05</v>
      </c>
      <c r="CQ1190" s="41">
        <v>0.05</v>
      </c>
      <c r="CR1190" s="41">
        <v>0.02</v>
      </c>
      <c r="CS1190" s="41">
        <v>0.01</v>
      </c>
      <c r="CT1190" s="41"/>
      <c r="CU1190" s="41"/>
      <c r="CV1190" s="41">
        <v>0.02</v>
      </c>
      <c r="CW1190" s="41"/>
      <c r="CX1190" s="41"/>
      <c r="CY1190" s="41"/>
      <c r="CZ1190" s="41"/>
      <c r="DA1190" s="41"/>
      <c r="DB1190" s="41"/>
      <c r="DC1190" s="41"/>
      <c r="DD1190" s="41">
        <v>0.12</v>
      </c>
      <c r="DE1190" s="41"/>
      <c r="DF1190" s="41"/>
      <c r="DG1190" s="41"/>
      <c r="DH1190" s="41"/>
      <c r="DI1190" s="41"/>
      <c r="DJ1190" s="41">
        <v>0.05</v>
      </c>
      <c r="DK1190" s="41">
        <v>0.05</v>
      </c>
      <c r="DL1190" s="41">
        <v>0.05</v>
      </c>
      <c r="DM1190" s="41">
        <v>0.05</v>
      </c>
      <c r="DN1190" s="41"/>
      <c r="DO1190" s="41"/>
      <c r="DP1190" s="41">
        <v>0.05</v>
      </c>
      <c r="DQ1190" s="41"/>
      <c r="DR1190" s="41">
        <v>0.05</v>
      </c>
      <c r="DS1190" s="43"/>
      <c r="DT1190" s="44">
        <f t="shared" ref="DT1190" si="1171">SUM(F1190:DR1190)</f>
        <v>1.0000000000000002</v>
      </c>
    </row>
    <row r="1191" spans="2:124" s="13" customFormat="1">
      <c r="B1191" s="4">
        <f>'6.1Personnel List'!B1192</f>
        <v>1179</v>
      </c>
      <c r="C1191" s="45" t="s">
        <v>1407</v>
      </c>
      <c r="D1191" s="45" t="str">
        <f>'6.1Personnel List'!D1192</f>
        <v>Nursing Attendant II</v>
      </c>
      <c r="E1191" s="45" t="str">
        <f>'6.1Personnel List'!H1192</f>
        <v>FT</v>
      </c>
      <c r="G1191" s="41"/>
      <c r="H1191" s="41"/>
      <c r="I1191" s="41"/>
      <c r="J1191" s="41"/>
      <c r="K1191" s="41"/>
      <c r="L1191" s="41"/>
      <c r="M1191" s="41"/>
      <c r="N1191" s="41"/>
      <c r="O1191" s="41"/>
      <c r="P1191" s="41"/>
      <c r="Q1191" s="41"/>
      <c r="R1191" s="41"/>
      <c r="S1191" s="41"/>
      <c r="T1191" s="41"/>
      <c r="U1191" s="41"/>
      <c r="V1191" s="41"/>
      <c r="W1191" s="41"/>
      <c r="X1191" s="41"/>
      <c r="Y1191" s="41"/>
      <c r="Z1191" s="41"/>
      <c r="AA1191" s="41"/>
      <c r="AB1191" s="41"/>
      <c r="AC1191" s="41"/>
      <c r="AD1191" s="41"/>
      <c r="AE1191" s="41"/>
      <c r="AF1191" s="41"/>
      <c r="AG1191" s="41"/>
      <c r="AH1191" s="41"/>
      <c r="AI1191" s="41"/>
      <c r="AJ1191" s="41"/>
      <c r="AK1191" s="41"/>
      <c r="AL1191" s="41"/>
      <c r="AM1191" s="41"/>
      <c r="AN1191" s="41"/>
      <c r="AO1191" s="41"/>
      <c r="AP1191" s="41"/>
      <c r="AQ1191" s="41"/>
      <c r="AR1191" s="41"/>
      <c r="AS1191" s="41"/>
      <c r="AT1191" s="41"/>
      <c r="AU1191" s="41"/>
      <c r="AV1191" s="41"/>
      <c r="AW1191" s="41"/>
      <c r="AX1191" s="41"/>
      <c r="AY1191" s="41"/>
      <c r="AZ1191" s="41"/>
      <c r="BA1191" s="41"/>
      <c r="BB1191" s="41"/>
      <c r="BC1191" s="41"/>
      <c r="BD1191" s="41"/>
      <c r="BE1191" s="41"/>
      <c r="BF1191" s="41"/>
      <c r="BG1191" s="41"/>
      <c r="BH1191" s="41"/>
      <c r="BJ1191" s="41"/>
      <c r="BK1191" s="41"/>
      <c r="BL1191" s="41"/>
      <c r="BM1191" s="41"/>
      <c r="BN1191" s="41"/>
      <c r="BO1191" s="41"/>
      <c r="BP1191" s="41"/>
      <c r="BQ1191" s="41"/>
      <c r="BR1191" s="41"/>
      <c r="BS1191" s="41"/>
      <c r="BT1191" s="41"/>
      <c r="BU1191" s="41"/>
      <c r="BV1191" s="41"/>
      <c r="BW1191" s="41"/>
      <c r="BX1191" s="41"/>
      <c r="BY1191" s="41"/>
      <c r="BZ1191" s="41"/>
      <c r="CA1191" s="41"/>
      <c r="CB1191" s="41">
        <v>0.1</v>
      </c>
      <c r="CC1191" s="41"/>
      <c r="CD1191" s="41"/>
      <c r="CE1191" s="41">
        <v>0.09</v>
      </c>
      <c r="CF1191" s="41">
        <v>0.01</v>
      </c>
      <c r="CG1191" s="41">
        <v>0.01</v>
      </c>
      <c r="CH1191" s="41">
        <v>0.05</v>
      </c>
      <c r="CI1191" s="41">
        <v>0.01</v>
      </c>
      <c r="CJ1191" s="41"/>
      <c r="CK1191" s="41">
        <v>0.01</v>
      </c>
      <c r="CL1191" s="41">
        <v>0.05</v>
      </c>
      <c r="CM1191" s="41"/>
      <c r="CN1191" s="41">
        <v>0.05</v>
      </c>
      <c r="CO1191" s="41">
        <v>0.05</v>
      </c>
      <c r="CP1191" s="41">
        <v>0.05</v>
      </c>
      <c r="CQ1191" s="41">
        <v>0.05</v>
      </c>
      <c r="CR1191" s="41">
        <v>0.02</v>
      </c>
      <c r="CS1191" s="41">
        <v>0.01</v>
      </c>
      <c r="CT1191" s="41"/>
      <c r="CU1191" s="41"/>
      <c r="CV1191" s="41">
        <v>0.02</v>
      </c>
      <c r="CW1191" s="41"/>
      <c r="CX1191" s="41"/>
      <c r="CY1191" s="41"/>
      <c r="CZ1191" s="41"/>
      <c r="DA1191" s="41"/>
      <c r="DB1191" s="41"/>
      <c r="DC1191" s="41"/>
      <c r="DD1191" s="41">
        <v>0.12</v>
      </c>
      <c r="DE1191" s="41"/>
      <c r="DF1191" s="41"/>
      <c r="DG1191" s="41"/>
      <c r="DH1191" s="41"/>
      <c r="DI1191" s="41"/>
      <c r="DJ1191" s="41">
        <v>0.05</v>
      </c>
      <c r="DK1191" s="41">
        <v>0.05</v>
      </c>
      <c r="DL1191" s="41">
        <v>0.05</v>
      </c>
      <c r="DM1191" s="41">
        <v>0.05</v>
      </c>
      <c r="DN1191" s="41"/>
      <c r="DO1191" s="41"/>
      <c r="DP1191" s="41">
        <v>0.05</v>
      </c>
      <c r="DQ1191" s="41"/>
      <c r="DR1191" s="41">
        <v>0.05</v>
      </c>
      <c r="DS1191" s="43"/>
      <c r="DT1191" s="44">
        <f t="shared" ref="DT1191" si="1172">SUM(F1191:DR1191)</f>
        <v>1.0000000000000002</v>
      </c>
    </row>
    <row r="1192" spans="2:124" s="13" customFormat="1">
      <c r="B1192" s="4">
        <f>'6.1Personnel List'!B1193</f>
        <v>1180</v>
      </c>
      <c r="C1192" s="45" t="s">
        <v>1408</v>
      </c>
      <c r="D1192" s="45" t="str">
        <f>'6.1Personnel List'!D1193</f>
        <v>Nursing Attendant II</v>
      </c>
      <c r="E1192" s="45" t="str">
        <f>'6.1Personnel List'!H1193</f>
        <v>FT</v>
      </c>
      <c r="G1192" s="41"/>
      <c r="H1192" s="41"/>
      <c r="I1192" s="41"/>
      <c r="J1192" s="41"/>
      <c r="K1192" s="41"/>
      <c r="L1192" s="41"/>
      <c r="M1192" s="41"/>
      <c r="N1192" s="41"/>
      <c r="O1192" s="41"/>
      <c r="P1192" s="41"/>
      <c r="Q1192" s="41"/>
      <c r="R1192" s="41"/>
      <c r="S1192" s="41"/>
      <c r="T1192" s="41"/>
      <c r="U1192" s="41"/>
      <c r="V1192" s="41"/>
      <c r="W1192" s="41"/>
      <c r="X1192" s="41"/>
      <c r="Y1192" s="41"/>
      <c r="Z1192" s="41"/>
      <c r="AA1192" s="41"/>
      <c r="AB1192" s="41"/>
      <c r="AC1192" s="41"/>
      <c r="AD1192" s="41"/>
      <c r="AE1192" s="41"/>
      <c r="AF1192" s="41"/>
      <c r="AG1192" s="41"/>
      <c r="AH1192" s="41"/>
      <c r="AI1192" s="41"/>
      <c r="AJ1192" s="41"/>
      <c r="AK1192" s="41"/>
      <c r="AL1192" s="41"/>
      <c r="AM1192" s="41"/>
      <c r="AN1192" s="41"/>
      <c r="AO1192" s="41"/>
      <c r="AP1192" s="41"/>
      <c r="AQ1192" s="41"/>
      <c r="AR1192" s="41"/>
      <c r="AS1192" s="41"/>
      <c r="AT1192" s="41"/>
      <c r="AU1192" s="41"/>
      <c r="AV1192" s="41"/>
      <c r="AW1192" s="41"/>
      <c r="AX1192" s="41"/>
      <c r="AY1192" s="41"/>
      <c r="AZ1192" s="41"/>
      <c r="BA1192" s="41"/>
      <c r="BB1192" s="41"/>
      <c r="BC1192" s="41"/>
      <c r="BD1192" s="41"/>
      <c r="BE1192" s="41"/>
      <c r="BF1192" s="41"/>
      <c r="BG1192" s="41"/>
      <c r="BH1192" s="41"/>
      <c r="BJ1192" s="41"/>
      <c r="BK1192" s="94"/>
      <c r="BL1192" s="94"/>
      <c r="BM1192" s="94"/>
      <c r="BN1192" s="94"/>
      <c r="BO1192" s="94"/>
      <c r="BP1192" s="94"/>
      <c r="BQ1192" s="94"/>
      <c r="BR1192" s="94"/>
      <c r="BS1192" s="94"/>
      <c r="BT1192" s="94"/>
      <c r="BU1192" s="94"/>
      <c r="BV1192" s="94">
        <v>1</v>
      </c>
      <c r="BW1192" s="94"/>
      <c r="BX1192" s="94"/>
      <c r="BY1192" s="94"/>
      <c r="BZ1192" s="94"/>
      <c r="CA1192" s="94"/>
      <c r="CB1192" s="94"/>
      <c r="CC1192" s="94"/>
      <c r="CD1192" s="94"/>
      <c r="CE1192" s="94"/>
      <c r="CF1192" s="94"/>
      <c r="CG1192" s="94"/>
      <c r="CH1192" s="94"/>
      <c r="CI1192" s="94"/>
      <c r="CJ1192" s="94"/>
      <c r="CK1192" s="94"/>
      <c r="CL1192" s="94"/>
      <c r="CM1192" s="94"/>
      <c r="CN1192" s="94"/>
      <c r="CO1192" s="94"/>
      <c r="CP1192" s="94"/>
      <c r="CQ1192" s="94"/>
      <c r="CR1192" s="94"/>
      <c r="CS1192" s="94"/>
      <c r="CT1192" s="94"/>
      <c r="CU1192" s="94"/>
      <c r="CV1192" s="94"/>
      <c r="CW1192" s="94"/>
      <c r="CX1192" s="94"/>
      <c r="CY1192" s="94"/>
      <c r="CZ1192" s="94"/>
      <c r="DA1192" s="94"/>
      <c r="DB1192" s="94"/>
      <c r="DC1192" s="94"/>
      <c r="DD1192" s="94"/>
      <c r="DE1192" s="94"/>
      <c r="DF1192" s="94"/>
      <c r="DG1192" s="94"/>
      <c r="DH1192" s="94"/>
      <c r="DI1192" s="94"/>
      <c r="DJ1192" s="94"/>
      <c r="DK1192" s="41"/>
      <c r="DL1192" s="41"/>
      <c r="DM1192" s="41"/>
      <c r="DN1192" s="41"/>
      <c r="DO1192" s="41"/>
      <c r="DP1192" s="41"/>
      <c r="DQ1192" s="41"/>
      <c r="DR1192" s="41"/>
      <c r="DS1192" s="43"/>
      <c r="DT1192" s="44">
        <f t="shared" ref="DT1192" si="1173">SUM(F1192:DR1192)</f>
        <v>1</v>
      </c>
    </row>
    <row r="1193" spans="2:124" s="13" customFormat="1">
      <c r="B1193" s="4">
        <f>'6.1Personnel List'!B1194</f>
        <v>1181</v>
      </c>
      <c r="C1193" s="45" t="s">
        <v>1409</v>
      </c>
      <c r="D1193" s="45" t="str">
        <f>'6.1Personnel List'!D1194</f>
        <v>Nursing Attendant II</v>
      </c>
      <c r="E1193" s="45" t="str">
        <f>'6.1Personnel List'!H1194</f>
        <v>FT</v>
      </c>
      <c r="G1193" s="41"/>
      <c r="H1193" s="41"/>
      <c r="I1193" s="41"/>
      <c r="J1193" s="41"/>
      <c r="K1193" s="41"/>
      <c r="L1193" s="41"/>
      <c r="M1193" s="41"/>
      <c r="N1193" s="41"/>
      <c r="O1193" s="41"/>
      <c r="P1193" s="41"/>
      <c r="Q1193" s="41"/>
      <c r="R1193" s="41"/>
      <c r="S1193" s="41"/>
      <c r="T1193" s="41"/>
      <c r="U1193" s="41"/>
      <c r="V1193" s="41"/>
      <c r="W1193" s="41"/>
      <c r="X1193" s="41"/>
      <c r="Y1193" s="41"/>
      <c r="Z1193" s="41"/>
      <c r="AA1193" s="41"/>
      <c r="AB1193" s="41"/>
      <c r="AC1193" s="41"/>
      <c r="AD1193" s="41"/>
      <c r="AE1193" s="41"/>
      <c r="AF1193" s="41"/>
      <c r="AG1193" s="41"/>
      <c r="AH1193" s="41"/>
      <c r="AI1193" s="41"/>
      <c r="AJ1193" s="41"/>
      <c r="AK1193" s="41"/>
      <c r="AL1193" s="41"/>
      <c r="AM1193" s="41"/>
      <c r="AN1193" s="41"/>
      <c r="AO1193" s="41"/>
      <c r="AP1193" s="41"/>
      <c r="AQ1193" s="41"/>
      <c r="AR1193" s="41"/>
      <c r="AS1193" s="41"/>
      <c r="AT1193" s="41"/>
      <c r="AU1193" s="41"/>
      <c r="AV1193" s="41"/>
      <c r="AW1193" s="41"/>
      <c r="AX1193" s="41"/>
      <c r="AY1193" s="41"/>
      <c r="AZ1193" s="41"/>
      <c r="BA1193" s="41"/>
      <c r="BB1193" s="41"/>
      <c r="BC1193" s="41"/>
      <c r="BD1193" s="41"/>
      <c r="BE1193" s="41"/>
      <c r="BF1193" s="41"/>
      <c r="BG1193" s="41"/>
      <c r="BH1193" s="41"/>
      <c r="BJ1193" s="41"/>
      <c r="BK1193" s="41"/>
      <c r="BL1193" s="41"/>
      <c r="BM1193" s="41"/>
      <c r="BN1193" s="41"/>
      <c r="BO1193" s="41"/>
      <c r="BP1193" s="41"/>
      <c r="BQ1193" s="41"/>
      <c r="BR1193" s="41"/>
      <c r="BS1193" s="41"/>
      <c r="BT1193" s="41"/>
      <c r="BU1193" s="41"/>
      <c r="BV1193" s="41">
        <v>0.2</v>
      </c>
      <c r="BW1193" s="41"/>
      <c r="BX1193" s="41"/>
      <c r="BY1193" s="41"/>
      <c r="BZ1193" s="41"/>
      <c r="CA1193" s="41"/>
      <c r="CB1193" s="41">
        <v>0.2</v>
      </c>
      <c r="CC1193" s="41"/>
      <c r="CD1193" s="41"/>
      <c r="CE1193" s="41">
        <v>0.2</v>
      </c>
      <c r="CF1193" s="41"/>
      <c r="CG1193" s="41"/>
      <c r="CH1193" s="41"/>
      <c r="CI1193" s="41"/>
      <c r="CJ1193" s="41"/>
      <c r="CK1193" s="41"/>
      <c r="CL1193" s="41">
        <v>0.4</v>
      </c>
      <c r="CM1193" s="41"/>
      <c r="CN1193" s="41"/>
      <c r="CO1193" s="41"/>
      <c r="CP1193" s="41"/>
      <c r="CQ1193" s="41"/>
      <c r="CR1193" s="41"/>
      <c r="CS1193" s="41"/>
      <c r="CT1193" s="41"/>
      <c r="CU1193" s="41"/>
      <c r="CV1193" s="41"/>
      <c r="CW1193" s="41"/>
      <c r="CX1193" s="41"/>
      <c r="CY1193" s="41"/>
      <c r="CZ1193" s="41"/>
      <c r="DA1193" s="41"/>
      <c r="DB1193" s="41"/>
      <c r="DC1193" s="41"/>
      <c r="DD1193" s="41"/>
      <c r="DE1193" s="41"/>
      <c r="DF1193" s="41"/>
      <c r="DG1193" s="41"/>
      <c r="DH1193" s="41"/>
      <c r="DI1193" s="41"/>
      <c r="DJ1193" s="41"/>
      <c r="DK1193" s="41"/>
      <c r="DL1193" s="41"/>
      <c r="DM1193" s="41"/>
      <c r="DN1193" s="41"/>
      <c r="DO1193" s="41"/>
      <c r="DP1193" s="41"/>
      <c r="DQ1193" s="41"/>
      <c r="DR1193" s="41"/>
      <c r="DS1193" s="43"/>
      <c r="DT1193" s="44">
        <f t="shared" ref="DT1193" si="1174">SUM(F1193:DR1193)</f>
        <v>1</v>
      </c>
    </row>
    <row r="1194" spans="2:124" s="13" customFormat="1">
      <c r="B1194" s="4">
        <f>'6.1Personnel List'!B1195</f>
        <v>1182</v>
      </c>
      <c r="C1194" s="45" t="s">
        <v>1410</v>
      </c>
      <c r="D1194" s="45" t="str">
        <f>'6.1Personnel List'!D1195</f>
        <v>Nursing Attendant II</v>
      </c>
      <c r="E1194" s="45" t="str">
        <f>'6.1Personnel List'!H1195</f>
        <v>FT</v>
      </c>
      <c r="G1194" s="41"/>
      <c r="H1194" s="41"/>
      <c r="I1194" s="41"/>
      <c r="J1194" s="41"/>
      <c r="K1194" s="41"/>
      <c r="L1194" s="41"/>
      <c r="M1194" s="41"/>
      <c r="N1194" s="41"/>
      <c r="O1194" s="41"/>
      <c r="P1194" s="41"/>
      <c r="Q1194" s="41"/>
      <c r="R1194" s="41"/>
      <c r="S1194" s="41"/>
      <c r="T1194" s="41"/>
      <c r="U1194" s="41"/>
      <c r="V1194" s="41"/>
      <c r="W1194" s="41"/>
      <c r="X1194" s="41"/>
      <c r="Y1194" s="41"/>
      <c r="Z1194" s="41"/>
      <c r="AA1194" s="41"/>
      <c r="AB1194" s="41"/>
      <c r="AC1194" s="41"/>
      <c r="AD1194" s="41"/>
      <c r="AE1194" s="41"/>
      <c r="AF1194" s="41"/>
      <c r="AG1194" s="41"/>
      <c r="AH1194" s="41"/>
      <c r="AI1194" s="41"/>
      <c r="AJ1194" s="41"/>
      <c r="AK1194" s="41"/>
      <c r="AL1194" s="41"/>
      <c r="AM1194" s="41"/>
      <c r="AN1194" s="41"/>
      <c r="AO1194" s="41"/>
      <c r="AP1194" s="41"/>
      <c r="AQ1194" s="41"/>
      <c r="AR1194" s="41"/>
      <c r="AS1194" s="41"/>
      <c r="AT1194" s="41"/>
      <c r="AU1194" s="41"/>
      <c r="AV1194" s="41"/>
      <c r="AW1194" s="41"/>
      <c r="AX1194" s="41"/>
      <c r="AY1194" s="41"/>
      <c r="AZ1194" s="41"/>
      <c r="BA1194" s="41"/>
      <c r="BB1194" s="41"/>
      <c r="BC1194" s="41"/>
      <c r="BD1194" s="41"/>
      <c r="BE1194" s="41"/>
      <c r="BF1194" s="41"/>
      <c r="BG1194" s="41"/>
      <c r="BH1194" s="41"/>
      <c r="BJ1194" s="41"/>
      <c r="BK1194" s="94"/>
      <c r="BL1194" s="94"/>
      <c r="BM1194" s="94"/>
      <c r="BN1194" s="94"/>
      <c r="BO1194" s="94"/>
      <c r="BP1194" s="94"/>
      <c r="BQ1194" s="94"/>
      <c r="BR1194" s="94"/>
      <c r="BS1194" s="94"/>
      <c r="BT1194" s="94"/>
      <c r="BU1194" s="94"/>
      <c r="BV1194" s="94"/>
      <c r="BW1194" s="94"/>
      <c r="BX1194" s="94"/>
      <c r="BY1194" s="94"/>
      <c r="BZ1194" s="94"/>
      <c r="CA1194" s="94"/>
      <c r="CB1194" s="94"/>
      <c r="CC1194" s="94"/>
      <c r="CD1194" s="94"/>
      <c r="CE1194" s="94"/>
      <c r="CF1194" s="94"/>
      <c r="CG1194" s="94"/>
      <c r="CH1194" s="94"/>
      <c r="CI1194" s="94"/>
      <c r="CJ1194" s="94"/>
      <c r="CK1194" s="94"/>
      <c r="CL1194" s="94"/>
      <c r="CM1194" s="94"/>
      <c r="CN1194" s="94"/>
      <c r="CO1194" s="94"/>
      <c r="CP1194" s="94"/>
      <c r="CQ1194" s="94"/>
      <c r="CR1194" s="94"/>
      <c r="CS1194" s="94"/>
      <c r="CT1194" s="94"/>
      <c r="CU1194" s="94">
        <v>1</v>
      </c>
      <c r="CV1194" s="94"/>
      <c r="CW1194" s="94"/>
      <c r="CX1194" s="94"/>
      <c r="CY1194" s="94"/>
      <c r="CZ1194" s="94"/>
      <c r="DA1194" s="94"/>
      <c r="DB1194" s="94"/>
      <c r="DC1194" s="94"/>
      <c r="DD1194" s="94"/>
      <c r="DE1194" s="94"/>
      <c r="DF1194" s="94"/>
      <c r="DG1194" s="94"/>
      <c r="DH1194" s="94"/>
      <c r="DI1194" s="94"/>
      <c r="DJ1194" s="94"/>
      <c r="DK1194" s="41"/>
      <c r="DL1194" s="41"/>
      <c r="DM1194" s="41"/>
      <c r="DN1194" s="41"/>
      <c r="DO1194" s="41"/>
      <c r="DP1194" s="41"/>
      <c r="DQ1194" s="41"/>
      <c r="DR1194" s="41"/>
      <c r="DS1194" s="43"/>
      <c r="DT1194" s="44">
        <f t="shared" ref="DT1194" si="1175">SUM(F1194:DR1194)</f>
        <v>1</v>
      </c>
    </row>
    <row r="1195" spans="2:124" s="13" customFormat="1">
      <c r="B1195" s="4">
        <f>'6.1Personnel List'!B1196</f>
        <v>1183</v>
      </c>
      <c r="C1195" s="45" t="s">
        <v>1411</v>
      </c>
      <c r="D1195" s="45" t="str">
        <f>'6.1Personnel List'!D1196</f>
        <v>Nursing Attendant II</v>
      </c>
      <c r="E1195" s="45" t="str">
        <f>'6.1Personnel List'!H1196</f>
        <v>FT</v>
      </c>
      <c r="G1195" s="41"/>
      <c r="H1195" s="41"/>
      <c r="I1195" s="41"/>
      <c r="J1195" s="41"/>
      <c r="K1195" s="41"/>
      <c r="L1195" s="41"/>
      <c r="M1195" s="41"/>
      <c r="N1195" s="41"/>
      <c r="O1195" s="41"/>
      <c r="P1195" s="41"/>
      <c r="Q1195" s="41"/>
      <c r="R1195" s="41"/>
      <c r="S1195" s="41"/>
      <c r="T1195" s="41"/>
      <c r="U1195" s="41"/>
      <c r="V1195" s="41"/>
      <c r="W1195" s="41"/>
      <c r="X1195" s="41"/>
      <c r="Y1195" s="41"/>
      <c r="Z1195" s="41"/>
      <c r="AA1195" s="41"/>
      <c r="AB1195" s="41"/>
      <c r="AC1195" s="41"/>
      <c r="AD1195" s="41"/>
      <c r="AE1195" s="41"/>
      <c r="AF1195" s="41"/>
      <c r="AG1195" s="41"/>
      <c r="AH1195" s="41"/>
      <c r="AI1195" s="41"/>
      <c r="AJ1195" s="41"/>
      <c r="AK1195" s="41"/>
      <c r="AL1195" s="41"/>
      <c r="AM1195" s="41"/>
      <c r="AN1195" s="41"/>
      <c r="AO1195" s="41"/>
      <c r="AP1195" s="41"/>
      <c r="AQ1195" s="41"/>
      <c r="AR1195" s="41"/>
      <c r="AS1195" s="41"/>
      <c r="AT1195" s="41"/>
      <c r="AU1195" s="41"/>
      <c r="AV1195" s="41"/>
      <c r="AW1195" s="41"/>
      <c r="AX1195" s="41"/>
      <c r="AY1195" s="41"/>
      <c r="AZ1195" s="41"/>
      <c r="BA1195" s="41"/>
      <c r="BB1195" s="41"/>
      <c r="BC1195" s="41"/>
      <c r="BD1195" s="41"/>
      <c r="BE1195" s="41"/>
      <c r="BF1195" s="41"/>
      <c r="BG1195" s="41"/>
      <c r="BH1195" s="41"/>
      <c r="BJ1195" s="41"/>
      <c r="BK1195" s="94"/>
      <c r="BL1195" s="94"/>
      <c r="BM1195" s="94"/>
      <c r="BN1195" s="94"/>
      <c r="BO1195" s="94"/>
      <c r="BP1195" s="94"/>
      <c r="BQ1195" s="94"/>
      <c r="BR1195" s="94"/>
      <c r="BS1195" s="94"/>
      <c r="BT1195" s="94"/>
      <c r="BU1195" s="94"/>
      <c r="BV1195" s="94"/>
      <c r="BW1195" s="94"/>
      <c r="BX1195" s="94"/>
      <c r="BY1195" s="94"/>
      <c r="BZ1195" s="94"/>
      <c r="CA1195" s="94"/>
      <c r="CB1195" s="94"/>
      <c r="CC1195" s="94"/>
      <c r="CD1195" s="94"/>
      <c r="CE1195" s="94"/>
      <c r="CF1195" s="94"/>
      <c r="CG1195" s="94"/>
      <c r="CH1195" s="94"/>
      <c r="CI1195" s="94"/>
      <c r="CJ1195" s="94"/>
      <c r="CK1195" s="94"/>
      <c r="CL1195" s="94"/>
      <c r="CM1195" s="94"/>
      <c r="CN1195" s="94"/>
      <c r="CO1195" s="94">
        <v>1</v>
      </c>
      <c r="CP1195" s="94"/>
      <c r="CQ1195" s="94"/>
      <c r="CR1195" s="94"/>
      <c r="CS1195" s="94"/>
      <c r="CT1195" s="94"/>
      <c r="CU1195" s="94"/>
      <c r="CV1195" s="94"/>
      <c r="CW1195" s="94"/>
      <c r="CX1195" s="94"/>
      <c r="CY1195" s="94"/>
      <c r="CZ1195" s="94"/>
      <c r="DA1195" s="94"/>
      <c r="DB1195" s="94"/>
      <c r="DC1195" s="94"/>
      <c r="DD1195" s="94"/>
      <c r="DE1195" s="94"/>
      <c r="DF1195" s="94"/>
      <c r="DG1195" s="94"/>
      <c r="DH1195" s="94"/>
      <c r="DI1195" s="94"/>
      <c r="DJ1195" s="94"/>
      <c r="DK1195" s="41"/>
      <c r="DL1195" s="41"/>
      <c r="DM1195" s="41"/>
      <c r="DN1195" s="41"/>
      <c r="DO1195" s="41"/>
      <c r="DP1195" s="41"/>
      <c r="DQ1195" s="41"/>
      <c r="DR1195" s="41"/>
      <c r="DS1195" s="43"/>
      <c r="DT1195" s="44">
        <f t="shared" ref="DT1195" si="1176">SUM(F1195:DR1195)</f>
        <v>1</v>
      </c>
    </row>
    <row r="1196" spans="2:124" s="13" customFormat="1">
      <c r="B1196" s="4">
        <f>'6.1Personnel List'!B1197</f>
        <v>1184</v>
      </c>
      <c r="C1196" s="45" t="s">
        <v>1412</v>
      </c>
      <c r="D1196" s="45" t="str">
        <f>'6.1Personnel List'!D1197</f>
        <v>Nursing Attendant II</v>
      </c>
      <c r="E1196" s="45" t="str">
        <f>'6.1Personnel List'!H1197</f>
        <v>FT</v>
      </c>
      <c r="G1196" s="41"/>
      <c r="H1196" s="41"/>
      <c r="I1196" s="41"/>
      <c r="J1196" s="41"/>
      <c r="K1196" s="41"/>
      <c r="L1196" s="41"/>
      <c r="M1196" s="41"/>
      <c r="N1196" s="41"/>
      <c r="O1196" s="41"/>
      <c r="P1196" s="41"/>
      <c r="Q1196" s="41"/>
      <c r="R1196" s="41"/>
      <c r="S1196" s="41"/>
      <c r="T1196" s="41"/>
      <c r="U1196" s="41"/>
      <c r="V1196" s="41"/>
      <c r="W1196" s="41"/>
      <c r="X1196" s="41"/>
      <c r="Y1196" s="41"/>
      <c r="Z1196" s="41"/>
      <c r="AA1196" s="41"/>
      <c r="AB1196" s="41"/>
      <c r="AC1196" s="41"/>
      <c r="AD1196" s="41"/>
      <c r="AE1196" s="41"/>
      <c r="AF1196" s="41"/>
      <c r="AG1196" s="41"/>
      <c r="AH1196" s="41"/>
      <c r="AI1196" s="41"/>
      <c r="AJ1196" s="41"/>
      <c r="AK1196" s="41"/>
      <c r="AL1196" s="41"/>
      <c r="AM1196" s="41"/>
      <c r="AN1196" s="41"/>
      <c r="AO1196" s="41"/>
      <c r="AP1196" s="41"/>
      <c r="AQ1196" s="41"/>
      <c r="AR1196" s="41"/>
      <c r="AS1196" s="41"/>
      <c r="AT1196" s="41"/>
      <c r="AU1196" s="41"/>
      <c r="AV1196" s="41"/>
      <c r="AW1196" s="41"/>
      <c r="AX1196" s="41"/>
      <c r="AY1196" s="41"/>
      <c r="AZ1196" s="41"/>
      <c r="BA1196" s="41"/>
      <c r="BB1196" s="41"/>
      <c r="BC1196" s="41"/>
      <c r="BD1196" s="41"/>
      <c r="BE1196" s="41"/>
      <c r="BF1196" s="41"/>
      <c r="BG1196" s="41"/>
      <c r="BH1196" s="41"/>
      <c r="BJ1196" s="41"/>
      <c r="BK1196" s="41"/>
      <c r="BL1196" s="41"/>
      <c r="BM1196" s="41"/>
      <c r="BN1196" s="41"/>
      <c r="BO1196" s="41"/>
      <c r="BP1196" s="41"/>
      <c r="BQ1196" s="41"/>
      <c r="BR1196" s="41"/>
      <c r="BS1196" s="41"/>
      <c r="BT1196" s="41"/>
      <c r="BU1196" s="41"/>
      <c r="BV1196" s="41">
        <v>0.2</v>
      </c>
      <c r="BW1196" s="41"/>
      <c r="BX1196" s="41"/>
      <c r="BY1196" s="41"/>
      <c r="BZ1196" s="41"/>
      <c r="CA1196" s="41"/>
      <c r="CB1196" s="41">
        <v>0.2</v>
      </c>
      <c r="CC1196" s="41"/>
      <c r="CD1196" s="41"/>
      <c r="CE1196" s="41">
        <v>0.2</v>
      </c>
      <c r="CF1196" s="41"/>
      <c r="CG1196" s="41"/>
      <c r="CH1196" s="41"/>
      <c r="CI1196" s="41"/>
      <c r="CJ1196" s="41"/>
      <c r="CK1196" s="41"/>
      <c r="CL1196" s="41">
        <v>0.4</v>
      </c>
      <c r="CM1196" s="41"/>
      <c r="CN1196" s="41"/>
      <c r="CO1196" s="41"/>
      <c r="CP1196" s="41"/>
      <c r="CQ1196" s="41"/>
      <c r="CR1196" s="41"/>
      <c r="CS1196" s="41"/>
      <c r="CT1196" s="41"/>
      <c r="CU1196" s="41"/>
      <c r="CV1196" s="41"/>
      <c r="CW1196" s="41"/>
      <c r="CX1196" s="41"/>
      <c r="CY1196" s="41"/>
      <c r="CZ1196" s="41"/>
      <c r="DA1196" s="41"/>
      <c r="DB1196" s="41"/>
      <c r="DC1196" s="41"/>
      <c r="DD1196" s="41"/>
      <c r="DE1196" s="41"/>
      <c r="DF1196" s="41"/>
      <c r="DG1196" s="41"/>
      <c r="DH1196" s="41"/>
      <c r="DI1196" s="41"/>
      <c r="DJ1196" s="41"/>
      <c r="DK1196" s="41"/>
      <c r="DL1196" s="41"/>
      <c r="DM1196" s="41"/>
      <c r="DN1196" s="41"/>
      <c r="DO1196" s="41"/>
      <c r="DP1196" s="41"/>
      <c r="DQ1196" s="41"/>
      <c r="DR1196" s="41"/>
      <c r="DS1196" s="43"/>
      <c r="DT1196" s="44">
        <f t="shared" ref="DT1196" si="1177">SUM(F1196:DR1196)</f>
        <v>1</v>
      </c>
    </row>
    <row r="1197" spans="2:124" s="13" customFormat="1">
      <c r="B1197" s="4">
        <f>'6.1Personnel List'!B1198</f>
        <v>1185</v>
      </c>
      <c r="C1197" s="45" t="s">
        <v>1413</v>
      </c>
      <c r="D1197" s="45" t="str">
        <f>'6.1Personnel List'!D1198</f>
        <v>Nursing Attendant II</v>
      </c>
      <c r="E1197" s="45" t="str">
        <f>'6.1Personnel List'!H1198</f>
        <v>FT</v>
      </c>
      <c r="G1197" s="41"/>
      <c r="H1197" s="41"/>
      <c r="I1197" s="41"/>
      <c r="J1197" s="41"/>
      <c r="K1197" s="41"/>
      <c r="L1197" s="41"/>
      <c r="M1197" s="41"/>
      <c r="N1197" s="41"/>
      <c r="O1197" s="41"/>
      <c r="P1197" s="41"/>
      <c r="Q1197" s="41"/>
      <c r="R1197" s="41"/>
      <c r="S1197" s="41"/>
      <c r="T1197" s="41"/>
      <c r="U1197" s="41"/>
      <c r="V1197" s="41"/>
      <c r="W1197" s="41"/>
      <c r="X1197" s="41"/>
      <c r="Y1197" s="41"/>
      <c r="Z1197" s="41"/>
      <c r="AA1197" s="41"/>
      <c r="AB1197" s="41"/>
      <c r="AC1197" s="41"/>
      <c r="AD1197" s="41"/>
      <c r="AE1197" s="41"/>
      <c r="AF1197" s="41"/>
      <c r="AG1197" s="41"/>
      <c r="AH1197" s="41"/>
      <c r="AI1197" s="41"/>
      <c r="AJ1197" s="41"/>
      <c r="AK1197" s="41"/>
      <c r="AL1197" s="41"/>
      <c r="AM1197" s="41"/>
      <c r="AN1197" s="41"/>
      <c r="AO1197" s="41"/>
      <c r="AP1197" s="41"/>
      <c r="AQ1197" s="41"/>
      <c r="AR1197" s="41"/>
      <c r="AS1197" s="41"/>
      <c r="AT1197" s="41"/>
      <c r="AU1197" s="41"/>
      <c r="AV1197" s="41"/>
      <c r="AW1197" s="41"/>
      <c r="AX1197" s="41"/>
      <c r="AY1197" s="41"/>
      <c r="AZ1197" s="41"/>
      <c r="BA1197" s="41"/>
      <c r="BB1197" s="41"/>
      <c r="BC1197" s="41"/>
      <c r="BD1197" s="41"/>
      <c r="BE1197" s="41"/>
      <c r="BF1197" s="41"/>
      <c r="BG1197" s="41"/>
      <c r="BH1197" s="41"/>
      <c r="BJ1197" s="41"/>
      <c r="BK1197" s="94"/>
      <c r="BL1197" s="94"/>
      <c r="BM1197" s="94"/>
      <c r="BN1197" s="94"/>
      <c r="BO1197" s="94"/>
      <c r="BP1197" s="94"/>
      <c r="BQ1197" s="94"/>
      <c r="BR1197" s="94"/>
      <c r="BS1197" s="94"/>
      <c r="BT1197" s="94"/>
      <c r="BU1197" s="94"/>
      <c r="BV1197" s="94">
        <v>1</v>
      </c>
      <c r="BW1197" s="94"/>
      <c r="BX1197" s="94"/>
      <c r="BY1197" s="94"/>
      <c r="BZ1197" s="94"/>
      <c r="CA1197" s="94"/>
      <c r="CB1197" s="94"/>
      <c r="CC1197" s="94"/>
      <c r="CD1197" s="94"/>
      <c r="CE1197" s="94"/>
      <c r="CF1197" s="94"/>
      <c r="CG1197" s="94"/>
      <c r="CH1197" s="94"/>
      <c r="CI1197" s="94"/>
      <c r="CJ1197" s="94"/>
      <c r="CK1197" s="94"/>
      <c r="CL1197" s="94"/>
      <c r="CM1197" s="94"/>
      <c r="CN1197" s="94"/>
      <c r="CO1197" s="94"/>
      <c r="CP1197" s="94"/>
      <c r="CQ1197" s="94"/>
      <c r="CR1197" s="94"/>
      <c r="CS1197" s="94"/>
      <c r="CT1197" s="94"/>
      <c r="CU1197" s="94"/>
      <c r="CV1197" s="94"/>
      <c r="CW1197" s="94"/>
      <c r="CX1197" s="94"/>
      <c r="CY1197" s="94"/>
      <c r="CZ1197" s="94"/>
      <c r="DA1197" s="94"/>
      <c r="DB1197" s="94"/>
      <c r="DC1197" s="94"/>
      <c r="DD1197" s="94"/>
      <c r="DE1197" s="94"/>
      <c r="DF1197" s="94"/>
      <c r="DG1197" s="94"/>
      <c r="DH1197" s="94"/>
      <c r="DI1197" s="94"/>
      <c r="DJ1197" s="94"/>
      <c r="DK1197" s="41"/>
      <c r="DL1197" s="41"/>
      <c r="DM1197" s="41"/>
      <c r="DN1197" s="41"/>
      <c r="DO1197" s="41"/>
      <c r="DP1197" s="41"/>
      <c r="DQ1197" s="41"/>
      <c r="DR1197" s="41"/>
      <c r="DS1197" s="43"/>
      <c r="DT1197" s="44">
        <f t="shared" ref="DT1197" si="1178">SUM(F1197:DR1197)</f>
        <v>1</v>
      </c>
    </row>
    <row r="1198" spans="2:124" s="13" customFormat="1">
      <c r="B1198" s="4">
        <f>'6.1Personnel List'!B1199</f>
        <v>1186</v>
      </c>
      <c r="C1198" s="45" t="s">
        <v>1414</v>
      </c>
      <c r="D1198" s="45" t="str">
        <f>'6.1Personnel List'!D1199</f>
        <v>Nursing Attendant II</v>
      </c>
      <c r="E1198" s="45" t="str">
        <f>'6.1Personnel List'!H1199</f>
        <v>FT</v>
      </c>
      <c r="G1198" s="41"/>
      <c r="H1198" s="41"/>
      <c r="I1198" s="41"/>
      <c r="J1198" s="41"/>
      <c r="K1198" s="41"/>
      <c r="L1198" s="41"/>
      <c r="M1198" s="41"/>
      <c r="N1198" s="41"/>
      <c r="O1198" s="41"/>
      <c r="P1198" s="41"/>
      <c r="Q1198" s="41"/>
      <c r="R1198" s="41"/>
      <c r="S1198" s="41"/>
      <c r="T1198" s="41"/>
      <c r="U1198" s="41"/>
      <c r="V1198" s="41"/>
      <c r="W1198" s="41"/>
      <c r="X1198" s="41"/>
      <c r="Y1198" s="41"/>
      <c r="Z1198" s="41"/>
      <c r="AA1198" s="41"/>
      <c r="AB1198" s="41"/>
      <c r="AC1198" s="41"/>
      <c r="AD1198" s="41"/>
      <c r="AE1198" s="41"/>
      <c r="AF1198" s="41"/>
      <c r="AG1198" s="41"/>
      <c r="AH1198" s="41"/>
      <c r="AI1198" s="41"/>
      <c r="AJ1198" s="41"/>
      <c r="AK1198" s="41"/>
      <c r="AL1198" s="41"/>
      <c r="AM1198" s="41"/>
      <c r="AN1198" s="41"/>
      <c r="AO1198" s="41"/>
      <c r="AP1198" s="41"/>
      <c r="AQ1198" s="41"/>
      <c r="AR1198" s="41"/>
      <c r="AS1198" s="41"/>
      <c r="AT1198" s="41"/>
      <c r="AU1198" s="41"/>
      <c r="AV1198" s="41"/>
      <c r="AW1198" s="41"/>
      <c r="AX1198" s="41"/>
      <c r="AY1198" s="41"/>
      <c r="AZ1198" s="41"/>
      <c r="BA1198" s="41"/>
      <c r="BB1198" s="41"/>
      <c r="BC1198" s="41"/>
      <c r="BD1198" s="41"/>
      <c r="BE1198" s="41"/>
      <c r="BF1198" s="41"/>
      <c r="BG1198" s="41"/>
      <c r="BH1198" s="41"/>
      <c r="BJ1198" s="41"/>
      <c r="BK1198" s="41"/>
      <c r="BL1198" s="41"/>
      <c r="BM1198" s="41"/>
      <c r="BN1198" s="41"/>
      <c r="BO1198" s="41"/>
      <c r="BP1198" s="41"/>
      <c r="BQ1198" s="41"/>
      <c r="BR1198" s="41"/>
      <c r="BS1198" s="41"/>
      <c r="BT1198" s="41"/>
      <c r="BU1198" s="41"/>
      <c r="BV1198" s="41">
        <v>0.2</v>
      </c>
      <c r="BW1198" s="41"/>
      <c r="BX1198" s="41"/>
      <c r="BY1198" s="41"/>
      <c r="BZ1198" s="41"/>
      <c r="CA1198" s="41"/>
      <c r="CB1198" s="41">
        <v>0.2</v>
      </c>
      <c r="CC1198" s="41"/>
      <c r="CD1198" s="41"/>
      <c r="CE1198" s="41">
        <v>0.2</v>
      </c>
      <c r="CF1198" s="41"/>
      <c r="CG1198" s="41"/>
      <c r="CH1198" s="41"/>
      <c r="CI1198" s="41"/>
      <c r="CJ1198" s="41"/>
      <c r="CK1198" s="41"/>
      <c r="CL1198" s="41">
        <v>0.4</v>
      </c>
      <c r="CM1198" s="41"/>
      <c r="CN1198" s="41"/>
      <c r="CO1198" s="41"/>
      <c r="CP1198" s="41"/>
      <c r="CQ1198" s="41"/>
      <c r="CR1198" s="41"/>
      <c r="CS1198" s="41"/>
      <c r="CT1198" s="41"/>
      <c r="CU1198" s="41"/>
      <c r="CV1198" s="41"/>
      <c r="CW1198" s="41"/>
      <c r="CX1198" s="41"/>
      <c r="CY1198" s="41"/>
      <c r="CZ1198" s="41"/>
      <c r="DA1198" s="41"/>
      <c r="DB1198" s="41"/>
      <c r="DC1198" s="41"/>
      <c r="DD1198" s="41"/>
      <c r="DE1198" s="41"/>
      <c r="DF1198" s="41"/>
      <c r="DG1198" s="41"/>
      <c r="DH1198" s="41"/>
      <c r="DI1198" s="41"/>
      <c r="DJ1198" s="41"/>
      <c r="DK1198" s="41"/>
      <c r="DL1198" s="41"/>
      <c r="DM1198" s="41"/>
      <c r="DN1198" s="41"/>
      <c r="DO1198" s="41"/>
      <c r="DP1198" s="41"/>
      <c r="DQ1198" s="41"/>
      <c r="DR1198" s="41"/>
      <c r="DS1198" s="43"/>
      <c r="DT1198" s="44">
        <f t="shared" ref="DT1198" si="1179">SUM(F1198:DR1198)</f>
        <v>1</v>
      </c>
    </row>
    <row r="1199" spans="2:124" s="13" customFormat="1">
      <c r="B1199" s="4">
        <f>'6.1Personnel List'!B1200</f>
        <v>1187</v>
      </c>
      <c r="C1199" s="45" t="s">
        <v>1415</v>
      </c>
      <c r="D1199" s="45" t="str">
        <f>'6.1Personnel List'!D1200</f>
        <v>Nursing Attendant II</v>
      </c>
      <c r="E1199" s="45" t="str">
        <f>'6.1Personnel List'!H1200</f>
        <v>FT</v>
      </c>
      <c r="G1199" s="41"/>
      <c r="H1199" s="41"/>
      <c r="I1199" s="41"/>
      <c r="J1199" s="41"/>
      <c r="K1199" s="41"/>
      <c r="L1199" s="41"/>
      <c r="M1199" s="41"/>
      <c r="N1199" s="41"/>
      <c r="O1199" s="41"/>
      <c r="P1199" s="41"/>
      <c r="Q1199" s="41"/>
      <c r="R1199" s="41"/>
      <c r="S1199" s="41"/>
      <c r="T1199" s="41"/>
      <c r="U1199" s="41"/>
      <c r="V1199" s="41"/>
      <c r="W1199" s="41"/>
      <c r="X1199" s="41"/>
      <c r="Y1199" s="41"/>
      <c r="Z1199" s="41"/>
      <c r="AA1199" s="41"/>
      <c r="AB1199" s="41"/>
      <c r="AC1199" s="41"/>
      <c r="AD1199" s="41"/>
      <c r="AE1199" s="41"/>
      <c r="AF1199" s="41"/>
      <c r="AG1199" s="41"/>
      <c r="AH1199" s="41"/>
      <c r="AI1199" s="41"/>
      <c r="AJ1199" s="41"/>
      <c r="AK1199" s="41"/>
      <c r="AL1199" s="41"/>
      <c r="AM1199" s="41"/>
      <c r="AN1199" s="41"/>
      <c r="AO1199" s="41"/>
      <c r="AP1199" s="41"/>
      <c r="AQ1199" s="41"/>
      <c r="AR1199" s="41"/>
      <c r="AS1199" s="41"/>
      <c r="AT1199" s="41"/>
      <c r="AU1199" s="41"/>
      <c r="AV1199" s="41"/>
      <c r="AW1199" s="41"/>
      <c r="AX1199" s="41"/>
      <c r="AY1199" s="41"/>
      <c r="AZ1199" s="41"/>
      <c r="BA1199" s="41"/>
      <c r="BB1199" s="41"/>
      <c r="BC1199" s="41"/>
      <c r="BD1199" s="41"/>
      <c r="BE1199" s="41"/>
      <c r="BF1199" s="41"/>
      <c r="BG1199" s="41"/>
      <c r="BH1199" s="41"/>
      <c r="BJ1199" s="41"/>
      <c r="BK1199" s="94"/>
      <c r="BL1199" s="94"/>
      <c r="BM1199" s="94"/>
      <c r="BN1199" s="94"/>
      <c r="BO1199" s="94"/>
      <c r="BP1199" s="94"/>
      <c r="BQ1199" s="94"/>
      <c r="BR1199" s="94"/>
      <c r="BS1199" s="94"/>
      <c r="BT1199" s="94"/>
      <c r="BU1199" s="94"/>
      <c r="BV1199" s="94"/>
      <c r="BW1199" s="94"/>
      <c r="BX1199" s="94"/>
      <c r="BY1199" s="94"/>
      <c r="BZ1199" s="94"/>
      <c r="CA1199" s="94"/>
      <c r="CB1199" s="94"/>
      <c r="CC1199" s="94"/>
      <c r="CD1199" s="94"/>
      <c r="CE1199" s="94"/>
      <c r="CF1199" s="94"/>
      <c r="CG1199" s="94"/>
      <c r="CH1199" s="94"/>
      <c r="CI1199" s="94"/>
      <c r="CJ1199" s="94"/>
      <c r="CK1199" s="94"/>
      <c r="CL1199" s="94"/>
      <c r="CM1199" s="94"/>
      <c r="CN1199" s="94"/>
      <c r="CO1199" s="94"/>
      <c r="CP1199" s="94"/>
      <c r="CQ1199" s="94"/>
      <c r="CR1199" s="94"/>
      <c r="CS1199" s="94"/>
      <c r="CT1199" s="94"/>
      <c r="CU1199" s="94"/>
      <c r="CV1199" s="94"/>
      <c r="CW1199" s="94"/>
      <c r="CX1199" s="94"/>
      <c r="CY1199" s="94"/>
      <c r="CZ1199" s="94"/>
      <c r="DA1199" s="94"/>
      <c r="DB1199" s="94"/>
      <c r="DC1199" s="94"/>
      <c r="DD1199" s="94"/>
      <c r="DE1199" s="94"/>
      <c r="DF1199" s="94"/>
      <c r="DG1199" s="94"/>
      <c r="DH1199" s="94"/>
      <c r="DI1199" s="94"/>
      <c r="DJ1199" s="94"/>
      <c r="DK1199" s="41">
        <v>1</v>
      </c>
      <c r="DL1199" s="41"/>
      <c r="DM1199" s="41"/>
      <c r="DN1199" s="41"/>
      <c r="DO1199" s="41"/>
      <c r="DP1199" s="41"/>
      <c r="DQ1199" s="41"/>
      <c r="DR1199" s="41"/>
      <c r="DS1199" s="43"/>
      <c r="DT1199" s="44">
        <f t="shared" ref="DT1199" si="1180">SUM(F1199:DR1199)</f>
        <v>1</v>
      </c>
    </row>
    <row r="1200" spans="2:124" s="13" customFormat="1">
      <c r="B1200" s="4">
        <f>'6.1Personnel List'!B1201</f>
        <v>1188</v>
      </c>
      <c r="C1200" s="45" t="s">
        <v>1416</v>
      </c>
      <c r="D1200" s="45" t="str">
        <f>'6.1Personnel List'!D1201</f>
        <v>Nursing Attendant II</v>
      </c>
      <c r="E1200" s="45" t="str">
        <f>'6.1Personnel List'!H1201</f>
        <v>FT</v>
      </c>
      <c r="G1200" s="41"/>
      <c r="H1200" s="41"/>
      <c r="I1200" s="41"/>
      <c r="J1200" s="41"/>
      <c r="K1200" s="41"/>
      <c r="L1200" s="41"/>
      <c r="M1200" s="41"/>
      <c r="N1200" s="41"/>
      <c r="O1200" s="41"/>
      <c r="P1200" s="41"/>
      <c r="Q1200" s="41"/>
      <c r="R1200" s="41"/>
      <c r="S1200" s="41"/>
      <c r="T1200" s="41"/>
      <c r="U1200" s="41"/>
      <c r="V1200" s="41"/>
      <c r="W1200" s="41"/>
      <c r="X1200" s="41"/>
      <c r="Y1200" s="41"/>
      <c r="Z1200" s="41"/>
      <c r="AA1200" s="41"/>
      <c r="AB1200" s="41"/>
      <c r="AC1200" s="41"/>
      <c r="AD1200" s="41"/>
      <c r="AE1200" s="41"/>
      <c r="AF1200" s="41"/>
      <c r="AG1200" s="41"/>
      <c r="AH1200" s="41"/>
      <c r="AI1200" s="41"/>
      <c r="AJ1200" s="41"/>
      <c r="AK1200" s="41"/>
      <c r="AL1200" s="41"/>
      <c r="AM1200" s="41"/>
      <c r="AN1200" s="41"/>
      <c r="AO1200" s="41"/>
      <c r="AP1200" s="41"/>
      <c r="AQ1200" s="41"/>
      <c r="AR1200" s="41"/>
      <c r="AS1200" s="41"/>
      <c r="AT1200" s="41"/>
      <c r="AU1200" s="41"/>
      <c r="AV1200" s="41"/>
      <c r="AW1200" s="41"/>
      <c r="AX1200" s="41"/>
      <c r="AY1200" s="41"/>
      <c r="AZ1200" s="41"/>
      <c r="BA1200" s="41"/>
      <c r="BB1200" s="41"/>
      <c r="BC1200" s="41"/>
      <c r="BD1200" s="41"/>
      <c r="BE1200" s="41"/>
      <c r="BF1200" s="41"/>
      <c r="BG1200" s="41"/>
      <c r="BH1200" s="41"/>
      <c r="BJ1200" s="41"/>
      <c r="BK1200" s="94"/>
      <c r="BL1200" s="94"/>
      <c r="BM1200" s="94"/>
      <c r="BN1200" s="94"/>
      <c r="BO1200" s="94"/>
      <c r="BP1200" s="94"/>
      <c r="BQ1200" s="94"/>
      <c r="BR1200" s="94"/>
      <c r="BS1200" s="94"/>
      <c r="BT1200" s="94"/>
      <c r="BU1200" s="94"/>
      <c r="BV1200" s="94">
        <v>1</v>
      </c>
      <c r="BW1200" s="94"/>
      <c r="BX1200" s="94"/>
      <c r="BY1200" s="94"/>
      <c r="BZ1200" s="94"/>
      <c r="CA1200" s="94"/>
      <c r="CB1200" s="94"/>
      <c r="CC1200" s="94"/>
      <c r="CD1200" s="94"/>
      <c r="CE1200" s="94"/>
      <c r="CF1200" s="94"/>
      <c r="CG1200" s="94"/>
      <c r="CH1200" s="94"/>
      <c r="CI1200" s="94"/>
      <c r="CJ1200" s="94"/>
      <c r="CK1200" s="94"/>
      <c r="CL1200" s="94"/>
      <c r="CM1200" s="94"/>
      <c r="CN1200" s="94"/>
      <c r="CO1200" s="94"/>
      <c r="CP1200" s="94"/>
      <c r="CQ1200" s="94"/>
      <c r="CR1200" s="94"/>
      <c r="CS1200" s="94"/>
      <c r="CT1200" s="94"/>
      <c r="CU1200" s="94"/>
      <c r="CV1200" s="94"/>
      <c r="CW1200" s="94"/>
      <c r="CX1200" s="94"/>
      <c r="CY1200" s="94"/>
      <c r="CZ1200" s="94"/>
      <c r="DA1200" s="94"/>
      <c r="DB1200" s="94"/>
      <c r="DC1200" s="94"/>
      <c r="DD1200" s="94"/>
      <c r="DE1200" s="94"/>
      <c r="DF1200" s="94"/>
      <c r="DG1200" s="94"/>
      <c r="DH1200" s="94"/>
      <c r="DI1200" s="94"/>
      <c r="DJ1200" s="94"/>
      <c r="DK1200" s="41"/>
      <c r="DL1200" s="41"/>
      <c r="DM1200" s="41"/>
      <c r="DN1200" s="41"/>
      <c r="DO1200" s="41"/>
      <c r="DP1200" s="41"/>
      <c r="DQ1200" s="41"/>
      <c r="DR1200" s="41"/>
      <c r="DS1200" s="43"/>
      <c r="DT1200" s="44">
        <f t="shared" ref="DT1200" si="1181">SUM(F1200:DR1200)</f>
        <v>1</v>
      </c>
    </row>
    <row r="1201" spans="2:124" s="13" customFormat="1">
      <c r="B1201" s="4">
        <f>'6.1Personnel List'!B1202</f>
        <v>1189</v>
      </c>
      <c r="C1201" s="45" t="s">
        <v>1417</v>
      </c>
      <c r="D1201" s="45" t="str">
        <f>'6.1Personnel List'!D1202</f>
        <v>Nursing Attendant II</v>
      </c>
      <c r="E1201" s="45" t="str">
        <f>'6.1Personnel List'!H1202</f>
        <v>FT</v>
      </c>
      <c r="G1201" s="41"/>
      <c r="H1201" s="41"/>
      <c r="I1201" s="41"/>
      <c r="J1201" s="41"/>
      <c r="K1201" s="41"/>
      <c r="L1201" s="41"/>
      <c r="M1201" s="41"/>
      <c r="N1201" s="41"/>
      <c r="O1201" s="41"/>
      <c r="P1201" s="41"/>
      <c r="Q1201" s="41"/>
      <c r="R1201" s="41"/>
      <c r="S1201" s="41"/>
      <c r="T1201" s="41"/>
      <c r="U1201" s="41"/>
      <c r="V1201" s="41"/>
      <c r="W1201" s="41"/>
      <c r="X1201" s="41"/>
      <c r="Y1201" s="41"/>
      <c r="Z1201" s="41"/>
      <c r="AA1201" s="41"/>
      <c r="AB1201" s="41"/>
      <c r="AC1201" s="41"/>
      <c r="AD1201" s="41"/>
      <c r="AE1201" s="41"/>
      <c r="AF1201" s="41"/>
      <c r="AG1201" s="41"/>
      <c r="AH1201" s="41"/>
      <c r="AI1201" s="41"/>
      <c r="AJ1201" s="41"/>
      <c r="AK1201" s="41"/>
      <c r="AL1201" s="41"/>
      <c r="AM1201" s="41"/>
      <c r="AN1201" s="41"/>
      <c r="AO1201" s="41"/>
      <c r="AP1201" s="41"/>
      <c r="AQ1201" s="41"/>
      <c r="AR1201" s="41"/>
      <c r="AS1201" s="41"/>
      <c r="AT1201" s="41"/>
      <c r="AU1201" s="41"/>
      <c r="AV1201" s="41"/>
      <c r="AW1201" s="41"/>
      <c r="AX1201" s="41"/>
      <c r="AY1201" s="41"/>
      <c r="AZ1201" s="41"/>
      <c r="BA1201" s="41"/>
      <c r="BB1201" s="41"/>
      <c r="BC1201" s="41"/>
      <c r="BD1201" s="41"/>
      <c r="BE1201" s="41"/>
      <c r="BF1201" s="41"/>
      <c r="BG1201" s="41"/>
      <c r="BH1201" s="41"/>
      <c r="BJ1201" s="41"/>
      <c r="BK1201" s="94"/>
      <c r="BL1201" s="94"/>
      <c r="BM1201" s="94"/>
      <c r="BN1201" s="94"/>
      <c r="BO1201" s="94"/>
      <c r="BP1201" s="94"/>
      <c r="BQ1201" s="94"/>
      <c r="BR1201" s="94"/>
      <c r="BS1201" s="94"/>
      <c r="BT1201" s="94"/>
      <c r="BU1201" s="94"/>
      <c r="BV1201" s="94"/>
      <c r="BW1201" s="94"/>
      <c r="BX1201" s="94"/>
      <c r="BY1201" s="94"/>
      <c r="BZ1201" s="94"/>
      <c r="CA1201" s="94"/>
      <c r="CB1201" s="94"/>
      <c r="CC1201" s="94"/>
      <c r="CD1201" s="94"/>
      <c r="CE1201" s="94"/>
      <c r="CF1201" s="94"/>
      <c r="CG1201" s="94"/>
      <c r="CH1201" s="94"/>
      <c r="CI1201" s="94"/>
      <c r="CJ1201" s="94"/>
      <c r="CK1201" s="94"/>
      <c r="CL1201" s="94"/>
      <c r="CM1201" s="94"/>
      <c r="CN1201" s="94">
        <v>1</v>
      </c>
      <c r="CO1201" s="94"/>
      <c r="CP1201" s="94"/>
      <c r="CQ1201" s="94"/>
      <c r="CR1201" s="94"/>
      <c r="CS1201" s="94"/>
      <c r="CT1201" s="94"/>
      <c r="CU1201" s="94"/>
      <c r="CV1201" s="94"/>
      <c r="CW1201" s="94"/>
      <c r="CX1201" s="94"/>
      <c r="CY1201" s="94"/>
      <c r="CZ1201" s="94"/>
      <c r="DA1201" s="94"/>
      <c r="DB1201" s="94"/>
      <c r="DC1201" s="94"/>
      <c r="DD1201" s="94"/>
      <c r="DE1201" s="94"/>
      <c r="DF1201" s="94"/>
      <c r="DG1201" s="94"/>
      <c r="DH1201" s="94"/>
      <c r="DI1201" s="94"/>
      <c r="DJ1201" s="94"/>
      <c r="DK1201" s="41"/>
      <c r="DL1201" s="41"/>
      <c r="DM1201" s="41"/>
      <c r="DN1201" s="41"/>
      <c r="DO1201" s="41"/>
      <c r="DP1201" s="41"/>
      <c r="DQ1201" s="41"/>
      <c r="DR1201" s="41"/>
      <c r="DS1201" s="43"/>
      <c r="DT1201" s="44">
        <f t="shared" ref="DT1201" si="1182">SUM(F1201:DR1201)</f>
        <v>1</v>
      </c>
    </row>
    <row r="1202" spans="2:124" s="13" customFormat="1">
      <c r="B1202" s="4">
        <f>'6.1Personnel List'!B1203</f>
        <v>1190</v>
      </c>
      <c r="C1202" s="45" t="s">
        <v>1418</v>
      </c>
      <c r="D1202" s="45" t="str">
        <f>'6.1Personnel List'!D1203</f>
        <v>Nursing Attendant II</v>
      </c>
      <c r="E1202" s="45" t="str">
        <f>'6.1Personnel List'!H1203</f>
        <v>FT</v>
      </c>
      <c r="G1202" s="41"/>
      <c r="H1202" s="41"/>
      <c r="I1202" s="41"/>
      <c r="J1202" s="41"/>
      <c r="K1202" s="41"/>
      <c r="L1202" s="41"/>
      <c r="M1202" s="41"/>
      <c r="N1202" s="41"/>
      <c r="O1202" s="41"/>
      <c r="P1202" s="41"/>
      <c r="Q1202" s="41"/>
      <c r="R1202" s="41"/>
      <c r="S1202" s="41"/>
      <c r="T1202" s="41"/>
      <c r="U1202" s="41"/>
      <c r="V1202" s="41"/>
      <c r="W1202" s="41"/>
      <c r="X1202" s="41"/>
      <c r="Y1202" s="41"/>
      <c r="Z1202" s="41"/>
      <c r="AA1202" s="41"/>
      <c r="AB1202" s="41"/>
      <c r="AC1202" s="41"/>
      <c r="AD1202" s="41"/>
      <c r="AE1202" s="41"/>
      <c r="AF1202" s="41"/>
      <c r="AG1202" s="41"/>
      <c r="AH1202" s="41"/>
      <c r="AI1202" s="41"/>
      <c r="AJ1202" s="41"/>
      <c r="AK1202" s="41"/>
      <c r="AL1202" s="41"/>
      <c r="AM1202" s="41"/>
      <c r="AN1202" s="41"/>
      <c r="AO1202" s="41"/>
      <c r="AP1202" s="41"/>
      <c r="AQ1202" s="41"/>
      <c r="AR1202" s="41"/>
      <c r="AS1202" s="41"/>
      <c r="AT1202" s="41"/>
      <c r="AU1202" s="41"/>
      <c r="AV1202" s="41"/>
      <c r="AW1202" s="41"/>
      <c r="AX1202" s="41"/>
      <c r="AY1202" s="41"/>
      <c r="AZ1202" s="41"/>
      <c r="BA1202" s="41"/>
      <c r="BB1202" s="41"/>
      <c r="BC1202" s="41"/>
      <c r="BD1202" s="41"/>
      <c r="BE1202" s="41"/>
      <c r="BF1202" s="41"/>
      <c r="BG1202" s="41"/>
      <c r="BH1202" s="41"/>
      <c r="BJ1202" s="41"/>
      <c r="BK1202" s="94"/>
      <c r="BL1202" s="94"/>
      <c r="BM1202" s="94"/>
      <c r="BN1202" s="94"/>
      <c r="BO1202" s="94"/>
      <c r="BP1202" s="94"/>
      <c r="BQ1202" s="94"/>
      <c r="BR1202" s="94"/>
      <c r="BS1202" s="94"/>
      <c r="BT1202" s="94"/>
      <c r="BU1202" s="94"/>
      <c r="BV1202" s="94"/>
      <c r="BW1202" s="94"/>
      <c r="BX1202" s="94"/>
      <c r="BY1202" s="94"/>
      <c r="BZ1202" s="94"/>
      <c r="CA1202" s="94"/>
      <c r="CB1202" s="94"/>
      <c r="CC1202" s="94"/>
      <c r="CD1202" s="94"/>
      <c r="CE1202" s="94"/>
      <c r="CF1202" s="94"/>
      <c r="CG1202" s="94"/>
      <c r="CH1202" s="94"/>
      <c r="CI1202" s="94"/>
      <c r="CJ1202" s="94"/>
      <c r="CK1202" s="94"/>
      <c r="CL1202" s="94"/>
      <c r="CM1202" s="94"/>
      <c r="CN1202" s="94"/>
      <c r="CO1202" s="94"/>
      <c r="CP1202" s="94"/>
      <c r="CQ1202" s="94"/>
      <c r="CR1202" s="94"/>
      <c r="CS1202" s="94"/>
      <c r="CT1202" s="94"/>
      <c r="CU1202" s="94"/>
      <c r="CV1202" s="94"/>
      <c r="CW1202" s="94"/>
      <c r="CX1202" s="94"/>
      <c r="CY1202" s="94"/>
      <c r="CZ1202" s="94"/>
      <c r="DA1202" s="94"/>
      <c r="DB1202" s="94"/>
      <c r="DC1202" s="94"/>
      <c r="DD1202" s="94"/>
      <c r="DE1202" s="94"/>
      <c r="DF1202" s="94"/>
      <c r="DG1202" s="94"/>
      <c r="DH1202" s="94"/>
      <c r="DI1202" s="94"/>
      <c r="DJ1202" s="94"/>
      <c r="DK1202" s="41"/>
      <c r="DL1202" s="41">
        <v>0.5</v>
      </c>
      <c r="DM1202" s="41"/>
      <c r="DN1202" s="41"/>
      <c r="DO1202" s="41"/>
      <c r="DP1202" s="41">
        <v>0.5</v>
      </c>
      <c r="DQ1202" s="41"/>
      <c r="DR1202" s="41"/>
      <c r="DS1202" s="43"/>
      <c r="DT1202" s="44">
        <f t="shared" ref="DT1202" si="1183">SUM(F1202:DR1202)</f>
        <v>1</v>
      </c>
    </row>
    <row r="1203" spans="2:124" s="13" customFormat="1">
      <c r="B1203" s="4">
        <f>'6.1Personnel List'!B1204</f>
        <v>1191</v>
      </c>
      <c r="C1203" s="45" t="s">
        <v>1419</v>
      </c>
      <c r="D1203" s="45" t="str">
        <f>'6.1Personnel List'!D1204</f>
        <v>Nursing Attendant II</v>
      </c>
      <c r="E1203" s="45" t="str">
        <f>'6.1Personnel List'!H1204</f>
        <v>FT</v>
      </c>
      <c r="G1203" s="41"/>
      <c r="H1203" s="41"/>
      <c r="I1203" s="41"/>
      <c r="J1203" s="41"/>
      <c r="K1203" s="41"/>
      <c r="L1203" s="41"/>
      <c r="M1203" s="41"/>
      <c r="N1203" s="41"/>
      <c r="O1203" s="41"/>
      <c r="P1203" s="41"/>
      <c r="Q1203" s="41"/>
      <c r="R1203" s="41"/>
      <c r="S1203" s="41"/>
      <c r="T1203" s="41"/>
      <c r="U1203" s="41"/>
      <c r="V1203" s="41"/>
      <c r="W1203" s="41"/>
      <c r="X1203" s="41"/>
      <c r="Y1203" s="41"/>
      <c r="Z1203" s="41"/>
      <c r="AA1203" s="41"/>
      <c r="AB1203" s="41"/>
      <c r="AC1203" s="41"/>
      <c r="AD1203" s="41"/>
      <c r="AE1203" s="41"/>
      <c r="AF1203" s="41"/>
      <c r="AG1203" s="41"/>
      <c r="AH1203" s="41"/>
      <c r="AI1203" s="41"/>
      <c r="AJ1203" s="41"/>
      <c r="AK1203" s="41"/>
      <c r="AL1203" s="41"/>
      <c r="AM1203" s="41"/>
      <c r="AN1203" s="41"/>
      <c r="AO1203" s="41"/>
      <c r="AP1203" s="41"/>
      <c r="AQ1203" s="41"/>
      <c r="AR1203" s="41"/>
      <c r="AS1203" s="41"/>
      <c r="AT1203" s="41"/>
      <c r="AU1203" s="41"/>
      <c r="AV1203" s="41"/>
      <c r="AW1203" s="41"/>
      <c r="AX1203" s="41"/>
      <c r="AY1203" s="41"/>
      <c r="AZ1203" s="41"/>
      <c r="BA1203" s="41"/>
      <c r="BB1203" s="41"/>
      <c r="BC1203" s="41"/>
      <c r="BD1203" s="41"/>
      <c r="BE1203" s="41"/>
      <c r="BF1203" s="41"/>
      <c r="BG1203" s="41"/>
      <c r="BH1203" s="41"/>
      <c r="BJ1203" s="41"/>
      <c r="BK1203" s="41"/>
      <c r="BL1203" s="41"/>
      <c r="BM1203" s="41"/>
      <c r="BN1203" s="41"/>
      <c r="BO1203" s="41"/>
      <c r="BP1203" s="41"/>
      <c r="BQ1203" s="41"/>
      <c r="BR1203" s="41"/>
      <c r="BS1203" s="41"/>
      <c r="BT1203" s="41"/>
      <c r="BU1203" s="41"/>
      <c r="BV1203" s="41">
        <v>0.1</v>
      </c>
      <c r="BW1203" s="41"/>
      <c r="BX1203" s="41"/>
      <c r="BY1203" s="41"/>
      <c r="BZ1203" s="41"/>
      <c r="CA1203" s="41"/>
      <c r="CB1203" s="41"/>
      <c r="CC1203" s="41"/>
      <c r="CD1203" s="41"/>
      <c r="CE1203" s="41">
        <v>0.1</v>
      </c>
      <c r="CF1203" s="41"/>
      <c r="CG1203" s="41"/>
      <c r="CH1203" s="41">
        <v>0.1</v>
      </c>
      <c r="CI1203" s="41"/>
      <c r="CJ1203" s="41"/>
      <c r="CK1203" s="41"/>
      <c r="CL1203" s="41"/>
      <c r="CM1203" s="41"/>
      <c r="CN1203" s="41"/>
      <c r="CO1203" s="41"/>
      <c r="CP1203" s="41"/>
      <c r="CQ1203" s="41"/>
      <c r="CR1203" s="41"/>
      <c r="CS1203" s="41"/>
      <c r="CT1203" s="41"/>
      <c r="CU1203" s="41"/>
      <c r="CV1203" s="41"/>
      <c r="CW1203" s="41"/>
      <c r="CX1203" s="41"/>
      <c r="CY1203" s="41"/>
      <c r="CZ1203" s="41"/>
      <c r="DA1203" s="41"/>
      <c r="DB1203" s="41"/>
      <c r="DC1203" s="41"/>
      <c r="DD1203" s="41"/>
      <c r="DE1203" s="41"/>
      <c r="DF1203" s="41"/>
      <c r="DG1203" s="41"/>
      <c r="DH1203" s="41"/>
      <c r="DI1203" s="41"/>
      <c r="DJ1203" s="41"/>
      <c r="DK1203" s="41"/>
      <c r="DL1203" s="41"/>
      <c r="DM1203" s="41">
        <v>0.7</v>
      </c>
      <c r="DN1203" s="41"/>
      <c r="DO1203" s="41"/>
      <c r="DP1203" s="41"/>
      <c r="DQ1203" s="41"/>
      <c r="DR1203" s="41"/>
      <c r="DS1203" s="43"/>
      <c r="DT1203" s="44">
        <f t="shared" ref="DT1203" si="1184">SUM(F1203:DR1203)</f>
        <v>1</v>
      </c>
    </row>
    <row r="1204" spans="2:124" s="13" customFormat="1">
      <c r="B1204" s="4">
        <f>'6.1Personnel List'!B1205</f>
        <v>1192</v>
      </c>
      <c r="C1204" s="45" t="s">
        <v>1420</v>
      </c>
      <c r="D1204" s="45" t="str">
        <f>'6.1Personnel List'!D1205</f>
        <v>Nursing Attendant II</v>
      </c>
      <c r="E1204" s="45" t="str">
        <f>'6.1Personnel List'!H1205</f>
        <v>FT</v>
      </c>
      <c r="G1204" s="41"/>
      <c r="H1204" s="41"/>
      <c r="I1204" s="41"/>
      <c r="J1204" s="41"/>
      <c r="K1204" s="41"/>
      <c r="L1204" s="41"/>
      <c r="M1204" s="41"/>
      <c r="N1204" s="41"/>
      <c r="O1204" s="41"/>
      <c r="P1204" s="41"/>
      <c r="Q1204" s="41"/>
      <c r="R1204" s="41"/>
      <c r="S1204" s="41"/>
      <c r="T1204" s="41"/>
      <c r="U1204" s="41"/>
      <c r="V1204" s="41"/>
      <c r="W1204" s="41"/>
      <c r="X1204" s="41"/>
      <c r="Y1204" s="41"/>
      <c r="Z1204" s="41"/>
      <c r="AA1204" s="41"/>
      <c r="AB1204" s="41"/>
      <c r="AC1204" s="41"/>
      <c r="AD1204" s="41"/>
      <c r="AE1204" s="41"/>
      <c r="AF1204" s="41"/>
      <c r="AG1204" s="41"/>
      <c r="AH1204" s="41"/>
      <c r="AI1204" s="41"/>
      <c r="AJ1204" s="41"/>
      <c r="AK1204" s="41"/>
      <c r="AL1204" s="41"/>
      <c r="AM1204" s="41"/>
      <c r="AN1204" s="41"/>
      <c r="AO1204" s="41"/>
      <c r="AP1204" s="41"/>
      <c r="AQ1204" s="41"/>
      <c r="AR1204" s="41"/>
      <c r="AS1204" s="41"/>
      <c r="AT1204" s="41"/>
      <c r="AU1204" s="41"/>
      <c r="AV1204" s="41"/>
      <c r="AW1204" s="41"/>
      <c r="AX1204" s="41"/>
      <c r="AY1204" s="41"/>
      <c r="AZ1204" s="41"/>
      <c r="BA1204" s="41"/>
      <c r="BB1204" s="41"/>
      <c r="BC1204" s="41"/>
      <c r="BD1204" s="41"/>
      <c r="BE1204" s="41"/>
      <c r="BF1204" s="41"/>
      <c r="BG1204" s="41"/>
      <c r="BH1204" s="41"/>
      <c r="BJ1204" s="41"/>
      <c r="BK1204" s="94"/>
      <c r="BL1204" s="94"/>
      <c r="BM1204" s="94"/>
      <c r="BN1204" s="94"/>
      <c r="BO1204" s="94"/>
      <c r="BP1204" s="94"/>
      <c r="BQ1204" s="94"/>
      <c r="BR1204" s="94"/>
      <c r="BS1204" s="94"/>
      <c r="BT1204" s="94"/>
      <c r="BU1204" s="94"/>
      <c r="BV1204" s="94"/>
      <c r="BW1204" s="94"/>
      <c r="BX1204" s="94"/>
      <c r="BY1204" s="94"/>
      <c r="BZ1204" s="94"/>
      <c r="CA1204" s="94"/>
      <c r="CB1204" s="94"/>
      <c r="CC1204" s="94"/>
      <c r="CD1204" s="94"/>
      <c r="CE1204" s="94"/>
      <c r="CF1204" s="94"/>
      <c r="CG1204" s="94"/>
      <c r="CH1204" s="94"/>
      <c r="CI1204" s="94"/>
      <c r="CJ1204" s="94"/>
      <c r="CK1204" s="94"/>
      <c r="CL1204" s="94"/>
      <c r="CM1204" s="94"/>
      <c r="CN1204" s="94"/>
      <c r="CO1204" s="94"/>
      <c r="CP1204" s="94"/>
      <c r="CQ1204" s="94"/>
      <c r="CR1204" s="94"/>
      <c r="CS1204" s="94"/>
      <c r="CT1204" s="94"/>
      <c r="CU1204" s="94"/>
      <c r="CV1204" s="94"/>
      <c r="CW1204" s="94"/>
      <c r="CX1204" s="94"/>
      <c r="CY1204" s="94"/>
      <c r="CZ1204" s="94"/>
      <c r="DA1204" s="94"/>
      <c r="DB1204" s="94"/>
      <c r="DC1204" s="94"/>
      <c r="DD1204" s="94"/>
      <c r="DE1204" s="94"/>
      <c r="DF1204" s="94"/>
      <c r="DG1204" s="94"/>
      <c r="DH1204" s="94"/>
      <c r="DI1204" s="94"/>
      <c r="DJ1204" s="94"/>
      <c r="DK1204" s="41"/>
      <c r="DL1204" s="41">
        <v>0.5</v>
      </c>
      <c r="DM1204" s="41"/>
      <c r="DN1204" s="41"/>
      <c r="DO1204" s="41"/>
      <c r="DP1204" s="41">
        <v>0.5</v>
      </c>
      <c r="DQ1204" s="41"/>
      <c r="DR1204" s="41"/>
      <c r="DS1204" s="43"/>
      <c r="DT1204" s="44">
        <f t="shared" ref="DT1204" si="1185">SUM(F1204:DR1204)</f>
        <v>1</v>
      </c>
    </row>
    <row r="1205" spans="2:124" s="13" customFormat="1">
      <c r="B1205" s="4">
        <f>'6.1Personnel List'!B1206</f>
        <v>1193</v>
      </c>
      <c r="C1205" s="45" t="s">
        <v>1421</v>
      </c>
      <c r="D1205" s="45" t="str">
        <f>'6.1Personnel List'!D1206</f>
        <v>Nursing Attendant II</v>
      </c>
      <c r="E1205" s="45" t="str">
        <f>'6.1Personnel List'!H1206</f>
        <v>FT</v>
      </c>
      <c r="G1205" s="41"/>
      <c r="H1205" s="41"/>
      <c r="I1205" s="41"/>
      <c r="J1205" s="41"/>
      <c r="K1205" s="41"/>
      <c r="L1205" s="41"/>
      <c r="M1205" s="41"/>
      <c r="N1205" s="41"/>
      <c r="O1205" s="41"/>
      <c r="P1205" s="41"/>
      <c r="Q1205" s="41"/>
      <c r="R1205" s="41"/>
      <c r="S1205" s="41"/>
      <c r="T1205" s="41"/>
      <c r="U1205" s="41"/>
      <c r="V1205" s="41"/>
      <c r="W1205" s="41"/>
      <c r="X1205" s="41"/>
      <c r="Y1205" s="41"/>
      <c r="Z1205" s="41"/>
      <c r="AA1205" s="41"/>
      <c r="AB1205" s="41"/>
      <c r="AC1205" s="41"/>
      <c r="AD1205" s="41"/>
      <c r="AE1205" s="41"/>
      <c r="AF1205" s="41"/>
      <c r="AG1205" s="41"/>
      <c r="AH1205" s="41"/>
      <c r="AI1205" s="41"/>
      <c r="AJ1205" s="41"/>
      <c r="AK1205" s="41"/>
      <c r="AL1205" s="41"/>
      <c r="AM1205" s="41"/>
      <c r="AN1205" s="41"/>
      <c r="AO1205" s="41"/>
      <c r="AP1205" s="41"/>
      <c r="AQ1205" s="41"/>
      <c r="AR1205" s="41"/>
      <c r="AS1205" s="41"/>
      <c r="AT1205" s="41"/>
      <c r="AU1205" s="41"/>
      <c r="AV1205" s="41"/>
      <c r="AW1205" s="41"/>
      <c r="AX1205" s="41"/>
      <c r="AY1205" s="41"/>
      <c r="AZ1205" s="41"/>
      <c r="BA1205" s="41"/>
      <c r="BB1205" s="41"/>
      <c r="BC1205" s="41"/>
      <c r="BD1205" s="41"/>
      <c r="BE1205" s="41"/>
      <c r="BF1205" s="41"/>
      <c r="BG1205" s="41"/>
      <c r="BH1205" s="41"/>
      <c r="BJ1205" s="41"/>
      <c r="BK1205" s="94"/>
      <c r="BL1205" s="94"/>
      <c r="BM1205" s="94"/>
      <c r="BN1205" s="94"/>
      <c r="BO1205" s="94"/>
      <c r="BP1205" s="94"/>
      <c r="BQ1205" s="94"/>
      <c r="BR1205" s="94"/>
      <c r="BS1205" s="94"/>
      <c r="BT1205" s="94"/>
      <c r="BU1205" s="94"/>
      <c r="BV1205" s="94"/>
      <c r="BW1205" s="94"/>
      <c r="BX1205" s="94"/>
      <c r="BY1205" s="94"/>
      <c r="BZ1205" s="94"/>
      <c r="CA1205" s="94"/>
      <c r="CB1205" s="94"/>
      <c r="CC1205" s="94"/>
      <c r="CD1205" s="94"/>
      <c r="CE1205" s="94"/>
      <c r="CF1205" s="94"/>
      <c r="CG1205" s="94"/>
      <c r="CH1205" s="94"/>
      <c r="CI1205" s="94"/>
      <c r="CJ1205" s="94"/>
      <c r="CK1205" s="94"/>
      <c r="CL1205" s="94"/>
      <c r="CM1205" s="94"/>
      <c r="CN1205" s="94"/>
      <c r="CO1205" s="94"/>
      <c r="CP1205" s="94"/>
      <c r="CQ1205" s="94">
        <v>1</v>
      </c>
      <c r="CR1205" s="94"/>
      <c r="CS1205" s="94"/>
      <c r="CT1205" s="94"/>
      <c r="CU1205" s="94"/>
      <c r="CV1205" s="94"/>
      <c r="CW1205" s="94"/>
      <c r="CX1205" s="94"/>
      <c r="CY1205" s="94"/>
      <c r="CZ1205" s="94"/>
      <c r="DA1205" s="94"/>
      <c r="DB1205" s="94"/>
      <c r="DC1205" s="94"/>
      <c r="DD1205" s="94"/>
      <c r="DE1205" s="94"/>
      <c r="DF1205" s="94"/>
      <c r="DG1205" s="94"/>
      <c r="DH1205" s="94"/>
      <c r="DI1205" s="94"/>
      <c r="DJ1205" s="94"/>
      <c r="DK1205" s="41"/>
      <c r="DL1205" s="41"/>
      <c r="DM1205" s="41"/>
      <c r="DN1205" s="41"/>
      <c r="DO1205" s="41"/>
      <c r="DP1205" s="41"/>
      <c r="DQ1205" s="41"/>
      <c r="DR1205" s="41"/>
      <c r="DS1205" s="43"/>
      <c r="DT1205" s="44">
        <f t="shared" ref="DT1205" si="1186">SUM(F1205:DR1205)</f>
        <v>1</v>
      </c>
    </row>
    <row r="1206" spans="2:124" s="13" customFormat="1">
      <c r="B1206" s="4">
        <f>'6.1Personnel List'!B1207</f>
        <v>1194</v>
      </c>
      <c r="C1206" s="45" t="s">
        <v>1422</v>
      </c>
      <c r="D1206" s="45" t="str">
        <f>'6.1Personnel List'!D1207</f>
        <v>Nursing Attendant II</v>
      </c>
      <c r="E1206" s="45" t="str">
        <f>'6.1Personnel List'!H1207</f>
        <v>FT</v>
      </c>
      <c r="G1206" s="41"/>
      <c r="H1206" s="41"/>
      <c r="I1206" s="41"/>
      <c r="J1206" s="41"/>
      <c r="K1206" s="41"/>
      <c r="L1206" s="41"/>
      <c r="M1206" s="41"/>
      <c r="N1206" s="41"/>
      <c r="O1206" s="41"/>
      <c r="P1206" s="41"/>
      <c r="Q1206" s="41"/>
      <c r="R1206" s="41"/>
      <c r="S1206" s="41"/>
      <c r="T1206" s="41"/>
      <c r="U1206" s="41"/>
      <c r="V1206" s="41"/>
      <c r="W1206" s="41"/>
      <c r="X1206" s="41"/>
      <c r="Y1206" s="41"/>
      <c r="Z1206" s="41"/>
      <c r="AA1206" s="41"/>
      <c r="AB1206" s="41"/>
      <c r="AC1206" s="41"/>
      <c r="AD1206" s="41"/>
      <c r="AE1206" s="41"/>
      <c r="AF1206" s="41"/>
      <c r="AG1206" s="41"/>
      <c r="AH1206" s="41"/>
      <c r="AI1206" s="41"/>
      <c r="AJ1206" s="41"/>
      <c r="AK1206" s="41"/>
      <c r="AL1206" s="41"/>
      <c r="AM1206" s="41"/>
      <c r="AN1206" s="41"/>
      <c r="AO1206" s="41"/>
      <c r="AP1206" s="41"/>
      <c r="AQ1206" s="41"/>
      <c r="AR1206" s="41"/>
      <c r="AS1206" s="41"/>
      <c r="AT1206" s="41"/>
      <c r="AU1206" s="41"/>
      <c r="AV1206" s="41"/>
      <c r="AW1206" s="41"/>
      <c r="AX1206" s="41"/>
      <c r="AY1206" s="41"/>
      <c r="AZ1206" s="41"/>
      <c r="BA1206" s="41"/>
      <c r="BB1206" s="41"/>
      <c r="BC1206" s="41"/>
      <c r="BD1206" s="41"/>
      <c r="BE1206" s="41"/>
      <c r="BF1206" s="41"/>
      <c r="BG1206" s="41"/>
      <c r="BH1206" s="41"/>
      <c r="BJ1206" s="41"/>
      <c r="BK1206" s="41"/>
      <c r="BL1206" s="41"/>
      <c r="BM1206" s="41"/>
      <c r="BN1206" s="41"/>
      <c r="BO1206" s="41"/>
      <c r="BP1206" s="41"/>
      <c r="BQ1206" s="41"/>
      <c r="BR1206" s="41"/>
      <c r="BS1206" s="41"/>
      <c r="BT1206" s="41"/>
      <c r="BU1206" s="41"/>
      <c r="BV1206" s="41"/>
      <c r="BW1206" s="41"/>
      <c r="BX1206" s="41"/>
      <c r="BY1206" s="41"/>
      <c r="BZ1206" s="41"/>
      <c r="CA1206" s="41"/>
      <c r="CB1206" s="41">
        <v>0.1</v>
      </c>
      <c r="CC1206" s="41"/>
      <c r="CD1206" s="41"/>
      <c r="CE1206" s="41">
        <v>0.09</v>
      </c>
      <c r="CF1206" s="41">
        <v>0.01</v>
      </c>
      <c r="CG1206" s="41">
        <v>0.01</v>
      </c>
      <c r="CH1206" s="41">
        <v>0.05</v>
      </c>
      <c r="CI1206" s="41">
        <v>0.01</v>
      </c>
      <c r="CJ1206" s="41"/>
      <c r="CK1206" s="41">
        <v>0.01</v>
      </c>
      <c r="CL1206" s="41">
        <v>0.05</v>
      </c>
      <c r="CM1206" s="41"/>
      <c r="CN1206" s="41">
        <v>0.05</v>
      </c>
      <c r="CO1206" s="41">
        <v>0.05</v>
      </c>
      <c r="CP1206" s="41">
        <v>0.05</v>
      </c>
      <c r="CQ1206" s="41">
        <v>0.05</v>
      </c>
      <c r="CR1206" s="41">
        <v>0.02</v>
      </c>
      <c r="CS1206" s="41">
        <v>0.01</v>
      </c>
      <c r="CT1206" s="41"/>
      <c r="CU1206" s="41"/>
      <c r="CV1206" s="41">
        <v>0.02</v>
      </c>
      <c r="CW1206" s="41"/>
      <c r="CX1206" s="41"/>
      <c r="CY1206" s="41"/>
      <c r="CZ1206" s="41"/>
      <c r="DA1206" s="41"/>
      <c r="DB1206" s="41"/>
      <c r="DC1206" s="41"/>
      <c r="DD1206" s="41">
        <v>0.12</v>
      </c>
      <c r="DE1206" s="41"/>
      <c r="DF1206" s="41"/>
      <c r="DG1206" s="41"/>
      <c r="DH1206" s="41"/>
      <c r="DI1206" s="41"/>
      <c r="DJ1206" s="41">
        <v>0.05</v>
      </c>
      <c r="DK1206" s="41">
        <v>0.05</v>
      </c>
      <c r="DL1206" s="41">
        <v>0.05</v>
      </c>
      <c r="DM1206" s="41">
        <v>0.05</v>
      </c>
      <c r="DN1206" s="41"/>
      <c r="DO1206" s="41"/>
      <c r="DP1206" s="41">
        <v>0.05</v>
      </c>
      <c r="DQ1206" s="41"/>
      <c r="DR1206" s="41">
        <v>0.05</v>
      </c>
      <c r="DS1206" s="43"/>
      <c r="DT1206" s="44">
        <f t="shared" ref="DT1206" si="1187">SUM(F1206:DR1206)</f>
        <v>1.0000000000000002</v>
      </c>
    </row>
    <row r="1207" spans="2:124" s="13" customFormat="1">
      <c r="B1207" s="4">
        <f>'6.1Personnel List'!B1208</f>
        <v>1195</v>
      </c>
      <c r="C1207" s="45" t="s">
        <v>1423</v>
      </c>
      <c r="D1207" s="45" t="str">
        <f>'6.1Personnel List'!D1208</f>
        <v>Nursing Attendant II</v>
      </c>
      <c r="E1207" s="45" t="str">
        <f>'6.1Personnel List'!H1208</f>
        <v>FT</v>
      </c>
      <c r="G1207" s="41"/>
      <c r="H1207" s="41"/>
      <c r="I1207" s="41"/>
      <c r="J1207" s="41"/>
      <c r="K1207" s="41"/>
      <c r="L1207" s="41"/>
      <c r="M1207" s="41"/>
      <c r="N1207" s="41"/>
      <c r="O1207" s="41"/>
      <c r="P1207" s="41"/>
      <c r="Q1207" s="41"/>
      <c r="R1207" s="41"/>
      <c r="S1207" s="41"/>
      <c r="T1207" s="41"/>
      <c r="U1207" s="41"/>
      <c r="V1207" s="41"/>
      <c r="W1207" s="41"/>
      <c r="X1207" s="41"/>
      <c r="Y1207" s="41"/>
      <c r="Z1207" s="41"/>
      <c r="AA1207" s="41"/>
      <c r="AB1207" s="41"/>
      <c r="AC1207" s="41"/>
      <c r="AD1207" s="41"/>
      <c r="AE1207" s="41"/>
      <c r="AF1207" s="41"/>
      <c r="AG1207" s="41"/>
      <c r="AH1207" s="41"/>
      <c r="AI1207" s="41"/>
      <c r="AJ1207" s="41"/>
      <c r="AK1207" s="41"/>
      <c r="AL1207" s="41"/>
      <c r="AM1207" s="41"/>
      <c r="AN1207" s="41"/>
      <c r="AO1207" s="41"/>
      <c r="AP1207" s="41"/>
      <c r="AQ1207" s="41"/>
      <c r="AR1207" s="41"/>
      <c r="AS1207" s="41"/>
      <c r="AT1207" s="41"/>
      <c r="AU1207" s="41"/>
      <c r="AV1207" s="41"/>
      <c r="AW1207" s="41"/>
      <c r="AX1207" s="41"/>
      <c r="AY1207" s="41"/>
      <c r="AZ1207" s="41"/>
      <c r="BA1207" s="41"/>
      <c r="BB1207" s="41"/>
      <c r="BC1207" s="41"/>
      <c r="BD1207" s="41"/>
      <c r="BE1207" s="41"/>
      <c r="BF1207" s="41"/>
      <c r="BG1207" s="41"/>
      <c r="BH1207" s="41"/>
      <c r="BJ1207" s="41"/>
      <c r="BK1207" s="41"/>
      <c r="BL1207" s="41"/>
      <c r="BM1207" s="41"/>
      <c r="BN1207" s="41"/>
      <c r="BO1207" s="41"/>
      <c r="BP1207" s="41"/>
      <c r="BQ1207" s="41"/>
      <c r="BR1207" s="41"/>
      <c r="BS1207" s="41"/>
      <c r="BT1207" s="41"/>
      <c r="BU1207" s="41"/>
      <c r="BV1207" s="41">
        <v>0.1</v>
      </c>
      <c r="BW1207" s="41"/>
      <c r="BX1207" s="41"/>
      <c r="BY1207" s="41"/>
      <c r="BZ1207" s="41"/>
      <c r="CA1207" s="41"/>
      <c r="CB1207" s="41"/>
      <c r="CC1207" s="41"/>
      <c r="CD1207" s="41"/>
      <c r="CE1207" s="41">
        <v>0.1</v>
      </c>
      <c r="CF1207" s="41"/>
      <c r="CG1207" s="41"/>
      <c r="CH1207" s="41">
        <v>0.1</v>
      </c>
      <c r="CI1207" s="41"/>
      <c r="CJ1207" s="41"/>
      <c r="CK1207" s="41"/>
      <c r="CL1207" s="41"/>
      <c r="CM1207" s="41"/>
      <c r="CN1207" s="41"/>
      <c r="CO1207" s="41"/>
      <c r="CP1207" s="41"/>
      <c r="CQ1207" s="41"/>
      <c r="CR1207" s="41"/>
      <c r="CS1207" s="41"/>
      <c r="CT1207" s="41"/>
      <c r="CU1207" s="41"/>
      <c r="CV1207" s="41"/>
      <c r="CW1207" s="41"/>
      <c r="CX1207" s="41"/>
      <c r="CY1207" s="41"/>
      <c r="CZ1207" s="41"/>
      <c r="DA1207" s="41"/>
      <c r="DB1207" s="41"/>
      <c r="DC1207" s="41"/>
      <c r="DD1207" s="41"/>
      <c r="DE1207" s="41"/>
      <c r="DF1207" s="41"/>
      <c r="DG1207" s="41"/>
      <c r="DH1207" s="41"/>
      <c r="DI1207" s="41"/>
      <c r="DJ1207" s="41"/>
      <c r="DK1207" s="41"/>
      <c r="DL1207" s="41"/>
      <c r="DM1207" s="41">
        <v>0.7</v>
      </c>
      <c r="DN1207" s="41"/>
      <c r="DO1207" s="41"/>
      <c r="DP1207" s="41"/>
      <c r="DQ1207" s="41"/>
      <c r="DR1207" s="41"/>
      <c r="DS1207" s="43"/>
      <c r="DT1207" s="44">
        <f t="shared" ref="DT1207" si="1188">SUM(F1207:DR1207)</f>
        <v>1</v>
      </c>
    </row>
    <row r="1208" spans="2:124" s="13" customFormat="1">
      <c r="B1208" s="4">
        <f>'6.1Personnel List'!B1209</f>
        <v>1196</v>
      </c>
      <c r="C1208" s="45" t="s">
        <v>1424</v>
      </c>
      <c r="D1208" s="45" t="str">
        <f>'6.1Personnel List'!D1209</f>
        <v>Nursing Attendant II</v>
      </c>
      <c r="E1208" s="45" t="str">
        <f>'6.1Personnel List'!H1209</f>
        <v>FT</v>
      </c>
      <c r="G1208" s="41"/>
      <c r="H1208" s="41"/>
      <c r="I1208" s="41"/>
      <c r="J1208" s="41"/>
      <c r="K1208" s="41"/>
      <c r="L1208" s="41"/>
      <c r="M1208" s="41"/>
      <c r="N1208" s="41"/>
      <c r="O1208" s="41"/>
      <c r="P1208" s="41"/>
      <c r="Q1208" s="41"/>
      <c r="R1208" s="41"/>
      <c r="S1208" s="41"/>
      <c r="T1208" s="41"/>
      <c r="U1208" s="41"/>
      <c r="V1208" s="41"/>
      <c r="W1208" s="41"/>
      <c r="X1208" s="41"/>
      <c r="Y1208" s="41"/>
      <c r="Z1208" s="41"/>
      <c r="AA1208" s="41"/>
      <c r="AB1208" s="41"/>
      <c r="AC1208" s="41"/>
      <c r="AD1208" s="41"/>
      <c r="AE1208" s="41"/>
      <c r="AF1208" s="41"/>
      <c r="AG1208" s="41"/>
      <c r="AH1208" s="41"/>
      <c r="AI1208" s="41"/>
      <c r="AJ1208" s="41"/>
      <c r="AK1208" s="41"/>
      <c r="AL1208" s="41"/>
      <c r="AM1208" s="41"/>
      <c r="AN1208" s="41"/>
      <c r="AO1208" s="41"/>
      <c r="AP1208" s="41"/>
      <c r="AQ1208" s="41"/>
      <c r="AR1208" s="41"/>
      <c r="AS1208" s="41"/>
      <c r="AT1208" s="41"/>
      <c r="AU1208" s="41"/>
      <c r="AV1208" s="41"/>
      <c r="AW1208" s="41"/>
      <c r="AX1208" s="41"/>
      <c r="AY1208" s="41"/>
      <c r="AZ1208" s="41"/>
      <c r="BA1208" s="41"/>
      <c r="BB1208" s="41"/>
      <c r="BC1208" s="41"/>
      <c r="BD1208" s="41"/>
      <c r="BE1208" s="41"/>
      <c r="BF1208" s="41"/>
      <c r="BG1208" s="41"/>
      <c r="BH1208" s="41"/>
      <c r="BJ1208" s="41"/>
      <c r="BK1208" s="94"/>
      <c r="BL1208" s="94"/>
      <c r="BM1208" s="94"/>
      <c r="BN1208" s="94"/>
      <c r="BO1208" s="94"/>
      <c r="BP1208" s="94"/>
      <c r="BQ1208" s="94"/>
      <c r="BR1208" s="94"/>
      <c r="BS1208" s="94"/>
      <c r="BT1208" s="94"/>
      <c r="BU1208" s="94"/>
      <c r="BV1208" s="94">
        <v>1</v>
      </c>
      <c r="BW1208" s="94"/>
      <c r="BX1208" s="94"/>
      <c r="BY1208" s="94"/>
      <c r="BZ1208" s="94"/>
      <c r="CA1208" s="94"/>
      <c r="CB1208" s="94"/>
      <c r="CC1208" s="94"/>
      <c r="CD1208" s="94"/>
      <c r="CE1208" s="94"/>
      <c r="CF1208" s="94"/>
      <c r="CG1208" s="94"/>
      <c r="CH1208" s="94"/>
      <c r="CI1208" s="94"/>
      <c r="CJ1208" s="94"/>
      <c r="CK1208" s="94"/>
      <c r="CL1208" s="94"/>
      <c r="CM1208" s="94"/>
      <c r="CN1208" s="94"/>
      <c r="CO1208" s="94"/>
      <c r="CP1208" s="94"/>
      <c r="CQ1208" s="94"/>
      <c r="CR1208" s="94"/>
      <c r="CS1208" s="94"/>
      <c r="CT1208" s="94"/>
      <c r="CU1208" s="94"/>
      <c r="CV1208" s="94"/>
      <c r="CW1208" s="94"/>
      <c r="CX1208" s="94"/>
      <c r="CY1208" s="94"/>
      <c r="CZ1208" s="94"/>
      <c r="DA1208" s="94"/>
      <c r="DB1208" s="94"/>
      <c r="DC1208" s="94"/>
      <c r="DD1208" s="94"/>
      <c r="DE1208" s="94"/>
      <c r="DF1208" s="94"/>
      <c r="DG1208" s="94"/>
      <c r="DH1208" s="94"/>
      <c r="DI1208" s="94"/>
      <c r="DJ1208" s="94"/>
      <c r="DK1208" s="41"/>
      <c r="DL1208" s="41"/>
      <c r="DM1208" s="41"/>
      <c r="DN1208" s="41"/>
      <c r="DO1208" s="41"/>
      <c r="DP1208" s="41"/>
      <c r="DQ1208" s="41"/>
      <c r="DR1208" s="41"/>
      <c r="DS1208" s="43"/>
      <c r="DT1208" s="44">
        <f t="shared" ref="DT1208" si="1189">SUM(F1208:DR1208)</f>
        <v>1</v>
      </c>
    </row>
    <row r="1209" spans="2:124" s="13" customFormat="1">
      <c r="B1209" s="4">
        <f>'6.1Personnel List'!B1210</f>
        <v>1197</v>
      </c>
      <c r="C1209" s="45" t="s">
        <v>1425</v>
      </c>
      <c r="D1209" s="45" t="str">
        <f>'6.1Personnel List'!D1210</f>
        <v>Nursing Attendant II</v>
      </c>
      <c r="E1209" s="45" t="str">
        <f>'6.1Personnel List'!H1210</f>
        <v>FT</v>
      </c>
      <c r="G1209" s="41"/>
      <c r="H1209" s="41"/>
      <c r="I1209" s="41"/>
      <c r="J1209" s="41"/>
      <c r="K1209" s="41"/>
      <c r="L1209" s="41"/>
      <c r="M1209" s="41"/>
      <c r="N1209" s="41"/>
      <c r="O1209" s="41"/>
      <c r="P1209" s="41"/>
      <c r="Q1209" s="41"/>
      <c r="R1209" s="41"/>
      <c r="S1209" s="41"/>
      <c r="T1209" s="41"/>
      <c r="U1209" s="41"/>
      <c r="V1209" s="41"/>
      <c r="W1209" s="41"/>
      <c r="X1209" s="41"/>
      <c r="Y1209" s="41"/>
      <c r="Z1209" s="41"/>
      <c r="AA1209" s="41"/>
      <c r="AB1209" s="41"/>
      <c r="AC1209" s="41"/>
      <c r="AD1209" s="41"/>
      <c r="AE1209" s="41"/>
      <c r="AF1209" s="41"/>
      <c r="AG1209" s="41"/>
      <c r="AH1209" s="41"/>
      <c r="AI1209" s="41"/>
      <c r="AJ1209" s="41"/>
      <c r="AK1209" s="41"/>
      <c r="AL1209" s="41"/>
      <c r="AM1209" s="41"/>
      <c r="AN1209" s="41"/>
      <c r="AO1209" s="41"/>
      <c r="AP1209" s="41"/>
      <c r="AQ1209" s="41"/>
      <c r="AR1209" s="41"/>
      <c r="AS1209" s="41"/>
      <c r="AT1209" s="41"/>
      <c r="AU1209" s="41"/>
      <c r="AV1209" s="41"/>
      <c r="AW1209" s="41"/>
      <c r="AX1209" s="41"/>
      <c r="AY1209" s="41"/>
      <c r="AZ1209" s="41"/>
      <c r="BA1209" s="41"/>
      <c r="BB1209" s="41"/>
      <c r="BC1209" s="41"/>
      <c r="BD1209" s="41"/>
      <c r="BE1209" s="41"/>
      <c r="BF1209" s="41"/>
      <c r="BG1209" s="41"/>
      <c r="BH1209" s="41"/>
      <c r="BJ1209" s="41"/>
      <c r="BK1209" s="94"/>
      <c r="BL1209" s="94"/>
      <c r="BM1209" s="94"/>
      <c r="BN1209" s="94"/>
      <c r="BO1209" s="94"/>
      <c r="BP1209" s="94"/>
      <c r="BQ1209" s="94"/>
      <c r="BR1209" s="94"/>
      <c r="BS1209" s="94"/>
      <c r="BT1209" s="94"/>
      <c r="BU1209" s="94"/>
      <c r="BV1209" s="94"/>
      <c r="BW1209" s="94"/>
      <c r="BX1209" s="94"/>
      <c r="BY1209" s="94"/>
      <c r="BZ1209" s="94"/>
      <c r="CA1209" s="94"/>
      <c r="CB1209" s="94"/>
      <c r="CC1209" s="94"/>
      <c r="CD1209" s="94"/>
      <c r="CE1209" s="94"/>
      <c r="CF1209" s="94"/>
      <c r="CG1209" s="94"/>
      <c r="CH1209" s="94"/>
      <c r="CI1209" s="94"/>
      <c r="CJ1209" s="94"/>
      <c r="CK1209" s="94"/>
      <c r="CL1209" s="94"/>
      <c r="CM1209" s="94"/>
      <c r="CN1209" s="94">
        <v>1</v>
      </c>
      <c r="CO1209" s="94"/>
      <c r="CP1209" s="94"/>
      <c r="CQ1209" s="94"/>
      <c r="CR1209" s="94"/>
      <c r="CS1209" s="94"/>
      <c r="CT1209" s="94"/>
      <c r="CU1209" s="94"/>
      <c r="CV1209" s="94"/>
      <c r="CW1209" s="94"/>
      <c r="CX1209" s="94"/>
      <c r="CY1209" s="94"/>
      <c r="CZ1209" s="94"/>
      <c r="DA1209" s="94"/>
      <c r="DB1209" s="94"/>
      <c r="DC1209" s="94"/>
      <c r="DD1209" s="94"/>
      <c r="DE1209" s="94"/>
      <c r="DF1209" s="94"/>
      <c r="DG1209" s="94"/>
      <c r="DH1209" s="94"/>
      <c r="DI1209" s="94"/>
      <c r="DJ1209" s="94"/>
      <c r="DK1209" s="41"/>
      <c r="DL1209" s="41"/>
      <c r="DM1209" s="41"/>
      <c r="DN1209" s="41"/>
      <c r="DO1209" s="41"/>
      <c r="DP1209" s="41"/>
      <c r="DQ1209" s="41"/>
      <c r="DR1209" s="41"/>
      <c r="DS1209" s="43"/>
      <c r="DT1209" s="44">
        <f t="shared" ref="DT1209" si="1190">SUM(F1209:DR1209)</f>
        <v>1</v>
      </c>
    </row>
    <row r="1210" spans="2:124" s="13" customFormat="1">
      <c r="B1210" s="4">
        <f>'6.1Personnel List'!B1211</f>
        <v>1198</v>
      </c>
      <c r="C1210" s="45" t="s">
        <v>1426</v>
      </c>
      <c r="D1210" s="45" t="str">
        <f>'6.1Personnel List'!D1211</f>
        <v>Nursing Attendant II</v>
      </c>
      <c r="E1210" s="45" t="str">
        <f>'6.1Personnel List'!H1211</f>
        <v>FT</v>
      </c>
      <c r="G1210" s="41"/>
      <c r="H1210" s="41"/>
      <c r="I1210" s="41"/>
      <c r="J1210" s="41"/>
      <c r="K1210" s="41"/>
      <c r="L1210" s="41"/>
      <c r="M1210" s="41"/>
      <c r="N1210" s="41"/>
      <c r="O1210" s="41"/>
      <c r="P1210" s="41"/>
      <c r="Q1210" s="41"/>
      <c r="R1210" s="41"/>
      <c r="S1210" s="41"/>
      <c r="T1210" s="41"/>
      <c r="U1210" s="41"/>
      <c r="V1210" s="41"/>
      <c r="W1210" s="41"/>
      <c r="X1210" s="41"/>
      <c r="Y1210" s="41"/>
      <c r="Z1210" s="41"/>
      <c r="AA1210" s="41"/>
      <c r="AB1210" s="41"/>
      <c r="AC1210" s="41"/>
      <c r="AD1210" s="41"/>
      <c r="AE1210" s="41"/>
      <c r="AF1210" s="41"/>
      <c r="AG1210" s="41"/>
      <c r="AH1210" s="41"/>
      <c r="AI1210" s="41"/>
      <c r="AJ1210" s="41"/>
      <c r="AK1210" s="41"/>
      <c r="AL1210" s="41"/>
      <c r="AM1210" s="41"/>
      <c r="AN1210" s="41"/>
      <c r="AO1210" s="41"/>
      <c r="AP1210" s="41"/>
      <c r="AQ1210" s="41"/>
      <c r="AR1210" s="41"/>
      <c r="AS1210" s="41"/>
      <c r="AT1210" s="41"/>
      <c r="AU1210" s="41"/>
      <c r="AV1210" s="41"/>
      <c r="AW1210" s="41"/>
      <c r="AX1210" s="41"/>
      <c r="AY1210" s="41"/>
      <c r="AZ1210" s="41"/>
      <c r="BA1210" s="41"/>
      <c r="BB1210" s="41"/>
      <c r="BC1210" s="41"/>
      <c r="BD1210" s="41"/>
      <c r="BE1210" s="41"/>
      <c r="BF1210" s="41"/>
      <c r="BG1210" s="41"/>
      <c r="BH1210" s="41"/>
      <c r="BJ1210" s="41"/>
      <c r="BK1210" s="94"/>
      <c r="BL1210" s="94"/>
      <c r="BM1210" s="94"/>
      <c r="BN1210" s="94"/>
      <c r="BO1210" s="94"/>
      <c r="BP1210" s="94"/>
      <c r="BQ1210" s="94"/>
      <c r="BR1210" s="94"/>
      <c r="BS1210" s="94"/>
      <c r="BT1210" s="94"/>
      <c r="BU1210" s="94"/>
      <c r="BV1210" s="94"/>
      <c r="BW1210" s="94"/>
      <c r="BX1210" s="94"/>
      <c r="BY1210" s="94"/>
      <c r="BZ1210" s="94"/>
      <c r="CA1210" s="94"/>
      <c r="CB1210" s="94"/>
      <c r="CC1210" s="94"/>
      <c r="CD1210" s="94"/>
      <c r="CE1210" s="94"/>
      <c r="CF1210" s="94"/>
      <c r="CG1210" s="94"/>
      <c r="CH1210" s="94"/>
      <c r="CI1210" s="94"/>
      <c r="CJ1210" s="94"/>
      <c r="CK1210" s="94"/>
      <c r="CL1210" s="94"/>
      <c r="CM1210" s="94"/>
      <c r="CN1210" s="94">
        <v>1</v>
      </c>
      <c r="CO1210" s="94"/>
      <c r="CP1210" s="94"/>
      <c r="CQ1210" s="94"/>
      <c r="CR1210" s="94"/>
      <c r="CS1210" s="94"/>
      <c r="CT1210" s="94"/>
      <c r="CU1210" s="94"/>
      <c r="CV1210" s="94"/>
      <c r="CW1210" s="94"/>
      <c r="CX1210" s="94"/>
      <c r="CY1210" s="94"/>
      <c r="CZ1210" s="94"/>
      <c r="DA1210" s="94"/>
      <c r="DB1210" s="94"/>
      <c r="DC1210" s="94"/>
      <c r="DD1210" s="94"/>
      <c r="DE1210" s="94"/>
      <c r="DF1210" s="94"/>
      <c r="DG1210" s="94"/>
      <c r="DH1210" s="94"/>
      <c r="DI1210" s="94"/>
      <c r="DJ1210" s="94"/>
      <c r="DK1210" s="41"/>
      <c r="DL1210" s="41"/>
      <c r="DM1210" s="41"/>
      <c r="DN1210" s="41"/>
      <c r="DO1210" s="41"/>
      <c r="DP1210" s="41"/>
      <c r="DQ1210" s="41"/>
      <c r="DR1210" s="41"/>
      <c r="DS1210" s="43"/>
      <c r="DT1210" s="44">
        <f t="shared" ref="DT1210" si="1191">SUM(F1210:DR1210)</f>
        <v>1</v>
      </c>
    </row>
    <row r="1211" spans="2:124" s="13" customFormat="1">
      <c r="B1211" s="4">
        <f>'6.1Personnel List'!B1212</f>
        <v>1199</v>
      </c>
      <c r="C1211" s="45" t="s">
        <v>1427</v>
      </c>
      <c r="D1211" s="45" t="str">
        <f>'6.1Personnel List'!D1212</f>
        <v>Nursing Attendant II</v>
      </c>
      <c r="E1211" s="45" t="str">
        <f>'6.1Personnel List'!H1212</f>
        <v>FT</v>
      </c>
      <c r="G1211" s="41"/>
      <c r="H1211" s="41"/>
      <c r="I1211" s="41"/>
      <c r="J1211" s="41"/>
      <c r="K1211" s="41"/>
      <c r="L1211" s="41"/>
      <c r="M1211" s="41"/>
      <c r="N1211" s="41"/>
      <c r="O1211" s="41"/>
      <c r="P1211" s="41"/>
      <c r="Q1211" s="41"/>
      <c r="R1211" s="41"/>
      <c r="S1211" s="41"/>
      <c r="T1211" s="41"/>
      <c r="U1211" s="41"/>
      <c r="V1211" s="41"/>
      <c r="W1211" s="41"/>
      <c r="X1211" s="41"/>
      <c r="Y1211" s="41"/>
      <c r="Z1211" s="41"/>
      <c r="AA1211" s="41"/>
      <c r="AB1211" s="41"/>
      <c r="AC1211" s="41"/>
      <c r="AD1211" s="41"/>
      <c r="AE1211" s="41"/>
      <c r="AF1211" s="41"/>
      <c r="AG1211" s="41"/>
      <c r="AH1211" s="41"/>
      <c r="AI1211" s="41"/>
      <c r="AJ1211" s="41"/>
      <c r="AK1211" s="41"/>
      <c r="AL1211" s="41"/>
      <c r="AM1211" s="41"/>
      <c r="AN1211" s="41"/>
      <c r="AO1211" s="41"/>
      <c r="AP1211" s="41"/>
      <c r="AQ1211" s="41"/>
      <c r="AR1211" s="41"/>
      <c r="AS1211" s="41"/>
      <c r="AT1211" s="41"/>
      <c r="AU1211" s="41"/>
      <c r="AV1211" s="41"/>
      <c r="AW1211" s="41"/>
      <c r="AX1211" s="41"/>
      <c r="AY1211" s="41"/>
      <c r="AZ1211" s="41"/>
      <c r="BA1211" s="41"/>
      <c r="BB1211" s="41"/>
      <c r="BC1211" s="41"/>
      <c r="BD1211" s="41"/>
      <c r="BE1211" s="41"/>
      <c r="BF1211" s="41"/>
      <c r="BG1211" s="41"/>
      <c r="BH1211" s="41"/>
      <c r="BJ1211" s="41"/>
      <c r="BK1211" s="41"/>
      <c r="BL1211" s="41"/>
      <c r="BM1211" s="41"/>
      <c r="BN1211" s="41"/>
      <c r="BO1211" s="41"/>
      <c r="BP1211" s="41"/>
      <c r="BQ1211" s="41"/>
      <c r="BR1211" s="41"/>
      <c r="BS1211" s="41"/>
      <c r="BT1211" s="41"/>
      <c r="BU1211" s="41"/>
      <c r="BV1211" s="41">
        <v>1</v>
      </c>
      <c r="BW1211" s="41"/>
      <c r="BX1211" s="41"/>
      <c r="BY1211" s="41"/>
      <c r="BZ1211" s="41"/>
      <c r="CA1211" s="41"/>
      <c r="CB1211" s="41"/>
      <c r="CC1211" s="41"/>
      <c r="CD1211" s="41"/>
      <c r="CE1211" s="41"/>
      <c r="CF1211" s="41"/>
      <c r="CG1211" s="41"/>
      <c r="CH1211" s="41"/>
      <c r="CI1211" s="41"/>
      <c r="CJ1211" s="41"/>
      <c r="CK1211" s="41"/>
      <c r="CL1211" s="41"/>
      <c r="CM1211" s="41"/>
      <c r="CN1211" s="41"/>
      <c r="CO1211" s="41"/>
      <c r="CP1211" s="41"/>
      <c r="CQ1211" s="41"/>
      <c r="CR1211" s="41"/>
      <c r="CS1211" s="41"/>
      <c r="CT1211" s="41"/>
      <c r="CU1211" s="41"/>
      <c r="CV1211" s="41"/>
      <c r="CW1211" s="41"/>
      <c r="CX1211" s="41"/>
      <c r="CY1211" s="41"/>
      <c r="CZ1211" s="41"/>
      <c r="DA1211" s="41"/>
      <c r="DB1211" s="41"/>
      <c r="DC1211" s="41"/>
      <c r="DD1211" s="41"/>
      <c r="DE1211" s="41"/>
      <c r="DF1211" s="41"/>
      <c r="DG1211" s="41"/>
      <c r="DH1211" s="41"/>
      <c r="DI1211" s="41"/>
      <c r="DJ1211" s="41"/>
      <c r="DK1211" s="41"/>
      <c r="DL1211" s="41"/>
      <c r="DM1211" s="41"/>
      <c r="DN1211" s="41"/>
      <c r="DO1211" s="41"/>
      <c r="DP1211" s="41"/>
      <c r="DQ1211" s="41"/>
      <c r="DR1211" s="41"/>
      <c r="DS1211" s="43"/>
      <c r="DT1211" s="44">
        <f t="shared" ref="DT1211" si="1192">SUM(F1211:DR1211)</f>
        <v>1</v>
      </c>
    </row>
    <row r="1212" spans="2:124" s="13" customFormat="1">
      <c r="B1212" s="4">
        <f>'6.1Personnel List'!B1213</f>
        <v>1200</v>
      </c>
      <c r="C1212" s="45" t="s">
        <v>1428</v>
      </c>
      <c r="D1212" s="45" t="str">
        <f>'6.1Personnel List'!D1213</f>
        <v>Nursing Attendant II</v>
      </c>
      <c r="E1212" s="45" t="str">
        <f>'6.1Personnel List'!H1213</f>
        <v>FT</v>
      </c>
      <c r="G1212" s="41"/>
      <c r="H1212" s="41"/>
      <c r="I1212" s="41"/>
      <c r="J1212" s="41"/>
      <c r="K1212" s="41"/>
      <c r="L1212" s="41"/>
      <c r="M1212" s="41"/>
      <c r="N1212" s="41"/>
      <c r="O1212" s="41"/>
      <c r="P1212" s="41"/>
      <c r="Q1212" s="41"/>
      <c r="R1212" s="41"/>
      <c r="S1212" s="41"/>
      <c r="T1212" s="41"/>
      <c r="U1212" s="41"/>
      <c r="V1212" s="41"/>
      <c r="W1212" s="41"/>
      <c r="X1212" s="41"/>
      <c r="Y1212" s="41"/>
      <c r="Z1212" s="41"/>
      <c r="AA1212" s="41"/>
      <c r="AB1212" s="41"/>
      <c r="AC1212" s="41"/>
      <c r="AD1212" s="41"/>
      <c r="AE1212" s="41"/>
      <c r="AF1212" s="41"/>
      <c r="AG1212" s="41"/>
      <c r="AH1212" s="41"/>
      <c r="AI1212" s="41"/>
      <c r="AJ1212" s="41"/>
      <c r="AK1212" s="41"/>
      <c r="AL1212" s="41"/>
      <c r="AM1212" s="41"/>
      <c r="AN1212" s="41"/>
      <c r="AO1212" s="41"/>
      <c r="AP1212" s="41"/>
      <c r="AQ1212" s="41"/>
      <c r="AR1212" s="41"/>
      <c r="AS1212" s="41"/>
      <c r="AT1212" s="41"/>
      <c r="AU1212" s="41"/>
      <c r="AV1212" s="41"/>
      <c r="AW1212" s="41"/>
      <c r="AX1212" s="41"/>
      <c r="AY1212" s="41"/>
      <c r="AZ1212" s="41"/>
      <c r="BA1212" s="41"/>
      <c r="BB1212" s="41"/>
      <c r="BC1212" s="41"/>
      <c r="BD1212" s="41"/>
      <c r="BE1212" s="41"/>
      <c r="BF1212" s="41"/>
      <c r="BG1212" s="41"/>
      <c r="BH1212" s="41"/>
      <c r="BJ1212" s="41"/>
      <c r="BK1212" s="41"/>
      <c r="BL1212" s="41"/>
      <c r="BM1212" s="41"/>
      <c r="BN1212" s="41"/>
      <c r="BO1212" s="41"/>
      <c r="BP1212" s="41"/>
      <c r="BQ1212" s="41"/>
      <c r="BR1212" s="41"/>
      <c r="BS1212" s="41"/>
      <c r="BT1212" s="41"/>
      <c r="BU1212" s="41"/>
      <c r="BV1212" s="41">
        <v>0.2</v>
      </c>
      <c r="BW1212" s="41"/>
      <c r="BX1212" s="41"/>
      <c r="BY1212" s="41"/>
      <c r="BZ1212" s="41"/>
      <c r="CA1212" s="41"/>
      <c r="CB1212" s="41">
        <v>0.2</v>
      </c>
      <c r="CC1212" s="41"/>
      <c r="CD1212" s="41"/>
      <c r="CE1212" s="41">
        <v>0.2</v>
      </c>
      <c r="CF1212" s="41"/>
      <c r="CG1212" s="41"/>
      <c r="CH1212" s="41"/>
      <c r="CI1212" s="41"/>
      <c r="CJ1212" s="41"/>
      <c r="CK1212" s="41"/>
      <c r="CL1212" s="41">
        <v>0.4</v>
      </c>
      <c r="CM1212" s="41"/>
      <c r="CN1212" s="41"/>
      <c r="CO1212" s="41"/>
      <c r="CP1212" s="41"/>
      <c r="CQ1212" s="41"/>
      <c r="CR1212" s="41"/>
      <c r="CS1212" s="41"/>
      <c r="CT1212" s="41"/>
      <c r="CU1212" s="41"/>
      <c r="CV1212" s="41"/>
      <c r="CW1212" s="41"/>
      <c r="CX1212" s="41"/>
      <c r="CY1212" s="41"/>
      <c r="CZ1212" s="41"/>
      <c r="DA1212" s="41"/>
      <c r="DB1212" s="41"/>
      <c r="DC1212" s="41"/>
      <c r="DD1212" s="41"/>
      <c r="DE1212" s="41"/>
      <c r="DF1212" s="41"/>
      <c r="DG1212" s="41"/>
      <c r="DH1212" s="41"/>
      <c r="DI1212" s="41"/>
      <c r="DJ1212" s="41"/>
      <c r="DK1212" s="41"/>
      <c r="DL1212" s="41"/>
      <c r="DM1212" s="41"/>
      <c r="DN1212" s="41"/>
      <c r="DO1212" s="41"/>
      <c r="DP1212" s="41"/>
      <c r="DQ1212" s="41"/>
      <c r="DR1212" s="41"/>
      <c r="DS1212" s="43"/>
      <c r="DT1212" s="44">
        <f t="shared" ref="DT1212" si="1193">SUM(F1212:DR1212)</f>
        <v>1</v>
      </c>
    </row>
    <row r="1213" spans="2:124" s="13" customFormat="1">
      <c r="B1213" s="4">
        <f>'6.1Personnel List'!B1214</f>
        <v>1201</v>
      </c>
      <c r="C1213" s="45" t="s">
        <v>1429</v>
      </c>
      <c r="D1213" s="45" t="str">
        <f>'6.1Personnel List'!D1214</f>
        <v>Nursing Attendant II</v>
      </c>
      <c r="E1213" s="45" t="str">
        <f>'6.1Personnel List'!H1214</f>
        <v>FT</v>
      </c>
      <c r="G1213" s="41"/>
      <c r="H1213" s="41"/>
      <c r="I1213" s="41"/>
      <c r="J1213" s="41"/>
      <c r="K1213" s="41"/>
      <c r="L1213" s="41"/>
      <c r="M1213" s="41"/>
      <c r="N1213" s="41"/>
      <c r="O1213" s="41"/>
      <c r="P1213" s="41"/>
      <c r="Q1213" s="41"/>
      <c r="R1213" s="41"/>
      <c r="S1213" s="41"/>
      <c r="T1213" s="41"/>
      <c r="U1213" s="41"/>
      <c r="V1213" s="41"/>
      <c r="W1213" s="41"/>
      <c r="X1213" s="41"/>
      <c r="Y1213" s="41"/>
      <c r="Z1213" s="41"/>
      <c r="AA1213" s="41"/>
      <c r="AB1213" s="41"/>
      <c r="AC1213" s="41"/>
      <c r="AD1213" s="41"/>
      <c r="AE1213" s="41"/>
      <c r="AF1213" s="41"/>
      <c r="AG1213" s="41"/>
      <c r="AH1213" s="41"/>
      <c r="AI1213" s="41"/>
      <c r="AJ1213" s="41"/>
      <c r="AK1213" s="41"/>
      <c r="AL1213" s="41"/>
      <c r="AM1213" s="41"/>
      <c r="AN1213" s="41"/>
      <c r="AO1213" s="41"/>
      <c r="AP1213" s="41"/>
      <c r="AQ1213" s="41"/>
      <c r="AR1213" s="41"/>
      <c r="AS1213" s="41"/>
      <c r="AT1213" s="41"/>
      <c r="AU1213" s="41"/>
      <c r="AV1213" s="41"/>
      <c r="AW1213" s="41"/>
      <c r="AX1213" s="41"/>
      <c r="AY1213" s="41"/>
      <c r="AZ1213" s="41"/>
      <c r="BA1213" s="41"/>
      <c r="BB1213" s="41"/>
      <c r="BC1213" s="41"/>
      <c r="BD1213" s="41"/>
      <c r="BE1213" s="41"/>
      <c r="BF1213" s="41"/>
      <c r="BG1213" s="41"/>
      <c r="BH1213" s="41"/>
      <c r="BJ1213" s="41"/>
      <c r="BK1213" s="94"/>
      <c r="BL1213" s="94"/>
      <c r="BM1213" s="94"/>
      <c r="BN1213" s="94"/>
      <c r="BO1213" s="94"/>
      <c r="BP1213" s="94"/>
      <c r="BQ1213" s="94"/>
      <c r="BR1213" s="94"/>
      <c r="BS1213" s="94"/>
      <c r="BT1213" s="94"/>
      <c r="BU1213" s="94"/>
      <c r="BV1213" s="94"/>
      <c r="BW1213" s="94"/>
      <c r="BX1213" s="94"/>
      <c r="BY1213" s="94"/>
      <c r="BZ1213" s="94"/>
      <c r="CA1213" s="94"/>
      <c r="CB1213" s="94"/>
      <c r="CC1213" s="94"/>
      <c r="CD1213" s="94"/>
      <c r="CE1213" s="94"/>
      <c r="CF1213" s="94"/>
      <c r="CG1213" s="94"/>
      <c r="CH1213" s="94"/>
      <c r="CI1213" s="94"/>
      <c r="CJ1213" s="94"/>
      <c r="CK1213" s="94"/>
      <c r="CL1213" s="94"/>
      <c r="CM1213" s="94"/>
      <c r="CN1213" s="94"/>
      <c r="CO1213" s="94">
        <v>1</v>
      </c>
      <c r="CP1213" s="94"/>
      <c r="CQ1213" s="94"/>
      <c r="CR1213" s="94"/>
      <c r="CS1213" s="94"/>
      <c r="CT1213" s="94"/>
      <c r="CU1213" s="94"/>
      <c r="CV1213" s="94"/>
      <c r="CW1213" s="94"/>
      <c r="CX1213" s="94"/>
      <c r="CY1213" s="94"/>
      <c r="CZ1213" s="94"/>
      <c r="DA1213" s="94"/>
      <c r="DB1213" s="94"/>
      <c r="DC1213" s="94"/>
      <c r="DD1213" s="94"/>
      <c r="DE1213" s="94"/>
      <c r="DF1213" s="94"/>
      <c r="DG1213" s="94"/>
      <c r="DH1213" s="94"/>
      <c r="DI1213" s="94"/>
      <c r="DJ1213" s="94"/>
      <c r="DK1213" s="41"/>
      <c r="DL1213" s="41"/>
      <c r="DM1213" s="41"/>
      <c r="DN1213" s="41"/>
      <c r="DO1213" s="41"/>
      <c r="DP1213" s="41"/>
      <c r="DQ1213" s="41"/>
      <c r="DR1213" s="41"/>
      <c r="DS1213" s="43"/>
      <c r="DT1213" s="44">
        <f t="shared" ref="DT1213" si="1194">SUM(F1213:DR1213)</f>
        <v>1</v>
      </c>
    </row>
    <row r="1214" spans="2:124" s="13" customFormat="1">
      <c r="B1214" s="4">
        <f>'6.1Personnel List'!B1215</f>
        <v>1202</v>
      </c>
      <c r="C1214" s="45" t="s">
        <v>1430</v>
      </c>
      <c r="D1214" s="45" t="str">
        <f>'6.1Personnel List'!D1215</f>
        <v>Nursing Attendant II</v>
      </c>
      <c r="E1214" s="45" t="str">
        <f>'6.1Personnel List'!H1215</f>
        <v>FT</v>
      </c>
      <c r="G1214" s="41"/>
      <c r="H1214" s="41"/>
      <c r="I1214" s="41"/>
      <c r="J1214" s="41"/>
      <c r="K1214" s="41"/>
      <c r="L1214" s="41"/>
      <c r="M1214" s="41"/>
      <c r="N1214" s="41"/>
      <c r="O1214" s="41"/>
      <c r="P1214" s="41"/>
      <c r="Q1214" s="41"/>
      <c r="R1214" s="41"/>
      <c r="S1214" s="41"/>
      <c r="T1214" s="41"/>
      <c r="U1214" s="41"/>
      <c r="V1214" s="41"/>
      <c r="W1214" s="41"/>
      <c r="X1214" s="41"/>
      <c r="Y1214" s="41"/>
      <c r="Z1214" s="41"/>
      <c r="AA1214" s="41"/>
      <c r="AB1214" s="41"/>
      <c r="AC1214" s="41"/>
      <c r="AD1214" s="41"/>
      <c r="AE1214" s="41"/>
      <c r="AF1214" s="41"/>
      <c r="AG1214" s="41"/>
      <c r="AH1214" s="41"/>
      <c r="AI1214" s="41"/>
      <c r="AJ1214" s="41"/>
      <c r="AK1214" s="41"/>
      <c r="AL1214" s="41"/>
      <c r="AM1214" s="41"/>
      <c r="AN1214" s="41"/>
      <c r="AO1214" s="41"/>
      <c r="AP1214" s="41"/>
      <c r="AQ1214" s="41"/>
      <c r="AR1214" s="41"/>
      <c r="AS1214" s="41"/>
      <c r="AT1214" s="41"/>
      <c r="AU1214" s="41"/>
      <c r="AV1214" s="41"/>
      <c r="AW1214" s="41"/>
      <c r="AX1214" s="41"/>
      <c r="AY1214" s="41"/>
      <c r="AZ1214" s="41"/>
      <c r="BA1214" s="41"/>
      <c r="BB1214" s="41"/>
      <c r="BC1214" s="41"/>
      <c r="BD1214" s="41"/>
      <c r="BE1214" s="41"/>
      <c r="BF1214" s="41"/>
      <c r="BG1214" s="41"/>
      <c r="BH1214" s="41"/>
      <c r="BJ1214" s="41"/>
      <c r="BK1214" s="94"/>
      <c r="BL1214" s="94"/>
      <c r="BM1214" s="94"/>
      <c r="BN1214" s="94"/>
      <c r="BO1214" s="94"/>
      <c r="BP1214" s="94"/>
      <c r="BQ1214" s="94"/>
      <c r="BR1214" s="94"/>
      <c r="BS1214" s="94"/>
      <c r="BT1214" s="94"/>
      <c r="BU1214" s="94"/>
      <c r="BV1214" s="94"/>
      <c r="BW1214" s="94"/>
      <c r="BX1214" s="94"/>
      <c r="BY1214" s="94"/>
      <c r="BZ1214" s="94"/>
      <c r="CA1214" s="94"/>
      <c r="CB1214" s="94"/>
      <c r="CC1214" s="94"/>
      <c r="CD1214" s="94"/>
      <c r="CE1214" s="94"/>
      <c r="CF1214" s="94"/>
      <c r="CG1214" s="94"/>
      <c r="CH1214" s="94"/>
      <c r="CI1214" s="94"/>
      <c r="CJ1214" s="94"/>
      <c r="CK1214" s="94"/>
      <c r="CL1214" s="94"/>
      <c r="CM1214" s="94"/>
      <c r="CN1214" s="94">
        <v>1</v>
      </c>
      <c r="CO1214" s="94"/>
      <c r="CP1214" s="94"/>
      <c r="CQ1214" s="94"/>
      <c r="CR1214" s="94"/>
      <c r="CS1214" s="94"/>
      <c r="CT1214" s="94"/>
      <c r="CU1214" s="94"/>
      <c r="CV1214" s="94"/>
      <c r="CW1214" s="94"/>
      <c r="CX1214" s="94"/>
      <c r="CY1214" s="94"/>
      <c r="CZ1214" s="94"/>
      <c r="DA1214" s="94"/>
      <c r="DB1214" s="94"/>
      <c r="DC1214" s="94"/>
      <c r="DD1214" s="94"/>
      <c r="DE1214" s="94"/>
      <c r="DF1214" s="94"/>
      <c r="DG1214" s="94"/>
      <c r="DH1214" s="94"/>
      <c r="DI1214" s="94"/>
      <c r="DJ1214" s="94"/>
      <c r="DK1214" s="41"/>
      <c r="DL1214" s="41"/>
      <c r="DM1214" s="41"/>
      <c r="DN1214" s="41"/>
      <c r="DO1214" s="41"/>
      <c r="DP1214" s="41"/>
      <c r="DQ1214" s="41"/>
      <c r="DR1214" s="41"/>
      <c r="DS1214" s="43"/>
      <c r="DT1214" s="44">
        <f t="shared" ref="DT1214" si="1195">SUM(F1214:DR1214)</f>
        <v>1</v>
      </c>
    </row>
    <row r="1215" spans="2:124" s="13" customFormat="1">
      <c r="B1215" s="4">
        <f>'6.1Personnel List'!B1216</f>
        <v>1203</v>
      </c>
      <c r="C1215" s="45" t="s">
        <v>1431</v>
      </c>
      <c r="D1215" s="45" t="str">
        <f>'6.1Personnel List'!D1216</f>
        <v>Nursing Attendant II</v>
      </c>
      <c r="E1215" s="45" t="str">
        <f>'6.1Personnel List'!H1216</f>
        <v>FT</v>
      </c>
      <c r="G1215" s="41"/>
      <c r="H1215" s="41"/>
      <c r="I1215" s="41"/>
      <c r="J1215" s="41"/>
      <c r="K1215" s="41"/>
      <c r="L1215" s="41"/>
      <c r="M1215" s="41"/>
      <c r="N1215" s="41"/>
      <c r="O1215" s="41"/>
      <c r="P1215" s="41"/>
      <c r="Q1215" s="41"/>
      <c r="R1215" s="41"/>
      <c r="S1215" s="41"/>
      <c r="T1215" s="41"/>
      <c r="U1215" s="41"/>
      <c r="V1215" s="41"/>
      <c r="W1215" s="41"/>
      <c r="X1215" s="41"/>
      <c r="Y1215" s="41"/>
      <c r="Z1215" s="41"/>
      <c r="AA1215" s="41"/>
      <c r="AB1215" s="41"/>
      <c r="AC1215" s="41"/>
      <c r="AD1215" s="41"/>
      <c r="AE1215" s="41"/>
      <c r="AF1215" s="41"/>
      <c r="AG1215" s="41"/>
      <c r="AH1215" s="41"/>
      <c r="AI1215" s="41"/>
      <c r="AJ1215" s="41"/>
      <c r="AK1215" s="41"/>
      <c r="AL1215" s="41"/>
      <c r="AM1215" s="41"/>
      <c r="AN1215" s="41"/>
      <c r="AO1215" s="41"/>
      <c r="AP1215" s="41"/>
      <c r="AQ1215" s="41"/>
      <c r="AR1215" s="41"/>
      <c r="AS1215" s="41"/>
      <c r="AT1215" s="41"/>
      <c r="AU1215" s="41"/>
      <c r="AV1215" s="41"/>
      <c r="AW1215" s="41"/>
      <c r="AX1215" s="41"/>
      <c r="AY1215" s="41"/>
      <c r="AZ1215" s="41"/>
      <c r="BA1215" s="41"/>
      <c r="BB1215" s="41"/>
      <c r="BC1215" s="41"/>
      <c r="BD1215" s="41"/>
      <c r="BE1215" s="41"/>
      <c r="BF1215" s="41"/>
      <c r="BG1215" s="41"/>
      <c r="BH1215" s="41"/>
      <c r="BJ1215" s="41"/>
      <c r="BK1215" s="41"/>
      <c r="BL1215" s="41"/>
      <c r="BM1215" s="41"/>
      <c r="BN1215" s="41"/>
      <c r="BO1215" s="41"/>
      <c r="BP1215" s="41"/>
      <c r="BQ1215" s="41"/>
      <c r="BR1215" s="41"/>
      <c r="BS1215" s="41"/>
      <c r="BT1215" s="41"/>
      <c r="BU1215" s="41"/>
      <c r="BV1215" s="41"/>
      <c r="BW1215" s="41"/>
      <c r="BX1215" s="41"/>
      <c r="BY1215" s="41"/>
      <c r="BZ1215" s="41"/>
      <c r="CA1215" s="41"/>
      <c r="CB1215" s="41">
        <v>0.1</v>
      </c>
      <c r="CC1215" s="41"/>
      <c r="CD1215" s="41"/>
      <c r="CE1215" s="41">
        <v>0.09</v>
      </c>
      <c r="CF1215" s="41">
        <v>0.01</v>
      </c>
      <c r="CG1215" s="41">
        <v>0.01</v>
      </c>
      <c r="CH1215" s="41">
        <v>0.05</v>
      </c>
      <c r="CI1215" s="41">
        <v>0.01</v>
      </c>
      <c r="CJ1215" s="41"/>
      <c r="CK1215" s="41">
        <v>0.01</v>
      </c>
      <c r="CL1215" s="41">
        <v>0.05</v>
      </c>
      <c r="CM1215" s="41"/>
      <c r="CN1215" s="41">
        <v>0.05</v>
      </c>
      <c r="CO1215" s="41">
        <v>0.05</v>
      </c>
      <c r="CP1215" s="41">
        <v>0.05</v>
      </c>
      <c r="CQ1215" s="41">
        <v>0.05</v>
      </c>
      <c r="CR1215" s="41">
        <v>0.02</v>
      </c>
      <c r="CS1215" s="41">
        <v>0.01</v>
      </c>
      <c r="CT1215" s="41"/>
      <c r="CU1215" s="41"/>
      <c r="CV1215" s="41">
        <v>0.02</v>
      </c>
      <c r="CW1215" s="41"/>
      <c r="CX1215" s="41"/>
      <c r="CY1215" s="41"/>
      <c r="CZ1215" s="41"/>
      <c r="DA1215" s="41"/>
      <c r="DB1215" s="41"/>
      <c r="DC1215" s="41"/>
      <c r="DD1215" s="41">
        <v>0.12</v>
      </c>
      <c r="DE1215" s="41"/>
      <c r="DF1215" s="41"/>
      <c r="DG1215" s="41"/>
      <c r="DH1215" s="41"/>
      <c r="DI1215" s="41"/>
      <c r="DJ1215" s="41">
        <v>0.05</v>
      </c>
      <c r="DK1215" s="41">
        <v>0.05</v>
      </c>
      <c r="DL1215" s="41">
        <v>0.05</v>
      </c>
      <c r="DM1215" s="41">
        <v>0.05</v>
      </c>
      <c r="DN1215" s="41"/>
      <c r="DO1215" s="41"/>
      <c r="DP1215" s="41">
        <v>0.05</v>
      </c>
      <c r="DQ1215" s="41"/>
      <c r="DR1215" s="41">
        <v>0.05</v>
      </c>
      <c r="DS1215" s="43"/>
      <c r="DT1215" s="44">
        <f t="shared" ref="DT1215" si="1196">SUM(F1215:DR1215)</f>
        <v>1.0000000000000002</v>
      </c>
    </row>
    <row r="1216" spans="2:124" s="13" customFormat="1">
      <c r="B1216" s="4">
        <f>'6.1Personnel List'!B1217</f>
        <v>1204</v>
      </c>
      <c r="C1216" s="45" t="s">
        <v>1432</v>
      </c>
      <c r="D1216" s="45" t="str">
        <f>'6.1Personnel List'!D1217</f>
        <v>Nursing Attendant II</v>
      </c>
      <c r="E1216" s="45" t="str">
        <f>'6.1Personnel List'!H1217</f>
        <v>FT</v>
      </c>
      <c r="G1216" s="41"/>
      <c r="H1216" s="41"/>
      <c r="I1216" s="41"/>
      <c r="J1216" s="41"/>
      <c r="K1216" s="41"/>
      <c r="L1216" s="41"/>
      <c r="M1216" s="41"/>
      <c r="N1216" s="41"/>
      <c r="O1216" s="41"/>
      <c r="P1216" s="41"/>
      <c r="Q1216" s="41"/>
      <c r="R1216" s="41"/>
      <c r="S1216" s="41"/>
      <c r="T1216" s="41"/>
      <c r="U1216" s="41"/>
      <c r="V1216" s="41"/>
      <c r="W1216" s="41"/>
      <c r="X1216" s="41"/>
      <c r="Y1216" s="41"/>
      <c r="Z1216" s="41"/>
      <c r="AA1216" s="41"/>
      <c r="AB1216" s="41"/>
      <c r="AC1216" s="41"/>
      <c r="AD1216" s="41"/>
      <c r="AE1216" s="41"/>
      <c r="AF1216" s="41"/>
      <c r="AG1216" s="41"/>
      <c r="AH1216" s="41"/>
      <c r="AI1216" s="41"/>
      <c r="AJ1216" s="41"/>
      <c r="AK1216" s="41"/>
      <c r="AL1216" s="41"/>
      <c r="AM1216" s="41"/>
      <c r="AN1216" s="41"/>
      <c r="AO1216" s="41"/>
      <c r="AP1216" s="41"/>
      <c r="AQ1216" s="41"/>
      <c r="AR1216" s="41"/>
      <c r="AS1216" s="41"/>
      <c r="AT1216" s="41"/>
      <c r="AU1216" s="41"/>
      <c r="AV1216" s="41"/>
      <c r="AW1216" s="41"/>
      <c r="AX1216" s="41"/>
      <c r="AY1216" s="41"/>
      <c r="AZ1216" s="41"/>
      <c r="BA1216" s="41"/>
      <c r="BB1216" s="41"/>
      <c r="BC1216" s="41"/>
      <c r="BD1216" s="41"/>
      <c r="BE1216" s="41"/>
      <c r="BF1216" s="41"/>
      <c r="BG1216" s="41"/>
      <c r="BH1216" s="41"/>
      <c r="BJ1216" s="41"/>
      <c r="BK1216" s="41"/>
      <c r="BL1216" s="41"/>
      <c r="BM1216" s="41"/>
      <c r="BN1216" s="41"/>
      <c r="BO1216" s="41"/>
      <c r="BP1216" s="41"/>
      <c r="BQ1216" s="41"/>
      <c r="BR1216" s="41"/>
      <c r="BS1216" s="41"/>
      <c r="BT1216" s="41"/>
      <c r="BU1216" s="41"/>
      <c r="BV1216" s="41"/>
      <c r="BW1216" s="41"/>
      <c r="BX1216" s="41"/>
      <c r="BY1216" s="41"/>
      <c r="BZ1216" s="41"/>
      <c r="CA1216" s="41"/>
      <c r="CB1216" s="41">
        <v>0.1</v>
      </c>
      <c r="CC1216" s="41"/>
      <c r="CD1216" s="41"/>
      <c r="CE1216" s="41">
        <v>0.09</v>
      </c>
      <c r="CF1216" s="41">
        <v>0.01</v>
      </c>
      <c r="CG1216" s="41">
        <v>0.01</v>
      </c>
      <c r="CH1216" s="41">
        <v>0.05</v>
      </c>
      <c r="CI1216" s="41">
        <v>0.01</v>
      </c>
      <c r="CJ1216" s="41"/>
      <c r="CK1216" s="41">
        <v>0.01</v>
      </c>
      <c r="CL1216" s="41">
        <v>0.05</v>
      </c>
      <c r="CM1216" s="41"/>
      <c r="CN1216" s="41">
        <v>0.05</v>
      </c>
      <c r="CO1216" s="41">
        <v>0.05</v>
      </c>
      <c r="CP1216" s="41">
        <v>0.05</v>
      </c>
      <c r="CQ1216" s="41">
        <v>0.05</v>
      </c>
      <c r="CR1216" s="41">
        <v>0.02</v>
      </c>
      <c r="CS1216" s="41">
        <v>0.01</v>
      </c>
      <c r="CT1216" s="41"/>
      <c r="CU1216" s="41"/>
      <c r="CV1216" s="41">
        <v>0.02</v>
      </c>
      <c r="CW1216" s="41"/>
      <c r="CX1216" s="41"/>
      <c r="CY1216" s="41"/>
      <c r="CZ1216" s="41"/>
      <c r="DA1216" s="41"/>
      <c r="DB1216" s="41"/>
      <c r="DC1216" s="41"/>
      <c r="DD1216" s="41">
        <v>0.12</v>
      </c>
      <c r="DE1216" s="41"/>
      <c r="DF1216" s="41"/>
      <c r="DG1216" s="41"/>
      <c r="DH1216" s="41"/>
      <c r="DI1216" s="41"/>
      <c r="DJ1216" s="41">
        <v>0.05</v>
      </c>
      <c r="DK1216" s="41">
        <v>0.05</v>
      </c>
      <c r="DL1216" s="41">
        <v>0.05</v>
      </c>
      <c r="DM1216" s="41">
        <v>0.05</v>
      </c>
      <c r="DN1216" s="41"/>
      <c r="DO1216" s="41"/>
      <c r="DP1216" s="41">
        <v>0.05</v>
      </c>
      <c r="DQ1216" s="41"/>
      <c r="DR1216" s="41">
        <v>0.05</v>
      </c>
      <c r="DS1216" s="43"/>
      <c r="DT1216" s="44">
        <f t="shared" ref="DT1216" si="1197">SUM(F1216:DR1216)</f>
        <v>1.0000000000000002</v>
      </c>
    </row>
    <row r="1217" spans="2:124" s="13" customFormat="1">
      <c r="B1217" s="4">
        <f>'6.1Personnel List'!B1218</f>
        <v>1205</v>
      </c>
      <c r="C1217" s="45" t="s">
        <v>1433</v>
      </c>
      <c r="D1217" s="45" t="str">
        <f>'6.1Personnel List'!D1218</f>
        <v>Nursing Attendant II</v>
      </c>
      <c r="E1217" s="45" t="str">
        <f>'6.1Personnel List'!H1218</f>
        <v>FT</v>
      </c>
      <c r="G1217" s="41"/>
      <c r="H1217" s="41"/>
      <c r="I1217" s="41"/>
      <c r="J1217" s="41"/>
      <c r="K1217" s="41"/>
      <c r="L1217" s="41"/>
      <c r="M1217" s="41"/>
      <c r="N1217" s="41"/>
      <c r="O1217" s="41"/>
      <c r="P1217" s="41"/>
      <c r="Q1217" s="41"/>
      <c r="R1217" s="41"/>
      <c r="S1217" s="41"/>
      <c r="T1217" s="41"/>
      <c r="U1217" s="41"/>
      <c r="V1217" s="41"/>
      <c r="W1217" s="41"/>
      <c r="X1217" s="41"/>
      <c r="Y1217" s="41"/>
      <c r="Z1217" s="41"/>
      <c r="AA1217" s="41"/>
      <c r="AB1217" s="41"/>
      <c r="AC1217" s="41"/>
      <c r="AD1217" s="41"/>
      <c r="AE1217" s="41"/>
      <c r="AF1217" s="41"/>
      <c r="AG1217" s="41"/>
      <c r="AH1217" s="41"/>
      <c r="AI1217" s="41"/>
      <c r="AJ1217" s="41"/>
      <c r="AK1217" s="41"/>
      <c r="AL1217" s="41"/>
      <c r="AM1217" s="41"/>
      <c r="AN1217" s="41"/>
      <c r="AO1217" s="41"/>
      <c r="AP1217" s="41"/>
      <c r="AQ1217" s="41"/>
      <c r="AR1217" s="41"/>
      <c r="AS1217" s="41"/>
      <c r="AT1217" s="41"/>
      <c r="AU1217" s="41"/>
      <c r="AV1217" s="41"/>
      <c r="AW1217" s="41"/>
      <c r="AX1217" s="41"/>
      <c r="AY1217" s="41"/>
      <c r="AZ1217" s="41"/>
      <c r="BA1217" s="41"/>
      <c r="BB1217" s="41"/>
      <c r="BC1217" s="41"/>
      <c r="BD1217" s="41"/>
      <c r="BE1217" s="41"/>
      <c r="BF1217" s="41"/>
      <c r="BG1217" s="41"/>
      <c r="BH1217" s="41"/>
      <c r="BJ1217" s="41"/>
      <c r="BK1217" s="94"/>
      <c r="BL1217" s="94"/>
      <c r="BM1217" s="94"/>
      <c r="BN1217" s="94"/>
      <c r="BO1217" s="94"/>
      <c r="BP1217" s="94"/>
      <c r="BQ1217" s="94"/>
      <c r="BR1217" s="94"/>
      <c r="BS1217" s="94"/>
      <c r="BT1217" s="94"/>
      <c r="BU1217" s="94"/>
      <c r="BV1217" s="94"/>
      <c r="BW1217" s="94"/>
      <c r="BX1217" s="94"/>
      <c r="BY1217" s="94"/>
      <c r="BZ1217" s="94"/>
      <c r="CA1217" s="94"/>
      <c r="CB1217" s="94"/>
      <c r="CC1217" s="94"/>
      <c r="CD1217" s="94"/>
      <c r="CE1217" s="94"/>
      <c r="CF1217" s="94"/>
      <c r="CG1217" s="94"/>
      <c r="CH1217" s="94"/>
      <c r="CI1217" s="94"/>
      <c r="CJ1217" s="94"/>
      <c r="CK1217" s="94"/>
      <c r="CL1217" s="94"/>
      <c r="CM1217" s="94"/>
      <c r="CN1217" s="94"/>
      <c r="CO1217" s="94"/>
      <c r="CP1217" s="94"/>
      <c r="CQ1217" s="94"/>
      <c r="CR1217" s="94"/>
      <c r="CS1217" s="94"/>
      <c r="CT1217" s="94"/>
      <c r="CU1217" s="94"/>
      <c r="CV1217" s="94"/>
      <c r="CW1217" s="94"/>
      <c r="CX1217" s="94"/>
      <c r="CY1217" s="94"/>
      <c r="CZ1217" s="94"/>
      <c r="DA1217" s="94"/>
      <c r="DB1217" s="94"/>
      <c r="DC1217" s="94"/>
      <c r="DD1217" s="94"/>
      <c r="DE1217" s="94"/>
      <c r="DF1217" s="94"/>
      <c r="DG1217" s="94"/>
      <c r="DH1217" s="94"/>
      <c r="DI1217" s="94"/>
      <c r="DJ1217" s="94"/>
      <c r="DK1217" s="41">
        <v>1</v>
      </c>
      <c r="DL1217" s="41"/>
      <c r="DM1217" s="41"/>
      <c r="DN1217" s="41"/>
      <c r="DO1217" s="41"/>
      <c r="DP1217" s="41"/>
      <c r="DQ1217" s="41"/>
      <c r="DR1217" s="41"/>
      <c r="DS1217" s="43"/>
      <c r="DT1217" s="44">
        <f t="shared" ref="DT1217" si="1198">SUM(F1217:DR1217)</f>
        <v>1</v>
      </c>
    </row>
    <row r="1218" spans="2:124" s="13" customFormat="1">
      <c r="B1218" s="4">
        <f>'6.1Personnel List'!B1219</f>
        <v>1206</v>
      </c>
      <c r="C1218" s="45" t="s">
        <v>1434</v>
      </c>
      <c r="D1218" s="45" t="str">
        <f>'6.1Personnel List'!D1219</f>
        <v>Nursing Attendant II</v>
      </c>
      <c r="E1218" s="45" t="str">
        <f>'6.1Personnel List'!H1219</f>
        <v>FT</v>
      </c>
      <c r="G1218" s="41"/>
      <c r="H1218" s="41"/>
      <c r="I1218" s="41"/>
      <c r="J1218" s="41"/>
      <c r="K1218" s="41"/>
      <c r="L1218" s="41"/>
      <c r="M1218" s="41"/>
      <c r="N1218" s="41"/>
      <c r="O1218" s="41"/>
      <c r="P1218" s="41"/>
      <c r="Q1218" s="41"/>
      <c r="R1218" s="41"/>
      <c r="S1218" s="41"/>
      <c r="T1218" s="41"/>
      <c r="U1218" s="41"/>
      <c r="V1218" s="41"/>
      <c r="W1218" s="41"/>
      <c r="X1218" s="41"/>
      <c r="Y1218" s="41"/>
      <c r="Z1218" s="41"/>
      <c r="AA1218" s="41"/>
      <c r="AB1218" s="41"/>
      <c r="AC1218" s="41"/>
      <c r="AD1218" s="41"/>
      <c r="AE1218" s="41"/>
      <c r="AF1218" s="41"/>
      <c r="AG1218" s="41"/>
      <c r="AH1218" s="41"/>
      <c r="AI1218" s="41"/>
      <c r="AJ1218" s="41"/>
      <c r="AK1218" s="41"/>
      <c r="AL1218" s="41"/>
      <c r="AM1218" s="41"/>
      <c r="AN1218" s="41"/>
      <c r="AO1218" s="41"/>
      <c r="AP1218" s="41"/>
      <c r="AQ1218" s="41"/>
      <c r="AR1218" s="41"/>
      <c r="AS1218" s="41"/>
      <c r="AT1218" s="41"/>
      <c r="AU1218" s="41"/>
      <c r="AV1218" s="41"/>
      <c r="AW1218" s="41"/>
      <c r="AX1218" s="41"/>
      <c r="AY1218" s="41"/>
      <c r="AZ1218" s="41"/>
      <c r="BA1218" s="41"/>
      <c r="BB1218" s="41"/>
      <c r="BC1218" s="41"/>
      <c r="BD1218" s="41"/>
      <c r="BE1218" s="41"/>
      <c r="BF1218" s="41"/>
      <c r="BG1218" s="41"/>
      <c r="BH1218" s="41"/>
      <c r="BJ1218" s="41"/>
      <c r="BK1218" s="41"/>
      <c r="BL1218" s="41"/>
      <c r="BM1218" s="41"/>
      <c r="BN1218" s="41"/>
      <c r="BO1218" s="41"/>
      <c r="BP1218" s="41"/>
      <c r="BQ1218" s="41"/>
      <c r="BR1218" s="41"/>
      <c r="BS1218" s="41"/>
      <c r="BT1218" s="41"/>
      <c r="BU1218" s="41"/>
      <c r="BV1218" s="41">
        <v>0.1</v>
      </c>
      <c r="BW1218" s="41"/>
      <c r="BX1218" s="41"/>
      <c r="BY1218" s="41"/>
      <c r="BZ1218" s="41"/>
      <c r="CA1218" s="41"/>
      <c r="CB1218" s="41"/>
      <c r="CC1218" s="41"/>
      <c r="CD1218" s="41"/>
      <c r="CE1218" s="41">
        <v>0.1</v>
      </c>
      <c r="CF1218" s="41"/>
      <c r="CG1218" s="41"/>
      <c r="CH1218" s="41">
        <v>0.1</v>
      </c>
      <c r="CI1218" s="41"/>
      <c r="CJ1218" s="41"/>
      <c r="CK1218" s="41"/>
      <c r="CL1218" s="41"/>
      <c r="CM1218" s="41"/>
      <c r="CN1218" s="41"/>
      <c r="CO1218" s="41"/>
      <c r="CP1218" s="41"/>
      <c r="CQ1218" s="41"/>
      <c r="CR1218" s="41"/>
      <c r="CS1218" s="41"/>
      <c r="CT1218" s="41"/>
      <c r="CU1218" s="41"/>
      <c r="CV1218" s="41"/>
      <c r="CW1218" s="41"/>
      <c r="CX1218" s="41"/>
      <c r="CY1218" s="41"/>
      <c r="CZ1218" s="41"/>
      <c r="DA1218" s="41"/>
      <c r="DB1218" s="41"/>
      <c r="DC1218" s="41"/>
      <c r="DD1218" s="41"/>
      <c r="DE1218" s="41"/>
      <c r="DF1218" s="41"/>
      <c r="DG1218" s="41"/>
      <c r="DH1218" s="41"/>
      <c r="DI1218" s="41"/>
      <c r="DJ1218" s="41"/>
      <c r="DK1218" s="41"/>
      <c r="DL1218" s="41"/>
      <c r="DM1218" s="41">
        <v>0.7</v>
      </c>
      <c r="DN1218" s="41"/>
      <c r="DO1218" s="41"/>
      <c r="DP1218" s="41"/>
      <c r="DQ1218" s="41"/>
      <c r="DR1218" s="41"/>
      <c r="DS1218" s="43"/>
      <c r="DT1218" s="44">
        <f t="shared" ref="DT1218" si="1199">SUM(F1218:DR1218)</f>
        <v>1</v>
      </c>
    </row>
    <row r="1219" spans="2:124" s="13" customFormat="1">
      <c r="B1219" s="4">
        <f>'6.1Personnel List'!B1220</f>
        <v>1207</v>
      </c>
      <c r="C1219" s="45" t="s">
        <v>1435</v>
      </c>
      <c r="D1219" s="45" t="str">
        <f>'6.1Personnel List'!D1220</f>
        <v>Nursing Attendant II</v>
      </c>
      <c r="E1219" s="45" t="str">
        <f>'6.1Personnel List'!H1220</f>
        <v>FT</v>
      </c>
      <c r="G1219" s="41"/>
      <c r="H1219" s="41"/>
      <c r="I1219" s="41"/>
      <c r="J1219" s="41"/>
      <c r="K1219" s="41"/>
      <c r="L1219" s="41"/>
      <c r="M1219" s="41"/>
      <c r="N1219" s="41"/>
      <c r="O1219" s="41"/>
      <c r="P1219" s="41"/>
      <c r="Q1219" s="41"/>
      <c r="R1219" s="41"/>
      <c r="S1219" s="41"/>
      <c r="T1219" s="41"/>
      <c r="U1219" s="41"/>
      <c r="V1219" s="41"/>
      <c r="W1219" s="41"/>
      <c r="X1219" s="41"/>
      <c r="Y1219" s="41"/>
      <c r="Z1219" s="41"/>
      <c r="AA1219" s="41"/>
      <c r="AB1219" s="41"/>
      <c r="AC1219" s="41"/>
      <c r="AD1219" s="41"/>
      <c r="AE1219" s="41"/>
      <c r="AF1219" s="41"/>
      <c r="AG1219" s="41"/>
      <c r="AH1219" s="41"/>
      <c r="AI1219" s="41"/>
      <c r="AJ1219" s="41"/>
      <c r="AK1219" s="41"/>
      <c r="AL1219" s="41"/>
      <c r="AM1219" s="41"/>
      <c r="AN1219" s="41"/>
      <c r="AO1219" s="41"/>
      <c r="AP1219" s="41"/>
      <c r="AQ1219" s="41"/>
      <c r="AR1219" s="41"/>
      <c r="AS1219" s="41"/>
      <c r="AT1219" s="41"/>
      <c r="AU1219" s="41"/>
      <c r="AV1219" s="41"/>
      <c r="AW1219" s="41"/>
      <c r="AX1219" s="41"/>
      <c r="AY1219" s="41"/>
      <c r="AZ1219" s="41"/>
      <c r="BA1219" s="41"/>
      <c r="BB1219" s="41"/>
      <c r="BC1219" s="41"/>
      <c r="BD1219" s="41"/>
      <c r="BE1219" s="41"/>
      <c r="BF1219" s="41"/>
      <c r="BG1219" s="41"/>
      <c r="BH1219" s="41"/>
      <c r="BJ1219" s="41"/>
      <c r="BK1219" s="41"/>
      <c r="BL1219" s="41"/>
      <c r="BM1219" s="41"/>
      <c r="BN1219" s="41"/>
      <c r="BO1219" s="41"/>
      <c r="BP1219" s="41"/>
      <c r="BQ1219" s="41"/>
      <c r="BR1219" s="41"/>
      <c r="BS1219" s="41"/>
      <c r="BT1219" s="41"/>
      <c r="BU1219" s="41"/>
      <c r="BV1219" s="41"/>
      <c r="BW1219" s="41"/>
      <c r="BX1219" s="41"/>
      <c r="BY1219" s="41"/>
      <c r="BZ1219" s="41"/>
      <c r="CA1219" s="41"/>
      <c r="CB1219" s="41">
        <v>0.1</v>
      </c>
      <c r="CC1219" s="41"/>
      <c r="CD1219" s="41"/>
      <c r="CE1219" s="41">
        <v>0.09</v>
      </c>
      <c r="CF1219" s="41">
        <v>0.01</v>
      </c>
      <c r="CG1219" s="41">
        <v>0.01</v>
      </c>
      <c r="CH1219" s="41">
        <v>0.05</v>
      </c>
      <c r="CI1219" s="41">
        <v>0.01</v>
      </c>
      <c r="CJ1219" s="41"/>
      <c r="CK1219" s="41">
        <v>0.01</v>
      </c>
      <c r="CL1219" s="41">
        <v>0.05</v>
      </c>
      <c r="CM1219" s="41"/>
      <c r="CN1219" s="41">
        <v>0.05</v>
      </c>
      <c r="CO1219" s="41">
        <v>0.05</v>
      </c>
      <c r="CP1219" s="41">
        <v>0.05</v>
      </c>
      <c r="CQ1219" s="41">
        <v>0.05</v>
      </c>
      <c r="CR1219" s="41">
        <v>0.02</v>
      </c>
      <c r="CS1219" s="41">
        <v>0.01</v>
      </c>
      <c r="CT1219" s="41"/>
      <c r="CU1219" s="41"/>
      <c r="CV1219" s="41">
        <v>0.02</v>
      </c>
      <c r="CW1219" s="41"/>
      <c r="CX1219" s="41"/>
      <c r="CY1219" s="41"/>
      <c r="CZ1219" s="41"/>
      <c r="DA1219" s="41"/>
      <c r="DB1219" s="41"/>
      <c r="DC1219" s="41"/>
      <c r="DD1219" s="41">
        <v>0.12</v>
      </c>
      <c r="DE1219" s="41"/>
      <c r="DF1219" s="41"/>
      <c r="DG1219" s="41"/>
      <c r="DH1219" s="41"/>
      <c r="DI1219" s="41"/>
      <c r="DJ1219" s="41">
        <v>0.05</v>
      </c>
      <c r="DK1219" s="41">
        <v>0.05</v>
      </c>
      <c r="DL1219" s="41">
        <v>0.05</v>
      </c>
      <c r="DM1219" s="41">
        <v>0.05</v>
      </c>
      <c r="DN1219" s="41"/>
      <c r="DO1219" s="41"/>
      <c r="DP1219" s="41">
        <v>0.05</v>
      </c>
      <c r="DQ1219" s="41"/>
      <c r="DR1219" s="41">
        <v>0.05</v>
      </c>
      <c r="DS1219" s="43"/>
      <c r="DT1219" s="44">
        <f t="shared" ref="DT1219" si="1200">SUM(F1219:DR1219)</f>
        <v>1.0000000000000002</v>
      </c>
    </row>
    <row r="1220" spans="2:124" s="13" customFormat="1">
      <c r="B1220" s="4">
        <f>'6.1Personnel List'!B1221</f>
        <v>1208</v>
      </c>
      <c r="C1220" s="45" t="s">
        <v>1436</v>
      </c>
      <c r="D1220" s="45" t="str">
        <f>'6.1Personnel List'!D1221</f>
        <v>Nursing Attendant II</v>
      </c>
      <c r="E1220" s="45" t="str">
        <f>'6.1Personnel List'!H1221</f>
        <v>FT</v>
      </c>
      <c r="G1220" s="41"/>
      <c r="H1220" s="41"/>
      <c r="I1220" s="41"/>
      <c r="J1220" s="41"/>
      <c r="K1220" s="41"/>
      <c r="L1220" s="41"/>
      <c r="M1220" s="41"/>
      <c r="N1220" s="41"/>
      <c r="O1220" s="41"/>
      <c r="P1220" s="41"/>
      <c r="Q1220" s="41"/>
      <c r="R1220" s="41"/>
      <c r="S1220" s="41"/>
      <c r="T1220" s="41"/>
      <c r="U1220" s="41"/>
      <c r="V1220" s="41"/>
      <c r="W1220" s="41"/>
      <c r="X1220" s="41"/>
      <c r="Y1220" s="41"/>
      <c r="Z1220" s="41"/>
      <c r="AA1220" s="41"/>
      <c r="AB1220" s="41"/>
      <c r="AC1220" s="41"/>
      <c r="AD1220" s="41"/>
      <c r="AE1220" s="41"/>
      <c r="AF1220" s="41"/>
      <c r="AG1220" s="41"/>
      <c r="AH1220" s="41"/>
      <c r="AI1220" s="41"/>
      <c r="AJ1220" s="41"/>
      <c r="AK1220" s="41"/>
      <c r="AL1220" s="41"/>
      <c r="AM1220" s="41"/>
      <c r="AN1220" s="41"/>
      <c r="AO1220" s="41"/>
      <c r="AP1220" s="41"/>
      <c r="AQ1220" s="41"/>
      <c r="AR1220" s="41"/>
      <c r="AS1220" s="41"/>
      <c r="AT1220" s="41"/>
      <c r="AU1220" s="41"/>
      <c r="AV1220" s="41"/>
      <c r="AW1220" s="41"/>
      <c r="AX1220" s="41"/>
      <c r="AY1220" s="41"/>
      <c r="AZ1220" s="41"/>
      <c r="BA1220" s="41"/>
      <c r="BB1220" s="41"/>
      <c r="BC1220" s="41"/>
      <c r="BD1220" s="41"/>
      <c r="BE1220" s="41"/>
      <c r="BF1220" s="41"/>
      <c r="BG1220" s="41"/>
      <c r="BH1220" s="41"/>
      <c r="BJ1220" s="41"/>
      <c r="BK1220" s="41"/>
      <c r="BL1220" s="41"/>
      <c r="BM1220" s="41"/>
      <c r="BN1220" s="41"/>
      <c r="BO1220" s="41"/>
      <c r="BP1220" s="41"/>
      <c r="BQ1220" s="41"/>
      <c r="BR1220" s="41"/>
      <c r="BS1220" s="41"/>
      <c r="BT1220" s="41"/>
      <c r="BU1220" s="41"/>
      <c r="BV1220" s="41"/>
      <c r="BW1220" s="41"/>
      <c r="BX1220" s="41"/>
      <c r="BY1220" s="41"/>
      <c r="BZ1220" s="41"/>
      <c r="CA1220" s="41"/>
      <c r="CB1220" s="41">
        <v>0.1</v>
      </c>
      <c r="CC1220" s="41"/>
      <c r="CD1220" s="41"/>
      <c r="CE1220" s="41">
        <v>0.09</v>
      </c>
      <c r="CF1220" s="41">
        <v>0.01</v>
      </c>
      <c r="CG1220" s="41">
        <v>0.01</v>
      </c>
      <c r="CH1220" s="41">
        <v>0.05</v>
      </c>
      <c r="CI1220" s="41">
        <v>0.01</v>
      </c>
      <c r="CJ1220" s="41"/>
      <c r="CK1220" s="41">
        <v>0.01</v>
      </c>
      <c r="CL1220" s="41">
        <v>0.05</v>
      </c>
      <c r="CM1220" s="41"/>
      <c r="CN1220" s="41">
        <v>0.05</v>
      </c>
      <c r="CO1220" s="41">
        <v>0.05</v>
      </c>
      <c r="CP1220" s="41">
        <v>0.05</v>
      </c>
      <c r="CQ1220" s="41">
        <v>0.05</v>
      </c>
      <c r="CR1220" s="41">
        <v>0.02</v>
      </c>
      <c r="CS1220" s="41">
        <v>0.01</v>
      </c>
      <c r="CT1220" s="41"/>
      <c r="CU1220" s="41"/>
      <c r="CV1220" s="41">
        <v>0.02</v>
      </c>
      <c r="CW1220" s="41"/>
      <c r="CX1220" s="41"/>
      <c r="CY1220" s="41"/>
      <c r="CZ1220" s="41"/>
      <c r="DA1220" s="41"/>
      <c r="DB1220" s="41"/>
      <c r="DC1220" s="41"/>
      <c r="DD1220" s="41">
        <v>0.12</v>
      </c>
      <c r="DE1220" s="41"/>
      <c r="DF1220" s="41"/>
      <c r="DG1220" s="41"/>
      <c r="DH1220" s="41"/>
      <c r="DI1220" s="41"/>
      <c r="DJ1220" s="41">
        <v>0.05</v>
      </c>
      <c r="DK1220" s="41">
        <v>0.05</v>
      </c>
      <c r="DL1220" s="41">
        <v>0.05</v>
      </c>
      <c r="DM1220" s="41">
        <v>0.05</v>
      </c>
      <c r="DN1220" s="41"/>
      <c r="DO1220" s="41"/>
      <c r="DP1220" s="41">
        <v>0.05</v>
      </c>
      <c r="DQ1220" s="41"/>
      <c r="DR1220" s="41">
        <v>0.05</v>
      </c>
      <c r="DS1220" s="43"/>
      <c r="DT1220" s="44">
        <f t="shared" ref="DT1220" si="1201">SUM(F1220:DR1220)</f>
        <v>1.0000000000000002</v>
      </c>
    </row>
    <row r="1221" spans="2:124" s="13" customFormat="1">
      <c r="B1221" s="4">
        <f>'6.1Personnel List'!B1222</f>
        <v>1209</v>
      </c>
      <c r="C1221" s="45" t="s">
        <v>1437</v>
      </c>
      <c r="D1221" s="45" t="str">
        <f>'6.1Personnel List'!D1222</f>
        <v>Nursing Attendant II</v>
      </c>
      <c r="E1221" s="45" t="str">
        <f>'6.1Personnel List'!H1222</f>
        <v>FT</v>
      </c>
      <c r="G1221" s="41"/>
      <c r="H1221" s="41"/>
      <c r="I1221" s="41"/>
      <c r="J1221" s="41"/>
      <c r="K1221" s="41"/>
      <c r="L1221" s="41"/>
      <c r="M1221" s="41"/>
      <c r="N1221" s="41"/>
      <c r="O1221" s="41"/>
      <c r="P1221" s="41"/>
      <c r="Q1221" s="41"/>
      <c r="R1221" s="41"/>
      <c r="S1221" s="41"/>
      <c r="T1221" s="41"/>
      <c r="U1221" s="41"/>
      <c r="V1221" s="41"/>
      <c r="W1221" s="41"/>
      <c r="X1221" s="41"/>
      <c r="Y1221" s="41"/>
      <c r="Z1221" s="41"/>
      <c r="AA1221" s="41"/>
      <c r="AB1221" s="41"/>
      <c r="AC1221" s="41"/>
      <c r="AD1221" s="41"/>
      <c r="AE1221" s="41"/>
      <c r="AF1221" s="41"/>
      <c r="AG1221" s="41"/>
      <c r="AH1221" s="41"/>
      <c r="AI1221" s="41"/>
      <c r="AJ1221" s="41"/>
      <c r="AK1221" s="41"/>
      <c r="AL1221" s="41"/>
      <c r="AM1221" s="41"/>
      <c r="AN1221" s="41"/>
      <c r="AO1221" s="41"/>
      <c r="AP1221" s="41"/>
      <c r="AQ1221" s="41"/>
      <c r="AR1221" s="41"/>
      <c r="AS1221" s="41"/>
      <c r="AT1221" s="41"/>
      <c r="AU1221" s="41"/>
      <c r="AV1221" s="41"/>
      <c r="AW1221" s="41"/>
      <c r="AX1221" s="41"/>
      <c r="AY1221" s="41"/>
      <c r="AZ1221" s="41"/>
      <c r="BA1221" s="41"/>
      <c r="BB1221" s="41"/>
      <c r="BC1221" s="41"/>
      <c r="BD1221" s="41"/>
      <c r="BE1221" s="41"/>
      <c r="BF1221" s="41"/>
      <c r="BG1221" s="41"/>
      <c r="BH1221" s="41"/>
      <c r="BJ1221" s="41"/>
      <c r="BK1221" s="94"/>
      <c r="BL1221" s="94"/>
      <c r="BM1221" s="94"/>
      <c r="BN1221" s="94"/>
      <c r="BO1221" s="94"/>
      <c r="BP1221" s="94"/>
      <c r="BQ1221" s="94"/>
      <c r="BR1221" s="94"/>
      <c r="BS1221" s="94"/>
      <c r="BT1221" s="94"/>
      <c r="BU1221" s="94"/>
      <c r="BV1221" s="94"/>
      <c r="BW1221" s="94"/>
      <c r="BX1221" s="94"/>
      <c r="BY1221" s="94"/>
      <c r="BZ1221" s="94"/>
      <c r="CA1221" s="94"/>
      <c r="CB1221" s="94"/>
      <c r="CC1221" s="94"/>
      <c r="CD1221" s="94"/>
      <c r="CE1221" s="94"/>
      <c r="CF1221" s="94"/>
      <c r="CG1221" s="94"/>
      <c r="CH1221" s="94"/>
      <c r="CI1221" s="94"/>
      <c r="CJ1221" s="94"/>
      <c r="CK1221" s="94"/>
      <c r="CL1221" s="94"/>
      <c r="CM1221" s="94"/>
      <c r="CN1221" s="94"/>
      <c r="CO1221" s="94"/>
      <c r="CP1221" s="94"/>
      <c r="CQ1221" s="94"/>
      <c r="CR1221" s="94"/>
      <c r="CS1221" s="94"/>
      <c r="CT1221" s="94"/>
      <c r="CU1221" s="94">
        <v>1</v>
      </c>
      <c r="CV1221" s="94"/>
      <c r="CW1221" s="94"/>
      <c r="CX1221" s="94"/>
      <c r="CY1221" s="94"/>
      <c r="CZ1221" s="94"/>
      <c r="DA1221" s="94"/>
      <c r="DB1221" s="94"/>
      <c r="DC1221" s="94"/>
      <c r="DD1221" s="94"/>
      <c r="DE1221" s="94"/>
      <c r="DF1221" s="94"/>
      <c r="DG1221" s="94"/>
      <c r="DH1221" s="94"/>
      <c r="DI1221" s="94"/>
      <c r="DJ1221" s="94"/>
      <c r="DK1221" s="41"/>
      <c r="DL1221" s="41"/>
      <c r="DM1221" s="41"/>
      <c r="DN1221" s="41"/>
      <c r="DO1221" s="41"/>
      <c r="DP1221" s="41"/>
      <c r="DQ1221" s="41"/>
      <c r="DR1221" s="41"/>
      <c r="DS1221" s="43"/>
      <c r="DT1221" s="44">
        <f t="shared" ref="DT1221" si="1202">SUM(F1221:DR1221)</f>
        <v>1</v>
      </c>
    </row>
    <row r="1222" spans="2:124" s="13" customFormat="1">
      <c r="B1222" s="4">
        <f>'6.1Personnel List'!B1223</f>
        <v>1210</v>
      </c>
      <c r="C1222" s="45" t="s">
        <v>1438</v>
      </c>
      <c r="D1222" s="45" t="str">
        <f>'6.1Personnel List'!D1223</f>
        <v>Nursing Attendant II</v>
      </c>
      <c r="E1222" s="45" t="str">
        <f>'6.1Personnel List'!H1223</f>
        <v>FT</v>
      </c>
      <c r="G1222" s="41"/>
      <c r="H1222" s="41"/>
      <c r="I1222" s="41"/>
      <c r="J1222" s="41"/>
      <c r="K1222" s="41"/>
      <c r="L1222" s="41"/>
      <c r="M1222" s="41"/>
      <c r="N1222" s="41"/>
      <c r="O1222" s="41"/>
      <c r="P1222" s="41"/>
      <c r="Q1222" s="41"/>
      <c r="R1222" s="41"/>
      <c r="S1222" s="41"/>
      <c r="T1222" s="41"/>
      <c r="U1222" s="41"/>
      <c r="V1222" s="41"/>
      <c r="W1222" s="41"/>
      <c r="X1222" s="41"/>
      <c r="Y1222" s="41"/>
      <c r="Z1222" s="41"/>
      <c r="AA1222" s="41"/>
      <c r="AB1222" s="41"/>
      <c r="AC1222" s="41"/>
      <c r="AD1222" s="41"/>
      <c r="AE1222" s="41"/>
      <c r="AF1222" s="41"/>
      <c r="AG1222" s="41"/>
      <c r="AH1222" s="41"/>
      <c r="AI1222" s="41"/>
      <c r="AJ1222" s="41"/>
      <c r="AK1222" s="41"/>
      <c r="AL1222" s="41"/>
      <c r="AM1222" s="41"/>
      <c r="AN1222" s="41"/>
      <c r="AO1222" s="41"/>
      <c r="AP1222" s="41"/>
      <c r="AQ1222" s="41"/>
      <c r="AR1222" s="41"/>
      <c r="AS1222" s="41"/>
      <c r="AT1222" s="41"/>
      <c r="AU1222" s="41"/>
      <c r="AV1222" s="41"/>
      <c r="AW1222" s="41"/>
      <c r="AX1222" s="41"/>
      <c r="AY1222" s="41"/>
      <c r="AZ1222" s="41"/>
      <c r="BA1222" s="41"/>
      <c r="BB1222" s="41"/>
      <c r="BC1222" s="41"/>
      <c r="BD1222" s="41"/>
      <c r="BE1222" s="41"/>
      <c r="BF1222" s="41"/>
      <c r="BG1222" s="41"/>
      <c r="BH1222" s="41"/>
      <c r="BJ1222" s="41"/>
      <c r="BK1222" s="94"/>
      <c r="BL1222" s="94"/>
      <c r="BM1222" s="94"/>
      <c r="BN1222" s="94"/>
      <c r="BO1222" s="94"/>
      <c r="BP1222" s="94"/>
      <c r="BQ1222" s="94"/>
      <c r="BR1222" s="94"/>
      <c r="BS1222" s="94"/>
      <c r="BT1222" s="94"/>
      <c r="BU1222" s="94"/>
      <c r="BV1222" s="94"/>
      <c r="BW1222" s="94"/>
      <c r="BX1222" s="94"/>
      <c r="BY1222" s="94"/>
      <c r="BZ1222" s="94"/>
      <c r="CA1222" s="94"/>
      <c r="CB1222" s="94"/>
      <c r="CC1222" s="94"/>
      <c r="CD1222" s="94"/>
      <c r="CE1222" s="94"/>
      <c r="CF1222" s="94"/>
      <c r="CG1222" s="94"/>
      <c r="CH1222" s="94"/>
      <c r="CI1222" s="94"/>
      <c r="CJ1222" s="94"/>
      <c r="CK1222" s="94"/>
      <c r="CL1222" s="94"/>
      <c r="CM1222" s="94"/>
      <c r="CN1222" s="94">
        <v>1</v>
      </c>
      <c r="CO1222" s="94"/>
      <c r="CP1222" s="94"/>
      <c r="CQ1222" s="94"/>
      <c r="CR1222" s="94"/>
      <c r="CS1222" s="94"/>
      <c r="CT1222" s="94"/>
      <c r="CU1222" s="94"/>
      <c r="CV1222" s="94"/>
      <c r="CW1222" s="94"/>
      <c r="CX1222" s="94"/>
      <c r="CY1222" s="94"/>
      <c r="CZ1222" s="94"/>
      <c r="DA1222" s="94"/>
      <c r="DB1222" s="94"/>
      <c r="DC1222" s="94"/>
      <c r="DD1222" s="94"/>
      <c r="DE1222" s="94"/>
      <c r="DF1222" s="94"/>
      <c r="DG1222" s="94"/>
      <c r="DH1222" s="94"/>
      <c r="DI1222" s="94"/>
      <c r="DJ1222" s="94"/>
      <c r="DK1222" s="41"/>
      <c r="DL1222" s="41"/>
      <c r="DM1222" s="41"/>
      <c r="DN1222" s="41"/>
      <c r="DO1222" s="41"/>
      <c r="DP1222" s="41"/>
      <c r="DQ1222" s="41"/>
      <c r="DR1222" s="41"/>
      <c r="DS1222" s="43"/>
      <c r="DT1222" s="44">
        <f t="shared" ref="DT1222" si="1203">SUM(F1222:DR1222)</f>
        <v>1</v>
      </c>
    </row>
    <row r="1223" spans="2:124" s="13" customFormat="1">
      <c r="B1223" s="4">
        <f>'6.1Personnel List'!B1224</f>
        <v>1211</v>
      </c>
      <c r="C1223" s="45" t="s">
        <v>1439</v>
      </c>
      <c r="D1223" s="45" t="str">
        <f>'6.1Personnel List'!D1224</f>
        <v>Nursing Attendant II</v>
      </c>
      <c r="E1223" s="45" t="str">
        <f>'6.1Personnel List'!H1224</f>
        <v>FT</v>
      </c>
      <c r="G1223" s="41"/>
      <c r="H1223" s="41"/>
      <c r="I1223" s="41"/>
      <c r="J1223" s="41"/>
      <c r="K1223" s="41"/>
      <c r="L1223" s="41"/>
      <c r="M1223" s="41"/>
      <c r="N1223" s="41"/>
      <c r="O1223" s="41"/>
      <c r="P1223" s="41"/>
      <c r="Q1223" s="41"/>
      <c r="R1223" s="41"/>
      <c r="S1223" s="41"/>
      <c r="T1223" s="41"/>
      <c r="U1223" s="41"/>
      <c r="V1223" s="41"/>
      <c r="W1223" s="41"/>
      <c r="X1223" s="41"/>
      <c r="Y1223" s="41"/>
      <c r="Z1223" s="41"/>
      <c r="AA1223" s="41"/>
      <c r="AB1223" s="41"/>
      <c r="AC1223" s="41"/>
      <c r="AD1223" s="41"/>
      <c r="AE1223" s="41"/>
      <c r="AF1223" s="41"/>
      <c r="AG1223" s="41"/>
      <c r="AH1223" s="41"/>
      <c r="AI1223" s="41"/>
      <c r="AJ1223" s="41"/>
      <c r="AK1223" s="41"/>
      <c r="AL1223" s="41"/>
      <c r="AM1223" s="41"/>
      <c r="AN1223" s="41"/>
      <c r="AO1223" s="41"/>
      <c r="AP1223" s="41"/>
      <c r="AQ1223" s="41"/>
      <c r="AR1223" s="41"/>
      <c r="AS1223" s="41"/>
      <c r="AT1223" s="41"/>
      <c r="AU1223" s="41"/>
      <c r="AV1223" s="41"/>
      <c r="AW1223" s="41"/>
      <c r="AX1223" s="41"/>
      <c r="AY1223" s="41"/>
      <c r="AZ1223" s="41"/>
      <c r="BA1223" s="41"/>
      <c r="BB1223" s="41"/>
      <c r="BC1223" s="41"/>
      <c r="BD1223" s="41"/>
      <c r="BE1223" s="41"/>
      <c r="BF1223" s="41"/>
      <c r="BG1223" s="41"/>
      <c r="BH1223" s="41"/>
      <c r="BJ1223" s="41"/>
      <c r="BK1223" s="94"/>
      <c r="BL1223" s="94"/>
      <c r="BM1223" s="94"/>
      <c r="BN1223" s="94"/>
      <c r="BO1223" s="94"/>
      <c r="BP1223" s="94"/>
      <c r="BQ1223" s="94"/>
      <c r="BR1223" s="94"/>
      <c r="BS1223" s="94"/>
      <c r="BT1223" s="94"/>
      <c r="BU1223" s="94"/>
      <c r="BV1223" s="94"/>
      <c r="BW1223" s="94"/>
      <c r="BX1223" s="94"/>
      <c r="BY1223" s="94"/>
      <c r="BZ1223" s="94"/>
      <c r="CA1223" s="94"/>
      <c r="CB1223" s="94"/>
      <c r="CC1223" s="94"/>
      <c r="CD1223" s="94"/>
      <c r="CE1223" s="94"/>
      <c r="CF1223" s="94"/>
      <c r="CG1223" s="94"/>
      <c r="CH1223" s="94"/>
      <c r="CI1223" s="94"/>
      <c r="CJ1223" s="94"/>
      <c r="CK1223" s="94"/>
      <c r="CL1223" s="94"/>
      <c r="CM1223" s="94"/>
      <c r="CN1223" s="94">
        <v>1</v>
      </c>
      <c r="CO1223" s="94"/>
      <c r="CP1223" s="94"/>
      <c r="CQ1223" s="94"/>
      <c r="CR1223" s="94"/>
      <c r="CS1223" s="94"/>
      <c r="CT1223" s="94"/>
      <c r="CU1223" s="94"/>
      <c r="CV1223" s="94"/>
      <c r="CW1223" s="94"/>
      <c r="CX1223" s="94"/>
      <c r="CY1223" s="94"/>
      <c r="CZ1223" s="94"/>
      <c r="DA1223" s="94"/>
      <c r="DB1223" s="94"/>
      <c r="DC1223" s="94"/>
      <c r="DD1223" s="94"/>
      <c r="DE1223" s="94"/>
      <c r="DF1223" s="94"/>
      <c r="DG1223" s="94"/>
      <c r="DH1223" s="94"/>
      <c r="DI1223" s="94"/>
      <c r="DJ1223" s="94"/>
      <c r="DK1223" s="41"/>
      <c r="DL1223" s="41"/>
      <c r="DM1223" s="41"/>
      <c r="DN1223" s="41"/>
      <c r="DO1223" s="41"/>
      <c r="DP1223" s="41"/>
      <c r="DQ1223" s="41"/>
      <c r="DR1223" s="41"/>
      <c r="DS1223" s="43"/>
      <c r="DT1223" s="44">
        <f t="shared" ref="DT1223" si="1204">SUM(F1223:DR1223)</f>
        <v>1</v>
      </c>
    </row>
    <row r="1224" spans="2:124" s="13" customFormat="1">
      <c r="B1224" s="4">
        <f>'6.1Personnel List'!B1225</f>
        <v>1212</v>
      </c>
      <c r="C1224" s="45" t="s">
        <v>1440</v>
      </c>
      <c r="D1224" s="45" t="str">
        <f>'6.1Personnel List'!D1225</f>
        <v>Nursing Attendant II</v>
      </c>
      <c r="E1224" s="45" t="str">
        <f>'6.1Personnel List'!H1225</f>
        <v>FT</v>
      </c>
      <c r="G1224" s="41"/>
      <c r="H1224" s="41"/>
      <c r="I1224" s="41"/>
      <c r="J1224" s="41"/>
      <c r="K1224" s="41"/>
      <c r="L1224" s="41"/>
      <c r="M1224" s="41"/>
      <c r="N1224" s="41"/>
      <c r="O1224" s="41"/>
      <c r="P1224" s="41"/>
      <c r="Q1224" s="41"/>
      <c r="R1224" s="41"/>
      <c r="S1224" s="41"/>
      <c r="T1224" s="41"/>
      <c r="U1224" s="41"/>
      <c r="V1224" s="41"/>
      <c r="W1224" s="41"/>
      <c r="X1224" s="41"/>
      <c r="Y1224" s="41"/>
      <c r="Z1224" s="41"/>
      <c r="AA1224" s="41"/>
      <c r="AB1224" s="41"/>
      <c r="AC1224" s="41"/>
      <c r="AD1224" s="41"/>
      <c r="AE1224" s="41"/>
      <c r="AF1224" s="41"/>
      <c r="AG1224" s="41"/>
      <c r="AH1224" s="41"/>
      <c r="AI1224" s="41"/>
      <c r="AJ1224" s="41"/>
      <c r="AK1224" s="41"/>
      <c r="AL1224" s="41"/>
      <c r="AM1224" s="41"/>
      <c r="AN1224" s="41"/>
      <c r="AO1224" s="41"/>
      <c r="AP1224" s="41"/>
      <c r="AQ1224" s="41"/>
      <c r="AR1224" s="41"/>
      <c r="AS1224" s="41"/>
      <c r="AT1224" s="41"/>
      <c r="AU1224" s="41"/>
      <c r="AV1224" s="41"/>
      <c r="AW1224" s="41"/>
      <c r="AX1224" s="41"/>
      <c r="AY1224" s="41"/>
      <c r="AZ1224" s="41"/>
      <c r="BA1224" s="41"/>
      <c r="BB1224" s="41"/>
      <c r="BC1224" s="41"/>
      <c r="BD1224" s="41"/>
      <c r="BE1224" s="41"/>
      <c r="BF1224" s="41"/>
      <c r="BG1224" s="41"/>
      <c r="BH1224" s="41"/>
      <c r="BJ1224" s="41"/>
      <c r="BK1224" s="94"/>
      <c r="BL1224" s="94"/>
      <c r="BM1224" s="94"/>
      <c r="BN1224" s="94"/>
      <c r="BO1224" s="94"/>
      <c r="BP1224" s="94"/>
      <c r="BQ1224" s="94"/>
      <c r="BR1224" s="94"/>
      <c r="BS1224" s="94"/>
      <c r="BT1224" s="94"/>
      <c r="BU1224" s="94"/>
      <c r="BV1224" s="94"/>
      <c r="BW1224" s="94"/>
      <c r="BX1224" s="94"/>
      <c r="BY1224" s="94"/>
      <c r="BZ1224" s="94"/>
      <c r="CA1224" s="94"/>
      <c r="CB1224" s="94"/>
      <c r="CC1224" s="94"/>
      <c r="CD1224" s="94"/>
      <c r="CE1224" s="94"/>
      <c r="CF1224" s="94"/>
      <c r="CG1224" s="94"/>
      <c r="CH1224" s="94"/>
      <c r="CI1224" s="94"/>
      <c r="CJ1224" s="94"/>
      <c r="CK1224" s="94"/>
      <c r="CL1224" s="94"/>
      <c r="CM1224" s="94"/>
      <c r="CN1224" s="94">
        <v>1</v>
      </c>
      <c r="CO1224" s="94"/>
      <c r="CP1224" s="94"/>
      <c r="CQ1224" s="94"/>
      <c r="CR1224" s="94"/>
      <c r="CS1224" s="94"/>
      <c r="CT1224" s="94"/>
      <c r="CU1224" s="94"/>
      <c r="CV1224" s="94"/>
      <c r="CW1224" s="94"/>
      <c r="CX1224" s="94"/>
      <c r="CY1224" s="94"/>
      <c r="CZ1224" s="94"/>
      <c r="DA1224" s="94"/>
      <c r="DB1224" s="94"/>
      <c r="DC1224" s="94"/>
      <c r="DD1224" s="94"/>
      <c r="DE1224" s="94"/>
      <c r="DF1224" s="94"/>
      <c r="DG1224" s="94"/>
      <c r="DH1224" s="94"/>
      <c r="DI1224" s="94"/>
      <c r="DJ1224" s="94"/>
      <c r="DK1224" s="41"/>
      <c r="DL1224" s="41"/>
      <c r="DM1224" s="41"/>
      <c r="DN1224" s="41"/>
      <c r="DO1224" s="41"/>
      <c r="DP1224" s="41"/>
      <c r="DQ1224" s="41"/>
      <c r="DR1224" s="41"/>
      <c r="DS1224" s="43"/>
      <c r="DT1224" s="44">
        <f t="shared" ref="DT1224" si="1205">SUM(F1224:DR1224)</f>
        <v>1</v>
      </c>
    </row>
    <row r="1225" spans="2:124" s="13" customFormat="1">
      <c r="B1225" s="4">
        <f>'6.1Personnel List'!B1226</f>
        <v>1213</v>
      </c>
      <c r="C1225" s="45" t="s">
        <v>1441</v>
      </c>
      <c r="D1225" s="45" t="str">
        <f>'6.1Personnel List'!D1226</f>
        <v>Nursing Attendant II</v>
      </c>
      <c r="E1225" s="45" t="str">
        <f>'6.1Personnel List'!H1226</f>
        <v>FT</v>
      </c>
      <c r="G1225" s="41"/>
      <c r="H1225" s="41"/>
      <c r="I1225" s="41"/>
      <c r="J1225" s="41"/>
      <c r="K1225" s="41"/>
      <c r="L1225" s="41"/>
      <c r="M1225" s="41"/>
      <c r="N1225" s="41"/>
      <c r="O1225" s="41"/>
      <c r="P1225" s="41"/>
      <c r="Q1225" s="41"/>
      <c r="R1225" s="41"/>
      <c r="S1225" s="41"/>
      <c r="T1225" s="41"/>
      <c r="U1225" s="41"/>
      <c r="V1225" s="41"/>
      <c r="W1225" s="41"/>
      <c r="X1225" s="41"/>
      <c r="Y1225" s="41"/>
      <c r="Z1225" s="41"/>
      <c r="AA1225" s="41"/>
      <c r="AB1225" s="41"/>
      <c r="AC1225" s="41"/>
      <c r="AD1225" s="41"/>
      <c r="AE1225" s="41"/>
      <c r="AF1225" s="41"/>
      <c r="AG1225" s="41"/>
      <c r="AH1225" s="41"/>
      <c r="AI1225" s="41"/>
      <c r="AJ1225" s="41"/>
      <c r="AK1225" s="41"/>
      <c r="AL1225" s="41"/>
      <c r="AM1225" s="41"/>
      <c r="AN1225" s="41"/>
      <c r="AO1225" s="41"/>
      <c r="AP1225" s="41"/>
      <c r="AQ1225" s="41"/>
      <c r="AR1225" s="41"/>
      <c r="AS1225" s="41"/>
      <c r="AT1225" s="41"/>
      <c r="AU1225" s="41"/>
      <c r="AV1225" s="41"/>
      <c r="AW1225" s="41"/>
      <c r="AX1225" s="41"/>
      <c r="AY1225" s="41"/>
      <c r="AZ1225" s="41"/>
      <c r="BA1225" s="41"/>
      <c r="BB1225" s="41"/>
      <c r="BC1225" s="41"/>
      <c r="BD1225" s="41"/>
      <c r="BE1225" s="41"/>
      <c r="BF1225" s="41"/>
      <c r="BG1225" s="41"/>
      <c r="BH1225" s="41"/>
      <c r="BJ1225" s="41"/>
      <c r="BK1225" s="94"/>
      <c r="BL1225" s="94"/>
      <c r="BM1225" s="94"/>
      <c r="BN1225" s="94"/>
      <c r="BO1225" s="94"/>
      <c r="BP1225" s="94"/>
      <c r="BQ1225" s="94"/>
      <c r="BR1225" s="94"/>
      <c r="BS1225" s="94"/>
      <c r="BT1225" s="94"/>
      <c r="BU1225" s="94"/>
      <c r="BV1225" s="94"/>
      <c r="BW1225" s="94"/>
      <c r="BX1225" s="94"/>
      <c r="BY1225" s="94"/>
      <c r="BZ1225" s="94"/>
      <c r="CA1225" s="94"/>
      <c r="CB1225" s="94"/>
      <c r="CC1225" s="94"/>
      <c r="CD1225" s="94"/>
      <c r="CE1225" s="94"/>
      <c r="CF1225" s="94"/>
      <c r="CG1225" s="94"/>
      <c r="CH1225" s="94"/>
      <c r="CI1225" s="94"/>
      <c r="CJ1225" s="94"/>
      <c r="CK1225" s="94"/>
      <c r="CL1225" s="94"/>
      <c r="CM1225" s="94"/>
      <c r="CN1225" s="94">
        <v>1</v>
      </c>
      <c r="CO1225" s="94"/>
      <c r="CP1225" s="94"/>
      <c r="CQ1225" s="94"/>
      <c r="CR1225" s="94"/>
      <c r="CS1225" s="94"/>
      <c r="CT1225" s="94"/>
      <c r="CU1225" s="94"/>
      <c r="CV1225" s="94"/>
      <c r="CW1225" s="94"/>
      <c r="CX1225" s="94"/>
      <c r="CY1225" s="94"/>
      <c r="CZ1225" s="94"/>
      <c r="DA1225" s="94"/>
      <c r="DB1225" s="94"/>
      <c r="DC1225" s="94"/>
      <c r="DD1225" s="94"/>
      <c r="DE1225" s="94"/>
      <c r="DF1225" s="94"/>
      <c r="DG1225" s="94"/>
      <c r="DH1225" s="94"/>
      <c r="DI1225" s="94"/>
      <c r="DJ1225" s="94"/>
      <c r="DK1225" s="41"/>
      <c r="DL1225" s="41"/>
      <c r="DM1225" s="41"/>
      <c r="DN1225" s="41"/>
      <c r="DO1225" s="41"/>
      <c r="DP1225" s="41"/>
      <c r="DQ1225" s="41"/>
      <c r="DR1225" s="41"/>
      <c r="DS1225" s="43"/>
      <c r="DT1225" s="44">
        <f t="shared" ref="DT1225" si="1206">SUM(F1225:DR1225)</f>
        <v>1</v>
      </c>
    </row>
    <row r="1226" spans="2:124" s="13" customFormat="1">
      <c r="B1226" s="4">
        <f>'6.1Personnel List'!B1227</f>
        <v>1214</v>
      </c>
      <c r="C1226" s="45" t="s">
        <v>1442</v>
      </c>
      <c r="D1226" s="45" t="str">
        <f>'6.1Personnel List'!D1227</f>
        <v>Nursing Attendant II</v>
      </c>
      <c r="E1226" s="45" t="str">
        <f>'6.1Personnel List'!H1227</f>
        <v>FT</v>
      </c>
      <c r="G1226" s="41"/>
      <c r="H1226" s="41"/>
      <c r="I1226" s="41"/>
      <c r="J1226" s="41"/>
      <c r="K1226" s="41"/>
      <c r="L1226" s="41"/>
      <c r="M1226" s="41"/>
      <c r="N1226" s="41"/>
      <c r="O1226" s="41"/>
      <c r="P1226" s="41"/>
      <c r="Q1226" s="41"/>
      <c r="R1226" s="41"/>
      <c r="S1226" s="41"/>
      <c r="T1226" s="41"/>
      <c r="U1226" s="41"/>
      <c r="V1226" s="41"/>
      <c r="W1226" s="41"/>
      <c r="X1226" s="41"/>
      <c r="Y1226" s="41"/>
      <c r="Z1226" s="41"/>
      <c r="AA1226" s="41"/>
      <c r="AB1226" s="41"/>
      <c r="AC1226" s="41"/>
      <c r="AD1226" s="41"/>
      <c r="AE1226" s="41"/>
      <c r="AF1226" s="41"/>
      <c r="AG1226" s="41"/>
      <c r="AH1226" s="41"/>
      <c r="AI1226" s="41"/>
      <c r="AJ1226" s="41"/>
      <c r="AK1226" s="41"/>
      <c r="AL1226" s="41"/>
      <c r="AM1226" s="41"/>
      <c r="AN1226" s="41"/>
      <c r="AO1226" s="41"/>
      <c r="AP1226" s="41"/>
      <c r="AQ1226" s="41"/>
      <c r="AR1226" s="41"/>
      <c r="AS1226" s="41"/>
      <c r="AT1226" s="41"/>
      <c r="AU1226" s="41"/>
      <c r="AV1226" s="41"/>
      <c r="AW1226" s="41"/>
      <c r="AX1226" s="41"/>
      <c r="AY1226" s="41"/>
      <c r="AZ1226" s="41"/>
      <c r="BA1226" s="41"/>
      <c r="BB1226" s="41"/>
      <c r="BC1226" s="41"/>
      <c r="BD1226" s="41"/>
      <c r="BE1226" s="41"/>
      <c r="BF1226" s="41"/>
      <c r="BG1226" s="41"/>
      <c r="BH1226" s="41"/>
      <c r="BJ1226" s="41"/>
      <c r="BK1226" s="94"/>
      <c r="BL1226" s="94"/>
      <c r="BM1226" s="94"/>
      <c r="BN1226" s="94"/>
      <c r="BO1226" s="94"/>
      <c r="BP1226" s="94"/>
      <c r="BQ1226" s="94"/>
      <c r="BR1226" s="94"/>
      <c r="BS1226" s="94"/>
      <c r="BT1226" s="94"/>
      <c r="BU1226" s="94"/>
      <c r="BV1226" s="94"/>
      <c r="BW1226" s="94"/>
      <c r="BX1226" s="94"/>
      <c r="BY1226" s="94"/>
      <c r="BZ1226" s="94"/>
      <c r="CA1226" s="94"/>
      <c r="CB1226" s="94"/>
      <c r="CC1226" s="94"/>
      <c r="CD1226" s="94"/>
      <c r="CE1226" s="94"/>
      <c r="CF1226" s="94"/>
      <c r="CG1226" s="94"/>
      <c r="CH1226" s="94"/>
      <c r="CI1226" s="94"/>
      <c r="CJ1226" s="94"/>
      <c r="CK1226" s="94"/>
      <c r="CL1226" s="94"/>
      <c r="CM1226" s="94"/>
      <c r="CN1226" s="94">
        <v>1</v>
      </c>
      <c r="CO1226" s="94"/>
      <c r="CP1226" s="94"/>
      <c r="CQ1226" s="94"/>
      <c r="CR1226" s="94"/>
      <c r="CS1226" s="94"/>
      <c r="CT1226" s="94"/>
      <c r="CU1226" s="94"/>
      <c r="CV1226" s="94"/>
      <c r="CW1226" s="94"/>
      <c r="CX1226" s="94"/>
      <c r="CY1226" s="94"/>
      <c r="CZ1226" s="94"/>
      <c r="DA1226" s="94"/>
      <c r="DB1226" s="94"/>
      <c r="DC1226" s="94"/>
      <c r="DD1226" s="94"/>
      <c r="DE1226" s="94"/>
      <c r="DF1226" s="94"/>
      <c r="DG1226" s="94"/>
      <c r="DH1226" s="94"/>
      <c r="DI1226" s="94"/>
      <c r="DJ1226" s="94"/>
      <c r="DK1226" s="41"/>
      <c r="DL1226" s="41"/>
      <c r="DM1226" s="41"/>
      <c r="DN1226" s="41"/>
      <c r="DO1226" s="41"/>
      <c r="DP1226" s="41"/>
      <c r="DQ1226" s="41"/>
      <c r="DR1226" s="41"/>
      <c r="DS1226" s="43"/>
      <c r="DT1226" s="44">
        <f t="shared" ref="DT1226" si="1207">SUM(F1226:DR1226)</f>
        <v>1</v>
      </c>
    </row>
    <row r="1227" spans="2:124" s="13" customFormat="1">
      <c r="B1227" s="4">
        <f>'6.1Personnel List'!B1228</f>
        <v>1215</v>
      </c>
      <c r="C1227" s="45" t="s">
        <v>1443</v>
      </c>
      <c r="D1227" s="45" t="str">
        <f>'6.1Personnel List'!D1228</f>
        <v>Nursing Attendant II</v>
      </c>
      <c r="E1227" s="45" t="str">
        <f>'6.1Personnel List'!H1228</f>
        <v>FT</v>
      </c>
      <c r="G1227" s="41"/>
      <c r="H1227" s="41"/>
      <c r="I1227" s="41"/>
      <c r="J1227" s="41"/>
      <c r="K1227" s="41"/>
      <c r="L1227" s="41"/>
      <c r="M1227" s="41"/>
      <c r="N1227" s="41"/>
      <c r="O1227" s="41"/>
      <c r="P1227" s="41"/>
      <c r="Q1227" s="41"/>
      <c r="R1227" s="41"/>
      <c r="S1227" s="41"/>
      <c r="T1227" s="41"/>
      <c r="U1227" s="41"/>
      <c r="V1227" s="41"/>
      <c r="W1227" s="41"/>
      <c r="X1227" s="41"/>
      <c r="Y1227" s="41"/>
      <c r="Z1227" s="41"/>
      <c r="AA1227" s="41"/>
      <c r="AB1227" s="41"/>
      <c r="AC1227" s="41"/>
      <c r="AD1227" s="41"/>
      <c r="AE1227" s="41"/>
      <c r="AF1227" s="41"/>
      <c r="AG1227" s="41"/>
      <c r="AH1227" s="41"/>
      <c r="AI1227" s="41"/>
      <c r="AJ1227" s="41"/>
      <c r="AK1227" s="41"/>
      <c r="AL1227" s="41"/>
      <c r="AM1227" s="41"/>
      <c r="AN1227" s="41"/>
      <c r="AO1227" s="41"/>
      <c r="AP1227" s="41"/>
      <c r="AQ1227" s="41"/>
      <c r="AR1227" s="41"/>
      <c r="AS1227" s="41"/>
      <c r="AT1227" s="41"/>
      <c r="AU1227" s="41"/>
      <c r="AV1227" s="41"/>
      <c r="AW1227" s="41"/>
      <c r="AX1227" s="41"/>
      <c r="AY1227" s="41"/>
      <c r="AZ1227" s="41"/>
      <c r="BA1227" s="41"/>
      <c r="BB1227" s="41"/>
      <c r="BC1227" s="41"/>
      <c r="BD1227" s="41"/>
      <c r="BE1227" s="41"/>
      <c r="BF1227" s="41"/>
      <c r="BG1227" s="41"/>
      <c r="BH1227" s="41"/>
      <c r="BJ1227" s="41"/>
      <c r="BK1227" s="94"/>
      <c r="BL1227" s="94"/>
      <c r="BM1227" s="94"/>
      <c r="BN1227" s="94"/>
      <c r="BO1227" s="94"/>
      <c r="BP1227" s="94"/>
      <c r="BQ1227" s="94"/>
      <c r="BR1227" s="94"/>
      <c r="BS1227" s="94"/>
      <c r="BT1227" s="94"/>
      <c r="BU1227" s="94"/>
      <c r="BV1227" s="94"/>
      <c r="BW1227" s="94"/>
      <c r="BX1227" s="94"/>
      <c r="BY1227" s="94"/>
      <c r="BZ1227" s="94"/>
      <c r="CA1227" s="94"/>
      <c r="CB1227" s="94"/>
      <c r="CC1227" s="94"/>
      <c r="CD1227" s="94"/>
      <c r="CE1227" s="94"/>
      <c r="CF1227" s="94"/>
      <c r="CG1227" s="94"/>
      <c r="CH1227" s="94"/>
      <c r="CI1227" s="94"/>
      <c r="CJ1227" s="94"/>
      <c r="CK1227" s="94"/>
      <c r="CL1227" s="94"/>
      <c r="CM1227" s="94"/>
      <c r="CN1227" s="94"/>
      <c r="CO1227" s="94"/>
      <c r="CP1227" s="94"/>
      <c r="CQ1227" s="94"/>
      <c r="CR1227" s="94"/>
      <c r="CS1227" s="94"/>
      <c r="CT1227" s="94"/>
      <c r="CU1227" s="94">
        <v>1</v>
      </c>
      <c r="CV1227" s="94"/>
      <c r="CW1227" s="94"/>
      <c r="CX1227" s="94"/>
      <c r="CY1227" s="94"/>
      <c r="CZ1227" s="94"/>
      <c r="DA1227" s="94"/>
      <c r="DB1227" s="94"/>
      <c r="DC1227" s="94"/>
      <c r="DD1227" s="94"/>
      <c r="DE1227" s="94"/>
      <c r="DF1227" s="94"/>
      <c r="DG1227" s="94"/>
      <c r="DH1227" s="94"/>
      <c r="DI1227" s="94"/>
      <c r="DJ1227" s="94"/>
      <c r="DK1227" s="41"/>
      <c r="DL1227" s="41"/>
      <c r="DM1227" s="41"/>
      <c r="DN1227" s="41"/>
      <c r="DO1227" s="41"/>
      <c r="DP1227" s="41"/>
      <c r="DQ1227" s="41"/>
      <c r="DR1227" s="41"/>
      <c r="DS1227" s="43"/>
      <c r="DT1227" s="44">
        <f t="shared" ref="DT1227" si="1208">SUM(F1227:DR1227)</f>
        <v>1</v>
      </c>
    </row>
    <row r="1228" spans="2:124" s="13" customFormat="1">
      <c r="B1228" s="4">
        <f>'6.1Personnel List'!B1229</f>
        <v>1216</v>
      </c>
      <c r="C1228" s="45" t="s">
        <v>1444</v>
      </c>
      <c r="D1228" s="45" t="str">
        <f>'6.1Personnel List'!D1229</f>
        <v>Nursing Attendant II</v>
      </c>
      <c r="E1228" s="45" t="str">
        <f>'6.1Personnel List'!H1229</f>
        <v>FT</v>
      </c>
      <c r="G1228" s="41"/>
      <c r="H1228" s="41"/>
      <c r="I1228" s="41"/>
      <c r="J1228" s="41"/>
      <c r="K1228" s="41"/>
      <c r="L1228" s="41"/>
      <c r="M1228" s="41"/>
      <c r="N1228" s="41"/>
      <c r="O1228" s="41"/>
      <c r="P1228" s="41"/>
      <c r="Q1228" s="41"/>
      <c r="R1228" s="41"/>
      <c r="S1228" s="41"/>
      <c r="T1228" s="41"/>
      <c r="U1228" s="41"/>
      <c r="V1228" s="41"/>
      <c r="W1228" s="41"/>
      <c r="X1228" s="41"/>
      <c r="Y1228" s="41"/>
      <c r="Z1228" s="41"/>
      <c r="AA1228" s="41"/>
      <c r="AB1228" s="41"/>
      <c r="AC1228" s="41"/>
      <c r="AD1228" s="41"/>
      <c r="AE1228" s="41"/>
      <c r="AF1228" s="41"/>
      <c r="AG1228" s="41"/>
      <c r="AH1228" s="41"/>
      <c r="AI1228" s="41"/>
      <c r="AJ1228" s="41"/>
      <c r="AK1228" s="41"/>
      <c r="AL1228" s="41"/>
      <c r="AM1228" s="41"/>
      <c r="AN1228" s="41"/>
      <c r="AO1228" s="41"/>
      <c r="AP1228" s="41"/>
      <c r="AQ1228" s="41"/>
      <c r="AR1228" s="41"/>
      <c r="AS1228" s="41"/>
      <c r="AT1228" s="41"/>
      <c r="AU1228" s="41"/>
      <c r="AV1228" s="41"/>
      <c r="AW1228" s="41"/>
      <c r="AX1228" s="41"/>
      <c r="AY1228" s="41"/>
      <c r="AZ1228" s="41"/>
      <c r="BA1228" s="41"/>
      <c r="BB1228" s="41"/>
      <c r="BC1228" s="41"/>
      <c r="BD1228" s="41"/>
      <c r="BE1228" s="41"/>
      <c r="BF1228" s="41"/>
      <c r="BG1228" s="41"/>
      <c r="BH1228" s="41"/>
      <c r="BJ1228" s="41"/>
      <c r="BK1228" s="94"/>
      <c r="BL1228" s="94"/>
      <c r="BM1228" s="94"/>
      <c r="BN1228" s="94"/>
      <c r="BO1228" s="94"/>
      <c r="BP1228" s="94"/>
      <c r="BQ1228" s="94"/>
      <c r="BR1228" s="94"/>
      <c r="BS1228" s="94"/>
      <c r="BT1228" s="94"/>
      <c r="BU1228" s="94"/>
      <c r="BV1228" s="94"/>
      <c r="BW1228" s="94"/>
      <c r="BX1228" s="94"/>
      <c r="BY1228" s="94"/>
      <c r="BZ1228" s="94"/>
      <c r="CA1228" s="94"/>
      <c r="CB1228" s="94"/>
      <c r="CC1228" s="94"/>
      <c r="CD1228" s="94"/>
      <c r="CE1228" s="94"/>
      <c r="CF1228" s="94"/>
      <c r="CG1228" s="94"/>
      <c r="CH1228" s="94"/>
      <c r="CI1228" s="94"/>
      <c r="CJ1228" s="94"/>
      <c r="CK1228" s="94"/>
      <c r="CL1228" s="94"/>
      <c r="CM1228" s="94"/>
      <c r="CN1228" s="94"/>
      <c r="CO1228" s="94"/>
      <c r="CP1228" s="94"/>
      <c r="CQ1228" s="94"/>
      <c r="CR1228" s="94"/>
      <c r="CS1228" s="94"/>
      <c r="CT1228" s="94"/>
      <c r="CU1228" s="94"/>
      <c r="CV1228" s="94"/>
      <c r="CW1228" s="94"/>
      <c r="CX1228" s="94"/>
      <c r="CY1228" s="94"/>
      <c r="CZ1228" s="94"/>
      <c r="DA1228" s="94"/>
      <c r="DB1228" s="94"/>
      <c r="DC1228" s="94"/>
      <c r="DD1228" s="94"/>
      <c r="DE1228" s="94"/>
      <c r="DF1228" s="94"/>
      <c r="DG1228" s="94"/>
      <c r="DH1228" s="94"/>
      <c r="DI1228" s="94"/>
      <c r="DJ1228" s="94"/>
      <c r="DK1228" s="41"/>
      <c r="DL1228" s="41"/>
      <c r="DM1228" s="41">
        <v>1</v>
      </c>
      <c r="DN1228" s="41"/>
      <c r="DO1228" s="41"/>
      <c r="DP1228" s="41"/>
      <c r="DQ1228" s="41"/>
      <c r="DR1228" s="41"/>
      <c r="DS1228" s="43"/>
      <c r="DT1228" s="44">
        <f t="shared" ref="DT1228" si="1209">SUM(F1228:DR1228)</f>
        <v>1</v>
      </c>
    </row>
    <row r="1229" spans="2:124" s="13" customFormat="1">
      <c r="B1229" s="4">
        <f>'6.1Personnel List'!B1230</f>
        <v>1217</v>
      </c>
      <c r="C1229" s="45" t="s">
        <v>1445</v>
      </c>
      <c r="D1229" s="45" t="str">
        <f>'6.1Personnel List'!D1230</f>
        <v>Nursing Attendant II</v>
      </c>
      <c r="E1229" s="45" t="str">
        <f>'6.1Personnel List'!H1230</f>
        <v>FT</v>
      </c>
      <c r="G1229" s="41"/>
      <c r="H1229" s="41"/>
      <c r="I1229" s="41"/>
      <c r="J1229" s="41"/>
      <c r="K1229" s="41"/>
      <c r="L1229" s="41"/>
      <c r="M1229" s="41"/>
      <c r="N1229" s="41"/>
      <c r="O1229" s="41"/>
      <c r="P1229" s="41"/>
      <c r="Q1229" s="41"/>
      <c r="R1229" s="41"/>
      <c r="S1229" s="41"/>
      <c r="T1229" s="41"/>
      <c r="U1229" s="41"/>
      <c r="V1229" s="41"/>
      <c r="W1229" s="41"/>
      <c r="X1229" s="41"/>
      <c r="Y1229" s="41"/>
      <c r="Z1229" s="41"/>
      <c r="AA1229" s="41"/>
      <c r="AB1229" s="41"/>
      <c r="AC1229" s="41"/>
      <c r="AD1229" s="41"/>
      <c r="AE1229" s="41"/>
      <c r="AF1229" s="41"/>
      <c r="AG1229" s="41"/>
      <c r="AH1229" s="41"/>
      <c r="AI1229" s="41"/>
      <c r="AJ1229" s="41"/>
      <c r="AK1229" s="41"/>
      <c r="AL1229" s="41"/>
      <c r="AM1229" s="41"/>
      <c r="AN1229" s="41"/>
      <c r="AO1229" s="41"/>
      <c r="AP1229" s="41"/>
      <c r="AQ1229" s="41"/>
      <c r="AR1229" s="41"/>
      <c r="AS1229" s="41"/>
      <c r="AT1229" s="41"/>
      <c r="AU1229" s="41"/>
      <c r="AV1229" s="41"/>
      <c r="AW1229" s="41"/>
      <c r="AX1229" s="41"/>
      <c r="AY1229" s="41"/>
      <c r="AZ1229" s="41"/>
      <c r="BA1229" s="41"/>
      <c r="BB1229" s="41"/>
      <c r="BC1229" s="41"/>
      <c r="BD1229" s="41"/>
      <c r="BE1229" s="41"/>
      <c r="BF1229" s="41"/>
      <c r="BG1229" s="41"/>
      <c r="BH1229" s="41"/>
      <c r="BJ1229" s="41"/>
      <c r="BK1229" s="94"/>
      <c r="BL1229" s="94"/>
      <c r="BM1229" s="94"/>
      <c r="BN1229" s="94"/>
      <c r="BO1229" s="94"/>
      <c r="BP1229" s="94"/>
      <c r="BQ1229" s="94"/>
      <c r="BR1229" s="94"/>
      <c r="BS1229" s="94"/>
      <c r="BT1229" s="94"/>
      <c r="BU1229" s="94"/>
      <c r="BV1229" s="94"/>
      <c r="BW1229" s="94"/>
      <c r="BX1229" s="94"/>
      <c r="BY1229" s="94"/>
      <c r="BZ1229" s="94"/>
      <c r="CA1229" s="94"/>
      <c r="CB1229" s="94"/>
      <c r="CC1229" s="94"/>
      <c r="CD1229" s="94"/>
      <c r="CE1229" s="94"/>
      <c r="CF1229" s="94"/>
      <c r="CG1229" s="94"/>
      <c r="CH1229" s="94"/>
      <c r="CI1229" s="94"/>
      <c r="CJ1229" s="94"/>
      <c r="CK1229" s="94"/>
      <c r="CL1229" s="94"/>
      <c r="CM1229" s="94"/>
      <c r="CN1229" s="94"/>
      <c r="CO1229" s="94"/>
      <c r="CP1229" s="94"/>
      <c r="CQ1229" s="94"/>
      <c r="CR1229" s="94"/>
      <c r="CS1229" s="94"/>
      <c r="CT1229" s="94"/>
      <c r="CU1229" s="94"/>
      <c r="CV1229" s="94"/>
      <c r="CW1229" s="94"/>
      <c r="CX1229" s="94"/>
      <c r="CY1229" s="94"/>
      <c r="CZ1229" s="94"/>
      <c r="DA1229" s="94"/>
      <c r="DB1229" s="94"/>
      <c r="DC1229" s="94"/>
      <c r="DD1229" s="94"/>
      <c r="DE1229" s="94"/>
      <c r="DF1229" s="94"/>
      <c r="DG1229" s="94"/>
      <c r="DH1229" s="94"/>
      <c r="DI1229" s="94"/>
      <c r="DJ1229" s="94"/>
      <c r="DK1229" s="41"/>
      <c r="DL1229" s="41"/>
      <c r="DM1229" s="41">
        <v>1</v>
      </c>
      <c r="DN1229" s="41"/>
      <c r="DO1229" s="41"/>
      <c r="DP1229" s="41"/>
      <c r="DQ1229" s="41"/>
      <c r="DR1229" s="41"/>
      <c r="DS1229" s="43"/>
      <c r="DT1229" s="44">
        <f t="shared" ref="DT1229" si="1210">SUM(F1229:DR1229)</f>
        <v>1</v>
      </c>
    </row>
    <row r="1230" spans="2:124" s="13" customFormat="1">
      <c r="B1230" s="4">
        <f>'6.1Personnel List'!B1231</f>
        <v>1218</v>
      </c>
      <c r="C1230" s="45" t="s">
        <v>1446</v>
      </c>
      <c r="D1230" s="45" t="str">
        <f>'6.1Personnel List'!D1231</f>
        <v>Nursing Attendant II</v>
      </c>
      <c r="E1230" s="45" t="str">
        <f>'6.1Personnel List'!H1231</f>
        <v>FT</v>
      </c>
      <c r="G1230" s="41"/>
      <c r="H1230" s="41"/>
      <c r="I1230" s="41"/>
      <c r="J1230" s="41"/>
      <c r="K1230" s="41"/>
      <c r="L1230" s="41"/>
      <c r="M1230" s="41"/>
      <c r="N1230" s="41"/>
      <c r="O1230" s="41"/>
      <c r="P1230" s="41"/>
      <c r="Q1230" s="41"/>
      <c r="R1230" s="41"/>
      <c r="S1230" s="41"/>
      <c r="T1230" s="41"/>
      <c r="U1230" s="41"/>
      <c r="V1230" s="41"/>
      <c r="W1230" s="41"/>
      <c r="X1230" s="41"/>
      <c r="Y1230" s="41"/>
      <c r="Z1230" s="41"/>
      <c r="AA1230" s="41"/>
      <c r="AB1230" s="41"/>
      <c r="AC1230" s="41"/>
      <c r="AD1230" s="41"/>
      <c r="AE1230" s="41"/>
      <c r="AF1230" s="41"/>
      <c r="AG1230" s="41"/>
      <c r="AH1230" s="41"/>
      <c r="AI1230" s="41"/>
      <c r="AJ1230" s="41"/>
      <c r="AK1230" s="41"/>
      <c r="AL1230" s="41"/>
      <c r="AM1230" s="41"/>
      <c r="AN1230" s="41"/>
      <c r="AO1230" s="41"/>
      <c r="AP1230" s="41"/>
      <c r="AQ1230" s="41"/>
      <c r="AR1230" s="41"/>
      <c r="AS1230" s="41"/>
      <c r="AT1230" s="41"/>
      <c r="AU1230" s="41"/>
      <c r="AV1230" s="41"/>
      <c r="AW1230" s="41"/>
      <c r="AX1230" s="41"/>
      <c r="AY1230" s="41"/>
      <c r="AZ1230" s="41"/>
      <c r="BA1230" s="41"/>
      <c r="BB1230" s="41"/>
      <c r="BC1230" s="41"/>
      <c r="BD1230" s="41"/>
      <c r="BE1230" s="41"/>
      <c r="BF1230" s="41"/>
      <c r="BG1230" s="41"/>
      <c r="BH1230" s="41"/>
      <c r="BJ1230" s="41"/>
      <c r="BK1230" s="94"/>
      <c r="BL1230" s="94"/>
      <c r="BM1230" s="94"/>
      <c r="BN1230" s="94"/>
      <c r="BO1230" s="94"/>
      <c r="BP1230" s="94"/>
      <c r="BQ1230" s="94"/>
      <c r="BR1230" s="94"/>
      <c r="BS1230" s="94"/>
      <c r="BT1230" s="94"/>
      <c r="BU1230" s="94"/>
      <c r="BV1230" s="94"/>
      <c r="BW1230" s="94"/>
      <c r="BX1230" s="94"/>
      <c r="BY1230" s="94"/>
      <c r="BZ1230" s="94"/>
      <c r="CA1230" s="94"/>
      <c r="CB1230" s="94"/>
      <c r="CC1230" s="94"/>
      <c r="CD1230" s="94"/>
      <c r="CE1230" s="94"/>
      <c r="CF1230" s="94"/>
      <c r="CG1230" s="94"/>
      <c r="CH1230" s="94"/>
      <c r="CI1230" s="94"/>
      <c r="CJ1230" s="94"/>
      <c r="CK1230" s="94"/>
      <c r="CL1230" s="94"/>
      <c r="CM1230" s="94"/>
      <c r="CN1230" s="94"/>
      <c r="CO1230" s="94"/>
      <c r="CP1230" s="94"/>
      <c r="CQ1230" s="94"/>
      <c r="CR1230" s="94"/>
      <c r="CS1230" s="94"/>
      <c r="CT1230" s="94"/>
      <c r="CU1230" s="94"/>
      <c r="CV1230" s="94"/>
      <c r="CW1230" s="94"/>
      <c r="CX1230" s="94"/>
      <c r="CY1230" s="94"/>
      <c r="CZ1230" s="94"/>
      <c r="DA1230" s="94"/>
      <c r="DB1230" s="94"/>
      <c r="DC1230" s="94"/>
      <c r="DD1230" s="94"/>
      <c r="DE1230" s="94"/>
      <c r="DF1230" s="94"/>
      <c r="DG1230" s="94"/>
      <c r="DH1230" s="94"/>
      <c r="DI1230" s="94"/>
      <c r="DJ1230" s="94"/>
      <c r="DK1230" s="41">
        <v>1</v>
      </c>
      <c r="DL1230" s="41"/>
      <c r="DM1230" s="41"/>
      <c r="DN1230" s="41"/>
      <c r="DO1230" s="41"/>
      <c r="DP1230" s="41"/>
      <c r="DQ1230" s="41"/>
      <c r="DR1230" s="41"/>
      <c r="DS1230" s="43"/>
      <c r="DT1230" s="44">
        <f t="shared" ref="DT1230" si="1211">SUM(F1230:DR1230)</f>
        <v>1</v>
      </c>
    </row>
    <row r="1231" spans="2:124" s="13" customFormat="1">
      <c r="B1231" s="4">
        <f>'6.1Personnel List'!B1232</f>
        <v>1219</v>
      </c>
      <c r="C1231" s="45" t="s">
        <v>1447</v>
      </c>
      <c r="D1231" s="45" t="str">
        <f>'6.1Personnel List'!D1232</f>
        <v>Nursing Attendant II</v>
      </c>
      <c r="E1231" s="45" t="str">
        <f>'6.1Personnel List'!H1232</f>
        <v>FT</v>
      </c>
      <c r="G1231" s="41"/>
      <c r="H1231" s="41"/>
      <c r="I1231" s="41"/>
      <c r="J1231" s="41"/>
      <c r="K1231" s="41"/>
      <c r="L1231" s="41"/>
      <c r="M1231" s="41"/>
      <c r="N1231" s="41"/>
      <c r="O1231" s="41"/>
      <c r="P1231" s="41"/>
      <c r="Q1231" s="41"/>
      <c r="R1231" s="41"/>
      <c r="S1231" s="41"/>
      <c r="T1231" s="41"/>
      <c r="U1231" s="41"/>
      <c r="V1231" s="41"/>
      <c r="W1231" s="41"/>
      <c r="X1231" s="41"/>
      <c r="Y1231" s="41"/>
      <c r="Z1231" s="41"/>
      <c r="AA1231" s="41"/>
      <c r="AB1231" s="41"/>
      <c r="AC1231" s="41"/>
      <c r="AD1231" s="41"/>
      <c r="AE1231" s="41"/>
      <c r="AF1231" s="41"/>
      <c r="AG1231" s="41"/>
      <c r="AH1231" s="41"/>
      <c r="AI1231" s="41"/>
      <c r="AJ1231" s="41"/>
      <c r="AK1231" s="41"/>
      <c r="AL1231" s="41"/>
      <c r="AM1231" s="41"/>
      <c r="AN1231" s="41"/>
      <c r="AO1231" s="41"/>
      <c r="AP1231" s="41"/>
      <c r="AQ1231" s="41"/>
      <c r="AR1231" s="41"/>
      <c r="AS1231" s="41"/>
      <c r="AT1231" s="41"/>
      <c r="AU1231" s="41"/>
      <c r="AV1231" s="41"/>
      <c r="AW1231" s="41"/>
      <c r="AX1231" s="41"/>
      <c r="AY1231" s="41"/>
      <c r="AZ1231" s="41"/>
      <c r="BA1231" s="41"/>
      <c r="BB1231" s="41"/>
      <c r="BC1231" s="41"/>
      <c r="BD1231" s="41"/>
      <c r="BE1231" s="41"/>
      <c r="BF1231" s="41"/>
      <c r="BG1231" s="41"/>
      <c r="BH1231" s="41"/>
      <c r="BJ1231" s="41"/>
      <c r="BK1231" s="94"/>
      <c r="BL1231" s="94"/>
      <c r="BM1231" s="94"/>
      <c r="BN1231" s="94"/>
      <c r="BO1231" s="94"/>
      <c r="BP1231" s="94"/>
      <c r="BQ1231" s="94"/>
      <c r="BR1231" s="94"/>
      <c r="BS1231" s="94"/>
      <c r="BT1231" s="94"/>
      <c r="BU1231" s="94"/>
      <c r="BV1231" s="94"/>
      <c r="BW1231" s="94"/>
      <c r="BX1231" s="94"/>
      <c r="BY1231" s="94"/>
      <c r="BZ1231" s="94"/>
      <c r="CA1231" s="94"/>
      <c r="CB1231" s="94"/>
      <c r="CC1231" s="94"/>
      <c r="CD1231" s="94"/>
      <c r="CE1231" s="94"/>
      <c r="CF1231" s="94"/>
      <c r="CG1231" s="94"/>
      <c r="CH1231" s="94"/>
      <c r="CI1231" s="94"/>
      <c r="CJ1231" s="94"/>
      <c r="CK1231" s="94"/>
      <c r="CL1231" s="94"/>
      <c r="CM1231" s="94"/>
      <c r="CN1231" s="94">
        <v>1</v>
      </c>
      <c r="CO1231" s="94"/>
      <c r="CP1231" s="94"/>
      <c r="CQ1231" s="94"/>
      <c r="CR1231" s="94"/>
      <c r="CS1231" s="94"/>
      <c r="CT1231" s="94"/>
      <c r="CU1231" s="94"/>
      <c r="CV1231" s="94"/>
      <c r="CW1231" s="94"/>
      <c r="CX1231" s="94"/>
      <c r="CY1231" s="94"/>
      <c r="CZ1231" s="94"/>
      <c r="DA1231" s="94"/>
      <c r="DB1231" s="94"/>
      <c r="DC1231" s="94"/>
      <c r="DD1231" s="94"/>
      <c r="DE1231" s="94"/>
      <c r="DF1231" s="94"/>
      <c r="DG1231" s="94"/>
      <c r="DH1231" s="94"/>
      <c r="DI1231" s="94"/>
      <c r="DJ1231" s="94"/>
      <c r="DK1231" s="41"/>
      <c r="DL1231" s="41"/>
      <c r="DM1231" s="41"/>
      <c r="DN1231" s="41"/>
      <c r="DO1231" s="41"/>
      <c r="DP1231" s="41"/>
      <c r="DQ1231" s="41"/>
      <c r="DR1231" s="41"/>
      <c r="DS1231" s="43"/>
      <c r="DT1231" s="44">
        <f t="shared" ref="DT1231" si="1212">SUM(F1231:DR1231)</f>
        <v>1</v>
      </c>
    </row>
    <row r="1232" spans="2:124" s="13" customFormat="1">
      <c r="B1232" s="4">
        <f>'6.1Personnel List'!B1233</f>
        <v>1220</v>
      </c>
      <c r="C1232" s="45" t="s">
        <v>1448</v>
      </c>
      <c r="D1232" s="45" t="str">
        <f>'6.1Personnel List'!D1233</f>
        <v>Nursing Attendant II</v>
      </c>
      <c r="E1232" s="45" t="str">
        <f>'6.1Personnel List'!H1233</f>
        <v>FT</v>
      </c>
      <c r="G1232" s="41"/>
      <c r="H1232" s="41"/>
      <c r="I1232" s="41"/>
      <c r="J1232" s="41"/>
      <c r="K1232" s="41"/>
      <c r="L1232" s="41"/>
      <c r="M1232" s="41"/>
      <c r="N1232" s="41"/>
      <c r="O1232" s="41"/>
      <c r="P1232" s="41"/>
      <c r="Q1232" s="41"/>
      <c r="R1232" s="41"/>
      <c r="S1232" s="41"/>
      <c r="T1232" s="41"/>
      <c r="U1232" s="41"/>
      <c r="V1232" s="41"/>
      <c r="W1232" s="41"/>
      <c r="X1232" s="41"/>
      <c r="Y1232" s="41"/>
      <c r="Z1232" s="41"/>
      <c r="AA1232" s="41"/>
      <c r="AB1232" s="41"/>
      <c r="AC1232" s="41"/>
      <c r="AD1232" s="41"/>
      <c r="AE1232" s="41"/>
      <c r="AF1232" s="41"/>
      <c r="AG1232" s="41"/>
      <c r="AH1232" s="41"/>
      <c r="AI1232" s="41"/>
      <c r="AJ1232" s="41"/>
      <c r="AK1232" s="41"/>
      <c r="AL1232" s="41"/>
      <c r="AM1232" s="41"/>
      <c r="AN1232" s="41"/>
      <c r="AO1232" s="41"/>
      <c r="AP1232" s="41"/>
      <c r="AQ1232" s="41"/>
      <c r="AR1232" s="41"/>
      <c r="AS1232" s="41"/>
      <c r="AT1232" s="41"/>
      <c r="AU1232" s="41"/>
      <c r="AV1232" s="41"/>
      <c r="AW1232" s="41"/>
      <c r="AX1232" s="41"/>
      <c r="AY1232" s="41"/>
      <c r="AZ1232" s="41"/>
      <c r="BA1232" s="41"/>
      <c r="BB1232" s="41"/>
      <c r="BC1232" s="41"/>
      <c r="BD1232" s="41"/>
      <c r="BE1232" s="41"/>
      <c r="BF1232" s="41"/>
      <c r="BG1232" s="41"/>
      <c r="BH1232" s="41"/>
      <c r="BJ1232" s="41"/>
      <c r="BK1232" s="41"/>
      <c r="BL1232" s="41"/>
      <c r="BM1232" s="41"/>
      <c r="BN1232" s="41"/>
      <c r="BO1232" s="41"/>
      <c r="BP1232" s="41"/>
      <c r="BQ1232" s="41"/>
      <c r="BR1232" s="41"/>
      <c r="BS1232" s="41"/>
      <c r="BT1232" s="41"/>
      <c r="BU1232" s="41"/>
      <c r="BV1232" s="41">
        <v>0.1</v>
      </c>
      <c r="BW1232" s="41"/>
      <c r="BX1232" s="41"/>
      <c r="BY1232" s="41"/>
      <c r="BZ1232" s="41"/>
      <c r="CA1232" s="41"/>
      <c r="CB1232" s="41"/>
      <c r="CC1232" s="41"/>
      <c r="CD1232" s="41"/>
      <c r="CE1232" s="41">
        <v>0.1</v>
      </c>
      <c r="CF1232" s="41"/>
      <c r="CG1232" s="41"/>
      <c r="CH1232" s="41">
        <v>0.1</v>
      </c>
      <c r="CI1232" s="41"/>
      <c r="CJ1232" s="41"/>
      <c r="CK1232" s="41"/>
      <c r="CL1232" s="41"/>
      <c r="CM1232" s="41"/>
      <c r="CN1232" s="41"/>
      <c r="CO1232" s="41"/>
      <c r="CP1232" s="41"/>
      <c r="CQ1232" s="41"/>
      <c r="CR1232" s="41"/>
      <c r="CS1232" s="41"/>
      <c r="CT1232" s="41"/>
      <c r="CU1232" s="41"/>
      <c r="CV1232" s="41"/>
      <c r="CW1232" s="41"/>
      <c r="CX1232" s="41"/>
      <c r="CY1232" s="41"/>
      <c r="CZ1232" s="41"/>
      <c r="DA1232" s="41"/>
      <c r="DB1232" s="41"/>
      <c r="DC1232" s="41"/>
      <c r="DD1232" s="41"/>
      <c r="DE1232" s="41"/>
      <c r="DF1232" s="41"/>
      <c r="DG1232" s="41"/>
      <c r="DH1232" s="41"/>
      <c r="DI1232" s="41"/>
      <c r="DJ1232" s="41"/>
      <c r="DK1232" s="41"/>
      <c r="DL1232" s="41"/>
      <c r="DM1232" s="41">
        <v>0.7</v>
      </c>
      <c r="DN1232" s="41"/>
      <c r="DO1232" s="41"/>
      <c r="DP1232" s="41"/>
      <c r="DQ1232" s="41"/>
      <c r="DR1232" s="41"/>
      <c r="DS1232" s="43"/>
      <c r="DT1232" s="44">
        <f t="shared" ref="DT1232" si="1213">SUM(F1232:DR1232)</f>
        <v>1</v>
      </c>
    </row>
    <row r="1233" spans="2:124" s="13" customFormat="1">
      <c r="B1233" s="4">
        <f>'6.1Personnel List'!B1234</f>
        <v>1221</v>
      </c>
      <c r="C1233" s="45" t="s">
        <v>1449</v>
      </c>
      <c r="D1233" s="45" t="str">
        <f>'6.1Personnel List'!D1234</f>
        <v>Nursing Attendant II</v>
      </c>
      <c r="E1233" s="45" t="str">
        <f>'6.1Personnel List'!H1234</f>
        <v>FT</v>
      </c>
      <c r="G1233" s="41"/>
      <c r="H1233" s="41"/>
      <c r="I1233" s="41"/>
      <c r="J1233" s="41"/>
      <c r="K1233" s="41"/>
      <c r="L1233" s="41"/>
      <c r="M1233" s="41"/>
      <c r="N1233" s="41"/>
      <c r="O1233" s="41"/>
      <c r="P1233" s="41"/>
      <c r="Q1233" s="41"/>
      <c r="R1233" s="41"/>
      <c r="S1233" s="41"/>
      <c r="T1233" s="41"/>
      <c r="U1233" s="41"/>
      <c r="V1233" s="41"/>
      <c r="W1233" s="41"/>
      <c r="X1233" s="41"/>
      <c r="Y1233" s="41"/>
      <c r="Z1233" s="41"/>
      <c r="AA1233" s="41"/>
      <c r="AB1233" s="41"/>
      <c r="AC1233" s="41"/>
      <c r="AD1233" s="41"/>
      <c r="AE1233" s="41"/>
      <c r="AF1233" s="41"/>
      <c r="AG1233" s="41"/>
      <c r="AH1233" s="41"/>
      <c r="AI1233" s="41"/>
      <c r="AJ1233" s="41"/>
      <c r="AK1233" s="41"/>
      <c r="AL1233" s="41"/>
      <c r="AM1233" s="41"/>
      <c r="AN1233" s="41"/>
      <c r="AO1233" s="41"/>
      <c r="AP1233" s="41"/>
      <c r="AQ1233" s="41"/>
      <c r="AR1233" s="41"/>
      <c r="AS1233" s="41"/>
      <c r="AT1233" s="41"/>
      <c r="AU1233" s="41"/>
      <c r="AV1233" s="41"/>
      <c r="AW1233" s="41"/>
      <c r="AX1233" s="41"/>
      <c r="AY1233" s="41"/>
      <c r="AZ1233" s="41"/>
      <c r="BA1233" s="41"/>
      <c r="BB1233" s="41"/>
      <c r="BC1233" s="41"/>
      <c r="BD1233" s="41"/>
      <c r="BE1233" s="41"/>
      <c r="BF1233" s="41"/>
      <c r="BG1233" s="41"/>
      <c r="BH1233" s="41"/>
      <c r="BJ1233" s="41"/>
      <c r="BK1233" s="41"/>
      <c r="BL1233" s="41"/>
      <c r="BM1233" s="41"/>
      <c r="BN1233" s="41"/>
      <c r="BO1233" s="41"/>
      <c r="BP1233" s="41"/>
      <c r="BQ1233" s="41"/>
      <c r="BR1233" s="41"/>
      <c r="BS1233" s="41"/>
      <c r="BT1233" s="41"/>
      <c r="BU1233" s="41"/>
      <c r="BV1233" s="41">
        <v>0.2</v>
      </c>
      <c r="BW1233" s="41"/>
      <c r="BX1233" s="41"/>
      <c r="BY1233" s="41"/>
      <c r="BZ1233" s="41"/>
      <c r="CA1233" s="41"/>
      <c r="CB1233" s="41">
        <v>0.2</v>
      </c>
      <c r="CC1233" s="41"/>
      <c r="CD1233" s="41"/>
      <c r="CE1233" s="41">
        <v>0.2</v>
      </c>
      <c r="CF1233" s="41"/>
      <c r="CG1233" s="41"/>
      <c r="CH1233" s="41"/>
      <c r="CI1233" s="41"/>
      <c r="CJ1233" s="41"/>
      <c r="CK1233" s="41"/>
      <c r="CL1233" s="41">
        <v>0.4</v>
      </c>
      <c r="CM1233" s="41"/>
      <c r="CN1233" s="41"/>
      <c r="CO1233" s="41"/>
      <c r="CP1233" s="41"/>
      <c r="CQ1233" s="41"/>
      <c r="CR1233" s="41"/>
      <c r="CS1233" s="41"/>
      <c r="CT1233" s="41"/>
      <c r="CU1233" s="41"/>
      <c r="CV1233" s="41"/>
      <c r="CW1233" s="41"/>
      <c r="CX1233" s="41"/>
      <c r="CY1233" s="41"/>
      <c r="CZ1233" s="41"/>
      <c r="DA1233" s="41"/>
      <c r="DB1233" s="41"/>
      <c r="DC1233" s="41"/>
      <c r="DD1233" s="41"/>
      <c r="DE1233" s="41"/>
      <c r="DF1233" s="41"/>
      <c r="DG1233" s="41"/>
      <c r="DH1233" s="41"/>
      <c r="DI1233" s="41"/>
      <c r="DJ1233" s="41"/>
      <c r="DK1233" s="41"/>
      <c r="DL1233" s="41"/>
      <c r="DM1233" s="41"/>
      <c r="DN1233" s="41"/>
      <c r="DO1233" s="41"/>
      <c r="DP1233" s="41"/>
      <c r="DQ1233" s="41"/>
      <c r="DR1233" s="41"/>
      <c r="DS1233" s="43"/>
      <c r="DT1233" s="44">
        <f t="shared" ref="DT1233" si="1214">SUM(F1233:DR1233)</f>
        <v>1</v>
      </c>
    </row>
    <row r="1234" spans="2:124" s="13" customFormat="1">
      <c r="B1234" s="4">
        <f>'6.1Personnel List'!B1235</f>
        <v>1222</v>
      </c>
      <c r="C1234" s="45" t="s">
        <v>1450</v>
      </c>
      <c r="D1234" s="45" t="str">
        <f>'6.1Personnel List'!D1235</f>
        <v>Nursing Attendant II</v>
      </c>
      <c r="E1234" s="45" t="str">
        <f>'6.1Personnel List'!H1235</f>
        <v>FT</v>
      </c>
      <c r="G1234" s="41"/>
      <c r="H1234" s="41"/>
      <c r="I1234" s="41"/>
      <c r="J1234" s="41"/>
      <c r="K1234" s="41"/>
      <c r="L1234" s="41"/>
      <c r="M1234" s="41"/>
      <c r="N1234" s="41"/>
      <c r="O1234" s="41"/>
      <c r="P1234" s="41"/>
      <c r="Q1234" s="41"/>
      <c r="R1234" s="41"/>
      <c r="S1234" s="41"/>
      <c r="T1234" s="41"/>
      <c r="U1234" s="41"/>
      <c r="V1234" s="41"/>
      <c r="W1234" s="41"/>
      <c r="X1234" s="41"/>
      <c r="Y1234" s="41"/>
      <c r="Z1234" s="41"/>
      <c r="AA1234" s="41"/>
      <c r="AB1234" s="41"/>
      <c r="AC1234" s="41"/>
      <c r="AD1234" s="41"/>
      <c r="AE1234" s="41"/>
      <c r="AF1234" s="41"/>
      <c r="AG1234" s="41"/>
      <c r="AH1234" s="41"/>
      <c r="AI1234" s="41"/>
      <c r="AJ1234" s="41"/>
      <c r="AK1234" s="41"/>
      <c r="AL1234" s="41"/>
      <c r="AM1234" s="41"/>
      <c r="AN1234" s="41"/>
      <c r="AO1234" s="41"/>
      <c r="AP1234" s="41"/>
      <c r="AQ1234" s="41"/>
      <c r="AR1234" s="41"/>
      <c r="AS1234" s="41"/>
      <c r="AT1234" s="41"/>
      <c r="AU1234" s="41"/>
      <c r="AV1234" s="41"/>
      <c r="AW1234" s="41"/>
      <c r="AX1234" s="41"/>
      <c r="AY1234" s="41"/>
      <c r="AZ1234" s="41"/>
      <c r="BA1234" s="41"/>
      <c r="BB1234" s="41"/>
      <c r="BC1234" s="41"/>
      <c r="BD1234" s="41"/>
      <c r="BE1234" s="41"/>
      <c r="BF1234" s="41"/>
      <c r="BG1234" s="41"/>
      <c r="BH1234" s="41"/>
      <c r="BJ1234" s="41"/>
      <c r="BK1234" s="94"/>
      <c r="BL1234" s="94"/>
      <c r="BM1234" s="94"/>
      <c r="BN1234" s="94"/>
      <c r="BO1234" s="94"/>
      <c r="BP1234" s="94"/>
      <c r="BQ1234" s="94"/>
      <c r="BR1234" s="94"/>
      <c r="BS1234" s="94"/>
      <c r="BT1234" s="94"/>
      <c r="BU1234" s="94"/>
      <c r="BV1234" s="94"/>
      <c r="BW1234" s="94"/>
      <c r="BX1234" s="94"/>
      <c r="BY1234" s="94"/>
      <c r="BZ1234" s="94"/>
      <c r="CA1234" s="94"/>
      <c r="CB1234" s="94"/>
      <c r="CC1234" s="94"/>
      <c r="CD1234" s="94"/>
      <c r="CE1234" s="94"/>
      <c r="CF1234" s="94"/>
      <c r="CG1234" s="94"/>
      <c r="CH1234" s="94"/>
      <c r="CI1234" s="94"/>
      <c r="CJ1234" s="94"/>
      <c r="CK1234" s="94"/>
      <c r="CL1234" s="94"/>
      <c r="CM1234" s="94"/>
      <c r="CN1234" s="94">
        <v>1</v>
      </c>
      <c r="CO1234" s="94"/>
      <c r="CP1234" s="94"/>
      <c r="CQ1234" s="94"/>
      <c r="CR1234" s="94"/>
      <c r="CS1234" s="94"/>
      <c r="CT1234" s="94"/>
      <c r="CU1234" s="94"/>
      <c r="CV1234" s="94"/>
      <c r="CW1234" s="94"/>
      <c r="CX1234" s="94"/>
      <c r="CY1234" s="94"/>
      <c r="CZ1234" s="94"/>
      <c r="DA1234" s="94"/>
      <c r="DB1234" s="94"/>
      <c r="DC1234" s="94"/>
      <c r="DD1234" s="94"/>
      <c r="DE1234" s="94"/>
      <c r="DF1234" s="94"/>
      <c r="DG1234" s="94"/>
      <c r="DH1234" s="94"/>
      <c r="DI1234" s="94"/>
      <c r="DJ1234" s="94"/>
      <c r="DK1234" s="41"/>
      <c r="DL1234" s="41"/>
      <c r="DM1234" s="41"/>
      <c r="DN1234" s="41"/>
      <c r="DO1234" s="41"/>
      <c r="DP1234" s="41"/>
      <c r="DQ1234" s="41"/>
      <c r="DR1234" s="41"/>
      <c r="DS1234" s="43"/>
      <c r="DT1234" s="44">
        <f t="shared" ref="DT1234" si="1215">SUM(F1234:DR1234)</f>
        <v>1</v>
      </c>
    </row>
    <row r="1235" spans="2:124" s="13" customFormat="1">
      <c r="B1235" s="4">
        <f>'6.1Personnel List'!B1236</f>
        <v>1223</v>
      </c>
      <c r="C1235" s="45" t="s">
        <v>1451</v>
      </c>
      <c r="D1235" s="45" t="str">
        <f>'6.1Personnel List'!D1236</f>
        <v>Nursing Attendant II</v>
      </c>
      <c r="E1235" s="45" t="str">
        <f>'6.1Personnel List'!H1236</f>
        <v>FT</v>
      </c>
      <c r="G1235" s="41"/>
      <c r="H1235" s="41"/>
      <c r="I1235" s="41"/>
      <c r="J1235" s="41"/>
      <c r="K1235" s="41"/>
      <c r="L1235" s="41"/>
      <c r="M1235" s="41"/>
      <c r="N1235" s="41"/>
      <c r="O1235" s="41"/>
      <c r="P1235" s="41"/>
      <c r="Q1235" s="41"/>
      <c r="R1235" s="41"/>
      <c r="S1235" s="41"/>
      <c r="T1235" s="41"/>
      <c r="U1235" s="41"/>
      <c r="V1235" s="41"/>
      <c r="W1235" s="41"/>
      <c r="X1235" s="41"/>
      <c r="Y1235" s="41"/>
      <c r="Z1235" s="41"/>
      <c r="AA1235" s="41"/>
      <c r="AB1235" s="41"/>
      <c r="AC1235" s="41"/>
      <c r="AD1235" s="41"/>
      <c r="AE1235" s="41"/>
      <c r="AF1235" s="41"/>
      <c r="AG1235" s="41"/>
      <c r="AH1235" s="41"/>
      <c r="AI1235" s="41"/>
      <c r="AJ1235" s="41"/>
      <c r="AK1235" s="41"/>
      <c r="AL1235" s="41"/>
      <c r="AM1235" s="41"/>
      <c r="AN1235" s="41"/>
      <c r="AO1235" s="41"/>
      <c r="AP1235" s="41"/>
      <c r="AQ1235" s="41"/>
      <c r="AR1235" s="41"/>
      <c r="AS1235" s="41"/>
      <c r="AT1235" s="41"/>
      <c r="AU1235" s="41"/>
      <c r="AV1235" s="41"/>
      <c r="AW1235" s="41"/>
      <c r="AX1235" s="41"/>
      <c r="AY1235" s="41"/>
      <c r="AZ1235" s="41"/>
      <c r="BA1235" s="41"/>
      <c r="BB1235" s="41"/>
      <c r="BC1235" s="41"/>
      <c r="BD1235" s="41"/>
      <c r="BE1235" s="41"/>
      <c r="BF1235" s="41"/>
      <c r="BG1235" s="41"/>
      <c r="BH1235" s="41"/>
      <c r="BJ1235" s="41"/>
      <c r="BK1235" s="94"/>
      <c r="BL1235" s="94"/>
      <c r="BM1235" s="94"/>
      <c r="BN1235" s="94"/>
      <c r="BO1235" s="94"/>
      <c r="BP1235" s="94"/>
      <c r="BQ1235" s="94"/>
      <c r="BR1235" s="94"/>
      <c r="BS1235" s="94"/>
      <c r="BT1235" s="94"/>
      <c r="BU1235" s="94"/>
      <c r="BV1235" s="94"/>
      <c r="BW1235" s="94"/>
      <c r="BX1235" s="94"/>
      <c r="BY1235" s="94"/>
      <c r="BZ1235" s="94"/>
      <c r="CA1235" s="94"/>
      <c r="CB1235" s="94"/>
      <c r="CC1235" s="94"/>
      <c r="CD1235" s="94"/>
      <c r="CE1235" s="94"/>
      <c r="CF1235" s="94"/>
      <c r="CG1235" s="94"/>
      <c r="CH1235" s="94"/>
      <c r="CI1235" s="94"/>
      <c r="CJ1235" s="94"/>
      <c r="CK1235" s="94"/>
      <c r="CL1235" s="94"/>
      <c r="CM1235" s="94"/>
      <c r="CN1235" s="94"/>
      <c r="CO1235" s="94"/>
      <c r="CP1235" s="94"/>
      <c r="CQ1235" s="94">
        <v>1</v>
      </c>
      <c r="CR1235" s="94"/>
      <c r="CS1235" s="94"/>
      <c r="CT1235" s="94"/>
      <c r="CU1235" s="94"/>
      <c r="CV1235" s="94"/>
      <c r="CW1235" s="94"/>
      <c r="CX1235" s="94"/>
      <c r="CY1235" s="94"/>
      <c r="CZ1235" s="94"/>
      <c r="DA1235" s="94"/>
      <c r="DB1235" s="94"/>
      <c r="DC1235" s="94"/>
      <c r="DD1235" s="94"/>
      <c r="DE1235" s="94"/>
      <c r="DF1235" s="94"/>
      <c r="DG1235" s="94"/>
      <c r="DH1235" s="94"/>
      <c r="DI1235" s="94"/>
      <c r="DJ1235" s="94"/>
      <c r="DK1235" s="41"/>
      <c r="DL1235" s="41"/>
      <c r="DM1235" s="41"/>
      <c r="DN1235" s="41"/>
      <c r="DO1235" s="41"/>
      <c r="DP1235" s="41"/>
      <c r="DQ1235" s="41"/>
      <c r="DR1235" s="41"/>
      <c r="DS1235" s="43"/>
      <c r="DT1235" s="44">
        <f t="shared" ref="DT1235" si="1216">SUM(F1235:DR1235)</f>
        <v>1</v>
      </c>
    </row>
    <row r="1236" spans="2:124" s="13" customFormat="1">
      <c r="B1236" s="4">
        <f>'6.1Personnel List'!B1237</f>
        <v>1224</v>
      </c>
      <c r="C1236" s="45" t="s">
        <v>1452</v>
      </c>
      <c r="D1236" s="45" t="str">
        <f>'6.1Personnel List'!D1237</f>
        <v>Nursing Attendant II</v>
      </c>
      <c r="E1236" s="45" t="str">
        <f>'6.1Personnel List'!H1237</f>
        <v>FT</v>
      </c>
      <c r="G1236" s="41"/>
      <c r="H1236" s="41"/>
      <c r="I1236" s="41"/>
      <c r="J1236" s="41"/>
      <c r="K1236" s="41"/>
      <c r="L1236" s="41"/>
      <c r="M1236" s="41"/>
      <c r="N1236" s="41"/>
      <c r="O1236" s="41"/>
      <c r="P1236" s="41"/>
      <c r="Q1236" s="41"/>
      <c r="R1236" s="41"/>
      <c r="S1236" s="41"/>
      <c r="T1236" s="41"/>
      <c r="U1236" s="41"/>
      <c r="V1236" s="41"/>
      <c r="W1236" s="41"/>
      <c r="X1236" s="41"/>
      <c r="Y1236" s="41"/>
      <c r="Z1236" s="41"/>
      <c r="AA1236" s="41"/>
      <c r="AB1236" s="41"/>
      <c r="AC1236" s="41"/>
      <c r="AD1236" s="41"/>
      <c r="AE1236" s="41"/>
      <c r="AF1236" s="41"/>
      <c r="AG1236" s="41"/>
      <c r="AH1236" s="41"/>
      <c r="AI1236" s="41"/>
      <c r="AJ1236" s="41"/>
      <c r="AK1236" s="41"/>
      <c r="AL1236" s="41"/>
      <c r="AM1236" s="41"/>
      <c r="AN1236" s="41"/>
      <c r="AO1236" s="41"/>
      <c r="AP1236" s="41"/>
      <c r="AQ1236" s="41"/>
      <c r="AR1236" s="41"/>
      <c r="AS1236" s="41"/>
      <c r="AT1236" s="41"/>
      <c r="AU1236" s="41"/>
      <c r="AV1236" s="41"/>
      <c r="AW1236" s="41"/>
      <c r="AX1236" s="41"/>
      <c r="AY1236" s="41"/>
      <c r="AZ1236" s="41"/>
      <c r="BA1236" s="41"/>
      <c r="BB1236" s="41"/>
      <c r="BC1236" s="41"/>
      <c r="BD1236" s="41"/>
      <c r="BE1236" s="41"/>
      <c r="BF1236" s="41"/>
      <c r="BG1236" s="41"/>
      <c r="BH1236" s="41"/>
      <c r="BJ1236" s="41"/>
      <c r="BK1236" s="94"/>
      <c r="BL1236" s="94"/>
      <c r="BM1236" s="94"/>
      <c r="BN1236" s="94"/>
      <c r="BO1236" s="94"/>
      <c r="BP1236" s="94"/>
      <c r="BQ1236" s="94"/>
      <c r="BR1236" s="94"/>
      <c r="BS1236" s="94"/>
      <c r="BT1236" s="94"/>
      <c r="BU1236" s="94"/>
      <c r="BV1236" s="94"/>
      <c r="BW1236" s="94"/>
      <c r="BX1236" s="94"/>
      <c r="BY1236" s="94"/>
      <c r="BZ1236" s="94"/>
      <c r="CA1236" s="94"/>
      <c r="CB1236" s="94"/>
      <c r="CC1236" s="94"/>
      <c r="CD1236" s="94"/>
      <c r="CE1236" s="94"/>
      <c r="CF1236" s="94"/>
      <c r="CG1236" s="94"/>
      <c r="CH1236" s="94"/>
      <c r="CI1236" s="94"/>
      <c r="CJ1236" s="94"/>
      <c r="CK1236" s="94"/>
      <c r="CL1236" s="94"/>
      <c r="CM1236" s="94"/>
      <c r="CN1236" s="94"/>
      <c r="CO1236" s="94"/>
      <c r="CP1236" s="94">
        <v>1</v>
      </c>
      <c r="CQ1236" s="94"/>
      <c r="CR1236" s="94"/>
      <c r="CS1236" s="94"/>
      <c r="CT1236" s="94"/>
      <c r="CU1236" s="94"/>
      <c r="CV1236" s="94"/>
      <c r="CW1236" s="94"/>
      <c r="CX1236" s="94"/>
      <c r="CY1236" s="94"/>
      <c r="CZ1236" s="94"/>
      <c r="DA1236" s="94"/>
      <c r="DB1236" s="94"/>
      <c r="DC1236" s="94"/>
      <c r="DD1236" s="94"/>
      <c r="DE1236" s="94"/>
      <c r="DF1236" s="94"/>
      <c r="DG1236" s="94"/>
      <c r="DH1236" s="94"/>
      <c r="DI1236" s="94"/>
      <c r="DJ1236" s="94"/>
      <c r="DK1236" s="41"/>
      <c r="DL1236" s="41"/>
      <c r="DM1236" s="41"/>
      <c r="DN1236" s="41"/>
      <c r="DO1236" s="41"/>
      <c r="DP1236" s="41"/>
      <c r="DQ1236" s="41"/>
      <c r="DR1236" s="41"/>
      <c r="DS1236" s="43"/>
      <c r="DT1236" s="44">
        <f t="shared" ref="DT1236" si="1217">SUM(F1236:DR1236)</f>
        <v>1</v>
      </c>
    </row>
    <row r="1237" spans="2:124" s="13" customFormat="1">
      <c r="B1237" s="4">
        <f>'6.1Personnel List'!B1238</f>
        <v>1225</v>
      </c>
      <c r="C1237" s="45" t="s">
        <v>1453</v>
      </c>
      <c r="D1237" s="45" t="str">
        <f>'6.1Personnel List'!D1238</f>
        <v>Nursing Attendant II</v>
      </c>
      <c r="E1237" s="45" t="str">
        <f>'6.1Personnel List'!H1238</f>
        <v>FT</v>
      </c>
      <c r="G1237" s="41"/>
      <c r="H1237" s="41"/>
      <c r="I1237" s="41"/>
      <c r="J1237" s="41"/>
      <c r="K1237" s="41"/>
      <c r="L1237" s="41"/>
      <c r="M1237" s="41"/>
      <c r="N1237" s="41"/>
      <c r="O1237" s="41"/>
      <c r="P1237" s="41"/>
      <c r="Q1237" s="41"/>
      <c r="R1237" s="41"/>
      <c r="S1237" s="41"/>
      <c r="T1237" s="41"/>
      <c r="U1237" s="41"/>
      <c r="V1237" s="41"/>
      <c r="W1237" s="41"/>
      <c r="X1237" s="41"/>
      <c r="Y1237" s="41"/>
      <c r="Z1237" s="41"/>
      <c r="AA1237" s="41"/>
      <c r="AB1237" s="41"/>
      <c r="AC1237" s="41"/>
      <c r="AD1237" s="41"/>
      <c r="AE1237" s="41"/>
      <c r="AF1237" s="41"/>
      <c r="AG1237" s="41"/>
      <c r="AH1237" s="41"/>
      <c r="AI1237" s="41"/>
      <c r="AJ1237" s="41"/>
      <c r="AK1237" s="41"/>
      <c r="AL1237" s="41"/>
      <c r="AM1237" s="41"/>
      <c r="AN1237" s="41"/>
      <c r="AO1237" s="41"/>
      <c r="AP1237" s="41"/>
      <c r="AQ1237" s="41"/>
      <c r="AR1237" s="41"/>
      <c r="AS1237" s="41"/>
      <c r="AT1237" s="41"/>
      <c r="AU1237" s="41"/>
      <c r="AV1237" s="41"/>
      <c r="AW1237" s="41"/>
      <c r="AX1237" s="41"/>
      <c r="AY1237" s="41"/>
      <c r="AZ1237" s="41"/>
      <c r="BA1237" s="41"/>
      <c r="BB1237" s="41"/>
      <c r="BC1237" s="41"/>
      <c r="BD1237" s="41"/>
      <c r="BE1237" s="41"/>
      <c r="BF1237" s="41"/>
      <c r="BG1237" s="41"/>
      <c r="BH1237" s="41"/>
      <c r="BJ1237" s="41"/>
      <c r="BK1237" s="94"/>
      <c r="BL1237" s="94"/>
      <c r="BM1237" s="94"/>
      <c r="BN1237" s="94"/>
      <c r="BO1237" s="94"/>
      <c r="BP1237" s="94"/>
      <c r="BQ1237" s="94"/>
      <c r="BR1237" s="94"/>
      <c r="BS1237" s="94"/>
      <c r="BT1237" s="94"/>
      <c r="BU1237" s="94"/>
      <c r="BV1237" s="94">
        <v>1</v>
      </c>
      <c r="BW1237" s="94"/>
      <c r="BX1237" s="94"/>
      <c r="BY1237" s="94"/>
      <c r="BZ1237" s="94"/>
      <c r="CA1237" s="94"/>
      <c r="CB1237" s="94"/>
      <c r="CC1237" s="94"/>
      <c r="CD1237" s="94"/>
      <c r="CE1237" s="94"/>
      <c r="CF1237" s="94"/>
      <c r="CG1237" s="94"/>
      <c r="CH1237" s="94"/>
      <c r="CI1237" s="94"/>
      <c r="CJ1237" s="94"/>
      <c r="CK1237" s="94"/>
      <c r="CL1237" s="94"/>
      <c r="CM1237" s="94"/>
      <c r="CN1237" s="94"/>
      <c r="CO1237" s="94"/>
      <c r="CP1237" s="94"/>
      <c r="CQ1237" s="94"/>
      <c r="CR1237" s="94"/>
      <c r="CS1237" s="94"/>
      <c r="CT1237" s="94"/>
      <c r="CU1237" s="94"/>
      <c r="CV1237" s="94"/>
      <c r="CW1237" s="94"/>
      <c r="CX1237" s="94"/>
      <c r="CY1237" s="94"/>
      <c r="CZ1237" s="94"/>
      <c r="DA1237" s="94"/>
      <c r="DB1237" s="94"/>
      <c r="DC1237" s="94"/>
      <c r="DD1237" s="94"/>
      <c r="DE1237" s="94"/>
      <c r="DF1237" s="94"/>
      <c r="DG1237" s="94"/>
      <c r="DH1237" s="94"/>
      <c r="DI1237" s="94"/>
      <c r="DJ1237" s="94"/>
      <c r="DK1237" s="41"/>
      <c r="DL1237" s="41"/>
      <c r="DM1237" s="41"/>
      <c r="DN1237" s="41"/>
      <c r="DO1237" s="41"/>
      <c r="DP1237" s="41"/>
      <c r="DQ1237" s="41"/>
      <c r="DR1237" s="41"/>
      <c r="DS1237" s="43"/>
      <c r="DT1237" s="44">
        <f t="shared" ref="DT1237" si="1218">SUM(F1237:DR1237)</f>
        <v>1</v>
      </c>
    </row>
    <row r="1238" spans="2:124" s="13" customFormat="1">
      <c r="B1238" s="4">
        <f>'6.1Personnel List'!B1239</f>
        <v>1226</v>
      </c>
      <c r="C1238" s="45" t="s">
        <v>1454</v>
      </c>
      <c r="D1238" s="45" t="str">
        <f>'6.1Personnel List'!D1239</f>
        <v>Nursing Attendant II</v>
      </c>
      <c r="E1238" s="45" t="str">
        <f>'6.1Personnel List'!H1239</f>
        <v>FT</v>
      </c>
      <c r="G1238" s="41"/>
      <c r="H1238" s="41"/>
      <c r="I1238" s="41"/>
      <c r="J1238" s="41"/>
      <c r="K1238" s="41"/>
      <c r="L1238" s="41"/>
      <c r="M1238" s="41"/>
      <c r="N1238" s="41"/>
      <c r="O1238" s="41"/>
      <c r="P1238" s="41"/>
      <c r="Q1238" s="41"/>
      <c r="R1238" s="41"/>
      <c r="S1238" s="41"/>
      <c r="T1238" s="41"/>
      <c r="U1238" s="41"/>
      <c r="V1238" s="41"/>
      <c r="W1238" s="41"/>
      <c r="X1238" s="41"/>
      <c r="Y1238" s="41"/>
      <c r="Z1238" s="41"/>
      <c r="AA1238" s="41"/>
      <c r="AB1238" s="41"/>
      <c r="AC1238" s="41"/>
      <c r="AD1238" s="41"/>
      <c r="AE1238" s="41"/>
      <c r="AF1238" s="41"/>
      <c r="AG1238" s="41"/>
      <c r="AH1238" s="41"/>
      <c r="AI1238" s="41"/>
      <c r="AJ1238" s="41"/>
      <c r="AK1238" s="41"/>
      <c r="AL1238" s="41"/>
      <c r="AM1238" s="41"/>
      <c r="AN1238" s="41"/>
      <c r="AO1238" s="41"/>
      <c r="AP1238" s="41"/>
      <c r="AQ1238" s="41"/>
      <c r="AR1238" s="41"/>
      <c r="AS1238" s="41"/>
      <c r="AT1238" s="41"/>
      <c r="AU1238" s="41"/>
      <c r="AV1238" s="41"/>
      <c r="AW1238" s="41"/>
      <c r="AX1238" s="41"/>
      <c r="AY1238" s="41"/>
      <c r="AZ1238" s="41"/>
      <c r="BA1238" s="41"/>
      <c r="BB1238" s="41"/>
      <c r="BC1238" s="41"/>
      <c r="BD1238" s="41"/>
      <c r="BE1238" s="41"/>
      <c r="BF1238" s="41"/>
      <c r="BG1238" s="41"/>
      <c r="BH1238" s="41"/>
      <c r="BJ1238" s="41"/>
      <c r="BK1238" s="41"/>
      <c r="BL1238" s="41"/>
      <c r="BM1238" s="41"/>
      <c r="BN1238" s="41"/>
      <c r="BO1238" s="41"/>
      <c r="BP1238" s="41"/>
      <c r="BQ1238" s="41"/>
      <c r="BR1238" s="41"/>
      <c r="BS1238" s="41"/>
      <c r="BT1238" s="41"/>
      <c r="BU1238" s="41"/>
      <c r="BV1238" s="41">
        <v>0.2</v>
      </c>
      <c r="BW1238" s="41"/>
      <c r="BX1238" s="41"/>
      <c r="BY1238" s="41"/>
      <c r="BZ1238" s="41"/>
      <c r="CA1238" s="41"/>
      <c r="CB1238" s="41">
        <v>0.2</v>
      </c>
      <c r="CC1238" s="41"/>
      <c r="CD1238" s="41"/>
      <c r="CE1238" s="41">
        <v>0.2</v>
      </c>
      <c r="CF1238" s="41"/>
      <c r="CG1238" s="41"/>
      <c r="CH1238" s="41"/>
      <c r="CI1238" s="41"/>
      <c r="CJ1238" s="41"/>
      <c r="CK1238" s="41"/>
      <c r="CL1238" s="41">
        <v>0.4</v>
      </c>
      <c r="CM1238" s="41"/>
      <c r="CN1238" s="41"/>
      <c r="CO1238" s="41"/>
      <c r="CP1238" s="41"/>
      <c r="CQ1238" s="41"/>
      <c r="CR1238" s="41"/>
      <c r="CS1238" s="41"/>
      <c r="CT1238" s="41"/>
      <c r="CU1238" s="41"/>
      <c r="CV1238" s="41"/>
      <c r="CW1238" s="41"/>
      <c r="CX1238" s="41"/>
      <c r="CY1238" s="41"/>
      <c r="CZ1238" s="41"/>
      <c r="DA1238" s="41"/>
      <c r="DB1238" s="41"/>
      <c r="DC1238" s="41"/>
      <c r="DD1238" s="41"/>
      <c r="DE1238" s="41"/>
      <c r="DF1238" s="41"/>
      <c r="DG1238" s="41"/>
      <c r="DH1238" s="41"/>
      <c r="DI1238" s="41"/>
      <c r="DJ1238" s="41"/>
      <c r="DK1238" s="41"/>
      <c r="DL1238" s="41"/>
      <c r="DM1238" s="41"/>
      <c r="DN1238" s="41"/>
      <c r="DO1238" s="41"/>
      <c r="DP1238" s="41"/>
      <c r="DQ1238" s="41"/>
      <c r="DR1238" s="41"/>
      <c r="DS1238" s="43"/>
      <c r="DT1238" s="44">
        <f t="shared" ref="DT1238" si="1219">SUM(F1238:DR1238)</f>
        <v>1</v>
      </c>
    </row>
    <row r="1239" spans="2:124" s="13" customFormat="1">
      <c r="B1239" s="4">
        <f>'6.1Personnel List'!B1240</f>
        <v>1227</v>
      </c>
      <c r="C1239" s="45" t="s">
        <v>1455</v>
      </c>
      <c r="D1239" s="45" t="str">
        <f>'6.1Personnel List'!D1240</f>
        <v>Nursing Attendant II</v>
      </c>
      <c r="E1239" s="45" t="str">
        <f>'6.1Personnel List'!H1240</f>
        <v>FT</v>
      </c>
      <c r="G1239" s="41"/>
      <c r="H1239" s="41"/>
      <c r="I1239" s="41"/>
      <c r="J1239" s="41"/>
      <c r="K1239" s="41"/>
      <c r="L1239" s="41"/>
      <c r="M1239" s="41"/>
      <c r="N1239" s="41"/>
      <c r="O1239" s="41"/>
      <c r="P1239" s="41"/>
      <c r="Q1239" s="41"/>
      <c r="R1239" s="41"/>
      <c r="S1239" s="41"/>
      <c r="T1239" s="41"/>
      <c r="U1239" s="41"/>
      <c r="V1239" s="41"/>
      <c r="W1239" s="41"/>
      <c r="X1239" s="41"/>
      <c r="Y1239" s="41"/>
      <c r="Z1239" s="41"/>
      <c r="AA1239" s="41"/>
      <c r="AB1239" s="41"/>
      <c r="AC1239" s="41"/>
      <c r="AD1239" s="41"/>
      <c r="AE1239" s="41"/>
      <c r="AF1239" s="41"/>
      <c r="AG1239" s="41"/>
      <c r="AH1239" s="41"/>
      <c r="AI1239" s="41"/>
      <c r="AJ1239" s="41"/>
      <c r="AK1239" s="41"/>
      <c r="AL1239" s="41"/>
      <c r="AM1239" s="41"/>
      <c r="AN1239" s="41"/>
      <c r="AO1239" s="41"/>
      <c r="AP1239" s="41"/>
      <c r="AQ1239" s="41"/>
      <c r="AR1239" s="41"/>
      <c r="AS1239" s="41"/>
      <c r="AT1239" s="41"/>
      <c r="AU1239" s="41"/>
      <c r="AV1239" s="41"/>
      <c r="AW1239" s="41"/>
      <c r="AX1239" s="41"/>
      <c r="AY1239" s="41"/>
      <c r="AZ1239" s="41"/>
      <c r="BA1239" s="41"/>
      <c r="BB1239" s="41"/>
      <c r="BC1239" s="41"/>
      <c r="BD1239" s="41"/>
      <c r="BE1239" s="41"/>
      <c r="BF1239" s="41"/>
      <c r="BG1239" s="41"/>
      <c r="BH1239" s="41"/>
      <c r="BJ1239" s="41"/>
      <c r="BK1239" s="94"/>
      <c r="BL1239" s="94"/>
      <c r="BM1239" s="94"/>
      <c r="BN1239" s="94"/>
      <c r="BO1239" s="94"/>
      <c r="BP1239" s="94"/>
      <c r="BQ1239" s="94"/>
      <c r="BR1239" s="94"/>
      <c r="BS1239" s="94"/>
      <c r="BT1239" s="94"/>
      <c r="BU1239" s="94"/>
      <c r="BV1239" s="94">
        <v>1</v>
      </c>
      <c r="BW1239" s="94"/>
      <c r="BX1239" s="94"/>
      <c r="BY1239" s="94"/>
      <c r="BZ1239" s="94"/>
      <c r="CA1239" s="94"/>
      <c r="CB1239" s="94"/>
      <c r="CC1239" s="94"/>
      <c r="CD1239" s="94"/>
      <c r="CE1239" s="94"/>
      <c r="CF1239" s="94"/>
      <c r="CG1239" s="94"/>
      <c r="CH1239" s="94"/>
      <c r="CI1239" s="94"/>
      <c r="CJ1239" s="94"/>
      <c r="CK1239" s="94"/>
      <c r="CL1239" s="94"/>
      <c r="CM1239" s="94"/>
      <c r="CN1239" s="94"/>
      <c r="CO1239" s="94"/>
      <c r="CP1239" s="94"/>
      <c r="CQ1239" s="94"/>
      <c r="CR1239" s="94"/>
      <c r="CS1239" s="94"/>
      <c r="CT1239" s="94"/>
      <c r="CU1239" s="94"/>
      <c r="CV1239" s="94"/>
      <c r="CW1239" s="94"/>
      <c r="CX1239" s="94"/>
      <c r="CY1239" s="94"/>
      <c r="CZ1239" s="94"/>
      <c r="DA1239" s="94"/>
      <c r="DB1239" s="94"/>
      <c r="DC1239" s="94"/>
      <c r="DD1239" s="94"/>
      <c r="DE1239" s="94"/>
      <c r="DF1239" s="94"/>
      <c r="DG1239" s="94"/>
      <c r="DH1239" s="94"/>
      <c r="DI1239" s="94"/>
      <c r="DJ1239" s="94"/>
      <c r="DK1239" s="41"/>
      <c r="DL1239" s="41"/>
      <c r="DM1239" s="41"/>
      <c r="DN1239" s="41"/>
      <c r="DO1239" s="41"/>
      <c r="DP1239" s="41"/>
      <c r="DQ1239" s="41"/>
      <c r="DR1239" s="41"/>
      <c r="DS1239" s="43"/>
      <c r="DT1239" s="44">
        <f t="shared" ref="DT1239" si="1220">SUM(F1239:DR1239)</f>
        <v>1</v>
      </c>
    </row>
    <row r="1240" spans="2:124" s="13" customFormat="1">
      <c r="B1240" s="4">
        <f>'6.1Personnel List'!B1241</f>
        <v>1228</v>
      </c>
      <c r="C1240" s="45" t="s">
        <v>1456</v>
      </c>
      <c r="D1240" s="45" t="str">
        <f>'6.1Personnel List'!D1241</f>
        <v>Nursing Attendant II</v>
      </c>
      <c r="E1240" s="45" t="str">
        <f>'6.1Personnel List'!H1241</f>
        <v>FT</v>
      </c>
      <c r="G1240" s="41"/>
      <c r="H1240" s="41"/>
      <c r="I1240" s="41"/>
      <c r="J1240" s="41"/>
      <c r="K1240" s="41"/>
      <c r="L1240" s="41"/>
      <c r="M1240" s="41"/>
      <c r="N1240" s="41"/>
      <c r="O1240" s="41"/>
      <c r="P1240" s="41"/>
      <c r="Q1240" s="41"/>
      <c r="R1240" s="41"/>
      <c r="S1240" s="41"/>
      <c r="T1240" s="41"/>
      <c r="U1240" s="41"/>
      <c r="V1240" s="41"/>
      <c r="W1240" s="41"/>
      <c r="X1240" s="41"/>
      <c r="Y1240" s="41"/>
      <c r="Z1240" s="41"/>
      <c r="AA1240" s="41"/>
      <c r="AB1240" s="41"/>
      <c r="AC1240" s="41"/>
      <c r="AD1240" s="41"/>
      <c r="AE1240" s="41"/>
      <c r="AF1240" s="41"/>
      <c r="AG1240" s="41"/>
      <c r="AH1240" s="41"/>
      <c r="AI1240" s="41"/>
      <c r="AJ1240" s="41"/>
      <c r="AK1240" s="41"/>
      <c r="AL1240" s="41"/>
      <c r="AM1240" s="41"/>
      <c r="AN1240" s="41"/>
      <c r="AO1240" s="41"/>
      <c r="AP1240" s="41"/>
      <c r="AQ1240" s="41"/>
      <c r="AR1240" s="41"/>
      <c r="AS1240" s="41"/>
      <c r="AT1240" s="41"/>
      <c r="AU1240" s="41"/>
      <c r="AV1240" s="41"/>
      <c r="AW1240" s="41"/>
      <c r="AX1240" s="41"/>
      <c r="AY1240" s="41"/>
      <c r="AZ1240" s="41"/>
      <c r="BA1240" s="41"/>
      <c r="BB1240" s="41"/>
      <c r="BC1240" s="41"/>
      <c r="BD1240" s="41"/>
      <c r="BE1240" s="41"/>
      <c r="BF1240" s="41"/>
      <c r="BG1240" s="41"/>
      <c r="BH1240" s="41"/>
      <c r="BJ1240" s="41"/>
      <c r="BK1240" s="94"/>
      <c r="BL1240" s="94"/>
      <c r="BM1240" s="94"/>
      <c r="BN1240" s="94"/>
      <c r="BO1240" s="94"/>
      <c r="BP1240" s="94"/>
      <c r="BQ1240" s="94"/>
      <c r="BR1240" s="94"/>
      <c r="BS1240" s="94"/>
      <c r="BT1240" s="94"/>
      <c r="BU1240" s="94"/>
      <c r="BV1240" s="94"/>
      <c r="BW1240" s="94"/>
      <c r="BX1240" s="94"/>
      <c r="BY1240" s="94"/>
      <c r="BZ1240" s="94"/>
      <c r="CA1240" s="94"/>
      <c r="CB1240" s="94"/>
      <c r="CC1240" s="94"/>
      <c r="CD1240" s="94"/>
      <c r="CE1240" s="94"/>
      <c r="CF1240" s="94"/>
      <c r="CG1240" s="94"/>
      <c r="CH1240" s="94"/>
      <c r="CI1240" s="94"/>
      <c r="CJ1240" s="94"/>
      <c r="CK1240" s="94"/>
      <c r="CL1240" s="94"/>
      <c r="CM1240" s="94"/>
      <c r="CN1240" s="94"/>
      <c r="CO1240" s="94"/>
      <c r="CP1240" s="94"/>
      <c r="CQ1240" s="94"/>
      <c r="CR1240" s="94"/>
      <c r="CS1240" s="94"/>
      <c r="CT1240" s="94"/>
      <c r="CU1240" s="94"/>
      <c r="CV1240" s="94"/>
      <c r="CW1240" s="94"/>
      <c r="CX1240" s="94"/>
      <c r="CY1240" s="94"/>
      <c r="CZ1240" s="94"/>
      <c r="DA1240" s="94"/>
      <c r="DB1240" s="94"/>
      <c r="DC1240" s="94"/>
      <c r="DD1240" s="94"/>
      <c r="DE1240" s="94"/>
      <c r="DF1240" s="94"/>
      <c r="DG1240" s="94"/>
      <c r="DH1240" s="94"/>
      <c r="DI1240" s="94"/>
      <c r="DJ1240" s="94"/>
      <c r="DK1240" s="41"/>
      <c r="DL1240" s="41">
        <v>0.5</v>
      </c>
      <c r="DM1240" s="41"/>
      <c r="DN1240" s="41"/>
      <c r="DO1240" s="41"/>
      <c r="DP1240" s="41">
        <v>0.5</v>
      </c>
      <c r="DQ1240" s="41"/>
      <c r="DR1240" s="41"/>
      <c r="DS1240" s="43"/>
      <c r="DT1240" s="44">
        <f t="shared" ref="DT1240" si="1221">SUM(F1240:DR1240)</f>
        <v>1</v>
      </c>
    </row>
    <row r="1241" spans="2:124" s="13" customFormat="1">
      <c r="B1241" s="4">
        <f>'6.1Personnel List'!B1242</f>
        <v>1229</v>
      </c>
      <c r="C1241" s="45" t="s">
        <v>1457</v>
      </c>
      <c r="D1241" s="45" t="str">
        <f>'6.1Personnel List'!D1242</f>
        <v>Nursing Attendant II</v>
      </c>
      <c r="E1241" s="45" t="str">
        <f>'6.1Personnel List'!H1242</f>
        <v>FT</v>
      </c>
      <c r="G1241" s="41"/>
      <c r="H1241" s="41"/>
      <c r="I1241" s="41"/>
      <c r="J1241" s="41"/>
      <c r="K1241" s="41"/>
      <c r="L1241" s="41"/>
      <c r="M1241" s="41"/>
      <c r="N1241" s="41"/>
      <c r="O1241" s="41"/>
      <c r="P1241" s="41"/>
      <c r="Q1241" s="41"/>
      <c r="R1241" s="41"/>
      <c r="S1241" s="41"/>
      <c r="T1241" s="41"/>
      <c r="U1241" s="41"/>
      <c r="V1241" s="41"/>
      <c r="W1241" s="41"/>
      <c r="X1241" s="41"/>
      <c r="Y1241" s="41"/>
      <c r="Z1241" s="41"/>
      <c r="AA1241" s="41"/>
      <c r="AB1241" s="41"/>
      <c r="AC1241" s="41"/>
      <c r="AD1241" s="41"/>
      <c r="AE1241" s="41"/>
      <c r="AF1241" s="41"/>
      <c r="AG1241" s="41"/>
      <c r="AH1241" s="41"/>
      <c r="AI1241" s="41"/>
      <c r="AJ1241" s="41"/>
      <c r="AK1241" s="41"/>
      <c r="AL1241" s="41"/>
      <c r="AM1241" s="41"/>
      <c r="AN1241" s="41"/>
      <c r="AO1241" s="41"/>
      <c r="AP1241" s="41"/>
      <c r="AQ1241" s="41"/>
      <c r="AR1241" s="41"/>
      <c r="AS1241" s="41"/>
      <c r="AT1241" s="41"/>
      <c r="AU1241" s="41"/>
      <c r="AV1241" s="41"/>
      <c r="AW1241" s="41"/>
      <c r="AX1241" s="41"/>
      <c r="AY1241" s="41"/>
      <c r="AZ1241" s="41"/>
      <c r="BA1241" s="41"/>
      <c r="BB1241" s="41"/>
      <c r="BC1241" s="41"/>
      <c r="BD1241" s="41"/>
      <c r="BE1241" s="41"/>
      <c r="BF1241" s="41"/>
      <c r="BG1241" s="41"/>
      <c r="BH1241" s="41"/>
      <c r="BJ1241" s="41"/>
      <c r="BK1241" s="94"/>
      <c r="BL1241" s="94"/>
      <c r="BM1241" s="94"/>
      <c r="BN1241" s="94"/>
      <c r="BO1241" s="94"/>
      <c r="BP1241" s="94"/>
      <c r="BQ1241" s="94"/>
      <c r="BR1241" s="94"/>
      <c r="BS1241" s="94"/>
      <c r="BT1241" s="94"/>
      <c r="BU1241" s="94"/>
      <c r="BV1241" s="94"/>
      <c r="BW1241" s="94"/>
      <c r="BX1241" s="94"/>
      <c r="BY1241" s="94"/>
      <c r="BZ1241" s="94"/>
      <c r="CA1241" s="94"/>
      <c r="CB1241" s="94"/>
      <c r="CC1241" s="94"/>
      <c r="CD1241" s="94"/>
      <c r="CE1241" s="94"/>
      <c r="CF1241" s="94"/>
      <c r="CG1241" s="94"/>
      <c r="CH1241" s="94"/>
      <c r="CI1241" s="94"/>
      <c r="CJ1241" s="94"/>
      <c r="CK1241" s="94"/>
      <c r="CL1241" s="94"/>
      <c r="CM1241" s="94"/>
      <c r="CN1241" s="94"/>
      <c r="CO1241" s="94"/>
      <c r="CP1241" s="94">
        <v>1</v>
      </c>
      <c r="CQ1241" s="94"/>
      <c r="CR1241" s="94"/>
      <c r="CS1241" s="94"/>
      <c r="CT1241" s="94"/>
      <c r="CU1241" s="94"/>
      <c r="CV1241" s="94"/>
      <c r="CW1241" s="94"/>
      <c r="CX1241" s="94"/>
      <c r="CY1241" s="94"/>
      <c r="CZ1241" s="94"/>
      <c r="DA1241" s="94"/>
      <c r="DB1241" s="94"/>
      <c r="DC1241" s="94"/>
      <c r="DD1241" s="94"/>
      <c r="DE1241" s="94"/>
      <c r="DF1241" s="94"/>
      <c r="DG1241" s="94"/>
      <c r="DH1241" s="94"/>
      <c r="DI1241" s="94"/>
      <c r="DJ1241" s="94"/>
      <c r="DK1241" s="41"/>
      <c r="DL1241" s="41"/>
      <c r="DM1241" s="41"/>
      <c r="DN1241" s="41"/>
      <c r="DO1241" s="41"/>
      <c r="DP1241" s="41"/>
      <c r="DQ1241" s="41"/>
      <c r="DR1241" s="41"/>
      <c r="DS1241" s="43"/>
      <c r="DT1241" s="44">
        <f t="shared" ref="DT1241" si="1222">SUM(F1241:DR1241)</f>
        <v>1</v>
      </c>
    </row>
    <row r="1242" spans="2:124" s="13" customFormat="1">
      <c r="B1242" s="4">
        <f>'6.1Personnel List'!B1243</f>
        <v>1230</v>
      </c>
      <c r="C1242" s="45" t="s">
        <v>1458</v>
      </c>
      <c r="D1242" s="45" t="str">
        <f>'6.1Personnel List'!D1243</f>
        <v>Nursing Attendant II</v>
      </c>
      <c r="E1242" s="45" t="str">
        <f>'6.1Personnel List'!H1243</f>
        <v>FT</v>
      </c>
      <c r="G1242" s="41"/>
      <c r="H1242" s="41"/>
      <c r="I1242" s="41"/>
      <c r="J1242" s="41"/>
      <c r="K1242" s="41"/>
      <c r="L1242" s="41"/>
      <c r="M1242" s="41"/>
      <c r="N1242" s="41"/>
      <c r="O1242" s="41"/>
      <c r="P1242" s="41"/>
      <c r="Q1242" s="41"/>
      <c r="R1242" s="41"/>
      <c r="S1242" s="41"/>
      <c r="T1242" s="41"/>
      <c r="U1242" s="41"/>
      <c r="V1242" s="41"/>
      <c r="W1242" s="41"/>
      <c r="X1242" s="41"/>
      <c r="Y1242" s="41"/>
      <c r="Z1242" s="41"/>
      <c r="AA1242" s="41"/>
      <c r="AB1242" s="41"/>
      <c r="AC1242" s="41"/>
      <c r="AD1242" s="41"/>
      <c r="AE1242" s="41"/>
      <c r="AF1242" s="41"/>
      <c r="AG1242" s="41"/>
      <c r="AH1242" s="41"/>
      <c r="AI1242" s="41"/>
      <c r="AJ1242" s="41"/>
      <c r="AK1242" s="41"/>
      <c r="AL1242" s="41"/>
      <c r="AM1242" s="41"/>
      <c r="AN1242" s="41"/>
      <c r="AO1242" s="41"/>
      <c r="AP1242" s="41"/>
      <c r="AQ1242" s="41"/>
      <c r="AR1242" s="41"/>
      <c r="AS1242" s="41"/>
      <c r="AT1242" s="41"/>
      <c r="AU1242" s="41"/>
      <c r="AV1242" s="41"/>
      <c r="AW1242" s="41"/>
      <c r="AX1242" s="41"/>
      <c r="AY1242" s="41"/>
      <c r="AZ1242" s="41"/>
      <c r="BA1242" s="41"/>
      <c r="BB1242" s="41"/>
      <c r="BC1242" s="41"/>
      <c r="BD1242" s="41"/>
      <c r="BE1242" s="41"/>
      <c r="BF1242" s="41"/>
      <c r="BG1242" s="41"/>
      <c r="BH1242" s="41"/>
      <c r="BJ1242" s="41"/>
      <c r="BK1242" s="94"/>
      <c r="BL1242" s="94"/>
      <c r="BM1242" s="94"/>
      <c r="BN1242" s="94"/>
      <c r="BO1242" s="94"/>
      <c r="BP1242" s="94"/>
      <c r="BQ1242" s="94"/>
      <c r="BR1242" s="94"/>
      <c r="BS1242" s="94"/>
      <c r="BT1242" s="94"/>
      <c r="BU1242" s="94"/>
      <c r="BV1242" s="94"/>
      <c r="BW1242" s="94"/>
      <c r="BX1242" s="94"/>
      <c r="BY1242" s="94"/>
      <c r="BZ1242" s="94"/>
      <c r="CA1242" s="94"/>
      <c r="CB1242" s="94"/>
      <c r="CC1242" s="94"/>
      <c r="CD1242" s="94"/>
      <c r="CE1242" s="94"/>
      <c r="CF1242" s="94"/>
      <c r="CG1242" s="94"/>
      <c r="CH1242" s="94"/>
      <c r="CI1242" s="94"/>
      <c r="CJ1242" s="94"/>
      <c r="CK1242" s="94"/>
      <c r="CL1242" s="94"/>
      <c r="CM1242" s="94"/>
      <c r="CN1242" s="94"/>
      <c r="CO1242" s="94"/>
      <c r="CP1242" s="94"/>
      <c r="CQ1242" s="94"/>
      <c r="CR1242" s="94"/>
      <c r="CS1242" s="94"/>
      <c r="CT1242" s="94"/>
      <c r="CU1242" s="94"/>
      <c r="CV1242" s="94"/>
      <c r="CW1242" s="94"/>
      <c r="CX1242" s="94"/>
      <c r="CY1242" s="94"/>
      <c r="CZ1242" s="94"/>
      <c r="DA1242" s="94"/>
      <c r="DB1242" s="94"/>
      <c r="DC1242" s="94"/>
      <c r="DD1242" s="94"/>
      <c r="DE1242" s="94"/>
      <c r="DF1242" s="94"/>
      <c r="DG1242" s="94"/>
      <c r="DH1242" s="94"/>
      <c r="DI1242" s="94"/>
      <c r="DJ1242" s="94"/>
      <c r="DK1242" s="41">
        <v>1</v>
      </c>
      <c r="DL1242" s="41"/>
      <c r="DM1242" s="41"/>
      <c r="DN1242" s="41"/>
      <c r="DO1242" s="41"/>
      <c r="DP1242" s="41"/>
      <c r="DQ1242" s="41"/>
      <c r="DR1242" s="41"/>
      <c r="DS1242" s="43"/>
      <c r="DT1242" s="44">
        <f t="shared" ref="DT1242" si="1223">SUM(F1242:DR1242)</f>
        <v>1</v>
      </c>
    </row>
    <row r="1243" spans="2:124" s="13" customFormat="1">
      <c r="B1243" s="4">
        <f>'6.1Personnel List'!B1244</f>
        <v>1231</v>
      </c>
      <c r="C1243" s="45" t="s">
        <v>1459</v>
      </c>
      <c r="D1243" s="45" t="str">
        <f>'6.1Personnel List'!D1244</f>
        <v>Nursing Attendant II</v>
      </c>
      <c r="E1243" s="45" t="str">
        <f>'6.1Personnel List'!H1244</f>
        <v>FT</v>
      </c>
      <c r="G1243" s="41"/>
      <c r="H1243" s="41"/>
      <c r="I1243" s="41"/>
      <c r="J1243" s="41"/>
      <c r="K1243" s="41"/>
      <c r="L1243" s="41"/>
      <c r="M1243" s="41"/>
      <c r="N1243" s="41"/>
      <c r="O1243" s="41"/>
      <c r="P1243" s="41"/>
      <c r="Q1243" s="41"/>
      <c r="R1243" s="41"/>
      <c r="S1243" s="41"/>
      <c r="T1243" s="41"/>
      <c r="U1243" s="41"/>
      <c r="V1243" s="41"/>
      <c r="W1243" s="41"/>
      <c r="X1243" s="41"/>
      <c r="Y1243" s="41"/>
      <c r="Z1243" s="41"/>
      <c r="AA1243" s="41"/>
      <c r="AB1243" s="41"/>
      <c r="AC1243" s="41"/>
      <c r="AD1243" s="41"/>
      <c r="AE1243" s="41"/>
      <c r="AF1243" s="41"/>
      <c r="AG1243" s="41"/>
      <c r="AH1243" s="41"/>
      <c r="AI1243" s="41"/>
      <c r="AJ1243" s="41"/>
      <c r="AK1243" s="41"/>
      <c r="AL1243" s="41"/>
      <c r="AM1243" s="41"/>
      <c r="AN1243" s="41"/>
      <c r="AO1243" s="41"/>
      <c r="AP1243" s="41"/>
      <c r="AQ1243" s="41"/>
      <c r="AR1243" s="41"/>
      <c r="AS1243" s="41"/>
      <c r="AT1243" s="41"/>
      <c r="AU1243" s="41"/>
      <c r="AV1243" s="41"/>
      <c r="AW1243" s="41"/>
      <c r="AX1243" s="41"/>
      <c r="AY1243" s="41"/>
      <c r="AZ1243" s="41"/>
      <c r="BA1243" s="41"/>
      <c r="BB1243" s="41"/>
      <c r="BC1243" s="41"/>
      <c r="BD1243" s="41"/>
      <c r="BE1243" s="41"/>
      <c r="BF1243" s="41"/>
      <c r="BG1243" s="41"/>
      <c r="BH1243" s="41"/>
      <c r="BJ1243" s="41"/>
      <c r="BK1243" s="94"/>
      <c r="BL1243" s="94"/>
      <c r="BM1243" s="94"/>
      <c r="BN1243" s="94"/>
      <c r="BO1243" s="94"/>
      <c r="BP1243" s="94"/>
      <c r="BQ1243" s="94"/>
      <c r="BR1243" s="94"/>
      <c r="BS1243" s="94"/>
      <c r="BT1243" s="94"/>
      <c r="BU1243" s="94"/>
      <c r="BV1243" s="94"/>
      <c r="BW1243" s="94"/>
      <c r="BX1243" s="94"/>
      <c r="BY1243" s="94"/>
      <c r="BZ1243" s="94"/>
      <c r="CA1243" s="94"/>
      <c r="CB1243" s="94"/>
      <c r="CC1243" s="94"/>
      <c r="CD1243" s="94"/>
      <c r="CE1243" s="94"/>
      <c r="CF1243" s="94"/>
      <c r="CG1243" s="94"/>
      <c r="CH1243" s="94"/>
      <c r="CI1243" s="94"/>
      <c r="CJ1243" s="94"/>
      <c r="CK1243" s="94"/>
      <c r="CL1243" s="94"/>
      <c r="CM1243" s="94"/>
      <c r="CN1243" s="94"/>
      <c r="CO1243" s="94"/>
      <c r="CP1243" s="94"/>
      <c r="CQ1243" s="94">
        <v>1</v>
      </c>
      <c r="CR1243" s="94"/>
      <c r="CS1243" s="94"/>
      <c r="CT1243" s="94"/>
      <c r="CU1243" s="94"/>
      <c r="CV1243" s="94"/>
      <c r="CW1243" s="94"/>
      <c r="CX1243" s="94"/>
      <c r="CY1243" s="94"/>
      <c r="CZ1243" s="94"/>
      <c r="DA1243" s="94"/>
      <c r="DB1243" s="94"/>
      <c r="DC1243" s="94"/>
      <c r="DD1243" s="94"/>
      <c r="DE1243" s="94"/>
      <c r="DF1243" s="94"/>
      <c r="DG1243" s="94"/>
      <c r="DH1243" s="94"/>
      <c r="DI1243" s="94"/>
      <c r="DJ1243" s="94"/>
      <c r="DK1243" s="41"/>
      <c r="DL1243" s="41"/>
      <c r="DM1243" s="41"/>
      <c r="DN1243" s="41"/>
      <c r="DO1243" s="41"/>
      <c r="DP1243" s="41"/>
      <c r="DQ1243" s="41"/>
      <c r="DR1243" s="41"/>
      <c r="DS1243" s="43"/>
      <c r="DT1243" s="44">
        <f t="shared" ref="DT1243" si="1224">SUM(F1243:DR1243)</f>
        <v>1</v>
      </c>
    </row>
    <row r="1244" spans="2:124" s="13" customFormat="1">
      <c r="B1244" s="4">
        <f>'6.1Personnel List'!B1245</f>
        <v>1232</v>
      </c>
      <c r="C1244" s="45" t="s">
        <v>1460</v>
      </c>
      <c r="D1244" s="45" t="str">
        <f>'6.1Personnel List'!D1245</f>
        <v>Nursing Attendant II</v>
      </c>
      <c r="E1244" s="45" t="str">
        <f>'6.1Personnel List'!H1245</f>
        <v>FT</v>
      </c>
      <c r="G1244" s="41"/>
      <c r="H1244" s="41"/>
      <c r="I1244" s="41"/>
      <c r="J1244" s="41"/>
      <c r="K1244" s="41"/>
      <c r="L1244" s="41"/>
      <c r="M1244" s="41"/>
      <c r="N1244" s="41"/>
      <c r="O1244" s="41"/>
      <c r="P1244" s="41"/>
      <c r="Q1244" s="41"/>
      <c r="R1244" s="41"/>
      <c r="S1244" s="41"/>
      <c r="T1244" s="41"/>
      <c r="U1244" s="41"/>
      <c r="V1244" s="41"/>
      <c r="W1244" s="41"/>
      <c r="X1244" s="41"/>
      <c r="Y1244" s="41"/>
      <c r="Z1244" s="41"/>
      <c r="AA1244" s="41"/>
      <c r="AB1244" s="41"/>
      <c r="AC1244" s="41"/>
      <c r="AD1244" s="41"/>
      <c r="AE1244" s="41"/>
      <c r="AF1244" s="41"/>
      <c r="AG1244" s="41"/>
      <c r="AH1244" s="41"/>
      <c r="AI1244" s="41"/>
      <c r="AJ1244" s="41"/>
      <c r="AK1244" s="41"/>
      <c r="AL1244" s="41"/>
      <c r="AM1244" s="41"/>
      <c r="AN1244" s="41"/>
      <c r="AO1244" s="41"/>
      <c r="AP1244" s="41"/>
      <c r="AQ1244" s="41"/>
      <c r="AR1244" s="41"/>
      <c r="AS1244" s="41"/>
      <c r="AT1244" s="41"/>
      <c r="AU1244" s="41"/>
      <c r="AV1244" s="41"/>
      <c r="AW1244" s="41"/>
      <c r="AX1244" s="41"/>
      <c r="AY1244" s="41"/>
      <c r="AZ1244" s="41"/>
      <c r="BA1244" s="41"/>
      <c r="BB1244" s="41"/>
      <c r="BC1244" s="41"/>
      <c r="BD1244" s="41"/>
      <c r="BE1244" s="41"/>
      <c r="BF1244" s="41"/>
      <c r="BG1244" s="41"/>
      <c r="BH1244" s="41"/>
      <c r="BJ1244" s="41"/>
      <c r="BK1244" s="94"/>
      <c r="BL1244" s="94"/>
      <c r="BM1244" s="94"/>
      <c r="BN1244" s="94"/>
      <c r="BO1244" s="94"/>
      <c r="BP1244" s="94"/>
      <c r="BQ1244" s="94"/>
      <c r="BR1244" s="94"/>
      <c r="BS1244" s="94"/>
      <c r="BT1244" s="94"/>
      <c r="BU1244" s="94"/>
      <c r="BV1244" s="94"/>
      <c r="BW1244" s="94"/>
      <c r="BX1244" s="94"/>
      <c r="BY1244" s="94"/>
      <c r="BZ1244" s="94"/>
      <c r="CA1244" s="94"/>
      <c r="CB1244" s="94"/>
      <c r="CC1244" s="94"/>
      <c r="CD1244" s="94"/>
      <c r="CE1244" s="94"/>
      <c r="CF1244" s="94"/>
      <c r="CG1244" s="94"/>
      <c r="CH1244" s="94"/>
      <c r="CI1244" s="94"/>
      <c r="CJ1244" s="94"/>
      <c r="CK1244" s="94"/>
      <c r="CL1244" s="94"/>
      <c r="CM1244" s="94"/>
      <c r="CN1244" s="94">
        <v>1</v>
      </c>
      <c r="CO1244" s="94"/>
      <c r="CP1244" s="94"/>
      <c r="CQ1244" s="94"/>
      <c r="CR1244" s="94"/>
      <c r="CS1244" s="94"/>
      <c r="CT1244" s="94"/>
      <c r="CU1244" s="94"/>
      <c r="CV1244" s="94"/>
      <c r="CW1244" s="94"/>
      <c r="CX1244" s="94"/>
      <c r="CY1244" s="94"/>
      <c r="CZ1244" s="94"/>
      <c r="DA1244" s="94"/>
      <c r="DB1244" s="94"/>
      <c r="DC1244" s="94"/>
      <c r="DD1244" s="94"/>
      <c r="DE1244" s="94"/>
      <c r="DF1244" s="94"/>
      <c r="DG1244" s="94"/>
      <c r="DH1244" s="94"/>
      <c r="DI1244" s="94"/>
      <c r="DJ1244" s="94"/>
      <c r="DK1244" s="41"/>
      <c r="DL1244" s="41"/>
      <c r="DM1244" s="41"/>
      <c r="DN1244" s="41"/>
      <c r="DO1244" s="41"/>
      <c r="DP1244" s="41"/>
      <c r="DQ1244" s="41"/>
      <c r="DR1244" s="41"/>
      <c r="DS1244" s="43"/>
      <c r="DT1244" s="44">
        <f t="shared" ref="DT1244" si="1225">SUM(F1244:DR1244)</f>
        <v>1</v>
      </c>
    </row>
    <row r="1245" spans="2:124" s="13" customFormat="1">
      <c r="B1245" s="4">
        <f>'6.1Personnel List'!B1246</f>
        <v>1233</v>
      </c>
      <c r="C1245" s="45" t="s">
        <v>1461</v>
      </c>
      <c r="D1245" s="45" t="str">
        <f>'6.1Personnel List'!D1246</f>
        <v>Nursing Attendant II</v>
      </c>
      <c r="E1245" s="45" t="str">
        <f>'6.1Personnel List'!H1246</f>
        <v>FT</v>
      </c>
      <c r="G1245" s="41"/>
      <c r="H1245" s="41"/>
      <c r="I1245" s="41"/>
      <c r="J1245" s="41"/>
      <c r="K1245" s="41"/>
      <c r="L1245" s="41"/>
      <c r="M1245" s="41"/>
      <c r="N1245" s="41"/>
      <c r="O1245" s="41"/>
      <c r="P1245" s="41"/>
      <c r="Q1245" s="41"/>
      <c r="R1245" s="41"/>
      <c r="S1245" s="41"/>
      <c r="T1245" s="41"/>
      <c r="U1245" s="41"/>
      <c r="V1245" s="41"/>
      <c r="W1245" s="41"/>
      <c r="X1245" s="41"/>
      <c r="Y1245" s="41"/>
      <c r="Z1245" s="41"/>
      <c r="AA1245" s="41"/>
      <c r="AB1245" s="41"/>
      <c r="AC1245" s="41"/>
      <c r="AD1245" s="41"/>
      <c r="AE1245" s="41"/>
      <c r="AF1245" s="41"/>
      <c r="AG1245" s="41"/>
      <c r="AH1245" s="41"/>
      <c r="AI1245" s="41"/>
      <c r="AJ1245" s="41"/>
      <c r="AK1245" s="41"/>
      <c r="AL1245" s="41"/>
      <c r="AM1245" s="41"/>
      <c r="AN1245" s="41"/>
      <c r="AO1245" s="41"/>
      <c r="AP1245" s="41"/>
      <c r="AQ1245" s="41"/>
      <c r="AR1245" s="41"/>
      <c r="AS1245" s="41"/>
      <c r="AT1245" s="41"/>
      <c r="AU1245" s="41"/>
      <c r="AV1245" s="41"/>
      <c r="AW1245" s="41"/>
      <c r="AX1245" s="41"/>
      <c r="AY1245" s="41"/>
      <c r="AZ1245" s="41"/>
      <c r="BA1245" s="41"/>
      <c r="BB1245" s="41"/>
      <c r="BC1245" s="41"/>
      <c r="BD1245" s="41"/>
      <c r="BE1245" s="41"/>
      <c r="BF1245" s="41"/>
      <c r="BG1245" s="41"/>
      <c r="BH1245" s="41"/>
      <c r="BJ1245" s="41"/>
      <c r="BK1245" s="94"/>
      <c r="BL1245" s="94"/>
      <c r="BM1245" s="94"/>
      <c r="BN1245" s="94"/>
      <c r="BO1245" s="94"/>
      <c r="BP1245" s="94"/>
      <c r="BQ1245" s="94"/>
      <c r="BR1245" s="94"/>
      <c r="BS1245" s="94"/>
      <c r="BT1245" s="94"/>
      <c r="BU1245" s="94"/>
      <c r="BV1245" s="94"/>
      <c r="BW1245" s="94"/>
      <c r="BX1245" s="94"/>
      <c r="BY1245" s="94"/>
      <c r="BZ1245" s="94"/>
      <c r="CA1245" s="94"/>
      <c r="CB1245" s="94"/>
      <c r="CC1245" s="94"/>
      <c r="CD1245" s="94"/>
      <c r="CE1245" s="94"/>
      <c r="CF1245" s="94"/>
      <c r="CG1245" s="94"/>
      <c r="CH1245" s="94"/>
      <c r="CI1245" s="94"/>
      <c r="CJ1245" s="94"/>
      <c r="CK1245" s="94"/>
      <c r="CL1245" s="94"/>
      <c r="CM1245" s="94"/>
      <c r="CN1245" s="94">
        <v>1</v>
      </c>
      <c r="CO1245" s="94"/>
      <c r="CP1245" s="94"/>
      <c r="CQ1245" s="94"/>
      <c r="CR1245" s="94"/>
      <c r="CS1245" s="94"/>
      <c r="CT1245" s="94"/>
      <c r="CU1245" s="94"/>
      <c r="CV1245" s="94"/>
      <c r="CW1245" s="94"/>
      <c r="CX1245" s="94"/>
      <c r="CY1245" s="94"/>
      <c r="CZ1245" s="94"/>
      <c r="DA1245" s="94"/>
      <c r="DB1245" s="94"/>
      <c r="DC1245" s="94"/>
      <c r="DD1245" s="94"/>
      <c r="DE1245" s="94"/>
      <c r="DF1245" s="94"/>
      <c r="DG1245" s="94"/>
      <c r="DH1245" s="94"/>
      <c r="DI1245" s="94"/>
      <c r="DJ1245" s="94"/>
      <c r="DK1245" s="41"/>
      <c r="DL1245" s="41"/>
      <c r="DM1245" s="41"/>
      <c r="DN1245" s="41"/>
      <c r="DO1245" s="41"/>
      <c r="DP1245" s="41"/>
      <c r="DQ1245" s="41"/>
      <c r="DR1245" s="41"/>
      <c r="DS1245" s="43"/>
      <c r="DT1245" s="44">
        <f t="shared" ref="DT1245" si="1226">SUM(F1245:DR1245)</f>
        <v>1</v>
      </c>
    </row>
    <row r="1246" spans="2:124" s="13" customFormat="1">
      <c r="B1246" s="4">
        <f>'6.1Personnel List'!B1247</f>
        <v>1234</v>
      </c>
      <c r="C1246" s="45" t="s">
        <v>1462</v>
      </c>
      <c r="D1246" s="45" t="str">
        <f>'6.1Personnel List'!D1247</f>
        <v>Nursing Attendant II</v>
      </c>
      <c r="E1246" s="45" t="str">
        <f>'6.1Personnel List'!H1247</f>
        <v>FT</v>
      </c>
      <c r="G1246" s="41"/>
      <c r="H1246" s="41"/>
      <c r="I1246" s="41"/>
      <c r="J1246" s="41"/>
      <c r="K1246" s="41"/>
      <c r="L1246" s="41"/>
      <c r="M1246" s="41"/>
      <c r="N1246" s="41"/>
      <c r="O1246" s="41"/>
      <c r="P1246" s="41"/>
      <c r="Q1246" s="41"/>
      <c r="R1246" s="41"/>
      <c r="S1246" s="41"/>
      <c r="T1246" s="41"/>
      <c r="U1246" s="41"/>
      <c r="V1246" s="41"/>
      <c r="W1246" s="41"/>
      <c r="X1246" s="41"/>
      <c r="Y1246" s="41"/>
      <c r="Z1246" s="41"/>
      <c r="AA1246" s="41"/>
      <c r="AB1246" s="41"/>
      <c r="AC1246" s="41"/>
      <c r="AD1246" s="41"/>
      <c r="AE1246" s="41"/>
      <c r="AF1246" s="41"/>
      <c r="AG1246" s="41"/>
      <c r="AH1246" s="41"/>
      <c r="AI1246" s="41"/>
      <c r="AJ1246" s="41"/>
      <c r="AK1246" s="41"/>
      <c r="AL1246" s="41"/>
      <c r="AM1246" s="41"/>
      <c r="AN1246" s="41"/>
      <c r="AO1246" s="41"/>
      <c r="AP1246" s="41"/>
      <c r="AQ1246" s="41"/>
      <c r="AR1246" s="41"/>
      <c r="AS1246" s="41"/>
      <c r="AT1246" s="41"/>
      <c r="AU1246" s="41"/>
      <c r="AV1246" s="41"/>
      <c r="AW1246" s="41"/>
      <c r="AX1246" s="41"/>
      <c r="AY1246" s="41"/>
      <c r="AZ1246" s="41"/>
      <c r="BA1246" s="41"/>
      <c r="BB1246" s="41"/>
      <c r="BC1246" s="41"/>
      <c r="BD1246" s="41"/>
      <c r="BE1246" s="41"/>
      <c r="BF1246" s="41"/>
      <c r="BG1246" s="41"/>
      <c r="BH1246" s="41"/>
      <c r="BJ1246" s="41"/>
      <c r="BK1246" s="94"/>
      <c r="BL1246" s="94"/>
      <c r="BM1246" s="94"/>
      <c r="BN1246" s="94"/>
      <c r="BO1246" s="94"/>
      <c r="BP1246" s="94"/>
      <c r="BQ1246" s="94"/>
      <c r="BR1246" s="94"/>
      <c r="BS1246" s="94"/>
      <c r="BT1246" s="94"/>
      <c r="BU1246" s="94"/>
      <c r="BV1246" s="94"/>
      <c r="BW1246" s="94"/>
      <c r="BX1246" s="94"/>
      <c r="BY1246" s="94"/>
      <c r="BZ1246" s="94"/>
      <c r="CA1246" s="94"/>
      <c r="CB1246" s="94"/>
      <c r="CC1246" s="94"/>
      <c r="CD1246" s="94"/>
      <c r="CE1246" s="94"/>
      <c r="CF1246" s="94"/>
      <c r="CG1246" s="94"/>
      <c r="CH1246" s="94"/>
      <c r="CI1246" s="94"/>
      <c r="CJ1246" s="94"/>
      <c r="CK1246" s="94"/>
      <c r="CL1246" s="94"/>
      <c r="CM1246" s="94"/>
      <c r="CN1246" s="94"/>
      <c r="CO1246" s="94"/>
      <c r="CP1246" s="94"/>
      <c r="CQ1246" s="94"/>
      <c r="CR1246" s="94"/>
      <c r="CS1246" s="94"/>
      <c r="CT1246" s="94"/>
      <c r="CU1246" s="94"/>
      <c r="CV1246" s="94"/>
      <c r="CW1246" s="94"/>
      <c r="CX1246" s="94"/>
      <c r="CY1246" s="94"/>
      <c r="CZ1246" s="94"/>
      <c r="DA1246" s="94"/>
      <c r="DB1246" s="94"/>
      <c r="DC1246" s="94"/>
      <c r="DD1246" s="94"/>
      <c r="DE1246" s="94"/>
      <c r="DF1246" s="94"/>
      <c r="DG1246" s="94"/>
      <c r="DH1246" s="94"/>
      <c r="DI1246" s="94"/>
      <c r="DJ1246" s="94"/>
      <c r="DK1246" s="41">
        <v>1</v>
      </c>
      <c r="DL1246" s="41"/>
      <c r="DM1246" s="41"/>
      <c r="DN1246" s="41"/>
      <c r="DO1246" s="41"/>
      <c r="DP1246" s="41"/>
      <c r="DQ1246" s="41"/>
      <c r="DR1246" s="41"/>
      <c r="DS1246" s="43"/>
      <c r="DT1246" s="44">
        <f t="shared" ref="DT1246" si="1227">SUM(F1246:DR1246)</f>
        <v>1</v>
      </c>
    </row>
    <row r="1247" spans="2:124" s="13" customFormat="1">
      <c r="B1247" s="4">
        <f>'6.1Personnel List'!B1248</f>
        <v>1235</v>
      </c>
      <c r="C1247" s="45" t="s">
        <v>1463</v>
      </c>
      <c r="D1247" s="45" t="str">
        <f>'6.1Personnel List'!D1248</f>
        <v>Nursing Attendant II</v>
      </c>
      <c r="E1247" s="45" t="str">
        <f>'6.1Personnel List'!H1248</f>
        <v>FT</v>
      </c>
      <c r="G1247" s="41"/>
      <c r="H1247" s="41"/>
      <c r="I1247" s="41"/>
      <c r="J1247" s="41"/>
      <c r="K1247" s="41"/>
      <c r="L1247" s="41"/>
      <c r="M1247" s="41"/>
      <c r="N1247" s="41"/>
      <c r="O1247" s="41"/>
      <c r="P1247" s="41"/>
      <c r="Q1247" s="41"/>
      <c r="R1247" s="41"/>
      <c r="S1247" s="41"/>
      <c r="T1247" s="41"/>
      <c r="U1247" s="41"/>
      <c r="V1247" s="41"/>
      <c r="W1247" s="41"/>
      <c r="X1247" s="41"/>
      <c r="Y1247" s="41"/>
      <c r="Z1247" s="41"/>
      <c r="AA1247" s="41"/>
      <c r="AB1247" s="41"/>
      <c r="AC1247" s="41"/>
      <c r="AD1247" s="41"/>
      <c r="AE1247" s="41"/>
      <c r="AF1247" s="41"/>
      <c r="AG1247" s="41"/>
      <c r="AH1247" s="41"/>
      <c r="AI1247" s="41"/>
      <c r="AJ1247" s="41"/>
      <c r="AK1247" s="41"/>
      <c r="AL1247" s="41"/>
      <c r="AM1247" s="41"/>
      <c r="AN1247" s="41"/>
      <c r="AO1247" s="41"/>
      <c r="AP1247" s="41"/>
      <c r="AQ1247" s="41"/>
      <c r="AR1247" s="41"/>
      <c r="AS1247" s="41"/>
      <c r="AT1247" s="41"/>
      <c r="AU1247" s="41"/>
      <c r="AV1247" s="41"/>
      <c r="AW1247" s="41"/>
      <c r="AX1247" s="41"/>
      <c r="AY1247" s="41"/>
      <c r="AZ1247" s="41"/>
      <c r="BA1247" s="41"/>
      <c r="BB1247" s="41"/>
      <c r="BC1247" s="41"/>
      <c r="BD1247" s="41"/>
      <c r="BE1247" s="41"/>
      <c r="BF1247" s="41"/>
      <c r="BG1247" s="41"/>
      <c r="BH1247" s="41"/>
      <c r="BJ1247" s="41"/>
      <c r="BK1247" s="94"/>
      <c r="BL1247" s="94"/>
      <c r="BM1247" s="94"/>
      <c r="BN1247" s="94"/>
      <c r="BO1247" s="94"/>
      <c r="BP1247" s="94"/>
      <c r="BQ1247" s="94"/>
      <c r="BR1247" s="94"/>
      <c r="BS1247" s="94"/>
      <c r="BT1247" s="94"/>
      <c r="BU1247" s="94"/>
      <c r="BV1247" s="94"/>
      <c r="BW1247" s="94"/>
      <c r="BX1247" s="94"/>
      <c r="BY1247" s="94"/>
      <c r="BZ1247" s="94"/>
      <c r="CA1247" s="94"/>
      <c r="CB1247" s="94"/>
      <c r="CC1247" s="94"/>
      <c r="CD1247" s="94"/>
      <c r="CE1247" s="94"/>
      <c r="CF1247" s="94"/>
      <c r="CG1247" s="94"/>
      <c r="CH1247" s="94"/>
      <c r="CI1247" s="94"/>
      <c r="CJ1247" s="94"/>
      <c r="CK1247" s="94"/>
      <c r="CL1247" s="94"/>
      <c r="CM1247" s="94"/>
      <c r="CN1247" s="94"/>
      <c r="CO1247" s="94"/>
      <c r="CP1247" s="94"/>
      <c r="CQ1247" s="94"/>
      <c r="CR1247" s="94"/>
      <c r="CS1247" s="94"/>
      <c r="CT1247" s="94"/>
      <c r="CU1247" s="94"/>
      <c r="CV1247" s="94"/>
      <c r="CW1247" s="94"/>
      <c r="CX1247" s="94"/>
      <c r="CY1247" s="94"/>
      <c r="CZ1247" s="94"/>
      <c r="DA1247" s="94"/>
      <c r="DB1247" s="94"/>
      <c r="DC1247" s="94"/>
      <c r="DD1247" s="94"/>
      <c r="DE1247" s="94"/>
      <c r="DF1247" s="94"/>
      <c r="DG1247" s="94"/>
      <c r="DH1247" s="94"/>
      <c r="DI1247" s="94"/>
      <c r="DJ1247" s="94">
        <v>1</v>
      </c>
      <c r="DK1247" s="41"/>
      <c r="DL1247" s="41"/>
      <c r="DM1247" s="41"/>
      <c r="DN1247" s="41"/>
      <c r="DO1247" s="41"/>
      <c r="DP1247" s="41"/>
      <c r="DQ1247" s="41"/>
      <c r="DR1247" s="41"/>
      <c r="DS1247" s="43"/>
      <c r="DT1247" s="44">
        <f t="shared" ref="DT1247" si="1228">SUM(F1247:DR1247)</f>
        <v>1</v>
      </c>
    </row>
    <row r="1248" spans="2:124" s="13" customFormat="1">
      <c r="B1248" s="4">
        <f>'6.1Personnel List'!B1249</f>
        <v>1236</v>
      </c>
      <c r="C1248" s="45" t="s">
        <v>1464</v>
      </c>
      <c r="D1248" s="45" t="str">
        <f>'6.1Personnel List'!D1249</f>
        <v>Nursing Attendant II</v>
      </c>
      <c r="E1248" s="45" t="str">
        <f>'6.1Personnel List'!H1249</f>
        <v>FT</v>
      </c>
      <c r="G1248" s="41"/>
      <c r="H1248" s="41"/>
      <c r="I1248" s="41"/>
      <c r="J1248" s="41"/>
      <c r="K1248" s="41"/>
      <c r="L1248" s="41"/>
      <c r="M1248" s="41"/>
      <c r="N1248" s="41"/>
      <c r="O1248" s="41"/>
      <c r="P1248" s="41"/>
      <c r="Q1248" s="41"/>
      <c r="R1248" s="41"/>
      <c r="S1248" s="41"/>
      <c r="T1248" s="41"/>
      <c r="U1248" s="41"/>
      <c r="V1248" s="41"/>
      <c r="W1248" s="41"/>
      <c r="X1248" s="41"/>
      <c r="Y1248" s="41"/>
      <c r="Z1248" s="41"/>
      <c r="AA1248" s="41"/>
      <c r="AB1248" s="41"/>
      <c r="AC1248" s="41"/>
      <c r="AD1248" s="41"/>
      <c r="AE1248" s="41"/>
      <c r="AF1248" s="41"/>
      <c r="AG1248" s="41"/>
      <c r="AH1248" s="41"/>
      <c r="AI1248" s="41"/>
      <c r="AJ1248" s="41"/>
      <c r="AK1248" s="41"/>
      <c r="AL1248" s="41"/>
      <c r="AM1248" s="41"/>
      <c r="AN1248" s="41"/>
      <c r="AO1248" s="41"/>
      <c r="AP1248" s="41"/>
      <c r="AQ1248" s="41"/>
      <c r="AR1248" s="41"/>
      <c r="AS1248" s="41"/>
      <c r="AT1248" s="41"/>
      <c r="AU1248" s="41"/>
      <c r="AV1248" s="41"/>
      <c r="AW1248" s="41"/>
      <c r="AX1248" s="41"/>
      <c r="AY1248" s="41"/>
      <c r="AZ1248" s="41"/>
      <c r="BA1248" s="41"/>
      <c r="BB1248" s="41"/>
      <c r="BC1248" s="41"/>
      <c r="BD1248" s="41"/>
      <c r="BE1248" s="41"/>
      <c r="BF1248" s="41"/>
      <c r="BG1248" s="41"/>
      <c r="BH1248" s="41"/>
      <c r="BJ1248" s="41"/>
      <c r="BK1248" s="94"/>
      <c r="BL1248" s="94"/>
      <c r="BM1248" s="94"/>
      <c r="BN1248" s="94"/>
      <c r="BO1248" s="94"/>
      <c r="BP1248" s="94"/>
      <c r="BQ1248" s="94"/>
      <c r="BR1248" s="94"/>
      <c r="BS1248" s="94"/>
      <c r="BT1248" s="94"/>
      <c r="BU1248" s="94"/>
      <c r="BV1248" s="94"/>
      <c r="BW1248" s="94"/>
      <c r="BX1248" s="94"/>
      <c r="BY1248" s="94"/>
      <c r="BZ1248" s="94"/>
      <c r="CA1248" s="94"/>
      <c r="CB1248" s="94"/>
      <c r="CC1248" s="94"/>
      <c r="CD1248" s="94"/>
      <c r="CE1248" s="94"/>
      <c r="CF1248" s="94"/>
      <c r="CG1248" s="94"/>
      <c r="CH1248" s="94"/>
      <c r="CI1248" s="94"/>
      <c r="CJ1248" s="94"/>
      <c r="CK1248" s="94"/>
      <c r="CL1248" s="94"/>
      <c r="CM1248" s="94"/>
      <c r="CN1248" s="94">
        <v>1</v>
      </c>
      <c r="CO1248" s="94"/>
      <c r="CP1248" s="94"/>
      <c r="CQ1248" s="94"/>
      <c r="CR1248" s="94"/>
      <c r="CS1248" s="94"/>
      <c r="CT1248" s="94"/>
      <c r="CU1248" s="94"/>
      <c r="CV1248" s="94"/>
      <c r="CW1248" s="94"/>
      <c r="CX1248" s="94"/>
      <c r="CY1248" s="94"/>
      <c r="CZ1248" s="94"/>
      <c r="DA1248" s="94"/>
      <c r="DB1248" s="94"/>
      <c r="DC1248" s="94"/>
      <c r="DD1248" s="94"/>
      <c r="DE1248" s="94"/>
      <c r="DF1248" s="94"/>
      <c r="DG1248" s="94"/>
      <c r="DH1248" s="94"/>
      <c r="DI1248" s="94"/>
      <c r="DJ1248" s="94"/>
      <c r="DK1248" s="41"/>
      <c r="DL1248" s="41"/>
      <c r="DM1248" s="41"/>
      <c r="DN1248" s="41"/>
      <c r="DO1248" s="41"/>
      <c r="DP1248" s="41"/>
      <c r="DQ1248" s="41"/>
      <c r="DR1248" s="41"/>
      <c r="DS1248" s="43"/>
      <c r="DT1248" s="44">
        <f t="shared" ref="DT1248" si="1229">SUM(F1248:DR1248)</f>
        <v>1</v>
      </c>
    </row>
    <row r="1249" spans="2:124" s="13" customFormat="1">
      <c r="B1249" s="4">
        <f>'6.1Personnel List'!B1250</f>
        <v>1237</v>
      </c>
      <c r="C1249" s="45" t="s">
        <v>1465</v>
      </c>
      <c r="D1249" s="45" t="str">
        <f>'6.1Personnel List'!D1250</f>
        <v>Nursing Attendant II</v>
      </c>
      <c r="E1249" s="45" t="str">
        <f>'6.1Personnel List'!H1250</f>
        <v>FT</v>
      </c>
      <c r="G1249" s="41"/>
      <c r="H1249" s="41"/>
      <c r="I1249" s="41"/>
      <c r="J1249" s="41"/>
      <c r="K1249" s="41"/>
      <c r="L1249" s="41"/>
      <c r="M1249" s="41"/>
      <c r="N1249" s="41"/>
      <c r="O1249" s="41"/>
      <c r="P1249" s="41"/>
      <c r="Q1249" s="41"/>
      <c r="R1249" s="41"/>
      <c r="S1249" s="41"/>
      <c r="T1249" s="41"/>
      <c r="U1249" s="41"/>
      <c r="V1249" s="41"/>
      <c r="W1249" s="41"/>
      <c r="X1249" s="41"/>
      <c r="Y1249" s="41"/>
      <c r="Z1249" s="41"/>
      <c r="AA1249" s="41"/>
      <c r="AB1249" s="41"/>
      <c r="AC1249" s="41"/>
      <c r="AD1249" s="41"/>
      <c r="AE1249" s="41"/>
      <c r="AF1249" s="41"/>
      <c r="AG1249" s="41"/>
      <c r="AH1249" s="41"/>
      <c r="AI1249" s="41"/>
      <c r="AJ1249" s="41"/>
      <c r="AK1249" s="41"/>
      <c r="AL1249" s="41"/>
      <c r="AM1249" s="41"/>
      <c r="AN1249" s="41"/>
      <c r="AO1249" s="41"/>
      <c r="AP1249" s="41"/>
      <c r="AQ1249" s="41"/>
      <c r="AR1249" s="41"/>
      <c r="AS1249" s="41"/>
      <c r="AT1249" s="41"/>
      <c r="AU1249" s="41"/>
      <c r="AV1249" s="41"/>
      <c r="AW1249" s="41"/>
      <c r="AX1249" s="41"/>
      <c r="AY1249" s="41"/>
      <c r="AZ1249" s="41"/>
      <c r="BA1249" s="41"/>
      <c r="BB1249" s="41"/>
      <c r="BC1249" s="41"/>
      <c r="BD1249" s="41"/>
      <c r="BE1249" s="41"/>
      <c r="BF1249" s="41"/>
      <c r="BG1249" s="41"/>
      <c r="BH1249" s="41"/>
      <c r="BJ1249" s="41"/>
      <c r="BK1249" s="94"/>
      <c r="BL1249" s="94"/>
      <c r="BM1249" s="94"/>
      <c r="BN1249" s="94"/>
      <c r="BO1249" s="94"/>
      <c r="BP1249" s="94"/>
      <c r="BQ1249" s="94"/>
      <c r="BR1249" s="94"/>
      <c r="BS1249" s="94"/>
      <c r="BT1249" s="94"/>
      <c r="BU1249" s="94"/>
      <c r="BV1249" s="94"/>
      <c r="BW1249" s="94"/>
      <c r="BX1249" s="94"/>
      <c r="BY1249" s="94"/>
      <c r="BZ1249" s="94"/>
      <c r="CA1249" s="94"/>
      <c r="CB1249" s="94"/>
      <c r="CC1249" s="94"/>
      <c r="CD1249" s="94"/>
      <c r="CE1249" s="94"/>
      <c r="CF1249" s="94"/>
      <c r="CG1249" s="94"/>
      <c r="CH1249" s="94"/>
      <c r="CI1249" s="94"/>
      <c r="CJ1249" s="94"/>
      <c r="CK1249" s="94"/>
      <c r="CL1249" s="94"/>
      <c r="CM1249" s="94"/>
      <c r="CN1249" s="94"/>
      <c r="CO1249" s="94"/>
      <c r="CP1249" s="94"/>
      <c r="CQ1249" s="94"/>
      <c r="CR1249" s="94"/>
      <c r="CS1249" s="94"/>
      <c r="CT1249" s="94"/>
      <c r="CU1249" s="94">
        <v>1</v>
      </c>
      <c r="CV1249" s="94"/>
      <c r="CW1249" s="94"/>
      <c r="CX1249" s="94"/>
      <c r="CY1249" s="94"/>
      <c r="CZ1249" s="94"/>
      <c r="DA1249" s="94"/>
      <c r="DB1249" s="94"/>
      <c r="DC1249" s="94"/>
      <c r="DD1249" s="94"/>
      <c r="DE1249" s="94"/>
      <c r="DF1249" s="94"/>
      <c r="DG1249" s="94"/>
      <c r="DH1249" s="94"/>
      <c r="DI1249" s="94"/>
      <c r="DJ1249" s="94"/>
      <c r="DK1249" s="41"/>
      <c r="DL1249" s="41"/>
      <c r="DM1249" s="41"/>
      <c r="DN1249" s="41"/>
      <c r="DO1249" s="41"/>
      <c r="DP1249" s="41"/>
      <c r="DQ1249" s="41"/>
      <c r="DR1249" s="41"/>
      <c r="DS1249" s="43"/>
      <c r="DT1249" s="44">
        <f t="shared" ref="DT1249" si="1230">SUM(F1249:DR1249)</f>
        <v>1</v>
      </c>
    </row>
    <row r="1250" spans="2:124" s="13" customFormat="1">
      <c r="B1250" s="4">
        <f>'6.1Personnel List'!B1251</f>
        <v>1238</v>
      </c>
      <c r="C1250" s="45" t="s">
        <v>1466</v>
      </c>
      <c r="D1250" s="45" t="str">
        <f>'6.1Personnel List'!D1251</f>
        <v>Nursing Attendant II</v>
      </c>
      <c r="E1250" s="45" t="str">
        <f>'6.1Personnel List'!H1251</f>
        <v>FT</v>
      </c>
      <c r="G1250" s="41"/>
      <c r="H1250" s="41"/>
      <c r="I1250" s="41"/>
      <c r="J1250" s="41"/>
      <c r="K1250" s="41"/>
      <c r="L1250" s="41"/>
      <c r="M1250" s="41"/>
      <c r="N1250" s="41"/>
      <c r="O1250" s="41"/>
      <c r="P1250" s="41"/>
      <c r="Q1250" s="41"/>
      <c r="R1250" s="41"/>
      <c r="S1250" s="41"/>
      <c r="T1250" s="41"/>
      <c r="U1250" s="41"/>
      <c r="V1250" s="41"/>
      <c r="W1250" s="41"/>
      <c r="X1250" s="41"/>
      <c r="Y1250" s="41"/>
      <c r="Z1250" s="41"/>
      <c r="AA1250" s="41"/>
      <c r="AB1250" s="41"/>
      <c r="AC1250" s="41"/>
      <c r="AD1250" s="41"/>
      <c r="AE1250" s="41"/>
      <c r="AF1250" s="41"/>
      <c r="AG1250" s="41"/>
      <c r="AH1250" s="41"/>
      <c r="AI1250" s="41"/>
      <c r="AJ1250" s="41"/>
      <c r="AK1250" s="41"/>
      <c r="AL1250" s="41"/>
      <c r="AM1250" s="41"/>
      <c r="AN1250" s="41"/>
      <c r="AO1250" s="41"/>
      <c r="AP1250" s="41"/>
      <c r="AQ1250" s="41"/>
      <c r="AR1250" s="41"/>
      <c r="AS1250" s="41"/>
      <c r="AT1250" s="41"/>
      <c r="AU1250" s="41"/>
      <c r="AV1250" s="41"/>
      <c r="AW1250" s="41"/>
      <c r="AX1250" s="41"/>
      <c r="AY1250" s="41"/>
      <c r="AZ1250" s="41"/>
      <c r="BA1250" s="41"/>
      <c r="BB1250" s="41"/>
      <c r="BC1250" s="41"/>
      <c r="BD1250" s="41"/>
      <c r="BE1250" s="41"/>
      <c r="BF1250" s="41"/>
      <c r="BG1250" s="41"/>
      <c r="BH1250" s="41"/>
      <c r="BJ1250" s="41"/>
      <c r="BK1250" s="94"/>
      <c r="BL1250" s="94"/>
      <c r="BM1250" s="94"/>
      <c r="BN1250" s="94"/>
      <c r="BO1250" s="94"/>
      <c r="BP1250" s="94"/>
      <c r="BQ1250" s="94"/>
      <c r="BR1250" s="94"/>
      <c r="BS1250" s="94"/>
      <c r="BT1250" s="94"/>
      <c r="BU1250" s="94"/>
      <c r="BV1250" s="94"/>
      <c r="BW1250" s="94"/>
      <c r="BX1250" s="94"/>
      <c r="BY1250" s="94"/>
      <c r="BZ1250" s="94"/>
      <c r="CA1250" s="94"/>
      <c r="CB1250" s="94"/>
      <c r="CC1250" s="94"/>
      <c r="CD1250" s="94"/>
      <c r="CE1250" s="94"/>
      <c r="CF1250" s="94"/>
      <c r="CG1250" s="94"/>
      <c r="CH1250" s="94"/>
      <c r="CI1250" s="94"/>
      <c r="CJ1250" s="94"/>
      <c r="CK1250" s="94"/>
      <c r="CL1250" s="94"/>
      <c r="CM1250" s="94"/>
      <c r="CN1250" s="94"/>
      <c r="CO1250" s="94"/>
      <c r="CP1250" s="94">
        <v>1</v>
      </c>
      <c r="CQ1250" s="94"/>
      <c r="CR1250" s="94"/>
      <c r="CS1250" s="94"/>
      <c r="CT1250" s="94"/>
      <c r="CU1250" s="94"/>
      <c r="CV1250" s="94"/>
      <c r="CW1250" s="94"/>
      <c r="CX1250" s="94"/>
      <c r="CY1250" s="94"/>
      <c r="CZ1250" s="94"/>
      <c r="DA1250" s="94"/>
      <c r="DB1250" s="94"/>
      <c r="DC1250" s="94"/>
      <c r="DD1250" s="94"/>
      <c r="DE1250" s="94"/>
      <c r="DF1250" s="94"/>
      <c r="DG1250" s="94"/>
      <c r="DH1250" s="94"/>
      <c r="DI1250" s="94"/>
      <c r="DJ1250" s="94"/>
      <c r="DK1250" s="41"/>
      <c r="DL1250" s="41"/>
      <c r="DM1250" s="41"/>
      <c r="DN1250" s="41"/>
      <c r="DO1250" s="41"/>
      <c r="DP1250" s="41"/>
      <c r="DQ1250" s="41"/>
      <c r="DR1250" s="41"/>
      <c r="DS1250" s="43"/>
      <c r="DT1250" s="44">
        <f t="shared" ref="DT1250" si="1231">SUM(F1250:DR1250)</f>
        <v>1</v>
      </c>
    </row>
    <row r="1251" spans="2:124" s="13" customFormat="1">
      <c r="B1251" s="4">
        <f>'6.1Personnel List'!B1252</f>
        <v>1239</v>
      </c>
      <c r="C1251" s="45" t="s">
        <v>1467</v>
      </c>
      <c r="D1251" s="45" t="str">
        <f>'6.1Personnel List'!D1252</f>
        <v>Nursing Attendant II</v>
      </c>
      <c r="E1251" s="45" t="str">
        <f>'6.1Personnel List'!H1252</f>
        <v>FT</v>
      </c>
      <c r="G1251" s="41"/>
      <c r="H1251" s="41"/>
      <c r="I1251" s="41"/>
      <c r="J1251" s="41"/>
      <c r="K1251" s="41"/>
      <c r="L1251" s="41"/>
      <c r="M1251" s="41"/>
      <c r="N1251" s="41"/>
      <c r="O1251" s="41"/>
      <c r="P1251" s="41"/>
      <c r="Q1251" s="41"/>
      <c r="R1251" s="41"/>
      <c r="S1251" s="41"/>
      <c r="T1251" s="41"/>
      <c r="U1251" s="41"/>
      <c r="V1251" s="41"/>
      <c r="W1251" s="41"/>
      <c r="X1251" s="41"/>
      <c r="Y1251" s="41"/>
      <c r="Z1251" s="41"/>
      <c r="AA1251" s="41"/>
      <c r="AB1251" s="41"/>
      <c r="AC1251" s="41"/>
      <c r="AD1251" s="41"/>
      <c r="AE1251" s="41"/>
      <c r="AF1251" s="41"/>
      <c r="AG1251" s="41"/>
      <c r="AH1251" s="41"/>
      <c r="AI1251" s="41"/>
      <c r="AJ1251" s="41"/>
      <c r="AK1251" s="41"/>
      <c r="AL1251" s="41"/>
      <c r="AM1251" s="41"/>
      <c r="AN1251" s="41"/>
      <c r="AO1251" s="41"/>
      <c r="AP1251" s="41"/>
      <c r="AQ1251" s="41"/>
      <c r="AR1251" s="41"/>
      <c r="AS1251" s="41"/>
      <c r="AT1251" s="41"/>
      <c r="AU1251" s="41"/>
      <c r="AV1251" s="41"/>
      <c r="AW1251" s="41"/>
      <c r="AX1251" s="41"/>
      <c r="AY1251" s="41"/>
      <c r="AZ1251" s="41"/>
      <c r="BA1251" s="41"/>
      <c r="BB1251" s="41"/>
      <c r="BC1251" s="41"/>
      <c r="BD1251" s="41"/>
      <c r="BE1251" s="41"/>
      <c r="BF1251" s="41"/>
      <c r="BG1251" s="41"/>
      <c r="BH1251" s="41"/>
      <c r="BJ1251" s="41"/>
      <c r="BK1251" s="94"/>
      <c r="BL1251" s="94"/>
      <c r="BM1251" s="94"/>
      <c r="BN1251" s="94"/>
      <c r="BO1251" s="94"/>
      <c r="BP1251" s="94"/>
      <c r="BQ1251" s="94"/>
      <c r="BR1251" s="94"/>
      <c r="BS1251" s="94"/>
      <c r="BT1251" s="94"/>
      <c r="BU1251" s="94"/>
      <c r="BV1251" s="94"/>
      <c r="BW1251" s="94"/>
      <c r="BX1251" s="94"/>
      <c r="BY1251" s="94"/>
      <c r="BZ1251" s="94"/>
      <c r="CA1251" s="94"/>
      <c r="CB1251" s="94"/>
      <c r="CC1251" s="94"/>
      <c r="CD1251" s="94"/>
      <c r="CE1251" s="94"/>
      <c r="CF1251" s="94"/>
      <c r="CG1251" s="94"/>
      <c r="CH1251" s="94"/>
      <c r="CI1251" s="94"/>
      <c r="CJ1251" s="94"/>
      <c r="CK1251" s="94"/>
      <c r="CL1251" s="94"/>
      <c r="CM1251" s="94"/>
      <c r="CN1251" s="94"/>
      <c r="CO1251" s="94"/>
      <c r="CP1251" s="94"/>
      <c r="CQ1251" s="94">
        <v>1</v>
      </c>
      <c r="CR1251" s="94"/>
      <c r="CS1251" s="94"/>
      <c r="CT1251" s="94"/>
      <c r="CU1251" s="94"/>
      <c r="CV1251" s="94"/>
      <c r="CW1251" s="94"/>
      <c r="CX1251" s="94"/>
      <c r="CY1251" s="94"/>
      <c r="CZ1251" s="94"/>
      <c r="DA1251" s="94"/>
      <c r="DB1251" s="94"/>
      <c r="DC1251" s="94"/>
      <c r="DD1251" s="94"/>
      <c r="DE1251" s="94"/>
      <c r="DF1251" s="94"/>
      <c r="DG1251" s="94"/>
      <c r="DH1251" s="94"/>
      <c r="DI1251" s="94"/>
      <c r="DJ1251" s="94"/>
      <c r="DK1251" s="41"/>
      <c r="DL1251" s="41"/>
      <c r="DM1251" s="41"/>
      <c r="DN1251" s="41"/>
      <c r="DO1251" s="41"/>
      <c r="DP1251" s="41"/>
      <c r="DQ1251" s="41"/>
      <c r="DR1251" s="41"/>
      <c r="DS1251" s="43"/>
      <c r="DT1251" s="44">
        <f t="shared" ref="DT1251" si="1232">SUM(F1251:DR1251)</f>
        <v>1</v>
      </c>
    </row>
    <row r="1252" spans="2:124" s="13" customFormat="1">
      <c r="B1252" s="4">
        <f>'6.1Personnel List'!B1253</f>
        <v>1240</v>
      </c>
      <c r="C1252" s="45" t="s">
        <v>1468</v>
      </c>
      <c r="D1252" s="45" t="str">
        <f>'6.1Personnel List'!D1253</f>
        <v>Nursing Attendant II</v>
      </c>
      <c r="E1252" s="45" t="str">
        <f>'6.1Personnel List'!H1253</f>
        <v>FT</v>
      </c>
      <c r="G1252" s="41"/>
      <c r="H1252" s="41"/>
      <c r="I1252" s="41"/>
      <c r="J1252" s="41"/>
      <c r="K1252" s="41"/>
      <c r="L1252" s="41"/>
      <c r="M1252" s="41"/>
      <c r="N1252" s="41"/>
      <c r="O1252" s="41"/>
      <c r="P1252" s="41"/>
      <c r="Q1252" s="41"/>
      <c r="R1252" s="41"/>
      <c r="S1252" s="41"/>
      <c r="T1252" s="41"/>
      <c r="U1252" s="41"/>
      <c r="V1252" s="41"/>
      <c r="W1252" s="41"/>
      <c r="X1252" s="41"/>
      <c r="Y1252" s="41"/>
      <c r="Z1252" s="41"/>
      <c r="AA1252" s="41"/>
      <c r="AB1252" s="41"/>
      <c r="AC1252" s="41"/>
      <c r="AD1252" s="41"/>
      <c r="AE1252" s="41"/>
      <c r="AF1252" s="41"/>
      <c r="AG1252" s="41"/>
      <c r="AH1252" s="41"/>
      <c r="AI1252" s="41"/>
      <c r="AJ1252" s="41"/>
      <c r="AK1252" s="41"/>
      <c r="AL1252" s="41"/>
      <c r="AM1252" s="41"/>
      <c r="AN1252" s="41"/>
      <c r="AO1252" s="41"/>
      <c r="AP1252" s="41"/>
      <c r="AQ1252" s="41"/>
      <c r="AR1252" s="41"/>
      <c r="AS1252" s="41"/>
      <c r="AT1252" s="41"/>
      <c r="AU1252" s="41"/>
      <c r="AV1252" s="41"/>
      <c r="AW1252" s="41"/>
      <c r="AX1252" s="41"/>
      <c r="AY1252" s="41"/>
      <c r="AZ1252" s="41"/>
      <c r="BA1252" s="41"/>
      <c r="BB1252" s="41"/>
      <c r="BC1252" s="41"/>
      <c r="BD1252" s="41"/>
      <c r="BE1252" s="41"/>
      <c r="BF1252" s="41"/>
      <c r="BG1252" s="41"/>
      <c r="BH1252" s="41"/>
      <c r="BJ1252" s="41"/>
      <c r="BK1252" s="94"/>
      <c r="BL1252" s="94"/>
      <c r="BM1252" s="94"/>
      <c r="BN1252" s="94"/>
      <c r="BO1252" s="94"/>
      <c r="BP1252" s="94"/>
      <c r="BQ1252" s="94"/>
      <c r="BR1252" s="94"/>
      <c r="BS1252" s="94"/>
      <c r="BT1252" s="94"/>
      <c r="BU1252" s="94"/>
      <c r="BV1252" s="94"/>
      <c r="BW1252" s="94"/>
      <c r="BX1252" s="94"/>
      <c r="BY1252" s="94"/>
      <c r="BZ1252" s="94"/>
      <c r="CA1252" s="94"/>
      <c r="CB1252" s="94"/>
      <c r="CC1252" s="94"/>
      <c r="CD1252" s="94"/>
      <c r="CE1252" s="94"/>
      <c r="CF1252" s="94"/>
      <c r="CG1252" s="94"/>
      <c r="CH1252" s="94"/>
      <c r="CI1252" s="94"/>
      <c r="CJ1252" s="94"/>
      <c r="CK1252" s="94"/>
      <c r="CL1252" s="94"/>
      <c r="CM1252" s="94"/>
      <c r="CN1252" s="94"/>
      <c r="CO1252" s="94"/>
      <c r="CP1252" s="94"/>
      <c r="CQ1252" s="94"/>
      <c r="CR1252" s="94"/>
      <c r="CS1252" s="94"/>
      <c r="CT1252" s="94"/>
      <c r="CU1252" s="94"/>
      <c r="CV1252" s="94"/>
      <c r="CW1252" s="94"/>
      <c r="CX1252" s="94"/>
      <c r="CY1252" s="94"/>
      <c r="CZ1252" s="94"/>
      <c r="DA1252" s="94"/>
      <c r="DB1252" s="94"/>
      <c r="DC1252" s="94"/>
      <c r="DD1252" s="94"/>
      <c r="DE1252" s="94"/>
      <c r="DF1252" s="94"/>
      <c r="DG1252" s="94"/>
      <c r="DH1252" s="94"/>
      <c r="DI1252" s="94"/>
      <c r="DJ1252" s="94">
        <v>1</v>
      </c>
      <c r="DK1252" s="41"/>
      <c r="DL1252" s="41"/>
      <c r="DM1252" s="41"/>
      <c r="DN1252" s="41"/>
      <c r="DO1252" s="41"/>
      <c r="DP1252" s="41"/>
      <c r="DQ1252" s="41"/>
      <c r="DR1252" s="41"/>
      <c r="DS1252" s="43"/>
      <c r="DT1252" s="44">
        <f t="shared" ref="DT1252" si="1233">SUM(F1252:DR1252)</f>
        <v>1</v>
      </c>
    </row>
    <row r="1253" spans="2:124" s="13" customFormat="1">
      <c r="B1253" s="4">
        <f>'6.1Personnel List'!B1254</f>
        <v>1241</v>
      </c>
      <c r="C1253" s="45" t="s">
        <v>1469</v>
      </c>
      <c r="D1253" s="45" t="str">
        <f>'6.1Personnel List'!D1254</f>
        <v>Nursing Attendant II</v>
      </c>
      <c r="E1253" s="45" t="str">
        <f>'6.1Personnel List'!H1254</f>
        <v>FT</v>
      </c>
      <c r="G1253" s="41"/>
      <c r="H1253" s="41"/>
      <c r="I1253" s="41"/>
      <c r="J1253" s="41"/>
      <c r="K1253" s="41"/>
      <c r="L1253" s="41"/>
      <c r="M1253" s="41"/>
      <c r="N1253" s="41"/>
      <c r="O1253" s="41"/>
      <c r="P1253" s="41"/>
      <c r="Q1253" s="41"/>
      <c r="R1253" s="41"/>
      <c r="S1253" s="41"/>
      <c r="T1253" s="41"/>
      <c r="U1253" s="41"/>
      <c r="V1253" s="41"/>
      <c r="W1253" s="41"/>
      <c r="X1253" s="41"/>
      <c r="Y1253" s="41"/>
      <c r="Z1253" s="41"/>
      <c r="AA1253" s="41"/>
      <c r="AB1253" s="41"/>
      <c r="AC1253" s="41"/>
      <c r="AD1253" s="41"/>
      <c r="AE1253" s="41"/>
      <c r="AF1253" s="41"/>
      <c r="AG1253" s="41"/>
      <c r="AH1253" s="41"/>
      <c r="AI1253" s="41"/>
      <c r="AJ1253" s="41"/>
      <c r="AK1253" s="41"/>
      <c r="AL1253" s="41"/>
      <c r="AM1253" s="41"/>
      <c r="AN1253" s="41"/>
      <c r="AO1253" s="41"/>
      <c r="AP1253" s="41"/>
      <c r="AQ1253" s="41"/>
      <c r="AR1253" s="41"/>
      <c r="AS1253" s="41"/>
      <c r="AT1253" s="41"/>
      <c r="AU1253" s="41"/>
      <c r="AV1253" s="41"/>
      <c r="AW1253" s="41"/>
      <c r="AX1253" s="41"/>
      <c r="AY1253" s="41"/>
      <c r="AZ1253" s="41"/>
      <c r="BA1253" s="41"/>
      <c r="BB1253" s="41"/>
      <c r="BC1253" s="41"/>
      <c r="BD1253" s="41"/>
      <c r="BE1253" s="41"/>
      <c r="BF1253" s="41"/>
      <c r="BG1253" s="41"/>
      <c r="BH1253" s="41"/>
      <c r="BJ1253" s="41"/>
      <c r="BK1253" s="94"/>
      <c r="BL1253" s="94"/>
      <c r="BM1253" s="94"/>
      <c r="BN1253" s="94"/>
      <c r="BO1253" s="94"/>
      <c r="BP1253" s="94"/>
      <c r="BQ1253" s="94"/>
      <c r="BR1253" s="94"/>
      <c r="BS1253" s="94"/>
      <c r="BT1253" s="94"/>
      <c r="BU1253" s="94"/>
      <c r="BV1253" s="94"/>
      <c r="BW1253" s="94"/>
      <c r="BX1253" s="94"/>
      <c r="BY1253" s="94"/>
      <c r="BZ1253" s="94"/>
      <c r="CA1253" s="94"/>
      <c r="CB1253" s="94"/>
      <c r="CC1253" s="94"/>
      <c r="CD1253" s="94"/>
      <c r="CE1253" s="94"/>
      <c r="CF1253" s="94"/>
      <c r="CG1253" s="94"/>
      <c r="CH1253" s="94"/>
      <c r="CI1253" s="94"/>
      <c r="CJ1253" s="94"/>
      <c r="CK1253" s="94"/>
      <c r="CL1253" s="94"/>
      <c r="CM1253" s="94"/>
      <c r="CN1253" s="94">
        <v>1</v>
      </c>
      <c r="CO1253" s="94"/>
      <c r="CP1253" s="94"/>
      <c r="CQ1253" s="94"/>
      <c r="CR1253" s="94"/>
      <c r="CS1253" s="94"/>
      <c r="CT1253" s="94"/>
      <c r="CU1253" s="94"/>
      <c r="CV1253" s="94"/>
      <c r="CW1253" s="94"/>
      <c r="CX1253" s="94"/>
      <c r="CY1253" s="94"/>
      <c r="CZ1253" s="94"/>
      <c r="DA1253" s="94"/>
      <c r="DB1253" s="94"/>
      <c r="DC1253" s="94"/>
      <c r="DD1253" s="94"/>
      <c r="DE1253" s="94"/>
      <c r="DF1253" s="94"/>
      <c r="DG1253" s="94"/>
      <c r="DH1253" s="94"/>
      <c r="DI1253" s="94"/>
      <c r="DJ1253" s="94"/>
      <c r="DK1253" s="41"/>
      <c r="DL1253" s="41"/>
      <c r="DM1253" s="41"/>
      <c r="DN1253" s="41"/>
      <c r="DO1253" s="41"/>
      <c r="DP1253" s="41"/>
      <c r="DQ1253" s="41"/>
      <c r="DR1253" s="41"/>
      <c r="DS1253" s="43"/>
      <c r="DT1253" s="44">
        <f t="shared" ref="DT1253" si="1234">SUM(F1253:DR1253)</f>
        <v>1</v>
      </c>
    </row>
    <row r="1254" spans="2:124" s="13" customFormat="1">
      <c r="B1254" s="4">
        <f>'6.1Personnel List'!B1255</f>
        <v>1242</v>
      </c>
      <c r="C1254" s="45" t="s">
        <v>1470</v>
      </c>
      <c r="D1254" s="45" t="str">
        <f>'6.1Personnel List'!D1255</f>
        <v>Nursing Attendant II</v>
      </c>
      <c r="E1254" s="45" t="str">
        <f>'6.1Personnel List'!H1255</f>
        <v>FT</v>
      </c>
      <c r="G1254" s="41"/>
      <c r="H1254" s="41"/>
      <c r="I1254" s="41"/>
      <c r="J1254" s="41"/>
      <c r="K1254" s="41"/>
      <c r="L1254" s="41"/>
      <c r="M1254" s="41"/>
      <c r="N1254" s="41"/>
      <c r="O1254" s="41"/>
      <c r="P1254" s="41"/>
      <c r="Q1254" s="41"/>
      <c r="R1254" s="41"/>
      <c r="S1254" s="41"/>
      <c r="T1254" s="41"/>
      <c r="U1254" s="41"/>
      <c r="V1254" s="41"/>
      <c r="W1254" s="41"/>
      <c r="X1254" s="41"/>
      <c r="Y1254" s="41"/>
      <c r="Z1254" s="41"/>
      <c r="AA1254" s="41"/>
      <c r="AB1254" s="41"/>
      <c r="AC1254" s="41"/>
      <c r="AD1254" s="41"/>
      <c r="AE1254" s="41"/>
      <c r="AF1254" s="41"/>
      <c r="AG1254" s="41"/>
      <c r="AH1254" s="41"/>
      <c r="AI1254" s="41"/>
      <c r="AJ1254" s="41"/>
      <c r="AK1254" s="41"/>
      <c r="AL1254" s="41"/>
      <c r="AM1254" s="41"/>
      <c r="AN1254" s="41"/>
      <c r="AO1254" s="41"/>
      <c r="AP1254" s="41"/>
      <c r="AQ1254" s="41"/>
      <c r="AR1254" s="41"/>
      <c r="AS1254" s="41"/>
      <c r="AT1254" s="41"/>
      <c r="AU1254" s="41"/>
      <c r="AV1254" s="41"/>
      <c r="AW1254" s="41"/>
      <c r="AX1254" s="41"/>
      <c r="AY1254" s="41"/>
      <c r="AZ1254" s="41"/>
      <c r="BA1254" s="41"/>
      <c r="BB1254" s="41"/>
      <c r="BC1254" s="41"/>
      <c r="BD1254" s="41"/>
      <c r="BE1254" s="41"/>
      <c r="BF1254" s="41"/>
      <c r="BG1254" s="41"/>
      <c r="BH1254" s="41"/>
      <c r="BJ1254" s="41"/>
      <c r="BK1254" s="41"/>
      <c r="BL1254" s="41"/>
      <c r="BM1254" s="41"/>
      <c r="BN1254" s="41"/>
      <c r="BO1254" s="41"/>
      <c r="BP1254" s="41"/>
      <c r="BQ1254" s="41"/>
      <c r="BR1254" s="41"/>
      <c r="BS1254" s="41"/>
      <c r="BT1254" s="41"/>
      <c r="BU1254" s="41"/>
      <c r="BV1254" s="41">
        <v>0.2</v>
      </c>
      <c r="BW1254" s="41"/>
      <c r="BX1254" s="41"/>
      <c r="BY1254" s="41"/>
      <c r="BZ1254" s="41"/>
      <c r="CA1254" s="41"/>
      <c r="CB1254" s="41">
        <v>0.2</v>
      </c>
      <c r="CC1254" s="41"/>
      <c r="CD1254" s="41"/>
      <c r="CE1254" s="41">
        <v>0.2</v>
      </c>
      <c r="CF1254" s="41"/>
      <c r="CG1254" s="41"/>
      <c r="CH1254" s="41"/>
      <c r="CI1254" s="41"/>
      <c r="CJ1254" s="41"/>
      <c r="CK1254" s="41"/>
      <c r="CL1254" s="41">
        <v>0.4</v>
      </c>
      <c r="CM1254" s="41"/>
      <c r="CN1254" s="41"/>
      <c r="CO1254" s="41"/>
      <c r="CP1254" s="41"/>
      <c r="CQ1254" s="41"/>
      <c r="CR1254" s="41"/>
      <c r="CS1254" s="41"/>
      <c r="CT1254" s="41"/>
      <c r="CU1254" s="41"/>
      <c r="CV1254" s="41"/>
      <c r="CW1254" s="41"/>
      <c r="CX1254" s="41"/>
      <c r="CY1254" s="41"/>
      <c r="CZ1254" s="41"/>
      <c r="DA1254" s="41"/>
      <c r="DB1254" s="41"/>
      <c r="DC1254" s="41"/>
      <c r="DD1254" s="41"/>
      <c r="DE1254" s="41"/>
      <c r="DF1254" s="41"/>
      <c r="DG1254" s="41"/>
      <c r="DH1254" s="41"/>
      <c r="DI1254" s="41"/>
      <c r="DJ1254" s="41"/>
      <c r="DK1254" s="41"/>
      <c r="DL1254" s="41"/>
      <c r="DM1254" s="41"/>
      <c r="DN1254" s="41"/>
      <c r="DO1254" s="41"/>
      <c r="DP1254" s="41"/>
      <c r="DQ1254" s="41"/>
      <c r="DR1254" s="41"/>
      <c r="DS1254" s="43"/>
      <c r="DT1254" s="44">
        <f t="shared" ref="DT1254" si="1235">SUM(F1254:DR1254)</f>
        <v>1</v>
      </c>
    </row>
    <row r="1255" spans="2:124" s="13" customFormat="1">
      <c r="B1255" s="4">
        <f>'6.1Personnel List'!B1256</f>
        <v>1243</v>
      </c>
      <c r="C1255" s="45" t="s">
        <v>1471</v>
      </c>
      <c r="D1255" s="45" t="str">
        <f>'6.1Personnel List'!D1256</f>
        <v>Nursing Attendant II</v>
      </c>
      <c r="E1255" s="45" t="str">
        <f>'6.1Personnel List'!H1256</f>
        <v>FT</v>
      </c>
      <c r="G1255" s="41"/>
      <c r="H1255" s="41"/>
      <c r="I1255" s="41"/>
      <c r="J1255" s="41"/>
      <c r="K1255" s="41"/>
      <c r="L1255" s="41"/>
      <c r="M1255" s="41"/>
      <c r="N1255" s="41"/>
      <c r="O1255" s="41"/>
      <c r="P1255" s="41"/>
      <c r="Q1255" s="41"/>
      <c r="R1255" s="41"/>
      <c r="S1255" s="41"/>
      <c r="T1255" s="41"/>
      <c r="U1255" s="41"/>
      <c r="V1255" s="41"/>
      <c r="W1255" s="41"/>
      <c r="X1255" s="41"/>
      <c r="Y1255" s="41"/>
      <c r="Z1255" s="41"/>
      <c r="AA1255" s="41"/>
      <c r="AB1255" s="41"/>
      <c r="AC1255" s="41"/>
      <c r="AD1255" s="41"/>
      <c r="AE1255" s="41"/>
      <c r="AF1255" s="41"/>
      <c r="AG1255" s="41"/>
      <c r="AH1255" s="41"/>
      <c r="AI1255" s="41"/>
      <c r="AJ1255" s="41"/>
      <c r="AK1255" s="41"/>
      <c r="AL1255" s="41"/>
      <c r="AM1255" s="41"/>
      <c r="AN1255" s="41"/>
      <c r="AO1255" s="41"/>
      <c r="AP1255" s="41"/>
      <c r="AQ1255" s="41"/>
      <c r="AR1255" s="41"/>
      <c r="AS1255" s="41"/>
      <c r="AT1255" s="41"/>
      <c r="AU1255" s="41"/>
      <c r="AV1255" s="41"/>
      <c r="AW1255" s="41"/>
      <c r="AX1255" s="41"/>
      <c r="AY1255" s="41"/>
      <c r="AZ1255" s="41"/>
      <c r="BA1255" s="41"/>
      <c r="BB1255" s="41"/>
      <c r="BC1255" s="41"/>
      <c r="BD1255" s="41"/>
      <c r="BE1255" s="41"/>
      <c r="BF1255" s="41"/>
      <c r="BG1255" s="41"/>
      <c r="BH1255" s="41"/>
      <c r="BJ1255" s="41"/>
      <c r="BK1255" s="41"/>
      <c r="BL1255" s="41"/>
      <c r="BM1255" s="41"/>
      <c r="BN1255" s="41"/>
      <c r="BO1255" s="41"/>
      <c r="BP1255" s="41"/>
      <c r="BQ1255" s="41"/>
      <c r="BR1255" s="41"/>
      <c r="BS1255" s="41"/>
      <c r="BT1255" s="41"/>
      <c r="BU1255" s="41"/>
      <c r="BV1255" s="41">
        <v>0.1</v>
      </c>
      <c r="BW1255" s="41"/>
      <c r="BX1255" s="41"/>
      <c r="BY1255" s="41"/>
      <c r="BZ1255" s="41"/>
      <c r="CA1255" s="41"/>
      <c r="CB1255" s="41"/>
      <c r="CC1255" s="41"/>
      <c r="CD1255" s="41"/>
      <c r="CE1255" s="41">
        <v>0.1</v>
      </c>
      <c r="CF1255" s="41"/>
      <c r="CG1255" s="41"/>
      <c r="CH1255" s="41">
        <v>0.1</v>
      </c>
      <c r="CI1255" s="41"/>
      <c r="CJ1255" s="41"/>
      <c r="CK1255" s="41"/>
      <c r="CL1255" s="41"/>
      <c r="CM1255" s="41"/>
      <c r="CN1255" s="41"/>
      <c r="CO1255" s="41"/>
      <c r="CP1255" s="41"/>
      <c r="CQ1255" s="41"/>
      <c r="CR1255" s="41"/>
      <c r="CS1255" s="41"/>
      <c r="CT1255" s="41"/>
      <c r="CU1255" s="41"/>
      <c r="CV1255" s="41"/>
      <c r="CW1255" s="41"/>
      <c r="CX1255" s="41"/>
      <c r="CY1255" s="41"/>
      <c r="CZ1255" s="41"/>
      <c r="DA1255" s="41"/>
      <c r="DB1255" s="41"/>
      <c r="DC1255" s="41"/>
      <c r="DD1255" s="41"/>
      <c r="DE1255" s="41"/>
      <c r="DF1255" s="41"/>
      <c r="DG1255" s="41"/>
      <c r="DH1255" s="41"/>
      <c r="DI1255" s="41"/>
      <c r="DJ1255" s="41"/>
      <c r="DK1255" s="41"/>
      <c r="DL1255" s="41"/>
      <c r="DM1255" s="41">
        <v>0.7</v>
      </c>
      <c r="DN1255" s="41"/>
      <c r="DO1255" s="41"/>
      <c r="DP1255" s="41"/>
      <c r="DQ1255" s="41"/>
      <c r="DR1255" s="41"/>
      <c r="DS1255" s="43"/>
      <c r="DT1255" s="44">
        <f t="shared" ref="DT1255" si="1236">SUM(F1255:DR1255)</f>
        <v>1</v>
      </c>
    </row>
    <row r="1256" spans="2:124" s="13" customFormat="1">
      <c r="B1256" s="4">
        <f>'6.1Personnel List'!B1257</f>
        <v>1244</v>
      </c>
      <c r="C1256" s="45" t="s">
        <v>1472</v>
      </c>
      <c r="D1256" s="45" t="str">
        <f>'6.1Personnel List'!D1257</f>
        <v>Nursing Attendant II</v>
      </c>
      <c r="E1256" s="45" t="str">
        <f>'6.1Personnel List'!H1257</f>
        <v>FT</v>
      </c>
      <c r="G1256" s="41"/>
      <c r="H1256" s="41"/>
      <c r="I1256" s="41"/>
      <c r="J1256" s="41"/>
      <c r="K1256" s="41"/>
      <c r="L1256" s="41"/>
      <c r="M1256" s="41"/>
      <c r="N1256" s="41"/>
      <c r="O1256" s="41"/>
      <c r="P1256" s="41"/>
      <c r="Q1256" s="41"/>
      <c r="R1256" s="41"/>
      <c r="S1256" s="41"/>
      <c r="T1256" s="41"/>
      <c r="U1256" s="41"/>
      <c r="V1256" s="41"/>
      <c r="W1256" s="41"/>
      <c r="X1256" s="41"/>
      <c r="Y1256" s="41"/>
      <c r="Z1256" s="41"/>
      <c r="AA1256" s="41"/>
      <c r="AB1256" s="41"/>
      <c r="AC1256" s="41"/>
      <c r="AD1256" s="41"/>
      <c r="AE1256" s="41"/>
      <c r="AF1256" s="41"/>
      <c r="AG1256" s="41"/>
      <c r="AH1256" s="41"/>
      <c r="AI1256" s="41"/>
      <c r="AJ1256" s="41"/>
      <c r="AK1256" s="41"/>
      <c r="AL1256" s="41"/>
      <c r="AM1256" s="41"/>
      <c r="AN1256" s="41"/>
      <c r="AO1256" s="41"/>
      <c r="AP1256" s="41"/>
      <c r="AQ1256" s="41"/>
      <c r="AR1256" s="41"/>
      <c r="AS1256" s="41"/>
      <c r="AT1256" s="41"/>
      <c r="AU1256" s="41"/>
      <c r="AV1256" s="41"/>
      <c r="AW1256" s="41"/>
      <c r="AX1256" s="41"/>
      <c r="AY1256" s="41"/>
      <c r="AZ1256" s="41"/>
      <c r="BA1256" s="41"/>
      <c r="BB1256" s="41"/>
      <c r="BC1256" s="41"/>
      <c r="BD1256" s="41"/>
      <c r="BE1256" s="41"/>
      <c r="BF1256" s="41"/>
      <c r="BG1256" s="41"/>
      <c r="BH1256" s="41"/>
      <c r="BJ1256" s="41"/>
      <c r="BK1256" s="94"/>
      <c r="BL1256" s="94"/>
      <c r="BM1256" s="94"/>
      <c r="BN1256" s="94"/>
      <c r="BO1256" s="94"/>
      <c r="BP1256" s="94"/>
      <c r="BQ1256" s="94"/>
      <c r="BR1256" s="94"/>
      <c r="BS1256" s="94"/>
      <c r="BT1256" s="94"/>
      <c r="BU1256" s="94"/>
      <c r="BV1256" s="94">
        <v>1</v>
      </c>
      <c r="BW1256" s="94"/>
      <c r="BX1256" s="94"/>
      <c r="BY1256" s="94"/>
      <c r="BZ1256" s="94"/>
      <c r="CA1256" s="94"/>
      <c r="CB1256" s="94"/>
      <c r="CC1256" s="94"/>
      <c r="CD1256" s="94"/>
      <c r="CE1256" s="94"/>
      <c r="CF1256" s="94"/>
      <c r="CG1256" s="94"/>
      <c r="CH1256" s="94"/>
      <c r="CI1256" s="94"/>
      <c r="CJ1256" s="94"/>
      <c r="CK1256" s="94"/>
      <c r="CL1256" s="94"/>
      <c r="CM1256" s="94"/>
      <c r="CN1256" s="94"/>
      <c r="CO1256" s="94"/>
      <c r="CP1256" s="94"/>
      <c r="CQ1256" s="94"/>
      <c r="CR1256" s="94"/>
      <c r="CS1256" s="94"/>
      <c r="CT1256" s="94"/>
      <c r="CU1256" s="94"/>
      <c r="CV1256" s="94"/>
      <c r="CW1256" s="94"/>
      <c r="CX1256" s="94"/>
      <c r="CY1256" s="94"/>
      <c r="CZ1256" s="94"/>
      <c r="DA1256" s="94"/>
      <c r="DB1256" s="94"/>
      <c r="DC1256" s="94"/>
      <c r="DD1256" s="94"/>
      <c r="DE1256" s="94"/>
      <c r="DF1256" s="94"/>
      <c r="DG1256" s="94"/>
      <c r="DH1256" s="94"/>
      <c r="DI1256" s="94"/>
      <c r="DJ1256" s="94"/>
      <c r="DK1256" s="41"/>
      <c r="DL1256" s="41"/>
      <c r="DM1256" s="41"/>
      <c r="DN1256" s="41"/>
      <c r="DO1256" s="41"/>
      <c r="DP1256" s="41"/>
      <c r="DQ1256" s="41"/>
      <c r="DR1256" s="41"/>
      <c r="DS1256" s="43"/>
      <c r="DT1256" s="44">
        <f t="shared" ref="DT1256" si="1237">SUM(F1256:DR1256)</f>
        <v>1</v>
      </c>
    </row>
    <row r="1257" spans="2:124" s="13" customFormat="1">
      <c r="B1257" s="4">
        <f>'6.1Personnel List'!B1258</f>
        <v>1245</v>
      </c>
      <c r="C1257" s="45" t="s">
        <v>1473</v>
      </c>
      <c r="D1257" s="45" t="str">
        <f>'6.1Personnel List'!D1258</f>
        <v>Nursing Attendant II</v>
      </c>
      <c r="E1257" s="45" t="str">
        <f>'6.1Personnel List'!H1258</f>
        <v>FT</v>
      </c>
      <c r="G1257" s="41"/>
      <c r="H1257" s="41"/>
      <c r="I1257" s="41"/>
      <c r="J1257" s="41"/>
      <c r="K1257" s="41"/>
      <c r="L1257" s="41"/>
      <c r="M1257" s="41"/>
      <c r="N1257" s="41"/>
      <c r="O1257" s="41"/>
      <c r="P1257" s="41"/>
      <c r="Q1257" s="41"/>
      <c r="R1257" s="41"/>
      <c r="S1257" s="41"/>
      <c r="T1257" s="41"/>
      <c r="U1257" s="41"/>
      <c r="V1257" s="41"/>
      <c r="W1257" s="41"/>
      <c r="X1257" s="41"/>
      <c r="Y1257" s="41"/>
      <c r="Z1257" s="41"/>
      <c r="AA1257" s="41"/>
      <c r="AB1257" s="41"/>
      <c r="AC1257" s="41"/>
      <c r="AD1257" s="41"/>
      <c r="AE1257" s="41"/>
      <c r="AF1257" s="41"/>
      <c r="AG1257" s="41"/>
      <c r="AH1257" s="41"/>
      <c r="AI1257" s="41"/>
      <c r="AJ1257" s="41"/>
      <c r="AK1257" s="41"/>
      <c r="AL1257" s="41"/>
      <c r="AM1257" s="41"/>
      <c r="AN1257" s="41"/>
      <c r="AO1257" s="41"/>
      <c r="AP1257" s="41"/>
      <c r="AQ1257" s="41"/>
      <c r="AR1257" s="41"/>
      <c r="AS1257" s="41"/>
      <c r="AT1257" s="41"/>
      <c r="AU1257" s="41"/>
      <c r="AV1257" s="41"/>
      <c r="AW1257" s="41"/>
      <c r="AX1257" s="41"/>
      <c r="AY1257" s="41"/>
      <c r="AZ1257" s="41"/>
      <c r="BA1257" s="41"/>
      <c r="BB1257" s="41"/>
      <c r="BC1257" s="41"/>
      <c r="BD1257" s="41"/>
      <c r="BE1257" s="41"/>
      <c r="BF1257" s="41"/>
      <c r="BG1257" s="41"/>
      <c r="BH1257" s="41"/>
      <c r="BJ1257" s="41"/>
      <c r="BK1257" s="41"/>
      <c r="BL1257" s="41"/>
      <c r="BM1257" s="41"/>
      <c r="BN1257" s="41"/>
      <c r="BO1257" s="41"/>
      <c r="BP1257" s="41"/>
      <c r="BQ1257" s="41"/>
      <c r="BR1257" s="41"/>
      <c r="BS1257" s="41"/>
      <c r="BT1257" s="41"/>
      <c r="BU1257" s="41"/>
      <c r="BV1257" s="41"/>
      <c r="BW1257" s="41"/>
      <c r="BX1257" s="41"/>
      <c r="BY1257" s="41"/>
      <c r="BZ1257" s="41"/>
      <c r="CA1257" s="41"/>
      <c r="CB1257" s="41">
        <v>0.1</v>
      </c>
      <c r="CC1257" s="41"/>
      <c r="CD1257" s="41"/>
      <c r="CE1257" s="41">
        <v>0.09</v>
      </c>
      <c r="CF1257" s="41">
        <v>0.01</v>
      </c>
      <c r="CG1257" s="41">
        <v>0.01</v>
      </c>
      <c r="CH1257" s="41">
        <v>0.05</v>
      </c>
      <c r="CI1257" s="41">
        <v>0.01</v>
      </c>
      <c r="CJ1257" s="41"/>
      <c r="CK1257" s="41">
        <v>0.01</v>
      </c>
      <c r="CL1257" s="41">
        <v>0.05</v>
      </c>
      <c r="CM1257" s="41"/>
      <c r="CN1257" s="41">
        <v>0.05</v>
      </c>
      <c r="CO1257" s="41">
        <v>0.05</v>
      </c>
      <c r="CP1257" s="41">
        <v>0.05</v>
      </c>
      <c r="CQ1257" s="41">
        <v>0.05</v>
      </c>
      <c r="CR1257" s="41">
        <v>0.02</v>
      </c>
      <c r="CS1257" s="41">
        <v>0.01</v>
      </c>
      <c r="CT1257" s="41"/>
      <c r="CU1257" s="41"/>
      <c r="CV1257" s="41">
        <v>0.02</v>
      </c>
      <c r="CW1257" s="41"/>
      <c r="CX1257" s="41"/>
      <c r="CY1257" s="41"/>
      <c r="CZ1257" s="41"/>
      <c r="DA1257" s="41"/>
      <c r="DB1257" s="41"/>
      <c r="DC1257" s="41"/>
      <c r="DD1257" s="41">
        <v>0.12</v>
      </c>
      <c r="DE1257" s="41"/>
      <c r="DF1257" s="41"/>
      <c r="DG1257" s="41"/>
      <c r="DH1257" s="41"/>
      <c r="DI1257" s="41"/>
      <c r="DJ1257" s="41">
        <v>0.05</v>
      </c>
      <c r="DK1257" s="41">
        <v>0.05</v>
      </c>
      <c r="DL1257" s="41">
        <v>0.05</v>
      </c>
      <c r="DM1257" s="41">
        <v>0.05</v>
      </c>
      <c r="DN1257" s="41"/>
      <c r="DO1257" s="41"/>
      <c r="DP1257" s="41">
        <v>0.05</v>
      </c>
      <c r="DQ1257" s="41"/>
      <c r="DR1257" s="41">
        <v>0.05</v>
      </c>
      <c r="DS1257" s="43"/>
      <c r="DT1257" s="44">
        <f t="shared" ref="DT1257" si="1238">SUM(F1257:DR1257)</f>
        <v>1.0000000000000002</v>
      </c>
    </row>
    <row r="1258" spans="2:124" s="13" customFormat="1">
      <c r="B1258" s="4">
        <f>'6.1Personnel List'!B1259</f>
        <v>1246</v>
      </c>
      <c r="C1258" s="45" t="s">
        <v>1474</v>
      </c>
      <c r="D1258" s="45" t="str">
        <f>'6.1Personnel List'!D1259</f>
        <v>Nursing Attendant II</v>
      </c>
      <c r="E1258" s="45" t="str">
        <f>'6.1Personnel List'!H1259</f>
        <v>FT</v>
      </c>
      <c r="G1258" s="41"/>
      <c r="H1258" s="41"/>
      <c r="I1258" s="41"/>
      <c r="J1258" s="41"/>
      <c r="K1258" s="41"/>
      <c r="L1258" s="41"/>
      <c r="M1258" s="41"/>
      <c r="N1258" s="41"/>
      <c r="O1258" s="41"/>
      <c r="P1258" s="41"/>
      <c r="Q1258" s="41"/>
      <c r="R1258" s="41"/>
      <c r="S1258" s="41"/>
      <c r="T1258" s="41"/>
      <c r="U1258" s="41"/>
      <c r="V1258" s="41"/>
      <c r="W1258" s="41"/>
      <c r="X1258" s="41"/>
      <c r="Y1258" s="41"/>
      <c r="Z1258" s="41"/>
      <c r="AA1258" s="41"/>
      <c r="AB1258" s="41"/>
      <c r="AC1258" s="41"/>
      <c r="AD1258" s="41"/>
      <c r="AE1258" s="41"/>
      <c r="AF1258" s="41"/>
      <c r="AG1258" s="41"/>
      <c r="AH1258" s="41"/>
      <c r="AI1258" s="41"/>
      <c r="AJ1258" s="41"/>
      <c r="AK1258" s="41"/>
      <c r="AL1258" s="41"/>
      <c r="AM1258" s="41"/>
      <c r="AN1258" s="41"/>
      <c r="AO1258" s="41"/>
      <c r="AP1258" s="41"/>
      <c r="AQ1258" s="41"/>
      <c r="AR1258" s="41"/>
      <c r="AS1258" s="41"/>
      <c r="AT1258" s="41"/>
      <c r="AU1258" s="41"/>
      <c r="AV1258" s="41"/>
      <c r="AW1258" s="41"/>
      <c r="AX1258" s="41"/>
      <c r="AY1258" s="41"/>
      <c r="AZ1258" s="41"/>
      <c r="BA1258" s="41"/>
      <c r="BB1258" s="41"/>
      <c r="BC1258" s="41"/>
      <c r="BD1258" s="41"/>
      <c r="BE1258" s="41"/>
      <c r="BF1258" s="41"/>
      <c r="BG1258" s="41"/>
      <c r="BH1258" s="41"/>
      <c r="BJ1258" s="41"/>
      <c r="BK1258" s="41"/>
      <c r="BL1258" s="41"/>
      <c r="BM1258" s="41"/>
      <c r="BN1258" s="41"/>
      <c r="BO1258" s="41"/>
      <c r="BP1258" s="41"/>
      <c r="BQ1258" s="41"/>
      <c r="BR1258" s="41"/>
      <c r="BS1258" s="41"/>
      <c r="BT1258" s="41"/>
      <c r="BU1258" s="41"/>
      <c r="BV1258" s="41"/>
      <c r="BW1258" s="41"/>
      <c r="BX1258" s="41"/>
      <c r="BY1258" s="41"/>
      <c r="BZ1258" s="41"/>
      <c r="CA1258" s="41"/>
      <c r="CB1258" s="41">
        <v>0.1</v>
      </c>
      <c r="CC1258" s="41"/>
      <c r="CD1258" s="41"/>
      <c r="CE1258" s="41">
        <v>0.09</v>
      </c>
      <c r="CF1258" s="41">
        <v>0.01</v>
      </c>
      <c r="CG1258" s="41">
        <v>0.01</v>
      </c>
      <c r="CH1258" s="41">
        <v>0.05</v>
      </c>
      <c r="CI1258" s="41">
        <v>0.01</v>
      </c>
      <c r="CJ1258" s="41"/>
      <c r="CK1258" s="41">
        <v>0.01</v>
      </c>
      <c r="CL1258" s="41">
        <v>0.05</v>
      </c>
      <c r="CM1258" s="41"/>
      <c r="CN1258" s="41">
        <v>0.05</v>
      </c>
      <c r="CO1258" s="41">
        <v>0.05</v>
      </c>
      <c r="CP1258" s="41">
        <v>0.05</v>
      </c>
      <c r="CQ1258" s="41">
        <v>0.05</v>
      </c>
      <c r="CR1258" s="41">
        <v>0.02</v>
      </c>
      <c r="CS1258" s="41">
        <v>0.01</v>
      </c>
      <c r="CT1258" s="41"/>
      <c r="CU1258" s="41"/>
      <c r="CV1258" s="41">
        <v>0.02</v>
      </c>
      <c r="CW1258" s="41"/>
      <c r="CX1258" s="41"/>
      <c r="CY1258" s="41"/>
      <c r="CZ1258" s="41"/>
      <c r="DA1258" s="41"/>
      <c r="DB1258" s="41"/>
      <c r="DC1258" s="41"/>
      <c r="DD1258" s="41">
        <v>0.12</v>
      </c>
      <c r="DE1258" s="41"/>
      <c r="DF1258" s="41"/>
      <c r="DG1258" s="41"/>
      <c r="DH1258" s="41"/>
      <c r="DI1258" s="41"/>
      <c r="DJ1258" s="41">
        <v>0.05</v>
      </c>
      <c r="DK1258" s="41">
        <v>0.05</v>
      </c>
      <c r="DL1258" s="41">
        <v>0.05</v>
      </c>
      <c r="DM1258" s="41">
        <v>0.05</v>
      </c>
      <c r="DN1258" s="41"/>
      <c r="DO1258" s="41"/>
      <c r="DP1258" s="41">
        <v>0.05</v>
      </c>
      <c r="DQ1258" s="41"/>
      <c r="DR1258" s="41">
        <v>0.05</v>
      </c>
      <c r="DS1258" s="43"/>
      <c r="DT1258" s="44">
        <f t="shared" ref="DT1258" si="1239">SUM(F1258:DR1258)</f>
        <v>1.0000000000000002</v>
      </c>
    </row>
    <row r="1259" spans="2:124" s="13" customFormat="1">
      <c r="B1259" s="4">
        <f>'6.1Personnel List'!B1260</f>
        <v>1247</v>
      </c>
      <c r="C1259" s="45" t="s">
        <v>1475</v>
      </c>
      <c r="D1259" s="45" t="str">
        <f>'6.1Personnel List'!D1260</f>
        <v>Nursing Attendant II</v>
      </c>
      <c r="E1259" s="45" t="str">
        <f>'6.1Personnel List'!H1260</f>
        <v>FT</v>
      </c>
      <c r="G1259" s="41"/>
      <c r="H1259" s="41"/>
      <c r="I1259" s="41"/>
      <c r="J1259" s="41"/>
      <c r="K1259" s="41"/>
      <c r="L1259" s="41"/>
      <c r="M1259" s="41"/>
      <c r="N1259" s="41"/>
      <c r="O1259" s="41"/>
      <c r="P1259" s="41"/>
      <c r="Q1259" s="41"/>
      <c r="R1259" s="41"/>
      <c r="S1259" s="41"/>
      <c r="T1259" s="41"/>
      <c r="U1259" s="41"/>
      <c r="V1259" s="41"/>
      <c r="W1259" s="41"/>
      <c r="X1259" s="41"/>
      <c r="Y1259" s="41"/>
      <c r="Z1259" s="41"/>
      <c r="AA1259" s="41"/>
      <c r="AB1259" s="41"/>
      <c r="AC1259" s="41"/>
      <c r="AD1259" s="41"/>
      <c r="AE1259" s="41"/>
      <c r="AF1259" s="41"/>
      <c r="AG1259" s="41"/>
      <c r="AH1259" s="41"/>
      <c r="AI1259" s="41"/>
      <c r="AJ1259" s="41"/>
      <c r="AK1259" s="41"/>
      <c r="AL1259" s="41"/>
      <c r="AM1259" s="41"/>
      <c r="AN1259" s="41"/>
      <c r="AO1259" s="41"/>
      <c r="AP1259" s="41"/>
      <c r="AQ1259" s="41"/>
      <c r="AR1259" s="41"/>
      <c r="AS1259" s="41"/>
      <c r="AT1259" s="41"/>
      <c r="AU1259" s="41"/>
      <c r="AV1259" s="41"/>
      <c r="AW1259" s="41"/>
      <c r="AX1259" s="41"/>
      <c r="AY1259" s="41"/>
      <c r="AZ1259" s="41"/>
      <c r="BA1259" s="41"/>
      <c r="BB1259" s="41"/>
      <c r="BC1259" s="41"/>
      <c r="BD1259" s="41"/>
      <c r="BE1259" s="41"/>
      <c r="BF1259" s="41"/>
      <c r="BG1259" s="41"/>
      <c r="BH1259" s="41"/>
      <c r="BJ1259" s="41"/>
      <c r="BK1259" s="94"/>
      <c r="BL1259" s="94"/>
      <c r="BM1259" s="94"/>
      <c r="BN1259" s="94"/>
      <c r="BO1259" s="94"/>
      <c r="BP1259" s="94"/>
      <c r="BQ1259" s="94"/>
      <c r="BR1259" s="94"/>
      <c r="BS1259" s="94"/>
      <c r="BT1259" s="94"/>
      <c r="BU1259" s="94"/>
      <c r="BV1259" s="94"/>
      <c r="BW1259" s="94"/>
      <c r="BX1259" s="94"/>
      <c r="BY1259" s="94"/>
      <c r="BZ1259" s="94"/>
      <c r="CA1259" s="94"/>
      <c r="CB1259" s="94"/>
      <c r="CC1259" s="94"/>
      <c r="CD1259" s="94"/>
      <c r="CE1259" s="94"/>
      <c r="CF1259" s="94"/>
      <c r="CG1259" s="94"/>
      <c r="CH1259" s="94"/>
      <c r="CI1259" s="94"/>
      <c r="CJ1259" s="94"/>
      <c r="CK1259" s="94"/>
      <c r="CL1259" s="94"/>
      <c r="CM1259" s="94"/>
      <c r="CN1259" s="94">
        <v>1</v>
      </c>
      <c r="CO1259" s="94"/>
      <c r="CP1259" s="94"/>
      <c r="CQ1259" s="94"/>
      <c r="CR1259" s="94"/>
      <c r="CS1259" s="94"/>
      <c r="CT1259" s="94"/>
      <c r="CU1259" s="94"/>
      <c r="CV1259" s="94"/>
      <c r="CW1259" s="94"/>
      <c r="CX1259" s="94"/>
      <c r="CY1259" s="94"/>
      <c r="CZ1259" s="94"/>
      <c r="DA1259" s="94"/>
      <c r="DB1259" s="94"/>
      <c r="DC1259" s="94"/>
      <c r="DD1259" s="94"/>
      <c r="DE1259" s="94"/>
      <c r="DF1259" s="94"/>
      <c r="DG1259" s="94"/>
      <c r="DH1259" s="94"/>
      <c r="DI1259" s="94"/>
      <c r="DJ1259" s="94"/>
      <c r="DK1259" s="41"/>
      <c r="DL1259" s="41"/>
      <c r="DM1259" s="41"/>
      <c r="DN1259" s="41"/>
      <c r="DO1259" s="41"/>
      <c r="DP1259" s="41"/>
      <c r="DQ1259" s="41"/>
      <c r="DR1259" s="41"/>
      <c r="DS1259" s="43"/>
      <c r="DT1259" s="44">
        <f t="shared" ref="DT1259" si="1240">SUM(F1259:DR1259)</f>
        <v>1</v>
      </c>
    </row>
    <row r="1260" spans="2:124" s="13" customFormat="1">
      <c r="B1260" s="4">
        <f>'6.1Personnel List'!B1261</f>
        <v>1248</v>
      </c>
      <c r="C1260" s="45" t="s">
        <v>1476</v>
      </c>
      <c r="D1260" s="45" t="str">
        <f>'6.1Personnel List'!D1261</f>
        <v>Nursing Attendant II</v>
      </c>
      <c r="E1260" s="45" t="str">
        <f>'6.1Personnel List'!H1261</f>
        <v>FT</v>
      </c>
      <c r="G1260" s="41"/>
      <c r="H1260" s="41"/>
      <c r="I1260" s="41"/>
      <c r="J1260" s="41"/>
      <c r="K1260" s="41"/>
      <c r="L1260" s="41"/>
      <c r="M1260" s="41"/>
      <c r="N1260" s="41"/>
      <c r="O1260" s="41"/>
      <c r="P1260" s="41"/>
      <c r="Q1260" s="41"/>
      <c r="R1260" s="41"/>
      <c r="S1260" s="41"/>
      <c r="T1260" s="41"/>
      <c r="U1260" s="41"/>
      <c r="V1260" s="41"/>
      <c r="W1260" s="41"/>
      <c r="X1260" s="41"/>
      <c r="Y1260" s="41"/>
      <c r="Z1260" s="41"/>
      <c r="AA1260" s="41"/>
      <c r="AB1260" s="41"/>
      <c r="AC1260" s="41"/>
      <c r="AD1260" s="41"/>
      <c r="AE1260" s="41"/>
      <c r="AF1260" s="41"/>
      <c r="AG1260" s="41"/>
      <c r="AH1260" s="41"/>
      <c r="AI1260" s="41"/>
      <c r="AJ1260" s="41"/>
      <c r="AK1260" s="41"/>
      <c r="AL1260" s="41"/>
      <c r="AM1260" s="41"/>
      <c r="AN1260" s="41"/>
      <c r="AO1260" s="41"/>
      <c r="AP1260" s="41"/>
      <c r="AQ1260" s="41"/>
      <c r="AR1260" s="41"/>
      <c r="AS1260" s="41"/>
      <c r="AT1260" s="41"/>
      <c r="AU1260" s="41"/>
      <c r="AV1260" s="41"/>
      <c r="AW1260" s="41"/>
      <c r="AX1260" s="41"/>
      <c r="AY1260" s="41"/>
      <c r="AZ1260" s="41"/>
      <c r="BA1260" s="41"/>
      <c r="BB1260" s="41"/>
      <c r="BC1260" s="41"/>
      <c r="BD1260" s="41"/>
      <c r="BE1260" s="41"/>
      <c r="BF1260" s="41"/>
      <c r="BG1260" s="41"/>
      <c r="BH1260" s="41"/>
      <c r="BJ1260" s="41"/>
      <c r="BK1260" s="94"/>
      <c r="BL1260" s="94"/>
      <c r="BM1260" s="94"/>
      <c r="BN1260" s="94"/>
      <c r="BO1260" s="94"/>
      <c r="BP1260" s="94"/>
      <c r="BQ1260" s="94"/>
      <c r="BR1260" s="94"/>
      <c r="BS1260" s="94"/>
      <c r="BT1260" s="94"/>
      <c r="BU1260" s="94"/>
      <c r="BV1260" s="94"/>
      <c r="BW1260" s="94"/>
      <c r="BX1260" s="94"/>
      <c r="BY1260" s="94"/>
      <c r="BZ1260" s="94"/>
      <c r="CA1260" s="94"/>
      <c r="CB1260" s="94"/>
      <c r="CC1260" s="94"/>
      <c r="CD1260" s="94"/>
      <c r="CE1260" s="94"/>
      <c r="CF1260" s="94"/>
      <c r="CG1260" s="94"/>
      <c r="CH1260" s="94"/>
      <c r="CI1260" s="94"/>
      <c r="CJ1260" s="94"/>
      <c r="CK1260" s="94"/>
      <c r="CL1260" s="94"/>
      <c r="CM1260" s="94"/>
      <c r="CN1260" s="94"/>
      <c r="CO1260" s="94">
        <v>1</v>
      </c>
      <c r="CP1260" s="94"/>
      <c r="CQ1260" s="94"/>
      <c r="CR1260" s="94"/>
      <c r="CS1260" s="94"/>
      <c r="CT1260" s="94"/>
      <c r="CU1260" s="94"/>
      <c r="CV1260" s="94"/>
      <c r="CW1260" s="94"/>
      <c r="CX1260" s="94"/>
      <c r="CY1260" s="94"/>
      <c r="CZ1260" s="94"/>
      <c r="DA1260" s="94"/>
      <c r="DB1260" s="94"/>
      <c r="DC1260" s="94"/>
      <c r="DD1260" s="94"/>
      <c r="DE1260" s="94"/>
      <c r="DF1260" s="94"/>
      <c r="DG1260" s="94"/>
      <c r="DH1260" s="94"/>
      <c r="DI1260" s="94"/>
      <c r="DJ1260" s="94"/>
      <c r="DK1260" s="41"/>
      <c r="DL1260" s="41"/>
      <c r="DM1260" s="41"/>
      <c r="DN1260" s="41"/>
      <c r="DO1260" s="41"/>
      <c r="DP1260" s="41"/>
      <c r="DQ1260" s="41"/>
      <c r="DR1260" s="41"/>
      <c r="DS1260" s="43"/>
      <c r="DT1260" s="44">
        <f t="shared" ref="DT1260" si="1241">SUM(F1260:DR1260)</f>
        <v>1</v>
      </c>
    </row>
    <row r="1261" spans="2:124" s="13" customFormat="1">
      <c r="B1261" s="4">
        <f>'6.1Personnel List'!B1262</f>
        <v>1249</v>
      </c>
      <c r="C1261" s="45" t="s">
        <v>1477</v>
      </c>
      <c r="D1261" s="45" t="str">
        <f>'6.1Personnel List'!D1262</f>
        <v>Nursing Attendant II</v>
      </c>
      <c r="E1261" s="45" t="str">
        <f>'6.1Personnel List'!H1262</f>
        <v>FT</v>
      </c>
      <c r="G1261" s="41"/>
      <c r="H1261" s="41"/>
      <c r="I1261" s="41"/>
      <c r="J1261" s="41"/>
      <c r="K1261" s="41"/>
      <c r="L1261" s="41"/>
      <c r="M1261" s="41"/>
      <c r="N1261" s="41"/>
      <c r="O1261" s="41"/>
      <c r="P1261" s="41"/>
      <c r="Q1261" s="41"/>
      <c r="R1261" s="41"/>
      <c r="S1261" s="41"/>
      <c r="T1261" s="41"/>
      <c r="U1261" s="41"/>
      <c r="V1261" s="41"/>
      <c r="W1261" s="41"/>
      <c r="X1261" s="41"/>
      <c r="Y1261" s="41"/>
      <c r="Z1261" s="41"/>
      <c r="AA1261" s="41"/>
      <c r="AB1261" s="41"/>
      <c r="AC1261" s="41"/>
      <c r="AD1261" s="41"/>
      <c r="AE1261" s="41"/>
      <c r="AF1261" s="41"/>
      <c r="AG1261" s="41"/>
      <c r="AH1261" s="41"/>
      <c r="AI1261" s="41"/>
      <c r="AJ1261" s="41"/>
      <c r="AK1261" s="41"/>
      <c r="AL1261" s="41"/>
      <c r="AM1261" s="41"/>
      <c r="AN1261" s="41"/>
      <c r="AO1261" s="41"/>
      <c r="AP1261" s="41"/>
      <c r="AQ1261" s="41"/>
      <c r="AR1261" s="41"/>
      <c r="AS1261" s="41"/>
      <c r="AT1261" s="41"/>
      <c r="AU1261" s="41"/>
      <c r="AV1261" s="41"/>
      <c r="AW1261" s="41"/>
      <c r="AX1261" s="41"/>
      <c r="AY1261" s="41"/>
      <c r="AZ1261" s="41"/>
      <c r="BA1261" s="41"/>
      <c r="BB1261" s="41"/>
      <c r="BC1261" s="41"/>
      <c r="BD1261" s="41"/>
      <c r="BE1261" s="41"/>
      <c r="BF1261" s="41"/>
      <c r="BG1261" s="41"/>
      <c r="BH1261" s="41"/>
      <c r="BJ1261" s="41"/>
      <c r="BK1261" s="94"/>
      <c r="BL1261" s="94"/>
      <c r="BM1261" s="94"/>
      <c r="BN1261" s="94"/>
      <c r="BO1261" s="94"/>
      <c r="BP1261" s="94"/>
      <c r="BQ1261" s="94"/>
      <c r="BR1261" s="94"/>
      <c r="BS1261" s="94"/>
      <c r="BT1261" s="94"/>
      <c r="BU1261" s="94"/>
      <c r="BV1261" s="94"/>
      <c r="BW1261" s="94"/>
      <c r="BX1261" s="94"/>
      <c r="BY1261" s="94"/>
      <c r="BZ1261" s="94"/>
      <c r="CA1261" s="94"/>
      <c r="CB1261" s="94"/>
      <c r="CC1261" s="94"/>
      <c r="CD1261" s="94"/>
      <c r="CE1261" s="94"/>
      <c r="CF1261" s="94"/>
      <c r="CG1261" s="94"/>
      <c r="CH1261" s="94"/>
      <c r="CI1261" s="94"/>
      <c r="CJ1261" s="94"/>
      <c r="CK1261" s="94"/>
      <c r="CL1261" s="94"/>
      <c r="CM1261" s="94"/>
      <c r="CN1261" s="94"/>
      <c r="CO1261" s="94"/>
      <c r="CP1261" s="94"/>
      <c r="CQ1261" s="94">
        <v>1</v>
      </c>
      <c r="CR1261" s="94"/>
      <c r="CS1261" s="94"/>
      <c r="CT1261" s="94"/>
      <c r="CU1261" s="94"/>
      <c r="CV1261" s="94"/>
      <c r="CW1261" s="94"/>
      <c r="CX1261" s="94"/>
      <c r="CY1261" s="94"/>
      <c r="CZ1261" s="94"/>
      <c r="DA1261" s="94"/>
      <c r="DB1261" s="94"/>
      <c r="DC1261" s="94"/>
      <c r="DD1261" s="94"/>
      <c r="DE1261" s="94"/>
      <c r="DF1261" s="94"/>
      <c r="DG1261" s="94"/>
      <c r="DH1261" s="94"/>
      <c r="DI1261" s="94"/>
      <c r="DJ1261" s="94"/>
      <c r="DK1261" s="41"/>
      <c r="DL1261" s="41"/>
      <c r="DM1261" s="41"/>
      <c r="DN1261" s="41"/>
      <c r="DO1261" s="41"/>
      <c r="DP1261" s="41"/>
      <c r="DQ1261" s="41"/>
      <c r="DR1261" s="41"/>
      <c r="DS1261" s="43"/>
      <c r="DT1261" s="44">
        <f t="shared" ref="DT1261" si="1242">SUM(F1261:DR1261)</f>
        <v>1</v>
      </c>
    </row>
    <row r="1262" spans="2:124" s="13" customFormat="1">
      <c r="B1262" s="4">
        <f>'6.1Personnel List'!B1263</f>
        <v>1250</v>
      </c>
      <c r="C1262" s="45" t="s">
        <v>1478</v>
      </c>
      <c r="D1262" s="45" t="str">
        <f>'6.1Personnel List'!D1263</f>
        <v>Nursing Attendant II</v>
      </c>
      <c r="E1262" s="45" t="str">
        <f>'6.1Personnel List'!H1263</f>
        <v>FT</v>
      </c>
      <c r="G1262" s="41"/>
      <c r="H1262" s="41"/>
      <c r="I1262" s="41"/>
      <c r="J1262" s="41"/>
      <c r="K1262" s="41"/>
      <c r="L1262" s="41"/>
      <c r="M1262" s="41"/>
      <c r="N1262" s="41"/>
      <c r="O1262" s="41"/>
      <c r="P1262" s="41"/>
      <c r="Q1262" s="41"/>
      <c r="R1262" s="41"/>
      <c r="S1262" s="41"/>
      <c r="T1262" s="41"/>
      <c r="U1262" s="41"/>
      <c r="V1262" s="41"/>
      <c r="W1262" s="41"/>
      <c r="X1262" s="41"/>
      <c r="Y1262" s="41"/>
      <c r="Z1262" s="41"/>
      <c r="AA1262" s="41"/>
      <c r="AB1262" s="41"/>
      <c r="AC1262" s="41"/>
      <c r="AD1262" s="41"/>
      <c r="AE1262" s="41"/>
      <c r="AF1262" s="41"/>
      <c r="AG1262" s="41"/>
      <c r="AH1262" s="41"/>
      <c r="AI1262" s="41"/>
      <c r="AJ1262" s="41"/>
      <c r="AK1262" s="41"/>
      <c r="AL1262" s="41"/>
      <c r="AM1262" s="41"/>
      <c r="AN1262" s="41"/>
      <c r="AO1262" s="41"/>
      <c r="AP1262" s="41"/>
      <c r="AQ1262" s="41"/>
      <c r="AR1262" s="41"/>
      <c r="AS1262" s="41"/>
      <c r="AT1262" s="41"/>
      <c r="AU1262" s="41"/>
      <c r="AV1262" s="41"/>
      <c r="AW1262" s="41"/>
      <c r="AX1262" s="41"/>
      <c r="AY1262" s="41"/>
      <c r="AZ1262" s="41"/>
      <c r="BA1262" s="41"/>
      <c r="BB1262" s="41"/>
      <c r="BC1262" s="41"/>
      <c r="BD1262" s="41"/>
      <c r="BE1262" s="41"/>
      <c r="BF1262" s="41"/>
      <c r="BG1262" s="41"/>
      <c r="BH1262" s="41"/>
      <c r="BJ1262" s="41"/>
      <c r="BK1262" s="94"/>
      <c r="BL1262" s="94"/>
      <c r="BM1262" s="94"/>
      <c r="BN1262" s="94"/>
      <c r="BO1262" s="94"/>
      <c r="BP1262" s="94"/>
      <c r="BQ1262" s="94"/>
      <c r="BR1262" s="94"/>
      <c r="BS1262" s="94"/>
      <c r="BT1262" s="94"/>
      <c r="BU1262" s="94"/>
      <c r="BV1262" s="94">
        <v>1</v>
      </c>
      <c r="BW1262" s="94"/>
      <c r="BX1262" s="94"/>
      <c r="BY1262" s="94"/>
      <c r="BZ1262" s="94"/>
      <c r="CA1262" s="94"/>
      <c r="CB1262" s="94"/>
      <c r="CC1262" s="94"/>
      <c r="CD1262" s="94"/>
      <c r="CE1262" s="94"/>
      <c r="CF1262" s="94"/>
      <c r="CG1262" s="94"/>
      <c r="CH1262" s="94"/>
      <c r="CI1262" s="94"/>
      <c r="CJ1262" s="94"/>
      <c r="CK1262" s="94"/>
      <c r="CL1262" s="94"/>
      <c r="CM1262" s="94"/>
      <c r="CN1262" s="94"/>
      <c r="CO1262" s="94"/>
      <c r="CP1262" s="94"/>
      <c r="CQ1262" s="94"/>
      <c r="CR1262" s="94"/>
      <c r="CS1262" s="94"/>
      <c r="CT1262" s="94"/>
      <c r="CU1262" s="94"/>
      <c r="CV1262" s="94"/>
      <c r="CW1262" s="94"/>
      <c r="CX1262" s="94"/>
      <c r="CY1262" s="94"/>
      <c r="CZ1262" s="94"/>
      <c r="DA1262" s="94"/>
      <c r="DB1262" s="94"/>
      <c r="DC1262" s="94"/>
      <c r="DD1262" s="94"/>
      <c r="DE1262" s="94"/>
      <c r="DF1262" s="94"/>
      <c r="DG1262" s="94"/>
      <c r="DH1262" s="94"/>
      <c r="DI1262" s="94"/>
      <c r="DJ1262" s="94"/>
      <c r="DK1262" s="41"/>
      <c r="DL1262" s="41"/>
      <c r="DM1262" s="41"/>
      <c r="DN1262" s="41"/>
      <c r="DO1262" s="41"/>
      <c r="DP1262" s="41"/>
      <c r="DQ1262" s="41"/>
      <c r="DR1262" s="41"/>
      <c r="DS1262" s="43"/>
      <c r="DT1262" s="44">
        <f t="shared" ref="DT1262" si="1243">SUM(F1262:DR1262)</f>
        <v>1</v>
      </c>
    </row>
    <row r="1263" spans="2:124" s="13" customFormat="1">
      <c r="B1263" s="4">
        <f>'6.1Personnel List'!B1264</f>
        <v>1251</v>
      </c>
      <c r="C1263" s="45" t="s">
        <v>1479</v>
      </c>
      <c r="D1263" s="45" t="str">
        <f>'6.1Personnel List'!D1264</f>
        <v>Nursing Attendant II</v>
      </c>
      <c r="E1263" s="45" t="str">
        <f>'6.1Personnel List'!H1264</f>
        <v>FT</v>
      </c>
      <c r="G1263" s="41"/>
      <c r="H1263" s="41"/>
      <c r="I1263" s="41"/>
      <c r="J1263" s="41"/>
      <c r="K1263" s="41"/>
      <c r="L1263" s="41"/>
      <c r="M1263" s="41"/>
      <c r="N1263" s="41"/>
      <c r="O1263" s="41"/>
      <c r="P1263" s="41"/>
      <c r="Q1263" s="41"/>
      <c r="R1263" s="41"/>
      <c r="S1263" s="41"/>
      <c r="T1263" s="41"/>
      <c r="U1263" s="41"/>
      <c r="V1263" s="41"/>
      <c r="W1263" s="41"/>
      <c r="X1263" s="41"/>
      <c r="Y1263" s="41"/>
      <c r="Z1263" s="41"/>
      <c r="AA1263" s="41"/>
      <c r="AB1263" s="41"/>
      <c r="AC1263" s="41"/>
      <c r="AD1263" s="41"/>
      <c r="AE1263" s="41"/>
      <c r="AF1263" s="41"/>
      <c r="AG1263" s="41"/>
      <c r="AH1263" s="41"/>
      <c r="AI1263" s="41"/>
      <c r="AJ1263" s="41"/>
      <c r="AK1263" s="41"/>
      <c r="AL1263" s="41"/>
      <c r="AM1263" s="41"/>
      <c r="AN1263" s="41"/>
      <c r="AO1263" s="41"/>
      <c r="AP1263" s="41"/>
      <c r="AQ1263" s="41"/>
      <c r="AR1263" s="41"/>
      <c r="AS1263" s="41"/>
      <c r="AT1263" s="41"/>
      <c r="AU1263" s="41"/>
      <c r="AV1263" s="41"/>
      <c r="AW1263" s="41"/>
      <c r="AX1263" s="41"/>
      <c r="AY1263" s="41"/>
      <c r="AZ1263" s="41"/>
      <c r="BA1263" s="41"/>
      <c r="BB1263" s="41"/>
      <c r="BC1263" s="41"/>
      <c r="BD1263" s="41"/>
      <c r="BE1263" s="41"/>
      <c r="BF1263" s="41"/>
      <c r="BG1263" s="41"/>
      <c r="BH1263" s="41"/>
      <c r="BJ1263" s="41"/>
      <c r="BK1263" s="94"/>
      <c r="BL1263" s="94"/>
      <c r="BM1263" s="94"/>
      <c r="BN1263" s="94"/>
      <c r="BO1263" s="94"/>
      <c r="BP1263" s="94"/>
      <c r="BQ1263" s="94"/>
      <c r="BR1263" s="94"/>
      <c r="BS1263" s="94"/>
      <c r="BT1263" s="94"/>
      <c r="BU1263" s="94"/>
      <c r="BV1263" s="94"/>
      <c r="BW1263" s="94"/>
      <c r="BX1263" s="94"/>
      <c r="BY1263" s="94"/>
      <c r="BZ1263" s="94"/>
      <c r="CA1263" s="94"/>
      <c r="CB1263" s="94"/>
      <c r="CC1263" s="94"/>
      <c r="CD1263" s="94"/>
      <c r="CE1263" s="94"/>
      <c r="CF1263" s="94"/>
      <c r="CG1263" s="94"/>
      <c r="CH1263" s="94"/>
      <c r="CI1263" s="94"/>
      <c r="CJ1263" s="94"/>
      <c r="CK1263" s="94"/>
      <c r="CL1263" s="94"/>
      <c r="CM1263" s="94"/>
      <c r="CN1263" s="94">
        <v>1</v>
      </c>
      <c r="CO1263" s="94"/>
      <c r="CP1263" s="94"/>
      <c r="CQ1263" s="94"/>
      <c r="CR1263" s="94"/>
      <c r="CS1263" s="94"/>
      <c r="CT1263" s="94"/>
      <c r="CU1263" s="94"/>
      <c r="CV1263" s="94"/>
      <c r="CW1263" s="94"/>
      <c r="CX1263" s="94"/>
      <c r="CY1263" s="94"/>
      <c r="CZ1263" s="94"/>
      <c r="DA1263" s="94"/>
      <c r="DB1263" s="94"/>
      <c r="DC1263" s="94"/>
      <c r="DD1263" s="94"/>
      <c r="DE1263" s="94"/>
      <c r="DF1263" s="94"/>
      <c r="DG1263" s="94"/>
      <c r="DH1263" s="94"/>
      <c r="DI1263" s="94"/>
      <c r="DJ1263" s="94"/>
      <c r="DK1263" s="41"/>
      <c r="DL1263" s="41"/>
      <c r="DM1263" s="41"/>
      <c r="DN1263" s="41"/>
      <c r="DO1263" s="41"/>
      <c r="DP1263" s="41"/>
      <c r="DQ1263" s="41"/>
      <c r="DR1263" s="41"/>
      <c r="DS1263" s="43"/>
      <c r="DT1263" s="44">
        <f t="shared" ref="DT1263" si="1244">SUM(F1263:DR1263)</f>
        <v>1</v>
      </c>
    </row>
    <row r="1264" spans="2:124" s="13" customFormat="1">
      <c r="B1264" s="4">
        <f>'6.1Personnel List'!B1265</f>
        <v>1252</v>
      </c>
      <c r="C1264" s="45" t="s">
        <v>1480</v>
      </c>
      <c r="D1264" s="45" t="str">
        <f>'6.1Personnel List'!D1265</f>
        <v>Nursing Attendant II</v>
      </c>
      <c r="E1264" s="45" t="str">
        <f>'6.1Personnel List'!H1265</f>
        <v>FT</v>
      </c>
      <c r="G1264" s="41"/>
      <c r="H1264" s="41"/>
      <c r="I1264" s="41"/>
      <c r="J1264" s="41"/>
      <c r="K1264" s="41"/>
      <c r="L1264" s="41"/>
      <c r="M1264" s="41"/>
      <c r="N1264" s="41"/>
      <c r="O1264" s="41"/>
      <c r="P1264" s="41"/>
      <c r="Q1264" s="41"/>
      <c r="R1264" s="41"/>
      <c r="S1264" s="41"/>
      <c r="T1264" s="41"/>
      <c r="U1264" s="41"/>
      <c r="V1264" s="41"/>
      <c r="W1264" s="41"/>
      <c r="X1264" s="41"/>
      <c r="Y1264" s="41"/>
      <c r="Z1264" s="41"/>
      <c r="AA1264" s="41"/>
      <c r="AB1264" s="41"/>
      <c r="AC1264" s="41"/>
      <c r="AD1264" s="41"/>
      <c r="AE1264" s="41"/>
      <c r="AF1264" s="41"/>
      <c r="AG1264" s="41"/>
      <c r="AH1264" s="41"/>
      <c r="AI1264" s="41"/>
      <c r="AJ1264" s="41"/>
      <c r="AK1264" s="41"/>
      <c r="AL1264" s="41"/>
      <c r="AM1264" s="41"/>
      <c r="AN1264" s="41"/>
      <c r="AO1264" s="41"/>
      <c r="AP1264" s="41"/>
      <c r="AQ1264" s="41"/>
      <c r="AR1264" s="41"/>
      <c r="AS1264" s="41"/>
      <c r="AT1264" s="41"/>
      <c r="AU1264" s="41"/>
      <c r="AV1264" s="41"/>
      <c r="AW1264" s="41"/>
      <c r="AX1264" s="41"/>
      <c r="AY1264" s="41"/>
      <c r="AZ1264" s="41"/>
      <c r="BA1264" s="41"/>
      <c r="BB1264" s="41"/>
      <c r="BC1264" s="41"/>
      <c r="BD1264" s="41"/>
      <c r="BE1264" s="41"/>
      <c r="BF1264" s="41"/>
      <c r="BG1264" s="41"/>
      <c r="BH1264" s="41"/>
      <c r="BJ1264" s="41"/>
      <c r="BK1264" s="94"/>
      <c r="BL1264" s="94"/>
      <c r="BM1264" s="94"/>
      <c r="BN1264" s="94"/>
      <c r="BO1264" s="94"/>
      <c r="BP1264" s="94"/>
      <c r="BQ1264" s="94"/>
      <c r="BR1264" s="94"/>
      <c r="BS1264" s="94"/>
      <c r="BT1264" s="94"/>
      <c r="BU1264" s="94"/>
      <c r="BV1264" s="94"/>
      <c r="BW1264" s="94"/>
      <c r="BX1264" s="94"/>
      <c r="BY1264" s="94"/>
      <c r="BZ1264" s="94"/>
      <c r="CA1264" s="94"/>
      <c r="CB1264" s="94"/>
      <c r="CC1264" s="94"/>
      <c r="CD1264" s="94"/>
      <c r="CE1264" s="94"/>
      <c r="CF1264" s="94"/>
      <c r="CG1264" s="94"/>
      <c r="CH1264" s="94"/>
      <c r="CI1264" s="94"/>
      <c r="CJ1264" s="94"/>
      <c r="CK1264" s="94"/>
      <c r="CL1264" s="94"/>
      <c r="CM1264" s="94"/>
      <c r="CN1264" s="94"/>
      <c r="CO1264" s="94"/>
      <c r="CP1264" s="94"/>
      <c r="CQ1264" s="94"/>
      <c r="CR1264" s="94"/>
      <c r="CS1264" s="94"/>
      <c r="CT1264" s="94"/>
      <c r="CU1264" s="94"/>
      <c r="CV1264" s="94"/>
      <c r="CW1264" s="94"/>
      <c r="CX1264" s="94"/>
      <c r="CY1264" s="94"/>
      <c r="CZ1264" s="94"/>
      <c r="DA1264" s="94"/>
      <c r="DB1264" s="94"/>
      <c r="DC1264" s="94"/>
      <c r="DD1264" s="94"/>
      <c r="DE1264" s="94"/>
      <c r="DF1264" s="94"/>
      <c r="DG1264" s="94"/>
      <c r="DH1264" s="94"/>
      <c r="DI1264" s="94"/>
      <c r="DJ1264" s="94">
        <v>1</v>
      </c>
      <c r="DK1264" s="41"/>
      <c r="DL1264" s="41"/>
      <c r="DM1264" s="41"/>
      <c r="DN1264" s="41"/>
      <c r="DO1264" s="41"/>
      <c r="DP1264" s="41"/>
      <c r="DQ1264" s="41"/>
      <c r="DR1264" s="41"/>
      <c r="DS1264" s="43"/>
      <c r="DT1264" s="44">
        <f t="shared" ref="DT1264" si="1245">SUM(F1264:DR1264)</f>
        <v>1</v>
      </c>
    </row>
    <row r="1265" spans="2:124" s="13" customFormat="1">
      <c r="B1265" s="4">
        <f>'6.1Personnel List'!B1266</f>
        <v>1253</v>
      </c>
      <c r="C1265" s="45" t="s">
        <v>1481</v>
      </c>
      <c r="D1265" s="45" t="str">
        <f>'6.1Personnel List'!D1266</f>
        <v>Nursing Attendant II</v>
      </c>
      <c r="E1265" s="45" t="str">
        <f>'6.1Personnel List'!H1266</f>
        <v>FT</v>
      </c>
      <c r="G1265" s="41"/>
      <c r="H1265" s="41"/>
      <c r="I1265" s="41"/>
      <c r="J1265" s="41"/>
      <c r="K1265" s="41"/>
      <c r="L1265" s="41"/>
      <c r="M1265" s="41"/>
      <c r="N1265" s="41"/>
      <c r="O1265" s="41"/>
      <c r="P1265" s="41"/>
      <c r="Q1265" s="41"/>
      <c r="R1265" s="41"/>
      <c r="S1265" s="41"/>
      <c r="T1265" s="41"/>
      <c r="U1265" s="41"/>
      <c r="V1265" s="41"/>
      <c r="W1265" s="41"/>
      <c r="X1265" s="41"/>
      <c r="Y1265" s="41"/>
      <c r="Z1265" s="41"/>
      <c r="AA1265" s="41"/>
      <c r="AB1265" s="41"/>
      <c r="AC1265" s="41"/>
      <c r="AD1265" s="41"/>
      <c r="AE1265" s="41"/>
      <c r="AF1265" s="41"/>
      <c r="AG1265" s="41"/>
      <c r="AH1265" s="41"/>
      <c r="AI1265" s="41"/>
      <c r="AJ1265" s="41"/>
      <c r="AK1265" s="41"/>
      <c r="AL1265" s="41"/>
      <c r="AM1265" s="41"/>
      <c r="AN1265" s="41"/>
      <c r="AO1265" s="41"/>
      <c r="AP1265" s="41"/>
      <c r="AQ1265" s="41"/>
      <c r="AR1265" s="41"/>
      <c r="AS1265" s="41"/>
      <c r="AT1265" s="41"/>
      <c r="AU1265" s="41"/>
      <c r="AV1265" s="41"/>
      <c r="AW1265" s="41"/>
      <c r="AX1265" s="41"/>
      <c r="AY1265" s="41"/>
      <c r="AZ1265" s="41"/>
      <c r="BA1265" s="41"/>
      <c r="BB1265" s="41"/>
      <c r="BC1265" s="41"/>
      <c r="BD1265" s="41"/>
      <c r="BE1265" s="41"/>
      <c r="BF1265" s="41"/>
      <c r="BG1265" s="41"/>
      <c r="BH1265" s="41"/>
      <c r="BJ1265" s="41"/>
      <c r="BK1265" s="94"/>
      <c r="BL1265" s="94"/>
      <c r="BM1265" s="94"/>
      <c r="BN1265" s="94"/>
      <c r="BO1265" s="94"/>
      <c r="BP1265" s="94"/>
      <c r="BQ1265" s="94"/>
      <c r="BR1265" s="94"/>
      <c r="BS1265" s="94"/>
      <c r="BT1265" s="94"/>
      <c r="BU1265" s="94"/>
      <c r="BV1265" s="94"/>
      <c r="BW1265" s="94"/>
      <c r="BX1265" s="94"/>
      <c r="BY1265" s="94"/>
      <c r="BZ1265" s="94"/>
      <c r="CA1265" s="94"/>
      <c r="CB1265" s="94"/>
      <c r="CC1265" s="94"/>
      <c r="CD1265" s="94"/>
      <c r="CE1265" s="94"/>
      <c r="CF1265" s="94"/>
      <c r="CG1265" s="94"/>
      <c r="CH1265" s="94"/>
      <c r="CI1265" s="94"/>
      <c r="CJ1265" s="94"/>
      <c r="CK1265" s="94"/>
      <c r="CL1265" s="94"/>
      <c r="CM1265" s="94"/>
      <c r="CN1265" s="94">
        <v>1</v>
      </c>
      <c r="CO1265" s="94"/>
      <c r="CP1265" s="94"/>
      <c r="CQ1265" s="94"/>
      <c r="CR1265" s="94"/>
      <c r="CS1265" s="94"/>
      <c r="CT1265" s="94"/>
      <c r="CU1265" s="94"/>
      <c r="CV1265" s="94"/>
      <c r="CW1265" s="94"/>
      <c r="CX1265" s="94"/>
      <c r="CY1265" s="94"/>
      <c r="CZ1265" s="94"/>
      <c r="DA1265" s="94"/>
      <c r="DB1265" s="94"/>
      <c r="DC1265" s="94"/>
      <c r="DD1265" s="94"/>
      <c r="DE1265" s="94"/>
      <c r="DF1265" s="94"/>
      <c r="DG1265" s="94"/>
      <c r="DH1265" s="94"/>
      <c r="DI1265" s="94"/>
      <c r="DJ1265" s="94"/>
      <c r="DK1265" s="41"/>
      <c r="DL1265" s="41"/>
      <c r="DM1265" s="41"/>
      <c r="DN1265" s="41"/>
      <c r="DO1265" s="41"/>
      <c r="DP1265" s="41"/>
      <c r="DQ1265" s="41"/>
      <c r="DR1265" s="41"/>
      <c r="DS1265" s="43"/>
      <c r="DT1265" s="44">
        <f t="shared" ref="DT1265" si="1246">SUM(F1265:DR1265)</f>
        <v>1</v>
      </c>
    </row>
    <row r="1266" spans="2:124" s="13" customFormat="1">
      <c r="B1266" s="4">
        <f>'6.1Personnel List'!B1267</f>
        <v>1254</v>
      </c>
      <c r="C1266" s="45" t="s">
        <v>1482</v>
      </c>
      <c r="D1266" s="45" t="str">
        <f>'6.1Personnel List'!D1267</f>
        <v>Nursing Attendant II</v>
      </c>
      <c r="E1266" s="45" t="str">
        <f>'6.1Personnel List'!H1267</f>
        <v>FT</v>
      </c>
      <c r="G1266" s="41"/>
      <c r="H1266" s="41"/>
      <c r="I1266" s="41"/>
      <c r="J1266" s="41"/>
      <c r="K1266" s="41"/>
      <c r="L1266" s="41"/>
      <c r="M1266" s="41"/>
      <c r="N1266" s="41"/>
      <c r="O1266" s="41"/>
      <c r="P1266" s="41"/>
      <c r="Q1266" s="41"/>
      <c r="R1266" s="41"/>
      <c r="S1266" s="41"/>
      <c r="T1266" s="41"/>
      <c r="U1266" s="41"/>
      <c r="V1266" s="41"/>
      <c r="W1266" s="41"/>
      <c r="X1266" s="41"/>
      <c r="Y1266" s="41"/>
      <c r="Z1266" s="41"/>
      <c r="AA1266" s="41"/>
      <c r="AB1266" s="41"/>
      <c r="AC1266" s="41"/>
      <c r="AD1266" s="41"/>
      <c r="AE1266" s="41"/>
      <c r="AF1266" s="41"/>
      <c r="AG1266" s="41"/>
      <c r="AH1266" s="41"/>
      <c r="AI1266" s="41"/>
      <c r="AJ1266" s="41"/>
      <c r="AK1266" s="41"/>
      <c r="AL1266" s="41"/>
      <c r="AM1266" s="41"/>
      <c r="AN1266" s="41"/>
      <c r="AO1266" s="41"/>
      <c r="AP1266" s="41"/>
      <c r="AQ1266" s="41"/>
      <c r="AR1266" s="41"/>
      <c r="AS1266" s="41"/>
      <c r="AT1266" s="41"/>
      <c r="AU1266" s="41"/>
      <c r="AV1266" s="41"/>
      <c r="AW1266" s="41"/>
      <c r="AX1266" s="41"/>
      <c r="AY1266" s="41"/>
      <c r="AZ1266" s="41"/>
      <c r="BA1266" s="41"/>
      <c r="BB1266" s="41"/>
      <c r="BC1266" s="41"/>
      <c r="BD1266" s="41"/>
      <c r="BE1266" s="41"/>
      <c r="BF1266" s="41"/>
      <c r="BG1266" s="41"/>
      <c r="BH1266" s="41"/>
      <c r="BJ1266" s="41"/>
      <c r="BK1266" s="94"/>
      <c r="BL1266" s="94"/>
      <c r="BM1266" s="94"/>
      <c r="BN1266" s="94"/>
      <c r="BO1266" s="94"/>
      <c r="BP1266" s="94"/>
      <c r="BQ1266" s="94"/>
      <c r="BR1266" s="94"/>
      <c r="BS1266" s="94"/>
      <c r="BT1266" s="94"/>
      <c r="BU1266" s="94"/>
      <c r="BV1266" s="94"/>
      <c r="BW1266" s="94"/>
      <c r="BX1266" s="94"/>
      <c r="BY1266" s="94"/>
      <c r="BZ1266" s="94"/>
      <c r="CA1266" s="94"/>
      <c r="CB1266" s="94"/>
      <c r="CC1266" s="94"/>
      <c r="CD1266" s="94"/>
      <c r="CE1266" s="94"/>
      <c r="CF1266" s="94"/>
      <c r="CG1266" s="94"/>
      <c r="CH1266" s="94"/>
      <c r="CI1266" s="94"/>
      <c r="CJ1266" s="94"/>
      <c r="CK1266" s="94"/>
      <c r="CL1266" s="94"/>
      <c r="CM1266" s="94"/>
      <c r="CN1266" s="94"/>
      <c r="CO1266" s="94">
        <v>1</v>
      </c>
      <c r="CP1266" s="94"/>
      <c r="CQ1266" s="94"/>
      <c r="CR1266" s="94"/>
      <c r="CS1266" s="94"/>
      <c r="CT1266" s="94"/>
      <c r="CU1266" s="94"/>
      <c r="CV1266" s="94"/>
      <c r="CW1266" s="94"/>
      <c r="CX1266" s="94"/>
      <c r="CY1266" s="94"/>
      <c r="CZ1266" s="94"/>
      <c r="DA1266" s="94"/>
      <c r="DB1266" s="94"/>
      <c r="DC1266" s="94"/>
      <c r="DD1266" s="94"/>
      <c r="DE1266" s="94"/>
      <c r="DF1266" s="94"/>
      <c r="DG1266" s="94"/>
      <c r="DH1266" s="94"/>
      <c r="DI1266" s="94"/>
      <c r="DJ1266" s="94"/>
      <c r="DK1266" s="41"/>
      <c r="DL1266" s="41"/>
      <c r="DM1266" s="41"/>
      <c r="DN1266" s="41"/>
      <c r="DO1266" s="41"/>
      <c r="DP1266" s="41"/>
      <c r="DQ1266" s="41"/>
      <c r="DR1266" s="41"/>
      <c r="DS1266" s="43"/>
      <c r="DT1266" s="44">
        <f t="shared" ref="DT1266" si="1247">SUM(F1266:DR1266)</f>
        <v>1</v>
      </c>
    </row>
    <row r="1267" spans="2:124" s="13" customFormat="1">
      <c r="B1267" s="4">
        <f>'6.1Personnel List'!B1268</f>
        <v>1255</v>
      </c>
      <c r="C1267" s="45" t="s">
        <v>1483</v>
      </c>
      <c r="D1267" s="45" t="str">
        <f>'6.1Personnel List'!D1268</f>
        <v>Nursing Attendant II</v>
      </c>
      <c r="E1267" s="45" t="str">
        <f>'6.1Personnel List'!H1268</f>
        <v>FT</v>
      </c>
      <c r="G1267" s="41"/>
      <c r="H1267" s="41"/>
      <c r="I1267" s="41"/>
      <c r="J1267" s="41"/>
      <c r="K1267" s="41"/>
      <c r="L1267" s="41"/>
      <c r="M1267" s="41"/>
      <c r="N1267" s="41"/>
      <c r="O1267" s="41"/>
      <c r="P1267" s="41"/>
      <c r="Q1267" s="41"/>
      <c r="R1267" s="41"/>
      <c r="S1267" s="41"/>
      <c r="T1267" s="41"/>
      <c r="U1267" s="41"/>
      <c r="V1267" s="41"/>
      <c r="W1267" s="41"/>
      <c r="X1267" s="41"/>
      <c r="Y1267" s="41"/>
      <c r="Z1267" s="41"/>
      <c r="AA1267" s="41"/>
      <c r="AB1267" s="41"/>
      <c r="AC1267" s="41"/>
      <c r="AD1267" s="41"/>
      <c r="AE1267" s="41"/>
      <c r="AF1267" s="41"/>
      <c r="AG1267" s="41"/>
      <c r="AH1267" s="41"/>
      <c r="AI1267" s="41"/>
      <c r="AJ1267" s="41"/>
      <c r="AK1267" s="41"/>
      <c r="AL1267" s="41"/>
      <c r="AM1267" s="41"/>
      <c r="AN1267" s="41"/>
      <c r="AO1267" s="41"/>
      <c r="AP1267" s="41"/>
      <c r="AQ1267" s="41"/>
      <c r="AR1267" s="41"/>
      <c r="AS1267" s="41"/>
      <c r="AT1267" s="41"/>
      <c r="AU1267" s="41"/>
      <c r="AV1267" s="41"/>
      <c r="AW1267" s="41"/>
      <c r="AX1267" s="41"/>
      <c r="AY1267" s="41"/>
      <c r="AZ1267" s="41"/>
      <c r="BA1267" s="41"/>
      <c r="BB1267" s="41"/>
      <c r="BC1267" s="41"/>
      <c r="BD1267" s="41"/>
      <c r="BE1267" s="41"/>
      <c r="BF1267" s="41"/>
      <c r="BG1267" s="41"/>
      <c r="BH1267" s="41"/>
      <c r="BJ1267" s="41"/>
      <c r="BK1267" s="94"/>
      <c r="BL1267" s="94"/>
      <c r="BM1267" s="94"/>
      <c r="BN1267" s="94"/>
      <c r="BO1267" s="94"/>
      <c r="BP1267" s="94"/>
      <c r="BQ1267" s="94"/>
      <c r="BR1267" s="94"/>
      <c r="BS1267" s="94"/>
      <c r="BT1267" s="94"/>
      <c r="BU1267" s="94"/>
      <c r="BV1267" s="94"/>
      <c r="BW1267" s="94"/>
      <c r="BX1267" s="94"/>
      <c r="BY1267" s="94"/>
      <c r="BZ1267" s="94"/>
      <c r="CA1267" s="94"/>
      <c r="CB1267" s="94"/>
      <c r="CC1267" s="94"/>
      <c r="CD1267" s="94"/>
      <c r="CE1267" s="94"/>
      <c r="CF1267" s="94"/>
      <c r="CG1267" s="94"/>
      <c r="CH1267" s="94"/>
      <c r="CI1267" s="94"/>
      <c r="CJ1267" s="94"/>
      <c r="CK1267" s="94"/>
      <c r="CL1267" s="94"/>
      <c r="CM1267" s="94"/>
      <c r="CN1267" s="94"/>
      <c r="CO1267" s="94"/>
      <c r="CP1267" s="94"/>
      <c r="CQ1267" s="94"/>
      <c r="CR1267" s="94"/>
      <c r="CS1267" s="94"/>
      <c r="CT1267" s="94"/>
      <c r="CU1267" s="94"/>
      <c r="CV1267" s="94"/>
      <c r="CW1267" s="94"/>
      <c r="CX1267" s="94"/>
      <c r="CY1267" s="94"/>
      <c r="CZ1267" s="94"/>
      <c r="DA1267" s="94"/>
      <c r="DB1267" s="94"/>
      <c r="DC1267" s="94"/>
      <c r="DD1267" s="94"/>
      <c r="DE1267" s="94"/>
      <c r="DF1267" s="94"/>
      <c r="DG1267" s="94"/>
      <c r="DH1267" s="94"/>
      <c r="DI1267" s="94"/>
      <c r="DJ1267" s="94"/>
      <c r="DK1267" s="41">
        <v>1</v>
      </c>
      <c r="DL1267" s="41"/>
      <c r="DM1267" s="41"/>
      <c r="DN1267" s="41"/>
      <c r="DO1267" s="41"/>
      <c r="DP1267" s="41"/>
      <c r="DQ1267" s="41"/>
      <c r="DR1267" s="41"/>
      <c r="DS1267" s="43"/>
      <c r="DT1267" s="44">
        <f t="shared" ref="DT1267" si="1248">SUM(F1267:DR1267)</f>
        <v>1</v>
      </c>
    </row>
    <row r="1268" spans="2:124" s="13" customFormat="1">
      <c r="B1268" s="4">
        <f>'6.1Personnel List'!B1269</f>
        <v>1256</v>
      </c>
      <c r="C1268" s="45" t="s">
        <v>1484</v>
      </c>
      <c r="D1268" s="45" t="str">
        <f>'6.1Personnel List'!D1269</f>
        <v>Nursing Attendant II</v>
      </c>
      <c r="E1268" s="45" t="str">
        <f>'6.1Personnel List'!H1269</f>
        <v>FT</v>
      </c>
      <c r="G1268" s="41"/>
      <c r="H1268" s="41"/>
      <c r="I1268" s="41"/>
      <c r="J1268" s="41"/>
      <c r="K1268" s="41"/>
      <c r="L1268" s="41"/>
      <c r="M1268" s="41"/>
      <c r="N1268" s="41"/>
      <c r="O1268" s="41"/>
      <c r="P1268" s="41"/>
      <c r="Q1268" s="41"/>
      <c r="R1268" s="41"/>
      <c r="S1268" s="41"/>
      <c r="T1268" s="41"/>
      <c r="U1268" s="41"/>
      <c r="V1268" s="41"/>
      <c r="W1268" s="41"/>
      <c r="X1268" s="41"/>
      <c r="Y1268" s="41"/>
      <c r="Z1268" s="41"/>
      <c r="AA1268" s="41"/>
      <c r="AB1268" s="41"/>
      <c r="AC1268" s="41"/>
      <c r="AD1268" s="41"/>
      <c r="AE1268" s="41"/>
      <c r="AF1268" s="41"/>
      <c r="AG1268" s="41"/>
      <c r="AH1268" s="41"/>
      <c r="AI1268" s="41"/>
      <c r="AJ1268" s="41"/>
      <c r="AK1268" s="41"/>
      <c r="AL1268" s="41"/>
      <c r="AM1268" s="41"/>
      <c r="AN1268" s="41"/>
      <c r="AO1268" s="41"/>
      <c r="AP1268" s="41"/>
      <c r="AQ1268" s="41"/>
      <c r="AR1268" s="41"/>
      <c r="AS1268" s="41"/>
      <c r="AT1268" s="41"/>
      <c r="AU1268" s="41"/>
      <c r="AV1268" s="41"/>
      <c r="AW1268" s="41"/>
      <c r="AX1268" s="41"/>
      <c r="AY1268" s="41"/>
      <c r="AZ1268" s="41"/>
      <c r="BA1268" s="41"/>
      <c r="BB1268" s="41"/>
      <c r="BC1268" s="41"/>
      <c r="BD1268" s="41"/>
      <c r="BE1268" s="41"/>
      <c r="BF1268" s="41"/>
      <c r="BG1268" s="41"/>
      <c r="BH1268" s="41"/>
      <c r="BJ1268" s="41"/>
      <c r="BK1268" s="94"/>
      <c r="BL1268" s="94"/>
      <c r="BM1268" s="94"/>
      <c r="BN1268" s="94"/>
      <c r="BO1268" s="94"/>
      <c r="BP1268" s="94"/>
      <c r="BQ1268" s="94"/>
      <c r="BR1268" s="94"/>
      <c r="BS1268" s="94"/>
      <c r="BT1268" s="94"/>
      <c r="BU1268" s="94"/>
      <c r="BV1268" s="94">
        <v>1</v>
      </c>
      <c r="BW1268" s="94"/>
      <c r="BX1268" s="94"/>
      <c r="BY1268" s="94"/>
      <c r="BZ1268" s="94"/>
      <c r="CA1268" s="94"/>
      <c r="CB1268" s="94"/>
      <c r="CC1268" s="94"/>
      <c r="CD1268" s="94"/>
      <c r="CE1268" s="94"/>
      <c r="CF1268" s="94"/>
      <c r="CG1268" s="94"/>
      <c r="CH1268" s="94"/>
      <c r="CI1268" s="94"/>
      <c r="CJ1268" s="94"/>
      <c r="CK1268" s="94"/>
      <c r="CL1268" s="94"/>
      <c r="CM1268" s="94"/>
      <c r="CN1268" s="94"/>
      <c r="CO1268" s="94"/>
      <c r="CP1268" s="94"/>
      <c r="CQ1268" s="94"/>
      <c r="CR1268" s="94"/>
      <c r="CS1268" s="94"/>
      <c r="CT1268" s="94"/>
      <c r="CU1268" s="94"/>
      <c r="CV1268" s="94"/>
      <c r="CW1268" s="94"/>
      <c r="CX1268" s="94"/>
      <c r="CY1268" s="94"/>
      <c r="CZ1268" s="94"/>
      <c r="DA1268" s="94"/>
      <c r="DB1268" s="94"/>
      <c r="DC1268" s="94"/>
      <c r="DD1268" s="94"/>
      <c r="DE1268" s="94"/>
      <c r="DF1268" s="94"/>
      <c r="DG1268" s="94"/>
      <c r="DH1268" s="94"/>
      <c r="DI1268" s="94"/>
      <c r="DJ1268" s="94"/>
      <c r="DK1268" s="41"/>
      <c r="DL1268" s="41"/>
      <c r="DM1268" s="41"/>
      <c r="DN1268" s="41"/>
      <c r="DO1268" s="41"/>
      <c r="DP1268" s="41"/>
      <c r="DQ1268" s="41"/>
      <c r="DR1268" s="41"/>
      <c r="DS1268" s="43"/>
      <c r="DT1268" s="44">
        <f t="shared" ref="DT1268" si="1249">SUM(F1268:DR1268)</f>
        <v>1</v>
      </c>
    </row>
    <row r="1269" spans="2:124" s="13" customFormat="1">
      <c r="B1269" s="4">
        <f>'6.1Personnel List'!B1270</f>
        <v>1257</v>
      </c>
      <c r="C1269" s="45" t="s">
        <v>1485</v>
      </c>
      <c r="D1269" s="45" t="str">
        <f>'6.1Personnel List'!D1270</f>
        <v>Nursing Attendant II</v>
      </c>
      <c r="E1269" s="45" t="str">
        <f>'6.1Personnel List'!H1270</f>
        <v>FT</v>
      </c>
      <c r="G1269" s="41"/>
      <c r="H1269" s="41"/>
      <c r="I1269" s="41"/>
      <c r="J1269" s="41"/>
      <c r="K1269" s="41"/>
      <c r="L1269" s="41"/>
      <c r="M1269" s="41"/>
      <c r="N1269" s="41"/>
      <c r="O1269" s="41"/>
      <c r="P1269" s="41"/>
      <c r="Q1269" s="41"/>
      <c r="R1269" s="41"/>
      <c r="S1269" s="41"/>
      <c r="T1269" s="41"/>
      <c r="U1269" s="41"/>
      <c r="V1269" s="41"/>
      <c r="W1269" s="41"/>
      <c r="X1269" s="41"/>
      <c r="Y1269" s="41"/>
      <c r="Z1269" s="41"/>
      <c r="AA1269" s="41"/>
      <c r="AB1269" s="41"/>
      <c r="AC1269" s="41"/>
      <c r="AD1269" s="41"/>
      <c r="AE1269" s="41"/>
      <c r="AF1269" s="41"/>
      <c r="AG1269" s="41"/>
      <c r="AH1269" s="41"/>
      <c r="AI1269" s="41"/>
      <c r="AJ1269" s="41"/>
      <c r="AK1269" s="41"/>
      <c r="AL1269" s="41"/>
      <c r="AM1269" s="41"/>
      <c r="AN1269" s="41"/>
      <c r="AO1269" s="41"/>
      <c r="AP1269" s="41"/>
      <c r="AQ1269" s="41"/>
      <c r="AR1269" s="41"/>
      <c r="AS1269" s="41"/>
      <c r="AT1269" s="41"/>
      <c r="AU1269" s="41"/>
      <c r="AV1269" s="41"/>
      <c r="AW1269" s="41"/>
      <c r="AX1269" s="41"/>
      <c r="AY1269" s="41"/>
      <c r="AZ1269" s="41"/>
      <c r="BA1269" s="41"/>
      <c r="BB1269" s="41"/>
      <c r="BC1269" s="41"/>
      <c r="BD1269" s="41"/>
      <c r="BE1269" s="41"/>
      <c r="BF1269" s="41"/>
      <c r="BG1269" s="41"/>
      <c r="BH1269" s="41"/>
      <c r="BJ1269" s="41"/>
      <c r="BK1269" s="94"/>
      <c r="BL1269" s="94"/>
      <c r="BM1269" s="94"/>
      <c r="BN1269" s="94"/>
      <c r="BO1269" s="94"/>
      <c r="BP1269" s="94"/>
      <c r="BQ1269" s="94"/>
      <c r="BR1269" s="94"/>
      <c r="BS1269" s="94"/>
      <c r="BT1269" s="94"/>
      <c r="BU1269" s="94"/>
      <c r="BV1269" s="94">
        <v>1</v>
      </c>
      <c r="BW1269" s="94"/>
      <c r="BX1269" s="94"/>
      <c r="BY1269" s="94"/>
      <c r="BZ1269" s="94"/>
      <c r="CA1269" s="94"/>
      <c r="CB1269" s="94"/>
      <c r="CC1269" s="94"/>
      <c r="CD1269" s="94"/>
      <c r="CE1269" s="94"/>
      <c r="CF1269" s="94"/>
      <c r="CG1269" s="94"/>
      <c r="CH1269" s="94"/>
      <c r="CI1269" s="94"/>
      <c r="CJ1269" s="94"/>
      <c r="CK1269" s="94"/>
      <c r="CL1269" s="94"/>
      <c r="CM1269" s="94"/>
      <c r="CN1269" s="94"/>
      <c r="CO1269" s="94"/>
      <c r="CP1269" s="94"/>
      <c r="CQ1269" s="94"/>
      <c r="CR1269" s="94"/>
      <c r="CS1269" s="94"/>
      <c r="CT1269" s="94"/>
      <c r="CU1269" s="94"/>
      <c r="CV1269" s="94"/>
      <c r="CW1269" s="94"/>
      <c r="CX1269" s="94"/>
      <c r="CY1269" s="94"/>
      <c r="CZ1269" s="94"/>
      <c r="DA1269" s="94"/>
      <c r="DB1269" s="94"/>
      <c r="DC1269" s="94"/>
      <c r="DD1269" s="94"/>
      <c r="DE1269" s="94"/>
      <c r="DF1269" s="94"/>
      <c r="DG1269" s="94"/>
      <c r="DH1269" s="94"/>
      <c r="DI1269" s="94"/>
      <c r="DJ1269" s="94"/>
      <c r="DK1269" s="41"/>
      <c r="DL1269" s="41"/>
      <c r="DM1269" s="41"/>
      <c r="DN1269" s="41"/>
      <c r="DO1269" s="41"/>
      <c r="DP1269" s="41"/>
      <c r="DQ1269" s="41"/>
      <c r="DR1269" s="41"/>
      <c r="DS1269" s="43"/>
      <c r="DT1269" s="44">
        <f t="shared" ref="DT1269" si="1250">SUM(F1269:DR1269)</f>
        <v>1</v>
      </c>
    </row>
    <row r="1270" spans="2:124" s="13" customFormat="1">
      <c r="B1270" s="4">
        <f>'6.1Personnel List'!B1271</f>
        <v>1258</v>
      </c>
      <c r="C1270" s="45" t="s">
        <v>1486</v>
      </c>
      <c r="D1270" s="45" t="str">
        <f>'6.1Personnel List'!D1271</f>
        <v>Nursing Attendant II</v>
      </c>
      <c r="E1270" s="45" t="str">
        <f>'6.1Personnel List'!H1271</f>
        <v>FT</v>
      </c>
      <c r="G1270" s="41"/>
      <c r="H1270" s="41"/>
      <c r="I1270" s="41"/>
      <c r="J1270" s="41"/>
      <c r="K1270" s="41"/>
      <c r="L1270" s="41"/>
      <c r="M1270" s="41"/>
      <c r="N1270" s="41"/>
      <c r="O1270" s="41"/>
      <c r="P1270" s="41"/>
      <c r="Q1270" s="41"/>
      <c r="R1270" s="41"/>
      <c r="S1270" s="41"/>
      <c r="T1270" s="41"/>
      <c r="U1270" s="41"/>
      <c r="V1270" s="41"/>
      <c r="W1270" s="41"/>
      <c r="X1270" s="41"/>
      <c r="Y1270" s="41"/>
      <c r="Z1270" s="41"/>
      <c r="AA1270" s="41"/>
      <c r="AB1270" s="41"/>
      <c r="AC1270" s="41"/>
      <c r="AD1270" s="41"/>
      <c r="AE1270" s="41"/>
      <c r="AF1270" s="41"/>
      <c r="AG1270" s="41"/>
      <c r="AH1270" s="41"/>
      <c r="AI1270" s="41"/>
      <c r="AJ1270" s="41"/>
      <c r="AK1270" s="41"/>
      <c r="AL1270" s="41"/>
      <c r="AM1270" s="41"/>
      <c r="AN1270" s="41"/>
      <c r="AO1270" s="41"/>
      <c r="AP1270" s="41"/>
      <c r="AQ1270" s="41"/>
      <c r="AR1270" s="41"/>
      <c r="AS1270" s="41"/>
      <c r="AT1270" s="41"/>
      <c r="AU1270" s="41"/>
      <c r="AV1270" s="41"/>
      <c r="AW1270" s="41"/>
      <c r="AX1270" s="41"/>
      <c r="AY1270" s="41"/>
      <c r="AZ1270" s="41"/>
      <c r="BA1270" s="41"/>
      <c r="BB1270" s="41"/>
      <c r="BC1270" s="41"/>
      <c r="BD1270" s="41"/>
      <c r="BE1270" s="41"/>
      <c r="BF1270" s="41"/>
      <c r="BG1270" s="41"/>
      <c r="BH1270" s="41"/>
      <c r="BJ1270" s="41"/>
      <c r="BK1270" s="94"/>
      <c r="BL1270" s="94"/>
      <c r="BM1270" s="94"/>
      <c r="BN1270" s="94"/>
      <c r="BO1270" s="94"/>
      <c r="BP1270" s="94"/>
      <c r="BQ1270" s="94"/>
      <c r="BR1270" s="94"/>
      <c r="BS1270" s="94"/>
      <c r="BT1270" s="94"/>
      <c r="BU1270" s="94"/>
      <c r="BV1270" s="94"/>
      <c r="BW1270" s="94"/>
      <c r="BX1270" s="94"/>
      <c r="BY1270" s="94"/>
      <c r="BZ1270" s="94"/>
      <c r="CA1270" s="94"/>
      <c r="CB1270" s="94"/>
      <c r="CC1270" s="94"/>
      <c r="CD1270" s="94"/>
      <c r="CE1270" s="94"/>
      <c r="CF1270" s="94"/>
      <c r="CG1270" s="94"/>
      <c r="CH1270" s="94"/>
      <c r="CI1270" s="94"/>
      <c r="CJ1270" s="94"/>
      <c r="CK1270" s="94"/>
      <c r="CL1270" s="94"/>
      <c r="CM1270" s="94"/>
      <c r="CN1270" s="94"/>
      <c r="CO1270" s="94"/>
      <c r="CP1270" s="94"/>
      <c r="CQ1270" s="94"/>
      <c r="CR1270" s="94"/>
      <c r="CS1270" s="94"/>
      <c r="CT1270" s="94"/>
      <c r="CU1270" s="94"/>
      <c r="CV1270" s="94"/>
      <c r="CW1270" s="94"/>
      <c r="CX1270" s="94"/>
      <c r="CY1270" s="94"/>
      <c r="CZ1270" s="94"/>
      <c r="DA1270" s="94"/>
      <c r="DB1270" s="94"/>
      <c r="DC1270" s="94"/>
      <c r="DD1270" s="94"/>
      <c r="DE1270" s="94"/>
      <c r="DF1270" s="94"/>
      <c r="DG1270" s="94"/>
      <c r="DH1270" s="94"/>
      <c r="DI1270" s="94"/>
      <c r="DJ1270" s="94"/>
      <c r="DK1270" s="41"/>
      <c r="DL1270" s="41">
        <v>1</v>
      </c>
      <c r="DM1270" s="41"/>
      <c r="DN1270" s="41"/>
      <c r="DO1270" s="41"/>
      <c r="DP1270" s="41"/>
      <c r="DQ1270" s="41"/>
      <c r="DR1270" s="41"/>
      <c r="DS1270" s="43"/>
      <c r="DT1270" s="44">
        <f t="shared" ref="DT1270" si="1251">SUM(F1270:DR1270)</f>
        <v>1</v>
      </c>
    </row>
    <row r="1271" spans="2:124" s="13" customFormat="1">
      <c r="B1271" s="4">
        <f>'6.1Personnel List'!B1272</f>
        <v>1259</v>
      </c>
      <c r="C1271" s="45" t="s">
        <v>1487</v>
      </c>
      <c r="D1271" s="45" t="str">
        <f>'6.1Personnel List'!D1272</f>
        <v>Nursing Attendant II</v>
      </c>
      <c r="E1271" s="45" t="str">
        <f>'6.1Personnel List'!H1272</f>
        <v>FT</v>
      </c>
      <c r="G1271" s="41"/>
      <c r="H1271" s="41"/>
      <c r="I1271" s="41"/>
      <c r="J1271" s="41"/>
      <c r="K1271" s="41"/>
      <c r="L1271" s="41"/>
      <c r="M1271" s="41"/>
      <c r="N1271" s="41"/>
      <c r="O1271" s="41"/>
      <c r="P1271" s="41"/>
      <c r="Q1271" s="41"/>
      <c r="R1271" s="41"/>
      <c r="S1271" s="41"/>
      <c r="T1271" s="41"/>
      <c r="U1271" s="41"/>
      <c r="V1271" s="41"/>
      <c r="W1271" s="41"/>
      <c r="X1271" s="41"/>
      <c r="Y1271" s="41"/>
      <c r="Z1271" s="41"/>
      <c r="AA1271" s="41"/>
      <c r="AB1271" s="41"/>
      <c r="AC1271" s="41"/>
      <c r="AD1271" s="41"/>
      <c r="AE1271" s="41"/>
      <c r="AF1271" s="41"/>
      <c r="AG1271" s="41"/>
      <c r="AH1271" s="41"/>
      <c r="AI1271" s="41"/>
      <c r="AJ1271" s="41"/>
      <c r="AK1271" s="41"/>
      <c r="AL1271" s="41"/>
      <c r="AM1271" s="41"/>
      <c r="AN1271" s="41"/>
      <c r="AO1271" s="41"/>
      <c r="AP1271" s="41"/>
      <c r="AQ1271" s="41"/>
      <c r="AR1271" s="41"/>
      <c r="AS1271" s="41"/>
      <c r="AT1271" s="41"/>
      <c r="AU1271" s="41"/>
      <c r="AV1271" s="41"/>
      <c r="AW1271" s="41"/>
      <c r="AX1271" s="41"/>
      <c r="AY1271" s="41"/>
      <c r="AZ1271" s="41"/>
      <c r="BA1271" s="41"/>
      <c r="BB1271" s="41"/>
      <c r="BC1271" s="41"/>
      <c r="BD1271" s="41"/>
      <c r="BE1271" s="41"/>
      <c r="BF1271" s="41"/>
      <c r="BG1271" s="41"/>
      <c r="BH1271" s="41"/>
      <c r="BJ1271" s="41"/>
      <c r="BK1271" s="41"/>
      <c r="BL1271" s="41"/>
      <c r="BM1271" s="41"/>
      <c r="BN1271" s="41"/>
      <c r="BO1271" s="41"/>
      <c r="BP1271" s="41"/>
      <c r="BQ1271" s="41"/>
      <c r="BR1271" s="41"/>
      <c r="BS1271" s="41"/>
      <c r="BT1271" s="41"/>
      <c r="BU1271" s="41"/>
      <c r="BV1271" s="41"/>
      <c r="BW1271" s="41"/>
      <c r="BX1271" s="41"/>
      <c r="BY1271" s="41"/>
      <c r="BZ1271" s="41"/>
      <c r="CA1271" s="41"/>
      <c r="CB1271" s="41">
        <v>0.1</v>
      </c>
      <c r="CC1271" s="41"/>
      <c r="CD1271" s="41"/>
      <c r="CE1271" s="41">
        <v>0.09</v>
      </c>
      <c r="CF1271" s="41">
        <v>0.01</v>
      </c>
      <c r="CG1271" s="41">
        <v>0.01</v>
      </c>
      <c r="CH1271" s="41">
        <v>0.05</v>
      </c>
      <c r="CI1271" s="41">
        <v>0.01</v>
      </c>
      <c r="CJ1271" s="41"/>
      <c r="CK1271" s="41">
        <v>0.01</v>
      </c>
      <c r="CL1271" s="41">
        <v>0.05</v>
      </c>
      <c r="CM1271" s="41"/>
      <c r="CN1271" s="41">
        <v>0.05</v>
      </c>
      <c r="CO1271" s="41">
        <v>0.05</v>
      </c>
      <c r="CP1271" s="41">
        <v>0.05</v>
      </c>
      <c r="CQ1271" s="41">
        <v>0.05</v>
      </c>
      <c r="CR1271" s="41">
        <v>0.02</v>
      </c>
      <c r="CS1271" s="41">
        <v>0.01</v>
      </c>
      <c r="CT1271" s="41"/>
      <c r="CU1271" s="41"/>
      <c r="CV1271" s="41">
        <v>0.02</v>
      </c>
      <c r="CW1271" s="41"/>
      <c r="CX1271" s="41"/>
      <c r="CY1271" s="41"/>
      <c r="CZ1271" s="41"/>
      <c r="DA1271" s="41"/>
      <c r="DB1271" s="41"/>
      <c r="DC1271" s="41"/>
      <c r="DD1271" s="41">
        <v>0.12</v>
      </c>
      <c r="DE1271" s="41"/>
      <c r="DF1271" s="41"/>
      <c r="DG1271" s="41"/>
      <c r="DH1271" s="41"/>
      <c r="DI1271" s="41"/>
      <c r="DJ1271" s="41">
        <v>0.05</v>
      </c>
      <c r="DK1271" s="41">
        <v>0.05</v>
      </c>
      <c r="DL1271" s="41">
        <v>0.05</v>
      </c>
      <c r="DM1271" s="41">
        <v>0.05</v>
      </c>
      <c r="DN1271" s="41"/>
      <c r="DO1271" s="41"/>
      <c r="DP1271" s="41">
        <v>0.05</v>
      </c>
      <c r="DQ1271" s="41"/>
      <c r="DR1271" s="41">
        <v>0.05</v>
      </c>
      <c r="DS1271" s="43"/>
      <c r="DT1271" s="44">
        <f t="shared" ref="DT1271" si="1252">SUM(F1271:DR1271)</f>
        <v>1.0000000000000002</v>
      </c>
    </row>
    <row r="1272" spans="2:124" s="13" customFormat="1">
      <c r="B1272" s="4">
        <f>'6.1Personnel List'!B1273</f>
        <v>1260</v>
      </c>
      <c r="C1272" s="45" t="s">
        <v>1488</v>
      </c>
      <c r="D1272" s="45" t="str">
        <f>'6.1Personnel List'!D1273</f>
        <v>Administrative Aide VI</v>
      </c>
      <c r="E1272" s="45" t="str">
        <f>'6.1Personnel List'!H1273</f>
        <v>FT</v>
      </c>
      <c r="G1272" s="41"/>
      <c r="H1272" s="41"/>
      <c r="I1272" s="41"/>
      <c r="J1272" s="41"/>
      <c r="K1272" s="41"/>
      <c r="L1272" s="41"/>
      <c r="M1272" s="41"/>
      <c r="N1272" s="41"/>
      <c r="O1272" s="41"/>
      <c r="P1272" s="41"/>
      <c r="Q1272" s="41"/>
      <c r="R1272" s="41"/>
      <c r="S1272" s="41"/>
      <c r="T1272" s="41"/>
      <c r="U1272" s="41"/>
      <c r="V1272" s="41"/>
      <c r="W1272" s="41"/>
      <c r="X1272" s="41"/>
      <c r="Y1272" s="41"/>
      <c r="Z1272" s="41"/>
      <c r="AA1272" s="41"/>
      <c r="AB1272" s="41"/>
      <c r="AC1272" s="41"/>
      <c r="AD1272" s="41"/>
      <c r="AE1272" s="41"/>
      <c r="AF1272" s="41"/>
      <c r="AG1272" s="41"/>
      <c r="AH1272" s="41"/>
      <c r="AI1272" s="41"/>
      <c r="AJ1272" s="41"/>
      <c r="AK1272" s="41"/>
      <c r="AL1272" s="41"/>
      <c r="AM1272" s="41"/>
      <c r="AN1272" s="41"/>
      <c r="AO1272" s="41"/>
      <c r="AP1272" s="41"/>
      <c r="AQ1272" s="41"/>
      <c r="AR1272" s="41"/>
      <c r="AS1272" s="41"/>
      <c r="AT1272" s="41"/>
      <c r="AU1272" s="41"/>
      <c r="AV1272" s="41"/>
      <c r="AW1272" s="41"/>
      <c r="AX1272" s="41"/>
      <c r="AY1272" s="41"/>
      <c r="AZ1272" s="41"/>
      <c r="BA1272" s="41"/>
      <c r="BB1272" s="41"/>
      <c r="BC1272" s="41"/>
      <c r="BD1272" s="41"/>
      <c r="BE1272" s="41"/>
      <c r="BF1272" s="41"/>
      <c r="BG1272" s="41"/>
      <c r="BH1272" s="41"/>
      <c r="BJ1272" s="41"/>
      <c r="BK1272" s="41"/>
      <c r="BL1272" s="41"/>
      <c r="BM1272" s="41"/>
      <c r="BN1272" s="41"/>
      <c r="BO1272" s="41"/>
      <c r="BP1272" s="41"/>
      <c r="BQ1272" s="41"/>
      <c r="BR1272" s="41"/>
      <c r="BS1272" s="41"/>
      <c r="BT1272" s="41"/>
      <c r="BU1272" s="41"/>
      <c r="BV1272" s="41">
        <v>0.1</v>
      </c>
      <c r="BW1272" s="41"/>
      <c r="BX1272" s="41"/>
      <c r="BY1272" s="41"/>
      <c r="BZ1272" s="41"/>
      <c r="CA1272" s="41"/>
      <c r="CB1272" s="41"/>
      <c r="CC1272" s="41"/>
      <c r="CD1272" s="41"/>
      <c r="CE1272" s="41">
        <v>0.1</v>
      </c>
      <c r="CF1272" s="41"/>
      <c r="CG1272" s="41"/>
      <c r="CH1272" s="41">
        <v>0.1</v>
      </c>
      <c r="CI1272" s="41"/>
      <c r="CJ1272" s="41"/>
      <c r="CK1272" s="41"/>
      <c r="CL1272" s="41"/>
      <c r="CM1272" s="41"/>
      <c r="CN1272" s="41"/>
      <c r="CO1272" s="41"/>
      <c r="CP1272" s="41"/>
      <c r="CQ1272" s="41"/>
      <c r="CR1272" s="41"/>
      <c r="CS1272" s="41"/>
      <c r="CT1272" s="41"/>
      <c r="CU1272" s="41"/>
      <c r="CV1272" s="41"/>
      <c r="CW1272" s="41"/>
      <c r="CX1272" s="41"/>
      <c r="CY1272" s="41"/>
      <c r="CZ1272" s="41"/>
      <c r="DA1272" s="41"/>
      <c r="DB1272" s="41"/>
      <c r="DC1272" s="41"/>
      <c r="DD1272" s="41"/>
      <c r="DE1272" s="41"/>
      <c r="DF1272" s="41"/>
      <c r="DG1272" s="41"/>
      <c r="DH1272" s="41"/>
      <c r="DI1272" s="41"/>
      <c r="DJ1272" s="41"/>
      <c r="DK1272" s="41"/>
      <c r="DL1272" s="41"/>
      <c r="DM1272" s="41">
        <v>0.7</v>
      </c>
      <c r="DN1272" s="41"/>
      <c r="DO1272" s="41"/>
      <c r="DP1272" s="41"/>
      <c r="DQ1272" s="41"/>
      <c r="DR1272" s="41"/>
      <c r="DS1272" s="43"/>
      <c r="DT1272" s="44">
        <f t="shared" ref="DT1272" si="1253">SUM(F1272:DR1272)</f>
        <v>1</v>
      </c>
    </row>
    <row r="1273" spans="2:124" s="13" customFormat="1">
      <c r="B1273" s="4">
        <f>'6.1Personnel List'!B1274</f>
        <v>1261</v>
      </c>
      <c r="C1273" s="45" t="s">
        <v>1489</v>
      </c>
      <c r="D1273" s="45" t="str">
        <f>'6.1Personnel List'!D1274</f>
        <v>Administrative Aide VI</v>
      </c>
      <c r="E1273" s="45" t="str">
        <f>'6.1Personnel List'!H1274</f>
        <v>FT</v>
      </c>
      <c r="G1273" s="41"/>
      <c r="H1273" s="41"/>
      <c r="I1273" s="41"/>
      <c r="J1273" s="41"/>
      <c r="K1273" s="41"/>
      <c r="L1273" s="41"/>
      <c r="M1273" s="41"/>
      <c r="N1273" s="41"/>
      <c r="O1273" s="41"/>
      <c r="P1273" s="41"/>
      <c r="Q1273" s="41"/>
      <c r="R1273" s="41"/>
      <c r="S1273" s="41">
        <v>1</v>
      </c>
      <c r="T1273" s="41"/>
      <c r="U1273" s="41"/>
      <c r="V1273" s="41"/>
      <c r="W1273" s="41"/>
      <c r="X1273" s="41"/>
      <c r="Y1273" s="41"/>
      <c r="Z1273" s="41"/>
      <c r="AA1273" s="41"/>
      <c r="AB1273" s="41"/>
      <c r="AC1273" s="41"/>
      <c r="AD1273" s="41"/>
      <c r="AE1273" s="41"/>
      <c r="AF1273" s="41"/>
      <c r="AG1273" s="41"/>
      <c r="AH1273" s="41"/>
      <c r="AI1273" s="41"/>
      <c r="AJ1273" s="41"/>
      <c r="AK1273" s="41"/>
      <c r="AL1273" s="41"/>
      <c r="AM1273" s="41"/>
      <c r="AN1273" s="41"/>
      <c r="AO1273" s="41"/>
      <c r="AP1273" s="41"/>
      <c r="AQ1273" s="41"/>
      <c r="AR1273" s="41"/>
      <c r="AS1273" s="41"/>
      <c r="AT1273" s="41"/>
      <c r="AU1273" s="41"/>
      <c r="AV1273" s="41"/>
      <c r="AW1273" s="41"/>
      <c r="AX1273" s="41"/>
      <c r="AY1273" s="41"/>
      <c r="AZ1273" s="41"/>
      <c r="BA1273" s="41"/>
      <c r="BB1273" s="41"/>
      <c r="BC1273" s="41"/>
      <c r="BD1273" s="41"/>
      <c r="BE1273" s="41"/>
      <c r="BF1273" s="41"/>
      <c r="BG1273" s="41"/>
      <c r="BH1273" s="41"/>
      <c r="BJ1273" s="41"/>
      <c r="BK1273" s="41"/>
      <c r="BL1273" s="41"/>
      <c r="BM1273" s="41"/>
      <c r="BN1273" s="41"/>
      <c r="BO1273" s="41"/>
      <c r="BP1273" s="41"/>
      <c r="BQ1273" s="41"/>
      <c r="BR1273" s="41"/>
      <c r="BS1273" s="41"/>
      <c r="BT1273" s="41"/>
      <c r="BU1273" s="41"/>
      <c r="BV1273" s="41"/>
      <c r="BW1273" s="41"/>
      <c r="BX1273" s="41"/>
      <c r="BY1273" s="41"/>
      <c r="BZ1273" s="41"/>
      <c r="CA1273" s="41"/>
      <c r="CB1273" s="41"/>
      <c r="CC1273" s="41"/>
      <c r="CD1273" s="41"/>
      <c r="CE1273" s="41"/>
      <c r="CF1273" s="41"/>
      <c r="CG1273" s="41"/>
      <c r="CH1273" s="41"/>
      <c r="CI1273" s="41"/>
      <c r="CJ1273" s="41"/>
      <c r="CK1273" s="41"/>
      <c r="CL1273" s="41"/>
      <c r="CM1273" s="41"/>
      <c r="CN1273" s="41"/>
      <c r="CO1273" s="41"/>
      <c r="CP1273" s="41"/>
      <c r="CQ1273" s="41"/>
      <c r="CR1273" s="41"/>
      <c r="CS1273" s="41"/>
      <c r="CT1273" s="41"/>
      <c r="CU1273" s="41"/>
      <c r="CV1273" s="41"/>
      <c r="CW1273" s="41"/>
      <c r="CX1273" s="41"/>
      <c r="CY1273" s="41"/>
      <c r="CZ1273" s="41"/>
      <c r="DA1273" s="41"/>
      <c r="DB1273" s="41"/>
      <c r="DC1273" s="41"/>
      <c r="DD1273" s="41"/>
      <c r="DE1273" s="41"/>
      <c r="DF1273" s="41"/>
      <c r="DG1273" s="41"/>
      <c r="DH1273" s="41"/>
      <c r="DI1273" s="41"/>
      <c r="DJ1273" s="41"/>
      <c r="DK1273" s="41"/>
      <c r="DL1273" s="41"/>
      <c r="DM1273" s="41"/>
      <c r="DN1273" s="41"/>
      <c r="DO1273" s="41"/>
      <c r="DP1273" s="41"/>
      <c r="DQ1273" s="41"/>
      <c r="DR1273" s="41"/>
      <c r="DS1273" s="43"/>
      <c r="DT1273" s="44">
        <f t="shared" ref="DT1273" si="1254">SUM(F1273:DR1273)</f>
        <v>1</v>
      </c>
    </row>
    <row r="1274" spans="2:124" s="13" customFormat="1">
      <c r="B1274" s="4">
        <f>'6.1Personnel List'!B1275</f>
        <v>1262</v>
      </c>
      <c r="C1274" s="45" t="s">
        <v>1490</v>
      </c>
      <c r="D1274" s="45" t="str">
        <f>'6.1Personnel List'!D1275</f>
        <v>Nursing Attendant I</v>
      </c>
      <c r="E1274" s="45" t="str">
        <f>'6.1Personnel List'!H1275</f>
        <v>FT</v>
      </c>
      <c r="G1274" s="41"/>
      <c r="H1274" s="41"/>
      <c r="I1274" s="41"/>
      <c r="J1274" s="41"/>
      <c r="K1274" s="41"/>
      <c r="L1274" s="41"/>
      <c r="M1274" s="41"/>
      <c r="N1274" s="41"/>
      <c r="O1274" s="41"/>
      <c r="P1274" s="41"/>
      <c r="Q1274" s="41"/>
      <c r="R1274" s="41"/>
      <c r="S1274" s="41"/>
      <c r="T1274" s="41"/>
      <c r="U1274" s="41"/>
      <c r="V1274" s="41"/>
      <c r="W1274" s="41"/>
      <c r="X1274" s="41"/>
      <c r="Y1274" s="41"/>
      <c r="Z1274" s="41"/>
      <c r="AA1274" s="41"/>
      <c r="AB1274" s="41"/>
      <c r="AC1274" s="41"/>
      <c r="AD1274" s="41"/>
      <c r="AE1274" s="41"/>
      <c r="AF1274" s="41"/>
      <c r="AG1274" s="41"/>
      <c r="AH1274" s="41"/>
      <c r="AI1274" s="41"/>
      <c r="AJ1274" s="41"/>
      <c r="AK1274" s="41"/>
      <c r="AL1274" s="41"/>
      <c r="AM1274" s="41"/>
      <c r="AN1274" s="41"/>
      <c r="AO1274" s="41"/>
      <c r="AP1274" s="41"/>
      <c r="AQ1274" s="41"/>
      <c r="AR1274" s="41"/>
      <c r="AS1274" s="41"/>
      <c r="AT1274" s="41"/>
      <c r="AU1274" s="41"/>
      <c r="AV1274" s="41"/>
      <c r="AW1274" s="41"/>
      <c r="AX1274" s="41"/>
      <c r="AY1274" s="41"/>
      <c r="AZ1274" s="41"/>
      <c r="BA1274" s="41"/>
      <c r="BB1274" s="41"/>
      <c r="BC1274" s="41"/>
      <c r="BD1274" s="41"/>
      <c r="BE1274" s="41"/>
      <c r="BF1274" s="41"/>
      <c r="BG1274" s="41"/>
      <c r="BH1274" s="41"/>
      <c r="BJ1274" s="41"/>
      <c r="BK1274" s="41"/>
      <c r="BL1274" s="41"/>
      <c r="BM1274" s="41"/>
      <c r="BN1274" s="41"/>
      <c r="BO1274" s="41"/>
      <c r="BP1274" s="41"/>
      <c r="BQ1274" s="41"/>
      <c r="BR1274" s="41"/>
      <c r="BS1274" s="41"/>
      <c r="BT1274" s="41"/>
      <c r="BU1274" s="41"/>
      <c r="BV1274" s="41">
        <v>0.2</v>
      </c>
      <c r="BW1274" s="41"/>
      <c r="BX1274" s="41"/>
      <c r="BY1274" s="41"/>
      <c r="BZ1274" s="41"/>
      <c r="CA1274" s="41"/>
      <c r="CB1274" s="41">
        <v>0.2</v>
      </c>
      <c r="CC1274" s="41"/>
      <c r="CD1274" s="41"/>
      <c r="CE1274" s="41">
        <v>0.2</v>
      </c>
      <c r="CF1274" s="41"/>
      <c r="CG1274" s="41"/>
      <c r="CH1274" s="41"/>
      <c r="CI1274" s="41"/>
      <c r="CJ1274" s="41"/>
      <c r="CK1274" s="41"/>
      <c r="CL1274" s="41">
        <v>0.4</v>
      </c>
      <c r="CM1274" s="41"/>
      <c r="CN1274" s="41"/>
      <c r="CO1274" s="41"/>
      <c r="CP1274" s="41"/>
      <c r="CQ1274" s="41"/>
      <c r="CR1274" s="41"/>
      <c r="CS1274" s="41"/>
      <c r="CT1274" s="41"/>
      <c r="CU1274" s="41"/>
      <c r="CV1274" s="41"/>
      <c r="CW1274" s="41"/>
      <c r="CX1274" s="41"/>
      <c r="CY1274" s="41"/>
      <c r="CZ1274" s="41"/>
      <c r="DA1274" s="41"/>
      <c r="DB1274" s="41"/>
      <c r="DC1274" s="41"/>
      <c r="DD1274" s="41"/>
      <c r="DE1274" s="41"/>
      <c r="DF1274" s="41"/>
      <c r="DG1274" s="41"/>
      <c r="DH1274" s="41"/>
      <c r="DI1274" s="41"/>
      <c r="DJ1274" s="41"/>
      <c r="DK1274" s="41"/>
      <c r="DL1274" s="41"/>
      <c r="DM1274" s="41"/>
      <c r="DN1274" s="41"/>
      <c r="DO1274" s="41"/>
      <c r="DP1274" s="41"/>
      <c r="DQ1274" s="41"/>
      <c r="DR1274" s="41"/>
      <c r="DS1274" s="43"/>
      <c r="DT1274" s="44">
        <f t="shared" ref="DT1274" si="1255">SUM(F1274:DR1274)</f>
        <v>1</v>
      </c>
    </row>
    <row r="1275" spans="2:124" s="13" customFormat="1">
      <c r="B1275" s="4">
        <f>'6.1Personnel List'!B1276</f>
        <v>1263</v>
      </c>
      <c r="C1275" s="45" t="s">
        <v>1492</v>
      </c>
      <c r="D1275" s="45" t="str">
        <f>'6.1Personnel List'!D1276</f>
        <v>Nursing Attendant I</v>
      </c>
      <c r="E1275" s="45" t="str">
        <f>'6.1Personnel List'!H1276</f>
        <v>FT</v>
      </c>
      <c r="G1275" s="41"/>
      <c r="H1275" s="41"/>
      <c r="I1275" s="41"/>
      <c r="J1275" s="41"/>
      <c r="K1275" s="41"/>
      <c r="L1275" s="41"/>
      <c r="M1275" s="41"/>
      <c r="N1275" s="41"/>
      <c r="O1275" s="41"/>
      <c r="P1275" s="41"/>
      <c r="Q1275" s="41"/>
      <c r="R1275" s="41"/>
      <c r="S1275" s="41"/>
      <c r="T1275" s="41"/>
      <c r="U1275" s="41"/>
      <c r="V1275" s="41"/>
      <c r="W1275" s="41"/>
      <c r="X1275" s="41"/>
      <c r="Y1275" s="41"/>
      <c r="Z1275" s="41"/>
      <c r="AA1275" s="41"/>
      <c r="AB1275" s="41"/>
      <c r="AC1275" s="41"/>
      <c r="AD1275" s="41"/>
      <c r="AE1275" s="41"/>
      <c r="AF1275" s="41"/>
      <c r="AG1275" s="41"/>
      <c r="AH1275" s="41"/>
      <c r="AI1275" s="41"/>
      <c r="AJ1275" s="41"/>
      <c r="AK1275" s="41"/>
      <c r="AL1275" s="41"/>
      <c r="AM1275" s="41"/>
      <c r="AN1275" s="41"/>
      <c r="AO1275" s="41"/>
      <c r="AP1275" s="41"/>
      <c r="AQ1275" s="41"/>
      <c r="AR1275" s="41"/>
      <c r="AS1275" s="41"/>
      <c r="AT1275" s="41"/>
      <c r="AU1275" s="41"/>
      <c r="AV1275" s="41"/>
      <c r="AW1275" s="41"/>
      <c r="AX1275" s="41"/>
      <c r="AY1275" s="41"/>
      <c r="AZ1275" s="41"/>
      <c r="BA1275" s="41"/>
      <c r="BB1275" s="41"/>
      <c r="BC1275" s="41"/>
      <c r="BD1275" s="41"/>
      <c r="BE1275" s="41"/>
      <c r="BF1275" s="41"/>
      <c r="BG1275" s="41"/>
      <c r="BH1275" s="41"/>
      <c r="BJ1275" s="41"/>
      <c r="BK1275" s="94"/>
      <c r="BL1275" s="94"/>
      <c r="BM1275" s="94"/>
      <c r="BN1275" s="94"/>
      <c r="BO1275" s="94"/>
      <c r="BP1275" s="94"/>
      <c r="BQ1275" s="94"/>
      <c r="BR1275" s="94"/>
      <c r="BS1275" s="94"/>
      <c r="BT1275" s="94"/>
      <c r="BU1275" s="94"/>
      <c r="BV1275" s="94"/>
      <c r="BW1275" s="94"/>
      <c r="BX1275" s="94"/>
      <c r="BY1275" s="94"/>
      <c r="BZ1275" s="94"/>
      <c r="CA1275" s="94"/>
      <c r="CB1275" s="94"/>
      <c r="CC1275" s="94"/>
      <c r="CD1275" s="94"/>
      <c r="CE1275" s="94"/>
      <c r="CF1275" s="94"/>
      <c r="CG1275" s="94"/>
      <c r="CH1275" s="94"/>
      <c r="CI1275" s="94"/>
      <c r="CJ1275" s="94"/>
      <c r="CK1275" s="94"/>
      <c r="CL1275" s="94"/>
      <c r="CM1275" s="94"/>
      <c r="CN1275" s="94"/>
      <c r="CO1275" s="94"/>
      <c r="CP1275" s="94"/>
      <c r="CQ1275" s="94"/>
      <c r="CR1275" s="94"/>
      <c r="CS1275" s="94"/>
      <c r="CT1275" s="94"/>
      <c r="CU1275" s="94"/>
      <c r="CV1275" s="94"/>
      <c r="CW1275" s="94"/>
      <c r="CX1275" s="94"/>
      <c r="CY1275" s="94"/>
      <c r="CZ1275" s="94"/>
      <c r="DA1275" s="94"/>
      <c r="DB1275" s="94"/>
      <c r="DC1275" s="94"/>
      <c r="DD1275" s="94"/>
      <c r="DE1275" s="94"/>
      <c r="DF1275" s="94"/>
      <c r="DG1275" s="94"/>
      <c r="DH1275" s="94"/>
      <c r="DI1275" s="94"/>
      <c r="DJ1275" s="94"/>
      <c r="DK1275" s="41"/>
      <c r="DL1275" s="41">
        <v>0.5</v>
      </c>
      <c r="DM1275" s="41"/>
      <c r="DN1275" s="41"/>
      <c r="DO1275" s="41"/>
      <c r="DP1275" s="41">
        <v>0.5</v>
      </c>
      <c r="DQ1275" s="41"/>
      <c r="DR1275" s="41"/>
      <c r="DS1275" s="43"/>
      <c r="DT1275" s="44">
        <f t="shared" ref="DT1275" si="1256">SUM(F1275:DR1275)</f>
        <v>1</v>
      </c>
    </row>
    <row r="1276" spans="2:124" s="13" customFormat="1">
      <c r="B1276" s="4">
        <f>'6.1Personnel List'!B1277</f>
        <v>1264</v>
      </c>
      <c r="C1276" s="45" t="s">
        <v>1493</v>
      </c>
      <c r="D1276" s="45" t="str">
        <f>'6.1Personnel List'!D1277</f>
        <v>Nursing Attendant I</v>
      </c>
      <c r="E1276" s="45" t="str">
        <f>'6.1Personnel List'!H1277</f>
        <v>FT</v>
      </c>
      <c r="G1276" s="41"/>
      <c r="H1276" s="41"/>
      <c r="I1276" s="41"/>
      <c r="J1276" s="41"/>
      <c r="K1276" s="41"/>
      <c r="L1276" s="41"/>
      <c r="M1276" s="41"/>
      <c r="N1276" s="41"/>
      <c r="O1276" s="41"/>
      <c r="P1276" s="41"/>
      <c r="Q1276" s="41"/>
      <c r="R1276" s="41"/>
      <c r="S1276" s="41"/>
      <c r="T1276" s="41"/>
      <c r="U1276" s="41"/>
      <c r="V1276" s="41"/>
      <c r="W1276" s="41"/>
      <c r="X1276" s="41"/>
      <c r="Y1276" s="41"/>
      <c r="Z1276" s="41"/>
      <c r="AA1276" s="41"/>
      <c r="AB1276" s="41"/>
      <c r="AC1276" s="41"/>
      <c r="AD1276" s="41"/>
      <c r="AE1276" s="41"/>
      <c r="AF1276" s="41"/>
      <c r="AG1276" s="41"/>
      <c r="AH1276" s="41"/>
      <c r="AI1276" s="41"/>
      <c r="AJ1276" s="41"/>
      <c r="AK1276" s="41"/>
      <c r="AL1276" s="41"/>
      <c r="AM1276" s="41"/>
      <c r="AN1276" s="41"/>
      <c r="AO1276" s="41"/>
      <c r="AP1276" s="41"/>
      <c r="AQ1276" s="41"/>
      <c r="AR1276" s="41"/>
      <c r="AS1276" s="41"/>
      <c r="AT1276" s="41"/>
      <c r="AU1276" s="41"/>
      <c r="AV1276" s="41"/>
      <c r="AW1276" s="41"/>
      <c r="AX1276" s="41"/>
      <c r="AY1276" s="41"/>
      <c r="AZ1276" s="41"/>
      <c r="BA1276" s="41"/>
      <c r="BB1276" s="41"/>
      <c r="BC1276" s="41"/>
      <c r="BD1276" s="41"/>
      <c r="BE1276" s="41"/>
      <c r="BF1276" s="41"/>
      <c r="BG1276" s="41"/>
      <c r="BH1276" s="41"/>
      <c r="BJ1276" s="41"/>
      <c r="BK1276" s="94"/>
      <c r="BL1276" s="94"/>
      <c r="BM1276" s="94"/>
      <c r="BN1276" s="94"/>
      <c r="BO1276" s="94"/>
      <c r="BP1276" s="94"/>
      <c r="BQ1276" s="94"/>
      <c r="BR1276" s="94"/>
      <c r="BS1276" s="94"/>
      <c r="BT1276" s="94"/>
      <c r="BU1276" s="94"/>
      <c r="BV1276" s="94"/>
      <c r="BW1276" s="94"/>
      <c r="BX1276" s="94"/>
      <c r="BY1276" s="94"/>
      <c r="BZ1276" s="94"/>
      <c r="CA1276" s="94"/>
      <c r="CB1276" s="94"/>
      <c r="CC1276" s="94"/>
      <c r="CD1276" s="94"/>
      <c r="CE1276" s="94"/>
      <c r="CF1276" s="94"/>
      <c r="CG1276" s="94"/>
      <c r="CH1276" s="94"/>
      <c r="CI1276" s="94"/>
      <c r="CJ1276" s="94"/>
      <c r="CK1276" s="94"/>
      <c r="CL1276" s="94"/>
      <c r="CM1276" s="94"/>
      <c r="CN1276" s="94"/>
      <c r="CO1276" s="94"/>
      <c r="CP1276" s="94"/>
      <c r="CQ1276" s="94"/>
      <c r="CR1276" s="94"/>
      <c r="CS1276" s="94"/>
      <c r="CT1276" s="94"/>
      <c r="CU1276" s="94"/>
      <c r="CV1276" s="94"/>
      <c r="CW1276" s="94"/>
      <c r="CX1276" s="94"/>
      <c r="CY1276" s="94"/>
      <c r="CZ1276" s="94"/>
      <c r="DA1276" s="94"/>
      <c r="DB1276" s="94"/>
      <c r="DC1276" s="94"/>
      <c r="DD1276" s="94"/>
      <c r="DE1276" s="94"/>
      <c r="DF1276" s="94"/>
      <c r="DG1276" s="94"/>
      <c r="DH1276" s="94"/>
      <c r="DI1276" s="94"/>
      <c r="DJ1276" s="94"/>
      <c r="DK1276" s="41"/>
      <c r="DL1276" s="41">
        <v>0.5</v>
      </c>
      <c r="DM1276" s="41"/>
      <c r="DN1276" s="41"/>
      <c r="DO1276" s="41"/>
      <c r="DP1276" s="41">
        <v>0.5</v>
      </c>
      <c r="DQ1276" s="41"/>
      <c r="DR1276" s="41"/>
      <c r="DS1276" s="43"/>
      <c r="DT1276" s="44">
        <f t="shared" ref="DT1276" si="1257">SUM(F1276:DR1276)</f>
        <v>1</v>
      </c>
    </row>
    <row r="1277" spans="2:124" s="13" customFormat="1">
      <c r="B1277" s="4">
        <f>'6.1Personnel List'!B1278</f>
        <v>1265</v>
      </c>
      <c r="C1277" s="45" t="s">
        <v>1494</v>
      </c>
      <c r="D1277" s="45" t="str">
        <f>'6.1Personnel List'!D1278</f>
        <v>Nursing Attendant I</v>
      </c>
      <c r="E1277" s="45" t="str">
        <f>'6.1Personnel List'!H1278</f>
        <v>FT</v>
      </c>
      <c r="G1277" s="41"/>
      <c r="H1277" s="41"/>
      <c r="I1277" s="41"/>
      <c r="J1277" s="41"/>
      <c r="K1277" s="41"/>
      <c r="L1277" s="41"/>
      <c r="M1277" s="41"/>
      <c r="N1277" s="41"/>
      <c r="O1277" s="41"/>
      <c r="P1277" s="41"/>
      <c r="Q1277" s="41"/>
      <c r="R1277" s="41"/>
      <c r="S1277" s="41"/>
      <c r="T1277" s="41"/>
      <c r="U1277" s="41"/>
      <c r="V1277" s="41"/>
      <c r="W1277" s="41"/>
      <c r="X1277" s="41"/>
      <c r="Y1277" s="41"/>
      <c r="Z1277" s="41"/>
      <c r="AA1277" s="41"/>
      <c r="AB1277" s="41"/>
      <c r="AC1277" s="41"/>
      <c r="AD1277" s="41"/>
      <c r="AE1277" s="41"/>
      <c r="AF1277" s="41"/>
      <c r="AG1277" s="41"/>
      <c r="AH1277" s="41"/>
      <c r="AI1277" s="41"/>
      <c r="AJ1277" s="41"/>
      <c r="AK1277" s="41"/>
      <c r="AL1277" s="41"/>
      <c r="AM1277" s="41"/>
      <c r="AN1277" s="41"/>
      <c r="AO1277" s="41"/>
      <c r="AP1277" s="41"/>
      <c r="AQ1277" s="41"/>
      <c r="AR1277" s="41"/>
      <c r="AS1277" s="41"/>
      <c r="AT1277" s="41"/>
      <c r="AU1277" s="41"/>
      <c r="AV1277" s="41"/>
      <c r="AW1277" s="41"/>
      <c r="AX1277" s="41"/>
      <c r="AY1277" s="41"/>
      <c r="AZ1277" s="41"/>
      <c r="BA1277" s="41"/>
      <c r="BB1277" s="41"/>
      <c r="BC1277" s="41"/>
      <c r="BD1277" s="41"/>
      <c r="BE1277" s="41"/>
      <c r="BF1277" s="41"/>
      <c r="BG1277" s="41"/>
      <c r="BH1277" s="41"/>
      <c r="BJ1277" s="41"/>
      <c r="BK1277" s="94"/>
      <c r="BL1277" s="94"/>
      <c r="BM1277" s="94"/>
      <c r="BN1277" s="94"/>
      <c r="BO1277" s="94"/>
      <c r="BP1277" s="94"/>
      <c r="BQ1277" s="94"/>
      <c r="BR1277" s="94"/>
      <c r="BS1277" s="94"/>
      <c r="BT1277" s="94"/>
      <c r="BU1277" s="94"/>
      <c r="BV1277" s="94"/>
      <c r="BW1277" s="94"/>
      <c r="BX1277" s="94"/>
      <c r="BY1277" s="94"/>
      <c r="BZ1277" s="94"/>
      <c r="CA1277" s="94"/>
      <c r="CB1277" s="94"/>
      <c r="CC1277" s="94"/>
      <c r="CD1277" s="94"/>
      <c r="CE1277" s="94"/>
      <c r="CF1277" s="94"/>
      <c r="CG1277" s="94"/>
      <c r="CH1277" s="94"/>
      <c r="CI1277" s="94"/>
      <c r="CJ1277" s="94"/>
      <c r="CK1277" s="94"/>
      <c r="CL1277" s="94"/>
      <c r="CM1277" s="94"/>
      <c r="CN1277" s="94"/>
      <c r="CO1277" s="94"/>
      <c r="CP1277" s="94"/>
      <c r="CQ1277" s="94"/>
      <c r="CR1277" s="94"/>
      <c r="CS1277" s="94"/>
      <c r="CT1277" s="94"/>
      <c r="CU1277" s="94"/>
      <c r="CV1277" s="94"/>
      <c r="CW1277" s="94"/>
      <c r="CX1277" s="94"/>
      <c r="CY1277" s="94"/>
      <c r="CZ1277" s="94"/>
      <c r="DA1277" s="94"/>
      <c r="DB1277" s="94"/>
      <c r="DC1277" s="94"/>
      <c r="DD1277" s="94"/>
      <c r="DE1277" s="94"/>
      <c r="DF1277" s="94"/>
      <c r="DG1277" s="94"/>
      <c r="DH1277" s="94"/>
      <c r="DI1277" s="94"/>
      <c r="DJ1277" s="94"/>
      <c r="DK1277" s="41"/>
      <c r="DL1277" s="41"/>
      <c r="DM1277" s="41">
        <v>1</v>
      </c>
      <c r="DN1277" s="41"/>
      <c r="DO1277" s="41"/>
      <c r="DP1277" s="41"/>
      <c r="DQ1277" s="41"/>
      <c r="DR1277" s="41"/>
      <c r="DS1277" s="43"/>
      <c r="DT1277" s="44">
        <f t="shared" ref="DT1277" si="1258">SUM(F1277:DR1277)</f>
        <v>1</v>
      </c>
    </row>
    <row r="1278" spans="2:124" s="13" customFormat="1">
      <c r="B1278" s="4">
        <f>'6.1Personnel List'!B1279</f>
        <v>1266</v>
      </c>
      <c r="C1278" s="45" t="s">
        <v>1495</v>
      </c>
      <c r="D1278" s="45" t="str">
        <f>'6.1Personnel List'!D1279</f>
        <v>Nursing Attendant I</v>
      </c>
      <c r="E1278" s="45" t="str">
        <f>'6.1Personnel List'!H1279</f>
        <v>FT</v>
      </c>
      <c r="G1278" s="41"/>
      <c r="H1278" s="41"/>
      <c r="I1278" s="41"/>
      <c r="J1278" s="41"/>
      <c r="K1278" s="41"/>
      <c r="L1278" s="41"/>
      <c r="M1278" s="41"/>
      <c r="N1278" s="41"/>
      <c r="O1278" s="41"/>
      <c r="P1278" s="41"/>
      <c r="Q1278" s="41"/>
      <c r="R1278" s="41"/>
      <c r="S1278" s="41"/>
      <c r="T1278" s="41"/>
      <c r="U1278" s="41"/>
      <c r="V1278" s="41"/>
      <c r="W1278" s="41"/>
      <c r="X1278" s="41"/>
      <c r="Y1278" s="41"/>
      <c r="Z1278" s="41"/>
      <c r="AA1278" s="41"/>
      <c r="AB1278" s="41"/>
      <c r="AC1278" s="41"/>
      <c r="AD1278" s="41"/>
      <c r="AE1278" s="41"/>
      <c r="AF1278" s="41"/>
      <c r="AG1278" s="41"/>
      <c r="AH1278" s="41"/>
      <c r="AI1278" s="41"/>
      <c r="AJ1278" s="41"/>
      <c r="AK1278" s="41"/>
      <c r="AL1278" s="41"/>
      <c r="AM1278" s="41"/>
      <c r="AN1278" s="41"/>
      <c r="AO1278" s="41"/>
      <c r="AP1278" s="41"/>
      <c r="AQ1278" s="41"/>
      <c r="AR1278" s="41"/>
      <c r="AS1278" s="41"/>
      <c r="AT1278" s="41"/>
      <c r="AU1278" s="41"/>
      <c r="AV1278" s="41"/>
      <c r="AW1278" s="41"/>
      <c r="AX1278" s="41"/>
      <c r="AY1278" s="41"/>
      <c r="AZ1278" s="41"/>
      <c r="BA1278" s="41"/>
      <c r="BB1278" s="41"/>
      <c r="BC1278" s="41"/>
      <c r="BD1278" s="41"/>
      <c r="BE1278" s="41"/>
      <c r="BF1278" s="41"/>
      <c r="BG1278" s="41"/>
      <c r="BH1278" s="41"/>
      <c r="BJ1278" s="41"/>
      <c r="BK1278" s="94"/>
      <c r="BL1278" s="94"/>
      <c r="BM1278" s="94"/>
      <c r="BN1278" s="94"/>
      <c r="BO1278" s="94"/>
      <c r="BP1278" s="94"/>
      <c r="BQ1278" s="94"/>
      <c r="BR1278" s="94"/>
      <c r="BS1278" s="94"/>
      <c r="BT1278" s="94"/>
      <c r="BU1278" s="94"/>
      <c r="BV1278" s="94"/>
      <c r="BW1278" s="94"/>
      <c r="BX1278" s="94"/>
      <c r="BY1278" s="94"/>
      <c r="BZ1278" s="94"/>
      <c r="CA1278" s="94"/>
      <c r="CB1278" s="94"/>
      <c r="CC1278" s="94"/>
      <c r="CD1278" s="94"/>
      <c r="CE1278" s="94"/>
      <c r="CF1278" s="94"/>
      <c r="CG1278" s="94"/>
      <c r="CH1278" s="94"/>
      <c r="CI1278" s="94"/>
      <c r="CJ1278" s="94"/>
      <c r="CK1278" s="94"/>
      <c r="CL1278" s="94"/>
      <c r="CM1278" s="94"/>
      <c r="CN1278" s="94"/>
      <c r="CO1278" s="94"/>
      <c r="CP1278" s="94">
        <v>1</v>
      </c>
      <c r="CQ1278" s="94"/>
      <c r="CR1278" s="94"/>
      <c r="CS1278" s="94"/>
      <c r="CT1278" s="94"/>
      <c r="CU1278" s="94"/>
      <c r="CV1278" s="94"/>
      <c r="CW1278" s="94"/>
      <c r="CX1278" s="94"/>
      <c r="CY1278" s="94"/>
      <c r="CZ1278" s="94"/>
      <c r="DA1278" s="94"/>
      <c r="DB1278" s="94"/>
      <c r="DC1278" s="94"/>
      <c r="DD1278" s="94"/>
      <c r="DE1278" s="94"/>
      <c r="DF1278" s="94"/>
      <c r="DG1278" s="94"/>
      <c r="DH1278" s="94"/>
      <c r="DI1278" s="94"/>
      <c r="DJ1278" s="94"/>
      <c r="DK1278" s="41"/>
      <c r="DL1278" s="41"/>
      <c r="DM1278" s="41"/>
      <c r="DN1278" s="41"/>
      <c r="DO1278" s="41"/>
      <c r="DP1278" s="41"/>
      <c r="DQ1278" s="41"/>
      <c r="DR1278" s="41"/>
      <c r="DS1278" s="43"/>
      <c r="DT1278" s="44">
        <f t="shared" ref="DT1278" si="1259">SUM(F1278:DR1278)</f>
        <v>1</v>
      </c>
    </row>
    <row r="1279" spans="2:124" s="13" customFormat="1">
      <c r="B1279" s="4">
        <f>'6.1Personnel List'!B1280</f>
        <v>1267</v>
      </c>
      <c r="C1279" s="45" t="s">
        <v>1496</v>
      </c>
      <c r="D1279" s="45" t="str">
        <f>'6.1Personnel List'!D1280</f>
        <v>Nursing Attendant I</v>
      </c>
      <c r="E1279" s="45" t="str">
        <f>'6.1Personnel List'!H1280</f>
        <v>FT</v>
      </c>
      <c r="G1279" s="41"/>
      <c r="H1279" s="41"/>
      <c r="I1279" s="41"/>
      <c r="J1279" s="41"/>
      <c r="K1279" s="41"/>
      <c r="L1279" s="41"/>
      <c r="M1279" s="41"/>
      <c r="N1279" s="41"/>
      <c r="O1279" s="41"/>
      <c r="P1279" s="41"/>
      <c r="Q1279" s="41"/>
      <c r="R1279" s="41"/>
      <c r="S1279" s="41"/>
      <c r="T1279" s="41"/>
      <c r="U1279" s="41"/>
      <c r="V1279" s="41"/>
      <c r="W1279" s="41"/>
      <c r="X1279" s="41"/>
      <c r="Y1279" s="41"/>
      <c r="Z1279" s="41"/>
      <c r="AA1279" s="41"/>
      <c r="AB1279" s="41"/>
      <c r="AC1279" s="41"/>
      <c r="AD1279" s="41"/>
      <c r="AE1279" s="41"/>
      <c r="AF1279" s="41"/>
      <c r="AG1279" s="41"/>
      <c r="AH1279" s="41"/>
      <c r="AI1279" s="41"/>
      <c r="AJ1279" s="41"/>
      <c r="AK1279" s="41"/>
      <c r="AL1279" s="41"/>
      <c r="AM1279" s="41"/>
      <c r="AN1279" s="41"/>
      <c r="AO1279" s="41"/>
      <c r="AP1279" s="41"/>
      <c r="AQ1279" s="41"/>
      <c r="AR1279" s="41"/>
      <c r="AS1279" s="41"/>
      <c r="AT1279" s="41"/>
      <c r="AU1279" s="41"/>
      <c r="AV1279" s="41"/>
      <c r="AW1279" s="41"/>
      <c r="AX1279" s="41"/>
      <c r="AY1279" s="41"/>
      <c r="AZ1279" s="41"/>
      <c r="BA1279" s="41"/>
      <c r="BB1279" s="41"/>
      <c r="BC1279" s="41"/>
      <c r="BD1279" s="41"/>
      <c r="BE1279" s="41"/>
      <c r="BF1279" s="41"/>
      <c r="BG1279" s="41"/>
      <c r="BH1279" s="41"/>
      <c r="BJ1279" s="41"/>
      <c r="BK1279" s="94"/>
      <c r="BL1279" s="94"/>
      <c r="BM1279" s="94"/>
      <c r="BN1279" s="94"/>
      <c r="BO1279" s="94"/>
      <c r="BP1279" s="94"/>
      <c r="BQ1279" s="94"/>
      <c r="BR1279" s="94"/>
      <c r="BS1279" s="94"/>
      <c r="BT1279" s="94"/>
      <c r="BU1279" s="94"/>
      <c r="BV1279" s="94"/>
      <c r="BW1279" s="94"/>
      <c r="BX1279" s="94"/>
      <c r="BY1279" s="94"/>
      <c r="BZ1279" s="94"/>
      <c r="CA1279" s="94"/>
      <c r="CB1279" s="94"/>
      <c r="CC1279" s="94"/>
      <c r="CD1279" s="94"/>
      <c r="CE1279" s="94"/>
      <c r="CF1279" s="94"/>
      <c r="CG1279" s="94"/>
      <c r="CH1279" s="94"/>
      <c r="CI1279" s="94"/>
      <c r="CJ1279" s="94"/>
      <c r="CK1279" s="94"/>
      <c r="CL1279" s="94"/>
      <c r="CM1279" s="94"/>
      <c r="CN1279" s="94"/>
      <c r="CO1279" s="94"/>
      <c r="CP1279" s="94"/>
      <c r="CQ1279" s="94"/>
      <c r="CR1279" s="94"/>
      <c r="CS1279" s="94"/>
      <c r="CT1279" s="94"/>
      <c r="CU1279" s="94"/>
      <c r="CV1279" s="94"/>
      <c r="CW1279" s="94"/>
      <c r="CX1279" s="94"/>
      <c r="CY1279" s="94"/>
      <c r="CZ1279" s="94"/>
      <c r="DA1279" s="94"/>
      <c r="DB1279" s="94"/>
      <c r="DC1279" s="94"/>
      <c r="DD1279" s="94"/>
      <c r="DE1279" s="94"/>
      <c r="DF1279" s="94"/>
      <c r="DG1279" s="94"/>
      <c r="DH1279" s="94"/>
      <c r="DI1279" s="94"/>
      <c r="DJ1279" s="94"/>
      <c r="DK1279" s="41">
        <v>1</v>
      </c>
      <c r="DL1279" s="41"/>
      <c r="DM1279" s="41"/>
      <c r="DN1279" s="41"/>
      <c r="DO1279" s="41"/>
      <c r="DP1279" s="41"/>
      <c r="DQ1279" s="41"/>
      <c r="DR1279" s="41"/>
      <c r="DS1279" s="43"/>
      <c r="DT1279" s="44">
        <f t="shared" ref="DT1279" si="1260">SUM(F1279:DR1279)</f>
        <v>1</v>
      </c>
    </row>
    <row r="1280" spans="2:124" s="13" customFormat="1">
      <c r="B1280" s="4">
        <f>'6.1Personnel List'!B1281</f>
        <v>1268</v>
      </c>
      <c r="C1280" s="45" t="s">
        <v>1497</v>
      </c>
      <c r="D1280" s="45" t="str">
        <f>'6.1Personnel List'!D1281</f>
        <v>Nursing Attendant I</v>
      </c>
      <c r="E1280" s="45" t="str">
        <f>'6.1Personnel List'!H1281</f>
        <v>FT</v>
      </c>
      <c r="G1280" s="41"/>
      <c r="H1280" s="41"/>
      <c r="I1280" s="41"/>
      <c r="J1280" s="41"/>
      <c r="K1280" s="41"/>
      <c r="L1280" s="41"/>
      <c r="M1280" s="41"/>
      <c r="N1280" s="41"/>
      <c r="O1280" s="41"/>
      <c r="P1280" s="41"/>
      <c r="Q1280" s="41"/>
      <c r="R1280" s="41"/>
      <c r="S1280" s="41"/>
      <c r="T1280" s="41"/>
      <c r="U1280" s="41"/>
      <c r="V1280" s="41"/>
      <c r="W1280" s="41"/>
      <c r="X1280" s="41"/>
      <c r="Y1280" s="41"/>
      <c r="Z1280" s="41"/>
      <c r="AA1280" s="41"/>
      <c r="AB1280" s="41"/>
      <c r="AC1280" s="41"/>
      <c r="AD1280" s="41"/>
      <c r="AE1280" s="41"/>
      <c r="AF1280" s="41"/>
      <c r="AG1280" s="41"/>
      <c r="AH1280" s="41"/>
      <c r="AI1280" s="41"/>
      <c r="AJ1280" s="41"/>
      <c r="AK1280" s="41"/>
      <c r="AL1280" s="41"/>
      <c r="AM1280" s="41"/>
      <c r="AN1280" s="41"/>
      <c r="AO1280" s="41"/>
      <c r="AP1280" s="41"/>
      <c r="AQ1280" s="41"/>
      <c r="AR1280" s="41"/>
      <c r="AS1280" s="41"/>
      <c r="AT1280" s="41"/>
      <c r="AU1280" s="41"/>
      <c r="AV1280" s="41"/>
      <c r="AW1280" s="41"/>
      <c r="AX1280" s="41"/>
      <c r="AY1280" s="41"/>
      <c r="AZ1280" s="41"/>
      <c r="BA1280" s="41"/>
      <c r="BB1280" s="41"/>
      <c r="BC1280" s="41"/>
      <c r="BD1280" s="41"/>
      <c r="BE1280" s="41"/>
      <c r="BF1280" s="41"/>
      <c r="BG1280" s="41"/>
      <c r="BH1280" s="41"/>
      <c r="BJ1280" s="41"/>
      <c r="BK1280" s="94"/>
      <c r="BL1280" s="94"/>
      <c r="BM1280" s="94"/>
      <c r="BN1280" s="94"/>
      <c r="BO1280" s="94"/>
      <c r="BP1280" s="94"/>
      <c r="BQ1280" s="94"/>
      <c r="BR1280" s="94"/>
      <c r="BS1280" s="94"/>
      <c r="BT1280" s="94"/>
      <c r="BU1280" s="94"/>
      <c r="BV1280" s="94"/>
      <c r="BW1280" s="94"/>
      <c r="BX1280" s="94"/>
      <c r="BY1280" s="94"/>
      <c r="BZ1280" s="94"/>
      <c r="CA1280" s="94"/>
      <c r="CB1280" s="94"/>
      <c r="CC1280" s="94"/>
      <c r="CD1280" s="94"/>
      <c r="CE1280" s="94"/>
      <c r="CF1280" s="94"/>
      <c r="CG1280" s="94"/>
      <c r="CH1280" s="94"/>
      <c r="CI1280" s="94"/>
      <c r="CJ1280" s="94"/>
      <c r="CK1280" s="94"/>
      <c r="CL1280" s="94"/>
      <c r="CM1280" s="94"/>
      <c r="CN1280" s="94"/>
      <c r="CO1280" s="94"/>
      <c r="CP1280" s="94"/>
      <c r="CQ1280" s="94"/>
      <c r="CR1280" s="94"/>
      <c r="CS1280" s="94"/>
      <c r="CT1280" s="94"/>
      <c r="CU1280" s="94"/>
      <c r="CV1280" s="94"/>
      <c r="CW1280" s="94"/>
      <c r="CX1280" s="94"/>
      <c r="CY1280" s="94"/>
      <c r="CZ1280" s="94"/>
      <c r="DA1280" s="94"/>
      <c r="DB1280" s="94"/>
      <c r="DC1280" s="94"/>
      <c r="DD1280" s="94"/>
      <c r="DE1280" s="94"/>
      <c r="DF1280" s="94"/>
      <c r="DG1280" s="94"/>
      <c r="DH1280" s="94"/>
      <c r="DI1280" s="94"/>
      <c r="DJ1280" s="94"/>
      <c r="DK1280" s="41"/>
      <c r="DL1280" s="41">
        <v>1</v>
      </c>
      <c r="DM1280" s="41"/>
      <c r="DN1280" s="41"/>
      <c r="DO1280" s="41"/>
      <c r="DP1280" s="41"/>
      <c r="DQ1280" s="41"/>
      <c r="DR1280" s="41"/>
      <c r="DS1280" s="43"/>
      <c r="DT1280" s="44">
        <f t="shared" ref="DT1280" si="1261">SUM(F1280:DR1280)</f>
        <v>1</v>
      </c>
    </row>
    <row r="1281" spans="2:124" s="13" customFormat="1">
      <c r="B1281" s="4">
        <f>'6.1Personnel List'!B1282</f>
        <v>1269</v>
      </c>
      <c r="C1281" s="45" t="s">
        <v>1498</v>
      </c>
      <c r="D1281" s="45" t="str">
        <f>'6.1Personnel List'!D1282</f>
        <v>Nursing Attendant I</v>
      </c>
      <c r="E1281" s="45" t="str">
        <f>'6.1Personnel List'!H1282</f>
        <v>FT</v>
      </c>
      <c r="G1281" s="41"/>
      <c r="H1281" s="41"/>
      <c r="I1281" s="41"/>
      <c r="J1281" s="41"/>
      <c r="K1281" s="41"/>
      <c r="L1281" s="41"/>
      <c r="M1281" s="41"/>
      <c r="N1281" s="41"/>
      <c r="O1281" s="41"/>
      <c r="P1281" s="41"/>
      <c r="Q1281" s="41"/>
      <c r="R1281" s="41"/>
      <c r="S1281" s="41"/>
      <c r="T1281" s="41"/>
      <c r="U1281" s="41"/>
      <c r="V1281" s="41"/>
      <c r="W1281" s="41"/>
      <c r="X1281" s="41"/>
      <c r="Y1281" s="41"/>
      <c r="Z1281" s="41"/>
      <c r="AA1281" s="41"/>
      <c r="AB1281" s="41"/>
      <c r="AC1281" s="41"/>
      <c r="AD1281" s="41"/>
      <c r="AE1281" s="41"/>
      <c r="AF1281" s="41"/>
      <c r="AG1281" s="41"/>
      <c r="AH1281" s="41"/>
      <c r="AI1281" s="41"/>
      <c r="AJ1281" s="41"/>
      <c r="AK1281" s="41"/>
      <c r="AL1281" s="41"/>
      <c r="AM1281" s="41"/>
      <c r="AN1281" s="41"/>
      <c r="AO1281" s="41"/>
      <c r="AP1281" s="41"/>
      <c r="AQ1281" s="41"/>
      <c r="AR1281" s="41"/>
      <c r="AS1281" s="41"/>
      <c r="AT1281" s="41"/>
      <c r="AU1281" s="41"/>
      <c r="AV1281" s="41"/>
      <c r="AW1281" s="41"/>
      <c r="AX1281" s="41"/>
      <c r="AY1281" s="41"/>
      <c r="AZ1281" s="41"/>
      <c r="BA1281" s="41"/>
      <c r="BB1281" s="41"/>
      <c r="BC1281" s="41"/>
      <c r="BD1281" s="41"/>
      <c r="BE1281" s="41"/>
      <c r="BF1281" s="41"/>
      <c r="BG1281" s="41"/>
      <c r="BH1281" s="41"/>
      <c r="BJ1281" s="41"/>
      <c r="BK1281" s="94"/>
      <c r="BL1281" s="94"/>
      <c r="BM1281" s="94"/>
      <c r="BN1281" s="94"/>
      <c r="BO1281" s="94"/>
      <c r="BP1281" s="94"/>
      <c r="BQ1281" s="94"/>
      <c r="BR1281" s="94"/>
      <c r="BS1281" s="94"/>
      <c r="BT1281" s="94"/>
      <c r="BU1281" s="94"/>
      <c r="BV1281" s="94"/>
      <c r="BW1281" s="94"/>
      <c r="BX1281" s="94"/>
      <c r="BY1281" s="94"/>
      <c r="BZ1281" s="94"/>
      <c r="CA1281" s="94"/>
      <c r="CB1281" s="94"/>
      <c r="CC1281" s="94"/>
      <c r="CD1281" s="94"/>
      <c r="CE1281" s="94"/>
      <c r="CF1281" s="94"/>
      <c r="CG1281" s="94"/>
      <c r="CH1281" s="94"/>
      <c r="CI1281" s="94"/>
      <c r="CJ1281" s="94"/>
      <c r="CK1281" s="94"/>
      <c r="CL1281" s="94"/>
      <c r="CM1281" s="94"/>
      <c r="CN1281" s="94">
        <v>1</v>
      </c>
      <c r="CO1281" s="94"/>
      <c r="CP1281" s="94"/>
      <c r="CQ1281" s="94"/>
      <c r="CR1281" s="94"/>
      <c r="CS1281" s="94"/>
      <c r="CT1281" s="94"/>
      <c r="CU1281" s="94"/>
      <c r="CV1281" s="94"/>
      <c r="CW1281" s="94"/>
      <c r="CX1281" s="94"/>
      <c r="CY1281" s="94"/>
      <c r="CZ1281" s="94"/>
      <c r="DA1281" s="94"/>
      <c r="DB1281" s="94"/>
      <c r="DC1281" s="94"/>
      <c r="DD1281" s="94"/>
      <c r="DE1281" s="94"/>
      <c r="DF1281" s="94"/>
      <c r="DG1281" s="94"/>
      <c r="DH1281" s="94"/>
      <c r="DI1281" s="94"/>
      <c r="DJ1281" s="94"/>
      <c r="DK1281" s="41"/>
      <c r="DL1281" s="41"/>
      <c r="DM1281" s="41"/>
      <c r="DN1281" s="41"/>
      <c r="DO1281" s="41"/>
      <c r="DP1281" s="41"/>
      <c r="DQ1281" s="41"/>
      <c r="DR1281" s="41"/>
      <c r="DS1281" s="43"/>
      <c r="DT1281" s="44">
        <f t="shared" ref="DT1281" si="1262">SUM(F1281:DR1281)</f>
        <v>1</v>
      </c>
    </row>
    <row r="1282" spans="2:124" s="13" customFormat="1">
      <c r="B1282" s="4">
        <f>'6.1Personnel List'!B1283</f>
        <v>1270</v>
      </c>
      <c r="C1282" s="45" t="s">
        <v>1499</v>
      </c>
      <c r="D1282" s="45" t="str">
        <f>'6.1Personnel List'!D1283</f>
        <v>Nursing Attendant I</v>
      </c>
      <c r="E1282" s="45" t="str">
        <f>'6.1Personnel List'!H1283</f>
        <v>FT</v>
      </c>
      <c r="G1282" s="41"/>
      <c r="H1282" s="41"/>
      <c r="I1282" s="41"/>
      <c r="J1282" s="41"/>
      <c r="K1282" s="41"/>
      <c r="L1282" s="41"/>
      <c r="M1282" s="41"/>
      <c r="N1282" s="41"/>
      <c r="O1282" s="41"/>
      <c r="P1282" s="41"/>
      <c r="Q1282" s="41"/>
      <c r="R1282" s="41"/>
      <c r="S1282" s="41"/>
      <c r="T1282" s="41"/>
      <c r="U1282" s="41"/>
      <c r="V1282" s="41"/>
      <c r="W1282" s="41"/>
      <c r="X1282" s="41"/>
      <c r="Y1282" s="41"/>
      <c r="Z1282" s="41"/>
      <c r="AA1282" s="41"/>
      <c r="AB1282" s="41"/>
      <c r="AC1282" s="41"/>
      <c r="AD1282" s="41"/>
      <c r="AE1282" s="41"/>
      <c r="AF1282" s="41"/>
      <c r="AG1282" s="41"/>
      <c r="AH1282" s="41"/>
      <c r="AI1282" s="41"/>
      <c r="AJ1282" s="41"/>
      <c r="AK1282" s="41"/>
      <c r="AL1282" s="41"/>
      <c r="AM1282" s="41"/>
      <c r="AN1282" s="41"/>
      <c r="AO1282" s="41"/>
      <c r="AP1282" s="41"/>
      <c r="AQ1282" s="41"/>
      <c r="AR1282" s="41"/>
      <c r="AS1282" s="41"/>
      <c r="AT1282" s="41"/>
      <c r="AU1282" s="41"/>
      <c r="AV1282" s="41"/>
      <c r="AW1282" s="41"/>
      <c r="AX1282" s="41"/>
      <c r="AY1282" s="41"/>
      <c r="AZ1282" s="41"/>
      <c r="BA1282" s="41"/>
      <c r="BB1282" s="41"/>
      <c r="BC1282" s="41"/>
      <c r="BD1282" s="41"/>
      <c r="BE1282" s="41"/>
      <c r="BF1282" s="41"/>
      <c r="BG1282" s="41"/>
      <c r="BH1282" s="41"/>
      <c r="BJ1282" s="41"/>
      <c r="BK1282" s="94"/>
      <c r="BL1282" s="94"/>
      <c r="BM1282" s="94"/>
      <c r="BN1282" s="94"/>
      <c r="BO1282" s="94"/>
      <c r="BP1282" s="94"/>
      <c r="BQ1282" s="94"/>
      <c r="BR1282" s="94"/>
      <c r="BS1282" s="94"/>
      <c r="BT1282" s="94"/>
      <c r="BU1282" s="94"/>
      <c r="BV1282" s="94"/>
      <c r="BW1282" s="94"/>
      <c r="BX1282" s="94"/>
      <c r="BY1282" s="94"/>
      <c r="BZ1282" s="94"/>
      <c r="CA1282" s="94"/>
      <c r="CB1282" s="94"/>
      <c r="CC1282" s="94"/>
      <c r="CD1282" s="94"/>
      <c r="CE1282" s="94"/>
      <c r="CF1282" s="94"/>
      <c r="CG1282" s="94"/>
      <c r="CH1282" s="94"/>
      <c r="CI1282" s="94"/>
      <c r="CJ1282" s="94"/>
      <c r="CK1282" s="94"/>
      <c r="CL1282" s="94"/>
      <c r="CM1282" s="94"/>
      <c r="CN1282" s="94"/>
      <c r="CO1282" s="94"/>
      <c r="CP1282" s="94"/>
      <c r="CQ1282" s="94"/>
      <c r="CR1282" s="94"/>
      <c r="CS1282" s="94"/>
      <c r="CT1282" s="94"/>
      <c r="CU1282" s="94"/>
      <c r="CV1282" s="94"/>
      <c r="CW1282" s="94"/>
      <c r="CX1282" s="94"/>
      <c r="CY1282" s="94"/>
      <c r="CZ1282" s="94"/>
      <c r="DA1282" s="94"/>
      <c r="DB1282" s="94"/>
      <c r="DC1282" s="94"/>
      <c r="DD1282" s="94"/>
      <c r="DE1282" s="94"/>
      <c r="DF1282" s="94"/>
      <c r="DG1282" s="94"/>
      <c r="DH1282" s="94"/>
      <c r="DI1282" s="94"/>
      <c r="DJ1282" s="94"/>
      <c r="DK1282" s="41">
        <v>1</v>
      </c>
      <c r="DL1282" s="41"/>
      <c r="DM1282" s="41"/>
      <c r="DN1282" s="41"/>
      <c r="DO1282" s="41"/>
      <c r="DP1282" s="41"/>
      <c r="DQ1282" s="41"/>
      <c r="DR1282" s="41"/>
      <c r="DS1282" s="43"/>
      <c r="DT1282" s="44">
        <f t="shared" ref="DT1282" si="1263">SUM(F1282:DR1282)</f>
        <v>1</v>
      </c>
    </row>
    <row r="1283" spans="2:124" s="13" customFormat="1">
      <c r="B1283" s="4">
        <f>'6.1Personnel List'!B1284</f>
        <v>1271</v>
      </c>
      <c r="C1283" s="45" t="s">
        <v>1500</v>
      </c>
      <c r="D1283" s="45" t="str">
        <f>'6.1Personnel List'!D1284</f>
        <v>Nursing Attendant I</v>
      </c>
      <c r="E1283" s="45" t="str">
        <f>'6.1Personnel List'!H1284</f>
        <v>FT</v>
      </c>
      <c r="G1283" s="41"/>
      <c r="H1283" s="41"/>
      <c r="I1283" s="41"/>
      <c r="J1283" s="41"/>
      <c r="K1283" s="41"/>
      <c r="L1283" s="41"/>
      <c r="M1283" s="41"/>
      <c r="N1283" s="41"/>
      <c r="O1283" s="41"/>
      <c r="P1283" s="41"/>
      <c r="Q1283" s="41"/>
      <c r="R1283" s="41"/>
      <c r="S1283" s="41"/>
      <c r="T1283" s="41"/>
      <c r="U1283" s="41"/>
      <c r="V1283" s="41"/>
      <c r="W1283" s="41"/>
      <c r="X1283" s="41"/>
      <c r="Y1283" s="41"/>
      <c r="Z1283" s="41"/>
      <c r="AA1283" s="41"/>
      <c r="AB1283" s="41"/>
      <c r="AC1283" s="41"/>
      <c r="AD1283" s="41"/>
      <c r="AE1283" s="41"/>
      <c r="AF1283" s="41"/>
      <c r="AG1283" s="41"/>
      <c r="AH1283" s="41"/>
      <c r="AI1283" s="41"/>
      <c r="AJ1283" s="41"/>
      <c r="AK1283" s="41"/>
      <c r="AL1283" s="41"/>
      <c r="AM1283" s="41"/>
      <c r="AN1283" s="41"/>
      <c r="AO1283" s="41"/>
      <c r="AP1283" s="41"/>
      <c r="AQ1283" s="41"/>
      <c r="AR1283" s="41"/>
      <c r="AS1283" s="41"/>
      <c r="AT1283" s="41"/>
      <c r="AU1283" s="41"/>
      <c r="AV1283" s="41"/>
      <c r="AW1283" s="41"/>
      <c r="AX1283" s="41"/>
      <c r="AY1283" s="41"/>
      <c r="AZ1283" s="41"/>
      <c r="BA1283" s="41"/>
      <c r="BB1283" s="41"/>
      <c r="BC1283" s="41"/>
      <c r="BD1283" s="41"/>
      <c r="BE1283" s="41"/>
      <c r="BF1283" s="41"/>
      <c r="BG1283" s="41"/>
      <c r="BH1283" s="41"/>
      <c r="BJ1283" s="41"/>
      <c r="BK1283" s="94"/>
      <c r="BL1283" s="94"/>
      <c r="BM1283" s="94"/>
      <c r="BN1283" s="94"/>
      <c r="BO1283" s="94"/>
      <c r="BP1283" s="94"/>
      <c r="BQ1283" s="94"/>
      <c r="BR1283" s="94"/>
      <c r="BS1283" s="94"/>
      <c r="BT1283" s="94"/>
      <c r="BU1283" s="94"/>
      <c r="BV1283" s="94"/>
      <c r="BW1283" s="94"/>
      <c r="BX1283" s="94"/>
      <c r="BY1283" s="94"/>
      <c r="BZ1283" s="94"/>
      <c r="CA1283" s="94"/>
      <c r="CB1283" s="94"/>
      <c r="CC1283" s="94"/>
      <c r="CD1283" s="94"/>
      <c r="CE1283" s="94"/>
      <c r="CF1283" s="94"/>
      <c r="CG1283" s="94"/>
      <c r="CH1283" s="94"/>
      <c r="CI1283" s="94"/>
      <c r="CJ1283" s="94"/>
      <c r="CK1283" s="94"/>
      <c r="CL1283" s="94"/>
      <c r="CM1283" s="94"/>
      <c r="CN1283" s="94"/>
      <c r="CO1283" s="94"/>
      <c r="CP1283" s="94"/>
      <c r="CQ1283" s="94"/>
      <c r="CR1283" s="94"/>
      <c r="CS1283" s="94"/>
      <c r="CT1283" s="94"/>
      <c r="CU1283" s="94"/>
      <c r="CV1283" s="94"/>
      <c r="CW1283" s="94"/>
      <c r="CX1283" s="94"/>
      <c r="CY1283" s="94"/>
      <c r="CZ1283" s="94"/>
      <c r="DA1283" s="94"/>
      <c r="DB1283" s="94"/>
      <c r="DC1283" s="94"/>
      <c r="DD1283" s="94"/>
      <c r="DE1283" s="94"/>
      <c r="DF1283" s="94"/>
      <c r="DG1283" s="94"/>
      <c r="DH1283" s="94"/>
      <c r="DI1283" s="94"/>
      <c r="DJ1283" s="94"/>
      <c r="DK1283" s="41"/>
      <c r="DL1283" s="41"/>
      <c r="DM1283" s="41"/>
      <c r="DN1283" s="41"/>
      <c r="DO1283" s="41"/>
      <c r="DP1283" s="41">
        <v>1</v>
      </c>
      <c r="DQ1283" s="41"/>
      <c r="DR1283" s="41"/>
      <c r="DS1283" s="43"/>
      <c r="DT1283" s="44">
        <f t="shared" ref="DT1283" si="1264">SUM(F1283:DR1283)</f>
        <v>1</v>
      </c>
    </row>
    <row r="1284" spans="2:124" s="13" customFormat="1">
      <c r="B1284" s="4">
        <f>'6.1Personnel List'!B1285</f>
        <v>1272</v>
      </c>
      <c r="C1284" s="45" t="s">
        <v>1501</v>
      </c>
      <c r="D1284" s="45" t="str">
        <f>'6.1Personnel List'!D1285</f>
        <v>Nursing Attendant I</v>
      </c>
      <c r="E1284" s="45" t="str">
        <f>'6.1Personnel List'!H1285</f>
        <v>FT</v>
      </c>
      <c r="G1284" s="41"/>
      <c r="H1284" s="41"/>
      <c r="I1284" s="41"/>
      <c r="J1284" s="41"/>
      <c r="K1284" s="41"/>
      <c r="L1284" s="41"/>
      <c r="M1284" s="41"/>
      <c r="N1284" s="41"/>
      <c r="O1284" s="41"/>
      <c r="P1284" s="41"/>
      <c r="Q1284" s="41"/>
      <c r="R1284" s="41"/>
      <c r="S1284" s="41"/>
      <c r="T1284" s="41"/>
      <c r="U1284" s="41"/>
      <c r="V1284" s="41"/>
      <c r="W1284" s="41"/>
      <c r="X1284" s="41"/>
      <c r="Y1284" s="41"/>
      <c r="Z1284" s="41"/>
      <c r="AA1284" s="41"/>
      <c r="AB1284" s="41"/>
      <c r="AC1284" s="41"/>
      <c r="AD1284" s="41"/>
      <c r="AE1284" s="41"/>
      <c r="AF1284" s="41"/>
      <c r="AG1284" s="41"/>
      <c r="AH1284" s="41"/>
      <c r="AI1284" s="41"/>
      <c r="AJ1284" s="41"/>
      <c r="AK1284" s="41"/>
      <c r="AL1284" s="41"/>
      <c r="AM1284" s="41"/>
      <c r="AN1284" s="41"/>
      <c r="AO1284" s="41"/>
      <c r="AP1284" s="41"/>
      <c r="AQ1284" s="41"/>
      <c r="AR1284" s="41"/>
      <c r="AS1284" s="41"/>
      <c r="AT1284" s="41"/>
      <c r="AU1284" s="41"/>
      <c r="AV1284" s="41"/>
      <c r="AW1284" s="41"/>
      <c r="AX1284" s="41"/>
      <c r="AY1284" s="41"/>
      <c r="AZ1284" s="41"/>
      <c r="BA1284" s="41"/>
      <c r="BB1284" s="41"/>
      <c r="BC1284" s="41"/>
      <c r="BD1284" s="41"/>
      <c r="BE1284" s="41"/>
      <c r="BF1284" s="41"/>
      <c r="BG1284" s="41"/>
      <c r="BH1284" s="41"/>
      <c r="BJ1284" s="41"/>
      <c r="BK1284" s="94"/>
      <c r="BL1284" s="94"/>
      <c r="BM1284" s="94"/>
      <c r="BN1284" s="94"/>
      <c r="BO1284" s="94"/>
      <c r="BP1284" s="94"/>
      <c r="BQ1284" s="94"/>
      <c r="BR1284" s="94"/>
      <c r="BS1284" s="94"/>
      <c r="BT1284" s="94"/>
      <c r="BU1284" s="94"/>
      <c r="BV1284" s="94"/>
      <c r="BW1284" s="94"/>
      <c r="BX1284" s="94"/>
      <c r="BY1284" s="94"/>
      <c r="BZ1284" s="94"/>
      <c r="CA1284" s="94"/>
      <c r="CB1284" s="94"/>
      <c r="CC1284" s="94"/>
      <c r="CD1284" s="94"/>
      <c r="CE1284" s="94"/>
      <c r="CF1284" s="94"/>
      <c r="CG1284" s="94"/>
      <c r="CH1284" s="94"/>
      <c r="CI1284" s="94"/>
      <c r="CJ1284" s="94"/>
      <c r="CK1284" s="94"/>
      <c r="CL1284" s="94"/>
      <c r="CM1284" s="94"/>
      <c r="CN1284" s="94"/>
      <c r="CO1284" s="94"/>
      <c r="CP1284" s="94"/>
      <c r="CQ1284" s="94"/>
      <c r="CR1284" s="94"/>
      <c r="CS1284" s="94"/>
      <c r="CT1284" s="94"/>
      <c r="CU1284" s="94"/>
      <c r="CV1284" s="94"/>
      <c r="CW1284" s="94"/>
      <c r="CX1284" s="94"/>
      <c r="CY1284" s="94"/>
      <c r="CZ1284" s="94"/>
      <c r="DA1284" s="94"/>
      <c r="DB1284" s="94"/>
      <c r="DC1284" s="94"/>
      <c r="DD1284" s="94"/>
      <c r="DE1284" s="94"/>
      <c r="DF1284" s="94"/>
      <c r="DG1284" s="94"/>
      <c r="DH1284" s="94"/>
      <c r="DI1284" s="94"/>
      <c r="DJ1284" s="94"/>
      <c r="DK1284" s="41">
        <v>1</v>
      </c>
      <c r="DL1284" s="41"/>
      <c r="DM1284" s="41"/>
      <c r="DN1284" s="41"/>
      <c r="DO1284" s="41"/>
      <c r="DP1284" s="41"/>
      <c r="DQ1284" s="41"/>
      <c r="DR1284" s="41"/>
      <c r="DS1284" s="43"/>
      <c r="DT1284" s="44">
        <f t="shared" ref="DT1284" si="1265">SUM(F1284:DR1284)</f>
        <v>1</v>
      </c>
    </row>
    <row r="1285" spans="2:124" s="13" customFormat="1">
      <c r="B1285" s="4">
        <f>'6.1Personnel List'!B1286</f>
        <v>1273</v>
      </c>
      <c r="C1285" s="45" t="s">
        <v>1502</v>
      </c>
      <c r="D1285" s="45" t="str">
        <f>'6.1Personnel List'!D1286</f>
        <v>Nursing Attendant I</v>
      </c>
      <c r="E1285" s="45" t="str">
        <f>'6.1Personnel List'!H1286</f>
        <v>FT</v>
      </c>
      <c r="G1285" s="41"/>
      <c r="H1285" s="41"/>
      <c r="I1285" s="41"/>
      <c r="J1285" s="41"/>
      <c r="K1285" s="41"/>
      <c r="L1285" s="41"/>
      <c r="M1285" s="41"/>
      <c r="N1285" s="41"/>
      <c r="O1285" s="41"/>
      <c r="P1285" s="41"/>
      <c r="Q1285" s="41"/>
      <c r="R1285" s="41"/>
      <c r="S1285" s="41"/>
      <c r="T1285" s="41"/>
      <c r="U1285" s="41"/>
      <c r="V1285" s="41"/>
      <c r="W1285" s="41"/>
      <c r="X1285" s="41"/>
      <c r="Y1285" s="41"/>
      <c r="Z1285" s="41"/>
      <c r="AA1285" s="41"/>
      <c r="AB1285" s="41"/>
      <c r="AC1285" s="41"/>
      <c r="AD1285" s="41"/>
      <c r="AE1285" s="41"/>
      <c r="AF1285" s="41"/>
      <c r="AG1285" s="41"/>
      <c r="AH1285" s="41"/>
      <c r="AI1285" s="41"/>
      <c r="AJ1285" s="41"/>
      <c r="AK1285" s="41"/>
      <c r="AL1285" s="41"/>
      <c r="AM1285" s="41"/>
      <c r="AN1285" s="41"/>
      <c r="AO1285" s="41"/>
      <c r="AP1285" s="41"/>
      <c r="AQ1285" s="41"/>
      <c r="AR1285" s="41"/>
      <c r="AS1285" s="41"/>
      <c r="AT1285" s="41"/>
      <c r="AU1285" s="41"/>
      <c r="AV1285" s="41"/>
      <c r="AW1285" s="41"/>
      <c r="AX1285" s="41"/>
      <c r="AY1285" s="41"/>
      <c r="AZ1285" s="41"/>
      <c r="BA1285" s="41"/>
      <c r="BB1285" s="41"/>
      <c r="BC1285" s="41"/>
      <c r="BD1285" s="41"/>
      <c r="BE1285" s="41"/>
      <c r="BF1285" s="41"/>
      <c r="BG1285" s="41"/>
      <c r="BH1285" s="41"/>
      <c r="BJ1285" s="41"/>
      <c r="BK1285" s="94"/>
      <c r="BL1285" s="94"/>
      <c r="BM1285" s="94"/>
      <c r="BN1285" s="94"/>
      <c r="BO1285" s="94"/>
      <c r="BP1285" s="94"/>
      <c r="BQ1285" s="94"/>
      <c r="BR1285" s="94"/>
      <c r="BS1285" s="94"/>
      <c r="BT1285" s="94"/>
      <c r="BU1285" s="94"/>
      <c r="BV1285" s="94"/>
      <c r="BW1285" s="94"/>
      <c r="BX1285" s="94"/>
      <c r="BY1285" s="94"/>
      <c r="BZ1285" s="94"/>
      <c r="CA1285" s="94"/>
      <c r="CB1285" s="94"/>
      <c r="CC1285" s="94"/>
      <c r="CD1285" s="94"/>
      <c r="CE1285" s="94"/>
      <c r="CF1285" s="94"/>
      <c r="CG1285" s="94"/>
      <c r="CH1285" s="94"/>
      <c r="CI1285" s="94"/>
      <c r="CJ1285" s="94"/>
      <c r="CK1285" s="94"/>
      <c r="CL1285" s="94"/>
      <c r="CM1285" s="94"/>
      <c r="CN1285" s="94"/>
      <c r="CO1285" s="94"/>
      <c r="CP1285" s="94"/>
      <c r="CQ1285" s="94"/>
      <c r="CR1285" s="94"/>
      <c r="CS1285" s="94"/>
      <c r="CT1285" s="94"/>
      <c r="CU1285" s="94"/>
      <c r="CV1285" s="94"/>
      <c r="CW1285" s="94"/>
      <c r="CX1285" s="94"/>
      <c r="CY1285" s="94"/>
      <c r="CZ1285" s="94"/>
      <c r="DA1285" s="94"/>
      <c r="DB1285" s="94"/>
      <c r="DC1285" s="94"/>
      <c r="DD1285" s="94"/>
      <c r="DE1285" s="94"/>
      <c r="DF1285" s="94"/>
      <c r="DG1285" s="94"/>
      <c r="DH1285" s="94"/>
      <c r="DI1285" s="94"/>
      <c r="DJ1285" s="94"/>
      <c r="DK1285" s="41"/>
      <c r="DL1285" s="41">
        <v>0.5</v>
      </c>
      <c r="DM1285" s="41"/>
      <c r="DN1285" s="41"/>
      <c r="DO1285" s="41"/>
      <c r="DP1285" s="41">
        <v>0.5</v>
      </c>
      <c r="DQ1285" s="41"/>
      <c r="DR1285" s="41"/>
      <c r="DS1285" s="43"/>
      <c r="DT1285" s="44">
        <f t="shared" ref="DT1285" si="1266">SUM(F1285:DR1285)</f>
        <v>1</v>
      </c>
    </row>
    <row r="1286" spans="2:124" s="13" customFormat="1">
      <c r="B1286" s="4">
        <f>'6.1Personnel List'!B1287</f>
        <v>1274</v>
      </c>
      <c r="C1286" s="45" t="s">
        <v>1503</v>
      </c>
      <c r="D1286" s="45" t="str">
        <f>'6.1Personnel List'!D1287</f>
        <v>Nursing Attendant I</v>
      </c>
      <c r="E1286" s="45" t="str">
        <f>'6.1Personnel List'!H1287</f>
        <v>FT</v>
      </c>
      <c r="G1286" s="41"/>
      <c r="H1286" s="41"/>
      <c r="I1286" s="41"/>
      <c r="J1286" s="41"/>
      <c r="K1286" s="41"/>
      <c r="L1286" s="41"/>
      <c r="M1286" s="41"/>
      <c r="N1286" s="41"/>
      <c r="O1286" s="41"/>
      <c r="P1286" s="41"/>
      <c r="Q1286" s="41"/>
      <c r="R1286" s="41"/>
      <c r="S1286" s="41"/>
      <c r="T1286" s="41"/>
      <c r="U1286" s="41"/>
      <c r="V1286" s="41"/>
      <c r="W1286" s="41"/>
      <c r="X1286" s="41"/>
      <c r="Y1286" s="41"/>
      <c r="Z1286" s="41"/>
      <c r="AA1286" s="41"/>
      <c r="AB1286" s="41"/>
      <c r="AC1286" s="41"/>
      <c r="AD1286" s="41"/>
      <c r="AE1286" s="41"/>
      <c r="AF1286" s="41"/>
      <c r="AG1286" s="41"/>
      <c r="AH1286" s="41"/>
      <c r="AI1286" s="41"/>
      <c r="AJ1286" s="41"/>
      <c r="AK1286" s="41"/>
      <c r="AL1286" s="41"/>
      <c r="AM1286" s="41"/>
      <c r="AN1286" s="41"/>
      <c r="AO1286" s="41"/>
      <c r="AP1286" s="41"/>
      <c r="AQ1286" s="41"/>
      <c r="AR1286" s="41"/>
      <c r="AS1286" s="41"/>
      <c r="AT1286" s="41"/>
      <c r="AU1286" s="41"/>
      <c r="AV1286" s="41"/>
      <c r="AW1286" s="41"/>
      <c r="AX1286" s="41"/>
      <c r="AY1286" s="41"/>
      <c r="AZ1286" s="41"/>
      <c r="BA1286" s="41"/>
      <c r="BB1286" s="41"/>
      <c r="BC1286" s="41"/>
      <c r="BD1286" s="41"/>
      <c r="BE1286" s="41"/>
      <c r="BF1286" s="41"/>
      <c r="BG1286" s="41"/>
      <c r="BH1286" s="41"/>
      <c r="BJ1286" s="41"/>
      <c r="BK1286" s="94"/>
      <c r="BL1286" s="94"/>
      <c r="BM1286" s="94"/>
      <c r="BN1286" s="94"/>
      <c r="BO1286" s="94"/>
      <c r="BP1286" s="94"/>
      <c r="BQ1286" s="94"/>
      <c r="BR1286" s="94"/>
      <c r="BS1286" s="94"/>
      <c r="BT1286" s="94"/>
      <c r="BU1286" s="94"/>
      <c r="BV1286" s="94"/>
      <c r="BW1286" s="94"/>
      <c r="BX1286" s="94"/>
      <c r="BY1286" s="94"/>
      <c r="BZ1286" s="94"/>
      <c r="CA1286" s="94"/>
      <c r="CB1286" s="94"/>
      <c r="CC1286" s="94"/>
      <c r="CD1286" s="94"/>
      <c r="CE1286" s="94"/>
      <c r="CF1286" s="94"/>
      <c r="CG1286" s="94"/>
      <c r="CH1286" s="94"/>
      <c r="CI1286" s="94"/>
      <c r="CJ1286" s="94"/>
      <c r="CK1286" s="94"/>
      <c r="CL1286" s="94"/>
      <c r="CM1286" s="94"/>
      <c r="CN1286" s="94"/>
      <c r="CO1286" s="94"/>
      <c r="CP1286" s="94"/>
      <c r="CQ1286" s="94"/>
      <c r="CR1286" s="94"/>
      <c r="CS1286" s="94"/>
      <c r="CT1286" s="94"/>
      <c r="CU1286" s="94"/>
      <c r="CV1286" s="94"/>
      <c r="CW1286" s="94"/>
      <c r="CX1286" s="94"/>
      <c r="CY1286" s="94"/>
      <c r="CZ1286" s="94"/>
      <c r="DA1286" s="94"/>
      <c r="DB1286" s="94"/>
      <c r="DC1286" s="94"/>
      <c r="DD1286" s="94"/>
      <c r="DE1286" s="94"/>
      <c r="DF1286" s="94"/>
      <c r="DG1286" s="94"/>
      <c r="DH1286" s="94"/>
      <c r="DI1286" s="94"/>
      <c r="DJ1286" s="94"/>
      <c r="DK1286" s="41"/>
      <c r="DL1286" s="41"/>
      <c r="DM1286" s="41"/>
      <c r="DN1286" s="41"/>
      <c r="DO1286" s="41"/>
      <c r="DP1286" s="41"/>
      <c r="DQ1286" s="41"/>
      <c r="DR1286" s="41">
        <v>1</v>
      </c>
      <c r="DS1286" s="43"/>
      <c r="DT1286" s="44">
        <f t="shared" ref="DT1286" si="1267">SUM(F1286:DR1286)</f>
        <v>1</v>
      </c>
    </row>
    <row r="1287" spans="2:124" s="13" customFormat="1">
      <c r="B1287" s="4">
        <f>'6.1Personnel List'!B1288</f>
        <v>1275</v>
      </c>
      <c r="C1287" s="45" t="s">
        <v>1504</v>
      </c>
      <c r="D1287" s="45" t="str">
        <f>'6.1Personnel List'!D1288</f>
        <v>Nursing Attendant I</v>
      </c>
      <c r="E1287" s="45" t="str">
        <f>'6.1Personnel List'!H1288</f>
        <v>FT</v>
      </c>
      <c r="G1287" s="41"/>
      <c r="H1287" s="41"/>
      <c r="I1287" s="41"/>
      <c r="J1287" s="41"/>
      <c r="K1287" s="41"/>
      <c r="L1287" s="41"/>
      <c r="M1287" s="41"/>
      <c r="N1287" s="41"/>
      <c r="O1287" s="41"/>
      <c r="P1287" s="41"/>
      <c r="Q1287" s="41"/>
      <c r="R1287" s="41"/>
      <c r="S1287" s="41"/>
      <c r="T1287" s="41"/>
      <c r="U1287" s="41"/>
      <c r="V1287" s="41"/>
      <c r="W1287" s="41"/>
      <c r="X1287" s="41"/>
      <c r="Y1287" s="41"/>
      <c r="Z1287" s="41"/>
      <c r="AA1287" s="41"/>
      <c r="AB1287" s="41"/>
      <c r="AC1287" s="41"/>
      <c r="AD1287" s="41"/>
      <c r="AE1287" s="41"/>
      <c r="AF1287" s="41"/>
      <c r="AG1287" s="41"/>
      <c r="AH1287" s="41"/>
      <c r="AI1287" s="41"/>
      <c r="AJ1287" s="41"/>
      <c r="AK1287" s="41"/>
      <c r="AL1287" s="41"/>
      <c r="AM1287" s="41"/>
      <c r="AN1287" s="41"/>
      <c r="AO1287" s="41"/>
      <c r="AP1287" s="41"/>
      <c r="AQ1287" s="41"/>
      <c r="AR1287" s="41"/>
      <c r="AS1287" s="41"/>
      <c r="AT1287" s="41"/>
      <c r="AU1287" s="41"/>
      <c r="AV1287" s="41"/>
      <c r="AW1287" s="41"/>
      <c r="AX1287" s="41"/>
      <c r="AY1287" s="41"/>
      <c r="AZ1287" s="41"/>
      <c r="BA1287" s="41"/>
      <c r="BB1287" s="41"/>
      <c r="BC1287" s="41"/>
      <c r="BD1287" s="41"/>
      <c r="BE1287" s="41"/>
      <c r="BF1287" s="41"/>
      <c r="BG1287" s="41"/>
      <c r="BH1287" s="41"/>
      <c r="BJ1287" s="41"/>
      <c r="BK1287" s="94"/>
      <c r="BL1287" s="94"/>
      <c r="BM1287" s="94"/>
      <c r="BN1287" s="94"/>
      <c r="BO1287" s="94"/>
      <c r="BP1287" s="94"/>
      <c r="BQ1287" s="94"/>
      <c r="BR1287" s="94"/>
      <c r="BS1287" s="94"/>
      <c r="BT1287" s="94"/>
      <c r="BU1287" s="94"/>
      <c r="BV1287" s="94"/>
      <c r="BW1287" s="94"/>
      <c r="BX1287" s="94"/>
      <c r="BY1287" s="94"/>
      <c r="BZ1287" s="94"/>
      <c r="CA1287" s="94"/>
      <c r="CB1287" s="94"/>
      <c r="CC1287" s="94"/>
      <c r="CD1287" s="94"/>
      <c r="CE1287" s="94"/>
      <c r="CF1287" s="94"/>
      <c r="CG1287" s="94"/>
      <c r="CH1287" s="94"/>
      <c r="CI1287" s="94"/>
      <c r="CJ1287" s="94"/>
      <c r="CK1287" s="94"/>
      <c r="CL1287" s="94"/>
      <c r="CM1287" s="94"/>
      <c r="CN1287" s="94"/>
      <c r="CO1287" s="94"/>
      <c r="CP1287" s="94"/>
      <c r="CQ1287" s="94"/>
      <c r="CR1287" s="94"/>
      <c r="CS1287" s="94"/>
      <c r="CT1287" s="94"/>
      <c r="CU1287" s="94"/>
      <c r="CV1287" s="94"/>
      <c r="CW1287" s="94"/>
      <c r="CX1287" s="94"/>
      <c r="CY1287" s="94"/>
      <c r="CZ1287" s="94"/>
      <c r="DA1287" s="94"/>
      <c r="DB1287" s="94"/>
      <c r="DC1287" s="94"/>
      <c r="DD1287" s="94"/>
      <c r="DE1287" s="94"/>
      <c r="DF1287" s="94"/>
      <c r="DG1287" s="94"/>
      <c r="DH1287" s="94"/>
      <c r="DI1287" s="94"/>
      <c r="DJ1287" s="94"/>
      <c r="DK1287" s="41"/>
      <c r="DL1287" s="41"/>
      <c r="DM1287" s="41"/>
      <c r="DN1287" s="41"/>
      <c r="DO1287" s="41"/>
      <c r="DP1287" s="41"/>
      <c r="DQ1287" s="41"/>
      <c r="DR1287" s="41">
        <v>1</v>
      </c>
      <c r="DS1287" s="43"/>
      <c r="DT1287" s="44">
        <f t="shared" ref="DT1287" si="1268">SUM(F1287:DR1287)</f>
        <v>1</v>
      </c>
    </row>
    <row r="1288" spans="2:124" s="13" customFormat="1">
      <c r="B1288" s="4">
        <f>'6.1Personnel List'!B1289</f>
        <v>1276</v>
      </c>
      <c r="C1288" s="45" t="s">
        <v>1505</v>
      </c>
      <c r="D1288" s="45" t="str">
        <f>'6.1Personnel List'!D1289</f>
        <v>Nursing Attendant I</v>
      </c>
      <c r="E1288" s="45" t="str">
        <f>'6.1Personnel List'!H1289</f>
        <v>FT</v>
      </c>
      <c r="G1288" s="41"/>
      <c r="H1288" s="41"/>
      <c r="I1288" s="41"/>
      <c r="J1288" s="41"/>
      <c r="K1288" s="41"/>
      <c r="L1288" s="41"/>
      <c r="M1288" s="41"/>
      <c r="N1288" s="41"/>
      <c r="O1288" s="41"/>
      <c r="P1288" s="41"/>
      <c r="Q1288" s="41"/>
      <c r="R1288" s="41"/>
      <c r="S1288" s="41"/>
      <c r="T1288" s="41"/>
      <c r="U1288" s="41"/>
      <c r="V1288" s="41"/>
      <c r="W1288" s="41"/>
      <c r="X1288" s="41"/>
      <c r="Y1288" s="41"/>
      <c r="Z1288" s="41"/>
      <c r="AA1288" s="41"/>
      <c r="AB1288" s="41"/>
      <c r="AC1288" s="41"/>
      <c r="AD1288" s="41"/>
      <c r="AE1288" s="41"/>
      <c r="AF1288" s="41"/>
      <c r="AG1288" s="41"/>
      <c r="AH1288" s="41"/>
      <c r="AI1288" s="41"/>
      <c r="AJ1288" s="41"/>
      <c r="AK1288" s="41"/>
      <c r="AL1288" s="41"/>
      <c r="AM1288" s="41"/>
      <c r="AN1288" s="41"/>
      <c r="AO1288" s="41"/>
      <c r="AP1288" s="41"/>
      <c r="AQ1288" s="41"/>
      <c r="AR1288" s="41"/>
      <c r="AS1288" s="41"/>
      <c r="AT1288" s="41"/>
      <c r="AU1288" s="41"/>
      <c r="AV1288" s="41"/>
      <c r="AW1288" s="41"/>
      <c r="AX1288" s="41"/>
      <c r="AY1288" s="41"/>
      <c r="AZ1288" s="41"/>
      <c r="BA1288" s="41"/>
      <c r="BB1288" s="41"/>
      <c r="BC1288" s="41"/>
      <c r="BD1288" s="41"/>
      <c r="BE1288" s="41"/>
      <c r="BF1288" s="41"/>
      <c r="BG1288" s="41"/>
      <c r="BH1288" s="41"/>
      <c r="BJ1288" s="41"/>
      <c r="BK1288" s="94"/>
      <c r="BL1288" s="94"/>
      <c r="BM1288" s="94"/>
      <c r="BN1288" s="94"/>
      <c r="BO1288" s="94"/>
      <c r="BP1288" s="94"/>
      <c r="BQ1288" s="94"/>
      <c r="BR1288" s="94"/>
      <c r="BS1288" s="94"/>
      <c r="BT1288" s="94"/>
      <c r="BU1288" s="94"/>
      <c r="BV1288" s="94"/>
      <c r="BW1288" s="94"/>
      <c r="BX1288" s="94"/>
      <c r="BY1288" s="94"/>
      <c r="BZ1288" s="94"/>
      <c r="CA1288" s="94"/>
      <c r="CB1288" s="94"/>
      <c r="CC1288" s="94"/>
      <c r="CD1288" s="94"/>
      <c r="CE1288" s="94"/>
      <c r="CF1288" s="94"/>
      <c r="CG1288" s="94"/>
      <c r="CH1288" s="94"/>
      <c r="CI1288" s="94"/>
      <c r="CJ1288" s="94"/>
      <c r="CK1288" s="94"/>
      <c r="CL1288" s="94"/>
      <c r="CM1288" s="94"/>
      <c r="CN1288" s="94"/>
      <c r="CO1288" s="94"/>
      <c r="CP1288" s="94"/>
      <c r="CQ1288" s="94"/>
      <c r="CR1288" s="94"/>
      <c r="CS1288" s="94"/>
      <c r="CT1288" s="94"/>
      <c r="CU1288" s="94"/>
      <c r="CV1288" s="94"/>
      <c r="CW1288" s="94"/>
      <c r="CX1288" s="94"/>
      <c r="CY1288" s="94"/>
      <c r="CZ1288" s="94"/>
      <c r="DA1288" s="94"/>
      <c r="DB1288" s="94"/>
      <c r="DC1288" s="94"/>
      <c r="DD1288" s="94"/>
      <c r="DE1288" s="94"/>
      <c r="DF1288" s="94"/>
      <c r="DG1288" s="94"/>
      <c r="DH1288" s="94"/>
      <c r="DI1288" s="94"/>
      <c r="DJ1288" s="94"/>
      <c r="DK1288" s="41"/>
      <c r="DL1288" s="41"/>
      <c r="DM1288" s="41"/>
      <c r="DN1288" s="41"/>
      <c r="DO1288" s="41"/>
      <c r="DP1288" s="41">
        <v>1</v>
      </c>
      <c r="DQ1288" s="41"/>
      <c r="DR1288" s="41"/>
      <c r="DS1288" s="43"/>
      <c r="DT1288" s="44">
        <f t="shared" ref="DT1288" si="1269">SUM(F1288:DR1288)</f>
        <v>1</v>
      </c>
    </row>
    <row r="1289" spans="2:124" s="13" customFormat="1">
      <c r="B1289" s="4">
        <f>'6.1Personnel List'!B1290</f>
        <v>1277</v>
      </c>
      <c r="C1289" s="45" t="s">
        <v>1506</v>
      </c>
      <c r="D1289" s="45" t="str">
        <f>'6.1Personnel List'!D1290</f>
        <v>Job Order</v>
      </c>
      <c r="E1289" s="45" t="str">
        <f>'6.1Personnel List'!H1290</f>
        <v>FT</v>
      </c>
      <c r="G1289" s="41"/>
      <c r="H1289" s="41"/>
      <c r="I1289" s="41"/>
      <c r="J1289" s="41"/>
      <c r="K1289" s="41"/>
      <c r="L1289" s="41"/>
      <c r="M1289" s="41"/>
      <c r="N1289" s="41"/>
      <c r="O1289" s="41"/>
      <c r="P1289" s="41"/>
      <c r="Q1289" s="41"/>
      <c r="R1289" s="41"/>
      <c r="S1289" s="41"/>
      <c r="T1289" s="41"/>
      <c r="U1289" s="41"/>
      <c r="V1289" s="41"/>
      <c r="W1289" s="41"/>
      <c r="X1289" s="41"/>
      <c r="Y1289" s="41"/>
      <c r="Z1289" s="41"/>
      <c r="AA1289" s="41"/>
      <c r="AB1289" s="41"/>
      <c r="AC1289" s="41"/>
      <c r="AD1289" s="41"/>
      <c r="AE1289" s="41"/>
      <c r="AF1289" s="41"/>
      <c r="AG1289" s="41"/>
      <c r="AH1289" s="41"/>
      <c r="AI1289" s="41"/>
      <c r="AJ1289" s="41"/>
      <c r="AK1289" s="41"/>
      <c r="AL1289" s="41"/>
      <c r="AM1289" s="41"/>
      <c r="AN1289" s="41"/>
      <c r="AO1289" s="41"/>
      <c r="AP1289" s="41"/>
      <c r="AQ1289" s="41"/>
      <c r="AR1289" s="41"/>
      <c r="AS1289" s="41"/>
      <c r="AT1289" s="41"/>
      <c r="AU1289" s="41"/>
      <c r="AV1289" s="41"/>
      <c r="AW1289" s="41"/>
      <c r="AX1289" s="41"/>
      <c r="AY1289" s="41"/>
      <c r="AZ1289" s="41"/>
      <c r="BA1289" s="41"/>
      <c r="BB1289" s="41"/>
      <c r="BC1289" s="41"/>
      <c r="BD1289" s="41"/>
      <c r="BE1289" s="41"/>
      <c r="BF1289" s="41"/>
      <c r="BG1289" s="41"/>
      <c r="BH1289" s="41"/>
      <c r="BJ1289" s="41"/>
      <c r="BK1289" s="41"/>
      <c r="BL1289" s="41"/>
      <c r="BM1289" s="41"/>
      <c r="BN1289" s="41"/>
      <c r="BO1289" s="41"/>
      <c r="BP1289" s="41"/>
      <c r="BQ1289" s="41"/>
      <c r="BR1289" s="41"/>
      <c r="BS1289" s="41"/>
      <c r="BT1289" s="41"/>
      <c r="BU1289" s="41"/>
      <c r="BV1289" s="41"/>
      <c r="BW1289" s="41"/>
      <c r="BX1289" s="41"/>
      <c r="BY1289" s="41"/>
      <c r="BZ1289" s="41"/>
      <c r="CA1289" s="41"/>
      <c r="CB1289" s="41"/>
      <c r="CC1289" s="41"/>
      <c r="CD1289" s="41"/>
      <c r="CE1289" s="41"/>
      <c r="CF1289" s="41"/>
      <c r="CG1289" s="41"/>
      <c r="CH1289" s="41"/>
      <c r="CI1289" s="41"/>
      <c r="CJ1289" s="41"/>
      <c r="CK1289" s="41"/>
      <c r="CL1289" s="41"/>
      <c r="CM1289" s="41"/>
      <c r="CN1289" s="41"/>
      <c r="CO1289" s="41"/>
      <c r="CP1289" s="41"/>
      <c r="CQ1289" s="41"/>
      <c r="CR1289" s="41"/>
      <c r="CS1289" s="41"/>
      <c r="CT1289" s="41"/>
      <c r="CU1289" s="41"/>
      <c r="CV1289" s="41"/>
      <c r="CW1289" s="41"/>
      <c r="CX1289" s="41">
        <v>1</v>
      </c>
      <c r="CY1289" s="41"/>
      <c r="CZ1289" s="41"/>
      <c r="DA1289" s="41"/>
      <c r="DB1289" s="41"/>
      <c r="DC1289" s="41"/>
      <c r="DD1289" s="41"/>
      <c r="DE1289" s="41"/>
      <c r="DF1289" s="41"/>
      <c r="DG1289" s="41"/>
      <c r="DH1289" s="41"/>
      <c r="DI1289" s="41"/>
      <c r="DJ1289" s="41"/>
      <c r="DK1289" s="41"/>
      <c r="DL1289" s="41"/>
      <c r="DM1289" s="41"/>
      <c r="DN1289" s="41"/>
      <c r="DO1289" s="41"/>
      <c r="DP1289" s="41"/>
      <c r="DQ1289" s="41"/>
      <c r="DR1289" s="41"/>
      <c r="DS1289" s="43"/>
      <c r="DT1289" s="44">
        <f t="shared" ref="DT1289" si="1270">SUM(F1289:DR1289)</f>
        <v>1</v>
      </c>
    </row>
    <row r="1290" spans="2:124" s="13" customFormat="1">
      <c r="B1290" s="4">
        <f>'6.1Personnel List'!B1291</f>
        <v>1278</v>
      </c>
      <c r="C1290" s="45" t="s">
        <v>1507</v>
      </c>
      <c r="D1290" s="45" t="str">
        <f>'6.1Personnel List'!D1291</f>
        <v>Job Order</v>
      </c>
      <c r="E1290" s="45" t="str">
        <f>'6.1Personnel List'!H1291</f>
        <v>FT</v>
      </c>
      <c r="G1290" s="41"/>
      <c r="H1290" s="41"/>
      <c r="I1290" s="41"/>
      <c r="J1290" s="41"/>
      <c r="K1290" s="41"/>
      <c r="L1290" s="41"/>
      <c r="M1290" s="41"/>
      <c r="N1290" s="41"/>
      <c r="O1290" s="41"/>
      <c r="P1290" s="41"/>
      <c r="Q1290" s="41"/>
      <c r="R1290" s="41"/>
      <c r="S1290" s="41"/>
      <c r="T1290" s="41"/>
      <c r="U1290" s="41"/>
      <c r="V1290" s="41"/>
      <c r="W1290" s="41"/>
      <c r="X1290" s="41"/>
      <c r="Y1290" s="41"/>
      <c r="Z1290" s="41"/>
      <c r="AA1290" s="41"/>
      <c r="AB1290" s="41"/>
      <c r="AC1290" s="41"/>
      <c r="AD1290" s="41"/>
      <c r="AE1290" s="41"/>
      <c r="AF1290" s="41"/>
      <c r="AG1290" s="41"/>
      <c r="AH1290" s="41"/>
      <c r="AI1290" s="41"/>
      <c r="AJ1290" s="41"/>
      <c r="AK1290" s="41"/>
      <c r="AL1290" s="41"/>
      <c r="AM1290" s="41"/>
      <c r="AN1290" s="41"/>
      <c r="AO1290" s="41"/>
      <c r="AP1290" s="41"/>
      <c r="AQ1290" s="41"/>
      <c r="AR1290" s="41"/>
      <c r="AS1290" s="41"/>
      <c r="AT1290" s="41"/>
      <c r="AU1290" s="41"/>
      <c r="AV1290" s="41"/>
      <c r="AW1290" s="41"/>
      <c r="AX1290" s="41"/>
      <c r="AY1290" s="41"/>
      <c r="AZ1290" s="41"/>
      <c r="BA1290" s="41"/>
      <c r="BB1290" s="41"/>
      <c r="BC1290" s="41"/>
      <c r="BD1290" s="41"/>
      <c r="BE1290" s="41"/>
      <c r="BF1290" s="41"/>
      <c r="BG1290" s="41"/>
      <c r="BH1290" s="41"/>
      <c r="BJ1290" s="41"/>
      <c r="BK1290" s="41"/>
      <c r="BL1290" s="41"/>
      <c r="BM1290" s="41"/>
      <c r="BN1290" s="41"/>
      <c r="BO1290" s="41"/>
      <c r="BP1290" s="41"/>
      <c r="BQ1290" s="41"/>
      <c r="BR1290" s="41"/>
      <c r="BS1290" s="41"/>
      <c r="BT1290" s="41"/>
      <c r="BU1290" s="41"/>
      <c r="BV1290" s="41"/>
      <c r="BW1290" s="41"/>
      <c r="BX1290" s="41"/>
      <c r="BY1290" s="41"/>
      <c r="BZ1290" s="41"/>
      <c r="CA1290" s="41"/>
      <c r="CB1290" s="41"/>
      <c r="CC1290" s="41"/>
      <c r="CD1290" s="41"/>
      <c r="CE1290" s="41"/>
      <c r="CF1290" s="41"/>
      <c r="CG1290" s="41"/>
      <c r="CH1290" s="41"/>
      <c r="CI1290" s="41"/>
      <c r="CJ1290" s="41"/>
      <c r="CK1290" s="41"/>
      <c r="CL1290" s="41"/>
      <c r="CM1290" s="41"/>
      <c r="CN1290" s="41"/>
      <c r="CO1290" s="41"/>
      <c r="CP1290" s="41"/>
      <c r="CQ1290" s="41"/>
      <c r="CR1290" s="41"/>
      <c r="CS1290" s="41"/>
      <c r="CT1290" s="41"/>
      <c r="CU1290" s="41"/>
      <c r="CV1290" s="41"/>
      <c r="CW1290" s="41">
        <v>0.5</v>
      </c>
      <c r="CX1290" s="41">
        <v>0.5</v>
      </c>
      <c r="CY1290" s="41"/>
      <c r="CZ1290" s="41"/>
      <c r="DA1290" s="41"/>
      <c r="DB1290" s="41"/>
      <c r="DC1290" s="41"/>
      <c r="DD1290" s="41"/>
      <c r="DE1290" s="41"/>
      <c r="DF1290" s="41"/>
      <c r="DG1290" s="41"/>
      <c r="DH1290" s="41"/>
      <c r="DI1290" s="41"/>
      <c r="DJ1290" s="41"/>
      <c r="DK1290" s="41"/>
      <c r="DL1290" s="41"/>
      <c r="DM1290" s="41"/>
      <c r="DN1290" s="41"/>
      <c r="DO1290" s="41"/>
      <c r="DP1290" s="41"/>
      <c r="DQ1290" s="41"/>
      <c r="DR1290" s="41"/>
      <c r="DS1290" s="43"/>
      <c r="DT1290" s="44">
        <f t="shared" ref="DT1290" si="1271">SUM(F1290:DR1290)</f>
        <v>1</v>
      </c>
    </row>
    <row r="1291" spans="2:124" s="13" customFormat="1">
      <c r="B1291" s="4">
        <f>'6.1Personnel List'!B1292</f>
        <v>1279</v>
      </c>
      <c r="C1291" s="45" t="s">
        <v>1508</v>
      </c>
      <c r="D1291" s="45" t="str">
        <f>'6.1Personnel List'!D1292</f>
        <v>Nurse II</v>
      </c>
      <c r="E1291" s="45" t="str">
        <f>'6.1Personnel List'!H1292</f>
        <v>FT</v>
      </c>
      <c r="G1291" s="41"/>
      <c r="H1291" s="41"/>
      <c r="I1291" s="41"/>
      <c r="J1291" s="41"/>
      <c r="K1291" s="41"/>
      <c r="L1291" s="41"/>
      <c r="M1291" s="41"/>
      <c r="N1291" s="41"/>
      <c r="O1291" s="41"/>
      <c r="P1291" s="41"/>
      <c r="Q1291" s="41"/>
      <c r="R1291" s="41"/>
      <c r="S1291" s="41"/>
      <c r="T1291" s="41"/>
      <c r="U1291" s="41"/>
      <c r="V1291" s="41"/>
      <c r="W1291" s="41"/>
      <c r="X1291" s="41"/>
      <c r="Y1291" s="41"/>
      <c r="Z1291" s="41"/>
      <c r="AA1291" s="41"/>
      <c r="AB1291" s="41"/>
      <c r="AC1291" s="41"/>
      <c r="AD1291" s="41"/>
      <c r="AE1291" s="41"/>
      <c r="AF1291" s="41"/>
      <c r="AG1291" s="41"/>
      <c r="AH1291" s="41"/>
      <c r="AI1291" s="41"/>
      <c r="AJ1291" s="41"/>
      <c r="AK1291" s="41"/>
      <c r="AL1291" s="41"/>
      <c r="AM1291" s="41"/>
      <c r="AN1291" s="41"/>
      <c r="AO1291" s="41"/>
      <c r="AP1291" s="41"/>
      <c r="AQ1291" s="41"/>
      <c r="AR1291" s="41"/>
      <c r="AS1291" s="41"/>
      <c r="AT1291" s="41"/>
      <c r="AU1291" s="41"/>
      <c r="AV1291" s="41"/>
      <c r="AW1291" s="41"/>
      <c r="AX1291" s="41"/>
      <c r="AY1291" s="41"/>
      <c r="AZ1291" s="41"/>
      <c r="BA1291" s="41"/>
      <c r="BB1291" s="41"/>
      <c r="BC1291" s="41"/>
      <c r="BD1291" s="41"/>
      <c r="BE1291" s="41"/>
      <c r="BF1291" s="41"/>
      <c r="BG1291" s="41"/>
      <c r="BH1291" s="41"/>
      <c r="BJ1291" s="41"/>
      <c r="BK1291" s="41"/>
      <c r="BL1291" s="41"/>
      <c r="BM1291" s="41"/>
      <c r="BN1291" s="41"/>
      <c r="BO1291" s="41"/>
      <c r="BP1291" s="41"/>
      <c r="BQ1291" s="41"/>
      <c r="BR1291" s="41"/>
      <c r="BS1291" s="41"/>
      <c r="BT1291" s="41"/>
      <c r="BU1291" s="41"/>
      <c r="BV1291" s="41"/>
      <c r="BW1291" s="41"/>
      <c r="BX1291" s="41"/>
      <c r="BY1291" s="41"/>
      <c r="BZ1291" s="41"/>
      <c r="CA1291" s="41"/>
      <c r="CB1291" s="41"/>
      <c r="CC1291" s="41"/>
      <c r="CD1291" s="41"/>
      <c r="CE1291" s="41"/>
      <c r="CF1291" s="41"/>
      <c r="CG1291" s="41"/>
      <c r="CH1291" s="41"/>
      <c r="CI1291" s="41"/>
      <c r="CJ1291" s="41"/>
      <c r="CK1291" s="41"/>
      <c r="CL1291" s="41"/>
      <c r="CM1291" s="41"/>
      <c r="CN1291" s="41"/>
      <c r="CO1291" s="41"/>
      <c r="CP1291" s="41"/>
      <c r="CQ1291" s="41"/>
      <c r="CR1291" s="41"/>
      <c r="CS1291" s="41"/>
      <c r="CT1291" s="41">
        <v>1</v>
      </c>
      <c r="CU1291" s="41"/>
      <c r="CV1291" s="41"/>
      <c r="CW1291" s="41"/>
      <c r="CX1291" s="41"/>
      <c r="CY1291" s="41"/>
      <c r="CZ1291" s="41"/>
      <c r="DA1291" s="41"/>
      <c r="DB1291" s="41"/>
      <c r="DC1291" s="41"/>
      <c r="DD1291" s="41"/>
      <c r="DE1291" s="41"/>
      <c r="DF1291" s="41"/>
      <c r="DG1291" s="41"/>
      <c r="DH1291" s="41"/>
      <c r="DI1291" s="41"/>
      <c r="DJ1291" s="41"/>
      <c r="DK1291" s="41"/>
      <c r="DL1291" s="41"/>
      <c r="DM1291" s="41"/>
      <c r="DN1291" s="41"/>
      <c r="DO1291" s="41"/>
      <c r="DP1291" s="41"/>
      <c r="DQ1291" s="41"/>
      <c r="DR1291" s="41"/>
      <c r="DS1291" s="43"/>
      <c r="DT1291" s="44">
        <f t="shared" ref="DT1291" si="1272">SUM(F1291:DR1291)</f>
        <v>1</v>
      </c>
    </row>
    <row r="1292" spans="2:124" s="13" customFormat="1">
      <c r="B1292" s="4">
        <f>'6.1Personnel List'!B1293</f>
        <v>1280</v>
      </c>
      <c r="C1292" s="45" t="s">
        <v>1509</v>
      </c>
      <c r="D1292" s="45" t="str">
        <f>'6.1Personnel List'!D1293</f>
        <v>Nurse II</v>
      </c>
      <c r="E1292" s="45" t="str">
        <f>'6.1Personnel List'!H1293</f>
        <v>FT</v>
      </c>
      <c r="G1292" s="41"/>
      <c r="H1292" s="41"/>
      <c r="I1292" s="41"/>
      <c r="J1292" s="41"/>
      <c r="K1292" s="41"/>
      <c r="L1292" s="41"/>
      <c r="M1292" s="41"/>
      <c r="N1292" s="41"/>
      <c r="O1292" s="41"/>
      <c r="P1292" s="41"/>
      <c r="Q1292" s="41"/>
      <c r="R1292" s="41"/>
      <c r="S1292" s="41"/>
      <c r="T1292" s="41"/>
      <c r="U1292" s="41"/>
      <c r="V1292" s="41"/>
      <c r="W1292" s="41"/>
      <c r="X1292" s="41"/>
      <c r="Y1292" s="41"/>
      <c r="Z1292" s="41"/>
      <c r="AA1292" s="41"/>
      <c r="AB1292" s="41"/>
      <c r="AC1292" s="41"/>
      <c r="AD1292" s="41"/>
      <c r="AE1292" s="41"/>
      <c r="AF1292" s="41"/>
      <c r="AG1292" s="41"/>
      <c r="AH1292" s="41"/>
      <c r="AI1292" s="41"/>
      <c r="AJ1292" s="41"/>
      <c r="AK1292" s="41"/>
      <c r="AL1292" s="41"/>
      <c r="AM1292" s="41"/>
      <c r="AN1292" s="41"/>
      <c r="AO1292" s="41"/>
      <c r="AP1292" s="41"/>
      <c r="AQ1292" s="41"/>
      <c r="AR1292" s="41"/>
      <c r="AS1292" s="41"/>
      <c r="AT1292" s="41"/>
      <c r="AU1292" s="41"/>
      <c r="AV1292" s="41"/>
      <c r="AW1292" s="41"/>
      <c r="AX1292" s="41"/>
      <c r="AY1292" s="41"/>
      <c r="AZ1292" s="41"/>
      <c r="BA1292" s="41"/>
      <c r="BB1292" s="41"/>
      <c r="BC1292" s="41"/>
      <c r="BD1292" s="41"/>
      <c r="BE1292" s="41"/>
      <c r="BF1292" s="41"/>
      <c r="BG1292" s="41"/>
      <c r="BH1292" s="41"/>
      <c r="BJ1292" s="41"/>
      <c r="BK1292" s="41"/>
      <c r="BL1292" s="41"/>
      <c r="BM1292" s="41"/>
      <c r="BN1292" s="41"/>
      <c r="BO1292" s="41"/>
      <c r="BP1292" s="41"/>
      <c r="BQ1292" s="41"/>
      <c r="BR1292" s="41"/>
      <c r="BS1292" s="41"/>
      <c r="BT1292" s="41"/>
      <c r="BU1292" s="41"/>
      <c r="BV1292" s="41"/>
      <c r="BW1292" s="41"/>
      <c r="BX1292" s="41"/>
      <c r="BY1292" s="41"/>
      <c r="BZ1292" s="41"/>
      <c r="CA1292" s="41"/>
      <c r="CB1292" s="41"/>
      <c r="CC1292" s="41"/>
      <c r="CD1292" s="41"/>
      <c r="CE1292" s="41"/>
      <c r="CF1292" s="41"/>
      <c r="CG1292" s="41"/>
      <c r="CH1292" s="41"/>
      <c r="CI1292" s="41"/>
      <c r="CJ1292" s="41"/>
      <c r="CK1292" s="41"/>
      <c r="CL1292" s="41"/>
      <c r="CM1292" s="41"/>
      <c r="CN1292" s="41"/>
      <c r="CO1292" s="41"/>
      <c r="CP1292" s="41"/>
      <c r="CQ1292" s="41"/>
      <c r="CR1292" s="41"/>
      <c r="CS1292" s="41"/>
      <c r="CT1292" s="41">
        <v>1</v>
      </c>
      <c r="CU1292" s="41"/>
      <c r="CV1292" s="41"/>
      <c r="CW1292" s="41"/>
      <c r="CX1292" s="41"/>
      <c r="CY1292" s="41"/>
      <c r="CZ1292" s="41"/>
      <c r="DA1292" s="41"/>
      <c r="DB1292" s="41"/>
      <c r="DC1292" s="41"/>
      <c r="DD1292" s="41"/>
      <c r="DE1292" s="41"/>
      <c r="DF1292" s="41"/>
      <c r="DG1292" s="41"/>
      <c r="DH1292" s="41"/>
      <c r="DI1292" s="41"/>
      <c r="DJ1292" s="41"/>
      <c r="DK1292" s="41"/>
      <c r="DL1292" s="41"/>
      <c r="DM1292" s="41"/>
      <c r="DN1292" s="41"/>
      <c r="DO1292" s="41"/>
      <c r="DP1292" s="41"/>
      <c r="DQ1292" s="41"/>
      <c r="DR1292" s="41"/>
      <c r="DS1292" s="43"/>
      <c r="DT1292" s="44">
        <f t="shared" ref="DT1292" si="1273">SUM(F1292:DR1292)</f>
        <v>1</v>
      </c>
    </row>
    <row r="1293" spans="2:124" s="13" customFormat="1">
      <c r="B1293" s="4">
        <f>'6.1Personnel List'!B1294</f>
        <v>1281</v>
      </c>
      <c r="C1293" s="45" t="s">
        <v>1510</v>
      </c>
      <c r="D1293" s="45" t="str">
        <f>'6.1Personnel List'!D1294</f>
        <v>Nurse II</v>
      </c>
      <c r="E1293" s="45" t="str">
        <f>'6.1Personnel List'!H1294</f>
        <v>FT</v>
      </c>
      <c r="G1293" s="41"/>
      <c r="H1293" s="41"/>
      <c r="I1293" s="41"/>
      <c r="J1293" s="41"/>
      <c r="K1293" s="41"/>
      <c r="L1293" s="41"/>
      <c r="M1293" s="41"/>
      <c r="N1293" s="41"/>
      <c r="O1293" s="41"/>
      <c r="P1293" s="41"/>
      <c r="Q1293" s="41"/>
      <c r="R1293" s="41"/>
      <c r="S1293" s="41"/>
      <c r="T1293" s="41"/>
      <c r="U1293" s="41"/>
      <c r="V1293" s="41"/>
      <c r="W1293" s="41"/>
      <c r="X1293" s="41"/>
      <c r="Y1293" s="41"/>
      <c r="Z1293" s="41"/>
      <c r="AA1293" s="41"/>
      <c r="AB1293" s="41"/>
      <c r="AC1293" s="41"/>
      <c r="AD1293" s="41"/>
      <c r="AE1293" s="41"/>
      <c r="AF1293" s="41"/>
      <c r="AG1293" s="41"/>
      <c r="AH1293" s="41"/>
      <c r="AI1293" s="41"/>
      <c r="AJ1293" s="41"/>
      <c r="AK1293" s="41"/>
      <c r="AL1293" s="41"/>
      <c r="AM1293" s="41"/>
      <c r="AN1293" s="41"/>
      <c r="AO1293" s="41"/>
      <c r="AP1293" s="41"/>
      <c r="AQ1293" s="41"/>
      <c r="AR1293" s="41"/>
      <c r="AS1293" s="41"/>
      <c r="AT1293" s="41"/>
      <c r="AU1293" s="41"/>
      <c r="AV1293" s="41"/>
      <c r="AW1293" s="41"/>
      <c r="AX1293" s="41"/>
      <c r="AY1293" s="41"/>
      <c r="AZ1293" s="41"/>
      <c r="BA1293" s="41"/>
      <c r="BB1293" s="41"/>
      <c r="BC1293" s="41"/>
      <c r="BD1293" s="41"/>
      <c r="BE1293" s="41"/>
      <c r="BF1293" s="41"/>
      <c r="BG1293" s="41"/>
      <c r="BH1293" s="41"/>
      <c r="BJ1293" s="41"/>
      <c r="BK1293" s="41"/>
      <c r="BL1293" s="41"/>
      <c r="BM1293" s="41"/>
      <c r="BN1293" s="41"/>
      <c r="BO1293" s="41"/>
      <c r="BP1293" s="41"/>
      <c r="BQ1293" s="41"/>
      <c r="BR1293" s="41"/>
      <c r="BS1293" s="41"/>
      <c r="BT1293" s="41"/>
      <c r="BU1293" s="41"/>
      <c r="BV1293" s="41"/>
      <c r="BW1293" s="41"/>
      <c r="BX1293" s="41"/>
      <c r="BY1293" s="41"/>
      <c r="BZ1293" s="41"/>
      <c r="CA1293" s="41"/>
      <c r="CB1293" s="41"/>
      <c r="CC1293" s="41"/>
      <c r="CD1293" s="41"/>
      <c r="CE1293" s="41"/>
      <c r="CF1293" s="41"/>
      <c r="CG1293" s="41"/>
      <c r="CH1293" s="41"/>
      <c r="CI1293" s="41"/>
      <c r="CJ1293" s="41"/>
      <c r="CK1293" s="41"/>
      <c r="CL1293" s="41"/>
      <c r="CM1293" s="41"/>
      <c r="CN1293" s="41"/>
      <c r="CO1293" s="41"/>
      <c r="CP1293" s="41"/>
      <c r="CQ1293" s="41"/>
      <c r="CR1293" s="41"/>
      <c r="CS1293" s="41"/>
      <c r="CT1293" s="41">
        <v>1</v>
      </c>
      <c r="CU1293" s="41"/>
      <c r="CV1293" s="41"/>
      <c r="CW1293" s="41"/>
      <c r="CX1293" s="41"/>
      <c r="CY1293" s="41"/>
      <c r="CZ1293" s="41"/>
      <c r="DA1293" s="41"/>
      <c r="DB1293" s="41"/>
      <c r="DC1293" s="41"/>
      <c r="DD1293" s="41"/>
      <c r="DE1293" s="41"/>
      <c r="DF1293" s="41"/>
      <c r="DG1293" s="41"/>
      <c r="DH1293" s="41"/>
      <c r="DI1293" s="41"/>
      <c r="DJ1293" s="41"/>
      <c r="DK1293" s="41"/>
      <c r="DL1293" s="41"/>
      <c r="DM1293" s="41"/>
      <c r="DN1293" s="41"/>
      <c r="DO1293" s="41"/>
      <c r="DP1293" s="41"/>
      <c r="DQ1293" s="41"/>
      <c r="DR1293" s="41"/>
      <c r="DS1293" s="43"/>
      <c r="DT1293" s="44">
        <f t="shared" ref="DT1293" si="1274">SUM(F1293:DR1293)</f>
        <v>1</v>
      </c>
    </row>
    <row r="1294" spans="2:124" s="13" customFormat="1">
      <c r="B1294" s="4">
        <f>'6.1Personnel List'!B1295</f>
        <v>1282</v>
      </c>
      <c r="C1294" s="45" t="s">
        <v>1511</v>
      </c>
      <c r="D1294" s="45" t="str">
        <f>'6.1Personnel List'!D1295</f>
        <v>Physical Therapist I</v>
      </c>
      <c r="E1294" s="45" t="str">
        <f>'6.1Personnel List'!H1295</f>
        <v>FT</v>
      </c>
      <c r="G1294" s="41"/>
      <c r="H1294" s="41"/>
      <c r="I1294" s="41"/>
      <c r="J1294" s="41"/>
      <c r="K1294" s="41"/>
      <c r="L1294" s="41"/>
      <c r="M1294" s="41"/>
      <c r="N1294" s="41"/>
      <c r="O1294" s="41"/>
      <c r="P1294" s="41"/>
      <c r="Q1294" s="41"/>
      <c r="R1294" s="41"/>
      <c r="S1294" s="41"/>
      <c r="T1294" s="41"/>
      <c r="U1294" s="41"/>
      <c r="V1294" s="41"/>
      <c r="W1294" s="41"/>
      <c r="X1294" s="41"/>
      <c r="Y1294" s="41"/>
      <c r="Z1294" s="41"/>
      <c r="AA1294" s="41"/>
      <c r="AB1294" s="41"/>
      <c r="AC1294" s="41"/>
      <c r="AD1294" s="41"/>
      <c r="AE1294" s="41"/>
      <c r="AF1294" s="41"/>
      <c r="AG1294" s="41"/>
      <c r="AH1294" s="41"/>
      <c r="AI1294" s="41"/>
      <c r="AJ1294" s="41"/>
      <c r="AK1294" s="41"/>
      <c r="AL1294" s="41"/>
      <c r="AM1294" s="41"/>
      <c r="AN1294" s="41"/>
      <c r="AO1294" s="41"/>
      <c r="AP1294" s="41"/>
      <c r="AQ1294" s="41"/>
      <c r="AR1294" s="41"/>
      <c r="AS1294" s="41"/>
      <c r="AT1294" s="41"/>
      <c r="AU1294" s="41"/>
      <c r="AV1294" s="41"/>
      <c r="AW1294" s="41"/>
      <c r="AX1294" s="41"/>
      <c r="AY1294" s="41"/>
      <c r="AZ1294" s="41"/>
      <c r="BA1294" s="41"/>
      <c r="BB1294" s="41"/>
      <c r="BC1294" s="41"/>
      <c r="BD1294" s="41"/>
      <c r="BE1294" s="41"/>
      <c r="BF1294" s="41"/>
      <c r="BG1294" s="41"/>
      <c r="BH1294" s="41"/>
      <c r="BJ1294" s="41"/>
      <c r="BK1294" s="41"/>
      <c r="BL1294" s="41"/>
      <c r="BM1294" s="41"/>
      <c r="BN1294" s="41"/>
      <c r="BO1294" s="41"/>
      <c r="BP1294" s="41"/>
      <c r="BQ1294" s="41"/>
      <c r="BR1294" s="41"/>
      <c r="BS1294" s="41"/>
      <c r="BT1294" s="41"/>
      <c r="BU1294" s="41"/>
      <c r="BV1294" s="41"/>
      <c r="BW1294" s="41"/>
      <c r="BX1294" s="41"/>
      <c r="BY1294" s="41"/>
      <c r="BZ1294" s="41"/>
      <c r="CA1294" s="41"/>
      <c r="CB1294" s="41"/>
      <c r="CC1294" s="41"/>
      <c r="CD1294" s="41"/>
      <c r="CE1294" s="41"/>
      <c r="CF1294" s="41"/>
      <c r="CG1294" s="41"/>
      <c r="CH1294" s="41"/>
      <c r="CI1294" s="41"/>
      <c r="CJ1294" s="41"/>
      <c r="CK1294" s="41"/>
      <c r="CL1294" s="41"/>
      <c r="CM1294" s="41"/>
      <c r="CN1294" s="41"/>
      <c r="CO1294" s="41"/>
      <c r="CP1294" s="41"/>
      <c r="CQ1294" s="41"/>
      <c r="CR1294" s="41"/>
      <c r="CS1294" s="41"/>
      <c r="CT1294" s="41">
        <v>1</v>
      </c>
      <c r="CU1294" s="41"/>
      <c r="CV1294" s="41"/>
      <c r="CW1294" s="41"/>
      <c r="CX1294" s="41"/>
      <c r="CY1294" s="41"/>
      <c r="CZ1294" s="41"/>
      <c r="DA1294" s="41"/>
      <c r="DB1294" s="41"/>
      <c r="DC1294" s="41"/>
      <c r="DD1294" s="41"/>
      <c r="DE1294" s="41"/>
      <c r="DF1294" s="41"/>
      <c r="DG1294" s="41"/>
      <c r="DH1294" s="41"/>
      <c r="DI1294" s="41"/>
      <c r="DJ1294" s="41"/>
      <c r="DK1294" s="41"/>
      <c r="DL1294" s="41"/>
      <c r="DM1294" s="41"/>
      <c r="DN1294" s="41"/>
      <c r="DO1294" s="41"/>
      <c r="DP1294" s="41"/>
      <c r="DQ1294" s="41"/>
      <c r="DR1294" s="41"/>
      <c r="DS1294" s="43"/>
      <c r="DT1294" s="44">
        <f t="shared" ref="DT1294" si="1275">SUM(F1294:DR1294)</f>
        <v>1</v>
      </c>
    </row>
    <row r="1295" spans="2:124" s="13" customFormat="1">
      <c r="B1295" s="4">
        <f>'6.1Personnel List'!B1296</f>
        <v>1283</v>
      </c>
      <c r="C1295" s="45" t="s">
        <v>1512</v>
      </c>
      <c r="D1295" s="45" t="str">
        <f>'6.1Personnel List'!D1296</f>
        <v>Nursing Attendant II</v>
      </c>
      <c r="E1295" s="45" t="str">
        <f>'6.1Personnel List'!H1296</f>
        <v>FT</v>
      </c>
      <c r="G1295" s="41"/>
      <c r="H1295" s="41"/>
      <c r="I1295" s="41"/>
      <c r="J1295" s="41"/>
      <c r="K1295" s="41"/>
      <c r="L1295" s="41"/>
      <c r="M1295" s="41"/>
      <c r="N1295" s="41"/>
      <c r="O1295" s="41"/>
      <c r="P1295" s="41"/>
      <c r="Q1295" s="41"/>
      <c r="R1295" s="41"/>
      <c r="S1295" s="41"/>
      <c r="T1295" s="41"/>
      <c r="U1295" s="41"/>
      <c r="V1295" s="41"/>
      <c r="W1295" s="41"/>
      <c r="X1295" s="41"/>
      <c r="Y1295" s="41"/>
      <c r="Z1295" s="41"/>
      <c r="AA1295" s="41"/>
      <c r="AB1295" s="41"/>
      <c r="AC1295" s="41"/>
      <c r="AD1295" s="41"/>
      <c r="AE1295" s="41"/>
      <c r="AF1295" s="41"/>
      <c r="AG1295" s="41"/>
      <c r="AH1295" s="41"/>
      <c r="AI1295" s="41"/>
      <c r="AJ1295" s="41"/>
      <c r="AK1295" s="41"/>
      <c r="AL1295" s="41"/>
      <c r="AM1295" s="41"/>
      <c r="AN1295" s="41"/>
      <c r="AO1295" s="41"/>
      <c r="AP1295" s="41"/>
      <c r="AQ1295" s="41"/>
      <c r="AR1295" s="41"/>
      <c r="AS1295" s="41"/>
      <c r="AT1295" s="41"/>
      <c r="AU1295" s="41"/>
      <c r="AV1295" s="41"/>
      <c r="AW1295" s="41"/>
      <c r="AX1295" s="41"/>
      <c r="AY1295" s="41"/>
      <c r="AZ1295" s="41"/>
      <c r="BA1295" s="41"/>
      <c r="BB1295" s="41"/>
      <c r="BC1295" s="41"/>
      <c r="BD1295" s="41"/>
      <c r="BE1295" s="41"/>
      <c r="BF1295" s="41"/>
      <c r="BG1295" s="41"/>
      <c r="BH1295" s="41"/>
      <c r="BJ1295" s="41"/>
      <c r="BK1295" s="41"/>
      <c r="BL1295" s="41"/>
      <c r="BM1295" s="41"/>
      <c r="BN1295" s="41"/>
      <c r="BO1295" s="41"/>
      <c r="BP1295" s="41"/>
      <c r="BQ1295" s="41"/>
      <c r="BR1295" s="41"/>
      <c r="BS1295" s="41"/>
      <c r="BT1295" s="41"/>
      <c r="BU1295" s="41"/>
      <c r="BV1295" s="41"/>
      <c r="BW1295" s="41"/>
      <c r="BX1295" s="41"/>
      <c r="BY1295" s="41"/>
      <c r="BZ1295" s="41"/>
      <c r="CA1295" s="41"/>
      <c r="CB1295" s="41"/>
      <c r="CC1295" s="41"/>
      <c r="CD1295" s="41"/>
      <c r="CE1295" s="41"/>
      <c r="CF1295" s="41"/>
      <c r="CG1295" s="41"/>
      <c r="CH1295" s="41"/>
      <c r="CI1295" s="41"/>
      <c r="CJ1295" s="41"/>
      <c r="CK1295" s="41"/>
      <c r="CL1295" s="41"/>
      <c r="CM1295" s="41"/>
      <c r="CN1295" s="41"/>
      <c r="CO1295" s="41"/>
      <c r="CP1295" s="41"/>
      <c r="CQ1295" s="41"/>
      <c r="CR1295" s="41"/>
      <c r="CS1295" s="41"/>
      <c r="CT1295" s="41">
        <v>1</v>
      </c>
      <c r="CU1295" s="41"/>
      <c r="CV1295" s="41"/>
      <c r="CW1295" s="41"/>
      <c r="CX1295" s="41"/>
      <c r="CY1295" s="41"/>
      <c r="CZ1295" s="41"/>
      <c r="DA1295" s="41"/>
      <c r="DB1295" s="41"/>
      <c r="DC1295" s="41"/>
      <c r="DD1295" s="41"/>
      <c r="DE1295" s="41"/>
      <c r="DF1295" s="41"/>
      <c r="DG1295" s="41"/>
      <c r="DH1295" s="41"/>
      <c r="DI1295" s="41"/>
      <c r="DJ1295" s="41"/>
      <c r="DK1295" s="41"/>
      <c r="DL1295" s="41"/>
      <c r="DM1295" s="41"/>
      <c r="DN1295" s="41"/>
      <c r="DO1295" s="41"/>
      <c r="DP1295" s="41"/>
      <c r="DQ1295" s="41"/>
      <c r="DR1295" s="41"/>
      <c r="DS1295" s="43"/>
      <c r="DT1295" s="44">
        <f t="shared" ref="DT1295" si="1276">SUM(F1295:DR1295)</f>
        <v>1</v>
      </c>
    </row>
    <row r="1296" spans="2:124" s="13" customFormat="1">
      <c r="B1296" s="4">
        <f>'6.1Personnel List'!B1297</f>
        <v>1284</v>
      </c>
      <c r="C1296" s="45" t="s">
        <v>1513</v>
      </c>
      <c r="D1296" s="45" t="str">
        <f>'6.1Personnel List'!D1297</f>
        <v>Nursing Attendant II</v>
      </c>
      <c r="E1296" s="45" t="str">
        <f>'6.1Personnel List'!H1297</f>
        <v>FT</v>
      </c>
      <c r="G1296" s="41"/>
      <c r="H1296" s="41"/>
      <c r="I1296" s="41"/>
      <c r="J1296" s="41"/>
      <c r="K1296" s="41"/>
      <c r="L1296" s="41"/>
      <c r="M1296" s="41"/>
      <c r="N1296" s="41"/>
      <c r="O1296" s="41"/>
      <c r="P1296" s="41"/>
      <c r="Q1296" s="41"/>
      <c r="R1296" s="41"/>
      <c r="S1296" s="41"/>
      <c r="T1296" s="41"/>
      <c r="U1296" s="41"/>
      <c r="V1296" s="41"/>
      <c r="W1296" s="41"/>
      <c r="X1296" s="41"/>
      <c r="Y1296" s="41"/>
      <c r="Z1296" s="41"/>
      <c r="AA1296" s="41"/>
      <c r="AB1296" s="41"/>
      <c r="AC1296" s="41"/>
      <c r="AD1296" s="41"/>
      <c r="AE1296" s="41"/>
      <c r="AF1296" s="41"/>
      <c r="AG1296" s="41"/>
      <c r="AH1296" s="41"/>
      <c r="AI1296" s="41"/>
      <c r="AJ1296" s="41"/>
      <c r="AK1296" s="41"/>
      <c r="AL1296" s="41"/>
      <c r="AM1296" s="41"/>
      <c r="AN1296" s="41"/>
      <c r="AO1296" s="41"/>
      <c r="AP1296" s="41"/>
      <c r="AQ1296" s="41"/>
      <c r="AR1296" s="41"/>
      <c r="AS1296" s="41"/>
      <c r="AT1296" s="41"/>
      <c r="AU1296" s="41"/>
      <c r="AV1296" s="41"/>
      <c r="AW1296" s="41"/>
      <c r="AX1296" s="41"/>
      <c r="AY1296" s="41"/>
      <c r="AZ1296" s="41"/>
      <c r="BA1296" s="41"/>
      <c r="BB1296" s="41"/>
      <c r="BC1296" s="41"/>
      <c r="BD1296" s="41"/>
      <c r="BE1296" s="41"/>
      <c r="BF1296" s="41"/>
      <c r="BG1296" s="41"/>
      <c r="BH1296" s="41"/>
      <c r="BJ1296" s="41"/>
      <c r="BK1296" s="41"/>
      <c r="BL1296" s="41"/>
      <c r="BM1296" s="41"/>
      <c r="BN1296" s="41"/>
      <c r="BO1296" s="41"/>
      <c r="BP1296" s="41"/>
      <c r="BQ1296" s="41"/>
      <c r="BR1296" s="41"/>
      <c r="BS1296" s="41"/>
      <c r="BT1296" s="41"/>
      <c r="BU1296" s="41"/>
      <c r="BV1296" s="41"/>
      <c r="BW1296" s="41"/>
      <c r="BX1296" s="41"/>
      <c r="BY1296" s="41"/>
      <c r="BZ1296" s="41"/>
      <c r="CA1296" s="41"/>
      <c r="CB1296" s="41"/>
      <c r="CC1296" s="41"/>
      <c r="CD1296" s="41"/>
      <c r="CE1296" s="41"/>
      <c r="CF1296" s="41"/>
      <c r="CG1296" s="41"/>
      <c r="CH1296" s="41"/>
      <c r="CI1296" s="41"/>
      <c r="CJ1296" s="41"/>
      <c r="CK1296" s="41"/>
      <c r="CL1296" s="41"/>
      <c r="CM1296" s="41"/>
      <c r="CN1296" s="41"/>
      <c r="CO1296" s="41"/>
      <c r="CP1296" s="41"/>
      <c r="CQ1296" s="41"/>
      <c r="CR1296" s="41"/>
      <c r="CS1296" s="41"/>
      <c r="CT1296" s="41">
        <v>1</v>
      </c>
      <c r="CU1296" s="41"/>
      <c r="CV1296" s="41"/>
      <c r="CW1296" s="41"/>
      <c r="CX1296" s="41"/>
      <c r="CY1296" s="41"/>
      <c r="CZ1296" s="41"/>
      <c r="DA1296" s="41"/>
      <c r="DB1296" s="41"/>
      <c r="DC1296" s="41"/>
      <c r="DD1296" s="41"/>
      <c r="DE1296" s="41"/>
      <c r="DF1296" s="41"/>
      <c r="DG1296" s="41"/>
      <c r="DH1296" s="41"/>
      <c r="DI1296" s="41"/>
      <c r="DJ1296" s="41"/>
      <c r="DK1296" s="41"/>
      <c r="DL1296" s="41"/>
      <c r="DM1296" s="41"/>
      <c r="DN1296" s="41"/>
      <c r="DO1296" s="41"/>
      <c r="DP1296" s="41"/>
      <c r="DQ1296" s="41"/>
      <c r="DR1296" s="41"/>
      <c r="DS1296" s="43"/>
      <c r="DT1296" s="44">
        <f t="shared" ref="DT1296" si="1277">SUM(F1296:DR1296)</f>
        <v>1</v>
      </c>
    </row>
    <row r="1297" spans="2:124" s="13" customFormat="1">
      <c r="B1297" s="4">
        <f>'6.1Personnel List'!B1298</f>
        <v>1285</v>
      </c>
      <c r="C1297" s="45" t="s">
        <v>1514</v>
      </c>
      <c r="D1297" s="45" t="str">
        <f>'6.1Personnel List'!D1298</f>
        <v>Nursing Attendant II</v>
      </c>
      <c r="E1297" s="45" t="str">
        <f>'6.1Personnel List'!H1298</f>
        <v>FT</v>
      </c>
      <c r="G1297" s="41"/>
      <c r="H1297" s="41"/>
      <c r="I1297" s="41"/>
      <c r="J1297" s="41"/>
      <c r="K1297" s="41"/>
      <c r="L1297" s="41"/>
      <c r="M1297" s="41"/>
      <c r="N1297" s="41"/>
      <c r="O1297" s="41"/>
      <c r="P1297" s="41"/>
      <c r="Q1297" s="41"/>
      <c r="R1297" s="41"/>
      <c r="S1297" s="41"/>
      <c r="T1297" s="41"/>
      <c r="U1297" s="41"/>
      <c r="V1297" s="41"/>
      <c r="W1297" s="41"/>
      <c r="X1297" s="41"/>
      <c r="Y1297" s="41"/>
      <c r="Z1297" s="41"/>
      <c r="AA1297" s="41"/>
      <c r="AB1297" s="41"/>
      <c r="AC1297" s="41"/>
      <c r="AD1297" s="41"/>
      <c r="AE1297" s="41"/>
      <c r="AF1297" s="41"/>
      <c r="AG1297" s="41"/>
      <c r="AH1297" s="41"/>
      <c r="AI1297" s="41"/>
      <c r="AJ1297" s="41"/>
      <c r="AK1297" s="41"/>
      <c r="AL1297" s="41"/>
      <c r="AM1297" s="41"/>
      <c r="AN1297" s="41"/>
      <c r="AO1297" s="41"/>
      <c r="AP1297" s="41"/>
      <c r="AQ1297" s="41"/>
      <c r="AR1297" s="41"/>
      <c r="AS1297" s="41"/>
      <c r="AT1297" s="41"/>
      <c r="AU1297" s="41"/>
      <c r="AV1297" s="41"/>
      <c r="AW1297" s="41"/>
      <c r="AX1297" s="41"/>
      <c r="AY1297" s="41"/>
      <c r="AZ1297" s="41"/>
      <c r="BA1297" s="41"/>
      <c r="BB1297" s="41"/>
      <c r="BC1297" s="41"/>
      <c r="BD1297" s="41"/>
      <c r="BE1297" s="41"/>
      <c r="BF1297" s="41"/>
      <c r="BG1297" s="41"/>
      <c r="BH1297" s="41"/>
      <c r="BJ1297" s="41"/>
      <c r="BK1297" s="41"/>
      <c r="BL1297" s="41"/>
      <c r="BM1297" s="41"/>
      <c r="BN1297" s="41"/>
      <c r="BO1297" s="41"/>
      <c r="BP1297" s="41"/>
      <c r="BQ1297" s="41"/>
      <c r="BR1297" s="41"/>
      <c r="BS1297" s="41"/>
      <c r="BT1297" s="41"/>
      <c r="BU1297" s="41"/>
      <c r="BV1297" s="41"/>
      <c r="BW1297" s="41"/>
      <c r="BX1297" s="41"/>
      <c r="BY1297" s="41"/>
      <c r="BZ1297" s="41"/>
      <c r="CA1297" s="41"/>
      <c r="CB1297" s="41"/>
      <c r="CC1297" s="41"/>
      <c r="CD1297" s="41"/>
      <c r="CE1297" s="41"/>
      <c r="CF1297" s="41"/>
      <c r="CG1297" s="41"/>
      <c r="CH1297" s="41"/>
      <c r="CI1297" s="41"/>
      <c r="CJ1297" s="41"/>
      <c r="CK1297" s="41"/>
      <c r="CL1297" s="41"/>
      <c r="CM1297" s="41"/>
      <c r="CN1297" s="41"/>
      <c r="CO1297" s="41"/>
      <c r="CP1297" s="41"/>
      <c r="CQ1297" s="41"/>
      <c r="CR1297" s="41"/>
      <c r="CS1297" s="41"/>
      <c r="CT1297" s="41">
        <v>1</v>
      </c>
      <c r="CU1297" s="41"/>
      <c r="CV1297" s="41"/>
      <c r="CW1297" s="41"/>
      <c r="CX1297" s="41"/>
      <c r="CY1297" s="41"/>
      <c r="CZ1297" s="41"/>
      <c r="DA1297" s="41"/>
      <c r="DB1297" s="41"/>
      <c r="DC1297" s="41"/>
      <c r="DD1297" s="41"/>
      <c r="DE1297" s="41"/>
      <c r="DF1297" s="41"/>
      <c r="DG1297" s="41"/>
      <c r="DH1297" s="41"/>
      <c r="DI1297" s="41"/>
      <c r="DJ1297" s="41"/>
      <c r="DK1297" s="41"/>
      <c r="DL1297" s="41"/>
      <c r="DM1297" s="41"/>
      <c r="DN1297" s="41"/>
      <c r="DO1297" s="41"/>
      <c r="DP1297" s="41"/>
      <c r="DQ1297" s="41"/>
      <c r="DR1297" s="41"/>
      <c r="DS1297" s="43"/>
      <c r="DT1297" s="44">
        <f t="shared" ref="DT1297" si="1278">SUM(F1297:DR1297)</f>
        <v>1</v>
      </c>
    </row>
    <row r="1298" spans="2:124" s="13" customFormat="1">
      <c r="B1298" s="4">
        <f>'6.1Personnel List'!B1299</f>
        <v>1286</v>
      </c>
      <c r="C1298" s="45" t="s">
        <v>1515</v>
      </c>
      <c r="D1298" s="45" t="str">
        <f>'6.1Personnel List'!D1299</f>
        <v>Nursing Attendant II</v>
      </c>
      <c r="E1298" s="45" t="str">
        <f>'6.1Personnel List'!H1299</f>
        <v>FT</v>
      </c>
      <c r="G1298" s="41"/>
      <c r="H1298" s="41"/>
      <c r="I1298" s="41"/>
      <c r="J1298" s="41"/>
      <c r="K1298" s="41"/>
      <c r="L1298" s="41"/>
      <c r="M1298" s="41"/>
      <c r="N1298" s="41"/>
      <c r="O1298" s="41"/>
      <c r="P1298" s="41"/>
      <c r="Q1298" s="41"/>
      <c r="R1298" s="41"/>
      <c r="S1298" s="41"/>
      <c r="T1298" s="41"/>
      <c r="U1298" s="41"/>
      <c r="V1298" s="41"/>
      <c r="W1298" s="41"/>
      <c r="X1298" s="41"/>
      <c r="Y1298" s="41"/>
      <c r="Z1298" s="41"/>
      <c r="AA1298" s="41"/>
      <c r="AB1298" s="41"/>
      <c r="AC1298" s="41"/>
      <c r="AD1298" s="41"/>
      <c r="AE1298" s="41"/>
      <c r="AF1298" s="41"/>
      <c r="AG1298" s="41"/>
      <c r="AH1298" s="41"/>
      <c r="AI1298" s="41"/>
      <c r="AJ1298" s="41"/>
      <c r="AK1298" s="41"/>
      <c r="AL1298" s="41"/>
      <c r="AM1298" s="41"/>
      <c r="AN1298" s="41"/>
      <c r="AO1298" s="41"/>
      <c r="AP1298" s="41"/>
      <c r="AQ1298" s="41"/>
      <c r="AR1298" s="41"/>
      <c r="AS1298" s="41"/>
      <c r="AT1298" s="41"/>
      <c r="AU1298" s="41"/>
      <c r="AV1298" s="41"/>
      <c r="AW1298" s="41"/>
      <c r="AX1298" s="41"/>
      <c r="AY1298" s="41"/>
      <c r="AZ1298" s="41"/>
      <c r="BA1298" s="41"/>
      <c r="BB1298" s="41"/>
      <c r="BC1298" s="41"/>
      <c r="BD1298" s="41"/>
      <c r="BE1298" s="41"/>
      <c r="BF1298" s="41"/>
      <c r="BG1298" s="41"/>
      <c r="BH1298" s="41"/>
      <c r="BJ1298" s="41"/>
      <c r="BK1298" s="41"/>
      <c r="BL1298" s="41"/>
      <c r="BM1298" s="41"/>
      <c r="BN1298" s="41"/>
      <c r="BO1298" s="41"/>
      <c r="BP1298" s="41"/>
      <c r="BQ1298" s="41"/>
      <c r="BR1298" s="41"/>
      <c r="BS1298" s="41"/>
      <c r="BT1298" s="41"/>
      <c r="BU1298" s="41"/>
      <c r="BV1298" s="41"/>
      <c r="BW1298" s="41"/>
      <c r="BX1298" s="41"/>
      <c r="BY1298" s="41"/>
      <c r="BZ1298" s="41"/>
      <c r="CA1298" s="41"/>
      <c r="CB1298" s="41"/>
      <c r="CC1298" s="41"/>
      <c r="CD1298" s="41"/>
      <c r="CE1298" s="41"/>
      <c r="CF1298" s="41"/>
      <c r="CG1298" s="41"/>
      <c r="CH1298" s="41"/>
      <c r="CI1298" s="41"/>
      <c r="CJ1298" s="41"/>
      <c r="CK1298" s="41"/>
      <c r="CL1298" s="41"/>
      <c r="CM1298" s="41"/>
      <c r="CN1298" s="41"/>
      <c r="CO1298" s="41"/>
      <c r="CP1298" s="41"/>
      <c r="CQ1298" s="41"/>
      <c r="CR1298" s="41"/>
      <c r="CS1298" s="41"/>
      <c r="CT1298" s="41">
        <v>1</v>
      </c>
      <c r="CU1298" s="41"/>
      <c r="CV1298" s="41"/>
      <c r="CW1298" s="41"/>
      <c r="CX1298" s="41"/>
      <c r="CY1298" s="41"/>
      <c r="CZ1298" s="41"/>
      <c r="DA1298" s="41"/>
      <c r="DB1298" s="41"/>
      <c r="DC1298" s="41"/>
      <c r="DD1298" s="41"/>
      <c r="DE1298" s="41"/>
      <c r="DF1298" s="41"/>
      <c r="DG1298" s="41"/>
      <c r="DH1298" s="41"/>
      <c r="DI1298" s="41"/>
      <c r="DJ1298" s="41"/>
      <c r="DK1298" s="41"/>
      <c r="DL1298" s="41"/>
      <c r="DM1298" s="41"/>
      <c r="DN1298" s="41"/>
      <c r="DO1298" s="41"/>
      <c r="DP1298" s="41"/>
      <c r="DQ1298" s="41"/>
      <c r="DR1298" s="41"/>
      <c r="DS1298" s="43"/>
      <c r="DT1298" s="44">
        <f t="shared" ref="DT1298" si="1279">SUM(F1298:DR1298)</f>
        <v>1</v>
      </c>
    </row>
    <row r="1299" spans="2:124" s="13" customFormat="1">
      <c r="B1299" s="4">
        <f>'6.1Personnel List'!B1300</f>
        <v>1287</v>
      </c>
      <c r="C1299" s="45" t="s">
        <v>1516</v>
      </c>
      <c r="D1299" s="45" t="str">
        <f>'6.1Personnel List'!D1300</f>
        <v xml:space="preserve">Laboratory Aide II </v>
      </c>
      <c r="E1299" s="45" t="str">
        <f>'6.1Personnel List'!H1300</f>
        <v>FT</v>
      </c>
      <c r="G1299" s="41"/>
      <c r="H1299" s="41"/>
      <c r="I1299" s="41"/>
      <c r="J1299" s="41"/>
      <c r="K1299" s="41"/>
      <c r="L1299" s="41"/>
      <c r="M1299" s="41"/>
      <c r="N1299" s="41"/>
      <c r="O1299" s="41"/>
      <c r="P1299" s="41"/>
      <c r="Q1299" s="41"/>
      <c r="R1299" s="41"/>
      <c r="S1299" s="41"/>
      <c r="T1299" s="41"/>
      <c r="U1299" s="41"/>
      <c r="V1299" s="41"/>
      <c r="W1299" s="41"/>
      <c r="X1299" s="41"/>
      <c r="Y1299" s="41"/>
      <c r="Z1299" s="41"/>
      <c r="AA1299" s="41"/>
      <c r="AB1299" s="41"/>
      <c r="AC1299" s="41"/>
      <c r="AD1299" s="41"/>
      <c r="AE1299" s="41"/>
      <c r="AF1299" s="41"/>
      <c r="AG1299" s="41"/>
      <c r="AH1299" s="41"/>
      <c r="AI1299" s="41"/>
      <c r="AJ1299" s="41"/>
      <c r="AK1299" s="41"/>
      <c r="AL1299" s="41"/>
      <c r="AM1299" s="41"/>
      <c r="AN1299" s="41"/>
      <c r="AO1299" s="41"/>
      <c r="AP1299" s="41"/>
      <c r="AQ1299" s="41"/>
      <c r="AR1299" s="41"/>
      <c r="AS1299" s="41"/>
      <c r="AT1299" s="41"/>
      <c r="AU1299" s="41"/>
      <c r="AV1299" s="41"/>
      <c r="AW1299" s="41"/>
      <c r="AX1299" s="41"/>
      <c r="AY1299" s="41"/>
      <c r="AZ1299" s="41"/>
      <c r="BA1299" s="41"/>
      <c r="BB1299" s="41"/>
      <c r="BC1299" s="41"/>
      <c r="BD1299" s="41"/>
      <c r="BE1299" s="41"/>
      <c r="BF1299" s="41"/>
      <c r="BG1299" s="41"/>
      <c r="BH1299" s="41"/>
      <c r="BJ1299" s="41"/>
      <c r="BK1299" s="41"/>
      <c r="BL1299" s="41"/>
      <c r="BM1299" s="41"/>
      <c r="BN1299" s="41"/>
      <c r="BO1299" s="41"/>
      <c r="BP1299" s="41"/>
      <c r="BQ1299" s="41"/>
      <c r="BR1299" s="41"/>
      <c r="BS1299" s="41"/>
      <c r="BT1299" s="41"/>
      <c r="BU1299" s="41"/>
      <c r="BV1299" s="41"/>
      <c r="BW1299" s="41"/>
      <c r="BX1299" s="41"/>
      <c r="BY1299" s="41"/>
      <c r="BZ1299" s="41"/>
      <c r="CA1299" s="41"/>
      <c r="CB1299" s="41"/>
      <c r="CC1299" s="41"/>
      <c r="CD1299" s="41"/>
      <c r="CE1299" s="41"/>
      <c r="CF1299" s="41"/>
      <c r="CG1299" s="41"/>
      <c r="CH1299" s="41"/>
      <c r="CI1299" s="41"/>
      <c r="CJ1299" s="41"/>
      <c r="CK1299" s="41"/>
      <c r="CL1299" s="41"/>
      <c r="CM1299" s="41"/>
      <c r="CN1299" s="41"/>
      <c r="CO1299" s="41"/>
      <c r="CP1299" s="41"/>
      <c r="CQ1299" s="41"/>
      <c r="CR1299" s="41"/>
      <c r="CS1299" s="41"/>
      <c r="CT1299" s="41">
        <v>1</v>
      </c>
      <c r="CU1299" s="41"/>
      <c r="CV1299" s="41"/>
      <c r="CW1299" s="41"/>
      <c r="CX1299" s="41"/>
      <c r="CY1299" s="41"/>
      <c r="CZ1299" s="41"/>
      <c r="DA1299" s="41"/>
      <c r="DB1299" s="41"/>
      <c r="DC1299" s="41"/>
      <c r="DD1299" s="41"/>
      <c r="DE1299" s="41"/>
      <c r="DF1299" s="41"/>
      <c r="DG1299" s="41"/>
      <c r="DH1299" s="41"/>
      <c r="DI1299" s="41"/>
      <c r="DJ1299" s="41"/>
      <c r="DK1299" s="41"/>
      <c r="DL1299" s="41"/>
      <c r="DM1299" s="41"/>
      <c r="DN1299" s="41"/>
      <c r="DO1299" s="41"/>
      <c r="DP1299" s="41"/>
      <c r="DQ1299" s="41"/>
      <c r="DR1299" s="41"/>
      <c r="DS1299" s="43"/>
      <c r="DT1299" s="44">
        <f t="shared" ref="DT1299" si="1280">SUM(F1299:DR1299)</f>
        <v>1</v>
      </c>
    </row>
    <row r="1300" spans="2:124" s="13" customFormat="1">
      <c r="B1300" s="4">
        <f>'6.1Personnel List'!B1301</f>
        <v>1288</v>
      </c>
      <c r="C1300" s="45" t="s">
        <v>1518</v>
      </c>
      <c r="D1300" s="45" t="str">
        <f>'6.1Personnel List'!D1301</f>
        <v xml:space="preserve">Laboratory Aide II </v>
      </c>
      <c r="E1300" s="45" t="str">
        <f>'6.1Personnel List'!H1301</f>
        <v>FT</v>
      </c>
      <c r="G1300" s="41"/>
      <c r="H1300" s="41"/>
      <c r="I1300" s="41"/>
      <c r="J1300" s="41"/>
      <c r="K1300" s="41"/>
      <c r="L1300" s="41"/>
      <c r="M1300" s="41"/>
      <c r="N1300" s="41"/>
      <c r="O1300" s="41"/>
      <c r="P1300" s="41"/>
      <c r="Q1300" s="41"/>
      <c r="R1300" s="41"/>
      <c r="S1300" s="41"/>
      <c r="T1300" s="41"/>
      <c r="U1300" s="41"/>
      <c r="V1300" s="41"/>
      <c r="W1300" s="41"/>
      <c r="X1300" s="41"/>
      <c r="Y1300" s="41"/>
      <c r="Z1300" s="41"/>
      <c r="AA1300" s="41"/>
      <c r="AB1300" s="41"/>
      <c r="AC1300" s="41"/>
      <c r="AD1300" s="41"/>
      <c r="AE1300" s="41"/>
      <c r="AF1300" s="41"/>
      <c r="AG1300" s="41"/>
      <c r="AH1300" s="41"/>
      <c r="AI1300" s="41"/>
      <c r="AJ1300" s="41"/>
      <c r="AK1300" s="41"/>
      <c r="AL1300" s="41"/>
      <c r="AM1300" s="41"/>
      <c r="AN1300" s="41"/>
      <c r="AO1300" s="41"/>
      <c r="AP1300" s="41"/>
      <c r="AQ1300" s="41"/>
      <c r="AR1300" s="41"/>
      <c r="AS1300" s="41"/>
      <c r="AT1300" s="41"/>
      <c r="AU1300" s="41"/>
      <c r="AV1300" s="41"/>
      <c r="AW1300" s="41"/>
      <c r="AX1300" s="41"/>
      <c r="AY1300" s="41"/>
      <c r="AZ1300" s="41"/>
      <c r="BA1300" s="41"/>
      <c r="BB1300" s="41"/>
      <c r="BC1300" s="41"/>
      <c r="BD1300" s="41"/>
      <c r="BE1300" s="41"/>
      <c r="BF1300" s="41"/>
      <c r="BG1300" s="41"/>
      <c r="BH1300" s="41"/>
      <c r="BJ1300" s="41"/>
      <c r="BK1300" s="41"/>
      <c r="BL1300" s="41"/>
      <c r="BM1300" s="41"/>
      <c r="BN1300" s="41"/>
      <c r="BO1300" s="41"/>
      <c r="BP1300" s="41"/>
      <c r="BQ1300" s="41"/>
      <c r="BR1300" s="41"/>
      <c r="BS1300" s="41"/>
      <c r="BT1300" s="41"/>
      <c r="BU1300" s="41"/>
      <c r="BV1300" s="41"/>
      <c r="BW1300" s="41"/>
      <c r="BX1300" s="41"/>
      <c r="BY1300" s="41"/>
      <c r="BZ1300" s="41"/>
      <c r="CA1300" s="41"/>
      <c r="CB1300" s="41"/>
      <c r="CC1300" s="41"/>
      <c r="CD1300" s="41"/>
      <c r="CE1300" s="41"/>
      <c r="CF1300" s="41"/>
      <c r="CG1300" s="41"/>
      <c r="CH1300" s="41"/>
      <c r="CI1300" s="41"/>
      <c r="CJ1300" s="41"/>
      <c r="CK1300" s="41"/>
      <c r="CL1300" s="41"/>
      <c r="CM1300" s="41"/>
      <c r="CN1300" s="41"/>
      <c r="CO1300" s="41"/>
      <c r="CP1300" s="41"/>
      <c r="CQ1300" s="41"/>
      <c r="CR1300" s="41"/>
      <c r="CS1300" s="41"/>
      <c r="CT1300" s="41">
        <v>1</v>
      </c>
      <c r="CU1300" s="41"/>
      <c r="CV1300" s="41"/>
      <c r="CW1300" s="41"/>
      <c r="CX1300" s="41"/>
      <c r="CY1300" s="41"/>
      <c r="CZ1300" s="41"/>
      <c r="DA1300" s="41"/>
      <c r="DB1300" s="41"/>
      <c r="DC1300" s="41"/>
      <c r="DD1300" s="41"/>
      <c r="DE1300" s="41"/>
      <c r="DF1300" s="41"/>
      <c r="DG1300" s="41"/>
      <c r="DH1300" s="41"/>
      <c r="DI1300" s="41"/>
      <c r="DJ1300" s="41"/>
      <c r="DK1300" s="41"/>
      <c r="DL1300" s="41"/>
      <c r="DM1300" s="41"/>
      <c r="DN1300" s="41"/>
      <c r="DO1300" s="41"/>
      <c r="DP1300" s="41"/>
      <c r="DQ1300" s="41"/>
      <c r="DR1300" s="41"/>
      <c r="DS1300" s="43"/>
      <c r="DT1300" s="44">
        <f t="shared" ref="DT1300" si="1281">SUM(F1300:DR1300)</f>
        <v>1</v>
      </c>
    </row>
    <row r="1301" spans="2:124" s="13" customFormat="1">
      <c r="B1301" s="4">
        <f>'6.1Personnel List'!B1302</f>
        <v>1289</v>
      </c>
      <c r="C1301" s="45" t="s">
        <v>1519</v>
      </c>
      <c r="D1301" s="45" t="str">
        <f>'6.1Personnel List'!D1302</f>
        <v xml:space="preserve">Nursing Attendant I </v>
      </c>
      <c r="E1301" s="45" t="str">
        <f>'6.1Personnel List'!H1302</f>
        <v>FT</v>
      </c>
      <c r="G1301" s="41"/>
      <c r="H1301" s="41"/>
      <c r="I1301" s="41"/>
      <c r="J1301" s="41"/>
      <c r="K1301" s="41"/>
      <c r="L1301" s="41"/>
      <c r="M1301" s="41"/>
      <c r="N1301" s="41"/>
      <c r="O1301" s="41"/>
      <c r="P1301" s="41"/>
      <c r="Q1301" s="41"/>
      <c r="R1301" s="41"/>
      <c r="S1301" s="41"/>
      <c r="T1301" s="41"/>
      <c r="U1301" s="41"/>
      <c r="V1301" s="41"/>
      <c r="W1301" s="41"/>
      <c r="X1301" s="41"/>
      <c r="Y1301" s="41"/>
      <c r="Z1301" s="41"/>
      <c r="AA1301" s="41"/>
      <c r="AB1301" s="41"/>
      <c r="AC1301" s="41"/>
      <c r="AD1301" s="41"/>
      <c r="AE1301" s="41"/>
      <c r="AF1301" s="41"/>
      <c r="AG1301" s="41"/>
      <c r="AH1301" s="41"/>
      <c r="AI1301" s="41"/>
      <c r="AJ1301" s="41"/>
      <c r="AK1301" s="41"/>
      <c r="AL1301" s="41"/>
      <c r="AM1301" s="41"/>
      <c r="AN1301" s="41"/>
      <c r="AO1301" s="41"/>
      <c r="AP1301" s="41"/>
      <c r="AQ1301" s="41"/>
      <c r="AR1301" s="41"/>
      <c r="AS1301" s="41"/>
      <c r="AT1301" s="41"/>
      <c r="AU1301" s="41"/>
      <c r="AV1301" s="41"/>
      <c r="AW1301" s="41"/>
      <c r="AX1301" s="41"/>
      <c r="AY1301" s="41"/>
      <c r="AZ1301" s="41"/>
      <c r="BA1301" s="41"/>
      <c r="BB1301" s="41"/>
      <c r="BC1301" s="41"/>
      <c r="BD1301" s="41"/>
      <c r="BE1301" s="41"/>
      <c r="BF1301" s="41"/>
      <c r="BG1301" s="41"/>
      <c r="BH1301" s="41"/>
      <c r="BJ1301" s="41"/>
      <c r="BK1301" s="41"/>
      <c r="BL1301" s="41"/>
      <c r="BM1301" s="41"/>
      <c r="BN1301" s="41"/>
      <c r="BO1301" s="41"/>
      <c r="BP1301" s="41"/>
      <c r="BQ1301" s="41"/>
      <c r="BR1301" s="41"/>
      <c r="BS1301" s="41"/>
      <c r="BT1301" s="41"/>
      <c r="BU1301" s="41"/>
      <c r="BV1301" s="41"/>
      <c r="BW1301" s="41"/>
      <c r="BX1301" s="41"/>
      <c r="BY1301" s="41"/>
      <c r="BZ1301" s="41"/>
      <c r="CA1301" s="41"/>
      <c r="CB1301" s="41"/>
      <c r="CC1301" s="41"/>
      <c r="CD1301" s="41"/>
      <c r="CE1301" s="41"/>
      <c r="CF1301" s="41"/>
      <c r="CG1301" s="41"/>
      <c r="CH1301" s="41"/>
      <c r="CI1301" s="41"/>
      <c r="CJ1301" s="41"/>
      <c r="CK1301" s="41"/>
      <c r="CL1301" s="41"/>
      <c r="CM1301" s="41"/>
      <c r="CN1301" s="41"/>
      <c r="CO1301" s="41"/>
      <c r="CP1301" s="41"/>
      <c r="CQ1301" s="41"/>
      <c r="CR1301" s="41"/>
      <c r="CS1301" s="41"/>
      <c r="CT1301" s="41">
        <v>1</v>
      </c>
      <c r="CU1301" s="41"/>
      <c r="CV1301" s="41"/>
      <c r="CW1301" s="41"/>
      <c r="CX1301" s="41"/>
      <c r="CY1301" s="41"/>
      <c r="CZ1301" s="41"/>
      <c r="DA1301" s="41"/>
      <c r="DB1301" s="41"/>
      <c r="DC1301" s="41"/>
      <c r="DD1301" s="41"/>
      <c r="DE1301" s="41"/>
      <c r="DF1301" s="41"/>
      <c r="DG1301" s="41"/>
      <c r="DH1301" s="41"/>
      <c r="DI1301" s="41"/>
      <c r="DJ1301" s="41"/>
      <c r="DK1301" s="41"/>
      <c r="DL1301" s="41"/>
      <c r="DM1301" s="41"/>
      <c r="DN1301" s="41"/>
      <c r="DO1301" s="41"/>
      <c r="DP1301" s="41"/>
      <c r="DQ1301" s="41"/>
      <c r="DR1301" s="41"/>
      <c r="DS1301" s="43"/>
      <c r="DT1301" s="44">
        <f t="shared" ref="DT1301" si="1282">SUM(F1301:DR1301)</f>
        <v>1</v>
      </c>
    </row>
    <row r="1302" spans="2:124" s="13" customFormat="1">
      <c r="B1302" s="4">
        <f>'6.1Personnel List'!B1303</f>
        <v>1291</v>
      </c>
      <c r="C1302" s="45" t="str">
        <f>'6.1Personnel List'!C1303</f>
        <v xml:space="preserve">Mr. Dominador C. Dela Cruz </v>
      </c>
      <c r="D1302" s="45" t="str">
        <f>'6.1Personnel List'!D1303</f>
        <v xml:space="preserve">Administrative Aide I </v>
      </c>
      <c r="E1302" s="45" t="str">
        <f>'6.1Personnel List'!H1303</f>
        <v>FT</v>
      </c>
      <c r="G1302" s="41"/>
      <c r="H1302" s="41"/>
      <c r="I1302" s="41"/>
      <c r="J1302" s="41"/>
      <c r="K1302" s="41"/>
      <c r="L1302" s="41"/>
      <c r="M1302" s="41"/>
      <c r="N1302" s="41"/>
      <c r="O1302" s="41"/>
      <c r="P1302" s="41"/>
      <c r="Q1302" s="41"/>
      <c r="R1302" s="41"/>
      <c r="S1302" s="41"/>
      <c r="T1302" s="41"/>
      <c r="U1302" s="41"/>
      <c r="V1302" s="41"/>
      <c r="W1302" s="41"/>
      <c r="X1302" s="41"/>
      <c r="Y1302" s="41"/>
      <c r="Z1302" s="41"/>
      <c r="AA1302" s="41"/>
      <c r="AB1302" s="41"/>
      <c r="AC1302" s="41"/>
      <c r="AD1302" s="41"/>
      <c r="AE1302" s="41"/>
      <c r="AF1302" s="41"/>
      <c r="AG1302" s="41"/>
      <c r="AH1302" s="41"/>
      <c r="AI1302" s="41"/>
      <c r="AJ1302" s="41"/>
      <c r="AK1302" s="41"/>
      <c r="AL1302" s="41"/>
      <c r="AM1302" s="41"/>
      <c r="AN1302" s="41"/>
      <c r="AO1302" s="41"/>
      <c r="AP1302" s="41"/>
      <c r="AQ1302" s="41"/>
      <c r="AR1302" s="41"/>
      <c r="AS1302" s="41"/>
      <c r="AT1302" s="41"/>
      <c r="AU1302" s="41"/>
      <c r="AV1302" s="41"/>
      <c r="AW1302" s="41"/>
      <c r="AX1302" s="41"/>
      <c r="AY1302" s="41"/>
      <c r="AZ1302" s="41"/>
      <c r="BA1302" s="41"/>
      <c r="BB1302" s="41"/>
      <c r="BC1302" s="41"/>
      <c r="BD1302" s="41"/>
      <c r="BE1302" s="41"/>
      <c r="BF1302" s="41"/>
      <c r="BG1302" s="41"/>
      <c r="BH1302" s="41"/>
      <c r="BJ1302" s="41"/>
      <c r="BK1302" s="41"/>
      <c r="BL1302" s="41"/>
      <c r="BM1302" s="41"/>
      <c r="BN1302" s="41"/>
      <c r="BO1302" s="41"/>
      <c r="BP1302" s="41"/>
      <c r="BQ1302" s="41"/>
      <c r="BR1302" s="41"/>
      <c r="BS1302" s="41"/>
      <c r="BT1302" s="41"/>
      <c r="BU1302" s="41"/>
      <c r="BV1302" s="41"/>
      <c r="BW1302" s="41"/>
      <c r="BX1302" s="41"/>
      <c r="BY1302" s="41"/>
      <c r="BZ1302" s="41"/>
      <c r="CA1302" s="41"/>
      <c r="CB1302" s="41"/>
      <c r="CC1302" s="41"/>
      <c r="CD1302" s="41"/>
      <c r="CE1302" s="41"/>
      <c r="CF1302" s="41"/>
      <c r="CG1302" s="41"/>
      <c r="CH1302" s="41"/>
      <c r="CI1302" s="41"/>
      <c r="CJ1302" s="41"/>
      <c r="CK1302" s="41"/>
      <c r="CL1302" s="41"/>
      <c r="CM1302" s="41"/>
      <c r="CN1302" s="41"/>
      <c r="CO1302" s="41"/>
      <c r="CP1302" s="41"/>
      <c r="CQ1302" s="41"/>
      <c r="CR1302" s="41"/>
      <c r="CS1302" s="41"/>
      <c r="CT1302" s="41">
        <v>1</v>
      </c>
      <c r="CU1302" s="41"/>
      <c r="CV1302" s="41"/>
      <c r="CW1302" s="41"/>
      <c r="CX1302" s="41"/>
      <c r="CY1302" s="41"/>
      <c r="CZ1302" s="41"/>
      <c r="DA1302" s="41"/>
      <c r="DB1302" s="41"/>
      <c r="DC1302" s="41"/>
      <c r="DD1302" s="41"/>
      <c r="DE1302" s="41"/>
      <c r="DF1302" s="41"/>
      <c r="DG1302" s="41"/>
      <c r="DH1302" s="41"/>
      <c r="DI1302" s="41"/>
      <c r="DJ1302" s="41"/>
      <c r="DK1302" s="41"/>
      <c r="DL1302" s="41"/>
      <c r="DM1302" s="41"/>
      <c r="DN1302" s="41"/>
      <c r="DO1302" s="41"/>
      <c r="DP1302" s="41"/>
      <c r="DQ1302" s="41"/>
      <c r="DR1302" s="41"/>
      <c r="DS1302" s="43"/>
      <c r="DT1302" s="44">
        <f t="shared" ref="DT1302" si="1283">SUM(F1302:DR1302)</f>
        <v>1</v>
      </c>
    </row>
    <row r="1303" spans="2:124" s="13" customFormat="1">
      <c r="B1303" s="4">
        <f>'6.1Personnel List'!B1304</f>
        <v>1292</v>
      </c>
      <c r="C1303" s="45">
        <f>'6.1Personnel List'!C1304</f>
        <v>0</v>
      </c>
      <c r="D1303" s="45">
        <f>'6.1Personnel List'!D1304</f>
        <v>0</v>
      </c>
      <c r="E1303" s="45">
        <f>'6.1Personnel List'!H1304</f>
        <v>0</v>
      </c>
      <c r="G1303" s="41"/>
      <c r="H1303" s="41"/>
      <c r="I1303" s="41"/>
      <c r="J1303" s="41"/>
      <c r="K1303" s="41"/>
      <c r="L1303" s="41"/>
      <c r="M1303" s="41"/>
      <c r="N1303" s="41"/>
      <c r="O1303" s="41"/>
      <c r="P1303" s="41"/>
      <c r="Q1303" s="41"/>
      <c r="R1303" s="41"/>
      <c r="S1303" s="41"/>
      <c r="T1303" s="41"/>
      <c r="U1303" s="41"/>
      <c r="V1303" s="41"/>
      <c r="W1303" s="41"/>
      <c r="X1303" s="41"/>
      <c r="Y1303" s="41"/>
      <c r="Z1303" s="41"/>
      <c r="AA1303" s="41"/>
      <c r="AB1303" s="41"/>
      <c r="AC1303" s="41"/>
      <c r="AD1303" s="41"/>
      <c r="AE1303" s="41"/>
      <c r="AF1303" s="41"/>
      <c r="AG1303" s="41"/>
      <c r="AH1303" s="41"/>
      <c r="AI1303" s="41"/>
      <c r="AJ1303" s="41"/>
      <c r="AK1303" s="41"/>
      <c r="AL1303" s="41"/>
      <c r="AM1303" s="41"/>
      <c r="AN1303" s="41"/>
      <c r="AO1303" s="41"/>
      <c r="AP1303" s="41"/>
      <c r="AQ1303" s="41"/>
      <c r="AR1303" s="41"/>
      <c r="AS1303" s="41"/>
      <c r="AT1303" s="41"/>
      <c r="AU1303" s="41"/>
      <c r="AV1303" s="41"/>
      <c r="AW1303" s="41"/>
      <c r="AX1303" s="41"/>
      <c r="AY1303" s="41"/>
      <c r="AZ1303" s="41"/>
      <c r="BA1303" s="41"/>
      <c r="BB1303" s="41"/>
      <c r="BC1303" s="41"/>
      <c r="BD1303" s="41"/>
      <c r="BE1303" s="41"/>
      <c r="BF1303" s="41"/>
      <c r="BG1303" s="41"/>
      <c r="BH1303" s="41"/>
      <c r="BJ1303" s="41"/>
      <c r="BK1303" s="94"/>
      <c r="BL1303" s="94"/>
      <c r="BM1303" s="94"/>
      <c r="BN1303" s="94"/>
      <c r="BO1303" s="94"/>
      <c r="BP1303" s="94"/>
      <c r="BQ1303" s="94"/>
      <c r="BR1303" s="94"/>
      <c r="BS1303" s="94"/>
      <c r="BT1303" s="94"/>
      <c r="BU1303" s="94"/>
      <c r="BV1303" s="94"/>
      <c r="BW1303" s="94"/>
      <c r="BX1303" s="94"/>
      <c r="BY1303" s="94"/>
      <c r="BZ1303" s="94"/>
      <c r="CA1303" s="94"/>
      <c r="CB1303" s="94"/>
      <c r="CC1303" s="94"/>
      <c r="CD1303" s="94"/>
      <c r="CE1303" s="94"/>
      <c r="CF1303" s="94"/>
      <c r="CG1303" s="94"/>
      <c r="CH1303" s="94"/>
      <c r="CI1303" s="94"/>
      <c r="CJ1303" s="94"/>
      <c r="CK1303" s="94"/>
      <c r="CL1303" s="94"/>
      <c r="CM1303" s="94"/>
      <c r="CN1303" s="94"/>
      <c r="CO1303" s="94"/>
      <c r="CP1303" s="94"/>
      <c r="CQ1303" s="94"/>
      <c r="CR1303" s="94"/>
      <c r="CS1303" s="94"/>
      <c r="CT1303" s="94"/>
      <c r="CU1303" s="94"/>
      <c r="CV1303" s="94"/>
      <c r="CW1303" s="94"/>
      <c r="CX1303" s="94"/>
      <c r="CY1303" s="94"/>
      <c r="CZ1303" s="94"/>
      <c r="DA1303" s="94"/>
      <c r="DB1303" s="94"/>
      <c r="DC1303" s="94"/>
      <c r="DD1303" s="94"/>
      <c r="DE1303" s="94"/>
      <c r="DF1303" s="94"/>
      <c r="DG1303" s="94"/>
      <c r="DH1303" s="94"/>
      <c r="DI1303" s="94"/>
      <c r="DJ1303" s="94"/>
      <c r="DK1303" s="41"/>
      <c r="DL1303" s="41"/>
      <c r="DM1303" s="41"/>
      <c r="DN1303" s="41"/>
      <c r="DO1303" s="41"/>
      <c r="DP1303" s="41"/>
      <c r="DQ1303" s="41"/>
      <c r="DR1303" s="41"/>
      <c r="DS1303" s="43"/>
      <c r="DT1303" s="44">
        <f t="shared" ref="DT1303" si="1284">SUM(F1303:DR1303)</f>
        <v>0</v>
      </c>
    </row>
    <row r="1304" spans="2:124" s="13" customFormat="1">
      <c r="B1304" s="4">
        <f>'6.1Personnel List'!B1305</f>
        <v>1380</v>
      </c>
      <c r="C1304" s="45">
        <f>'6.1Personnel List'!C1305</f>
        <v>0</v>
      </c>
      <c r="D1304" s="45">
        <f>'6.1Personnel List'!D1305</f>
        <v>0</v>
      </c>
      <c r="E1304" s="45">
        <f>'6.1Personnel List'!H1305</f>
        <v>0</v>
      </c>
      <c r="G1304" s="41"/>
      <c r="H1304" s="41"/>
      <c r="I1304" s="41"/>
      <c r="J1304" s="41"/>
      <c r="K1304" s="41"/>
      <c r="L1304" s="41"/>
      <c r="M1304" s="41"/>
      <c r="N1304" s="41"/>
      <c r="O1304" s="41"/>
      <c r="P1304" s="41"/>
      <c r="Q1304" s="41"/>
      <c r="R1304" s="41"/>
      <c r="S1304" s="41"/>
      <c r="T1304" s="41"/>
      <c r="U1304" s="41"/>
      <c r="V1304" s="41"/>
      <c r="W1304" s="41"/>
      <c r="X1304" s="41"/>
      <c r="Y1304" s="41"/>
      <c r="Z1304" s="41"/>
      <c r="AA1304" s="41"/>
      <c r="AB1304" s="41"/>
      <c r="AC1304" s="41"/>
      <c r="AD1304" s="41"/>
      <c r="AE1304" s="41"/>
      <c r="AF1304" s="41"/>
      <c r="AG1304" s="41"/>
      <c r="AH1304" s="41"/>
      <c r="AI1304" s="41"/>
      <c r="AJ1304" s="41"/>
      <c r="AK1304" s="41"/>
      <c r="AL1304" s="41"/>
      <c r="AM1304" s="41"/>
      <c r="AN1304" s="41"/>
      <c r="AO1304" s="41"/>
      <c r="AP1304" s="41"/>
      <c r="AQ1304" s="41"/>
      <c r="AR1304" s="41"/>
      <c r="AS1304" s="41"/>
      <c r="AT1304" s="41"/>
      <c r="AU1304" s="41"/>
      <c r="AV1304" s="41"/>
      <c r="AW1304" s="41"/>
      <c r="AX1304" s="41"/>
      <c r="AY1304" s="41"/>
      <c r="AZ1304" s="41"/>
      <c r="BA1304" s="41"/>
      <c r="BB1304" s="41"/>
      <c r="BC1304" s="41"/>
      <c r="BD1304" s="41"/>
      <c r="BE1304" s="41"/>
      <c r="BF1304" s="41"/>
      <c r="BG1304" s="41"/>
      <c r="BH1304" s="41"/>
      <c r="BJ1304" s="41"/>
      <c r="BK1304" s="94"/>
      <c r="BL1304" s="94"/>
      <c r="BM1304" s="94"/>
      <c r="BN1304" s="94"/>
      <c r="BO1304" s="94"/>
      <c r="BP1304" s="94"/>
      <c r="BQ1304" s="94"/>
      <c r="BR1304" s="94"/>
      <c r="BS1304" s="94"/>
      <c r="BT1304" s="94"/>
      <c r="BU1304" s="94"/>
      <c r="BV1304" s="94"/>
      <c r="BW1304" s="94"/>
      <c r="BX1304" s="94"/>
      <c r="BY1304" s="94"/>
      <c r="BZ1304" s="94"/>
      <c r="CA1304" s="94"/>
      <c r="CB1304" s="94"/>
      <c r="CC1304" s="94"/>
      <c r="CD1304" s="94"/>
      <c r="CE1304" s="94"/>
      <c r="CF1304" s="94"/>
      <c r="CG1304" s="94"/>
      <c r="CH1304" s="94"/>
      <c r="CI1304" s="94"/>
      <c r="CJ1304" s="94"/>
      <c r="CK1304" s="94"/>
      <c r="CL1304" s="94"/>
      <c r="CM1304" s="94"/>
      <c r="CN1304" s="94"/>
      <c r="CO1304" s="94"/>
      <c r="CP1304" s="94"/>
      <c r="CQ1304" s="94"/>
      <c r="CR1304" s="94"/>
      <c r="CS1304" s="94"/>
      <c r="CT1304" s="94"/>
      <c r="CU1304" s="94"/>
      <c r="CV1304" s="94"/>
      <c r="CW1304" s="94"/>
      <c r="CX1304" s="94"/>
      <c r="CY1304" s="94"/>
      <c r="CZ1304" s="94"/>
      <c r="DA1304" s="94"/>
      <c r="DB1304" s="94"/>
      <c r="DC1304" s="94"/>
      <c r="DD1304" s="94"/>
      <c r="DE1304" s="94"/>
      <c r="DF1304" s="94"/>
      <c r="DG1304" s="94"/>
      <c r="DH1304" s="94"/>
      <c r="DI1304" s="94"/>
      <c r="DJ1304" s="94"/>
      <c r="DK1304" s="41"/>
      <c r="DL1304" s="41"/>
      <c r="DM1304" s="41"/>
      <c r="DN1304" s="41"/>
      <c r="DO1304" s="41"/>
      <c r="DP1304" s="41"/>
      <c r="DQ1304" s="41"/>
      <c r="DR1304" s="41"/>
      <c r="DS1304" s="43"/>
      <c r="DT1304" s="44">
        <f t="shared" ref="DT1304" si="1285">SUM(F1304:DR1304)</f>
        <v>0</v>
      </c>
    </row>
    <row r="1305" spans="2:124">
      <c r="C1305" s="7"/>
      <c r="D1305" s="7"/>
      <c r="E1305" s="8"/>
    </row>
    <row r="1306" spans="2:124">
      <c r="C1306" s="7"/>
      <c r="D1306" s="7"/>
      <c r="E1306" s="8"/>
    </row>
    <row r="1307" spans="2:124">
      <c r="C1307" s="6"/>
      <c r="D1307" s="6"/>
      <c r="E1307" s="8"/>
    </row>
    <row r="1308" spans="2:124">
      <c r="C1308" s="7"/>
      <c r="D1308" s="7"/>
      <c r="E1308" s="8"/>
    </row>
    <row r="1309" spans="2:124">
      <c r="C1309" s="7"/>
      <c r="D1309" s="7"/>
      <c r="E1309" s="8"/>
    </row>
    <row r="1310" spans="2:124">
      <c r="C1310" s="6"/>
      <c r="D1310" s="6"/>
      <c r="E1310" s="8"/>
    </row>
    <row r="1311" spans="2:124">
      <c r="C1311" s="7"/>
      <c r="D1311" s="7"/>
      <c r="E1311" s="8"/>
    </row>
    <row r="1312" spans="2:124">
      <c r="C1312" s="7"/>
      <c r="D1312" s="7"/>
      <c r="E1312" s="8"/>
    </row>
    <row r="1313" spans="3:5">
      <c r="C1313" s="6"/>
      <c r="D1313" s="6"/>
      <c r="E1313" s="8"/>
    </row>
    <row r="1314" spans="3:5">
      <c r="C1314" s="7"/>
      <c r="D1314" s="7"/>
      <c r="E1314" s="8"/>
    </row>
    <row r="1315" spans="3:5">
      <c r="C1315" s="7"/>
      <c r="D1315" s="7"/>
      <c r="E1315" s="8"/>
    </row>
    <row r="1316" spans="3:5">
      <c r="C1316" s="6"/>
      <c r="D1316" s="6"/>
      <c r="E1316" s="8"/>
    </row>
    <row r="1317" spans="3:5">
      <c r="C1317" s="7"/>
      <c r="D1317" s="7"/>
      <c r="E1317" s="8"/>
    </row>
    <row r="1318" spans="3:5">
      <c r="C1318" s="7"/>
      <c r="D1318" s="7"/>
      <c r="E1318" s="8"/>
    </row>
    <row r="1319" spans="3:5">
      <c r="C1319" s="5"/>
      <c r="D1319" s="6"/>
      <c r="E1319" s="8"/>
    </row>
    <row r="1320" spans="3:5">
      <c r="C1320" s="7"/>
      <c r="D1320" s="7"/>
      <c r="E1320" s="8"/>
    </row>
    <row r="1321" spans="3:5">
      <c r="C1321" s="7"/>
      <c r="D1321" s="7"/>
      <c r="E1321" s="8"/>
    </row>
    <row r="1322" spans="3:5">
      <c r="C1322" s="5"/>
      <c r="D1322" s="9"/>
      <c r="E1322" s="10"/>
    </row>
    <row r="1323" spans="3:5">
      <c r="C1323" s="9"/>
      <c r="D1323" s="9"/>
      <c r="E1323" s="10"/>
    </row>
    <row r="1324" spans="3:5">
      <c r="C1324" s="7"/>
      <c r="D1324" s="7"/>
      <c r="E1324" s="8"/>
    </row>
    <row r="1325" spans="3:5">
      <c r="C1325" s="7"/>
      <c r="D1325" s="7"/>
      <c r="E1325" s="8"/>
    </row>
    <row r="1326" spans="3:5">
      <c r="C1326" s="9"/>
      <c r="D1326" s="9"/>
      <c r="E1326" s="10"/>
    </row>
    <row r="1327" spans="3:5">
      <c r="C1327" s="7"/>
      <c r="D1327" s="7"/>
      <c r="E1327" s="8"/>
    </row>
    <row r="1328" spans="3:5">
      <c r="C1328" s="7"/>
      <c r="D1328" s="7"/>
      <c r="E1328" s="8"/>
    </row>
    <row r="1329" spans="3:5">
      <c r="C1329" s="9"/>
      <c r="D1329" s="9"/>
      <c r="E1329" s="10"/>
    </row>
    <row r="1330" spans="3:5">
      <c r="C1330" s="7"/>
      <c r="D1330" s="7"/>
      <c r="E1330" s="8"/>
    </row>
    <row r="1331" spans="3:5">
      <c r="C1331" s="7"/>
      <c r="D1331" s="7"/>
      <c r="E1331" s="8"/>
    </row>
    <row r="1332" spans="3:5">
      <c r="C1332" s="5"/>
      <c r="D1332" s="5"/>
      <c r="E1332" s="11"/>
    </row>
    <row r="1333" spans="3:5">
      <c r="C1333" s="9"/>
      <c r="D1333" s="9"/>
      <c r="E1333" s="10"/>
    </row>
    <row r="1334" spans="3:5">
      <c r="C1334" s="7"/>
      <c r="D1334" s="7"/>
      <c r="E1334" s="12"/>
    </row>
    <row r="1335" spans="3:5">
      <c r="C1335" s="7"/>
      <c r="D1335" s="7"/>
      <c r="E1335" s="12"/>
    </row>
    <row r="1336" spans="3:5">
      <c r="C1336" s="9"/>
      <c r="D1336" s="9"/>
      <c r="E1336" s="10"/>
    </row>
    <row r="1337" spans="3:5">
      <c r="C1337" s="7"/>
      <c r="D1337" s="7"/>
      <c r="E1337" s="12"/>
    </row>
    <row r="1338" spans="3:5">
      <c r="C1338" s="7"/>
      <c r="D1338" s="7"/>
      <c r="E1338" s="12"/>
    </row>
    <row r="1339" spans="3:5">
      <c r="C1339" s="9"/>
      <c r="D1339" s="9"/>
      <c r="E1339" s="10"/>
    </row>
    <row r="1340" spans="3:5">
      <c r="C1340" s="7"/>
      <c r="D1340" s="7"/>
      <c r="E1340" s="12"/>
    </row>
    <row r="1341" spans="3:5">
      <c r="C1341" s="7"/>
      <c r="D1341" s="7"/>
      <c r="E1341" s="12"/>
    </row>
    <row r="1342" spans="3:5">
      <c r="C1342" s="7"/>
      <c r="D1342" s="7"/>
      <c r="E1342" s="12"/>
    </row>
    <row r="1343" spans="3:5">
      <c r="C1343" s="5"/>
      <c r="D1343" s="5"/>
      <c r="E1343" s="11"/>
    </row>
    <row r="1344" spans="3:5">
      <c r="C1344" s="7"/>
      <c r="D1344" s="7"/>
      <c r="E1344" s="12"/>
    </row>
    <row r="1345" spans="3:5">
      <c r="C1345" s="7"/>
      <c r="D1345" s="7"/>
      <c r="E1345" s="12"/>
    </row>
    <row r="1346" spans="3:5">
      <c r="C1346" s="7"/>
      <c r="D1346" s="7"/>
      <c r="E1346" s="12"/>
    </row>
    <row r="1347" spans="3:5">
      <c r="C1347" s="7"/>
      <c r="D1347" s="7"/>
      <c r="E1347" s="12"/>
    </row>
    <row r="1348" spans="3:5">
      <c r="C1348" s="7"/>
      <c r="D1348" s="7"/>
      <c r="E1348" s="12"/>
    </row>
    <row r="1349" spans="3:5">
      <c r="C1349" s="7"/>
      <c r="D1349" s="7"/>
      <c r="E1349" s="12"/>
    </row>
  </sheetData>
  <sheetProtection algorithmName="SHA-512" hashValue="chy06dHjx1evFhInesbs3CdZWTJ7YLnYp0plQ1/vSsTvjm98h5RXhHU2g10Fa/W/d6ezRFR1oqbcutEnmnFTyA==" saltValue="JgkdepEyTeQeyyn/HIc+uw==" spinCount="100000" sheet="1" objects="1" scenarios="1" formatColumns="0" formatRows="0" sort="0" autoFilter="0"/>
  <autoFilter ref="B12:DT1304"/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1324:E1331 E1333:E1342 E1344:E1349 E1305:E1321">
      <formula1>0</formula1>
      <formula2>1</formula2>
    </dataValidation>
    <dataValidation type="decimal" operator="greaterThanOrEqual" allowBlank="1" showInputMessage="1" showErrorMessage="1" sqref="G13:BH1304 BJ13:DR130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7"/>
  <sheetViews>
    <sheetView topLeftCell="A36" workbookViewId="0">
      <selection activeCell="B2" sqref="B2:B67"/>
    </sheetView>
  </sheetViews>
  <sheetFormatPr defaultColWidth="9.140625" defaultRowHeight="15"/>
  <cols>
    <col min="1" max="1" width="9.140625" style="83"/>
    <col min="2" max="2" width="58.140625" style="83" bestFit="1" customWidth="1"/>
    <col min="3" max="16384" width="9.140625" style="83"/>
  </cols>
  <sheetData>
    <row r="1" spans="1:2">
      <c r="B1" s="84" t="s">
        <v>101</v>
      </c>
    </row>
    <row r="2" spans="1:2">
      <c r="A2" s="83">
        <v>1</v>
      </c>
      <c r="B2" s="83" t="str">
        <f>IF('6.1Personnel List'!$D$4="Level I",'Level I_Departments'!C4,'Level IIandIII_Departments'!C4)</f>
        <v>Administrative/Overhead services -&gt; Office of the Medical Center Chief</v>
      </c>
    </row>
    <row r="3" spans="1:2">
      <c r="A3" s="83">
        <f t="shared" ref="A3:A34" si="0">A2+1</f>
        <v>2</v>
      </c>
      <c r="B3" s="83" t="str">
        <f>IF('6.1Personnel List'!$D$4="Level I",'Level I_Departments'!C5,'Level IIandIII_Departments'!C5)</f>
        <v>Administrative/Overhead services -&gt; IT Department</v>
      </c>
    </row>
    <row r="4" spans="1:2">
      <c r="A4" s="83">
        <f t="shared" si="0"/>
        <v>3</v>
      </c>
      <c r="B4" s="83" t="str">
        <f>IF('6.1Personnel List'!$D$4="Level I",'Level I_Departments'!C6,'Level IIandIII_Departments'!C6)</f>
        <v>Administrative/Overhead services -&gt; Office of the Administrative Officer</v>
      </c>
    </row>
    <row r="5" spans="1:2">
      <c r="A5" s="83">
        <f t="shared" si="0"/>
        <v>4</v>
      </c>
      <c r="B5" s="83" t="str">
        <f>IF('6.1Personnel List'!$D$4="Level I",'Level I_Departments'!C7,'Level IIandIII_Departments'!C7)</f>
        <v>Administrative/Overhead services -&gt; Human Resource Management</v>
      </c>
    </row>
    <row r="6" spans="1:2">
      <c r="A6" s="83">
        <f t="shared" si="0"/>
        <v>5</v>
      </c>
      <c r="B6" s="83" t="str">
        <f>IF('6.1Personnel List'!$D$4="Level I",'Level I_Departments'!C8,'Level IIandIII_Departments'!C8)</f>
        <v>Administrative/Overhead services -&gt; Procurement</v>
      </c>
    </row>
    <row r="7" spans="1:2">
      <c r="A7" s="83">
        <f t="shared" si="0"/>
        <v>6</v>
      </c>
      <c r="B7" s="83" t="str">
        <f>IF('6.1Personnel List'!$D$4="Level I",'Level I_Departments'!C9,'Level IIandIII_Departments'!C9)</f>
        <v>Administrative/Overhead services -&gt; Materials Management</v>
      </c>
    </row>
    <row r="8" spans="1:2">
      <c r="A8" s="83">
        <f t="shared" si="0"/>
        <v>7</v>
      </c>
      <c r="B8" s="83" t="str">
        <f>IF('6.1Personnel List'!$D$4="Level I",'Level I_Departments'!C10,'Level IIandIII_Departments'!C10)</f>
        <v>Administrative/Overhead services -&gt; Engineering and Facilities Management</v>
      </c>
    </row>
    <row r="9" spans="1:2">
      <c r="A9" s="83">
        <f t="shared" si="0"/>
        <v>8</v>
      </c>
      <c r="B9" s="83" t="str">
        <f>IF('6.1Personnel List'!$D$4="Level I",'Level I_Departments'!C11,'Level IIandIII_Departments'!C11)</f>
        <v xml:space="preserve">Administrative/Overhead services -&gt; Housekeeping </v>
      </c>
    </row>
    <row r="10" spans="1:2">
      <c r="A10" s="83">
        <f t="shared" si="0"/>
        <v>9</v>
      </c>
      <c r="B10" s="83" t="str">
        <f>IF('6.1Personnel List'!$D$4="Level I",'Level I_Departments'!C12,'Level IIandIII_Departments'!C12)</f>
        <v>Administrative/Overhead services -&gt; Budget and Accounting</v>
      </c>
    </row>
    <row r="11" spans="1:2">
      <c r="A11" s="83">
        <f t="shared" si="0"/>
        <v>10</v>
      </c>
      <c r="B11" s="83" t="str">
        <f>IF('6.1Personnel List'!$D$4="Level I",'Level I_Departments'!C13,'Level IIandIII_Departments'!C13)</f>
        <v>Administrative/Overhead services -&gt; Medical Social Work</v>
      </c>
    </row>
    <row r="12" spans="1:2">
      <c r="A12" s="83">
        <f t="shared" si="0"/>
        <v>11</v>
      </c>
      <c r="B12" s="83" t="str">
        <f>IF('6.1Personnel List'!$D$4="Level I",'Level I_Departments'!C14,'Level IIandIII_Departments'!C14)</f>
        <v>Administrative/Overhead services -&gt; Office of the Chief Nurse</v>
      </c>
    </row>
    <row r="13" spans="1:2">
      <c r="A13" s="83">
        <f t="shared" si="0"/>
        <v>12</v>
      </c>
      <c r="B13" s="83" t="str">
        <f>IF('6.1Personnel List'!$D$4="Level I",'Level I_Departments'!C15,'Level IIandIII_Departments'!C15)</f>
        <v>Administrative/Overhead services -&gt; Health Info Mgt (Admitting)</v>
      </c>
    </row>
    <row r="14" spans="1:2">
      <c r="A14" s="83">
        <f t="shared" si="0"/>
        <v>13</v>
      </c>
      <c r="B14" s="83" t="str">
        <f>IF('6.1Personnel List'!$D$4="Level I",'Level I_Departments'!C16,'Level IIandIII_Departments'!C16)</f>
        <v>Administrative/Overhead services -&gt; Central Supply Office</v>
      </c>
    </row>
    <row r="15" spans="1:2">
      <c r="A15" s="83">
        <f t="shared" si="0"/>
        <v>14</v>
      </c>
      <c r="B15" s="83" t="str">
        <f>IF('6.1Personnel List'!$D$4="Level I",'Level I_Departments'!C17,'Level IIandIII_Departments'!C17)</f>
        <v>Administrative/Overhead services -&gt; Billing and Claims</v>
      </c>
    </row>
    <row r="16" spans="1:2">
      <c r="A16" s="83">
        <f t="shared" si="0"/>
        <v>15</v>
      </c>
      <c r="B16" s="83" t="str">
        <f>IF('6.1Personnel List'!$D$4="Level I",'Level I_Departments'!C18,'Level IIandIII_Departments'!C18)</f>
        <v>Administrative/Overhead services -&gt; Cash Operations</v>
      </c>
    </row>
    <row r="17" spans="1:2">
      <c r="A17" s="83">
        <f t="shared" si="0"/>
        <v>16</v>
      </c>
      <c r="B17" s="83" t="str">
        <f>IF('6.1Personnel List'!$D$4="Level I",'Level I_Departments'!C19,'Level IIandIII_Departments'!C19)</f>
        <v>Administrative/Overhead services -&gt; Security</v>
      </c>
    </row>
    <row r="18" spans="1:2">
      <c r="A18" s="83">
        <f t="shared" si="0"/>
        <v>17</v>
      </c>
      <c r="B18" s="83" t="str">
        <f>IF('6.1Personnel List'!$D$4="Level I",'Level I_Departments'!C20,'Level IIandIII_Departments'!C20)</f>
        <v>Administrative/Overhead services -&gt; Office of the Chief of Medical Professional Staff / Chief of Clinics</v>
      </c>
    </row>
    <row r="19" spans="1:2">
      <c r="A19" s="83">
        <f t="shared" si="0"/>
        <v>18</v>
      </c>
      <c r="B19" s="83" t="str">
        <f>IF('6.1Personnel List'!$D$4="Level I",'Level I_Departments'!C21,'Level IIandIII_Departments'!C21)</f>
        <v>Administrative/Overhead services -&gt; Others</v>
      </c>
    </row>
    <row r="20" spans="1:2">
      <c r="A20" s="83">
        <f t="shared" si="0"/>
        <v>19</v>
      </c>
      <c r="B20" s="83" t="str">
        <f>IF('6.1Personnel List'!$D$4="Level I",'Level I_Departments'!C22,'Level IIandIII_Departments'!C22)</f>
        <v>Ancillary services/Support services -&gt; Laundry</v>
      </c>
    </row>
    <row r="21" spans="1:2">
      <c r="A21" s="83">
        <f t="shared" si="0"/>
        <v>20</v>
      </c>
      <c r="B21" s="83" t="str">
        <f>IF('6.1Personnel List'!$D$4="Level I",'Level I_Departments'!C23,'Level IIandIII_Departments'!C23)</f>
        <v>Ancillary services/Support services -&gt; Nutrition and Dietetics</v>
      </c>
    </row>
    <row r="22" spans="1:2">
      <c r="A22" s="83">
        <f t="shared" si="0"/>
        <v>21</v>
      </c>
      <c r="B22" s="83" t="str">
        <f>IF('6.1Personnel List'!$D$4="Level I",'Level I_Departments'!C24,'Level IIandIII_Departments'!C24)</f>
        <v>Ancillary services/Support services -&gt; Sterilization</v>
      </c>
    </row>
    <row r="23" spans="1:2">
      <c r="A23" s="83">
        <f t="shared" si="0"/>
        <v>22</v>
      </c>
      <c r="B23" s="83" t="str">
        <f>IF('6.1Personnel List'!$D$4="Level I",'Level I_Departments'!C25,'Level IIandIII_Departments'!C25)</f>
        <v>Ancillary services/Support services -&gt; Pharmacy</v>
      </c>
    </row>
    <row r="24" spans="1:2">
      <c r="A24" s="83">
        <f t="shared" si="0"/>
        <v>23</v>
      </c>
      <c r="B24" s="83" t="str">
        <f>IF('6.1Personnel List'!$D$4="Level I",'Level I_Departments'!C26,'Level IIandIII_Departments'!C26)</f>
        <v>Ancillary services/Support services -&gt; Blood Bank</v>
      </c>
    </row>
    <row r="25" spans="1:2">
      <c r="A25" s="83">
        <f t="shared" si="0"/>
        <v>24</v>
      </c>
      <c r="B25" s="83" t="str">
        <f>IF('6.1Personnel List'!$D$4="Level I",'Level I_Departments'!C27,'Level IIandIII_Departments'!C27)</f>
        <v>Ancillary services/Support services -&gt; Laboratory</v>
      </c>
    </row>
    <row r="26" spans="1:2">
      <c r="A26" s="83">
        <f t="shared" si="0"/>
        <v>25</v>
      </c>
      <c r="B26" s="83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>
      <c r="A27" s="83">
        <f t="shared" si="0"/>
        <v>26</v>
      </c>
      <c r="B27" s="83" t="str">
        <f>IF('6.1Personnel List'!$D$4="Level I",'Level I_Departments'!C29,'Level IIandIII_Departments'!C29)</f>
        <v>Ancillary services/Support services -&gt; Heart Station</v>
      </c>
    </row>
    <row r="28" spans="1:2">
      <c r="A28" s="83">
        <f t="shared" si="0"/>
        <v>27</v>
      </c>
      <c r="B28" s="83" t="str">
        <f>IF('6.1Personnel List'!$D$4="Level I",'Level I_Departments'!C30,'Level IIandIII_Departments'!C30)</f>
        <v>Ancillary services/Support services -&gt; Physiotherapy / Rehabilitation</v>
      </c>
    </row>
    <row r="29" spans="1:2">
      <c r="A29" s="83">
        <f t="shared" si="0"/>
        <v>28</v>
      </c>
      <c r="B29" s="83" t="str">
        <f>IF('6.1Personnel List'!$D$4="Level I",'Level I_Departments'!C31,'Level IIandIII_Departments'!C31)</f>
        <v>Ancillary services/Support services -&gt; Delivery Room</v>
      </c>
    </row>
    <row r="30" spans="1:2">
      <c r="A30" s="83">
        <f t="shared" si="0"/>
        <v>29</v>
      </c>
      <c r="B30" s="83" t="str">
        <f>IF('6.1Personnel List'!$D$4="Level I",'Level I_Departments'!C32,'Level IIandIII_Departments'!C32)</f>
        <v>Ancillary services/Support services -&gt; Operating Room / Aneasthesiology / PACU / Recovery Room</v>
      </c>
    </row>
    <row r="31" spans="1:2">
      <c r="A31" s="83">
        <f t="shared" si="0"/>
        <v>30</v>
      </c>
      <c r="B31" s="83" t="str">
        <f>IF('6.1Personnel List'!$D$4="Level I",'Level I_Departments'!C33,'Level IIandIII_Departments'!C33)</f>
        <v>Ancillary services/Support services -&gt; Respiratory Unit</v>
      </c>
    </row>
    <row r="32" spans="1:2">
      <c r="A32" s="83">
        <f t="shared" si="0"/>
        <v>31</v>
      </c>
      <c r="B32" s="83" t="str">
        <f>IF('6.1Personnel List'!$D$4="Level I",'Level I_Departments'!C34,'Level IIandIII_Departments'!C34)</f>
        <v>Ancillary services/Support services -&gt; Medical ICU</v>
      </c>
    </row>
    <row r="33" spans="1:2">
      <c r="A33" s="83">
        <f t="shared" si="0"/>
        <v>32</v>
      </c>
      <c r="B33" s="83" t="str">
        <f>IF('6.1Personnel List'!$D$4="Level I",'Level I_Departments'!C35,'Level IIandIII_Departments'!C35)</f>
        <v>Ancillary services/Support services -&gt; Neonatal ICU*</v>
      </c>
    </row>
    <row r="34" spans="1:2">
      <c r="A34" s="83">
        <f t="shared" si="0"/>
        <v>33</v>
      </c>
      <c r="B34" s="83" t="str">
        <f>IF('6.1Personnel List'!$D$4="Level I",'Level I_Departments'!C36,'Level IIandIII_Departments'!C36)</f>
        <v>Ancillary services/Support services -&gt; Surgical ICU*</v>
      </c>
    </row>
    <row r="35" spans="1:2">
      <c r="A35" s="83">
        <f t="shared" ref="A35:A67" si="1">A34+1</f>
        <v>34</v>
      </c>
      <c r="B35" s="83" t="str">
        <f>IF('6.1Personnel List'!$D$4="Level I",'Level I_Departments'!C37,'Level IIandIII_Departments'!C37)</f>
        <v>Ancillary services/Support services -&gt; Pediatric ICU*</v>
      </c>
    </row>
    <row r="36" spans="1:2">
      <c r="A36" s="83">
        <f t="shared" si="1"/>
        <v>35</v>
      </c>
      <c r="B36" s="83" t="str">
        <f>IF('6.1Personnel List'!$D$4="Level I",'Level I_Departments'!C38,'Level IIandIII_Departments'!C38)</f>
        <v>Ancillary services/Support services -&gt; Burn Unit</v>
      </c>
    </row>
    <row r="37" spans="1:2">
      <c r="A37" s="83">
        <f t="shared" si="1"/>
        <v>36</v>
      </c>
      <c r="B37" s="83" t="str">
        <f>IF('6.1Personnel List'!$D$4="Level I",'Level I_Departments'!C39,'Level IIandIII_Departments'!C39)</f>
        <v>Ancillary services/Support services -&gt; Morgue</v>
      </c>
    </row>
    <row r="38" spans="1:2">
      <c r="A38" s="83">
        <f t="shared" si="1"/>
        <v>37</v>
      </c>
      <c r="B38" s="83" t="str">
        <f>IF('6.1Personnel List'!$D$4="Level I",'Level I_Departments'!C40,'Level IIandIII_Departments'!C40)</f>
        <v>Ancillary services/Support services -&gt; Others</v>
      </c>
    </row>
    <row r="39" spans="1:2">
      <c r="A39" s="83">
        <f t="shared" si="1"/>
        <v>38</v>
      </c>
      <c r="B39" s="83" t="str">
        <f>IF('6.1Personnel List'!$D$4="Level I",'Level I_Departments'!C41,'Level IIandIII_Departments'!C41)</f>
        <v>Clinical/Medical services -&gt; Outpatient Department</v>
      </c>
    </row>
    <row r="40" spans="1:2">
      <c r="A40" s="83">
        <f t="shared" si="1"/>
        <v>39</v>
      </c>
      <c r="B40" s="83" t="str">
        <f>IF('6.1Personnel List'!$D$4="Level I",'Level I_Departments'!C42,'Level IIandIII_Departments'!C42)</f>
        <v>Clinical/Medical services -&gt; Animal Bite Center</v>
      </c>
    </row>
    <row r="41" spans="1:2">
      <c r="A41" s="83">
        <f t="shared" si="1"/>
        <v>40</v>
      </c>
      <c r="B41" s="83" t="str">
        <f>IF('6.1Personnel List'!$D$4="Level I",'Level I_Departments'!C43,'Level IIandIII_Departments'!C43)</f>
        <v>Clinical/Medical services -&gt; TB Dots</v>
      </c>
    </row>
    <row r="42" spans="1:2">
      <c r="A42" s="83">
        <f t="shared" si="1"/>
        <v>41</v>
      </c>
      <c r="B42" s="83" t="str">
        <f>IF('6.1Personnel List'!$D$4="Level I",'Level I_Departments'!C44,'Level IIandIII_Departments'!C44)</f>
        <v>Clinical/Medical services -&gt; HIV Aids</v>
      </c>
    </row>
    <row r="43" spans="1:2">
      <c r="A43" s="83">
        <f t="shared" si="1"/>
        <v>42</v>
      </c>
      <c r="B43" s="83" t="str">
        <f>IF('6.1Personnel List'!$D$4="Level I",'Level I_Departments'!C45,'Level IIandIII_Departments'!C45)</f>
        <v>Clinical/Medical services -&gt; Family Planning Unit</v>
      </c>
    </row>
    <row r="44" spans="1:2">
      <c r="A44" s="83">
        <f t="shared" si="1"/>
        <v>43</v>
      </c>
      <c r="B44" s="83" t="str">
        <f>IF('6.1Personnel List'!$D$4="Level I",'Level I_Departments'!C46,'Level IIandIII_Departments'!C46)</f>
        <v>Clinical/Medical services -&gt; Smoking Cessation</v>
      </c>
    </row>
    <row r="45" spans="1:2">
      <c r="A45" s="83">
        <f t="shared" si="1"/>
        <v>44</v>
      </c>
      <c r="B45" s="83" t="str">
        <f>IF('6.1Personnel List'!$D$4="Level I",'Level I_Departments'!C47,'Level IIandIII_Departments'!C47)</f>
        <v>Clinical/Medical services -&gt; Malaria</v>
      </c>
    </row>
    <row r="46" spans="1:2">
      <c r="A46" s="83">
        <f t="shared" si="1"/>
        <v>45</v>
      </c>
      <c r="B46" s="83" t="str">
        <f>IF('6.1Personnel List'!$D$4="Level I",'Level I_Departments'!C48,'Level IIandIII_Departments'!C48)</f>
        <v>Clinical/Medical services -&gt; Diabetes MAP</v>
      </c>
    </row>
    <row r="47" spans="1:2">
      <c r="A47" s="83">
        <f t="shared" si="1"/>
        <v>46</v>
      </c>
      <c r="B47" s="83" t="str">
        <f>IF('6.1Personnel List'!$D$4="Level I",'Level I_Departments'!C49,'Level IIandIII_Departments'!C49)</f>
        <v>Clinical/Medical services -&gt; Hypertension MAP</v>
      </c>
    </row>
    <row r="48" spans="1:2">
      <c r="A48" s="83">
        <f t="shared" si="1"/>
        <v>47</v>
      </c>
      <c r="B48" s="83" t="str">
        <f>IF('6.1Personnel List'!$D$4="Level I",'Level I_Departments'!C50,'Level IIandIII_Departments'!C50)</f>
        <v>Clinical/Medical services -&gt; Emergency Medicine Department</v>
      </c>
    </row>
    <row r="49" spans="1:2">
      <c r="A49" s="83">
        <f t="shared" si="1"/>
        <v>48</v>
      </c>
      <c r="B49" s="83" t="str">
        <f>IF('6.1Personnel List'!$D$4="Level I",'Level I_Departments'!C51,'Level IIandIII_Departments'!C51)</f>
        <v>Clinical/Medical services -&gt; Dialysis Unit</v>
      </c>
    </row>
    <row r="50" spans="1:2">
      <c r="A50" s="83">
        <f t="shared" si="1"/>
        <v>49</v>
      </c>
      <c r="B50" s="83" t="str">
        <f>IF('6.1Personnel List'!$D$4="Level I",'Level I_Departments'!C52,'Level IIandIII_Departments'!C52)</f>
        <v>Clinical/Medical services -&gt; Nuclear Medicine</v>
      </c>
    </row>
    <row r="51" spans="1:2">
      <c r="A51" s="83">
        <f t="shared" si="1"/>
        <v>50</v>
      </c>
      <c r="B51" s="83" t="str">
        <f>IF('6.1Personnel List'!$D$4="Level I",'Level I_Departments'!C53,'Level IIandIII_Departments'!C53)</f>
        <v>Clinical/Medical services -&gt; Radiation Oncology Unit*</v>
      </c>
    </row>
    <row r="52" spans="1:2">
      <c r="A52" s="83">
        <f t="shared" si="1"/>
        <v>51</v>
      </c>
      <c r="B52" s="83" t="str">
        <f>IF('6.1Personnel List'!$D$4="Level I",'Level I_Departments'!C54,'Level IIandIII_Departments'!C54)</f>
        <v>Clinical/Medical services -&gt; Endoscopy Unit</v>
      </c>
    </row>
    <row r="53" spans="1:2">
      <c r="A53" s="83">
        <f t="shared" si="1"/>
        <v>52</v>
      </c>
      <c r="B53" s="83" t="str">
        <f>IF('6.1Personnel List'!$D$4="Level I",'Level I_Departments'!C55,'Level IIandIII_Departments'!C55)</f>
        <v>Clinical/Medical services -&gt; Dental</v>
      </c>
    </row>
    <row r="54" spans="1:2">
      <c r="A54" s="83">
        <f t="shared" si="1"/>
        <v>53</v>
      </c>
      <c r="B54" s="83" t="str">
        <f>IF('6.1Personnel List'!$D$4="Level I",'Level I_Departments'!C56,'Level IIandIII_Departments'!C56)</f>
        <v>Clinical/Medical services -&gt; Internal Medicine Ward</v>
      </c>
    </row>
    <row r="55" spans="1:2">
      <c r="A55" s="83">
        <f t="shared" si="1"/>
        <v>54</v>
      </c>
      <c r="B55" s="83" t="str">
        <f>IF('6.1Personnel List'!$D$4="Level I",'Level I_Departments'!C57,'Level IIandIII_Departments'!C57)</f>
        <v>Clinical/Medical services -&gt; Pediatric Ward</v>
      </c>
    </row>
    <row r="56" spans="1:2">
      <c r="A56" s="83">
        <f t="shared" si="1"/>
        <v>55</v>
      </c>
      <c r="B56" s="83" t="str">
        <f>IF('6.1Personnel List'!$D$4="Level I",'Level I_Departments'!C58,'Level IIandIII_Departments'!C58)</f>
        <v>Clinical/Medical services -&gt; Surgical Ward</v>
      </c>
    </row>
    <row r="57" spans="1:2">
      <c r="A57" s="83">
        <f t="shared" si="1"/>
        <v>56</v>
      </c>
      <c r="B57" s="83" t="str">
        <f>IF('6.1Personnel List'!$D$4="Level I",'Level I_Departments'!C59,'Level IIandIII_Departments'!C59)</f>
        <v>Clinical/Medical services -&gt; Ob/Gyne Ward</v>
      </c>
    </row>
    <row r="58" spans="1:2">
      <c r="A58" s="83">
        <f t="shared" si="1"/>
        <v>57</v>
      </c>
      <c r="B58" s="83" t="str">
        <f>IF('6.1Personnel List'!$D$4="Level I",'Level I_Departments'!C60,'Level IIandIII_Departments'!C60)</f>
        <v>Clinical/Medical services -&gt; Private Ward</v>
      </c>
    </row>
    <row r="59" spans="1:2">
      <c r="A59" s="83">
        <f t="shared" si="1"/>
        <v>58</v>
      </c>
      <c r="B59" s="83" t="str">
        <f>IF('6.1Personnel List'!$D$4="Level I",'Level I_Departments'!C61,'Level IIandIII_Departments'!C61)</f>
        <v>Clinical/Medical services -&gt; Neurosurgery Ward*</v>
      </c>
    </row>
    <row r="60" spans="1:2">
      <c r="A60" s="83">
        <f t="shared" si="1"/>
        <v>59</v>
      </c>
      <c r="B60" s="83" t="str">
        <f>IF('6.1Personnel List'!$D$4="Level I",'Level I_Departments'!C62,'Level IIandIII_Departments'!C62)</f>
        <v>Clinical/Medical services -&gt; Orthopedic Ward*</v>
      </c>
    </row>
    <row r="61" spans="1:2">
      <c r="A61" s="83">
        <f t="shared" si="1"/>
        <v>60</v>
      </c>
      <c r="B61" s="83" t="str">
        <f>IF('6.1Personnel List'!$D$4="Level I",'Level I_Departments'!C63,'Level IIandIII_Departments'!C63)</f>
        <v>Clinical/Medical services -&gt; Psychiatric Ward*</v>
      </c>
    </row>
    <row r="62" spans="1:2">
      <c r="A62" s="83">
        <f t="shared" si="1"/>
        <v>61</v>
      </c>
      <c r="B62" s="83" t="str">
        <f>IF('6.1Personnel List'!$D$4="Level I",'Level I_Departments'!C64,'Level IIandIII_Departments'!C64)</f>
        <v>Clinical/Medical services -&gt; ENT Ward*</v>
      </c>
    </row>
    <row r="63" spans="1:2">
      <c r="A63" s="83">
        <f t="shared" si="1"/>
        <v>62</v>
      </c>
      <c r="B63" s="83">
        <f>IF('6.1Personnel List'!$D$4="Level I",'Level I_Departments'!C65,'Level IIandIII_Departments'!C65)</f>
        <v>0</v>
      </c>
    </row>
    <row r="64" spans="1:2">
      <c r="A64" s="83">
        <f t="shared" si="1"/>
        <v>63</v>
      </c>
      <c r="B64" s="83">
        <f>IF('6.1Personnel List'!$D$4="Level I",'Level I_Departments'!C66,'Level IIandIII_Departments'!C66)</f>
        <v>0</v>
      </c>
    </row>
    <row r="65" spans="1:2">
      <c r="A65" s="83">
        <f t="shared" si="1"/>
        <v>64</v>
      </c>
      <c r="B65" s="83">
        <f>IF('6.1Personnel List'!$D$4="Level I",'Level I_Departments'!C67,'Level IIandIII_Departments'!C67)</f>
        <v>0</v>
      </c>
    </row>
    <row r="66" spans="1:2">
      <c r="A66" s="83">
        <f t="shared" si="1"/>
        <v>65</v>
      </c>
      <c r="B66" s="83">
        <f>IF('6.1Personnel List'!$D$4="Level I",'Level I_Departments'!C68,'Level IIandIII_Departments'!C68)</f>
        <v>0</v>
      </c>
    </row>
    <row r="67" spans="1:2">
      <c r="A67" s="83">
        <f t="shared" si="1"/>
        <v>66</v>
      </c>
      <c r="B67" s="83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2578125" defaultRowHeight="15" customHeight="1"/>
  <cols>
    <col min="1" max="1" width="39.5703125" style="52" customWidth="1"/>
    <col min="2" max="2" width="65.7109375" style="52" customWidth="1"/>
    <col min="3" max="3" width="86.5703125" style="52" bestFit="1" customWidth="1"/>
    <col min="4" max="16384" width="14.42578125" style="52"/>
  </cols>
  <sheetData>
    <row r="1" spans="1:3" ht="15" customHeight="1">
      <c r="A1" s="82" t="s">
        <v>100</v>
      </c>
      <c r="B1" s="55"/>
    </row>
    <row r="2" spans="1:3" ht="15" customHeight="1">
      <c r="A2" s="55"/>
      <c r="B2" s="55"/>
    </row>
    <row r="3" spans="1:3" ht="15" customHeight="1">
      <c r="A3" s="81" t="s">
        <v>99</v>
      </c>
      <c r="B3" s="80" t="s">
        <v>98</v>
      </c>
    </row>
    <row r="4" spans="1:3" ht="15" customHeight="1">
      <c r="A4" s="76" t="s">
        <v>23</v>
      </c>
      <c r="B4" s="80" t="s">
        <v>24</v>
      </c>
      <c r="C4" s="53" t="str">
        <f t="shared" ref="C4:C35" si="0">CONCATENATE(A4, " -&gt; ",B4)</f>
        <v>Administrative/Overhead services -&gt; Office of the Medical Center Chief</v>
      </c>
    </row>
    <row r="5" spans="1:3" ht="15" customHeight="1">
      <c r="A5" s="76" t="s">
        <v>23</v>
      </c>
      <c r="B5" s="79" t="s">
        <v>87</v>
      </c>
      <c r="C5" s="53" t="str">
        <f t="shared" si="0"/>
        <v>Administrative/Overhead services -&gt; IT Departments</v>
      </c>
    </row>
    <row r="6" spans="1:3" ht="15" customHeight="1">
      <c r="A6" s="76" t="s">
        <v>23</v>
      </c>
      <c r="B6" s="79" t="s">
        <v>25</v>
      </c>
      <c r="C6" s="53" t="str">
        <f t="shared" si="0"/>
        <v>Administrative/Overhead services -&gt; Office of the Administrative Officer</v>
      </c>
    </row>
    <row r="7" spans="1:3" ht="15" customHeight="1">
      <c r="A7" s="76" t="s">
        <v>23</v>
      </c>
      <c r="B7" s="79" t="s">
        <v>26</v>
      </c>
      <c r="C7" s="53" t="str">
        <f t="shared" si="0"/>
        <v>Administrative/Overhead services -&gt; Human Resource Management</v>
      </c>
    </row>
    <row r="8" spans="1:3" ht="15" customHeight="1">
      <c r="A8" s="76" t="s">
        <v>23</v>
      </c>
      <c r="B8" s="79" t="s">
        <v>27</v>
      </c>
      <c r="C8" s="53" t="str">
        <f t="shared" si="0"/>
        <v>Administrative/Overhead services -&gt; Procurement</v>
      </c>
    </row>
    <row r="9" spans="1:3" ht="15" customHeight="1">
      <c r="A9" s="76" t="s">
        <v>23</v>
      </c>
      <c r="B9" s="79" t="s">
        <v>28</v>
      </c>
      <c r="C9" s="53" t="str">
        <f t="shared" si="0"/>
        <v>Administrative/Overhead services -&gt; Materials Management</v>
      </c>
    </row>
    <row r="10" spans="1:3" ht="15" customHeight="1">
      <c r="A10" s="76" t="s">
        <v>23</v>
      </c>
      <c r="B10" s="79" t="s">
        <v>29</v>
      </c>
      <c r="C10" s="53" t="str">
        <f t="shared" si="0"/>
        <v>Administrative/Overhead services -&gt; Engineering and Facilities Management</v>
      </c>
    </row>
    <row r="11" spans="1:3" ht="15" customHeight="1">
      <c r="A11" s="76" t="s">
        <v>23</v>
      </c>
      <c r="B11" s="79" t="s">
        <v>88</v>
      </c>
      <c r="C11" s="53" t="str">
        <f t="shared" si="0"/>
        <v>Administrative/Overhead services -&gt; Housekeeping</v>
      </c>
    </row>
    <row r="12" spans="1:3" ht="15" customHeight="1">
      <c r="A12" s="76" t="s">
        <v>23</v>
      </c>
      <c r="B12" s="79" t="s">
        <v>30</v>
      </c>
      <c r="C12" s="53" t="str">
        <f t="shared" si="0"/>
        <v>Administrative/Overhead services -&gt; Budget and Accounting</v>
      </c>
    </row>
    <row r="13" spans="1:3" ht="15" customHeight="1">
      <c r="A13" s="76" t="s">
        <v>23</v>
      </c>
      <c r="B13" s="79" t="s">
        <v>31</v>
      </c>
      <c r="C13" s="53" t="str">
        <f t="shared" si="0"/>
        <v>Administrative/Overhead services -&gt; Medical Social Work</v>
      </c>
    </row>
    <row r="14" spans="1:3" ht="15" customHeight="1">
      <c r="A14" s="76" t="s">
        <v>23</v>
      </c>
      <c r="B14" s="79" t="s">
        <v>32</v>
      </c>
      <c r="C14" s="53" t="str">
        <f t="shared" si="0"/>
        <v>Administrative/Overhead services -&gt; Office of the Chief Nurse</v>
      </c>
    </row>
    <row r="15" spans="1:3" ht="15" customHeight="1">
      <c r="A15" s="76" t="s">
        <v>23</v>
      </c>
      <c r="B15" s="79" t="s">
        <v>33</v>
      </c>
      <c r="C15" s="53" t="str">
        <f t="shared" si="0"/>
        <v>Administrative/Overhead services -&gt; Health Info Mgt (Admitting)</v>
      </c>
    </row>
    <row r="16" spans="1:3" ht="15" customHeight="1">
      <c r="A16" s="76" t="s">
        <v>23</v>
      </c>
      <c r="B16" s="79" t="s">
        <v>34</v>
      </c>
      <c r="C16" s="53" t="str">
        <f t="shared" si="0"/>
        <v>Administrative/Overhead services -&gt; Central Supply Office</v>
      </c>
    </row>
    <row r="17" spans="1:3" ht="15" customHeight="1">
      <c r="A17" s="76" t="s">
        <v>23</v>
      </c>
      <c r="B17" s="79" t="s">
        <v>35</v>
      </c>
      <c r="C17" s="53" t="str">
        <f t="shared" si="0"/>
        <v>Administrative/Overhead services -&gt; Billing and Claims</v>
      </c>
    </row>
    <row r="18" spans="1:3" ht="15" customHeight="1">
      <c r="A18" s="76" t="s">
        <v>23</v>
      </c>
      <c r="B18" s="79" t="s">
        <v>36</v>
      </c>
      <c r="C18" s="53" t="str">
        <f t="shared" si="0"/>
        <v>Administrative/Overhead services -&gt; Cash Operations</v>
      </c>
    </row>
    <row r="19" spans="1:3" ht="15" customHeight="1">
      <c r="A19" s="76" t="s">
        <v>23</v>
      </c>
      <c r="B19" s="79" t="s">
        <v>37</v>
      </c>
      <c r="C19" s="53" t="str">
        <f t="shared" si="0"/>
        <v>Administrative/Overhead services -&gt; Security</v>
      </c>
    </row>
    <row r="20" spans="1:3" ht="15" customHeight="1">
      <c r="A20" s="76" t="s">
        <v>23</v>
      </c>
      <c r="B20" s="79" t="s">
        <v>38</v>
      </c>
      <c r="C20" s="53" t="str">
        <f t="shared" si="0"/>
        <v>Administrative/Overhead services -&gt; Office of the Chief of Medical Professional Staff</v>
      </c>
    </row>
    <row r="21" spans="1:3" ht="15" customHeight="1">
      <c r="A21" s="76" t="s">
        <v>23</v>
      </c>
      <c r="B21" s="76" t="s">
        <v>68</v>
      </c>
      <c r="C21" s="53" t="str">
        <f t="shared" si="0"/>
        <v>Administrative/Overhead services -&gt; Others</v>
      </c>
    </row>
    <row r="22" spans="1:3" ht="15" customHeight="1">
      <c r="A22" s="73" t="s">
        <v>39</v>
      </c>
      <c r="B22" s="73" t="s">
        <v>40</v>
      </c>
      <c r="C22" s="53" t="str">
        <f t="shared" si="0"/>
        <v>Ancillary services/Support services -&gt; Laundry</v>
      </c>
    </row>
    <row r="23" spans="1:3" ht="15" customHeight="1">
      <c r="A23" s="73" t="s">
        <v>39</v>
      </c>
      <c r="B23" s="73" t="s">
        <v>43</v>
      </c>
      <c r="C23" s="53" t="str">
        <f t="shared" si="0"/>
        <v>Ancillary services/Support services -&gt; Nutrition and Dietetics</v>
      </c>
    </row>
    <row r="24" spans="1:3" ht="15" customHeight="1">
      <c r="A24" s="73" t="s">
        <v>39</v>
      </c>
      <c r="B24" s="75" t="s">
        <v>69</v>
      </c>
      <c r="C24" s="53" t="str">
        <f t="shared" si="0"/>
        <v>Ancillary services/Support services -&gt; Sterilization</v>
      </c>
    </row>
    <row r="25" spans="1:3" ht="15" customHeight="1">
      <c r="A25" s="73" t="s">
        <v>39</v>
      </c>
      <c r="B25" s="73" t="s">
        <v>42</v>
      </c>
      <c r="C25" s="53" t="str">
        <f t="shared" si="0"/>
        <v>Ancillary services/Support services -&gt; Pharmacy</v>
      </c>
    </row>
    <row r="26" spans="1:3" ht="16.5">
      <c r="A26" s="73" t="s">
        <v>39</v>
      </c>
      <c r="B26" s="75" t="s">
        <v>41</v>
      </c>
      <c r="C26" s="53" t="str">
        <f t="shared" si="0"/>
        <v>Ancillary services/Support services -&gt; Blood Bank</v>
      </c>
    </row>
    <row r="27" spans="1:3" ht="16.5">
      <c r="A27" s="73" t="s">
        <v>39</v>
      </c>
      <c r="B27" s="73" t="s">
        <v>70</v>
      </c>
      <c r="C27" s="53" t="str">
        <f t="shared" si="0"/>
        <v>Ancillary services/Support services -&gt; Laboratory</v>
      </c>
    </row>
    <row r="28" spans="1:3" ht="16.5">
      <c r="A28" s="73" t="s">
        <v>39</v>
      </c>
      <c r="B28" s="73" t="s">
        <v>71</v>
      </c>
      <c r="C28" s="53" t="str">
        <f t="shared" si="0"/>
        <v>Ancillary services/Support services -&gt; Radiology / Diagnostic Imaging (CT Scan, MRI, ECG, Mammography, Endoscopy)</v>
      </c>
    </row>
    <row r="29" spans="1:3" ht="16.5">
      <c r="A29" s="73" t="s">
        <v>39</v>
      </c>
      <c r="B29" s="73" t="s">
        <v>73</v>
      </c>
      <c r="C29" s="53" t="str">
        <f t="shared" si="0"/>
        <v>Ancillary services/Support services -&gt; Physiotherapy / Rehabilitation</v>
      </c>
    </row>
    <row r="30" spans="1:3" ht="16.5">
      <c r="A30" s="73" t="s">
        <v>39</v>
      </c>
      <c r="B30" s="73" t="s">
        <v>5</v>
      </c>
      <c r="C30" s="53" t="str">
        <f t="shared" si="0"/>
        <v>Ancillary services/Support services -&gt; Delivery Room</v>
      </c>
    </row>
    <row r="31" spans="1:3" ht="16.5">
      <c r="A31" s="73" t="s">
        <v>39</v>
      </c>
      <c r="B31" s="78" t="s">
        <v>44</v>
      </c>
      <c r="C31" s="53" t="str">
        <f t="shared" si="0"/>
        <v>Ancillary services/Support services -&gt; Operating Room / Aneasthesiology / PACU / Recovery Room</v>
      </c>
    </row>
    <row r="32" spans="1:3" ht="16.5">
      <c r="A32" s="73" t="s">
        <v>39</v>
      </c>
      <c r="B32" s="73" t="s">
        <v>74</v>
      </c>
      <c r="C32" s="53" t="str">
        <f t="shared" si="0"/>
        <v>Ancillary services/Support services -&gt; Respiratory Unit</v>
      </c>
    </row>
    <row r="33" spans="1:3" ht="16.5">
      <c r="A33" s="73" t="s">
        <v>39</v>
      </c>
      <c r="B33" s="78" t="s">
        <v>45</v>
      </c>
      <c r="C33" s="53" t="str">
        <f t="shared" si="0"/>
        <v>Ancillary services/Support services -&gt; Medical ICU</v>
      </c>
    </row>
    <row r="34" spans="1:3" ht="16.5">
      <c r="A34" s="73" t="s">
        <v>39</v>
      </c>
      <c r="B34" s="78" t="s">
        <v>46</v>
      </c>
      <c r="C34" s="53" t="str">
        <f t="shared" si="0"/>
        <v>Ancillary services/Support services -&gt; Neonatal ICU*</v>
      </c>
    </row>
    <row r="35" spans="1:3" ht="16.5">
      <c r="A35" s="73" t="s">
        <v>39</v>
      </c>
      <c r="B35" s="78" t="s">
        <v>47</v>
      </c>
      <c r="C35" s="53" t="str">
        <f t="shared" si="0"/>
        <v>Ancillary services/Support services -&gt; Surgical ICU*</v>
      </c>
    </row>
    <row r="36" spans="1:3" ht="16.5">
      <c r="A36" s="73" t="s">
        <v>39</v>
      </c>
      <c r="B36" s="78" t="s">
        <v>48</v>
      </c>
      <c r="C36" s="53" t="str">
        <f t="shared" ref="C36:C57" si="1">CONCATENATE(A36, " -&gt; ",B36)</f>
        <v>Ancillary services/Support services -&gt; Pediatric ICU*</v>
      </c>
    </row>
    <row r="37" spans="1:3" ht="16.5">
      <c r="A37" s="73" t="s">
        <v>39</v>
      </c>
      <c r="B37" s="75" t="s">
        <v>75</v>
      </c>
      <c r="C37" s="53" t="str">
        <f t="shared" si="1"/>
        <v>Ancillary services/Support services -&gt; Burn Unit</v>
      </c>
    </row>
    <row r="38" spans="1:3" ht="16.5">
      <c r="A38" s="73" t="s">
        <v>39</v>
      </c>
      <c r="B38" s="75" t="s">
        <v>76</v>
      </c>
      <c r="C38" s="53" t="str">
        <f t="shared" si="1"/>
        <v>Ancillary services/Support services -&gt; Morgue</v>
      </c>
    </row>
    <row r="39" spans="1:3" ht="16.5">
      <c r="A39" s="73" t="s">
        <v>39</v>
      </c>
      <c r="B39" s="77" t="s">
        <v>68</v>
      </c>
      <c r="C39" s="53" t="str">
        <f t="shared" si="1"/>
        <v>Ancillary services/Support services -&gt; Others</v>
      </c>
    </row>
    <row r="40" spans="1:3" ht="16.5">
      <c r="A40" s="74" t="s">
        <v>50</v>
      </c>
      <c r="B40" s="76" t="s">
        <v>89</v>
      </c>
      <c r="C40" s="53" t="str">
        <f t="shared" si="1"/>
        <v>Clinical/Medical services -&gt; Outpatient Department (general)</v>
      </c>
    </row>
    <row r="41" spans="1:3" ht="16.5">
      <c r="A41" s="74" t="s">
        <v>50</v>
      </c>
      <c r="B41" s="73" t="s">
        <v>77</v>
      </c>
      <c r="C41" s="53" t="str">
        <f t="shared" si="1"/>
        <v>Clinical/Medical services -&gt; Animal Bite Center</v>
      </c>
    </row>
    <row r="42" spans="1:3" ht="16.5">
      <c r="A42" s="74" t="s">
        <v>50</v>
      </c>
      <c r="B42" s="73" t="s">
        <v>78</v>
      </c>
      <c r="C42" s="53" t="str">
        <f t="shared" si="1"/>
        <v>Clinical/Medical services -&gt; TB Dots</v>
      </c>
    </row>
    <row r="43" spans="1:3" ht="16.5">
      <c r="A43" s="74" t="s">
        <v>50</v>
      </c>
      <c r="B43" s="73" t="s">
        <v>79</v>
      </c>
      <c r="C43" s="53" t="str">
        <f t="shared" si="1"/>
        <v>Clinical/Medical services -&gt; HIV Aids</v>
      </c>
    </row>
    <row r="44" spans="1:3" ht="16.5">
      <c r="A44" s="74" t="s">
        <v>50</v>
      </c>
      <c r="B44" s="73" t="s">
        <v>80</v>
      </c>
      <c r="C44" s="53" t="str">
        <f t="shared" si="1"/>
        <v>Clinical/Medical services -&gt; Family Planning Unit</v>
      </c>
    </row>
    <row r="45" spans="1:3" ht="16.5">
      <c r="A45" s="74" t="s">
        <v>50</v>
      </c>
      <c r="B45" s="73" t="s">
        <v>81</v>
      </c>
      <c r="C45" s="53" t="str">
        <f t="shared" si="1"/>
        <v>Clinical/Medical services -&gt; Smoking Cessation</v>
      </c>
    </row>
    <row r="46" spans="1:3" ht="16.5">
      <c r="A46" s="74" t="s">
        <v>50</v>
      </c>
      <c r="B46" s="73" t="s">
        <v>82</v>
      </c>
      <c r="C46" s="53" t="str">
        <f t="shared" si="1"/>
        <v>Clinical/Medical services -&gt; Malaria</v>
      </c>
    </row>
    <row r="47" spans="1:3" ht="16.5">
      <c r="A47" s="74" t="s">
        <v>50</v>
      </c>
      <c r="B47" s="75" t="s">
        <v>90</v>
      </c>
      <c r="C47" s="53" t="str">
        <f t="shared" si="1"/>
        <v xml:space="preserve">Clinical/Medical services -&gt; Diabetes </v>
      </c>
    </row>
    <row r="48" spans="1:3" ht="16.5">
      <c r="A48" s="74" t="s">
        <v>50</v>
      </c>
      <c r="B48" s="73" t="s">
        <v>91</v>
      </c>
      <c r="C48" s="53" t="str">
        <f t="shared" si="1"/>
        <v>Clinical/Medical services -&gt; Hypertension</v>
      </c>
    </row>
    <row r="49" spans="1:3" ht="16.5">
      <c r="A49" s="74" t="s">
        <v>50</v>
      </c>
      <c r="B49" s="73" t="s">
        <v>52</v>
      </c>
      <c r="C49" s="53" t="str">
        <f t="shared" si="1"/>
        <v>Clinical/Medical services -&gt; Emergency Medicine Department</v>
      </c>
    </row>
    <row r="50" spans="1:3" ht="16.5">
      <c r="A50" s="74" t="s">
        <v>50</v>
      </c>
      <c r="B50" s="73" t="s">
        <v>6</v>
      </c>
      <c r="C50" s="53" t="str">
        <f t="shared" si="1"/>
        <v>Clinical/Medical services -&gt; Dialysis Unit</v>
      </c>
    </row>
    <row r="51" spans="1:3" ht="16.5">
      <c r="A51" s="74" t="s">
        <v>50</v>
      </c>
      <c r="B51" s="73" t="s">
        <v>49</v>
      </c>
      <c r="C51" s="53" t="str">
        <f t="shared" si="1"/>
        <v>Clinical/Medical services -&gt; Radiation Oncology Unit*</v>
      </c>
    </row>
    <row r="52" spans="1:3" ht="16.5">
      <c r="A52" s="74" t="s">
        <v>50</v>
      </c>
      <c r="B52" s="73" t="s">
        <v>53</v>
      </c>
      <c r="C52" s="53" t="str">
        <f t="shared" si="1"/>
        <v>Clinical/Medical services -&gt; Dental</v>
      </c>
    </row>
    <row r="53" spans="1:3" ht="16.5">
      <c r="A53" s="74" t="s">
        <v>50</v>
      </c>
      <c r="B53" s="73" t="s">
        <v>54</v>
      </c>
      <c r="C53" s="53" t="str">
        <f t="shared" si="1"/>
        <v>Clinical/Medical services -&gt; Internal Medicine Ward</v>
      </c>
    </row>
    <row r="54" spans="1:3" ht="16.5">
      <c r="A54" s="74" t="s">
        <v>50</v>
      </c>
      <c r="B54" s="73" t="s">
        <v>55</v>
      </c>
      <c r="C54" s="53" t="str">
        <f t="shared" si="1"/>
        <v>Clinical/Medical services -&gt; Pediatric Ward</v>
      </c>
    </row>
    <row r="55" spans="1:3" ht="16.5">
      <c r="A55" s="74" t="s">
        <v>50</v>
      </c>
      <c r="B55" s="73" t="s">
        <v>56</v>
      </c>
      <c r="C55" s="53" t="str">
        <f t="shared" si="1"/>
        <v>Clinical/Medical services -&gt; Surgical Ward</v>
      </c>
    </row>
    <row r="56" spans="1:3" ht="16.5">
      <c r="A56" s="74" t="s">
        <v>50</v>
      </c>
      <c r="B56" s="73" t="s">
        <v>57</v>
      </c>
      <c r="C56" s="53" t="str">
        <f t="shared" si="1"/>
        <v>Clinical/Medical services -&gt; Ob/Gyne Ward</v>
      </c>
    </row>
    <row r="57" spans="1:3" ht="16.5">
      <c r="A57" s="74" t="s">
        <v>50</v>
      </c>
      <c r="B57" s="73" t="s">
        <v>58</v>
      </c>
      <c r="C57" s="53" t="str">
        <f t="shared" si="1"/>
        <v>Clinical/Medical services -&gt; Private Ward</v>
      </c>
    </row>
    <row r="58" spans="1:3" ht="16.5">
      <c r="A58" s="55"/>
      <c r="B58" s="55"/>
    </row>
    <row r="59" spans="1:3" ht="16.5">
      <c r="A59" s="55"/>
      <c r="B59" s="55"/>
    </row>
    <row r="60" spans="1:3" ht="16.5">
      <c r="A60" s="55"/>
      <c r="B60" s="55"/>
    </row>
    <row r="61" spans="1:3" ht="16.5">
      <c r="A61" s="55"/>
      <c r="B61" s="55"/>
    </row>
    <row r="62" spans="1:3" ht="16.5">
      <c r="A62" s="55" t="s">
        <v>97</v>
      </c>
      <c r="B62" s="72" t="s">
        <v>96</v>
      </c>
    </row>
    <row r="63" spans="1:3" ht="16.5">
      <c r="A63" s="55"/>
      <c r="B63" s="72" t="s">
        <v>95</v>
      </c>
    </row>
    <row r="64" spans="1:3" ht="16.5">
      <c r="A64" s="71"/>
      <c r="B64" s="71"/>
    </row>
    <row r="65" spans="1:2" ht="16.5">
      <c r="A65" s="71"/>
      <c r="B65" s="71"/>
    </row>
    <row r="66" spans="1:2" ht="16.5">
      <c r="A66" s="71"/>
      <c r="B66" s="71"/>
    </row>
    <row r="67" spans="1:2" ht="16.5">
      <c r="A67" s="71"/>
      <c r="B67" s="71"/>
    </row>
    <row r="68" spans="1:2" ht="16.5">
      <c r="A68" s="71"/>
      <c r="B68" s="71"/>
    </row>
    <row r="69" spans="1:2" ht="16.5">
      <c r="A69" s="71"/>
      <c r="B69" s="71"/>
    </row>
    <row r="70" spans="1:2" ht="16.5">
      <c r="A70" s="71"/>
      <c r="B70" s="71"/>
    </row>
    <row r="71" spans="1:2" ht="16.5">
      <c r="A71" s="71"/>
      <c r="B71" s="71"/>
    </row>
    <row r="72" spans="1:2" ht="16.5">
      <c r="A72" s="71"/>
      <c r="B72" s="71"/>
    </row>
    <row r="73" spans="1:2" ht="16.5">
      <c r="A73" s="71"/>
      <c r="B73" s="71"/>
    </row>
    <row r="74" spans="1:2" ht="16.5">
      <c r="A74" s="71"/>
      <c r="B74" s="71"/>
    </row>
    <row r="75" spans="1:2" ht="16.5">
      <c r="A75" s="71"/>
      <c r="B75" s="71"/>
    </row>
    <row r="76" spans="1:2" ht="16.5">
      <c r="A76" s="71"/>
      <c r="B76" s="71"/>
    </row>
    <row r="77" spans="1:2" ht="16.5">
      <c r="A77" s="71"/>
      <c r="B77" s="71"/>
    </row>
    <row r="78" spans="1:2" ht="16.5">
      <c r="A78" s="71"/>
      <c r="B78" s="71"/>
    </row>
    <row r="79" spans="1:2" ht="16.5">
      <c r="A79" s="71"/>
      <c r="B79" s="71"/>
    </row>
    <row r="80" spans="1:2" ht="16.5">
      <c r="A80" s="71"/>
      <c r="B80" s="71"/>
    </row>
    <row r="81" spans="1:2" ht="16.5">
      <c r="A81" s="71"/>
      <c r="B81" s="71"/>
    </row>
    <row r="82" spans="1:2" ht="16.5">
      <c r="A82" s="71"/>
      <c r="B82" s="71"/>
    </row>
    <row r="83" spans="1:2" ht="16.5">
      <c r="A83" s="71"/>
      <c r="B83" s="71"/>
    </row>
    <row r="84" spans="1:2" ht="16.5">
      <c r="A84" s="71"/>
      <c r="B84" s="71"/>
    </row>
    <row r="85" spans="1:2" ht="16.5">
      <c r="A85" s="71"/>
      <c r="B85" s="71"/>
    </row>
    <row r="86" spans="1:2" ht="16.5">
      <c r="A86" s="71"/>
      <c r="B86" s="71"/>
    </row>
    <row r="87" spans="1:2" ht="16.5">
      <c r="A87" s="71"/>
      <c r="B87" s="71"/>
    </row>
    <row r="88" spans="1:2" ht="16.5">
      <c r="A88" s="71"/>
      <c r="B88" s="71"/>
    </row>
    <row r="89" spans="1:2" ht="16.5">
      <c r="A89" s="71"/>
      <c r="B89" s="71"/>
    </row>
    <row r="90" spans="1:2" ht="16.5">
      <c r="A90" s="71"/>
      <c r="B90" s="71"/>
    </row>
    <row r="91" spans="1:2" ht="16.5">
      <c r="A91" s="71"/>
      <c r="B91" s="71"/>
    </row>
    <row r="92" spans="1:2" ht="16.5">
      <c r="A92" s="71"/>
      <c r="B92" s="71"/>
    </row>
    <row r="93" spans="1:2" ht="16.5">
      <c r="A93" s="71"/>
      <c r="B93" s="71"/>
    </row>
    <row r="94" spans="1:2" ht="16.5">
      <c r="A94" s="71"/>
      <c r="B94" s="71"/>
    </row>
    <row r="95" spans="1:2" ht="16.5">
      <c r="A95" s="71"/>
      <c r="B95" s="71"/>
    </row>
    <row r="96" spans="1:2" ht="16.5">
      <c r="A96" s="71"/>
      <c r="B96" s="71"/>
    </row>
    <row r="97" spans="1:2" ht="16.5">
      <c r="A97" s="71"/>
      <c r="B97" s="71"/>
    </row>
    <row r="98" spans="1:2" ht="16.5">
      <c r="A98" s="71"/>
      <c r="B98" s="71"/>
    </row>
    <row r="99" spans="1:2" ht="16.5">
      <c r="A99" s="71"/>
      <c r="B99" s="71"/>
    </row>
    <row r="100" spans="1:2" ht="16.5">
      <c r="A100" s="71"/>
      <c r="B100" s="71"/>
    </row>
    <row r="101" spans="1:2" ht="16.5">
      <c r="A101" s="71"/>
      <c r="B101" s="71"/>
    </row>
    <row r="102" spans="1:2" ht="16.5">
      <c r="A102" s="71"/>
      <c r="B102" s="71"/>
    </row>
    <row r="103" spans="1:2" ht="16.5">
      <c r="A103" s="71"/>
      <c r="B103" s="71"/>
    </row>
    <row r="104" spans="1:2" ht="16.5">
      <c r="A104" s="71"/>
      <c r="B104" s="71"/>
    </row>
    <row r="105" spans="1:2" ht="16.5">
      <c r="A105" s="71"/>
      <c r="B105" s="71"/>
    </row>
    <row r="106" spans="1:2" ht="16.5">
      <c r="A106" s="71"/>
      <c r="B106" s="71"/>
    </row>
    <row r="107" spans="1:2" ht="16.5">
      <c r="A107" s="71"/>
      <c r="B107" s="71"/>
    </row>
    <row r="108" spans="1:2" ht="16.5">
      <c r="A108" s="71"/>
      <c r="B108" s="71"/>
    </row>
    <row r="109" spans="1:2" ht="16.5">
      <c r="A109" s="71"/>
      <c r="B109" s="71"/>
    </row>
    <row r="110" spans="1:2" ht="16.5">
      <c r="A110" s="71"/>
      <c r="B110" s="71"/>
    </row>
    <row r="111" spans="1:2" ht="16.5">
      <c r="A111" s="71"/>
      <c r="B111" s="71"/>
    </row>
    <row r="112" spans="1:2" ht="16.5">
      <c r="A112" s="71"/>
      <c r="B112" s="71"/>
    </row>
    <row r="113" spans="1:2" ht="16.5">
      <c r="A113" s="71"/>
      <c r="B113" s="71"/>
    </row>
    <row r="114" spans="1:2" ht="16.5">
      <c r="A114" s="71"/>
      <c r="B114" s="71"/>
    </row>
    <row r="115" spans="1:2" ht="16.5">
      <c r="A115" s="71"/>
      <c r="B115" s="71"/>
    </row>
    <row r="116" spans="1:2" ht="16.5">
      <c r="A116" s="71"/>
      <c r="B116" s="71"/>
    </row>
    <row r="117" spans="1:2" ht="16.5">
      <c r="A117" s="71"/>
      <c r="B117" s="71"/>
    </row>
    <row r="118" spans="1:2" ht="16.5">
      <c r="A118" s="71"/>
      <c r="B118" s="71"/>
    </row>
    <row r="119" spans="1:2" ht="16.5">
      <c r="A119" s="71"/>
      <c r="B119" s="71"/>
    </row>
    <row r="120" spans="1:2" ht="16.5">
      <c r="A120" s="71"/>
      <c r="B120" s="71"/>
    </row>
    <row r="121" spans="1:2" ht="16.5">
      <c r="A121" s="71"/>
      <c r="B121" s="71"/>
    </row>
    <row r="122" spans="1:2" ht="16.5">
      <c r="A122" s="71"/>
      <c r="B122" s="71"/>
    </row>
    <row r="123" spans="1:2" ht="16.5">
      <c r="A123" s="71"/>
      <c r="B123" s="71"/>
    </row>
    <row r="124" spans="1:2" ht="16.5">
      <c r="A124" s="71"/>
      <c r="B124" s="71"/>
    </row>
    <row r="125" spans="1:2" ht="16.5">
      <c r="A125" s="71"/>
      <c r="B125" s="71"/>
    </row>
    <row r="126" spans="1:2" ht="16.5">
      <c r="A126" s="71"/>
      <c r="B126" s="71"/>
    </row>
    <row r="127" spans="1:2" ht="16.5">
      <c r="A127" s="71"/>
      <c r="B127" s="71"/>
    </row>
    <row r="128" spans="1:2" ht="16.5">
      <c r="A128" s="71"/>
      <c r="B128" s="71"/>
    </row>
    <row r="129" spans="1:2" ht="16.5">
      <c r="A129" s="71"/>
      <c r="B129" s="71"/>
    </row>
    <row r="130" spans="1:2" ht="16.5">
      <c r="A130" s="71"/>
      <c r="B130" s="71"/>
    </row>
    <row r="131" spans="1:2" ht="16.5">
      <c r="A131" s="71"/>
      <c r="B131" s="71"/>
    </row>
    <row r="132" spans="1:2" ht="16.5">
      <c r="A132" s="71"/>
      <c r="B132" s="71"/>
    </row>
    <row r="133" spans="1:2" ht="16.5">
      <c r="A133" s="71"/>
      <c r="B133" s="71"/>
    </row>
    <row r="134" spans="1:2" ht="16.5">
      <c r="A134" s="71"/>
      <c r="B134" s="71"/>
    </row>
    <row r="135" spans="1:2" ht="16.5">
      <c r="A135" s="71"/>
      <c r="B135" s="71"/>
    </row>
    <row r="136" spans="1:2" ht="16.5">
      <c r="A136" s="71"/>
      <c r="B136" s="71"/>
    </row>
    <row r="137" spans="1:2" ht="16.5">
      <c r="A137" s="71"/>
      <c r="B137" s="71"/>
    </row>
    <row r="138" spans="1:2" ht="16.5">
      <c r="A138" s="71"/>
      <c r="B138" s="71"/>
    </row>
    <row r="139" spans="1:2" ht="16.5">
      <c r="A139" s="71"/>
      <c r="B139" s="71"/>
    </row>
    <row r="140" spans="1:2" ht="16.5">
      <c r="A140" s="71"/>
      <c r="B140" s="71"/>
    </row>
    <row r="141" spans="1:2" ht="16.5">
      <c r="A141" s="71"/>
      <c r="B141" s="71"/>
    </row>
    <row r="142" spans="1:2" ht="16.5">
      <c r="A142" s="71"/>
      <c r="B142" s="71"/>
    </row>
    <row r="143" spans="1:2" ht="16.5">
      <c r="A143" s="71"/>
      <c r="B143" s="71"/>
    </row>
    <row r="144" spans="1:2" ht="16.5">
      <c r="A144" s="71"/>
      <c r="B144" s="71"/>
    </row>
    <row r="145" spans="1:2" ht="16.5">
      <c r="A145" s="71"/>
      <c r="B145" s="71"/>
    </row>
    <row r="146" spans="1:2" ht="16.5">
      <c r="A146" s="71"/>
      <c r="B146" s="71"/>
    </row>
    <row r="147" spans="1:2" ht="16.5">
      <c r="A147" s="71"/>
      <c r="B147" s="71"/>
    </row>
    <row r="148" spans="1:2" ht="16.5">
      <c r="A148" s="71"/>
      <c r="B148" s="71"/>
    </row>
    <row r="149" spans="1:2" ht="16.5">
      <c r="A149" s="71"/>
      <c r="B149" s="71"/>
    </row>
    <row r="150" spans="1:2" ht="16.5">
      <c r="A150" s="71"/>
      <c r="B150" s="71"/>
    </row>
    <row r="151" spans="1:2" ht="16.5">
      <c r="A151" s="71"/>
      <c r="B151" s="71"/>
    </row>
    <row r="152" spans="1:2" ht="16.5">
      <c r="A152" s="71"/>
      <c r="B152" s="71"/>
    </row>
    <row r="153" spans="1:2" ht="16.5">
      <c r="A153" s="71"/>
      <c r="B153" s="71"/>
    </row>
    <row r="154" spans="1:2" ht="16.5">
      <c r="A154" s="71"/>
      <c r="B154" s="71"/>
    </row>
    <row r="155" spans="1:2" ht="16.5">
      <c r="A155" s="71"/>
      <c r="B155" s="71"/>
    </row>
    <row r="156" spans="1:2" ht="16.5">
      <c r="A156" s="71"/>
      <c r="B156" s="71"/>
    </row>
    <row r="157" spans="1:2" ht="16.5">
      <c r="A157" s="71"/>
      <c r="B157" s="71"/>
    </row>
    <row r="158" spans="1:2" ht="16.5">
      <c r="A158" s="71"/>
      <c r="B158" s="71"/>
    </row>
    <row r="159" spans="1:2" ht="16.5">
      <c r="A159" s="71"/>
      <c r="B159" s="71"/>
    </row>
    <row r="160" spans="1:2" ht="16.5">
      <c r="A160" s="71"/>
      <c r="B160" s="71"/>
    </row>
    <row r="161" spans="1:2" ht="16.5">
      <c r="A161" s="71"/>
      <c r="B161" s="71"/>
    </row>
    <row r="162" spans="1:2" ht="16.5">
      <c r="A162" s="71"/>
      <c r="B162" s="71"/>
    </row>
    <row r="163" spans="1:2" ht="16.5">
      <c r="A163" s="71"/>
      <c r="B163" s="71"/>
    </row>
    <row r="164" spans="1:2" ht="16.5">
      <c r="A164" s="71"/>
      <c r="B164" s="71"/>
    </row>
    <row r="165" spans="1:2" ht="16.5">
      <c r="A165" s="71"/>
      <c r="B165" s="71"/>
    </row>
    <row r="166" spans="1:2" ht="16.5">
      <c r="A166" s="71"/>
      <c r="B166" s="71"/>
    </row>
    <row r="167" spans="1:2" ht="16.5">
      <c r="A167" s="71"/>
      <c r="B167" s="71"/>
    </row>
    <row r="168" spans="1:2" ht="16.5">
      <c r="A168" s="71"/>
      <c r="B168" s="71"/>
    </row>
    <row r="169" spans="1:2" ht="16.5">
      <c r="A169" s="71"/>
      <c r="B169" s="71"/>
    </row>
    <row r="170" spans="1:2" ht="16.5">
      <c r="A170" s="71"/>
      <c r="B170" s="71"/>
    </row>
    <row r="171" spans="1:2" ht="16.5">
      <c r="A171" s="71"/>
      <c r="B171" s="71"/>
    </row>
    <row r="172" spans="1:2" ht="16.5">
      <c r="A172" s="71"/>
      <c r="B172" s="71"/>
    </row>
    <row r="173" spans="1:2" ht="16.5">
      <c r="A173" s="71"/>
      <c r="B173" s="71"/>
    </row>
    <row r="174" spans="1:2" ht="16.5">
      <c r="A174" s="71"/>
      <c r="B174" s="71"/>
    </row>
    <row r="175" spans="1:2" ht="16.5">
      <c r="A175" s="71"/>
      <c r="B175" s="71"/>
    </row>
    <row r="176" spans="1:2" ht="16.5">
      <c r="A176" s="71"/>
      <c r="B176" s="71"/>
    </row>
    <row r="177" spans="1:2" ht="16.5">
      <c r="A177" s="71"/>
      <c r="B177" s="71"/>
    </row>
    <row r="178" spans="1:2" ht="16.5">
      <c r="A178" s="71"/>
      <c r="B178" s="71"/>
    </row>
    <row r="179" spans="1:2" ht="16.5">
      <c r="A179" s="71"/>
      <c r="B179" s="71"/>
    </row>
    <row r="180" spans="1:2" ht="16.5">
      <c r="A180" s="71"/>
      <c r="B180" s="71"/>
    </row>
    <row r="181" spans="1:2" ht="16.5">
      <c r="A181" s="71"/>
      <c r="B181" s="71"/>
    </row>
    <row r="182" spans="1:2" ht="16.5">
      <c r="A182" s="71"/>
      <c r="B182" s="71"/>
    </row>
    <row r="183" spans="1:2" ht="16.5">
      <c r="A183" s="71"/>
      <c r="B183" s="71"/>
    </row>
    <row r="184" spans="1:2" ht="16.5">
      <c r="A184" s="71"/>
      <c r="B184" s="71"/>
    </row>
    <row r="185" spans="1:2" ht="16.5">
      <c r="A185" s="71"/>
      <c r="B185" s="71"/>
    </row>
    <row r="186" spans="1:2" ht="16.5">
      <c r="A186" s="71"/>
      <c r="B186" s="71"/>
    </row>
    <row r="187" spans="1:2" ht="16.5">
      <c r="A187" s="71"/>
      <c r="B187" s="71"/>
    </row>
    <row r="188" spans="1:2" ht="16.5">
      <c r="A188" s="71"/>
      <c r="B188" s="71"/>
    </row>
    <row r="189" spans="1:2" ht="16.5">
      <c r="A189" s="71"/>
      <c r="B189" s="71"/>
    </row>
    <row r="190" spans="1:2" ht="16.5">
      <c r="A190" s="71"/>
      <c r="B190" s="71"/>
    </row>
    <row r="191" spans="1:2" ht="16.5">
      <c r="A191" s="71"/>
      <c r="B191" s="71"/>
    </row>
    <row r="192" spans="1:2" ht="16.5">
      <c r="A192" s="71"/>
      <c r="B192" s="71"/>
    </row>
    <row r="193" spans="1:2" ht="16.5">
      <c r="A193" s="71"/>
      <c r="B193" s="71"/>
    </row>
    <row r="194" spans="1:2" ht="16.5">
      <c r="A194" s="71"/>
      <c r="B194" s="71"/>
    </row>
    <row r="195" spans="1:2" ht="16.5">
      <c r="A195" s="71"/>
      <c r="B195" s="71"/>
    </row>
    <row r="196" spans="1:2" ht="16.5">
      <c r="A196" s="71"/>
      <c r="B196" s="71"/>
    </row>
    <row r="197" spans="1:2" ht="16.5">
      <c r="A197" s="71"/>
      <c r="B197" s="71"/>
    </row>
    <row r="198" spans="1:2" ht="16.5">
      <c r="A198" s="71"/>
      <c r="B198" s="71"/>
    </row>
    <row r="199" spans="1:2" ht="16.5">
      <c r="A199" s="71"/>
      <c r="B199" s="71"/>
    </row>
    <row r="200" spans="1:2" ht="16.5">
      <c r="A200" s="71"/>
      <c r="B200" s="71"/>
    </row>
    <row r="201" spans="1:2" ht="16.5">
      <c r="A201" s="71"/>
      <c r="B201" s="71"/>
    </row>
    <row r="202" spans="1:2" ht="16.5">
      <c r="A202" s="71"/>
      <c r="B202" s="71"/>
    </row>
    <row r="203" spans="1:2" ht="16.5">
      <c r="A203" s="71"/>
      <c r="B203" s="71"/>
    </row>
    <row r="204" spans="1:2" ht="16.5">
      <c r="A204" s="71"/>
      <c r="B204" s="71"/>
    </row>
    <row r="205" spans="1:2" ht="16.5">
      <c r="A205" s="71"/>
      <c r="B205" s="71"/>
    </row>
    <row r="206" spans="1:2" ht="16.5">
      <c r="A206" s="71"/>
      <c r="B206" s="71"/>
    </row>
    <row r="207" spans="1:2" ht="16.5">
      <c r="A207" s="71"/>
      <c r="B207" s="71"/>
    </row>
    <row r="208" spans="1:2" ht="16.5">
      <c r="A208" s="71"/>
      <c r="B208" s="71"/>
    </row>
    <row r="209" spans="1:2" ht="16.5">
      <c r="A209" s="71"/>
      <c r="B209" s="71"/>
    </row>
    <row r="210" spans="1:2" ht="16.5">
      <c r="A210" s="71"/>
      <c r="B210" s="71"/>
    </row>
    <row r="211" spans="1:2" ht="16.5">
      <c r="A211" s="71"/>
      <c r="B211" s="71"/>
    </row>
    <row r="212" spans="1:2" ht="16.5">
      <c r="A212" s="71"/>
      <c r="B212" s="71"/>
    </row>
    <row r="213" spans="1:2" ht="16.5">
      <c r="A213" s="71"/>
      <c r="B213" s="71"/>
    </row>
    <row r="214" spans="1:2" ht="16.5">
      <c r="A214" s="71"/>
      <c r="B214" s="71"/>
    </row>
    <row r="215" spans="1:2" ht="16.5">
      <c r="A215" s="71"/>
      <c r="B215" s="71"/>
    </row>
    <row r="216" spans="1:2" ht="16.5">
      <c r="A216" s="71"/>
      <c r="B216" s="71"/>
    </row>
    <row r="217" spans="1:2" ht="16.5">
      <c r="A217" s="71"/>
      <c r="B217" s="71"/>
    </row>
    <row r="218" spans="1:2" ht="16.5">
      <c r="A218" s="71"/>
      <c r="B218" s="71"/>
    </row>
    <row r="219" spans="1:2" ht="16.5">
      <c r="A219" s="71"/>
      <c r="B219" s="71"/>
    </row>
    <row r="220" spans="1:2" ht="16.5">
      <c r="A220" s="71"/>
      <c r="B220" s="71"/>
    </row>
    <row r="221" spans="1:2" ht="16.5">
      <c r="A221" s="71"/>
      <c r="B221" s="71"/>
    </row>
    <row r="222" spans="1:2" ht="16.5">
      <c r="A222" s="71"/>
      <c r="B222" s="71"/>
    </row>
    <row r="223" spans="1:2" ht="16.5">
      <c r="A223" s="71"/>
      <c r="B223" s="71"/>
    </row>
    <row r="224" spans="1:2" ht="16.5">
      <c r="A224" s="71"/>
      <c r="B224" s="71"/>
    </row>
    <row r="225" spans="1:2" ht="16.5">
      <c r="A225" s="71"/>
      <c r="B225" s="71"/>
    </row>
    <row r="226" spans="1:2" ht="16.5">
      <c r="A226" s="71"/>
      <c r="B226" s="71"/>
    </row>
    <row r="227" spans="1:2" ht="16.5">
      <c r="A227" s="71"/>
      <c r="B227" s="71"/>
    </row>
    <row r="228" spans="1:2" ht="16.5">
      <c r="A228" s="71"/>
      <c r="B228" s="71"/>
    </row>
    <row r="229" spans="1:2" ht="16.5">
      <c r="A229" s="71"/>
      <c r="B229" s="71"/>
    </row>
    <row r="230" spans="1:2" ht="16.5">
      <c r="A230" s="71"/>
      <c r="B230" s="71"/>
    </row>
    <row r="231" spans="1:2" ht="16.5">
      <c r="A231" s="71"/>
      <c r="B231" s="71"/>
    </row>
    <row r="232" spans="1:2" ht="16.5">
      <c r="A232" s="71"/>
      <c r="B232" s="71"/>
    </row>
    <row r="233" spans="1:2" ht="16.5">
      <c r="A233" s="71"/>
      <c r="B233" s="71"/>
    </row>
    <row r="234" spans="1:2" ht="16.5">
      <c r="A234" s="71"/>
      <c r="B234" s="71"/>
    </row>
    <row r="235" spans="1:2" ht="16.5">
      <c r="A235" s="71"/>
      <c r="B235" s="71"/>
    </row>
    <row r="236" spans="1:2" ht="16.5">
      <c r="A236" s="71"/>
      <c r="B236" s="71"/>
    </row>
    <row r="237" spans="1:2" ht="16.5">
      <c r="A237" s="71"/>
      <c r="B237" s="71"/>
    </row>
    <row r="238" spans="1:2" ht="16.5">
      <c r="A238" s="71"/>
      <c r="B238" s="71"/>
    </row>
    <row r="239" spans="1:2" ht="16.5">
      <c r="A239" s="71"/>
      <c r="B239" s="71"/>
    </row>
    <row r="240" spans="1:2" ht="16.5">
      <c r="A240" s="71"/>
      <c r="B240" s="71"/>
    </row>
    <row r="241" spans="1:2" ht="16.5">
      <c r="A241" s="71"/>
      <c r="B241" s="71"/>
    </row>
    <row r="242" spans="1:2" ht="16.5">
      <c r="A242" s="71"/>
      <c r="B242" s="71"/>
    </row>
    <row r="243" spans="1:2" ht="16.5">
      <c r="A243" s="71"/>
      <c r="B243" s="71"/>
    </row>
    <row r="244" spans="1:2" ht="16.5">
      <c r="A244" s="71"/>
      <c r="B244" s="71"/>
    </row>
    <row r="245" spans="1:2" ht="16.5">
      <c r="A245" s="71"/>
      <c r="B245" s="71"/>
    </row>
    <row r="246" spans="1:2" ht="16.5">
      <c r="A246" s="71"/>
      <c r="B246" s="71"/>
    </row>
    <row r="247" spans="1:2" ht="16.5">
      <c r="A247" s="71"/>
      <c r="B247" s="71"/>
    </row>
    <row r="248" spans="1:2" ht="16.5">
      <c r="A248" s="71"/>
      <c r="B248" s="71"/>
    </row>
    <row r="249" spans="1:2" ht="16.5">
      <c r="A249" s="71"/>
      <c r="B249" s="71"/>
    </row>
    <row r="250" spans="1:2" ht="16.5">
      <c r="A250" s="71"/>
      <c r="B250" s="71"/>
    </row>
    <row r="251" spans="1:2" ht="16.5">
      <c r="A251" s="71"/>
      <c r="B251" s="71"/>
    </row>
    <row r="252" spans="1:2" ht="16.5">
      <c r="A252" s="71"/>
      <c r="B252" s="71"/>
    </row>
    <row r="253" spans="1:2" ht="16.5">
      <c r="A253" s="71"/>
      <c r="B253" s="71"/>
    </row>
    <row r="254" spans="1:2" ht="16.5">
      <c r="A254" s="71"/>
      <c r="B254" s="71"/>
    </row>
    <row r="255" spans="1:2" ht="16.5">
      <c r="A255" s="71"/>
      <c r="B255" s="71"/>
    </row>
    <row r="256" spans="1:2" ht="16.5">
      <c r="A256" s="71"/>
      <c r="B256" s="71"/>
    </row>
    <row r="257" spans="1:2" ht="16.5">
      <c r="A257" s="71"/>
      <c r="B257" s="71"/>
    </row>
    <row r="258" spans="1:2" ht="16.5">
      <c r="A258" s="71"/>
      <c r="B258" s="71"/>
    </row>
    <row r="259" spans="1:2" ht="16.5">
      <c r="A259" s="71"/>
      <c r="B259" s="71"/>
    </row>
    <row r="260" spans="1:2" ht="16.5">
      <c r="A260" s="71"/>
      <c r="B260" s="71"/>
    </row>
    <row r="261" spans="1:2" ht="16.5">
      <c r="A261" s="71"/>
      <c r="B261" s="71"/>
    </row>
    <row r="262" spans="1:2" ht="16.5">
      <c r="A262" s="71"/>
      <c r="B262" s="71"/>
    </row>
    <row r="263" spans="1:2" ht="16.5">
      <c r="A263" s="71"/>
      <c r="B263" s="71"/>
    </row>
    <row r="264" spans="1:2" ht="16.5">
      <c r="A264" s="71"/>
      <c r="B264" s="71"/>
    </row>
    <row r="265" spans="1:2" ht="16.5">
      <c r="A265" s="71"/>
      <c r="B265" s="71"/>
    </row>
    <row r="266" spans="1:2" ht="16.5">
      <c r="A266" s="71"/>
      <c r="B266" s="71"/>
    </row>
    <row r="267" spans="1:2" ht="16.5">
      <c r="A267" s="71"/>
      <c r="B267" s="71"/>
    </row>
    <row r="268" spans="1:2" ht="16.5">
      <c r="A268" s="71"/>
      <c r="B268" s="71"/>
    </row>
    <row r="269" spans="1:2" ht="16.5">
      <c r="A269" s="71"/>
      <c r="B269" s="71"/>
    </row>
    <row r="270" spans="1:2" ht="16.5">
      <c r="A270" s="71"/>
      <c r="B270" s="71"/>
    </row>
    <row r="271" spans="1:2" ht="16.5">
      <c r="A271" s="71"/>
      <c r="B271" s="71"/>
    </row>
    <row r="272" spans="1:2" ht="16.5">
      <c r="A272" s="71"/>
      <c r="B272" s="71"/>
    </row>
    <row r="273" spans="1:2" ht="16.5">
      <c r="A273" s="71"/>
      <c r="B273" s="71"/>
    </row>
    <row r="274" spans="1:2" ht="16.5">
      <c r="A274" s="71"/>
      <c r="B274" s="71"/>
    </row>
    <row r="275" spans="1:2" ht="16.5">
      <c r="A275" s="71"/>
      <c r="B275" s="71"/>
    </row>
    <row r="276" spans="1:2" ht="16.5">
      <c r="A276" s="71"/>
      <c r="B276" s="71"/>
    </row>
    <row r="277" spans="1:2" ht="16.5">
      <c r="A277" s="71"/>
      <c r="B277" s="71"/>
    </row>
    <row r="278" spans="1:2" ht="16.5">
      <c r="A278" s="71"/>
      <c r="B278" s="71"/>
    </row>
    <row r="279" spans="1:2" ht="16.5">
      <c r="A279" s="71"/>
      <c r="B279" s="71"/>
    </row>
    <row r="280" spans="1:2" ht="16.5">
      <c r="A280" s="71"/>
      <c r="B280" s="71"/>
    </row>
    <row r="281" spans="1:2" ht="16.5">
      <c r="A281" s="71"/>
      <c r="B281" s="71"/>
    </row>
    <row r="282" spans="1:2" ht="16.5">
      <c r="A282" s="71"/>
      <c r="B282" s="71"/>
    </row>
    <row r="283" spans="1:2" ht="16.5">
      <c r="A283" s="71"/>
      <c r="B283" s="71"/>
    </row>
    <row r="284" spans="1:2" ht="16.5">
      <c r="A284" s="71"/>
      <c r="B284" s="71"/>
    </row>
    <row r="285" spans="1:2" ht="16.5">
      <c r="A285" s="71"/>
      <c r="B285" s="71"/>
    </row>
    <row r="286" spans="1:2" ht="16.5">
      <c r="A286" s="71"/>
      <c r="B286" s="71"/>
    </row>
    <row r="287" spans="1:2" ht="16.5">
      <c r="A287" s="71"/>
      <c r="B287" s="71"/>
    </row>
    <row r="288" spans="1:2" ht="16.5">
      <c r="A288" s="71"/>
      <c r="B288" s="71"/>
    </row>
    <row r="289" spans="1:2" ht="16.5">
      <c r="A289" s="71"/>
      <c r="B289" s="71"/>
    </row>
    <row r="290" spans="1:2" ht="16.5">
      <c r="A290" s="71"/>
      <c r="B290" s="71"/>
    </row>
    <row r="291" spans="1:2" ht="16.5">
      <c r="A291" s="71"/>
      <c r="B291" s="71"/>
    </row>
    <row r="292" spans="1:2" ht="16.5">
      <c r="A292" s="71"/>
      <c r="B292" s="71"/>
    </row>
    <row r="293" spans="1:2" ht="16.5">
      <c r="A293" s="71"/>
      <c r="B293" s="71"/>
    </row>
    <row r="294" spans="1:2" ht="16.5">
      <c r="A294" s="71"/>
      <c r="B294" s="71"/>
    </row>
    <row r="295" spans="1:2" ht="16.5">
      <c r="A295" s="71"/>
      <c r="B295" s="71"/>
    </row>
    <row r="296" spans="1:2" ht="16.5">
      <c r="A296" s="71"/>
      <c r="B296" s="71"/>
    </row>
    <row r="297" spans="1:2" ht="16.5">
      <c r="A297" s="71"/>
      <c r="B297" s="71"/>
    </row>
    <row r="298" spans="1:2" ht="16.5">
      <c r="A298" s="71"/>
      <c r="B298" s="71"/>
    </row>
    <row r="299" spans="1:2" ht="16.5">
      <c r="A299" s="71"/>
      <c r="B299" s="71"/>
    </row>
    <row r="300" spans="1:2" ht="16.5">
      <c r="A300" s="71"/>
      <c r="B300" s="71"/>
    </row>
    <row r="301" spans="1:2" ht="16.5">
      <c r="A301" s="71"/>
      <c r="B301" s="71"/>
    </row>
    <row r="302" spans="1:2" ht="16.5">
      <c r="A302" s="71"/>
      <c r="B302" s="71"/>
    </row>
    <row r="303" spans="1:2" ht="16.5">
      <c r="A303" s="71"/>
      <c r="B303" s="71"/>
    </row>
    <row r="304" spans="1:2" ht="16.5">
      <c r="A304" s="71"/>
      <c r="B304" s="71"/>
    </row>
    <row r="305" spans="1:2" ht="16.5">
      <c r="A305" s="71"/>
      <c r="B305" s="71"/>
    </row>
    <row r="306" spans="1:2" ht="16.5">
      <c r="A306" s="71"/>
      <c r="B306" s="71"/>
    </row>
    <row r="307" spans="1:2" ht="16.5">
      <c r="A307" s="71"/>
      <c r="B307" s="71"/>
    </row>
    <row r="308" spans="1:2" ht="16.5">
      <c r="A308" s="71"/>
      <c r="B308" s="71"/>
    </row>
    <row r="309" spans="1:2" ht="16.5">
      <c r="A309" s="71"/>
      <c r="B309" s="71"/>
    </row>
    <row r="310" spans="1:2" ht="16.5">
      <c r="A310" s="71"/>
      <c r="B310" s="71"/>
    </row>
    <row r="311" spans="1:2" ht="16.5">
      <c r="A311" s="71"/>
      <c r="B311" s="71"/>
    </row>
    <row r="312" spans="1:2" ht="16.5">
      <c r="A312" s="71"/>
      <c r="B312" s="71"/>
    </row>
    <row r="313" spans="1:2" ht="16.5">
      <c r="A313" s="71"/>
      <c r="B313" s="71"/>
    </row>
    <row r="314" spans="1:2" ht="16.5">
      <c r="A314" s="71"/>
      <c r="B314" s="71"/>
    </row>
    <row r="315" spans="1:2" ht="16.5">
      <c r="A315" s="71"/>
      <c r="B315" s="71"/>
    </row>
    <row r="316" spans="1:2" ht="16.5">
      <c r="A316" s="71"/>
      <c r="B316" s="71"/>
    </row>
    <row r="317" spans="1:2" ht="16.5">
      <c r="A317" s="71"/>
      <c r="B317" s="71"/>
    </row>
    <row r="318" spans="1:2" ht="16.5">
      <c r="A318" s="71"/>
      <c r="B318" s="71"/>
    </row>
    <row r="319" spans="1:2" ht="16.5">
      <c r="A319" s="71"/>
      <c r="B319" s="71"/>
    </row>
    <row r="320" spans="1:2" ht="16.5">
      <c r="A320" s="71"/>
      <c r="B320" s="71"/>
    </row>
    <row r="321" spans="1:2" ht="16.5">
      <c r="A321" s="71"/>
      <c r="B321" s="71"/>
    </row>
    <row r="322" spans="1:2" ht="16.5">
      <c r="A322" s="71"/>
      <c r="B322" s="71"/>
    </row>
    <row r="323" spans="1:2" ht="16.5">
      <c r="A323" s="71"/>
      <c r="B323" s="71"/>
    </row>
    <row r="324" spans="1:2" ht="16.5">
      <c r="A324" s="71"/>
      <c r="B324" s="71"/>
    </row>
    <row r="325" spans="1:2" ht="16.5">
      <c r="A325" s="71"/>
      <c r="B325" s="71"/>
    </row>
    <row r="326" spans="1:2" ht="16.5">
      <c r="A326" s="71"/>
      <c r="B326" s="71"/>
    </row>
    <row r="327" spans="1:2" ht="16.5">
      <c r="A327" s="71"/>
      <c r="B327" s="71"/>
    </row>
    <row r="328" spans="1:2" ht="16.5">
      <c r="A328" s="71"/>
      <c r="B328" s="71"/>
    </row>
    <row r="329" spans="1:2" ht="16.5">
      <c r="A329" s="71"/>
      <c r="B329" s="71"/>
    </row>
    <row r="330" spans="1:2" ht="16.5">
      <c r="A330" s="71"/>
      <c r="B330" s="71"/>
    </row>
    <row r="331" spans="1:2" ht="16.5">
      <c r="A331" s="71"/>
      <c r="B331" s="71"/>
    </row>
    <row r="332" spans="1:2" ht="16.5">
      <c r="A332" s="71"/>
      <c r="B332" s="71"/>
    </row>
    <row r="333" spans="1:2" ht="16.5">
      <c r="A333" s="71"/>
      <c r="B333" s="71"/>
    </row>
    <row r="334" spans="1:2" ht="16.5">
      <c r="A334" s="71"/>
      <c r="B334" s="71"/>
    </row>
    <row r="335" spans="1:2" ht="16.5">
      <c r="A335" s="71"/>
      <c r="B335" s="71"/>
    </row>
    <row r="336" spans="1:2" ht="16.5">
      <c r="A336" s="71"/>
      <c r="B336" s="71"/>
    </row>
    <row r="337" spans="1:2" ht="16.5">
      <c r="A337" s="71"/>
      <c r="B337" s="71"/>
    </row>
    <row r="338" spans="1:2" ht="16.5">
      <c r="A338" s="71"/>
      <c r="B338" s="71"/>
    </row>
    <row r="339" spans="1:2" ht="16.5">
      <c r="A339" s="71"/>
      <c r="B339" s="71"/>
    </row>
    <row r="340" spans="1:2" ht="16.5">
      <c r="A340" s="71"/>
      <c r="B340" s="71"/>
    </row>
    <row r="341" spans="1:2" ht="16.5">
      <c r="A341" s="71"/>
      <c r="B341" s="71"/>
    </row>
    <row r="342" spans="1:2" ht="16.5">
      <c r="A342" s="71"/>
      <c r="B342" s="71"/>
    </row>
    <row r="343" spans="1:2" ht="16.5">
      <c r="A343" s="71"/>
      <c r="B343" s="71"/>
    </row>
    <row r="344" spans="1:2" ht="16.5">
      <c r="A344" s="71"/>
      <c r="B344" s="71"/>
    </row>
    <row r="345" spans="1:2" ht="16.5">
      <c r="A345" s="71"/>
      <c r="B345" s="71"/>
    </row>
    <row r="346" spans="1:2" ht="16.5">
      <c r="A346" s="71"/>
      <c r="B346" s="71"/>
    </row>
    <row r="347" spans="1:2" ht="16.5">
      <c r="A347" s="71"/>
      <c r="B347" s="71"/>
    </row>
    <row r="348" spans="1:2" ht="16.5">
      <c r="A348" s="71"/>
      <c r="B348" s="71"/>
    </row>
    <row r="349" spans="1:2" ht="16.5">
      <c r="A349" s="71"/>
      <c r="B349" s="71"/>
    </row>
    <row r="350" spans="1:2" ht="16.5">
      <c r="A350" s="71"/>
      <c r="B350" s="71"/>
    </row>
    <row r="351" spans="1:2" ht="16.5">
      <c r="A351" s="71"/>
      <c r="B351" s="71"/>
    </row>
    <row r="352" spans="1:2" ht="16.5">
      <c r="A352" s="71"/>
      <c r="B352" s="71"/>
    </row>
    <row r="353" spans="1:2" ht="16.5">
      <c r="A353" s="71"/>
      <c r="B353" s="71"/>
    </row>
    <row r="354" spans="1:2" ht="16.5">
      <c r="A354" s="71"/>
      <c r="B354" s="71"/>
    </row>
    <row r="355" spans="1:2" ht="16.5">
      <c r="A355" s="71"/>
      <c r="B355" s="71"/>
    </row>
    <row r="356" spans="1:2" ht="16.5">
      <c r="A356" s="71"/>
      <c r="B356" s="71"/>
    </row>
    <row r="357" spans="1:2" ht="16.5">
      <c r="A357" s="71"/>
      <c r="B357" s="71"/>
    </row>
    <row r="358" spans="1:2" ht="16.5">
      <c r="A358" s="71"/>
      <c r="B358" s="71"/>
    </row>
    <row r="359" spans="1:2" ht="16.5">
      <c r="A359" s="71"/>
      <c r="B359" s="71"/>
    </row>
    <row r="360" spans="1:2" ht="16.5">
      <c r="A360" s="71"/>
      <c r="B360" s="71"/>
    </row>
    <row r="361" spans="1:2" ht="16.5">
      <c r="A361" s="71"/>
      <c r="B361" s="71"/>
    </row>
    <row r="362" spans="1:2" ht="16.5">
      <c r="A362" s="71"/>
      <c r="B362" s="71"/>
    </row>
    <row r="363" spans="1:2" ht="16.5">
      <c r="A363" s="71"/>
      <c r="B363" s="71"/>
    </row>
    <row r="364" spans="1:2" ht="16.5">
      <c r="A364" s="71"/>
      <c r="B364" s="71"/>
    </row>
    <row r="365" spans="1:2" ht="16.5">
      <c r="A365" s="71"/>
      <c r="B365" s="71"/>
    </row>
    <row r="366" spans="1:2" ht="16.5">
      <c r="A366" s="71"/>
      <c r="B366" s="71"/>
    </row>
    <row r="367" spans="1:2" ht="16.5">
      <c r="A367" s="71"/>
      <c r="B367" s="71"/>
    </row>
    <row r="368" spans="1:2" ht="16.5">
      <c r="A368" s="71"/>
      <c r="B368" s="71"/>
    </row>
    <row r="369" spans="1:2" ht="16.5">
      <c r="A369" s="71"/>
      <c r="B369" s="71"/>
    </row>
    <row r="370" spans="1:2" ht="16.5">
      <c r="A370" s="71"/>
      <c r="B370" s="71"/>
    </row>
    <row r="371" spans="1:2" ht="16.5">
      <c r="A371" s="71"/>
      <c r="B371" s="71"/>
    </row>
    <row r="372" spans="1:2" ht="16.5">
      <c r="A372" s="71"/>
      <c r="B372" s="71"/>
    </row>
    <row r="373" spans="1:2" ht="16.5">
      <c r="A373" s="71"/>
      <c r="B373" s="71"/>
    </row>
    <row r="374" spans="1:2" ht="16.5">
      <c r="A374" s="71"/>
      <c r="B374" s="71"/>
    </row>
    <row r="375" spans="1:2" ht="16.5">
      <c r="A375" s="71"/>
      <c r="B375" s="71"/>
    </row>
    <row r="376" spans="1:2" ht="16.5">
      <c r="A376" s="71"/>
      <c r="B376" s="71"/>
    </row>
    <row r="377" spans="1:2" ht="16.5">
      <c r="A377" s="71"/>
      <c r="B377" s="71"/>
    </row>
    <row r="378" spans="1:2" ht="16.5">
      <c r="A378" s="71"/>
      <c r="B378" s="71"/>
    </row>
    <row r="379" spans="1:2" ht="16.5">
      <c r="A379" s="71"/>
      <c r="B379" s="71"/>
    </row>
    <row r="380" spans="1:2" ht="16.5">
      <c r="A380" s="71"/>
      <c r="B380" s="71"/>
    </row>
    <row r="381" spans="1:2" ht="16.5">
      <c r="A381" s="71"/>
      <c r="B381" s="71"/>
    </row>
    <row r="382" spans="1:2" ht="16.5">
      <c r="A382" s="71"/>
      <c r="B382" s="71"/>
    </row>
    <row r="383" spans="1:2" ht="16.5">
      <c r="A383" s="71"/>
      <c r="B383" s="71"/>
    </row>
    <row r="384" spans="1:2" ht="16.5">
      <c r="A384" s="71"/>
      <c r="B384" s="71"/>
    </row>
    <row r="385" spans="1:2" ht="16.5">
      <c r="A385" s="71"/>
      <c r="B385" s="71"/>
    </row>
    <row r="386" spans="1:2" ht="16.5">
      <c r="A386" s="71"/>
      <c r="B386" s="71"/>
    </row>
    <row r="387" spans="1:2" ht="16.5">
      <c r="A387" s="71"/>
      <c r="B387" s="71"/>
    </row>
    <row r="388" spans="1:2" ht="16.5">
      <c r="A388" s="71"/>
      <c r="B388" s="71"/>
    </row>
    <row r="389" spans="1:2" ht="16.5">
      <c r="A389" s="71"/>
      <c r="B389" s="71"/>
    </row>
    <row r="390" spans="1:2" ht="16.5">
      <c r="A390" s="71"/>
      <c r="B390" s="71"/>
    </row>
    <row r="391" spans="1:2" ht="16.5">
      <c r="A391" s="71"/>
      <c r="B391" s="71"/>
    </row>
    <row r="392" spans="1:2" ht="16.5">
      <c r="A392" s="71"/>
      <c r="B392" s="71"/>
    </row>
    <row r="393" spans="1:2" ht="16.5">
      <c r="A393" s="71"/>
      <c r="B393" s="71"/>
    </row>
    <row r="394" spans="1:2" ht="16.5">
      <c r="A394" s="71"/>
      <c r="B394" s="71"/>
    </row>
    <row r="395" spans="1:2" ht="16.5">
      <c r="A395" s="71"/>
      <c r="B395" s="71"/>
    </row>
    <row r="396" spans="1:2" ht="16.5">
      <c r="A396" s="71"/>
      <c r="B396" s="71"/>
    </row>
    <row r="397" spans="1:2" ht="16.5">
      <c r="A397" s="71"/>
      <c r="B397" s="71"/>
    </row>
    <row r="398" spans="1:2" ht="16.5">
      <c r="A398" s="71"/>
      <c r="B398" s="71"/>
    </row>
    <row r="399" spans="1:2" ht="16.5">
      <c r="A399" s="71"/>
      <c r="B399" s="71"/>
    </row>
    <row r="400" spans="1:2" ht="16.5">
      <c r="A400" s="71"/>
      <c r="B400" s="71"/>
    </row>
    <row r="401" spans="1:2" ht="16.5">
      <c r="A401" s="71"/>
      <c r="B401" s="71"/>
    </row>
    <row r="402" spans="1:2" ht="16.5">
      <c r="A402" s="71"/>
      <c r="B402" s="71"/>
    </row>
    <row r="403" spans="1:2" ht="16.5">
      <c r="A403" s="71"/>
      <c r="B403" s="71"/>
    </row>
    <row r="404" spans="1:2" ht="16.5">
      <c r="A404" s="71"/>
      <c r="B404" s="71"/>
    </row>
    <row r="405" spans="1:2" ht="16.5">
      <c r="A405" s="71"/>
      <c r="B405" s="71"/>
    </row>
    <row r="406" spans="1:2" ht="16.5">
      <c r="A406" s="71"/>
      <c r="B406" s="71"/>
    </row>
    <row r="407" spans="1:2" ht="16.5">
      <c r="A407" s="71"/>
      <c r="B407" s="71"/>
    </row>
    <row r="408" spans="1:2" ht="16.5">
      <c r="A408" s="71"/>
      <c r="B408" s="71"/>
    </row>
    <row r="409" spans="1:2" ht="16.5">
      <c r="A409" s="71"/>
      <c r="B409" s="71"/>
    </row>
    <row r="410" spans="1:2" ht="16.5">
      <c r="A410" s="71"/>
      <c r="B410" s="71"/>
    </row>
    <row r="411" spans="1:2" ht="16.5">
      <c r="A411" s="71"/>
      <c r="B411" s="71"/>
    </row>
    <row r="412" spans="1:2" ht="16.5">
      <c r="A412" s="71"/>
      <c r="B412" s="71"/>
    </row>
    <row r="413" spans="1:2" ht="16.5">
      <c r="A413" s="71"/>
      <c r="B413" s="71"/>
    </row>
    <row r="414" spans="1:2" ht="16.5">
      <c r="A414" s="71"/>
      <c r="B414" s="71"/>
    </row>
    <row r="415" spans="1:2" ht="16.5">
      <c r="A415" s="71"/>
      <c r="B415" s="71"/>
    </row>
    <row r="416" spans="1:2" ht="16.5">
      <c r="A416" s="71"/>
      <c r="B416" s="71"/>
    </row>
    <row r="417" spans="1:2" ht="16.5">
      <c r="A417" s="71"/>
      <c r="B417" s="71"/>
    </row>
    <row r="418" spans="1:2" ht="16.5">
      <c r="A418" s="71"/>
      <c r="B418" s="71"/>
    </row>
    <row r="419" spans="1:2" ht="16.5">
      <c r="A419" s="71"/>
      <c r="B419" s="71"/>
    </row>
    <row r="420" spans="1:2" ht="16.5">
      <c r="A420" s="71"/>
      <c r="B420" s="71"/>
    </row>
    <row r="421" spans="1:2" ht="16.5">
      <c r="A421" s="71"/>
      <c r="B421" s="71"/>
    </row>
    <row r="422" spans="1:2" ht="16.5">
      <c r="A422" s="71"/>
      <c r="B422" s="71"/>
    </row>
    <row r="423" spans="1:2" ht="16.5">
      <c r="A423" s="71"/>
      <c r="B423" s="71"/>
    </row>
    <row r="424" spans="1:2" ht="16.5">
      <c r="A424" s="71"/>
      <c r="B424" s="71"/>
    </row>
    <row r="425" spans="1:2" ht="16.5">
      <c r="A425" s="71"/>
      <c r="B425" s="71"/>
    </row>
    <row r="426" spans="1:2" ht="16.5">
      <c r="A426" s="71"/>
      <c r="B426" s="71"/>
    </row>
    <row r="427" spans="1:2" ht="16.5">
      <c r="A427" s="71"/>
      <c r="B427" s="71"/>
    </row>
    <row r="428" spans="1:2" ht="16.5">
      <c r="A428" s="71"/>
      <c r="B428" s="71"/>
    </row>
    <row r="429" spans="1:2" ht="16.5">
      <c r="A429" s="71"/>
      <c r="B429" s="71"/>
    </row>
    <row r="430" spans="1:2" ht="16.5">
      <c r="A430" s="71"/>
      <c r="B430" s="71"/>
    </row>
    <row r="431" spans="1:2" ht="16.5">
      <c r="A431" s="71"/>
      <c r="B431" s="71"/>
    </row>
    <row r="432" spans="1:2" ht="16.5">
      <c r="A432" s="71"/>
      <c r="B432" s="71"/>
    </row>
    <row r="433" spans="1:2" ht="16.5">
      <c r="A433" s="71"/>
      <c r="B433" s="71"/>
    </row>
    <row r="434" spans="1:2" ht="16.5">
      <c r="A434" s="71"/>
      <c r="B434" s="71"/>
    </row>
    <row r="435" spans="1:2" ht="16.5">
      <c r="A435" s="71"/>
      <c r="B435" s="71"/>
    </row>
    <row r="436" spans="1:2" ht="16.5">
      <c r="A436" s="71"/>
      <c r="B436" s="71"/>
    </row>
    <row r="437" spans="1:2" ht="16.5">
      <c r="A437" s="71"/>
      <c r="B437" s="71"/>
    </row>
    <row r="438" spans="1:2" ht="16.5">
      <c r="A438" s="71"/>
      <c r="B438" s="71"/>
    </row>
    <row r="439" spans="1:2" ht="16.5">
      <c r="A439" s="71"/>
      <c r="B439" s="71"/>
    </row>
    <row r="440" spans="1:2" ht="16.5">
      <c r="A440" s="71"/>
      <c r="B440" s="71"/>
    </row>
    <row r="441" spans="1:2" ht="16.5">
      <c r="A441" s="71"/>
      <c r="B441" s="71"/>
    </row>
    <row r="442" spans="1:2" ht="16.5">
      <c r="A442" s="71"/>
      <c r="B442" s="71"/>
    </row>
    <row r="443" spans="1:2" ht="16.5">
      <c r="A443" s="71"/>
      <c r="B443" s="71"/>
    </row>
    <row r="444" spans="1:2" ht="16.5">
      <c r="A444" s="71"/>
      <c r="B444" s="71"/>
    </row>
    <row r="445" spans="1:2" ht="16.5">
      <c r="A445" s="71"/>
      <c r="B445" s="71"/>
    </row>
    <row r="446" spans="1:2" ht="16.5">
      <c r="A446" s="71"/>
      <c r="B446" s="71"/>
    </row>
    <row r="447" spans="1:2" ht="16.5">
      <c r="A447" s="71"/>
      <c r="B447" s="71"/>
    </row>
    <row r="448" spans="1:2" ht="16.5">
      <c r="A448" s="71"/>
      <c r="B448" s="71"/>
    </row>
    <row r="449" spans="1:2" ht="16.5">
      <c r="A449" s="71"/>
      <c r="B449" s="71"/>
    </row>
    <row r="450" spans="1:2" ht="16.5">
      <c r="A450" s="71"/>
      <c r="B450" s="71"/>
    </row>
    <row r="451" spans="1:2" ht="16.5">
      <c r="A451" s="71"/>
      <c r="B451" s="71"/>
    </row>
    <row r="452" spans="1:2" ht="16.5">
      <c r="A452" s="71"/>
      <c r="B452" s="71"/>
    </row>
    <row r="453" spans="1:2" ht="16.5">
      <c r="A453" s="71"/>
      <c r="B453" s="71"/>
    </row>
    <row r="454" spans="1:2" ht="16.5">
      <c r="A454" s="71"/>
      <c r="B454" s="71"/>
    </row>
    <row r="455" spans="1:2" ht="16.5">
      <c r="A455" s="71"/>
      <c r="B455" s="71"/>
    </row>
    <row r="456" spans="1:2" ht="16.5">
      <c r="A456" s="71"/>
      <c r="B456" s="71"/>
    </row>
    <row r="457" spans="1:2" ht="16.5">
      <c r="A457" s="71"/>
      <c r="B457" s="71"/>
    </row>
    <row r="458" spans="1:2" ht="16.5">
      <c r="A458" s="71"/>
      <c r="B458" s="71"/>
    </row>
    <row r="459" spans="1:2" ht="16.5">
      <c r="A459" s="71"/>
      <c r="B459" s="71"/>
    </row>
    <row r="460" spans="1:2" ht="16.5">
      <c r="A460" s="71"/>
      <c r="B460" s="71"/>
    </row>
    <row r="461" spans="1:2" ht="16.5">
      <c r="A461" s="71"/>
      <c r="B461" s="71"/>
    </row>
    <row r="462" spans="1:2" ht="16.5">
      <c r="A462" s="71"/>
      <c r="B462" s="71"/>
    </row>
    <row r="463" spans="1:2" ht="16.5">
      <c r="A463" s="71"/>
      <c r="B463" s="71"/>
    </row>
    <row r="464" spans="1:2" ht="16.5">
      <c r="A464" s="71"/>
      <c r="B464" s="71"/>
    </row>
    <row r="465" spans="1:2" ht="16.5">
      <c r="A465" s="71"/>
      <c r="B465" s="71"/>
    </row>
    <row r="466" spans="1:2" ht="16.5">
      <c r="A466" s="71"/>
      <c r="B466" s="71"/>
    </row>
    <row r="467" spans="1:2" ht="16.5">
      <c r="A467" s="71"/>
      <c r="B467" s="71"/>
    </row>
    <row r="468" spans="1:2" ht="16.5">
      <c r="A468" s="71"/>
      <c r="B468" s="71"/>
    </row>
    <row r="469" spans="1:2" ht="16.5">
      <c r="A469" s="71"/>
      <c r="B469" s="71"/>
    </row>
    <row r="470" spans="1:2" ht="16.5">
      <c r="A470" s="71"/>
      <c r="B470" s="71"/>
    </row>
    <row r="471" spans="1:2" ht="16.5">
      <c r="A471" s="71"/>
      <c r="B471" s="71"/>
    </row>
    <row r="472" spans="1:2" ht="16.5">
      <c r="A472" s="71"/>
      <c r="B472" s="71"/>
    </row>
    <row r="473" spans="1:2" ht="16.5">
      <c r="A473" s="71"/>
      <c r="B473" s="71"/>
    </row>
    <row r="474" spans="1:2" ht="16.5">
      <c r="A474" s="71"/>
      <c r="B474" s="71"/>
    </row>
    <row r="475" spans="1:2" ht="16.5">
      <c r="A475" s="71"/>
      <c r="B475" s="71"/>
    </row>
    <row r="476" spans="1:2" ht="16.5">
      <c r="A476" s="71"/>
      <c r="B476" s="71"/>
    </row>
    <row r="477" spans="1:2" ht="16.5">
      <c r="A477" s="71"/>
      <c r="B477" s="71"/>
    </row>
    <row r="478" spans="1:2" ht="16.5">
      <c r="A478" s="71"/>
      <c r="B478" s="71"/>
    </row>
    <row r="479" spans="1:2" ht="16.5">
      <c r="A479" s="71"/>
      <c r="B479" s="71"/>
    </row>
    <row r="480" spans="1:2" ht="16.5">
      <c r="A480" s="71"/>
      <c r="B480" s="71"/>
    </row>
    <row r="481" spans="1:2" ht="16.5">
      <c r="A481" s="71"/>
      <c r="B481" s="71"/>
    </row>
    <row r="482" spans="1:2" ht="16.5">
      <c r="A482" s="71"/>
      <c r="B482" s="71"/>
    </row>
    <row r="483" spans="1:2" ht="16.5">
      <c r="A483" s="71"/>
      <c r="B483" s="71"/>
    </row>
    <row r="484" spans="1:2" ht="16.5">
      <c r="A484" s="71"/>
      <c r="B484" s="71"/>
    </row>
    <row r="485" spans="1:2" ht="16.5">
      <c r="A485" s="71"/>
      <c r="B485" s="71"/>
    </row>
    <row r="486" spans="1:2" ht="16.5">
      <c r="A486" s="71"/>
      <c r="B486" s="71"/>
    </row>
    <row r="487" spans="1:2" ht="16.5">
      <c r="A487" s="71"/>
      <c r="B487" s="71"/>
    </row>
    <row r="488" spans="1:2" ht="16.5">
      <c r="A488" s="71"/>
      <c r="B488" s="71"/>
    </row>
    <row r="489" spans="1:2" ht="16.5">
      <c r="A489" s="71"/>
      <c r="B489" s="71"/>
    </row>
    <row r="490" spans="1:2" ht="16.5">
      <c r="A490" s="71"/>
      <c r="B490" s="71"/>
    </row>
    <row r="491" spans="1:2" ht="16.5">
      <c r="A491" s="71"/>
      <c r="B491" s="71"/>
    </row>
    <row r="492" spans="1:2" ht="16.5">
      <c r="A492" s="71"/>
      <c r="B492" s="71"/>
    </row>
    <row r="493" spans="1:2" ht="16.5">
      <c r="A493" s="71"/>
      <c r="B493" s="71"/>
    </row>
    <row r="494" spans="1:2" ht="16.5">
      <c r="A494" s="71"/>
      <c r="B494" s="71"/>
    </row>
    <row r="495" spans="1:2" ht="16.5">
      <c r="A495" s="71"/>
      <c r="B495" s="71"/>
    </row>
    <row r="496" spans="1:2" ht="16.5">
      <c r="A496" s="71"/>
      <c r="B496" s="71"/>
    </row>
    <row r="497" spans="1:2" ht="16.5">
      <c r="A497" s="71"/>
      <c r="B497" s="71"/>
    </row>
    <row r="498" spans="1:2" ht="16.5">
      <c r="A498" s="71"/>
      <c r="B498" s="71"/>
    </row>
    <row r="499" spans="1:2" ht="16.5">
      <c r="A499" s="71"/>
      <c r="B499" s="71"/>
    </row>
    <row r="500" spans="1:2" ht="16.5">
      <c r="A500" s="71"/>
      <c r="B500" s="71"/>
    </row>
    <row r="501" spans="1:2" ht="16.5">
      <c r="A501" s="71"/>
      <c r="B501" s="71"/>
    </row>
    <row r="502" spans="1:2" ht="16.5">
      <c r="A502" s="71"/>
      <c r="B502" s="71"/>
    </row>
    <row r="503" spans="1:2" ht="16.5">
      <c r="A503" s="71"/>
      <c r="B503" s="71"/>
    </row>
    <row r="504" spans="1:2" ht="16.5">
      <c r="A504" s="71"/>
      <c r="B504" s="71"/>
    </row>
    <row r="505" spans="1:2" ht="16.5">
      <c r="A505" s="71"/>
      <c r="B505" s="71"/>
    </row>
    <row r="506" spans="1:2" ht="16.5">
      <c r="A506" s="71"/>
      <c r="B506" s="71"/>
    </row>
    <row r="507" spans="1:2" ht="16.5">
      <c r="A507" s="71"/>
      <c r="B507" s="71"/>
    </row>
    <row r="508" spans="1:2" ht="16.5">
      <c r="A508" s="71"/>
      <c r="B508" s="71"/>
    </row>
    <row r="509" spans="1:2" ht="16.5">
      <c r="A509" s="71"/>
      <c r="B509" s="71"/>
    </row>
    <row r="510" spans="1:2" ht="16.5">
      <c r="A510" s="71"/>
      <c r="B510" s="71"/>
    </row>
    <row r="511" spans="1:2" ht="16.5">
      <c r="A511" s="71"/>
      <c r="B511" s="71"/>
    </row>
    <row r="512" spans="1:2" ht="16.5">
      <c r="A512" s="71"/>
      <c r="B512" s="71"/>
    </row>
    <row r="513" spans="1:2" ht="16.5">
      <c r="A513" s="71"/>
      <c r="B513" s="71"/>
    </row>
    <row r="514" spans="1:2" ht="16.5">
      <c r="A514" s="71"/>
      <c r="B514" s="71"/>
    </row>
    <row r="515" spans="1:2" ht="16.5">
      <c r="A515" s="71"/>
      <c r="B515" s="71"/>
    </row>
    <row r="516" spans="1:2" ht="16.5">
      <c r="A516" s="71"/>
      <c r="B516" s="71"/>
    </row>
    <row r="517" spans="1:2" ht="16.5">
      <c r="A517" s="71"/>
      <c r="B517" s="71"/>
    </row>
    <row r="518" spans="1:2" ht="16.5">
      <c r="A518" s="71"/>
      <c r="B518" s="71"/>
    </row>
    <row r="519" spans="1:2" ht="16.5">
      <c r="A519" s="71"/>
      <c r="B519" s="71"/>
    </row>
    <row r="520" spans="1:2" ht="16.5">
      <c r="A520" s="71"/>
      <c r="B520" s="71"/>
    </row>
    <row r="521" spans="1:2" ht="16.5">
      <c r="A521" s="71"/>
      <c r="B521" s="71"/>
    </row>
    <row r="522" spans="1:2" ht="16.5">
      <c r="A522" s="71"/>
      <c r="B522" s="71"/>
    </row>
    <row r="523" spans="1:2" ht="16.5">
      <c r="A523" s="71"/>
      <c r="B523" s="71"/>
    </row>
    <row r="524" spans="1:2" ht="16.5">
      <c r="A524" s="71"/>
      <c r="B524" s="71"/>
    </row>
    <row r="525" spans="1:2" ht="16.5">
      <c r="A525" s="71"/>
      <c r="B525" s="71"/>
    </row>
    <row r="526" spans="1:2" ht="16.5">
      <c r="A526" s="71"/>
      <c r="B526" s="71"/>
    </row>
    <row r="527" spans="1:2" ht="16.5">
      <c r="A527" s="71"/>
      <c r="B527" s="71"/>
    </row>
    <row r="528" spans="1:2" ht="16.5">
      <c r="A528" s="71"/>
      <c r="B528" s="71"/>
    </row>
    <row r="529" spans="1:2" ht="16.5">
      <c r="A529" s="71"/>
      <c r="B529" s="71"/>
    </row>
    <row r="530" spans="1:2" ht="16.5">
      <c r="A530" s="71"/>
      <c r="B530" s="71"/>
    </row>
    <row r="531" spans="1:2" ht="16.5">
      <c r="A531" s="71"/>
      <c r="B531" s="71"/>
    </row>
    <row r="532" spans="1:2" ht="16.5">
      <c r="A532" s="71"/>
      <c r="B532" s="71"/>
    </row>
    <row r="533" spans="1:2" ht="16.5">
      <c r="A533" s="71"/>
      <c r="B533" s="71"/>
    </row>
    <row r="534" spans="1:2" ht="16.5">
      <c r="A534" s="71"/>
      <c r="B534" s="71"/>
    </row>
    <row r="535" spans="1:2" ht="16.5">
      <c r="A535" s="71"/>
      <c r="B535" s="71"/>
    </row>
    <row r="536" spans="1:2" ht="16.5">
      <c r="A536" s="71"/>
      <c r="B536" s="71"/>
    </row>
    <row r="537" spans="1:2" ht="16.5">
      <c r="A537" s="71"/>
      <c r="B537" s="71"/>
    </row>
    <row r="538" spans="1:2" ht="16.5">
      <c r="A538" s="71"/>
      <c r="B538" s="71"/>
    </row>
    <row r="539" spans="1:2" ht="16.5">
      <c r="A539" s="71"/>
      <c r="B539" s="71"/>
    </row>
    <row r="540" spans="1:2" ht="16.5">
      <c r="A540" s="71"/>
      <c r="B540" s="71"/>
    </row>
    <row r="541" spans="1:2" ht="16.5">
      <c r="A541" s="71"/>
      <c r="B541" s="71"/>
    </row>
    <row r="542" spans="1:2" ht="16.5">
      <c r="A542" s="71"/>
      <c r="B542" s="71"/>
    </row>
    <row r="543" spans="1:2" ht="16.5">
      <c r="A543" s="71"/>
      <c r="B543" s="71"/>
    </row>
    <row r="544" spans="1:2" ht="16.5">
      <c r="A544" s="71"/>
      <c r="B544" s="71"/>
    </row>
    <row r="545" spans="1:2" ht="16.5">
      <c r="A545" s="71"/>
      <c r="B545" s="71"/>
    </row>
    <row r="546" spans="1:2" ht="16.5">
      <c r="A546" s="71"/>
      <c r="B546" s="71"/>
    </row>
    <row r="547" spans="1:2" ht="16.5">
      <c r="A547" s="71"/>
      <c r="B547" s="71"/>
    </row>
    <row r="548" spans="1:2" ht="16.5">
      <c r="A548" s="71"/>
      <c r="B548" s="71"/>
    </row>
    <row r="549" spans="1:2" ht="16.5">
      <c r="A549" s="71"/>
      <c r="B549" s="71"/>
    </row>
    <row r="550" spans="1:2" ht="16.5">
      <c r="A550" s="71"/>
      <c r="B550" s="71"/>
    </row>
    <row r="551" spans="1:2" ht="16.5">
      <c r="A551" s="71"/>
      <c r="B551" s="71"/>
    </row>
    <row r="552" spans="1:2" ht="16.5">
      <c r="A552" s="71"/>
      <c r="B552" s="71"/>
    </row>
    <row r="553" spans="1:2" ht="16.5">
      <c r="A553" s="71"/>
      <c r="B553" s="71"/>
    </row>
    <row r="554" spans="1:2" ht="16.5">
      <c r="A554" s="71"/>
      <c r="B554" s="71"/>
    </row>
    <row r="555" spans="1:2" ht="16.5">
      <c r="A555" s="71"/>
      <c r="B555" s="71"/>
    </row>
    <row r="556" spans="1:2" ht="16.5">
      <c r="A556" s="71"/>
      <c r="B556" s="71"/>
    </row>
    <row r="557" spans="1:2" ht="16.5">
      <c r="A557" s="71"/>
      <c r="B557" s="71"/>
    </row>
    <row r="558" spans="1:2" ht="16.5">
      <c r="A558" s="71"/>
      <c r="B558" s="71"/>
    </row>
    <row r="559" spans="1:2" ht="16.5">
      <c r="A559" s="71"/>
      <c r="B559" s="71"/>
    </row>
    <row r="560" spans="1:2" ht="16.5">
      <c r="A560" s="71"/>
      <c r="B560" s="71"/>
    </row>
    <row r="561" spans="1:2" ht="16.5">
      <c r="A561" s="71"/>
      <c r="B561" s="71"/>
    </row>
    <row r="562" spans="1:2" ht="16.5">
      <c r="A562" s="71"/>
      <c r="B562" s="71"/>
    </row>
    <row r="563" spans="1:2" ht="16.5">
      <c r="A563" s="71"/>
      <c r="B563" s="71"/>
    </row>
    <row r="564" spans="1:2" ht="16.5">
      <c r="A564" s="71"/>
      <c r="B564" s="71"/>
    </row>
    <row r="565" spans="1:2" ht="16.5">
      <c r="A565" s="71"/>
      <c r="B565" s="71"/>
    </row>
    <row r="566" spans="1:2" ht="16.5">
      <c r="A566" s="71"/>
      <c r="B566" s="71"/>
    </row>
    <row r="567" spans="1:2" ht="16.5">
      <c r="A567" s="71"/>
      <c r="B567" s="71"/>
    </row>
    <row r="568" spans="1:2" ht="16.5">
      <c r="A568" s="71"/>
      <c r="B568" s="71"/>
    </row>
    <row r="569" spans="1:2" ht="16.5">
      <c r="A569" s="71"/>
      <c r="B569" s="71"/>
    </row>
    <row r="570" spans="1:2" ht="16.5">
      <c r="A570" s="71"/>
      <c r="B570" s="71"/>
    </row>
    <row r="571" spans="1:2" ht="16.5">
      <c r="A571" s="71"/>
      <c r="B571" s="71"/>
    </row>
    <row r="572" spans="1:2" ht="16.5">
      <c r="A572" s="71"/>
      <c r="B572" s="71"/>
    </row>
    <row r="573" spans="1:2" ht="16.5">
      <c r="A573" s="71"/>
      <c r="B573" s="71"/>
    </row>
    <row r="574" spans="1:2" ht="16.5">
      <c r="A574" s="71"/>
      <c r="B574" s="71"/>
    </row>
    <row r="575" spans="1:2" ht="16.5">
      <c r="A575" s="71"/>
      <c r="B575" s="71"/>
    </row>
    <row r="576" spans="1:2" ht="16.5">
      <c r="A576" s="71"/>
      <c r="B576" s="71"/>
    </row>
    <row r="577" spans="1:2" ht="16.5">
      <c r="A577" s="71"/>
      <c r="B577" s="71"/>
    </row>
    <row r="578" spans="1:2" ht="16.5">
      <c r="A578" s="71"/>
      <c r="B578" s="71"/>
    </row>
    <row r="579" spans="1:2" ht="16.5">
      <c r="A579" s="71"/>
      <c r="B579" s="71"/>
    </row>
    <row r="580" spans="1:2" ht="16.5">
      <c r="A580" s="71"/>
      <c r="B580" s="71"/>
    </row>
    <row r="581" spans="1:2" ht="16.5">
      <c r="A581" s="71"/>
      <c r="B581" s="71"/>
    </row>
    <row r="582" spans="1:2" ht="16.5">
      <c r="A582" s="71"/>
      <c r="B582" s="71"/>
    </row>
    <row r="583" spans="1:2" ht="16.5">
      <c r="A583" s="71"/>
      <c r="B583" s="71"/>
    </row>
    <row r="584" spans="1:2" ht="16.5">
      <c r="A584" s="71"/>
      <c r="B584" s="71"/>
    </row>
    <row r="585" spans="1:2" ht="16.5">
      <c r="A585" s="71"/>
      <c r="B585" s="71"/>
    </row>
    <row r="586" spans="1:2" ht="16.5">
      <c r="A586" s="71"/>
      <c r="B586" s="71"/>
    </row>
    <row r="587" spans="1:2" ht="16.5">
      <c r="A587" s="71"/>
      <c r="B587" s="71"/>
    </row>
    <row r="588" spans="1:2" ht="16.5">
      <c r="A588" s="71"/>
      <c r="B588" s="71"/>
    </row>
    <row r="589" spans="1:2" ht="16.5">
      <c r="A589" s="71"/>
      <c r="B589" s="71"/>
    </row>
    <row r="590" spans="1:2" ht="16.5">
      <c r="A590" s="71"/>
      <c r="B590" s="71"/>
    </row>
    <row r="591" spans="1:2" ht="16.5">
      <c r="A591" s="71"/>
      <c r="B591" s="71"/>
    </row>
    <row r="592" spans="1:2" ht="16.5">
      <c r="A592" s="71"/>
      <c r="B592" s="71"/>
    </row>
    <row r="593" spans="1:2" ht="16.5">
      <c r="A593" s="71"/>
      <c r="B593" s="71"/>
    </row>
    <row r="594" spans="1:2" ht="16.5">
      <c r="A594" s="71"/>
      <c r="B594" s="71"/>
    </row>
    <row r="595" spans="1:2" ht="16.5">
      <c r="A595" s="71"/>
      <c r="B595" s="71"/>
    </row>
    <row r="596" spans="1:2" ht="16.5">
      <c r="A596" s="71"/>
      <c r="B596" s="71"/>
    </row>
    <row r="597" spans="1:2" ht="16.5">
      <c r="A597" s="71"/>
      <c r="B597" s="71"/>
    </row>
    <row r="598" spans="1:2" ht="16.5">
      <c r="A598" s="71"/>
      <c r="B598" s="71"/>
    </row>
    <row r="599" spans="1:2" ht="16.5">
      <c r="A599" s="71"/>
      <c r="B599" s="71"/>
    </row>
    <row r="600" spans="1:2" ht="16.5">
      <c r="A600" s="71"/>
      <c r="B600" s="71"/>
    </row>
    <row r="601" spans="1:2" ht="16.5">
      <c r="A601" s="71"/>
      <c r="B601" s="71"/>
    </row>
    <row r="602" spans="1:2" ht="16.5">
      <c r="A602" s="71"/>
      <c r="B602" s="71"/>
    </row>
    <row r="603" spans="1:2" ht="16.5">
      <c r="A603" s="71"/>
      <c r="B603" s="71"/>
    </row>
    <row r="604" spans="1:2" ht="16.5">
      <c r="A604" s="71"/>
      <c r="B604" s="71"/>
    </row>
    <row r="605" spans="1:2" ht="16.5">
      <c r="A605" s="71"/>
      <c r="B605" s="71"/>
    </row>
    <row r="606" spans="1:2" ht="16.5">
      <c r="A606" s="71"/>
      <c r="B606" s="71"/>
    </row>
    <row r="607" spans="1:2" ht="16.5">
      <c r="A607" s="71"/>
      <c r="B607" s="71"/>
    </row>
    <row r="608" spans="1:2" ht="16.5">
      <c r="A608" s="71"/>
      <c r="B608" s="71"/>
    </row>
    <row r="609" spans="1:2" ht="16.5">
      <c r="A609" s="71"/>
      <c r="B609" s="71"/>
    </row>
    <row r="610" spans="1:2" ht="16.5">
      <c r="A610" s="71"/>
      <c r="B610" s="71"/>
    </row>
    <row r="611" spans="1:2" ht="16.5">
      <c r="A611" s="71"/>
      <c r="B611" s="71"/>
    </row>
    <row r="612" spans="1:2" ht="16.5">
      <c r="A612" s="71"/>
      <c r="B612" s="71"/>
    </row>
    <row r="613" spans="1:2" ht="16.5">
      <c r="A613" s="71"/>
      <c r="B613" s="71"/>
    </row>
    <row r="614" spans="1:2" ht="16.5">
      <c r="A614" s="71"/>
      <c r="B614" s="71"/>
    </row>
    <row r="615" spans="1:2" ht="16.5">
      <c r="A615" s="71"/>
      <c r="B615" s="71"/>
    </row>
    <row r="616" spans="1:2" ht="16.5">
      <c r="A616" s="71"/>
      <c r="B616" s="71"/>
    </row>
    <row r="617" spans="1:2" ht="16.5">
      <c r="A617" s="71"/>
      <c r="B617" s="71"/>
    </row>
    <row r="618" spans="1:2" ht="16.5">
      <c r="A618" s="71"/>
      <c r="B618" s="71"/>
    </row>
    <row r="619" spans="1:2" ht="16.5">
      <c r="A619" s="71"/>
      <c r="B619" s="71"/>
    </row>
    <row r="620" spans="1:2" ht="16.5">
      <c r="A620" s="71"/>
      <c r="B620" s="71"/>
    </row>
    <row r="621" spans="1:2" ht="16.5">
      <c r="A621" s="71"/>
      <c r="B621" s="71"/>
    </row>
    <row r="622" spans="1:2" ht="16.5">
      <c r="A622" s="71"/>
      <c r="B622" s="71"/>
    </row>
    <row r="623" spans="1:2" ht="16.5">
      <c r="A623" s="71"/>
      <c r="B623" s="71"/>
    </row>
    <row r="624" spans="1:2" ht="16.5">
      <c r="A624" s="71"/>
      <c r="B624" s="71"/>
    </row>
    <row r="625" spans="1:2" ht="16.5">
      <c r="A625" s="71"/>
      <c r="B625" s="71"/>
    </row>
    <row r="626" spans="1:2" ht="16.5">
      <c r="A626" s="71"/>
      <c r="B626" s="71"/>
    </row>
    <row r="627" spans="1:2" ht="16.5">
      <c r="A627" s="71"/>
      <c r="B627" s="71"/>
    </row>
    <row r="628" spans="1:2" ht="16.5">
      <c r="A628" s="71"/>
      <c r="B628" s="71"/>
    </row>
    <row r="629" spans="1:2" ht="16.5">
      <c r="A629" s="71"/>
      <c r="B629" s="71"/>
    </row>
    <row r="630" spans="1:2" ht="16.5">
      <c r="A630" s="71"/>
      <c r="B630" s="71"/>
    </row>
    <row r="631" spans="1:2" ht="16.5">
      <c r="A631" s="71"/>
      <c r="B631" s="71"/>
    </row>
    <row r="632" spans="1:2" ht="16.5">
      <c r="A632" s="71"/>
      <c r="B632" s="71"/>
    </row>
    <row r="633" spans="1:2" ht="16.5">
      <c r="A633" s="71"/>
      <c r="B633" s="71"/>
    </row>
    <row r="634" spans="1:2" ht="16.5">
      <c r="A634" s="71"/>
      <c r="B634" s="71"/>
    </row>
    <row r="635" spans="1:2" ht="16.5">
      <c r="A635" s="71"/>
      <c r="B635" s="71"/>
    </row>
    <row r="636" spans="1:2" ht="16.5">
      <c r="A636" s="71"/>
      <c r="B636" s="71"/>
    </row>
    <row r="637" spans="1:2" ht="16.5">
      <c r="A637" s="71"/>
      <c r="B637" s="71"/>
    </row>
    <row r="638" spans="1:2" ht="16.5">
      <c r="A638" s="71"/>
      <c r="B638" s="71"/>
    </row>
    <row r="639" spans="1:2" ht="16.5">
      <c r="A639" s="71"/>
      <c r="B639" s="71"/>
    </row>
    <row r="640" spans="1:2" ht="16.5">
      <c r="A640" s="71"/>
      <c r="B640" s="71"/>
    </row>
    <row r="641" spans="1:2" ht="16.5">
      <c r="A641" s="71"/>
      <c r="B641" s="71"/>
    </row>
    <row r="642" spans="1:2" ht="16.5">
      <c r="A642" s="71"/>
      <c r="B642" s="71"/>
    </row>
    <row r="643" spans="1:2" ht="16.5">
      <c r="A643" s="71"/>
      <c r="B643" s="71"/>
    </row>
    <row r="644" spans="1:2" ht="16.5">
      <c r="A644" s="71"/>
      <c r="B644" s="71"/>
    </row>
    <row r="645" spans="1:2" ht="16.5">
      <c r="A645" s="71"/>
      <c r="B645" s="71"/>
    </row>
    <row r="646" spans="1:2" ht="16.5">
      <c r="A646" s="71"/>
      <c r="B646" s="71"/>
    </row>
    <row r="647" spans="1:2" ht="16.5">
      <c r="A647" s="71"/>
      <c r="B647" s="71"/>
    </row>
    <row r="648" spans="1:2" ht="16.5">
      <c r="A648" s="71"/>
      <c r="B648" s="71"/>
    </row>
    <row r="649" spans="1:2" ht="16.5">
      <c r="A649" s="71"/>
      <c r="B649" s="71"/>
    </row>
    <row r="650" spans="1:2" ht="16.5">
      <c r="A650" s="71"/>
      <c r="B650" s="71"/>
    </row>
    <row r="651" spans="1:2" ht="16.5">
      <c r="A651" s="71"/>
      <c r="B651" s="71"/>
    </row>
    <row r="652" spans="1:2" ht="16.5">
      <c r="A652" s="71"/>
      <c r="B652" s="71"/>
    </row>
    <row r="653" spans="1:2" ht="16.5">
      <c r="A653" s="71"/>
      <c r="B653" s="71"/>
    </row>
    <row r="654" spans="1:2" ht="16.5">
      <c r="A654" s="71"/>
      <c r="B654" s="71"/>
    </row>
    <row r="655" spans="1:2" ht="16.5">
      <c r="A655" s="71"/>
      <c r="B655" s="71"/>
    </row>
    <row r="656" spans="1:2" ht="16.5">
      <c r="A656" s="71"/>
      <c r="B656" s="71"/>
    </row>
    <row r="657" spans="1:2" ht="16.5">
      <c r="A657" s="71"/>
      <c r="B657" s="71"/>
    </row>
    <row r="658" spans="1:2" ht="16.5">
      <c r="A658" s="71"/>
      <c r="B658" s="71"/>
    </row>
    <row r="659" spans="1:2" ht="16.5">
      <c r="A659" s="71"/>
      <c r="B659" s="71"/>
    </row>
    <row r="660" spans="1:2" ht="16.5">
      <c r="A660" s="71"/>
      <c r="B660" s="71"/>
    </row>
    <row r="661" spans="1:2" ht="16.5">
      <c r="A661" s="71"/>
      <c r="B661" s="71"/>
    </row>
    <row r="662" spans="1:2" ht="16.5">
      <c r="A662" s="71"/>
      <c r="B662" s="71"/>
    </row>
    <row r="663" spans="1:2" ht="16.5">
      <c r="A663" s="71"/>
      <c r="B663" s="71"/>
    </row>
    <row r="664" spans="1:2" ht="16.5">
      <c r="A664" s="71"/>
      <c r="B664" s="71"/>
    </row>
    <row r="665" spans="1:2" ht="16.5">
      <c r="A665" s="71"/>
      <c r="B665" s="71"/>
    </row>
    <row r="666" spans="1:2" ht="16.5">
      <c r="A666" s="71"/>
      <c r="B666" s="71"/>
    </row>
    <row r="667" spans="1:2" ht="16.5">
      <c r="A667" s="71"/>
      <c r="B667" s="71"/>
    </row>
    <row r="668" spans="1:2" ht="16.5">
      <c r="A668" s="71"/>
      <c r="B668" s="71"/>
    </row>
    <row r="669" spans="1:2" ht="16.5">
      <c r="A669" s="71"/>
      <c r="B669" s="71"/>
    </row>
    <row r="670" spans="1:2" ht="16.5">
      <c r="A670" s="71"/>
      <c r="B670" s="71"/>
    </row>
    <row r="671" spans="1:2" ht="16.5">
      <c r="A671" s="71"/>
      <c r="B671" s="71"/>
    </row>
    <row r="672" spans="1:2" ht="16.5">
      <c r="A672" s="71"/>
      <c r="B672" s="71"/>
    </row>
    <row r="673" spans="1:2" ht="16.5">
      <c r="A673" s="71"/>
      <c r="B673" s="71"/>
    </row>
    <row r="674" spans="1:2" ht="16.5">
      <c r="A674" s="71"/>
      <c r="B674" s="71"/>
    </row>
    <row r="675" spans="1:2" ht="16.5">
      <c r="A675" s="71"/>
      <c r="B675" s="71"/>
    </row>
    <row r="676" spans="1:2" ht="16.5">
      <c r="A676" s="71"/>
      <c r="B676" s="71"/>
    </row>
    <row r="677" spans="1:2" ht="16.5">
      <c r="A677" s="71"/>
      <c r="B677" s="71"/>
    </row>
    <row r="678" spans="1:2" ht="16.5">
      <c r="A678" s="71"/>
      <c r="B678" s="71"/>
    </row>
    <row r="679" spans="1:2" ht="16.5">
      <c r="A679" s="71"/>
      <c r="B679" s="71"/>
    </row>
    <row r="680" spans="1:2" ht="16.5">
      <c r="A680" s="71"/>
      <c r="B680" s="71"/>
    </row>
    <row r="681" spans="1:2" ht="16.5">
      <c r="A681" s="71"/>
      <c r="B681" s="71"/>
    </row>
    <row r="682" spans="1:2" ht="16.5">
      <c r="A682" s="71"/>
      <c r="B682" s="71"/>
    </row>
    <row r="683" spans="1:2" ht="16.5">
      <c r="A683" s="71"/>
      <c r="B683" s="71"/>
    </row>
    <row r="684" spans="1:2" ht="16.5">
      <c r="A684" s="71"/>
      <c r="B684" s="71"/>
    </row>
    <row r="685" spans="1:2" ht="16.5">
      <c r="A685" s="71"/>
      <c r="B685" s="71"/>
    </row>
    <row r="686" spans="1:2" ht="16.5">
      <c r="A686" s="71"/>
      <c r="B686" s="71"/>
    </row>
    <row r="687" spans="1:2" ht="16.5">
      <c r="A687" s="71"/>
      <c r="B687" s="71"/>
    </row>
    <row r="688" spans="1:2" ht="16.5">
      <c r="A688" s="71"/>
      <c r="B688" s="71"/>
    </row>
    <row r="689" spans="1:2" ht="16.5">
      <c r="A689" s="71"/>
      <c r="B689" s="71"/>
    </row>
    <row r="690" spans="1:2" ht="16.5">
      <c r="A690" s="71"/>
      <c r="B690" s="71"/>
    </row>
    <row r="691" spans="1:2" ht="16.5">
      <c r="A691" s="71"/>
      <c r="B691" s="71"/>
    </row>
    <row r="692" spans="1:2" ht="16.5">
      <c r="A692" s="71"/>
      <c r="B692" s="71"/>
    </row>
    <row r="693" spans="1:2" ht="16.5">
      <c r="A693" s="71"/>
      <c r="B693" s="71"/>
    </row>
    <row r="694" spans="1:2" ht="16.5">
      <c r="A694" s="71"/>
      <c r="B694" s="71"/>
    </row>
    <row r="695" spans="1:2" ht="16.5">
      <c r="A695" s="71"/>
      <c r="B695" s="71"/>
    </row>
    <row r="696" spans="1:2" ht="16.5">
      <c r="A696" s="71"/>
      <c r="B696" s="71"/>
    </row>
    <row r="697" spans="1:2" ht="16.5">
      <c r="A697" s="71"/>
      <c r="B697" s="71"/>
    </row>
    <row r="698" spans="1:2" ht="16.5">
      <c r="A698" s="71"/>
      <c r="B698" s="71"/>
    </row>
    <row r="699" spans="1:2" ht="16.5">
      <c r="A699" s="71"/>
      <c r="B699" s="71"/>
    </row>
    <row r="700" spans="1:2" ht="16.5">
      <c r="A700" s="71"/>
      <c r="B700" s="71"/>
    </row>
    <row r="701" spans="1:2" ht="16.5">
      <c r="A701" s="71"/>
      <c r="B701" s="71"/>
    </row>
    <row r="702" spans="1:2" ht="16.5">
      <c r="A702" s="71"/>
      <c r="B702" s="71"/>
    </row>
    <row r="703" spans="1:2" ht="16.5">
      <c r="A703" s="71"/>
      <c r="B703" s="71"/>
    </row>
    <row r="704" spans="1:2" ht="16.5">
      <c r="A704" s="71"/>
      <c r="B704" s="71"/>
    </row>
    <row r="705" spans="1:2" ht="16.5">
      <c r="A705" s="71"/>
      <c r="B705" s="71"/>
    </row>
    <row r="706" spans="1:2" ht="16.5">
      <c r="A706" s="71"/>
      <c r="B706" s="71"/>
    </row>
    <row r="707" spans="1:2" ht="16.5">
      <c r="A707" s="71"/>
      <c r="B707" s="71"/>
    </row>
    <row r="708" spans="1:2" ht="16.5">
      <c r="A708" s="71"/>
      <c r="B708" s="71"/>
    </row>
    <row r="709" spans="1:2" ht="16.5">
      <c r="A709" s="71"/>
      <c r="B709" s="71"/>
    </row>
    <row r="710" spans="1:2" ht="16.5">
      <c r="A710" s="71"/>
      <c r="B710" s="71"/>
    </row>
    <row r="711" spans="1:2" ht="16.5">
      <c r="A711" s="71"/>
      <c r="B711" s="71"/>
    </row>
    <row r="712" spans="1:2" ht="16.5">
      <c r="A712" s="71"/>
      <c r="B712" s="71"/>
    </row>
    <row r="713" spans="1:2" ht="16.5">
      <c r="A713" s="71"/>
      <c r="B713" s="71"/>
    </row>
    <row r="714" spans="1:2" ht="16.5">
      <c r="A714" s="71"/>
      <c r="B714" s="71"/>
    </row>
    <row r="715" spans="1:2" ht="16.5">
      <c r="A715" s="71"/>
      <c r="B715" s="71"/>
    </row>
    <row r="716" spans="1:2" ht="16.5">
      <c r="A716" s="71"/>
      <c r="B716" s="71"/>
    </row>
    <row r="717" spans="1:2" ht="16.5">
      <c r="A717" s="71"/>
      <c r="B717" s="71"/>
    </row>
    <row r="718" spans="1:2" ht="16.5">
      <c r="A718" s="71"/>
      <c r="B718" s="71"/>
    </row>
    <row r="719" spans="1:2" ht="16.5">
      <c r="A719" s="71"/>
      <c r="B719" s="71"/>
    </row>
    <row r="720" spans="1:2" ht="16.5">
      <c r="A720" s="71"/>
      <c r="B720" s="71"/>
    </row>
    <row r="721" spans="1:2" ht="16.5">
      <c r="A721" s="71"/>
      <c r="B721" s="71"/>
    </row>
    <row r="722" spans="1:2" ht="16.5">
      <c r="A722" s="71"/>
      <c r="B722" s="71"/>
    </row>
    <row r="723" spans="1:2" ht="16.5">
      <c r="A723" s="71"/>
      <c r="B723" s="71"/>
    </row>
    <row r="724" spans="1:2" ht="16.5">
      <c r="A724" s="71"/>
      <c r="B724" s="71"/>
    </row>
    <row r="725" spans="1:2" ht="16.5">
      <c r="A725" s="71"/>
      <c r="B725" s="71"/>
    </row>
    <row r="726" spans="1:2" ht="16.5">
      <c r="A726" s="71"/>
      <c r="B726" s="71"/>
    </row>
    <row r="727" spans="1:2" ht="16.5">
      <c r="A727" s="71"/>
      <c r="B727" s="71"/>
    </row>
    <row r="728" spans="1:2" ht="16.5">
      <c r="A728" s="71"/>
      <c r="B728" s="71"/>
    </row>
    <row r="729" spans="1:2" ht="16.5">
      <c r="A729" s="71"/>
      <c r="B729" s="71"/>
    </row>
    <row r="730" spans="1:2" ht="16.5">
      <c r="A730" s="71"/>
      <c r="B730" s="71"/>
    </row>
    <row r="731" spans="1:2" ht="16.5">
      <c r="A731" s="71"/>
      <c r="B731" s="71"/>
    </row>
    <row r="732" spans="1:2" ht="16.5">
      <c r="A732" s="71"/>
      <c r="B732" s="71"/>
    </row>
    <row r="733" spans="1:2" ht="16.5">
      <c r="A733" s="71"/>
      <c r="B733" s="71"/>
    </row>
    <row r="734" spans="1:2" ht="16.5">
      <c r="A734" s="71"/>
      <c r="B734" s="71"/>
    </row>
    <row r="735" spans="1:2" ht="16.5">
      <c r="A735" s="71"/>
      <c r="B735" s="71"/>
    </row>
    <row r="736" spans="1:2" ht="16.5">
      <c r="A736" s="71"/>
      <c r="B736" s="71"/>
    </row>
    <row r="737" spans="1:2" ht="16.5">
      <c r="A737" s="71"/>
      <c r="B737" s="71"/>
    </row>
    <row r="738" spans="1:2" ht="16.5">
      <c r="A738" s="71"/>
      <c r="B738" s="71"/>
    </row>
    <row r="739" spans="1:2" ht="16.5">
      <c r="A739" s="71"/>
      <c r="B739" s="71"/>
    </row>
    <row r="740" spans="1:2" ht="16.5">
      <c r="A740" s="71"/>
      <c r="B740" s="71"/>
    </row>
    <row r="741" spans="1:2" ht="16.5">
      <c r="A741" s="71"/>
      <c r="B741" s="71"/>
    </row>
    <row r="742" spans="1:2" ht="16.5">
      <c r="A742" s="71"/>
      <c r="B742" s="71"/>
    </row>
    <row r="743" spans="1:2" ht="16.5">
      <c r="A743" s="71"/>
      <c r="B743" s="71"/>
    </row>
    <row r="744" spans="1:2" ht="16.5">
      <c r="A744" s="71"/>
      <c r="B744" s="71"/>
    </row>
    <row r="745" spans="1:2" ht="16.5">
      <c r="A745" s="71"/>
      <c r="B745" s="71"/>
    </row>
    <row r="746" spans="1:2" ht="16.5">
      <c r="A746" s="71"/>
      <c r="B746" s="71"/>
    </row>
    <row r="747" spans="1:2" ht="16.5">
      <c r="A747" s="71"/>
      <c r="B747" s="71"/>
    </row>
    <row r="748" spans="1:2" ht="16.5">
      <c r="A748" s="71"/>
      <c r="B748" s="71"/>
    </row>
    <row r="749" spans="1:2" ht="16.5">
      <c r="A749" s="71"/>
      <c r="B749" s="71"/>
    </row>
    <row r="750" spans="1:2" ht="16.5">
      <c r="A750" s="71"/>
      <c r="B750" s="71"/>
    </row>
    <row r="751" spans="1:2" ht="16.5">
      <c r="A751" s="71"/>
      <c r="B751" s="71"/>
    </row>
    <row r="752" spans="1:2" ht="16.5">
      <c r="A752" s="71"/>
      <c r="B752" s="71"/>
    </row>
    <row r="753" spans="1:2" ht="16.5">
      <c r="A753" s="71"/>
      <c r="B753" s="71"/>
    </row>
    <row r="754" spans="1:2" ht="16.5">
      <c r="A754" s="71"/>
      <c r="B754" s="71"/>
    </row>
    <row r="755" spans="1:2" ht="16.5">
      <c r="A755" s="71"/>
      <c r="B755" s="71"/>
    </row>
    <row r="756" spans="1:2" ht="16.5">
      <c r="A756" s="71"/>
      <c r="B756" s="71"/>
    </row>
    <row r="757" spans="1:2" ht="16.5">
      <c r="A757" s="71"/>
      <c r="B757" s="71"/>
    </row>
    <row r="758" spans="1:2" ht="16.5">
      <c r="A758" s="71"/>
      <c r="B758" s="71"/>
    </row>
    <row r="759" spans="1:2" ht="16.5">
      <c r="A759" s="71"/>
      <c r="B759" s="71"/>
    </row>
    <row r="760" spans="1:2" ht="16.5">
      <c r="A760" s="71"/>
      <c r="B760" s="71"/>
    </row>
    <row r="761" spans="1:2" ht="16.5">
      <c r="A761" s="71"/>
      <c r="B761" s="71"/>
    </row>
    <row r="762" spans="1:2" ht="16.5">
      <c r="A762" s="71"/>
      <c r="B762" s="71"/>
    </row>
    <row r="763" spans="1:2" ht="16.5">
      <c r="A763" s="71"/>
      <c r="B763" s="71"/>
    </row>
    <row r="764" spans="1:2" ht="16.5">
      <c r="A764" s="71"/>
      <c r="B764" s="71"/>
    </row>
    <row r="765" spans="1:2" ht="16.5">
      <c r="A765" s="71"/>
      <c r="B765" s="71"/>
    </row>
    <row r="766" spans="1:2" ht="16.5">
      <c r="A766" s="71"/>
      <c r="B766" s="71"/>
    </row>
    <row r="767" spans="1:2" ht="16.5">
      <c r="A767" s="71"/>
      <c r="B767" s="71"/>
    </row>
    <row r="768" spans="1:2" ht="16.5">
      <c r="A768" s="71"/>
      <c r="B768" s="71"/>
    </row>
    <row r="769" spans="1:2" ht="16.5">
      <c r="A769" s="71"/>
      <c r="B769" s="71"/>
    </row>
    <row r="770" spans="1:2" ht="16.5">
      <c r="A770" s="71"/>
      <c r="B770" s="71"/>
    </row>
    <row r="771" spans="1:2" ht="16.5">
      <c r="A771" s="71"/>
      <c r="B771" s="71"/>
    </row>
    <row r="772" spans="1:2" ht="16.5">
      <c r="A772" s="71"/>
      <c r="B772" s="71"/>
    </row>
    <row r="773" spans="1:2" ht="16.5">
      <c r="A773" s="71"/>
      <c r="B773" s="71"/>
    </row>
    <row r="774" spans="1:2" ht="16.5">
      <c r="A774" s="71"/>
      <c r="B774" s="71"/>
    </row>
    <row r="775" spans="1:2" ht="16.5">
      <c r="A775" s="71"/>
      <c r="B775" s="71"/>
    </row>
    <row r="776" spans="1:2" ht="16.5">
      <c r="A776" s="71"/>
      <c r="B776" s="71"/>
    </row>
    <row r="777" spans="1:2" ht="16.5">
      <c r="A777" s="71"/>
      <c r="B777" s="71"/>
    </row>
    <row r="778" spans="1:2" ht="16.5">
      <c r="A778" s="71"/>
      <c r="B778" s="71"/>
    </row>
    <row r="779" spans="1:2" ht="16.5">
      <c r="A779" s="71"/>
      <c r="B779" s="71"/>
    </row>
    <row r="780" spans="1:2" ht="16.5">
      <c r="A780" s="71"/>
      <c r="B780" s="71"/>
    </row>
    <row r="781" spans="1:2" ht="16.5">
      <c r="A781" s="71"/>
      <c r="B781" s="71"/>
    </row>
    <row r="782" spans="1:2" ht="16.5">
      <c r="A782" s="71"/>
      <c r="B782" s="71"/>
    </row>
    <row r="783" spans="1:2" ht="16.5">
      <c r="A783" s="71"/>
      <c r="B783" s="71"/>
    </row>
    <row r="784" spans="1:2" ht="16.5">
      <c r="A784" s="71"/>
      <c r="B784" s="71"/>
    </row>
    <row r="785" spans="1:2" ht="16.5">
      <c r="A785" s="71"/>
      <c r="B785" s="71"/>
    </row>
    <row r="786" spans="1:2" ht="16.5">
      <c r="A786" s="71"/>
      <c r="B786" s="71"/>
    </row>
    <row r="787" spans="1:2" ht="16.5">
      <c r="A787" s="71"/>
      <c r="B787" s="71"/>
    </row>
    <row r="788" spans="1:2" ht="16.5">
      <c r="A788" s="71"/>
      <c r="B788" s="71"/>
    </row>
    <row r="789" spans="1:2" ht="16.5">
      <c r="A789" s="71"/>
      <c r="B789" s="71"/>
    </row>
    <row r="790" spans="1:2" ht="16.5">
      <c r="A790" s="71"/>
      <c r="B790" s="71"/>
    </row>
    <row r="791" spans="1:2" ht="16.5">
      <c r="A791" s="71"/>
      <c r="B791" s="71"/>
    </row>
    <row r="792" spans="1:2" ht="16.5">
      <c r="A792" s="71"/>
      <c r="B792" s="71"/>
    </row>
    <row r="793" spans="1:2" ht="16.5">
      <c r="A793" s="71"/>
      <c r="B793" s="71"/>
    </row>
    <row r="794" spans="1:2" ht="16.5">
      <c r="A794" s="71"/>
      <c r="B794" s="71"/>
    </row>
    <row r="795" spans="1:2" ht="16.5">
      <c r="A795" s="71"/>
      <c r="B795" s="71"/>
    </row>
    <row r="796" spans="1:2" ht="16.5">
      <c r="A796" s="71"/>
      <c r="B796" s="71"/>
    </row>
    <row r="797" spans="1:2" ht="16.5">
      <c r="A797" s="71"/>
      <c r="B797" s="71"/>
    </row>
    <row r="798" spans="1:2" ht="16.5">
      <c r="A798" s="71"/>
      <c r="B798" s="71"/>
    </row>
    <row r="799" spans="1:2" ht="16.5">
      <c r="A799" s="71"/>
      <c r="B799" s="71"/>
    </row>
    <row r="800" spans="1:2" ht="16.5">
      <c r="A800" s="71"/>
      <c r="B800" s="71"/>
    </row>
    <row r="801" spans="1:2" ht="16.5">
      <c r="A801" s="71"/>
      <c r="B801" s="71"/>
    </row>
    <row r="802" spans="1:2" ht="16.5">
      <c r="A802" s="71"/>
      <c r="B802" s="71"/>
    </row>
    <row r="803" spans="1:2" ht="16.5">
      <c r="A803" s="71"/>
      <c r="B803" s="71"/>
    </row>
    <row r="804" spans="1:2" ht="16.5">
      <c r="A804" s="71"/>
      <c r="B804" s="71"/>
    </row>
    <row r="805" spans="1:2" ht="16.5">
      <c r="A805" s="71"/>
      <c r="B805" s="71"/>
    </row>
    <row r="806" spans="1:2" ht="16.5">
      <c r="A806" s="71"/>
      <c r="B806" s="71"/>
    </row>
    <row r="807" spans="1:2" ht="16.5">
      <c r="A807" s="71"/>
      <c r="B807" s="71"/>
    </row>
    <row r="808" spans="1:2" ht="16.5">
      <c r="A808" s="71"/>
      <c r="B808" s="71"/>
    </row>
    <row r="809" spans="1:2" ht="16.5">
      <c r="A809" s="71"/>
      <c r="B809" s="71"/>
    </row>
    <row r="810" spans="1:2" ht="16.5">
      <c r="A810" s="71"/>
      <c r="B810" s="71"/>
    </row>
    <row r="811" spans="1:2" ht="16.5">
      <c r="A811" s="71"/>
      <c r="B811" s="71"/>
    </row>
    <row r="812" spans="1:2" ht="16.5">
      <c r="A812" s="71"/>
      <c r="B812" s="71"/>
    </row>
    <row r="813" spans="1:2" ht="16.5">
      <c r="A813" s="71"/>
      <c r="B813" s="71"/>
    </row>
    <row r="814" spans="1:2" ht="16.5">
      <c r="A814" s="71"/>
      <c r="B814" s="71"/>
    </row>
    <row r="815" spans="1:2" ht="16.5">
      <c r="A815" s="71"/>
      <c r="B815" s="71"/>
    </row>
    <row r="816" spans="1:2" ht="16.5">
      <c r="A816" s="71"/>
      <c r="B816" s="71"/>
    </row>
    <row r="817" spans="1:2" ht="16.5">
      <c r="A817" s="71"/>
      <c r="B817" s="71"/>
    </row>
    <row r="818" spans="1:2" ht="16.5">
      <c r="A818" s="71"/>
      <c r="B818" s="71"/>
    </row>
    <row r="819" spans="1:2" ht="16.5">
      <c r="A819" s="71"/>
      <c r="B819" s="71"/>
    </row>
    <row r="820" spans="1:2" ht="16.5">
      <c r="A820" s="71"/>
      <c r="B820" s="71"/>
    </row>
    <row r="821" spans="1:2" ht="16.5">
      <c r="A821" s="71"/>
      <c r="B821" s="71"/>
    </row>
    <row r="822" spans="1:2" ht="16.5">
      <c r="A822" s="71"/>
      <c r="B822" s="71"/>
    </row>
    <row r="823" spans="1:2" ht="16.5">
      <c r="A823" s="71"/>
      <c r="B823" s="71"/>
    </row>
    <row r="824" spans="1:2" ht="16.5">
      <c r="A824" s="71"/>
      <c r="B824" s="71"/>
    </row>
    <row r="825" spans="1:2" ht="16.5">
      <c r="A825" s="71"/>
      <c r="B825" s="71"/>
    </row>
    <row r="826" spans="1:2" ht="16.5">
      <c r="A826" s="71"/>
      <c r="B826" s="71"/>
    </row>
    <row r="827" spans="1:2" ht="16.5">
      <c r="A827" s="71"/>
      <c r="B827" s="71"/>
    </row>
    <row r="828" spans="1:2" ht="16.5">
      <c r="A828" s="71"/>
      <c r="B828" s="71"/>
    </row>
    <row r="829" spans="1:2" ht="16.5">
      <c r="A829" s="71"/>
      <c r="B829" s="71"/>
    </row>
    <row r="830" spans="1:2" ht="16.5">
      <c r="A830" s="71"/>
      <c r="B830" s="71"/>
    </row>
    <row r="831" spans="1:2" ht="16.5">
      <c r="A831" s="71"/>
      <c r="B831" s="71"/>
    </row>
    <row r="832" spans="1:2" ht="16.5">
      <c r="A832" s="71"/>
      <c r="B832" s="71"/>
    </row>
    <row r="833" spans="1:2" ht="16.5">
      <c r="A833" s="71"/>
      <c r="B833" s="71"/>
    </row>
    <row r="834" spans="1:2" ht="16.5">
      <c r="A834" s="71"/>
      <c r="B834" s="71"/>
    </row>
    <row r="835" spans="1:2" ht="16.5">
      <c r="A835" s="71"/>
      <c r="B835" s="71"/>
    </row>
    <row r="836" spans="1:2" ht="16.5">
      <c r="A836" s="71"/>
      <c r="B836" s="71"/>
    </row>
    <row r="837" spans="1:2" ht="16.5">
      <c r="A837" s="71"/>
      <c r="B837" s="71"/>
    </row>
    <row r="838" spans="1:2" ht="16.5">
      <c r="A838" s="71"/>
      <c r="B838" s="71"/>
    </row>
    <row r="839" spans="1:2" ht="16.5">
      <c r="A839" s="71"/>
      <c r="B839" s="71"/>
    </row>
    <row r="840" spans="1:2" ht="16.5">
      <c r="A840" s="71"/>
      <c r="B840" s="71"/>
    </row>
    <row r="841" spans="1:2" ht="16.5">
      <c r="A841" s="71"/>
      <c r="B841" s="71"/>
    </row>
    <row r="842" spans="1:2" ht="16.5">
      <c r="A842" s="71"/>
      <c r="B842" s="71"/>
    </row>
    <row r="843" spans="1:2" ht="16.5">
      <c r="A843" s="71"/>
      <c r="B843" s="71"/>
    </row>
    <row r="844" spans="1:2" ht="16.5">
      <c r="A844" s="71"/>
      <c r="B844" s="71"/>
    </row>
    <row r="845" spans="1:2" ht="16.5">
      <c r="A845" s="71"/>
      <c r="B845" s="71"/>
    </row>
    <row r="846" spans="1:2" ht="16.5">
      <c r="A846" s="71"/>
      <c r="B846" s="71"/>
    </row>
    <row r="847" spans="1:2" ht="16.5">
      <c r="A847" s="71"/>
      <c r="B847" s="71"/>
    </row>
    <row r="848" spans="1:2" ht="16.5">
      <c r="A848" s="71"/>
      <c r="B848" s="71"/>
    </row>
    <row r="849" spans="1:2" ht="16.5">
      <c r="A849" s="71"/>
      <c r="B849" s="71"/>
    </row>
    <row r="850" spans="1:2" ht="16.5">
      <c r="A850" s="71"/>
      <c r="B850" s="71"/>
    </row>
    <row r="851" spans="1:2" ht="16.5">
      <c r="A851" s="71"/>
      <c r="B851" s="71"/>
    </row>
    <row r="852" spans="1:2" ht="16.5">
      <c r="A852" s="71"/>
      <c r="B852" s="71"/>
    </row>
    <row r="853" spans="1:2" ht="16.5">
      <c r="A853" s="71"/>
      <c r="B853" s="71"/>
    </row>
    <row r="854" spans="1:2" ht="16.5">
      <c r="A854" s="71"/>
      <c r="B854" s="71"/>
    </row>
    <row r="855" spans="1:2" ht="16.5">
      <c r="A855" s="71"/>
      <c r="B855" s="71"/>
    </row>
    <row r="856" spans="1:2" ht="16.5">
      <c r="A856" s="71"/>
      <c r="B856" s="71"/>
    </row>
    <row r="857" spans="1:2" ht="16.5">
      <c r="A857" s="71"/>
      <c r="B857" s="71"/>
    </row>
    <row r="858" spans="1:2" ht="16.5">
      <c r="A858" s="71"/>
      <c r="B858" s="71"/>
    </row>
    <row r="859" spans="1:2" ht="16.5">
      <c r="A859" s="71"/>
      <c r="B859" s="71"/>
    </row>
    <row r="860" spans="1:2" ht="16.5">
      <c r="A860" s="71"/>
      <c r="B860" s="71"/>
    </row>
    <row r="861" spans="1:2" ht="16.5">
      <c r="A861" s="71"/>
      <c r="B861" s="71"/>
    </row>
    <row r="862" spans="1:2" ht="16.5">
      <c r="A862" s="71"/>
      <c r="B862" s="71"/>
    </row>
    <row r="863" spans="1:2" ht="16.5">
      <c r="A863" s="71"/>
      <c r="B863" s="71"/>
    </row>
    <row r="864" spans="1:2" ht="16.5">
      <c r="A864" s="71"/>
      <c r="B864" s="71"/>
    </row>
    <row r="865" spans="1:2" ht="16.5">
      <c r="A865" s="71"/>
      <c r="B865" s="71"/>
    </row>
    <row r="866" spans="1:2" ht="16.5">
      <c r="A866" s="71"/>
      <c r="B866" s="71"/>
    </row>
    <row r="867" spans="1:2" ht="16.5">
      <c r="A867" s="71"/>
      <c r="B867" s="71"/>
    </row>
    <row r="868" spans="1:2" ht="16.5">
      <c r="A868" s="71"/>
      <c r="B868" s="71"/>
    </row>
    <row r="869" spans="1:2" ht="16.5">
      <c r="A869" s="71"/>
      <c r="B869" s="71"/>
    </row>
    <row r="870" spans="1:2" ht="16.5">
      <c r="A870" s="71"/>
      <c r="B870" s="71"/>
    </row>
    <row r="871" spans="1:2" ht="16.5">
      <c r="A871" s="71"/>
      <c r="B871" s="71"/>
    </row>
    <row r="872" spans="1:2" ht="16.5">
      <c r="A872" s="71"/>
      <c r="B872" s="71"/>
    </row>
    <row r="873" spans="1:2" ht="16.5">
      <c r="A873" s="71"/>
      <c r="B873" s="71"/>
    </row>
    <row r="874" spans="1:2" ht="16.5">
      <c r="A874" s="71"/>
      <c r="B874" s="71"/>
    </row>
    <row r="875" spans="1:2" ht="16.5">
      <c r="A875" s="71"/>
      <c r="B875" s="71"/>
    </row>
    <row r="876" spans="1:2" ht="16.5">
      <c r="A876" s="71"/>
      <c r="B876" s="71"/>
    </row>
    <row r="877" spans="1:2" ht="16.5">
      <c r="A877" s="71"/>
      <c r="B877" s="71"/>
    </row>
    <row r="878" spans="1:2" ht="16.5">
      <c r="A878" s="71"/>
      <c r="B878" s="71"/>
    </row>
    <row r="879" spans="1:2" ht="16.5">
      <c r="A879" s="71"/>
      <c r="B879" s="71"/>
    </row>
    <row r="880" spans="1:2" ht="16.5">
      <c r="A880" s="71"/>
      <c r="B880" s="71"/>
    </row>
    <row r="881" spans="1:2" ht="16.5">
      <c r="A881" s="71"/>
      <c r="B881" s="71"/>
    </row>
    <row r="882" spans="1:2" ht="16.5">
      <c r="A882" s="71"/>
      <c r="B882" s="71"/>
    </row>
    <row r="883" spans="1:2" ht="16.5">
      <c r="A883" s="71"/>
      <c r="B883" s="71"/>
    </row>
    <row r="884" spans="1:2" ht="16.5">
      <c r="A884" s="71"/>
      <c r="B884" s="71"/>
    </row>
    <row r="885" spans="1:2" ht="16.5">
      <c r="A885" s="71"/>
      <c r="B885" s="71"/>
    </row>
    <row r="886" spans="1:2" ht="16.5">
      <c r="A886" s="71"/>
      <c r="B886" s="71"/>
    </row>
    <row r="887" spans="1:2" ht="16.5">
      <c r="A887" s="71"/>
      <c r="B887" s="71"/>
    </row>
    <row r="888" spans="1:2" ht="16.5">
      <c r="A888" s="71"/>
      <c r="B888" s="71"/>
    </row>
    <row r="889" spans="1:2" ht="16.5">
      <c r="A889" s="71"/>
      <c r="B889" s="71"/>
    </row>
    <row r="890" spans="1:2" ht="16.5">
      <c r="A890" s="71"/>
      <c r="B890" s="71"/>
    </row>
    <row r="891" spans="1:2" ht="16.5">
      <c r="A891" s="71"/>
      <c r="B891" s="71"/>
    </row>
    <row r="892" spans="1:2" ht="16.5">
      <c r="A892" s="71"/>
      <c r="B892" s="71"/>
    </row>
    <row r="893" spans="1:2" ht="16.5">
      <c r="A893" s="71"/>
      <c r="B893" s="71"/>
    </row>
    <row r="894" spans="1:2" ht="16.5">
      <c r="A894" s="71"/>
      <c r="B894" s="71"/>
    </row>
    <row r="895" spans="1:2" ht="16.5">
      <c r="A895" s="71"/>
      <c r="B895" s="71"/>
    </row>
    <row r="896" spans="1:2" ht="16.5">
      <c r="A896" s="71"/>
      <c r="B896" s="71"/>
    </row>
    <row r="897" spans="1:2" ht="16.5">
      <c r="A897" s="71"/>
      <c r="B897" s="71"/>
    </row>
    <row r="898" spans="1:2" ht="16.5">
      <c r="A898" s="71"/>
      <c r="B898" s="71"/>
    </row>
    <row r="899" spans="1:2" ht="16.5">
      <c r="A899" s="71"/>
      <c r="B899" s="71"/>
    </row>
    <row r="900" spans="1:2" ht="16.5">
      <c r="A900" s="71"/>
      <c r="B900" s="71"/>
    </row>
    <row r="901" spans="1:2" ht="16.5">
      <c r="A901" s="71"/>
      <c r="B901" s="71"/>
    </row>
    <row r="902" spans="1:2" ht="16.5">
      <c r="A902" s="71"/>
      <c r="B902" s="71"/>
    </row>
    <row r="903" spans="1:2" ht="16.5">
      <c r="A903" s="71"/>
      <c r="B903" s="71"/>
    </row>
    <row r="904" spans="1:2" ht="16.5">
      <c r="A904" s="71"/>
      <c r="B904" s="71"/>
    </row>
    <row r="905" spans="1:2" ht="16.5">
      <c r="A905" s="71"/>
      <c r="B905" s="71"/>
    </row>
    <row r="906" spans="1:2" ht="16.5">
      <c r="A906" s="71"/>
      <c r="B906" s="71"/>
    </row>
    <row r="907" spans="1:2" ht="16.5">
      <c r="A907" s="71"/>
      <c r="B907" s="71"/>
    </row>
    <row r="908" spans="1:2" ht="16.5">
      <c r="A908" s="71"/>
      <c r="B908" s="71"/>
    </row>
    <row r="909" spans="1:2" ht="16.5">
      <c r="A909" s="71"/>
      <c r="B909" s="71"/>
    </row>
    <row r="910" spans="1:2" ht="16.5">
      <c r="A910" s="71"/>
      <c r="B910" s="71"/>
    </row>
    <row r="911" spans="1:2" ht="16.5">
      <c r="A911" s="71"/>
      <c r="B911" s="71"/>
    </row>
    <row r="912" spans="1:2" ht="16.5">
      <c r="A912" s="71"/>
      <c r="B912" s="71"/>
    </row>
    <row r="913" spans="1:2" ht="16.5">
      <c r="A913" s="71"/>
      <c r="B913" s="71"/>
    </row>
    <row r="914" spans="1:2" ht="16.5">
      <c r="A914" s="71"/>
      <c r="B914" s="71"/>
    </row>
    <row r="915" spans="1:2" ht="16.5">
      <c r="A915" s="71"/>
      <c r="B915" s="71"/>
    </row>
    <row r="916" spans="1:2" ht="16.5">
      <c r="A916" s="71"/>
      <c r="B916" s="71"/>
    </row>
    <row r="917" spans="1:2" ht="16.5">
      <c r="A917" s="71"/>
      <c r="B917" s="71"/>
    </row>
    <row r="918" spans="1:2" ht="16.5">
      <c r="A918" s="71"/>
      <c r="B918" s="71"/>
    </row>
    <row r="919" spans="1:2" ht="16.5">
      <c r="A919" s="71"/>
      <c r="B919" s="71"/>
    </row>
    <row r="920" spans="1:2" ht="16.5">
      <c r="A920" s="71"/>
      <c r="B920" s="71"/>
    </row>
    <row r="921" spans="1:2" ht="16.5">
      <c r="A921" s="71"/>
      <c r="B921" s="71"/>
    </row>
    <row r="922" spans="1:2" ht="16.5">
      <c r="A922" s="71"/>
      <c r="B922" s="71"/>
    </row>
    <row r="923" spans="1:2" ht="16.5">
      <c r="A923" s="71"/>
      <c r="B923" s="71"/>
    </row>
    <row r="924" spans="1:2" ht="16.5">
      <c r="A924" s="71"/>
      <c r="B924" s="71"/>
    </row>
    <row r="925" spans="1:2" ht="16.5">
      <c r="A925" s="71"/>
      <c r="B925" s="71"/>
    </row>
    <row r="926" spans="1:2" ht="16.5">
      <c r="A926" s="71"/>
      <c r="B926" s="71"/>
    </row>
    <row r="927" spans="1:2" ht="16.5">
      <c r="A927" s="71"/>
      <c r="B927" s="71"/>
    </row>
    <row r="928" spans="1:2" ht="16.5">
      <c r="A928" s="71"/>
      <c r="B928" s="71"/>
    </row>
    <row r="929" spans="1:2" ht="16.5">
      <c r="A929" s="71"/>
      <c r="B929" s="71"/>
    </row>
    <row r="930" spans="1:2" ht="16.5">
      <c r="A930" s="71"/>
      <c r="B930" s="71"/>
    </row>
    <row r="931" spans="1:2" ht="16.5">
      <c r="A931" s="71"/>
      <c r="B931" s="71"/>
    </row>
    <row r="932" spans="1:2" ht="16.5">
      <c r="A932" s="71"/>
      <c r="B932" s="71"/>
    </row>
    <row r="933" spans="1:2" ht="16.5">
      <c r="A933" s="71"/>
      <c r="B933" s="71"/>
    </row>
    <row r="934" spans="1:2" ht="16.5">
      <c r="A934" s="71"/>
      <c r="B934" s="71"/>
    </row>
    <row r="935" spans="1:2" ht="16.5">
      <c r="A935" s="71"/>
      <c r="B935" s="71"/>
    </row>
    <row r="936" spans="1:2" ht="16.5">
      <c r="A936" s="71"/>
      <c r="B936" s="71"/>
    </row>
    <row r="937" spans="1:2" ht="16.5">
      <c r="A937" s="71"/>
      <c r="B937" s="71"/>
    </row>
    <row r="938" spans="1:2" ht="16.5">
      <c r="A938" s="71"/>
      <c r="B938" s="71"/>
    </row>
    <row r="939" spans="1:2" ht="16.5">
      <c r="A939" s="71"/>
      <c r="B939" s="71"/>
    </row>
    <row r="940" spans="1:2" ht="16.5">
      <c r="A940" s="71"/>
      <c r="B940" s="71"/>
    </row>
    <row r="941" spans="1:2" ht="16.5">
      <c r="A941" s="71"/>
      <c r="B941" s="71"/>
    </row>
    <row r="942" spans="1:2" ht="16.5">
      <c r="A942" s="71"/>
      <c r="B942" s="71"/>
    </row>
    <row r="943" spans="1:2" ht="16.5">
      <c r="A943" s="71"/>
      <c r="B943" s="71"/>
    </row>
    <row r="944" spans="1:2" ht="16.5">
      <c r="A944" s="71"/>
      <c r="B944" s="71"/>
    </row>
    <row r="945" spans="1:2" ht="16.5">
      <c r="A945" s="71"/>
      <c r="B945" s="71"/>
    </row>
    <row r="946" spans="1:2" ht="16.5">
      <c r="A946" s="71"/>
      <c r="B946" s="71"/>
    </row>
    <row r="947" spans="1:2" ht="16.5">
      <c r="A947" s="71"/>
      <c r="B947" s="71"/>
    </row>
    <row r="948" spans="1:2" ht="16.5">
      <c r="A948" s="71"/>
      <c r="B948" s="71"/>
    </row>
    <row r="949" spans="1:2" ht="16.5">
      <c r="A949" s="71"/>
      <c r="B949" s="71"/>
    </row>
    <row r="950" spans="1:2" ht="16.5">
      <c r="A950" s="71"/>
      <c r="B950" s="71"/>
    </row>
    <row r="951" spans="1:2" ht="16.5">
      <c r="A951" s="71"/>
      <c r="B951" s="71"/>
    </row>
    <row r="952" spans="1:2" ht="16.5">
      <c r="A952" s="71"/>
      <c r="B952" s="71"/>
    </row>
    <row r="953" spans="1:2" ht="16.5">
      <c r="A953" s="71"/>
      <c r="B953" s="71"/>
    </row>
    <row r="954" spans="1:2" ht="16.5">
      <c r="A954" s="71"/>
      <c r="B954" s="71"/>
    </row>
    <row r="955" spans="1:2" ht="16.5">
      <c r="A955" s="71"/>
      <c r="B955" s="71"/>
    </row>
    <row r="956" spans="1:2" ht="16.5">
      <c r="A956" s="71"/>
      <c r="B956" s="71"/>
    </row>
    <row r="957" spans="1:2" ht="16.5">
      <c r="A957" s="71"/>
      <c r="B957" s="71"/>
    </row>
    <row r="958" spans="1:2" ht="16.5">
      <c r="A958" s="71"/>
      <c r="B958" s="71"/>
    </row>
    <row r="959" spans="1:2" ht="16.5">
      <c r="A959" s="71"/>
      <c r="B959" s="71"/>
    </row>
    <row r="960" spans="1:2" ht="16.5">
      <c r="A960" s="71"/>
      <c r="B960" s="71"/>
    </row>
    <row r="961" spans="1:2" ht="16.5">
      <c r="A961" s="71"/>
      <c r="B961" s="71"/>
    </row>
    <row r="962" spans="1:2" ht="16.5">
      <c r="A962" s="71"/>
      <c r="B962" s="71"/>
    </row>
    <row r="963" spans="1:2" ht="16.5">
      <c r="A963" s="71"/>
      <c r="B963" s="71"/>
    </row>
    <row r="964" spans="1:2" ht="16.5">
      <c r="A964" s="71"/>
      <c r="B964" s="71"/>
    </row>
    <row r="965" spans="1:2" ht="16.5">
      <c r="A965" s="71"/>
      <c r="B965" s="71"/>
    </row>
    <row r="966" spans="1:2" ht="16.5">
      <c r="A966" s="71"/>
      <c r="B966" s="71"/>
    </row>
    <row r="967" spans="1:2" ht="16.5">
      <c r="A967" s="71"/>
      <c r="B967" s="71"/>
    </row>
    <row r="968" spans="1:2" ht="16.5">
      <c r="A968" s="71"/>
      <c r="B968" s="71"/>
    </row>
    <row r="969" spans="1:2" ht="16.5">
      <c r="A969" s="71"/>
      <c r="B969" s="71"/>
    </row>
    <row r="970" spans="1:2" ht="16.5">
      <c r="A970" s="71"/>
      <c r="B970" s="71"/>
    </row>
    <row r="971" spans="1:2" ht="16.5">
      <c r="A971" s="71"/>
      <c r="B971" s="71"/>
    </row>
    <row r="972" spans="1:2" ht="16.5">
      <c r="A972" s="71"/>
      <c r="B972" s="71"/>
    </row>
    <row r="973" spans="1:2" ht="16.5">
      <c r="A973" s="71"/>
      <c r="B973" s="71"/>
    </row>
    <row r="974" spans="1:2" ht="16.5">
      <c r="A974" s="71"/>
      <c r="B974" s="71"/>
    </row>
    <row r="975" spans="1:2" ht="16.5">
      <c r="A975" s="71"/>
      <c r="B975" s="71"/>
    </row>
    <row r="976" spans="1:2" ht="16.5">
      <c r="A976" s="71"/>
      <c r="B976" s="71"/>
    </row>
    <row r="977" spans="1:2" ht="16.5">
      <c r="A977" s="71"/>
      <c r="B977" s="71"/>
    </row>
    <row r="978" spans="1:2" ht="16.5">
      <c r="A978" s="71"/>
      <c r="B978" s="71"/>
    </row>
    <row r="979" spans="1:2" ht="16.5">
      <c r="A979" s="71"/>
      <c r="B979" s="71"/>
    </row>
    <row r="980" spans="1:2" ht="16.5">
      <c r="A980" s="71"/>
      <c r="B980" s="71"/>
    </row>
    <row r="981" spans="1:2" ht="16.5">
      <c r="A981" s="71"/>
      <c r="B981" s="71"/>
    </row>
    <row r="982" spans="1:2" ht="16.5">
      <c r="A982" s="71"/>
      <c r="B982" s="71"/>
    </row>
    <row r="983" spans="1:2" ht="16.5">
      <c r="A983" s="71"/>
      <c r="B983" s="71"/>
    </row>
    <row r="984" spans="1:2" ht="16.5">
      <c r="A984" s="71"/>
      <c r="B984" s="71"/>
    </row>
    <row r="985" spans="1:2" ht="16.5">
      <c r="A985" s="71"/>
      <c r="B985" s="71"/>
    </row>
    <row r="986" spans="1:2" ht="16.5">
      <c r="A986" s="71"/>
      <c r="B986" s="71"/>
    </row>
    <row r="987" spans="1:2" ht="16.5">
      <c r="A987" s="71"/>
      <c r="B987" s="71"/>
    </row>
    <row r="988" spans="1:2" ht="16.5">
      <c r="A988" s="71"/>
      <c r="B988" s="71"/>
    </row>
    <row r="989" spans="1:2" ht="16.5">
      <c r="A989" s="71"/>
      <c r="B989" s="71"/>
    </row>
    <row r="990" spans="1:2" ht="16.5">
      <c r="A990" s="71"/>
      <c r="B990" s="71"/>
    </row>
    <row r="991" spans="1:2" ht="16.5">
      <c r="A991" s="71"/>
      <c r="B991" s="71"/>
    </row>
    <row r="992" spans="1:2" ht="16.5">
      <c r="A992" s="71"/>
      <c r="B992" s="71"/>
    </row>
    <row r="993" spans="1:2" ht="16.5">
      <c r="A993" s="71"/>
      <c r="B993" s="71"/>
    </row>
    <row r="994" spans="1:2" ht="16.5">
      <c r="A994" s="71"/>
      <c r="B994" s="71"/>
    </row>
    <row r="995" spans="1:2" ht="16.5">
      <c r="A995" s="71"/>
      <c r="B995" s="71"/>
    </row>
    <row r="996" spans="1:2" ht="16.5">
      <c r="A996" s="71"/>
      <c r="B996" s="71"/>
    </row>
    <row r="997" spans="1:2" ht="16.5">
      <c r="A997" s="71"/>
      <c r="B997" s="71"/>
    </row>
    <row r="998" spans="1:2" ht="16.5">
      <c r="A998" s="71"/>
      <c r="B998" s="71"/>
    </row>
    <row r="999" spans="1:2" ht="16.5">
      <c r="A999" s="71"/>
      <c r="B999" s="71"/>
    </row>
    <row r="1000" spans="1:2" ht="16.5">
      <c r="A1000" s="71"/>
      <c r="B1000" s="71"/>
    </row>
    <row r="1001" spans="1:2" ht="16.5">
      <c r="A1001" s="71"/>
      <c r="B1001" s="71"/>
    </row>
    <row r="1002" spans="1:2" ht="16.5">
      <c r="A1002" s="71"/>
      <c r="B1002" s="71"/>
    </row>
    <row r="1003" spans="1:2" ht="16.5">
      <c r="A1003" s="71"/>
      <c r="B1003" s="71"/>
    </row>
    <row r="1004" spans="1:2" ht="16.5">
      <c r="A1004" s="71"/>
      <c r="B1004" s="71"/>
    </row>
  </sheetData>
  <hyperlinks>
    <hyperlink ref="B62" r:id="rId1"/>
    <hyperlink ref="B63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12"/>
  <sheetViews>
    <sheetView topLeftCell="B2" workbookViewId="0">
      <selection activeCell="C19" sqref="C19"/>
    </sheetView>
  </sheetViews>
  <sheetFormatPr defaultColWidth="14.42578125" defaultRowHeight="15" customHeight="1"/>
  <cols>
    <col min="1" max="1" width="41.42578125" style="52" customWidth="1"/>
    <col min="2" max="2" width="62" style="52" customWidth="1"/>
    <col min="3" max="3" width="78" style="52" customWidth="1"/>
    <col min="4" max="26" width="8.7109375" style="52" customWidth="1"/>
    <col min="27" max="16384" width="14.42578125" style="52"/>
  </cols>
  <sheetData>
    <row r="1" spans="1:26" ht="13.5" customHeight="1">
      <c r="A1" s="70" t="s">
        <v>100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</row>
    <row r="2" spans="1:26" ht="13.5" customHeight="1" thickBo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spans="1:26" ht="13.5" customHeight="1" thickBot="1">
      <c r="A3" s="69" t="s">
        <v>99</v>
      </c>
      <c r="B3" s="68" t="s">
        <v>98</v>
      </c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</row>
    <row r="4" spans="1:26" ht="13.5" customHeight="1" thickBot="1">
      <c r="A4" s="66" t="s">
        <v>23</v>
      </c>
      <c r="B4" s="68" t="s">
        <v>24</v>
      </c>
      <c r="C4" s="53" t="str">
        <f t="shared" ref="C4:C35" si="0">CONCATENATE(A4, " -&gt; ",B4)</f>
        <v>Administrative/Overhead services -&gt; Office of the Medical Center Chief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</row>
    <row r="5" spans="1:26" ht="13.5" customHeight="1" thickBot="1">
      <c r="A5" s="66" t="s">
        <v>23</v>
      </c>
      <c r="B5" s="65" t="s">
        <v>65</v>
      </c>
      <c r="C5" s="53" t="str">
        <f t="shared" si="0"/>
        <v>Administrative/Overhead services -&gt; IT Department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</row>
    <row r="6" spans="1:26" ht="13.5" customHeight="1" thickBot="1">
      <c r="A6" s="66" t="s">
        <v>23</v>
      </c>
      <c r="B6" s="67" t="s">
        <v>25</v>
      </c>
      <c r="C6" s="53" t="str">
        <f t="shared" si="0"/>
        <v>Administrative/Overhead services -&gt; Office of the Administrative Officer</v>
      </c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</row>
    <row r="7" spans="1:26" ht="13.5" customHeight="1" thickBot="1">
      <c r="A7" s="66" t="s">
        <v>23</v>
      </c>
      <c r="B7" s="67" t="s">
        <v>26</v>
      </c>
      <c r="C7" s="53" t="str">
        <f t="shared" si="0"/>
        <v>Administrative/Overhead services -&gt; Human Resource Management</v>
      </c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</row>
    <row r="8" spans="1:26" ht="13.5" customHeight="1" thickBot="1">
      <c r="A8" s="66" t="s">
        <v>23</v>
      </c>
      <c r="B8" s="67" t="s">
        <v>27</v>
      </c>
      <c r="C8" s="53" t="str">
        <f t="shared" si="0"/>
        <v>Administrative/Overhead services -&gt; Procurement</v>
      </c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</row>
    <row r="9" spans="1:26" ht="13.5" customHeight="1" thickBot="1">
      <c r="A9" s="66" t="s">
        <v>23</v>
      </c>
      <c r="B9" s="67" t="s">
        <v>28</v>
      </c>
      <c r="C9" s="53" t="str">
        <f t="shared" si="0"/>
        <v>Administrative/Overhead services -&gt; Materials Management</v>
      </c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spans="1:26" ht="13.5" customHeight="1" thickBot="1">
      <c r="A10" s="66" t="s">
        <v>23</v>
      </c>
      <c r="B10" s="67" t="s">
        <v>29</v>
      </c>
      <c r="C10" s="53" t="str">
        <f t="shared" si="0"/>
        <v>Administrative/Overhead services -&gt; Engineering and Facilities Management</v>
      </c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</row>
    <row r="11" spans="1:26" ht="13.5" customHeight="1" thickBot="1">
      <c r="A11" s="66" t="s">
        <v>23</v>
      </c>
      <c r="B11" s="65" t="s">
        <v>66</v>
      </c>
      <c r="C11" s="53" t="str">
        <f t="shared" si="0"/>
        <v xml:space="preserve">Administrative/Overhead services -&gt; Housekeeping </v>
      </c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</row>
    <row r="12" spans="1:26" ht="13.5" customHeight="1" thickBot="1">
      <c r="A12" s="66" t="s">
        <v>23</v>
      </c>
      <c r="B12" s="67" t="s">
        <v>30</v>
      </c>
      <c r="C12" s="53" t="str">
        <f t="shared" si="0"/>
        <v>Administrative/Overhead services -&gt; Budget and Accounting</v>
      </c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</row>
    <row r="13" spans="1:26" ht="13.5" customHeight="1" thickBot="1">
      <c r="A13" s="66" t="s">
        <v>23</v>
      </c>
      <c r="B13" s="67" t="s">
        <v>31</v>
      </c>
      <c r="C13" s="53" t="str">
        <f t="shared" si="0"/>
        <v>Administrative/Overhead services -&gt; Medical Social Work</v>
      </c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</row>
    <row r="14" spans="1:26" ht="13.5" customHeight="1" thickBot="1">
      <c r="A14" s="66" t="s">
        <v>23</v>
      </c>
      <c r="B14" s="67" t="s">
        <v>32</v>
      </c>
      <c r="C14" s="53" t="str">
        <f t="shared" si="0"/>
        <v>Administrative/Overhead services -&gt; Office of the Chief Nurse</v>
      </c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</row>
    <row r="15" spans="1:26" ht="13.5" customHeight="1" thickBot="1">
      <c r="A15" s="66" t="s">
        <v>23</v>
      </c>
      <c r="B15" s="67" t="s">
        <v>33</v>
      </c>
      <c r="C15" s="53" t="str">
        <f t="shared" si="0"/>
        <v>Administrative/Overhead services -&gt; Health Info Mgt (Admitting)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26" ht="13.5" customHeight="1" thickBot="1">
      <c r="A16" s="66" t="s">
        <v>23</v>
      </c>
      <c r="B16" s="67" t="s">
        <v>34</v>
      </c>
      <c r="C16" s="53" t="str">
        <f t="shared" si="0"/>
        <v>Administrative/Overhead services -&gt; Central Supply Office</v>
      </c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3.5" customHeight="1" thickBot="1">
      <c r="A17" s="66" t="s">
        <v>23</v>
      </c>
      <c r="B17" s="67" t="s">
        <v>35</v>
      </c>
      <c r="C17" s="53" t="str">
        <f t="shared" si="0"/>
        <v>Administrative/Overhead services -&gt; Billing and Claims</v>
      </c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3.5" customHeight="1" thickBot="1">
      <c r="A18" s="66" t="s">
        <v>23</v>
      </c>
      <c r="B18" s="67" t="s">
        <v>36</v>
      </c>
      <c r="C18" s="53" t="str">
        <f t="shared" si="0"/>
        <v>Administrative/Overhead services -&gt; Cash Operations</v>
      </c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3.5" customHeight="1" thickBot="1">
      <c r="A19" s="66" t="s">
        <v>23</v>
      </c>
      <c r="B19" s="67" t="s">
        <v>37</v>
      </c>
      <c r="C19" s="53" t="str">
        <f t="shared" si="0"/>
        <v>Administrative/Overhead services -&gt; Security</v>
      </c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3.5" customHeight="1" thickBot="1">
      <c r="A20" s="66" t="s">
        <v>23</v>
      </c>
      <c r="B20" s="65" t="s">
        <v>67</v>
      </c>
      <c r="C20" s="53" t="str">
        <f t="shared" si="0"/>
        <v>Administrative/Overhead services -&gt; Office of the Chief of Medical Professional Staff / Chief of Clinics</v>
      </c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3.5" customHeight="1" thickBot="1">
      <c r="A21" s="66" t="s">
        <v>23</v>
      </c>
      <c r="B21" s="65" t="s">
        <v>68</v>
      </c>
      <c r="C21" s="53" t="str">
        <f t="shared" si="0"/>
        <v>Administrative/Overhead services -&gt; Others</v>
      </c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3.5" customHeight="1" thickBot="1">
      <c r="A22" s="58" t="s">
        <v>39</v>
      </c>
      <c r="B22" s="64" t="s">
        <v>40</v>
      </c>
      <c r="C22" s="53" t="str">
        <f t="shared" si="0"/>
        <v>Ancillary services/Support services -&gt; Laundry</v>
      </c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4.25" customHeight="1" thickBot="1">
      <c r="A23" s="58" t="s">
        <v>39</v>
      </c>
      <c r="B23" s="60" t="s">
        <v>43</v>
      </c>
      <c r="C23" s="53" t="str">
        <f t="shared" si="0"/>
        <v>Ancillary services/Support services -&gt; Nutrition and Dietetics</v>
      </c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4.25" customHeight="1" thickBot="1">
      <c r="A24" s="58" t="s">
        <v>39</v>
      </c>
      <c r="B24" s="60" t="s">
        <v>69</v>
      </c>
      <c r="C24" s="53" t="str">
        <f t="shared" si="0"/>
        <v>Ancillary services/Support services -&gt; Sterilization</v>
      </c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4.25" customHeight="1" thickBot="1">
      <c r="A25" s="58" t="s">
        <v>39</v>
      </c>
      <c r="B25" s="60" t="s">
        <v>42</v>
      </c>
      <c r="C25" s="53" t="str">
        <f t="shared" si="0"/>
        <v>Ancillary services/Support services -&gt; Pharmacy</v>
      </c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4.25" customHeight="1" thickBot="1">
      <c r="A26" s="58" t="s">
        <v>39</v>
      </c>
      <c r="B26" s="60" t="s">
        <v>41</v>
      </c>
      <c r="C26" s="53" t="str">
        <f t="shared" si="0"/>
        <v>Ancillary services/Support services -&gt; Blood Bank</v>
      </c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4.25" customHeight="1" thickBot="1">
      <c r="A27" s="58" t="s">
        <v>39</v>
      </c>
      <c r="B27" s="60" t="s">
        <v>70</v>
      </c>
      <c r="C27" s="53" t="str">
        <f t="shared" si="0"/>
        <v>Ancillary services/Support services -&gt; Laboratory</v>
      </c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4.25" customHeight="1" thickBot="1">
      <c r="A28" s="58" t="s">
        <v>39</v>
      </c>
      <c r="B28" s="60" t="s">
        <v>71</v>
      </c>
      <c r="C28" s="53" t="str">
        <f t="shared" si="0"/>
        <v>Ancillary services/Support services -&gt; Radiology / Diagnostic Imaging (CT Scan, MRI, ECG, Mammography, Endoscopy)</v>
      </c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4.25" customHeight="1" thickBot="1">
      <c r="A29" s="58" t="s">
        <v>39</v>
      </c>
      <c r="B29" s="60" t="s">
        <v>72</v>
      </c>
      <c r="C29" s="53" t="str">
        <f t="shared" si="0"/>
        <v>Ancillary services/Support services -&gt; Heart Station</v>
      </c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4.25" customHeight="1" thickBot="1">
      <c r="A30" s="58" t="s">
        <v>39</v>
      </c>
      <c r="B30" s="60" t="s">
        <v>73</v>
      </c>
      <c r="C30" s="53" t="str">
        <f t="shared" si="0"/>
        <v>Ancillary services/Support services -&gt; Physiotherapy / Rehabilitation</v>
      </c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4.25" customHeight="1" thickBot="1">
      <c r="A31" s="58" t="s">
        <v>39</v>
      </c>
      <c r="B31" s="60" t="s">
        <v>5</v>
      </c>
      <c r="C31" s="53" t="str">
        <f t="shared" si="0"/>
        <v>Ancillary services/Support services -&gt; Delivery Room</v>
      </c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4.25" customHeight="1" thickBot="1">
      <c r="A32" s="58" t="s">
        <v>39</v>
      </c>
      <c r="B32" s="59" t="s">
        <v>44</v>
      </c>
      <c r="C32" s="53" t="str">
        <f t="shared" si="0"/>
        <v>Ancillary services/Support services -&gt; Operating Room / Aneasthesiology / PACU / Recovery Room</v>
      </c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26" ht="14.25" customHeight="1" thickBot="1">
      <c r="A33" s="58" t="s">
        <v>39</v>
      </c>
      <c r="B33" s="60" t="s">
        <v>74</v>
      </c>
      <c r="C33" s="53" t="str">
        <f t="shared" si="0"/>
        <v>Ancillary services/Support services -&gt; Respiratory Unit</v>
      </c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26" ht="14.25" customHeight="1" thickBot="1">
      <c r="A34" s="58" t="s">
        <v>39</v>
      </c>
      <c r="B34" s="59" t="s">
        <v>45</v>
      </c>
      <c r="C34" s="53" t="str">
        <f t="shared" si="0"/>
        <v>Ancillary services/Support services -&gt; Medical ICU</v>
      </c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26" ht="14.25" customHeight="1" thickBot="1">
      <c r="A35" s="58" t="s">
        <v>39</v>
      </c>
      <c r="B35" s="59" t="s">
        <v>46</v>
      </c>
      <c r="C35" s="53" t="str">
        <f t="shared" si="0"/>
        <v>Ancillary services/Support services -&gt; Neonatal ICU*</v>
      </c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26" ht="14.25" customHeight="1" thickBot="1">
      <c r="A36" s="58" t="s">
        <v>39</v>
      </c>
      <c r="B36" s="59" t="s">
        <v>47</v>
      </c>
      <c r="C36" s="53" t="str">
        <f t="shared" ref="C36:C64" si="1">CONCATENATE(A36, " -&gt; ",B36)</f>
        <v>Ancillary services/Support services -&gt; Surgical ICU*</v>
      </c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26" ht="14.25" customHeight="1" thickBot="1">
      <c r="A37" s="58" t="s">
        <v>39</v>
      </c>
      <c r="B37" s="59" t="s">
        <v>48</v>
      </c>
      <c r="C37" s="53" t="str">
        <f t="shared" si="1"/>
        <v>Ancillary services/Support services -&gt; Pediatric ICU*</v>
      </c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26" ht="14.25" customHeight="1" thickBot="1">
      <c r="A38" s="58" t="s">
        <v>39</v>
      </c>
      <c r="B38" s="59" t="s">
        <v>75</v>
      </c>
      <c r="C38" s="53" t="str">
        <f t="shared" si="1"/>
        <v>Ancillary services/Support services -&gt; Burn Unit</v>
      </c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26" ht="17.25" thickBot="1">
      <c r="A39" s="58" t="s">
        <v>39</v>
      </c>
      <c r="B39" s="60" t="s">
        <v>76</v>
      </c>
      <c r="C39" s="53" t="str">
        <f t="shared" si="1"/>
        <v>Ancillary services/Support services -&gt; Morgue</v>
      </c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26" ht="17.25" thickBot="1">
      <c r="A40" s="58" t="s">
        <v>39</v>
      </c>
      <c r="B40" s="63" t="s">
        <v>68</v>
      </c>
      <c r="C40" s="53" t="str">
        <f t="shared" si="1"/>
        <v>Ancillary services/Support services -&gt; Others</v>
      </c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26" ht="13.5" customHeight="1" thickBot="1">
      <c r="A41" s="58" t="s">
        <v>50</v>
      </c>
      <c r="B41" s="62" t="s">
        <v>51</v>
      </c>
      <c r="C41" s="53" t="str">
        <f t="shared" si="1"/>
        <v>Clinical/Medical services -&gt; Outpatient Department</v>
      </c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26" ht="13.5" customHeight="1" thickBot="1">
      <c r="A42" s="58" t="s">
        <v>50</v>
      </c>
      <c r="B42" s="60" t="s">
        <v>77</v>
      </c>
      <c r="C42" s="53" t="str">
        <f t="shared" si="1"/>
        <v>Clinical/Medical services -&gt; Animal Bite Center</v>
      </c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3" spans="1:26" ht="13.5" customHeight="1" thickBot="1">
      <c r="A43" s="58" t="s">
        <v>50</v>
      </c>
      <c r="B43" s="60" t="s">
        <v>78</v>
      </c>
      <c r="C43" s="53" t="str">
        <f t="shared" si="1"/>
        <v>Clinical/Medical services -&gt; TB Dots</v>
      </c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</row>
    <row r="44" spans="1:26" ht="13.5" customHeight="1" thickBot="1">
      <c r="A44" s="58" t="s">
        <v>50</v>
      </c>
      <c r="B44" s="60" t="s">
        <v>79</v>
      </c>
      <c r="C44" s="53" t="str">
        <f t="shared" si="1"/>
        <v>Clinical/Medical services -&gt; HIV Aids</v>
      </c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</row>
    <row r="45" spans="1:26" ht="13.5" customHeight="1" thickBot="1">
      <c r="A45" s="58" t="s">
        <v>50</v>
      </c>
      <c r="B45" s="60" t="s">
        <v>80</v>
      </c>
      <c r="C45" s="53" t="str">
        <f t="shared" si="1"/>
        <v>Clinical/Medical services -&gt; Family Planning Unit</v>
      </c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  <row r="46" spans="1:26" ht="13.5" customHeight="1" thickBot="1">
      <c r="A46" s="58" t="s">
        <v>50</v>
      </c>
      <c r="B46" s="60" t="s">
        <v>81</v>
      </c>
      <c r="C46" s="53" t="str">
        <f t="shared" si="1"/>
        <v>Clinical/Medical services -&gt; Smoking Cessation</v>
      </c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</row>
    <row r="47" spans="1:26" ht="13.5" customHeight="1" thickBot="1">
      <c r="A47" s="58" t="s">
        <v>50</v>
      </c>
      <c r="B47" s="60" t="s">
        <v>82</v>
      </c>
      <c r="C47" s="53" t="str">
        <f t="shared" si="1"/>
        <v>Clinical/Medical services -&gt; Malaria</v>
      </c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</row>
    <row r="48" spans="1:26" ht="13.5" customHeight="1" thickBot="1">
      <c r="A48" s="58" t="s">
        <v>50</v>
      </c>
      <c r="B48" s="61" t="s">
        <v>83</v>
      </c>
      <c r="C48" s="53" t="str">
        <f t="shared" si="1"/>
        <v>Clinical/Medical services -&gt; Diabetes MAP</v>
      </c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</row>
    <row r="49" spans="1:26" ht="13.5" customHeight="1" thickBot="1">
      <c r="A49" s="58" t="s">
        <v>50</v>
      </c>
      <c r="B49" s="60" t="s">
        <v>84</v>
      </c>
      <c r="C49" s="53" t="str">
        <f t="shared" si="1"/>
        <v>Clinical/Medical services -&gt; Hypertension MAP</v>
      </c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</row>
    <row r="50" spans="1:26" ht="14.25" customHeight="1" thickBot="1">
      <c r="A50" s="58" t="s">
        <v>50</v>
      </c>
      <c r="B50" s="59" t="s">
        <v>52</v>
      </c>
      <c r="C50" s="53" t="str">
        <f t="shared" si="1"/>
        <v>Clinical/Medical services -&gt; Emergency Medicine Department</v>
      </c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</row>
    <row r="51" spans="1:26" ht="14.25" customHeight="1" thickBot="1">
      <c r="A51" s="58" t="s">
        <v>50</v>
      </c>
      <c r="B51" s="59" t="s">
        <v>6</v>
      </c>
      <c r="C51" s="53" t="str">
        <f t="shared" si="1"/>
        <v>Clinical/Medical services -&gt; Dialysis Unit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</row>
    <row r="52" spans="1:26" ht="14.25" customHeight="1" thickBot="1">
      <c r="A52" s="58" t="s">
        <v>50</v>
      </c>
      <c r="B52" s="60" t="s">
        <v>85</v>
      </c>
      <c r="C52" s="53" t="str">
        <f t="shared" si="1"/>
        <v>Clinical/Medical services -&gt; Nuclear Medicine</v>
      </c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</row>
    <row r="53" spans="1:26" ht="14.25" customHeight="1" thickBot="1">
      <c r="A53" s="58" t="s">
        <v>50</v>
      </c>
      <c r="B53" s="59" t="s">
        <v>49</v>
      </c>
      <c r="C53" s="53" t="str">
        <f t="shared" si="1"/>
        <v>Clinical/Medical services -&gt; Radiation Oncology Unit*</v>
      </c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</row>
    <row r="54" spans="1:26" ht="14.25" customHeight="1" thickBot="1">
      <c r="A54" s="58" t="s">
        <v>50</v>
      </c>
      <c r="B54" s="60" t="s">
        <v>86</v>
      </c>
      <c r="C54" s="53" t="str">
        <f t="shared" si="1"/>
        <v>Clinical/Medical services -&gt; Endoscopy Unit</v>
      </c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</row>
    <row r="55" spans="1:26" ht="14.25" customHeight="1" thickBot="1">
      <c r="A55" s="58" t="s">
        <v>50</v>
      </c>
      <c r="B55" s="59" t="s">
        <v>53</v>
      </c>
      <c r="C55" s="53" t="str">
        <f t="shared" si="1"/>
        <v>Clinical/Medical services -&gt; Dental</v>
      </c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spans="1:26" ht="14.25" customHeight="1" thickBot="1">
      <c r="A56" s="58" t="s">
        <v>50</v>
      </c>
      <c r="B56" s="59" t="s">
        <v>54</v>
      </c>
      <c r="C56" s="53" t="str">
        <f t="shared" si="1"/>
        <v>Clinical/Medical services -&gt; Internal Medicine Ward</v>
      </c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</row>
    <row r="57" spans="1:26" ht="14.25" customHeight="1" thickBot="1">
      <c r="A57" s="58" t="s">
        <v>50</v>
      </c>
      <c r="B57" s="59" t="s">
        <v>55</v>
      </c>
      <c r="C57" s="53" t="str">
        <f t="shared" si="1"/>
        <v>Clinical/Medical services -&gt; Pediatric Ward</v>
      </c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</row>
    <row r="58" spans="1:26" ht="14.25" customHeight="1" thickBot="1">
      <c r="A58" s="58" t="s">
        <v>50</v>
      </c>
      <c r="B58" s="59" t="s">
        <v>56</v>
      </c>
      <c r="C58" s="53" t="str">
        <f t="shared" si="1"/>
        <v>Clinical/Medical services -&gt; Surgical Ward</v>
      </c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</row>
    <row r="59" spans="1:26" ht="14.25" customHeight="1" thickBot="1">
      <c r="A59" s="58" t="s">
        <v>50</v>
      </c>
      <c r="B59" s="59" t="s">
        <v>57</v>
      </c>
      <c r="C59" s="53" t="str">
        <f t="shared" si="1"/>
        <v>Clinical/Medical services -&gt; Ob/Gyne Ward</v>
      </c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</row>
    <row r="60" spans="1:26" ht="14.25" customHeight="1" thickBot="1">
      <c r="A60" s="58" t="s">
        <v>50</v>
      </c>
      <c r="B60" s="59" t="s">
        <v>58</v>
      </c>
      <c r="C60" s="53" t="str">
        <f t="shared" si="1"/>
        <v>Clinical/Medical services -&gt; Private Ward</v>
      </c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</row>
    <row r="61" spans="1:26" ht="14.25" customHeight="1" thickBot="1">
      <c r="A61" s="58" t="s">
        <v>50</v>
      </c>
      <c r="B61" s="59" t="s">
        <v>59</v>
      </c>
      <c r="C61" s="53" t="str">
        <f t="shared" si="1"/>
        <v>Clinical/Medical services -&gt; Neurosurgery Ward*</v>
      </c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</row>
    <row r="62" spans="1:26" ht="14.25" customHeight="1" thickBot="1">
      <c r="A62" s="58" t="s">
        <v>50</v>
      </c>
      <c r="B62" s="59" t="s">
        <v>60</v>
      </c>
      <c r="C62" s="53" t="str">
        <f t="shared" si="1"/>
        <v>Clinical/Medical services -&gt; Orthopedic Ward*</v>
      </c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</row>
    <row r="63" spans="1:26" ht="17.25" thickBot="1">
      <c r="A63" s="58" t="s">
        <v>50</v>
      </c>
      <c r="B63" s="59" t="s">
        <v>61</v>
      </c>
      <c r="C63" s="53" t="str">
        <f t="shared" si="1"/>
        <v>Clinical/Medical services -&gt; Psychiatric Ward*</v>
      </c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</row>
    <row r="64" spans="1:26" ht="13.5" customHeight="1" thickBot="1">
      <c r="A64" s="58" t="s">
        <v>50</v>
      </c>
      <c r="B64" s="57" t="s">
        <v>62</v>
      </c>
      <c r="C64" s="53" t="str">
        <f t="shared" si="1"/>
        <v>Clinical/Medical services -&gt; ENT Ward*</v>
      </c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</row>
    <row r="65" spans="1:26" ht="13.5" customHeight="1">
      <c r="A65" s="56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</row>
    <row r="66" spans="1:26" ht="13.5" customHeight="1">
      <c r="A66" s="53"/>
      <c r="B66" s="55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</row>
    <row r="67" spans="1:26" ht="13.5" customHeight="1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</row>
    <row r="68" spans="1:26" ht="13.5" customHeight="1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</row>
    <row r="69" spans="1:26" ht="13.5" customHeight="1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</row>
    <row r="70" spans="1:26" ht="13.5" customHeight="1">
      <c r="A70" s="53" t="s">
        <v>97</v>
      </c>
      <c r="B70" s="54" t="s">
        <v>96</v>
      </c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</row>
    <row r="71" spans="1:26" ht="13.5" customHeight="1">
      <c r="A71" s="53"/>
      <c r="B71" s="54" t="s">
        <v>95</v>
      </c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</row>
    <row r="72" spans="1:26" ht="13.5" customHeight="1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</row>
    <row r="73" spans="1:26" ht="13.5" customHeight="1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</row>
    <row r="74" spans="1:26" ht="13.5" customHeight="1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</row>
    <row r="75" spans="1:26" ht="13.5" customHeight="1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</row>
    <row r="76" spans="1:26" ht="13.5" customHeight="1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</row>
    <row r="77" spans="1:26" ht="13.5" customHeight="1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</row>
    <row r="78" spans="1:26" ht="13.5" customHeight="1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</row>
    <row r="79" spans="1:26" ht="13.5" customHeight="1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</row>
    <row r="80" spans="1:26" ht="13.5" customHeight="1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</row>
    <row r="81" spans="1:26" ht="13.5" customHeight="1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</row>
    <row r="82" spans="1:26" ht="13.5" customHeight="1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</row>
    <row r="83" spans="1:26" ht="13.5" customHeight="1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</row>
    <row r="84" spans="1:26" ht="13.5" customHeight="1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</row>
    <row r="85" spans="1:26" ht="13.5" customHeight="1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</row>
    <row r="86" spans="1:26" ht="13.5" customHeight="1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</row>
    <row r="87" spans="1:26" ht="13.5" customHeight="1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</row>
    <row r="88" spans="1:26" ht="13.5" customHeight="1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</row>
    <row r="89" spans="1:26" ht="13.5" customHeight="1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</row>
    <row r="90" spans="1:26" ht="13.5" customHeight="1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</row>
    <row r="91" spans="1:26" ht="13.5" customHeight="1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</row>
    <row r="92" spans="1:26" ht="13.5" customHeight="1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</row>
    <row r="93" spans="1:26" ht="13.5" customHeight="1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</row>
    <row r="94" spans="1:26" ht="13.5" customHeight="1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</row>
    <row r="95" spans="1:26" ht="13.5" customHeight="1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</row>
    <row r="96" spans="1:26" ht="13.5" customHeight="1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spans="1:26" ht="13.5" customHeight="1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</row>
    <row r="98" spans="1:26" ht="13.5" customHeight="1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</row>
    <row r="99" spans="1:26" ht="13.5" customHeight="1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</row>
    <row r="100" spans="1:26" ht="13.5" customHeight="1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</row>
    <row r="101" spans="1:26" ht="13.5" customHeight="1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</row>
    <row r="102" spans="1:26" ht="13.5" customHeight="1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</row>
    <row r="103" spans="1:26" ht="13.5" customHeight="1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</row>
    <row r="104" spans="1:26" ht="13.5" customHeight="1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</row>
    <row r="105" spans="1:26" ht="13.5" customHeight="1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</row>
    <row r="106" spans="1:26" ht="13.5" customHeight="1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</row>
    <row r="107" spans="1:26" ht="13.5" customHeight="1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</row>
    <row r="108" spans="1:26" ht="13.5" customHeight="1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</row>
    <row r="109" spans="1:26" ht="13.5" customHeight="1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</row>
    <row r="110" spans="1:26" ht="13.5" customHeight="1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</row>
    <row r="111" spans="1:26" ht="13.5" customHeight="1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</row>
    <row r="112" spans="1:26" ht="13.5" customHeight="1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</row>
    <row r="113" spans="1:26" ht="13.5" customHeight="1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</row>
    <row r="114" spans="1:26" ht="13.5" customHeight="1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</row>
    <row r="115" spans="1:26" ht="13.5" customHeight="1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</row>
    <row r="116" spans="1:26" ht="13.5" customHeight="1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</row>
    <row r="117" spans="1:26" ht="13.5" customHeight="1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</row>
    <row r="118" spans="1:26" ht="13.5" customHeight="1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</row>
    <row r="119" spans="1:26" ht="13.5" customHeight="1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</row>
    <row r="120" spans="1:26" ht="13.5" customHeight="1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</row>
    <row r="121" spans="1:26" ht="13.5" customHeight="1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</row>
    <row r="122" spans="1:26" ht="13.5" customHeight="1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</row>
    <row r="123" spans="1:26" ht="13.5" customHeight="1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</row>
    <row r="124" spans="1:26" ht="13.5" customHeight="1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</row>
    <row r="125" spans="1:26" ht="13.5" customHeight="1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</row>
    <row r="126" spans="1:26" ht="13.5" customHeight="1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</row>
    <row r="127" spans="1:26" ht="13.5" customHeight="1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</row>
    <row r="128" spans="1:26" ht="13.5" customHeight="1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</row>
    <row r="129" spans="1:26" ht="13.5" customHeight="1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</row>
    <row r="130" spans="1:26" ht="13.5" customHeight="1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</row>
    <row r="131" spans="1:26" ht="13.5" customHeight="1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</row>
    <row r="132" spans="1:26" ht="13.5" customHeight="1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</row>
    <row r="133" spans="1:26" ht="13.5" customHeight="1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</row>
    <row r="134" spans="1:26" ht="13.5" customHeight="1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</row>
    <row r="135" spans="1:26" ht="13.5" customHeight="1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</row>
    <row r="136" spans="1:26" ht="13.5" customHeight="1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</row>
    <row r="137" spans="1:26" ht="13.5" customHeight="1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</row>
    <row r="138" spans="1:26" ht="13.5" customHeight="1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</row>
    <row r="139" spans="1:26" ht="13.5" customHeight="1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</row>
    <row r="140" spans="1:26" ht="13.5" customHeight="1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</row>
    <row r="141" spans="1:26" ht="13.5" customHeight="1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</row>
    <row r="142" spans="1:26" ht="13.5" customHeight="1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</row>
    <row r="143" spans="1:26" ht="13.5" customHeight="1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</row>
    <row r="144" spans="1:26" ht="13.5" customHeight="1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</row>
    <row r="145" spans="1:26" ht="13.5" customHeight="1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</row>
    <row r="146" spans="1:26" ht="13.5" customHeight="1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</row>
    <row r="147" spans="1:26" ht="13.5" customHeight="1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</row>
    <row r="148" spans="1:26" ht="13.5" customHeight="1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</row>
    <row r="149" spans="1:26" ht="13.5" customHeight="1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</row>
    <row r="150" spans="1:26" ht="13.5" customHeight="1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</row>
    <row r="151" spans="1:26" ht="13.5" customHeight="1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</row>
    <row r="152" spans="1:26" ht="13.5" customHeight="1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</row>
    <row r="153" spans="1:26" ht="13.5" customHeight="1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</row>
    <row r="154" spans="1:26" ht="13.5" customHeight="1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</row>
    <row r="155" spans="1:26" ht="13.5" customHeight="1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</row>
    <row r="156" spans="1:26" ht="13.5" customHeight="1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</row>
    <row r="157" spans="1:26" ht="13.5" customHeight="1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</row>
    <row r="158" spans="1:26" ht="13.5" customHeight="1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</row>
    <row r="159" spans="1:26" ht="13.5" customHeight="1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</row>
    <row r="160" spans="1:26" ht="13.5" customHeight="1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</row>
    <row r="161" spans="1:26" ht="13.5" customHeight="1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</row>
    <row r="162" spans="1:26" ht="13.5" customHeight="1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</row>
    <row r="163" spans="1:26" ht="13.5" customHeight="1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</row>
    <row r="164" spans="1:26" ht="13.5" customHeight="1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</row>
    <row r="165" spans="1:26" ht="13.5" customHeight="1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</row>
    <row r="166" spans="1:26" ht="13.5" customHeight="1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</row>
    <row r="167" spans="1:26" ht="13.5" customHeight="1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</row>
    <row r="168" spans="1:26" ht="13.5" customHeight="1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</row>
    <row r="169" spans="1:26" ht="13.5" customHeight="1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</row>
    <row r="170" spans="1:26" ht="13.5" customHeight="1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</row>
    <row r="171" spans="1:26" ht="13.5" customHeight="1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</row>
    <row r="172" spans="1:26" ht="13.5" customHeight="1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</row>
    <row r="173" spans="1:26" ht="13.5" customHeight="1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</row>
    <row r="174" spans="1:26" ht="13.5" customHeight="1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</row>
    <row r="175" spans="1:26" ht="13.5" customHeight="1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</row>
    <row r="176" spans="1:26" ht="13.5" customHeight="1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</row>
    <row r="177" spans="1:26" ht="13.5" customHeight="1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</row>
    <row r="178" spans="1:26" ht="13.5" customHeight="1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</row>
    <row r="179" spans="1:26" ht="13.5" customHeight="1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</row>
    <row r="180" spans="1:26" ht="13.5" customHeight="1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</row>
    <row r="181" spans="1:26" ht="13.5" customHeight="1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</row>
    <row r="182" spans="1:26" ht="13.5" customHeight="1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</row>
    <row r="183" spans="1:26" ht="13.5" customHeight="1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</row>
    <row r="184" spans="1:26" ht="13.5" customHeight="1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</row>
    <row r="185" spans="1:26" ht="13.5" customHeight="1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</row>
    <row r="186" spans="1:26" ht="13.5" customHeight="1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</row>
    <row r="187" spans="1:26" ht="13.5" customHeight="1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</row>
    <row r="188" spans="1:26" ht="13.5" customHeight="1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</row>
    <row r="189" spans="1:26" ht="13.5" customHeight="1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</row>
    <row r="190" spans="1:26" ht="13.5" customHeight="1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</row>
    <row r="191" spans="1:26" ht="13.5" customHeight="1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</row>
    <row r="192" spans="1:26" ht="13.5" customHeight="1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</row>
    <row r="193" spans="1:26" ht="13.5" customHeight="1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</row>
    <row r="194" spans="1:26" ht="13.5" customHeight="1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</row>
    <row r="195" spans="1:26" ht="13.5" customHeight="1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</row>
    <row r="196" spans="1:26" ht="13.5" customHeight="1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</row>
    <row r="197" spans="1:26" ht="13.5" customHeight="1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</row>
    <row r="198" spans="1:26" ht="13.5" customHeight="1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</row>
    <row r="199" spans="1:26" ht="13.5" customHeight="1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</row>
    <row r="200" spans="1:26" ht="13.5" customHeight="1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</row>
    <row r="201" spans="1:26" ht="13.5" customHeight="1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</row>
    <row r="202" spans="1:26" ht="13.5" customHeight="1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</row>
    <row r="203" spans="1:26" ht="13.5" customHeight="1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</row>
    <row r="204" spans="1:26" ht="13.5" customHeight="1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</row>
    <row r="205" spans="1:26" ht="13.5" customHeight="1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</row>
    <row r="206" spans="1:26" ht="13.5" customHeight="1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</row>
    <row r="207" spans="1:26" ht="13.5" customHeight="1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</row>
    <row r="208" spans="1:26" ht="13.5" customHeight="1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</row>
    <row r="209" spans="1:26" ht="13.5" customHeight="1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</row>
    <row r="210" spans="1:26" ht="13.5" customHeight="1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</row>
    <row r="211" spans="1:26" ht="13.5" customHeight="1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</row>
    <row r="212" spans="1:26" ht="13.5" customHeight="1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</row>
    <row r="213" spans="1:26" ht="13.5" customHeight="1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</row>
    <row r="214" spans="1:26" ht="13.5" customHeight="1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</row>
    <row r="215" spans="1:26" ht="13.5" customHeight="1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</row>
    <row r="216" spans="1:26" ht="13.5" customHeight="1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</row>
    <row r="217" spans="1:26" ht="13.5" customHeight="1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</row>
    <row r="218" spans="1:26" ht="13.5" customHeight="1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</row>
    <row r="219" spans="1:26" ht="13.5" customHeight="1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</row>
    <row r="220" spans="1:26" ht="13.5" customHeight="1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</row>
    <row r="221" spans="1:26" ht="13.5" customHeight="1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</row>
    <row r="222" spans="1:26" ht="13.5" customHeight="1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</row>
    <row r="223" spans="1:26" ht="13.5" customHeight="1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</row>
    <row r="224" spans="1:26" ht="13.5" customHeight="1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</row>
    <row r="225" spans="1:26" ht="13.5" customHeight="1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</row>
    <row r="226" spans="1:26" ht="13.5" customHeight="1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</row>
    <row r="227" spans="1:26" ht="13.5" customHeight="1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</row>
    <row r="228" spans="1:26" ht="13.5" customHeight="1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</row>
    <row r="229" spans="1:26" ht="13.5" customHeight="1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</row>
    <row r="230" spans="1:26" ht="13.5" customHeight="1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</row>
    <row r="231" spans="1:26" ht="13.5" customHeight="1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</row>
    <row r="232" spans="1:26" ht="13.5" customHeight="1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</row>
    <row r="233" spans="1:26" ht="13.5" customHeight="1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</row>
    <row r="234" spans="1:26" ht="13.5" customHeight="1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</row>
    <row r="235" spans="1:26" ht="13.5" customHeight="1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</row>
    <row r="236" spans="1:26" ht="13.5" customHeight="1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</row>
    <row r="237" spans="1:26" ht="13.5" customHeight="1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</row>
    <row r="238" spans="1:26" ht="13.5" customHeight="1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</row>
    <row r="239" spans="1:26" ht="13.5" customHeight="1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</row>
    <row r="240" spans="1:26" ht="13.5" customHeight="1">
      <c r="A240" s="53"/>
      <c r="B240" s="53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</row>
    <row r="241" spans="1:26" ht="13.5" customHeight="1">
      <c r="A241" s="53"/>
      <c r="B241" s="53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</row>
    <row r="242" spans="1:26" ht="13.5" customHeight="1">
      <c r="A242" s="53"/>
      <c r="B242" s="53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</row>
    <row r="243" spans="1:26" ht="13.5" customHeight="1">
      <c r="A243" s="53"/>
      <c r="B243" s="53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</row>
    <row r="244" spans="1:26" ht="13.5" customHeight="1">
      <c r="A244" s="53"/>
      <c r="B244" s="53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</row>
    <row r="245" spans="1:26" ht="13.5" customHeight="1">
      <c r="A245" s="53"/>
      <c r="B245" s="53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</row>
    <row r="246" spans="1:26" ht="13.5" customHeight="1">
      <c r="A246" s="53"/>
      <c r="B246" s="53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</row>
    <row r="247" spans="1:26" ht="13.5" customHeight="1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</row>
    <row r="248" spans="1:26" ht="13.5" customHeight="1">
      <c r="A248" s="53"/>
      <c r="B248" s="53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</row>
    <row r="249" spans="1:26" ht="13.5" customHeight="1">
      <c r="A249" s="53"/>
      <c r="B249" s="53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</row>
    <row r="250" spans="1:26" ht="13.5" customHeight="1">
      <c r="A250" s="53"/>
      <c r="B250" s="53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</row>
    <row r="251" spans="1:26" ht="13.5" customHeight="1">
      <c r="A251" s="53"/>
      <c r="B251" s="53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</row>
    <row r="252" spans="1:26" ht="13.5" customHeight="1">
      <c r="A252" s="53"/>
      <c r="B252" s="53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</row>
    <row r="253" spans="1:26" ht="13.5" customHeight="1">
      <c r="A253" s="53"/>
      <c r="B253" s="53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</row>
    <row r="254" spans="1:26" ht="13.5" customHeight="1">
      <c r="A254" s="53"/>
      <c r="B254" s="53"/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</row>
    <row r="255" spans="1:26" ht="13.5" customHeight="1">
      <c r="A255" s="53"/>
      <c r="B255" s="53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</row>
    <row r="256" spans="1:26" ht="13.5" customHeight="1">
      <c r="A256" s="53"/>
      <c r="B256" s="53"/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</row>
    <row r="257" spans="1:26" ht="13.5" customHeight="1">
      <c r="A257" s="53"/>
      <c r="B257" s="53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</row>
    <row r="258" spans="1:26" ht="13.5" customHeight="1">
      <c r="A258" s="53"/>
      <c r="B258" s="53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</row>
    <row r="259" spans="1:26" ht="13.5" customHeight="1">
      <c r="A259" s="53"/>
      <c r="B259" s="53"/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</row>
    <row r="260" spans="1:26" ht="13.5" customHeight="1">
      <c r="A260" s="53"/>
      <c r="B260" s="53"/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</row>
    <row r="261" spans="1:26" ht="13.5" customHeight="1">
      <c r="A261" s="53"/>
      <c r="B261" s="53"/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</row>
    <row r="262" spans="1:26" ht="13.5" customHeight="1">
      <c r="A262" s="53"/>
      <c r="B262" s="53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</row>
    <row r="263" spans="1:26" ht="13.5" customHeight="1">
      <c r="A263" s="53"/>
      <c r="B263" s="53"/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</row>
    <row r="264" spans="1:26" ht="13.5" customHeight="1">
      <c r="A264" s="53"/>
      <c r="B264" s="53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</row>
    <row r="265" spans="1:26" ht="13.5" customHeight="1">
      <c r="A265" s="53"/>
      <c r="B265" s="53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</row>
    <row r="266" spans="1:26" ht="13.5" customHeight="1">
      <c r="A266" s="53"/>
      <c r="B266" s="53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</row>
    <row r="267" spans="1:26" ht="13.5" customHeight="1">
      <c r="A267" s="53"/>
      <c r="B267" s="53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</row>
    <row r="268" spans="1:26" ht="13.5" customHeight="1">
      <c r="A268" s="53"/>
      <c r="B268" s="53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</row>
    <row r="269" spans="1:26" ht="13.5" customHeight="1">
      <c r="A269" s="53"/>
      <c r="B269" s="53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</row>
    <row r="270" spans="1:26" ht="13.5" customHeight="1">
      <c r="A270" s="53"/>
      <c r="B270" s="53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</row>
    <row r="271" spans="1:26" ht="13.5" customHeight="1">
      <c r="A271" s="53"/>
      <c r="B271" s="53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</row>
    <row r="272" spans="1:26" ht="13.5" customHeight="1">
      <c r="A272" s="53"/>
      <c r="B272" s="53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</row>
    <row r="273" spans="1:26" ht="13.5" customHeight="1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</row>
    <row r="274" spans="1:26" ht="13.5" customHeight="1">
      <c r="A274" s="53"/>
      <c r="B274" s="53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</row>
    <row r="275" spans="1:26" ht="13.5" customHeight="1">
      <c r="A275" s="53"/>
      <c r="B275" s="53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</row>
    <row r="276" spans="1:26" ht="13.5" customHeight="1">
      <c r="A276" s="53"/>
      <c r="B276" s="53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</row>
    <row r="277" spans="1:26" ht="13.5" customHeight="1">
      <c r="A277" s="53"/>
      <c r="B277" s="53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</row>
    <row r="278" spans="1:26" ht="13.5" customHeight="1">
      <c r="A278" s="53"/>
      <c r="B278" s="53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</row>
    <row r="279" spans="1:26" ht="13.5" customHeight="1">
      <c r="A279" s="53"/>
      <c r="B279" s="53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</row>
    <row r="280" spans="1:26" ht="13.5" customHeight="1">
      <c r="A280" s="53"/>
      <c r="B280" s="53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</row>
    <row r="281" spans="1:26" ht="13.5" customHeight="1">
      <c r="A281" s="53"/>
      <c r="B281" s="53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</row>
    <row r="282" spans="1:26" ht="13.5" customHeight="1">
      <c r="A282" s="53"/>
      <c r="B282" s="53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</row>
    <row r="283" spans="1:26" ht="13.5" customHeight="1">
      <c r="A283" s="53"/>
      <c r="B283" s="53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</row>
    <row r="284" spans="1:26" ht="13.5" customHeight="1">
      <c r="A284" s="53"/>
      <c r="B284" s="53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</row>
    <row r="285" spans="1:26" ht="13.5" customHeight="1">
      <c r="A285" s="53"/>
      <c r="B285" s="53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</row>
    <row r="286" spans="1:26" ht="13.5" customHeight="1">
      <c r="A286" s="53"/>
      <c r="B286" s="53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</row>
    <row r="287" spans="1:26" ht="13.5" customHeight="1">
      <c r="A287" s="53"/>
      <c r="B287" s="53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</row>
    <row r="288" spans="1:26" ht="13.5" customHeight="1">
      <c r="A288" s="53"/>
      <c r="B288" s="53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</row>
    <row r="289" spans="1:26" ht="13.5" customHeight="1">
      <c r="A289" s="53"/>
      <c r="B289" s="53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</row>
    <row r="290" spans="1:26" ht="13.5" customHeight="1">
      <c r="A290" s="53"/>
      <c r="B290" s="53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</row>
    <row r="291" spans="1:26" ht="13.5" customHeight="1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</row>
    <row r="292" spans="1:26" ht="13.5" customHeight="1">
      <c r="A292" s="53"/>
      <c r="B292" s="53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</row>
    <row r="293" spans="1:26" ht="13.5" customHeight="1">
      <c r="A293" s="53"/>
      <c r="B293" s="53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</row>
    <row r="294" spans="1:26" ht="13.5" customHeight="1">
      <c r="A294" s="53"/>
      <c r="B294" s="53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</row>
    <row r="295" spans="1:26" ht="13.5" customHeight="1">
      <c r="A295" s="53"/>
      <c r="B295" s="53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</row>
    <row r="296" spans="1:26" ht="13.5" customHeight="1">
      <c r="A296" s="53"/>
      <c r="B296" s="53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</row>
    <row r="297" spans="1:26" ht="13.5" customHeight="1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</row>
    <row r="298" spans="1:26" ht="13.5" customHeight="1">
      <c r="A298" s="53"/>
      <c r="B298" s="53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</row>
    <row r="299" spans="1:26" ht="13.5" customHeight="1">
      <c r="A299" s="53"/>
      <c r="B299" s="53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</row>
    <row r="300" spans="1:26" ht="13.5" customHeight="1">
      <c r="A300" s="53"/>
      <c r="B300" s="53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</row>
    <row r="301" spans="1:26" ht="13.5" customHeight="1">
      <c r="A301" s="53"/>
      <c r="B301" s="53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</row>
    <row r="302" spans="1:26" ht="13.5" customHeight="1">
      <c r="A302" s="53"/>
      <c r="B302" s="53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</row>
    <row r="303" spans="1:26" ht="13.5" customHeight="1">
      <c r="A303" s="53"/>
      <c r="B303" s="53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</row>
    <row r="304" spans="1:26" ht="13.5" customHeight="1">
      <c r="A304" s="53"/>
      <c r="B304" s="53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</row>
    <row r="305" spans="1:26" ht="13.5" customHeight="1">
      <c r="A305" s="53"/>
      <c r="B305" s="53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</row>
    <row r="306" spans="1:26" ht="13.5" customHeight="1">
      <c r="A306" s="53"/>
      <c r="B306" s="53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</row>
    <row r="307" spans="1:26" ht="13.5" customHeight="1">
      <c r="A307" s="53"/>
      <c r="B307" s="53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</row>
    <row r="308" spans="1:26" ht="13.5" customHeight="1">
      <c r="A308" s="53"/>
      <c r="B308" s="53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</row>
    <row r="309" spans="1:26" ht="13.5" customHeight="1">
      <c r="A309" s="53"/>
      <c r="B309" s="53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</row>
    <row r="310" spans="1:26" ht="13.5" customHeight="1">
      <c r="A310" s="53"/>
      <c r="B310" s="53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</row>
    <row r="311" spans="1:26" ht="13.5" customHeight="1">
      <c r="A311" s="53"/>
      <c r="B311" s="53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</row>
    <row r="312" spans="1:26" ht="13.5" customHeight="1">
      <c r="A312" s="53"/>
      <c r="B312" s="53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</row>
    <row r="313" spans="1:26" ht="13.5" customHeight="1">
      <c r="A313" s="53"/>
      <c r="B313" s="53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</row>
    <row r="314" spans="1:26" ht="13.5" customHeight="1">
      <c r="A314" s="53"/>
      <c r="B314" s="53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</row>
    <row r="315" spans="1:26" ht="13.5" customHeight="1">
      <c r="A315" s="53"/>
      <c r="B315" s="53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</row>
    <row r="316" spans="1:26" ht="13.5" customHeight="1">
      <c r="A316" s="53"/>
      <c r="B316" s="53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</row>
    <row r="317" spans="1:26" ht="13.5" customHeight="1">
      <c r="A317" s="53"/>
      <c r="B317" s="53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</row>
    <row r="318" spans="1:26" ht="13.5" customHeight="1">
      <c r="A318" s="53"/>
      <c r="B318" s="53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</row>
    <row r="319" spans="1:26" ht="13.5" customHeight="1">
      <c r="A319" s="53"/>
      <c r="B319" s="53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</row>
    <row r="320" spans="1:26" ht="13.5" customHeight="1">
      <c r="A320" s="53"/>
      <c r="B320" s="53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</row>
    <row r="321" spans="1:26" ht="13.5" customHeight="1">
      <c r="A321" s="53"/>
      <c r="B321" s="53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</row>
    <row r="322" spans="1:26" ht="13.5" customHeight="1">
      <c r="A322" s="53"/>
      <c r="B322" s="53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</row>
    <row r="323" spans="1:26" ht="13.5" customHeight="1">
      <c r="A323" s="53"/>
      <c r="B323" s="53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</row>
    <row r="324" spans="1:26" ht="13.5" customHeight="1">
      <c r="A324" s="53"/>
      <c r="B324" s="53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</row>
    <row r="325" spans="1:26" ht="13.5" customHeight="1">
      <c r="A325" s="53"/>
      <c r="B325" s="53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</row>
    <row r="326" spans="1:26" ht="13.5" customHeight="1">
      <c r="A326" s="53"/>
      <c r="B326" s="53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</row>
    <row r="327" spans="1:26" ht="13.5" customHeight="1">
      <c r="A327" s="53"/>
      <c r="B327" s="53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</row>
    <row r="328" spans="1:26" ht="13.5" customHeight="1">
      <c r="A328" s="53"/>
      <c r="B328" s="53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</row>
    <row r="329" spans="1:26" ht="13.5" customHeight="1">
      <c r="A329" s="53"/>
      <c r="B329" s="53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</row>
    <row r="330" spans="1:26" ht="13.5" customHeight="1">
      <c r="A330" s="53"/>
      <c r="B330" s="53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</row>
    <row r="331" spans="1:26" ht="13.5" customHeight="1">
      <c r="A331" s="53"/>
      <c r="B331" s="53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</row>
    <row r="332" spans="1:26" ht="13.5" customHeight="1">
      <c r="A332" s="53"/>
      <c r="B332" s="53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</row>
    <row r="333" spans="1:26" ht="13.5" customHeight="1">
      <c r="A333" s="53"/>
      <c r="B333" s="53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</row>
    <row r="334" spans="1:26" ht="13.5" customHeight="1">
      <c r="A334" s="53"/>
      <c r="B334" s="53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</row>
    <row r="335" spans="1:26" ht="13.5" customHeight="1">
      <c r="A335" s="53"/>
      <c r="B335" s="53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</row>
    <row r="336" spans="1:26" ht="13.5" customHeight="1">
      <c r="A336" s="53"/>
      <c r="B336" s="53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</row>
    <row r="337" spans="1:26" ht="13.5" customHeight="1">
      <c r="A337" s="53"/>
      <c r="B337" s="53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</row>
    <row r="338" spans="1:26" ht="13.5" customHeight="1">
      <c r="A338" s="53"/>
      <c r="B338" s="53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</row>
    <row r="339" spans="1:26" ht="13.5" customHeight="1">
      <c r="A339" s="53"/>
      <c r="B339" s="53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</row>
    <row r="340" spans="1:26" ht="13.5" customHeight="1">
      <c r="A340" s="53"/>
      <c r="B340" s="53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</row>
    <row r="341" spans="1:26" ht="13.5" customHeight="1">
      <c r="A341" s="53"/>
      <c r="B341" s="53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</row>
    <row r="342" spans="1:26" ht="13.5" customHeight="1">
      <c r="A342" s="53"/>
      <c r="B342" s="53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</row>
    <row r="343" spans="1:26" ht="13.5" customHeight="1">
      <c r="A343" s="53"/>
      <c r="B343" s="53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</row>
    <row r="344" spans="1:26" ht="13.5" customHeight="1">
      <c r="A344" s="53"/>
      <c r="B344" s="53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</row>
    <row r="345" spans="1:26" ht="13.5" customHeight="1">
      <c r="A345" s="53"/>
      <c r="B345" s="53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</row>
    <row r="346" spans="1:26" ht="13.5" customHeight="1">
      <c r="A346" s="53"/>
      <c r="B346" s="53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</row>
    <row r="347" spans="1:26" ht="13.5" customHeight="1">
      <c r="A347" s="53"/>
      <c r="B347" s="53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</row>
    <row r="348" spans="1:26" ht="13.5" customHeight="1">
      <c r="A348" s="53"/>
      <c r="B348" s="53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</row>
    <row r="349" spans="1:26" ht="13.5" customHeight="1">
      <c r="A349" s="53"/>
      <c r="B349" s="53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</row>
    <row r="350" spans="1:26" ht="13.5" customHeight="1">
      <c r="A350" s="53"/>
      <c r="B350" s="53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</row>
    <row r="351" spans="1:26" ht="13.5" customHeight="1">
      <c r="A351" s="53"/>
      <c r="B351" s="53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</row>
    <row r="352" spans="1:26" ht="13.5" customHeight="1">
      <c r="A352" s="53"/>
      <c r="B352" s="53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</row>
    <row r="353" spans="1:26" ht="13.5" customHeight="1">
      <c r="A353" s="53"/>
      <c r="B353" s="53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</row>
    <row r="354" spans="1:26" ht="13.5" customHeight="1">
      <c r="A354" s="53"/>
      <c r="B354" s="53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</row>
    <row r="355" spans="1:26" ht="13.5" customHeight="1">
      <c r="A355" s="53"/>
      <c r="B355" s="53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</row>
    <row r="356" spans="1:26" ht="13.5" customHeight="1">
      <c r="A356" s="53"/>
      <c r="B356" s="53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</row>
    <row r="357" spans="1:26" ht="13.5" customHeight="1">
      <c r="A357" s="53"/>
      <c r="B357" s="53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</row>
    <row r="358" spans="1:26" ht="13.5" customHeight="1">
      <c r="A358" s="53"/>
      <c r="B358" s="53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</row>
    <row r="359" spans="1:26" ht="13.5" customHeight="1">
      <c r="A359" s="53"/>
      <c r="B359" s="53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</row>
    <row r="360" spans="1:26" ht="13.5" customHeight="1">
      <c r="A360" s="53"/>
      <c r="B360" s="53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</row>
    <row r="361" spans="1:26" ht="13.5" customHeight="1">
      <c r="A361" s="53"/>
      <c r="B361" s="53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</row>
    <row r="362" spans="1:26" ht="13.5" customHeight="1">
      <c r="A362" s="53"/>
      <c r="B362" s="53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</row>
    <row r="363" spans="1:26" ht="13.5" customHeight="1">
      <c r="A363" s="53"/>
      <c r="B363" s="53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</row>
    <row r="364" spans="1:26" ht="13.5" customHeight="1">
      <c r="A364" s="53"/>
      <c r="B364" s="53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</row>
    <row r="365" spans="1:26" ht="13.5" customHeight="1">
      <c r="A365" s="53"/>
      <c r="B365" s="53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</row>
    <row r="366" spans="1:26" ht="13.5" customHeight="1">
      <c r="A366" s="53"/>
      <c r="B366" s="53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</row>
    <row r="367" spans="1:26" ht="13.5" customHeight="1">
      <c r="A367" s="53"/>
      <c r="B367" s="53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</row>
    <row r="368" spans="1:26" ht="13.5" customHeight="1">
      <c r="A368" s="53"/>
      <c r="B368" s="53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</row>
    <row r="369" spans="1:26" ht="13.5" customHeight="1">
      <c r="A369" s="53"/>
      <c r="B369" s="53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</row>
    <row r="370" spans="1:26" ht="13.5" customHeight="1">
      <c r="A370" s="53"/>
      <c r="B370" s="53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</row>
    <row r="371" spans="1:26" ht="13.5" customHeight="1">
      <c r="A371" s="53"/>
      <c r="B371" s="53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</row>
    <row r="372" spans="1:26" ht="13.5" customHeight="1">
      <c r="A372" s="53"/>
      <c r="B372" s="53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</row>
    <row r="373" spans="1:26" ht="13.5" customHeight="1">
      <c r="A373" s="53"/>
      <c r="B373" s="53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</row>
    <row r="374" spans="1:26" ht="13.5" customHeight="1">
      <c r="A374" s="53"/>
      <c r="B374" s="53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</row>
    <row r="375" spans="1:26" ht="13.5" customHeight="1">
      <c r="A375" s="53"/>
      <c r="B375" s="53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</row>
    <row r="376" spans="1:26" ht="13.5" customHeight="1">
      <c r="A376" s="53"/>
      <c r="B376" s="53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</row>
    <row r="377" spans="1:26" ht="13.5" customHeight="1">
      <c r="A377" s="53"/>
      <c r="B377" s="53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</row>
    <row r="378" spans="1:26" ht="13.5" customHeight="1">
      <c r="A378" s="53"/>
      <c r="B378" s="53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</row>
    <row r="379" spans="1:26" ht="13.5" customHeight="1">
      <c r="A379" s="53"/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</row>
    <row r="380" spans="1:26" ht="13.5" customHeight="1">
      <c r="A380" s="53"/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</row>
    <row r="381" spans="1:26" ht="13.5" customHeight="1">
      <c r="A381" s="53"/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</row>
    <row r="382" spans="1:26" ht="13.5" customHeight="1">
      <c r="A382" s="53"/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</row>
    <row r="383" spans="1:26" ht="13.5" customHeight="1">
      <c r="A383" s="53"/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</row>
    <row r="384" spans="1:26" ht="13.5" customHeight="1">
      <c r="A384" s="53"/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</row>
    <row r="385" spans="1:26" ht="13.5" customHeight="1">
      <c r="A385" s="53"/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</row>
    <row r="386" spans="1:26" ht="13.5" customHeight="1">
      <c r="A386" s="53"/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</row>
    <row r="387" spans="1:26" ht="13.5" customHeight="1">
      <c r="A387" s="53"/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</row>
    <row r="388" spans="1:26" ht="13.5" customHeight="1">
      <c r="A388" s="53"/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</row>
    <row r="389" spans="1:26" ht="13.5" customHeight="1">
      <c r="A389" s="53"/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</row>
    <row r="390" spans="1:26" ht="13.5" customHeight="1">
      <c r="A390" s="53"/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</row>
    <row r="391" spans="1:26" ht="13.5" customHeight="1">
      <c r="A391" s="53"/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</row>
    <row r="392" spans="1:26" ht="13.5" customHeight="1">
      <c r="A392" s="53"/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</row>
    <row r="393" spans="1:26" ht="13.5" customHeight="1">
      <c r="A393" s="53"/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</row>
    <row r="394" spans="1:26" ht="13.5" customHeight="1">
      <c r="A394" s="53"/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</row>
    <row r="395" spans="1:26" ht="13.5" customHeight="1">
      <c r="A395" s="53"/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</row>
    <row r="396" spans="1:26" ht="13.5" customHeight="1">
      <c r="A396" s="53"/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</row>
    <row r="397" spans="1:26" ht="13.5" customHeight="1">
      <c r="A397" s="53"/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</row>
    <row r="398" spans="1:26" ht="13.5" customHeight="1">
      <c r="A398" s="53"/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</row>
    <row r="399" spans="1:26" ht="13.5" customHeight="1">
      <c r="A399" s="53"/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</row>
    <row r="400" spans="1:26" ht="13.5" customHeight="1">
      <c r="A400" s="53"/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</row>
    <row r="401" spans="1:26" ht="13.5" customHeight="1">
      <c r="A401" s="53"/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</row>
    <row r="402" spans="1:26" ht="13.5" customHeight="1">
      <c r="A402" s="53"/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</row>
    <row r="403" spans="1:26" ht="13.5" customHeight="1">
      <c r="A403" s="53"/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</row>
    <row r="404" spans="1:26" ht="13.5" customHeight="1">
      <c r="A404" s="53"/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</row>
    <row r="405" spans="1:26" ht="13.5" customHeight="1">
      <c r="A405" s="53"/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</row>
    <row r="406" spans="1:26" ht="13.5" customHeight="1">
      <c r="A406" s="53"/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</row>
    <row r="407" spans="1:26" ht="13.5" customHeight="1">
      <c r="A407" s="53"/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</row>
    <row r="408" spans="1:26" ht="13.5" customHeight="1">
      <c r="A408" s="53"/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</row>
    <row r="409" spans="1:26" ht="13.5" customHeight="1">
      <c r="A409" s="53"/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</row>
    <row r="410" spans="1:26" ht="13.5" customHeight="1">
      <c r="A410" s="53"/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</row>
    <row r="411" spans="1:26" ht="13.5" customHeight="1">
      <c r="A411" s="53"/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</row>
    <row r="412" spans="1:26" ht="13.5" customHeight="1">
      <c r="A412" s="53"/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</row>
    <row r="413" spans="1:26" ht="13.5" customHeight="1">
      <c r="A413" s="53"/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</row>
    <row r="414" spans="1:26" ht="13.5" customHeight="1">
      <c r="A414" s="53"/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</row>
    <row r="415" spans="1:26" ht="13.5" customHeight="1">
      <c r="A415" s="53"/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</row>
    <row r="416" spans="1:26" ht="13.5" customHeight="1">
      <c r="A416" s="53"/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</row>
    <row r="417" spans="1:26" ht="13.5" customHeight="1">
      <c r="A417" s="53"/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</row>
    <row r="418" spans="1:26" ht="13.5" customHeight="1">
      <c r="A418" s="53"/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</row>
    <row r="419" spans="1:26" ht="13.5" customHeight="1">
      <c r="A419" s="53"/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</row>
    <row r="420" spans="1:26" ht="13.5" customHeight="1">
      <c r="A420" s="53"/>
      <c r="B420" s="53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</row>
    <row r="421" spans="1:26" ht="13.5" customHeight="1">
      <c r="A421" s="53"/>
      <c r="B421" s="53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</row>
    <row r="422" spans="1:26" ht="13.5" customHeight="1">
      <c r="A422" s="53"/>
      <c r="B422" s="53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</row>
    <row r="423" spans="1:26" ht="13.5" customHeight="1">
      <c r="A423" s="53"/>
      <c r="B423" s="53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</row>
    <row r="424" spans="1:26" ht="13.5" customHeight="1">
      <c r="A424" s="53"/>
      <c r="B424" s="53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</row>
    <row r="425" spans="1:26" ht="13.5" customHeight="1">
      <c r="A425" s="53"/>
      <c r="B425" s="53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</row>
    <row r="426" spans="1:26" ht="13.5" customHeight="1">
      <c r="A426" s="53"/>
      <c r="B426" s="53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</row>
    <row r="427" spans="1:26" ht="13.5" customHeight="1">
      <c r="A427" s="53"/>
      <c r="B427" s="53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</row>
    <row r="428" spans="1:26" ht="13.5" customHeight="1">
      <c r="A428" s="53"/>
      <c r="B428" s="53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</row>
    <row r="429" spans="1:26" ht="13.5" customHeight="1">
      <c r="A429" s="53"/>
      <c r="B429" s="53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</row>
    <row r="430" spans="1:26" ht="13.5" customHeight="1">
      <c r="A430" s="53"/>
      <c r="B430" s="53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</row>
    <row r="431" spans="1:26" ht="13.5" customHeight="1">
      <c r="A431" s="53"/>
      <c r="B431" s="53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</row>
    <row r="432" spans="1:26" ht="13.5" customHeight="1">
      <c r="A432" s="53"/>
      <c r="B432" s="53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</row>
    <row r="433" spans="1:26" ht="13.5" customHeight="1">
      <c r="A433" s="53"/>
      <c r="B433" s="53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</row>
    <row r="434" spans="1:26" ht="13.5" customHeight="1">
      <c r="A434" s="53"/>
      <c r="B434" s="53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</row>
    <row r="435" spans="1:26" ht="13.5" customHeight="1">
      <c r="A435" s="53"/>
      <c r="B435" s="53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</row>
    <row r="436" spans="1:26" ht="13.5" customHeight="1">
      <c r="A436" s="53"/>
      <c r="B436" s="53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</row>
    <row r="437" spans="1:26" ht="13.5" customHeight="1">
      <c r="A437" s="53"/>
      <c r="B437" s="53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</row>
    <row r="438" spans="1:26" ht="13.5" customHeight="1">
      <c r="A438" s="53"/>
      <c r="B438" s="53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</row>
    <row r="439" spans="1:26" ht="13.5" customHeight="1">
      <c r="A439" s="53"/>
      <c r="B439" s="53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</row>
    <row r="440" spans="1:26" ht="13.5" customHeight="1">
      <c r="A440" s="53"/>
      <c r="B440" s="53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</row>
    <row r="441" spans="1:26" ht="13.5" customHeight="1">
      <c r="A441" s="53"/>
      <c r="B441" s="53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</row>
    <row r="442" spans="1:26" ht="13.5" customHeight="1">
      <c r="A442" s="53"/>
      <c r="B442" s="53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</row>
    <row r="443" spans="1:26" ht="13.5" customHeight="1">
      <c r="A443" s="53"/>
      <c r="B443" s="53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</row>
    <row r="444" spans="1:26" ht="13.5" customHeight="1">
      <c r="A444" s="53"/>
      <c r="B444" s="53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</row>
    <row r="445" spans="1:26" ht="13.5" customHeight="1">
      <c r="A445" s="53"/>
      <c r="B445" s="53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</row>
    <row r="446" spans="1:26" ht="13.5" customHeight="1">
      <c r="A446" s="53"/>
      <c r="B446" s="53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</row>
    <row r="447" spans="1:26" ht="13.5" customHeight="1">
      <c r="A447" s="53"/>
      <c r="B447" s="53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</row>
    <row r="448" spans="1:26" ht="13.5" customHeight="1">
      <c r="A448" s="53"/>
      <c r="B448" s="53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</row>
    <row r="449" spans="1:26" ht="13.5" customHeight="1">
      <c r="A449" s="53"/>
      <c r="B449" s="53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</row>
    <row r="450" spans="1:26" ht="13.5" customHeight="1">
      <c r="A450" s="53"/>
      <c r="B450" s="53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</row>
    <row r="451" spans="1:26" ht="13.5" customHeight="1">
      <c r="A451" s="53"/>
      <c r="B451" s="53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</row>
    <row r="452" spans="1:26" ht="13.5" customHeight="1">
      <c r="A452" s="53"/>
      <c r="B452" s="53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</row>
    <row r="453" spans="1:26" ht="13.5" customHeight="1">
      <c r="A453" s="53"/>
      <c r="B453" s="53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</row>
    <row r="454" spans="1:26" ht="13.5" customHeight="1">
      <c r="A454" s="53"/>
      <c r="B454" s="53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</row>
    <row r="455" spans="1:26" ht="13.5" customHeight="1">
      <c r="A455" s="53"/>
      <c r="B455" s="53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</row>
    <row r="456" spans="1:26" ht="13.5" customHeight="1">
      <c r="A456" s="53"/>
      <c r="B456" s="53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</row>
    <row r="457" spans="1:26" ht="13.5" customHeight="1">
      <c r="A457" s="53"/>
      <c r="B457" s="53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</row>
    <row r="458" spans="1:26" ht="13.5" customHeight="1">
      <c r="A458" s="53"/>
      <c r="B458" s="53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</row>
    <row r="459" spans="1:26" ht="13.5" customHeight="1">
      <c r="A459" s="53"/>
      <c r="B459" s="53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</row>
    <row r="460" spans="1:26" ht="13.5" customHeight="1">
      <c r="A460" s="53"/>
      <c r="B460" s="53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</row>
    <row r="461" spans="1:26" ht="13.5" customHeight="1">
      <c r="A461" s="53"/>
      <c r="B461" s="53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</row>
    <row r="462" spans="1:26" ht="13.5" customHeight="1">
      <c r="A462" s="53"/>
      <c r="B462" s="53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</row>
    <row r="463" spans="1:26" ht="13.5" customHeight="1">
      <c r="A463" s="53"/>
      <c r="B463" s="53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</row>
    <row r="464" spans="1:26" ht="13.5" customHeight="1">
      <c r="A464" s="53"/>
      <c r="B464" s="53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</row>
    <row r="465" spans="1:26" ht="13.5" customHeight="1">
      <c r="A465" s="53"/>
      <c r="B465" s="53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</row>
    <row r="466" spans="1:26" ht="13.5" customHeight="1">
      <c r="A466" s="53"/>
      <c r="B466" s="53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</row>
    <row r="467" spans="1:26" ht="13.5" customHeight="1">
      <c r="A467" s="53"/>
      <c r="B467" s="53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</row>
    <row r="468" spans="1:26" ht="13.5" customHeight="1">
      <c r="A468" s="53"/>
      <c r="B468" s="53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</row>
    <row r="469" spans="1:26" ht="13.5" customHeight="1">
      <c r="A469" s="53"/>
      <c r="B469" s="53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</row>
    <row r="470" spans="1:26" ht="13.5" customHeight="1">
      <c r="A470" s="53"/>
      <c r="B470" s="53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</row>
    <row r="471" spans="1:26" ht="13.5" customHeight="1">
      <c r="A471" s="53"/>
      <c r="B471" s="53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</row>
    <row r="472" spans="1:26" ht="13.5" customHeight="1">
      <c r="A472" s="53"/>
      <c r="B472" s="53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</row>
    <row r="473" spans="1:26" ht="13.5" customHeight="1">
      <c r="A473" s="53"/>
      <c r="B473" s="53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</row>
    <row r="474" spans="1:26" ht="13.5" customHeight="1">
      <c r="A474" s="53"/>
      <c r="B474" s="53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</row>
    <row r="475" spans="1:26" ht="13.5" customHeight="1">
      <c r="A475" s="53"/>
      <c r="B475" s="53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</row>
    <row r="476" spans="1:26" ht="13.5" customHeight="1">
      <c r="A476" s="53"/>
      <c r="B476" s="53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</row>
    <row r="477" spans="1:26" ht="13.5" customHeight="1">
      <c r="A477" s="53"/>
      <c r="B477" s="53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</row>
    <row r="478" spans="1:26" ht="13.5" customHeight="1">
      <c r="A478" s="53"/>
      <c r="B478" s="53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</row>
    <row r="479" spans="1:26" ht="13.5" customHeight="1">
      <c r="A479" s="53"/>
      <c r="B479" s="53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</row>
    <row r="480" spans="1:26" ht="13.5" customHeight="1">
      <c r="A480" s="53"/>
      <c r="B480" s="53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</row>
    <row r="481" spans="1:26" ht="13.5" customHeight="1">
      <c r="A481" s="53"/>
      <c r="B481" s="53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</row>
    <row r="482" spans="1:26" ht="13.5" customHeight="1">
      <c r="A482" s="53"/>
      <c r="B482" s="53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</row>
    <row r="483" spans="1:26" ht="13.5" customHeight="1">
      <c r="A483" s="53"/>
      <c r="B483" s="53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</row>
    <row r="484" spans="1:26" ht="13.5" customHeight="1">
      <c r="A484" s="53"/>
      <c r="B484" s="53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</row>
    <row r="485" spans="1:26" ht="13.5" customHeight="1">
      <c r="A485" s="53"/>
      <c r="B485" s="53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</row>
    <row r="486" spans="1:26" ht="13.5" customHeight="1">
      <c r="A486" s="53"/>
      <c r="B486" s="53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</row>
    <row r="487" spans="1:26" ht="13.5" customHeight="1">
      <c r="A487" s="53"/>
      <c r="B487" s="53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</row>
    <row r="488" spans="1:26" ht="13.5" customHeight="1">
      <c r="A488" s="53"/>
      <c r="B488" s="53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</row>
    <row r="489" spans="1:26" ht="13.5" customHeight="1">
      <c r="A489" s="53"/>
      <c r="B489" s="53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</row>
    <row r="490" spans="1:26" ht="13.5" customHeight="1">
      <c r="A490" s="53"/>
      <c r="B490" s="53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</row>
    <row r="491" spans="1:26" ht="13.5" customHeight="1">
      <c r="A491" s="53"/>
      <c r="B491" s="53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</row>
    <row r="492" spans="1:26" ht="13.5" customHeight="1">
      <c r="A492" s="53"/>
      <c r="B492" s="53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</row>
    <row r="493" spans="1:26" ht="13.5" customHeight="1">
      <c r="A493" s="53"/>
      <c r="B493" s="53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</row>
    <row r="494" spans="1:26" ht="13.5" customHeight="1">
      <c r="A494" s="53"/>
      <c r="B494" s="53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</row>
    <row r="495" spans="1:26" ht="13.5" customHeight="1">
      <c r="A495" s="53"/>
      <c r="B495" s="53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</row>
    <row r="496" spans="1:26" ht="13.5" customHeight="1">
      <c r="A496" s="53"/>
      <c r="B496" s="53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</row>
    <row r="497" spans="1:26" ht="13.5" customHeight="1">
      <c r="A497" s="53"/>
      <c r="B497" s="53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</row>
    <row r="498" spans="1:26" ht="13.5" customHeight="1">
      <c r="A498" s="53"/>
      <c r="B498" s="53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</row>
    <row r="499" spans="1:26" ht="13.5" customHeight="1">
      <c r="A499" s="53"/>
      <c r="B499" s="53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</row>
    <row r="500" spans="1:26" ht="13.5" customHeight="1">
      <c r="A500" s="53"/>
      <c r="B500" s="53"/>
      <c r="C500" s="53"/>
      <c r="D500" s="53"/>
      <c r="E500" s="53"/>
      <c r="F500" s="53"/>
      <c r="G500" s="53"/>
      <c r="H500" s="53"/>
      <c r="I500" s="53"/>
      <c r="J500" s="53"/>
      <c r="K500" s="53"/>
      <c r="L500" s="53"/>
      <c r="M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</row>
    <row r="501" spans="1:26" ht="13.5" customHeight="1">
      <c r="A501" s="53"/>
      <c r="B501" s="53"/>
      <c r="C501" s="53"/>
      <c r="D501" s="53"/>
      <c r="E501" s="53"/>
      <c r="F501" s="53"/>
      <c r="G501" s="53"/>
      <c r="H501" s="53"/>
      <c r="I501" s="53"/>
      <c r="J501" s="53"/>
      <c r="K501" s="53"/>
      <c r="L501" s="53"/>
      <c r="M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</row>
    <row r="502" spans="1:26" ht="13.5" customHeight="1">
      <c r="A502" s="53"/>
      <c r="B502" s="53"/>
      <c r="C502" s="53"/>
      <c r="D502" s="53"/>
      <c r="E502" s="53"/>
      <c r="F502" s="53"/>
      <c r="G502" s="53"/>
      <c r="H502" s="53"/>
      <c r="I502" s="53"/>
      <c r="J502" s="53"/>
      <c r="K502" s="53"/>
      <c r="L502" s="53"/>
      <c r="M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</row>
    <row r="503" spans="1:26" ht="13.5" customHeight="1">
      <c r="A503" s="53"/>
      <c r="B503" s="53"/>
      <c r="C503" s="53"/>
      <c r="D503" s="53"/>
      <c r="E503" s="53"/>
      <c r="F503" s="53"/>
      <c r="G503" s="53"/>
      <c r="H503" s="53"/>
      <c r="I503" s="53"/>
      <c r="J503" s="53"/>
      <c r="K503" s="53"/>
      <c r="L503" s="53"/>
      <c r="M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</row>
    <row r="504" spans="1:26" ht="13.5" customHeight="1">
      <c r="A504" s="53"/>
      <c r="B504" s="53"/>
      <c r="C504" s="53"/>
      <c r="D504" s="53"/>
      <c r="E504" s="53"/>
      <c r="F504" s="53"/>
      <c r="G504" s="53"/>
      <c r="H504" s="53"/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</row>
    <row r="505" spans="1:26" ht="13.5" customHeight="1">
      <c r="A505" s="53"/>
      <c r="B505" s="53"/>
      <c r="C505" s="53"/>
      <c r="D505" s="53"/>
      <c r="E505" s="53"/>
      <c r="F505" s="53"/>
      <c r="G505" s="53"/>
      <c r="H505" s="53"/>
      <c r="I505" s="53"/>
      <c r="J505" s="53"/>
      <c r="K505" s="53"/>
      <c r="L505" s="53"/>
      <c r="M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</row>
    <row r="506" spans="1:26" ht="13.5" customHeight="1">
      <c r="A506" s="53"/>
      <c r="B506" s="53"/>
      <c r="C506" s="53"/>
      <c r="D506" s="53"/>
      <c r="E506" s="53"/>
      <c r="F506" s="53"/>
      <c r="G506" s="53"/>
      <c r="H506" s="53"/>
      <c r="I506" s="53"/>
      <c r="J506" s="53"/>
      <c r="K506" s="53"/>
      <c r="L506" s="53"/>
      <c r="M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</row>
    <row r="507" spans="1:26" ht="13.5" customHeight="1">
      <c r="A507" s="53"/>
      <c r="B507" s="53"/>
      <c r="C507" s="53"/>
      <c r="D507" s="53"/>
      <c r="E507" s="53"/>
      <c r="F507" s="53"/>
      <c r="G507" s="53"/>
      <c r="H507" s="53"/>
      <c r="I507" s="53"/>
      <c r="J507" s="53"/>
      <c r="K507" s="53"/>
      <c r="L507" s="53"/>
      <c r="M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</row>
    <row r="508" spans="1:26" ht="13.5" customHeight="1">
      <c r="A508" s="53"/>
      <c r="B508" s="53"/>
      <c r="C508" s="53"/>
      <c r="D508" s="53"/>
      <c r="E508" s="53"/>
      <c r="F508" s="53"/>
      <c r="G508" s="53"/>
      <c r="H508" s="53"/>
      <c r="I508" s="53"/>
      <c r="J508" s="53"/>
      <c r="K508" s="53"/>
      <c r="L508" s="53"/>
      <c r="M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</row>
    <row r="509" spans="1:26" ht="13.5" customHeight="1">
      <c r="A509" s="53"/>
      <c r="B509" s="53"/>
      <c r="C509" s="53"/>
      <c r="D509" s="53"/>
      <c r="E509" s="53"/>
      <c r="F509" s="53"/>
      <c r="G509" s="53"/>
      <c r="H509" s="53"/>
      <c r="I509" s="53"/>
      <c r="J509" s="53"/>
      <c r="K509" s="53"/>
      <c r="L509" s="53"/>
      <c r="M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</row>
    <row r="510" spans="1:26" ht="13.5" customHeight="1">
      <c r="A510" s="53"/>
      <c r="B510" s="53"/>
      <c r="C510" s="53"/>
      <c r="D510" s="53"/>
      <c r="E510" s="53"/>
      <c r="F510" s="53"/>
      <c r="G510" s="53"/>
      <c r="H510" s="53"/>
      <c r="I510" s="53"/>
      <c r="J510" s="53"/>
      <c r="K510" s="53"/>
      <c r="L510" s="53"/>
      <c r="M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</row>
    <row r="511" spans="1:26" ht="13.5" customHeight="1">
      <c r="A511" s="53"/>
      <c r="B511" s="53"/>
      <c r="C511" s="53"/>
      <c r="D511" s="53"/>
      <c r="E511" s="53"/>
      <c r="F511" s="53"/>
      <c r="G511" s="53"/>
      <c r="H511" s="53"/>
      <c r="I511" s="53"/>
      <c r="J511" s="53"/>
      <c r="K511" s="53"/>
      <c r="L511" s="53"/>
      <c r="M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</row>
    <row r="512" spans="1:26" ht="13.5" customHeight="1">
      <c r="A512" s="53"/>
      <c r="B512" s="53"/>
      <c r="C512" s="53"/>
      <c r="D512" s="53"/>
      <c r="E512" s="53"/>
      <c r="F512" s="53"/>
      <c r="G512" s="53"/>
      <c r="H512" s="53"/>
      <c r="I512" s="53"/>
      <c r="J512" s="53"/>
      <c r="K512" s="53"/>
      <c r="L512" s="53"/>
      <c r="M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</row>
    <row r="513" spans="1:26" ht="13.5" customHeight="1">
      <c r="A513" s="53"/>
      <c r="B513" s="53"/>
      <c r="C513" s="53"/>
      <c r="D513" s="53"/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</row>
    <row r="514" spans="1:26" ht="13.5" customHeight="1">
      <c r="A514" s="53"/>
      <c r="B514" s="53"/>
      <c r="C514" s="53"/>
      <c r="D514" s="53"/>
      <c r="E514" s="53"/>
      <c r="F514" s="53"/>
      <c r="G514" s="53"/>
      <c r="H514" s="53"/>
      <c r="I514" s="53"/>
      <c r="J514" s="53"/>
      <c r="K514" s="53"/>
      <c r="L514" s="53"/>
      <c r="M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</row>
    <row r="515" spans="1:26" ht="13.5" customHeight="1">
      <c r="A515" s="53"/>
      <c r="B515" s="53"/>
      <c r="C515" s="53"/>
      <c r="D515" s="53"/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</row>
    <row r="516" spans="1:26" ht="13.5" customHeight="1">
      <c r="A516" s="53"/>
      <c r="B516" s="53"/>
      <c r="C516" s="53"/>
      <c r="D516" s="53"/>
      <c r="E516" s="53"/>
      <c r="F516" s="53"/>
      <c r="G516" s="53"/>
      <c r="H516" s="53"/>
      <c r="I516" s="53"/>
      <c r="J516" s="53"/>
      <c r="K516" s="53"/>
      <c r="L516" s="53"/>
      <c r="M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</row>
    <row r="517" spans="1:26" ht="13.5" customHeight="1">
      <c r="A517" s="53"/>
      <c r="B517" s="53"/>
      <c r="C517" s="53"/>
      <c r="D517" s="53"/>
      <c r="E517" s="53"/>
      <c r="F517" s="53"/>
      <c r="G517" s="53"/>
      <c r="H517" s="53"/>
      <c r="I517" s="53"/>
      <c r="J517" s="53"/>
      <c r="K517" s="53"/>
      <c r="L517" s="53"/>
      <c r="M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</row>
    <row r="518" spans="1:26" ht="13.5" customHeight="1">
      <c r="A518" s="53"/>
      <c r="B518" s="53"/>
      <c r="C518" s="53"/>
      <c r="D518" s="53"/>
      <c r="E518" s="53"/>
      <c r="F518" s="53"/>
      <c r="G518" s="53"/>
      <c r="H518" s="53"/>
      <c r="I518" s="53"/>
      <c r="J518" s="53"/>
      <c r="K518" s="53"/>
      <c r="L518" s="53"/>
      <c r="M518" s="53"/>
      <c r="N518" s="53"/>
      <c r="O518" s="53"/>
      <c r="P518" s="53"/>
      <c r="Q518" s="53"/>
      <c r="R518" s="53"/>
      <c r="S518" s="53"/>
      <c r="T518" s="53"/>
      <c r="U518" s="53"/>
      <c r="V518" s="53"/>
      <c r="W518" s="53"/>
      <c r="X518" s="53"/>
      <c r="Y518" s="53"/>
      <c r="Z518" s="53"/>
    </row>
    <row r="519" spans="1:26" ht="13.5" customHeight="1">
      <c r="A519" s="53"/>
      <c r="B519" s="53"/>
      <c r="C519" s="53"/>
      <c r="D519" s="53"/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  <c r="R519" s="53"/>
      <c r="S519" s="53"/>
      <c r="T519" s="53"/>
      <c r="U519" s="53"/>
      <c r="V519" s="53"/>
      <c r="W519" s="53"/>
      <c r="X519" s="53"/>
      <c r="Y519" s="53"/>
      <c r="Z519" s="53"/>
    </row>
    <row r="520" spans="1:26" ht="13.5" customHeight="1">
      <c r="A520" s="53"/>
      <c r="B520" s="53"/>
      <c r="C520" s="53"/>
      <c r="D520" s="53"/>
      <c r="E520" s="53"/>
      <c r="F520" s="53"/>
      <c r="G520" s="53"/>
      <c r="H520" s="53"/>
      <c r="I520" s="53"/>
      <c r="J520" s="53"/>
      <c r="K520" s="53"/>
      <c r="L520" s="53"/>
      <c r="M520" s="53"/>
      <c r="N520" s="53"/>
      <c r="O520" s="53"/>
      <c r="P520" s="53"/>
      <c r="Q520" s="53"/>
      <c r="R520" s="53"/>
      <c r="S520" s="53"/>
      <c r="T520" s="53"/>
      <c r="U520" s="53"/>
      <c r="V520" s="53"/>
      <c r="W520" s="53"/>
      <c r="X520" s="53"/>
      <c r="Y520" s="53"/>
      <c r="Z520" s="53"/>
    </row>
    <row r="521" spans="1:26" ht="13.5" customHeight="1">
      <c r="A521" s="53"/>
      <c r="B521" s="53"/>
      <c r="C521" s="53"/>
      <c r="D521" s="53"/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  <c r="R521" s="53"/>
      <c r="S521" s="53"/>
      <c r="T521" s="53"/>
      <c r="U521" s="53"/>
      <c r="V521" s="53"/>
      <c r="W521" s="53"/>
      <c r="X521" s="53"/>
      <c r="Y521" s="53"/>
      <c r="Z521" s="53"/>
    </row>
    <row r="522" spans="1:26" ht="13.5" customHeight="1">
      <c r="A522" s="53"/>
      <c r="B522" s="53"/>
      <c r="C522" s="53"/>
      <c r="D522" s="53"/>
      <c r="E522" s="53"/>
      <c r="F522" s="53"/>
      <c r="G522" s="53"/>
      <c r="H522" s="53"/>
      <c r="I522" s="53"/>
      <c r="J522" s="53"/>
      <c r="K522" s="53"/>
      <c r="L522" s="53"/>
      <c r="M522" s="53"/>
      <c r="N522" s="53"/>
      <c r="O522" s="53"/>
      <c r="P522" s="53"/>
      <c r="Q522" s="53"/>
      <c r="R522" s="53"/>
      <c r="S522" s="53"/>
      <c r="T522" s="53"/>
      <c r="U522" s="53"/>
      <c r="V522" s="53"/>
      <c r="W522" s="53"/>
      <c r="X522" s="53"/>
      <c r="Y522" s="53"/>
      <c r="Z522" s="53"/>
    </row>
    <row r="523" spans="1:26" ht="13.5" customHeight="1">
      <c r="A523" s="53"/>
      <c r="B523" s="53"/>
      <c r="C523" s="53"/>
      <c r="D523" s="53"/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  <c r="R523" s="53"/>
      <c r="S523" s="53"/>
      <c r="T523" s="53"/>
      <c r="U523" s="53"/>
      <c r="V523" s="53"/>
      <c r="W523" s="53"/>
      <c r="X523" s="53"/>
      <c r="Y523" s="53"/>
      <c r="Z523" s="53"/>
    </row>
    <row r="524" spans="1:26" ht="13.5" customHeight="1">
      <c r="A524" s="53"/>
      <c r="B524" s="53"/>
      <c r="C524" s="53"/>
      <c r="D524" s="53"/>
      <c r="E524" s="53"/>
      <c r="F524" s="53"/>
      <c r="G524" s="53"/>
      <c r="H524" s="53"/>
      <c r="I524" s="53"/>
      <c r="J524" s="53"/>
      <c r="K524" s="53"/>
      <c r="L524" s="53"/>
      <c r="M524" s="53"/>
      <c r="N524" s="53"/>
      <c r="O524" s="53"/>
      <c r="P524" s="53"/>
      <c r="Q524" s="53"/>
      <c r="R524" s="53"/>
      <c r="S524" s="53"/>
      <c r="T524" s="53"/>
      <c r="U524" s="53"/>
      <c r="V524" s="53"/>
      <c r="W524" s="53"/>
      <c r="X524" s="53"/>
      <c r="Y524" s="53"/>
      <c r="Z524" s="53"/>
    </row>
    <row r="525" spans="1:26" ht="13.5" customHeight="1">
      <c r="A525" s="53"/>
      <c r="B525" s="53"/>
      <c r="C525" s="53"/>
      <c r="D525" s="53"/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  <c r="R525" s="53"/>
      <c r="S525" s="53"/>
      <c r="T525" s="53"/>
      <c r="U525" s="53"/>
      <c r="V525" s="53"/>
      <c r="W525" s="53"/>
      <c r="X525" s="53"/>
      <c r="Y525" s="53"/>
      <c r="Z525" s="53"/>
    </row>
    <row r="526" spans="1:26" ht="13.5" customHeight="1">
      <c r="A526" s="53"/>
      <c r="B526" s="53"/>
      <c r="C526" s="53"/>
      <c r="D526" s="53"/>
      <c r="E526" s="53"/>
      <c r="F526" s="53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  <c r="R526" s="53"/>
      <c r="S526" s="53"/>
      <c r="T526" s="53"/>
      <c r="U526" s="53"/>
      <c r="V526" s="53"/>
      <c r="W526" s="53"/>
      <c r="X526" s="53"/>
      <c r="Y526" s="53"/>
      <c r="Z526" s="53"/>
    </row>
    <row r="527" spans="1:26" ht="13.5" customHeight="1">
      <c r="A527" s="53"/>
      <c r="B527" s="53"/>
      <c r="C527" s="53"/>
      <c r="D527" s="53"/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3"/>
      <c r="S527" s="53"/>
      <c r="T527" s="53"/>
      <c r="U527" s="53"/>
      <c r="V527" s="53"/>
      <c r="W527" s="53"/>
      <c r="X527" s="53"/>
      <c r="Y527" s="53"/>
      <c r="Z527" s="53"/>
    </row>
    <row r="528" spans="1:26" ht="13.5" customHeight="1">
      <c r="A528" s="53"/>
      <c r="B528" s="53"/>
      <c r="C528" s="53"/>
      <c r="D528" s="53"/>
      <c r="E528" s="53"/>
      <c r="F528" s="53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3"/>
      <c r="R528" s="53"/>
      <c r="S528" s="53"/>
      <c r="T528" s="53"/>
      <c r="U528" s="53"/>
      <c r="V528" s="53"/>
      <c r="W528" s="53"/>
      <c r="X528" s="53"/>
      <c r="Y528" s="53"/>
      <c r="Z528" s="53"/>
    </row>
    <row r="529" spans="1:26" ht="13.5" customHeight="1">
      <c r="A529" s="53"/>
      <c r="B529" s="53"/>
      <c r="C529" s="53"/>
      <c r="D529" s="53"/>
      <c r="E529" s="53"/>
      <c r="F529" s="53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53"/>
      <c r="U529" s="53"/>
      <c r="V529" s="53"/>
      <c r="W529" s="53"/>
      <c r="X529" s="53"/>
      <c r="Y529" s="53"/>
      <c r="Z529" s="53"/>
    </row>
    <row r="530" spans="1:26" ht="13.5" customHeight="1">
      <c r="A530" s="53"/>
      <c r="B530" s="53"/>
      <c r="C530" s="53"/>
      <c r="D530" s="53"/>
      <c r="E530" s="53"/>
      <c r="F530" s="53"/>
      <c r="G530" s="53"/>
      <c r="H530" s="53"/>
      <c r="I530" s="53"/>
      <c r="J530" s="53"/>
      <c r="K530" s="53"/>
      <c r="L530" s="53"/>
      <c r="M530" s="53"/>
      <c r="N530" s="53"/>
      <c r="O530" s="53"/>
      <c r="P530" s="53"/>
      <c r="Q530" s="53"/>
      <c r="R530" s="53"/>
      <c r="S530" s="53"/>
      <c r="T530" s="53"/>
      <c r="U530" s="53"/>
      <c r="V530" s="53"/>
      <c r="W530" s="53"/>
      <c r="X530" s="53"/>
      <c r="Y530" s="53"/>
      <c r="Z530" s="53"/>
    </row>
    <row r="531" spans="1:26" ht="13.5" customHeight="1">
      <c r="A531" s="53"/>
      <c r="B531" s="53"/>
      <c r="C531" s="53"/>
      <c r="D531" s="53"/>
      <c r="E531" s="53"/>
      <c r="F531" s="53"/>
      <c r="G531" s="53"/>
      <c r="H531" s="53"/>
      <c r="I531" s="53"/>
      <c r="J531" s="53"/>
      <c r="K531" s="53"/>
      <c r="L531" s="53"/>
      <c r="M531" s="53"/>
      <c r="N531" s="53"/>
      <c r="O531" s="53"/>
      <c r="P531" s="53"/>
      <c r="Q531" s="53"/>
      <c r="R531" s="53"/>
      <c r="S531" s="53"/>
      <c r="T531" s="53"/>
      <c r="U531" s="53"/>
      <c r="V531" s="53"/>
      <c r="W531" s="53"/>
      <c r="X531" s="53"/>
      <c r="Y531" s="53"/>
      <c r="Z531" s="53"/>
    </row>
    <row r="532" spans="1:26" ht="13.5" customHeight="1">
      <c r="A532" s="53"/>
      <c r="B532" s="53"/>
      <c r="C532" s="53"/>
      <c r="D532" s="53"/>
      <c r="E532" s="53"/>
      <c r="F532" s="53"/>
      <c r="G532" s="53"/>
      <c r="H532" s="53"/>
      <c r="I532" s="53"/>
      <c r="J532" s="53"/>
      <c r="K532" s="53"/>
      <c r="L532" s="53"/>
      <c r="M532" s="53"/>
      <c r="N532" s="53"/>
      <c r="O532" s="53"/>
      <c r="P532" s="53"/>
      <c r="Q532" s="53"/>
      <c r="R532" s="53"/>
      <c r="S532" s="53"/>
      <c r="T532" s="53"/>
      <c r="U532" s="53"/>
      <c r="V532" s="53"/>
      <c r="W532" s="53"/>
      <c r="X532" s="53"/>
      <c r="Y532" s="53"/>
      <c r="Z532" s="53"/>
    </row>
    <row r="533" spans="1:26" ht="13.5" customHeight="1">
      <c r="A533" s="53"/>
      <c r="B533" s="53"/>
      <c r="C533" s="53"/>
      <c r="D533" s="53"/>
      <c r="E533" s="53"/>
      <c r="F533" s="53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3"/>
      <c r="R533" s="53"/>
      <c r="S533" s="53"/>
      <c r="T533" s="53"/>
      <c r="U533" s="53"/>
      <c r="V533" s="53"/>
      <c r="W533" s="53"/>
      <c r="X533" s="53"/>
      <c r="Y533" s="53"/>
      <c r="Z533" s="53"/>
    </row>
    <row r="534" spans="1:26" ht="13.5" customHeight="1">
      <c r="A534" s="53"/>
      <c r="B534" s="53"/>
      <c r="C534" s="53"/>
      <c r="D534" s="53"/>
      <c r="E534" s="53"/>
      <c r="F534" s="53"/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</row>
    <row r="535" spans="1:26" ht="13.5" customHeight="1">
      <c r="A535" s="53"/>
      <c r="B535" s="53"/>
      <c r="C535" s="53"/>
      <c r="D535" s="53"/>
      <c r="E535" s="53"/>
      <c r="F535" s="53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3"/>
      <c r="R535" s="53"/>
      <c r="S535" s="53"/>
      <c r="T535" s="53"/>
      <c r="U535" s="53"/>
      <c r="V535" s="53"/>
      <c r="W535" s="53"/>
      <c r="X535" s="53"/>
      <c r="Y535" s="53"/>
      <c r="Z535" s="53"/>
    </row>
    <row r="536" spans="1:26" ht="13.5" customHeight="1">
      <c r="A536" s="53"/>
      <c r="B536" s="53"/>
      <c r="C536" s="53"/>
      <c r="D536" s="53"/>
      <c r="E536" s="53"/>
      <c r="F536" s="53"/>
      <c r="G536" s="53"/>
      <c r="H536" s="53"/>
      <c r="I536" s="53"/>
      <c r="J536" s="53"/>
      <c r="K536" s="53"/>
      <c r="L536" s="53"/>
      <c r="M536" s="53"/>
      <c r="N536" s="53"/>
      <c r="O536" s="53"/>
      <c r="P536" s="53"/>
      <c r="Q536" s="53"/>
      <c r="R536" s="53"/>
      <c r="S536" s="53"/>
      <c r="T536" s="53"/>
      <c r="U536" s="53"/>
      <c r="V536" s="53"/>
      <c r="W536" s="53"/>
      <c r="X536" s="53"/>
      <c r="Y536" s="53"/>
      <c r="Z536" s="53"/>
    </row>
    <row r="537" spans="1:26" ht="13.5" customHeight="1">
      <c r="A537" s="53"/>
      <c r="B537" s="53"/>
      <c r="C537" s="53"/>
      <c r="D537" s="53"/>
      <c r="E537" s="53"/>
      <c r="F537" s="53"/>
      <c r="G537" s="53"/>
      <c r="H537" s="53"/>
      <c r="I537" s="53"/>
      <c r="J537" s="53"/>
      <c r="K537" s="53"/>
      <c r="L537" s="53"/>
      <c r="M537" s="53"/>
      <c r="N537" s="53"/>
      <c r="O537" s="53"/>
      <c r="P537" s="53"/>
      <c r="Q537" s="53"/>
      <c r="R537" s="53"/>
      <c r="S537" s="53"/>
      <c r="T537" s="53"/>
      <c r="U537" s="53"/>
      <c r="V537" s="53"/>
      <c r="W537" s="53"/>
      <c r="X537" s="53"/>
      <c r="Y537" s="53"/>
      <c r="Z537" s="53"/>
    </row>
    <row r="538" spans="1:26" ht="13.5" customHeight="1">
      <c r="A538" s="53"/>
      <c r="B538" s="53"/>
      <c r="C538" s="53"/>
      <c r="D538" s="53"/>
      <c r="E538" s="53"/>
      <c r="F538" s="53"/>
      <c r="G538" s="53"/>
      <c r="H538" s="53"/>
      <c r="I538" s="53"/>
      <c r="J538" s="53"/>
      <c r="K538" s="53"/>
      <c r="L538" s="53"/>
      <c r="M538" s="53"/>
      <c r="N538" s="53"/>
      <c r="O538" s="53"/>
      <c r="P538" s="53"/>
      <c r="Q538" s="53"/>
      <c r="R538" s="53"/>
      <c r="S538" s="53"/>
      <c r="T538" s="53"/>
      <c r="U538" s="53"/>
      <c r="V538" s="53"/>
      <c r="W538" s="53"/>
      <c r="X538" s="53"/>
      <c r="Y538" s="53"/>
      <c r="Z538" s="53"/>
    </row>
    <row r="539" spans="1:26" ht="13.5" customHeight="1">
      <c r="A539" s="53"/>
      <c r="B539" s="53"/>
      <c r="C539" s="53"/>
      <c r="D539" s="53"/>
      <c r="E539" s="53"/>
      <c r="F539" s="53"/>
      <c r="G539" s="53"/>
      <c r="H539" s="53"/>
      <c r="I539" s="53"/>
      <c r="J539" s="53"/>
      <c r="K539" s="53"/>
      <c r="L539" s="53"/>
      <c r="M539" s="53"/>
      <c r="N539" s="53"/>
      <c r="O539" s="53"/>
      <c r="P539" s="53"/>
      <c r="Q539" s="53"/>
      <c r="R539" s="53"/>
      <c r="S539" s="53"/>
      <c r="T539" s="53"/>
      <c r="U539" s="53"/>
      <c r="V539" s="53"/>
      <c r="W539" s="53"/>
      <c r="X539" s="53"/>
      <c r="Y539" s="53"/>
      <c r="Z539" s="53"/>
    </row>
    <row r="540" spans="1:26" ht="13.5" customHeight="1">
      <c r="A540" s="53"/>
      <c r="B540" s="53"/>
      <c r="C540" s="53"/>
      <c r="D540" s="53"/>
      <c r="E540" s="53"/>
      <c r="F540" s="53"/>
      <c r="G540" s="53"/>
      <c r="H540" s="53"/>
      <c r="I540" s="53"/>
      <c r="J540" s="53"/>
      <c r="K540" s="53"/>
      <c r="L540" s="53"/>
      <c r="M540" s="53"/>
      <c r="N540" s="53"/>
      <c r="O540" s="53"/>
      <c r="P540" s="53"/>
      <c r="Q540" s="53"/>
      <c r="R540" s="53"/>
      <c r="S540" s="53"/>
      <c r="T540" s="53"/>
      <c r="U540" s="53"/>
      <c r="V540" s="53"/>
      <c r="W540" s="53"/>
      <c r="X540" s="53"/>
      <c r="Y540" s="53"/>
      <c r="Z540" s="53"/>
    </row>
    <row r="541" spans="1:26" ht="13.5" customHeight="1">
      <c r="A541" s="53"/>
      <c r="B541" s="53"/>
      <c r="C541" s="53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3"/>
      <c r="V541" s="53"/>
      <c r="W541" s="53"/>
      <c r="X541" s="53"/>
      <c r="Y541" s="53"/>
      <c r="Z541" s="53"/>
    </row>
    <row r="542" spans="1:26" ht="13.5" customHeight="1">
      <c r="A542" s="53"/>
      <c r="B542" s="53"/>
      <c r="C542" s="53"/>
      <c r="D542" s="53"/>
      <c r="E542" s="53"/>
      <c r="F542" s="53"/>
      <c r="G542" s="53"/>
      <c r="H542" s="53"/>
      <c r="I542" s="53"/>
      <c r="J542" s="53"/>
      <c r="K542" s="53"/>
      <c r="L542" s="53"/>
      <c r="M542" s="53"/>
      <c r="N542" s="53"/>
      <c r="O542" s="53"/>
      <c r="P542" s="53"/>
      <c r="Q542" s="53"/>
      <c r="R542" s="53"/>
      <c r="S542" s="53"/>
      <c r="T542" s="53"/>
      <c r="U542" s="53"/>
      <c r="V542" s="53"/>
      <c r="W542" s="53"/>
      <c r="X542" s="53"/>
      <c r="Y542" s="53"/>
      <c r="Z542" s="53"/>
    </row>
    <row r="543" spans="1:26" ht="13.5" customHeight="1">
      <c r="A543" s="53"/>
      <c r="B543" s="53"/>
      <c r="C543" s="53"/>
      <c r="D543" s="53"/>
      <c r="E543" s="53"/>
      <c r="F543" s="53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  <c r="R543" s="53"/>
      <c r="S543" s="53"/>
      <c r="T543" s="53"/>
      <c r="U543" s="53"/>
      <c r="V543" s="53"/>
      <c r="W543" s="53"/>
      <c r="X543" s="53"/>
      <c r="Y543" s="53"/>
      <c r="Z543" s="53"/>
    </row>
    <row r="544" spans="1:26" ht="13.5" customHeight="1">
      <c r="A544" s="53"/>
      <c r="B544" s="53"/>
      <c r="C544" s="53"/>
      <c r="D544" s="53"/>
      <c r="E544" s="53"/>
      <c r="F544" s="53"/>
      <c r="G544" s="53"/>
      <c r="H544" s="53"/>
      <c r="I544" s="53"/>
      <c r="J544" s="53"/>
      <c r="K544" s="53"/>
      <c r="L544" s="53"/>
      <c r="M544" s="53"/>
      <c r="N544" s="53"/>
      <c r="O544" s="53"/>
      <c r="P544" s="53"/>
      <c r="Q544" s="53"/>
      <c r="R544" s="53"/>
      <c r="S544" s="53"/>
      <c r="T544" s="53"/>
      <c r="U544" s="53"/>
      <c r="V544" s="53"/>
      <c r="W544" s="53"/>
      <c r="X544" s="53"/>
      <c r="Y544" s="53"/>
      <c r="Z544" s="53"/>
    </row>
    <row r="545" spans="1:26" ht="13.5" customHeight="1">
      <c r="A545" s="53"/>
      <c r="B545" s="53"/>
      <c r="C545" s="53"/>
      <c r="D545" s="53"/>
      <c r="E545" s="53"/>
      <c r="F545" s="53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3"/>
      <c r="R545" s="53"/>
      <c r="S545" s="53"/>
      <c r="T545" s="53"/>
      <c r="U545" s="53"/>
      <c r="V545" s="53"/>
      <c r="W545" s="53"/>
      <c r="X545" s="53"/>
      <c r="Y545" s="53"/>
      <c r="Z545" s="53"/>
    </row>
    <row r="546" spans="1:26" ht="13.5" customHeight="1">
      <c r="A546" s="53"/>
      <c r="B546" s="53"/>
      <c r="C546" s="53"/>
      <c r="D546" s="53"/>
      <c r="E546" s="53"/>
      <c r="F546" s="53"/>
      <c r="G546" s="53"/>
      <c r="H546" s="53"/>
      <c r="I546" s="53"/>
      <c r="J546" s="53"/>
      <c r="K546" s="53"/>
      <c r="L546" s="53"/>
      <c r="M546" s="53"/>
      <c r="N546" s="53"/>
      <c r="O546" s="53"/>
      <c r="P546" s="53"/>
      <c r="Q546" s="53"/>
      <c r="R546" s="53"/>
      <c r="S546" s="53"/>
      <c r="T546" s="53"/>
      <c r="U546" s="53"/>
      <c r="V546" s="53"/>
      <c r="W546" s="53"/>
      <c r="X546" s="53"/>
      <c r="Y546" s="53"/>
      <c r="Z546" s="53"/>
    </row>
    <row r="547" spans="1:26" ht="13.5" customHeight="1">
      <c r="A547" s="53"/>
      <c r="B547" s="53"/>
      <c r="C547" s="53"/>
      <c r="D547" s="53"/>
      <c r="E547" s="53"/>
      <c r="F547" s="53"/>
      <c r="G547" s="53"/>
      <c r="H547" s="53"/>
      <c r="I547" s="53"/>
      <c r="J547" s="53"/>
      <c r="K547" s="53"/>
      <c r="L547" s="53"/>
      <c r="M547" s="53"/>
      <c r="N547" s="53"/>
      <c r="O547" s="53"/>
      <c r="P547" s="53"/>
      <c r="Q547" s="53"/>
      <c r="R547" s="53"/>
      <c r="S547" s="53"/>
      <c r="T547" s="53"/>
      <c r="U547" s="53"/>
      <c r="V547" s="53"/>
      <c r="W547" s="53"/>
      <c r="X547" s="53"/>
      <c r="Y547" s="53"/>
      <c r="Z547" s="53"/>
    </row>
    <row r="548" spans="1:26" ht="13.5" customHeight="1">
      <c r="A548" s="53"/>
      <c r="B548" s="53"/>
      <c r="C548" s="53"/>
      <c r="D548" s="53"/>
      <c r="E548" s="53"/>
      <c r="F548" s="53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  <c r="R548" s="53"/>
      <c r="S548" s="53"/>
      <c r="T548" s="53"/>
      <c r="U548" s="53"/>
      <c r="V548" s="53"/>
      <c r="W548" s="53"/>
      <c r="X548" s="53"/>
      <c r="Y548" s="53"/>
      <c r="Z548" s="53"/>
    </row>
    <row r="549" spans="1:26" ht="13.5" customHeight="1">
      <c r="A549" s="53"/>
      <c r="B549" s="53"/>
      <c r="C549" s="53"/>
      <c r="D549" s="53"/>
      <c r="E549" s="53"/>
      <c r="F549" s="53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  <c r="R549" s="53"/>
      <c r="S549" s="53"/>
      <c r="T549" s="53"/>
      <c r="U549" s="53"/>
      <c r="V549" s="53"/>
      <c r="W549" s="53"/>
      <c r="X549" s="53"/>
      <c r="Y549" s="53"/>
      <c r="Z549" s="53"/>
    </row>
    <row r="550" spans="1:26" ht="13.5" customHeight="1">
      <c r="A550" s="53"/>
      <c r="B550" s="53"/>
      <c r="C550" s="53"/>
      <c r="D550" s="53"/>
      <c r="E550" s="53"/>
      <c r="F550" s="53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  <c r="R550" s="53"/>
      <c r="S550" s="53"/>
      <c r="T550" s="53"/>
      <c r="U550" s="53"/>
      <c r="V550" s="53"/>
      <c r="W550" s="53"/>
      <c r="X550" s="53"/>
      <c r="Y550" s="53"/>
      <c r="Z550" s="53"/>
    </row>
    <row r="551" spans="1:26" ht="13.5" customHeight="1">
      <c r="A551" s="53"/>
      <c r="B551" s="53"/>
      <c r="C551" s="53"/>
      <c r="D551" s="53"/>
      <c r="E551" s="53"/>
      <c r="F551" s="53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  <c r="R551" s="53"/>
      <c r="S551" s="53"/>
      <c r="T551" s="53"/>
      <c r="U551" s="53"/>
      <c r="V551" s="53"/>
      <c r="W551" s="53"/>
      <c r="X551" s="53"/>
      <c r="Y551" s="53"/>
      <c r="Z551" s="53"/>
    </row>
    <row r="552" spans="1:26" ht="13.5" customHeight="1">
      <c r="A552" s="53"/>
      <c r="B552" s="53"/>
      <c r="C552" s="53"/>
      <c r="D552" s="53"/>
      <c r="E552" s="53"/>
      <c r="F552" s="53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  <c r="R552" s="53"/>
      <c r="S552" s="53"/>
      <c r="T552" s="53"/>
      <c r="U552" s="53"/>
      <c r="V552" s="53"/>
      <c r="W552" s="53"/>
      <c r="X552" s="53"/>
      <c r="Y552" s="53"/>
      <c r="Z552" s="53"/>
    </row>
    <row r="553" spans="1:26" ht="13.5" customHeight="1">
      <c r="A553" s="53"/>
      <c r="B553" s="53"/>
      <c r="C553" s="53"/>
      <c r="D553" s="53"/>
      <c r="E553" s="53"/>
      <c r="F553" s="53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  <c r="R553" s="53"/>
      <c r="S553" s="53"/>
      <c r="T553" s="53"/>
      <c r="U553" s="53"/>
      <c r="V553" s="53"/>
      <c r="W553" s="53"/>
      <c r="X553" s="53"/>
      <c r="Y553" s="53"/>
      <c r="Z553" s="53"/>
    </row>
    <row r="554" spans="1:26" ht="13.5" customHeight="1">
      <c r="A554" s="53"/>
      <c r="B554" s="53"/>
      <c r="C554" s="53"/>
      <c r="D554" s="53"/>
      <c r="E554" s="53"/>
      <c r="F554" s="53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  <c r="R554" s="53"/>
      <c r="S554" s="53"/>
      <c r="T554" s="53"/>
      <c r="U554" s="53"/>
      <c r="V554" s="53"/>
      <c r="W554" s="53"/>
      <c r="X554" s="53"/>
      <c r="Y554" s="53"/>
      <c r="Z554" s="53"/>
    </row>
    <row r="555" spans="1:26" ht="13.5" customHeight="1">
      <c r="A555" s="53"/>
      <c r="B555" s="53"/>
      <c r="C555" s="53"/>
      <c r="D555" s="53"/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  <c r="R555" s="53"/>
      <c r="S555" s="53"/>
      <c r="T555" s="53"/>
      <c r="U555" s="53"/>
      <c r="V555" s="53"/>
      <c r="W555" s="53"/>
      <c r="X555" s="53"/>
      <c r="Y555" s="53"/>
      <c r="Z555" s="53"/>
    </row>
    <row r="556" spans="1:26" ht="13.5" customHeight="1">
      <c r="A556" s="53"/>
      <c r="B556" s="53"/>
      <c r="C556" s="53"/>
      <c r="D556" s="53"/>
      <c r="E556" s="53"/>
      <c r="F556" s="53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  <c r="R556" s="53"/>
      <c r="S556" s="53"/>
      <c r="T556" s="53"/>
      <c r="U556" s="53"/>
      <c r="V556" s="53"/>
      <c r="W556" s="53"/>
      <c r="X556" s="53"/>
      <c r="Y556" s="53"/>
      <c r="Z556" s="53"/>
    </row>
    <row r="557" spans="1:26" ht="13.5" customHeight="1">
      <c r="A557" s="53"/>
      <c r="B557" s="53"/>
      <c r="C557" s="53"/>
      <c r="D557" s="53"/>
      <c r="E557" s="53"/>
      <c r="F557" s="53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  <c r="R557" s="53"/>
      <c r="S557" s="53"/>
      <c r="T557" s="53"/>
      <c r="U557" s="53"/>
      <c r="V557" s="53"/>
      <c r="W557" s="53"/>
      <c r="X557" s="53"/>
      <c r="Y557" s="53"/>
      <c r="Z557" s="53"/>
    </row>
    <row r="558" spans="1:26" ht="13.5" customHeight="1">
      <c r="A558" s="53"/>
      <c r="B558" s="53"/>
      <c r="C558" s="53"/>
      <c r="D558" s="53"/>
      <c r="E558" s="53"/>
      <c r="F558" s="53"/>
      <c r="G558" s="53"/>
      <c r="H558" s="53"/>
      <c r="I558" s="53"/>
      <c r="J558" s="53"/>
      <c r="K558" s="53"/>
      <c r="L558" s="53"/>
      <c r="M558" s="53"/>
      <c r="N558" s="53"/>
      <c r="O558" s="53"/>
      <c r="P558" s="53"/>
      <c r="Q558" s="53"/>
      <c r="R558" s="53"/>
      <c r="S558" s="53"/>
      <c r="T558" s="53"/>
      <c r="U558" s="53"/>
      <c r="V558" s="53"/>
      <c r="W558" s="53"/>
      <c r="X558" s="53"/>
      <c r="Y558" s="53"/>
      <c r="Z558" s="53"/>
    </row>
    <row r="559" spans="1:26" ht="13.5" customHeight="1">
      <c r="A559" s="53"/>
      <c r="B559" s="53"/>
      <c r="C559" s="53"/>
      <c r="D559" s="53"/>
      <c r="E559" s="53"/>
      <c r="F559" s="53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  <c r="R559" s="53"/>
      <c r="S559" s="53"/>
      <c r="T559" s="53"/>
      <c r="U559" s="53"/>
      <c r="V559" s="53"/>
      <c r="W559" s="53"/>
      <c r="X559" s="53"/>
      <c r="Y559" s="53"/>
      <c r="Z559" s="53"/>
    </row>
    <row r="560" spans="1:26" ht="13.5" customHeight="1">
      <c r="A560" s="53"/>
      <c r="B560" s="53"/>
      <c r="C560" s="53"/>
      <c r="D560" s="53"/>
      <c r="E560" s="53"/>
      <c r="F560" s="53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3"/>
      <c r="R560" s="53"/>
      <c r="S560" s="53"/>
      <c r="T560" s="53"/>
      <c r="U560" s="53"/>
      <c r="V560" s="53"/>
      <c r="W560" s="53"/>
      <c r="X560" s="53"/>
      <c r="Y560" s="53"/>
      <c r="Z560" s="53"/>
    </row>
    <row r="561" spans="1:26" ht="13.5" customHeight="1">
      <c r="A561" s="53"/>
      <c r="B561" s="53"/>
      <c r="C561" s="53"/>
      <c r="D561" s="53"/>
      <c r="E561" s="53"/>
      <c r="F561" s="53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3"/>
      <c r="R561" s="53"/>
      <c r="S561" s="53"/>
      <c r="T561" s="53"/>
      <c r="U561" s="53"/>
      <c r="V561" s="53"/>
      <c r="W561" s="53"/>
      <c r="X561" s="53"/>
      <c r="Y561" s="53"/>
      <c r="Z561" s="53"/>
    </row>
    <row r="562" spans="1:26" ht="13.5" customHeight="1">
      <c r="A562" s="53"/>
      <c r="B562" s="53"/>
      <c r="C562" s="53"/>
      <c r="D562" s="53"/>
      <c r="E562" s="53"/>
      <c r="F562" s="53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3"/>
      <c r="R562" s="53"/>
      <c r="S562" s="53"/>
      <c r="T562" s="53"/>
      <c r="U562" s="53"/>
      <c r="V562" s="53"/>
      <c r="W562" s="53"/>
      <c r="X562" s="53"/>
      <c r="Y562" s="53"/>
      <c r="Z562" s="53"/>
    </row>
    <row r="563" spans="1:26" ht="13.5" customHeight="1">
      <c r="A563" s="53"/>
      <c r="B563" s="53"/>
      <c r="C563" s="53"/>
      <c r="D563" s="53"/>
      <c r="E563" s="53"/>
      <c r="F563" s="53"/>
      <c r="G563" s="53"/>
      <c r="H563" s="53"/>
      <c r="I563" s="53"/>
      <c r="J563" s="53"/>
      <c r="K563" s="53"/>
      <c r="L563" s="53"/>
      <c r="M563" s="53"/>
      <c r="N563" s="53"/>
      <c r="O563" s="53"/>
      <c r="P563" s="53"/>
      <c r="Q563" s="53"/>
      <c r="R563" s="53"/>
      <c r="S563" s="53"/>
      <c r="T563" s="53"/>
      <c r="U563" s="53"/>
      <c r="V563" s="53"/>
      <c r="W563" s="53"/>
      <c r="X563" s="53"/>
      <c r="Y563" s="53"/>
      <c r="Z563" s="53"/>
    </row>
    <row r="564" spans="1:26" ht="13.5" customHeight="1">
      <c r="A564" s="53"/>
      <c r="B564" s="53"/>
      <c r="C564" s="53"/>
      <c r="D564" s="53"/>
      <c r="E564" s="53"/>
      <c r="F564" s="53"/>
      <c r="G564" s="53"/>
      <c r="H564" s="53"/>
      <c r="I564" s="53"/>
      <c r="J564" s="53"/>
      <c r="K564" s="53"/>
      <c r="L564" s="53"/>
      <c r="M564" s="53"/>
      <c r="N564" s="53"/>
      <c r="O564" s="53"/>
      <c r="P564" s="53"/>
      <c r="Q564" s="53"/>
      <c r="R564" s="53"/>
      <c r="S564" s="53"/>
      <c r="T564" s="53"/>
      <c r="U564" s="53"/>
      <c r="V564" s="53"/>
      <c r="W564" s="53"/>
      <c r="X564" s="53"/>
      <c r="Y564" s="53"/>
      <c r="Z564" s="53"/>
    </row>
    <row r="565" spans="1:26" ht="13.5" customHeight="1">
      <c r="A565" s="53"/>
      <c r="B565" s="53"/>
      <c r="C565" s="53"/>
      <c r="D565" s="53"/>
      <c r="E565" s="53"/>
      <c r="F565" s="53"/>
      <c r="G565" s="53"/>
      <c r="H565" s="53"/>
      <c r="I565" s="53"/>
      <c r="J565" s="53"/>
      <c r="K565" s="53"/>
      <c r="L565" s="53"/>
      <c r="M565" s="53"/>
      <c r="N565" s="53"/>
      <c r="O565" s="53"/>
      <c r="P565" s="53"/>
      <c r="Q565" s="53"/>
      <c r="R565" s="53"/>
      <c r="S565" s="53"/>
      <c r="T565" s="53"/>
      <c r="U565" s="53"/>
      <c r="V565" s="53"/>
      <c r="W565" s="53"/>
      <c r="X565" s="53"/>
      <c r="Y565" s="53"/>
      <c r="Z565" s="53"/>
    </row>
    <row r="566" spans="1:26" ht="13.5" customHeight="1">
      <c r="A566" s="53"/>
      <c r="B566" s="53"/>
      <c r="C566" s="53"/>
      <c r="D566" s="53"/>
      <c r="E566" s="53"/>
      <c r="F566" s="53"/>
      <c r="G566" s="53"/>
      <c r="H566" s="53"/>
      <c r="I566" s="53"/>
      <c r="J566" s="53"/>
      <c r="K566" s="53"/>
      <c r="L566" s="53"/>
      <c r="M566" s="53"/>
      <c r="N566" s="53"/>
      <c r="O566" s="53"/>
      <c r="P566" s="53"/>
      <c r="Q566" s="53"/>
      <c r="R566" s="53"/>
      <c r="S566" s="53"/>
      <c r="T566" s="53"/>
      <c r="U566" s="53"/>
      <c r="V566" s="53"/>
      <c r="W566" s="53"/>
      <c r="X566" s="53"/>
      <c r="Y566" s="53"/>
      <c r="Z566" s="53"/>
    </row>
    <row r="567" spans="1:26" ht="13.5" customHeight="1">
      <c r="A567" s="53"/>
      <c r="B567" s="53"/>
      <c r="C567" s="53"/>
      <c r="D567" s="53"/>
      <c r="E567" s="53"/>
      <c r="F567" s="53"/>
      <c r="G567" s="53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3"/>
      <c r="S567" s="53"/>
      <c r="T567" s="53"/>
      <c r="U567" s="53"/>
      <c r="V567" s="53"/>
      <c r="W567" s="53"/>
      <c r="X567" s="53"/>
      <c r="Y567" s="53"/>
      <c r="Z567" s="53"/>
    </row>
    <row r="568" spans="1:26" ht="13.5" customHeight="1">
      <c r="A568" s="53"/>
      <c r="B568" s="53"/>
      <c r="C568" s="53"/>
      <c r="D568" s="53"/>
      <c r="E568" s="53"/>
      <c r="F568" s="53"/>
      <c r="G568" s="53"/>
      <c r="H568" s="53"/>
      <c r="I568" s="53"/>
      <c r="J568" s="53"/>
      <c r="K568" s="53"/>
      <c r="L568" s="53"/>
      <c r="M568" s="53"/>
      <c r="N568" s="53"/>
      <c r="O568" s="53"/>
      <c r="P568" s="53"/>
      <c r="Q568" s="53"/>
      <c r="R568" s="53"/>
      <c r="S568" s="53"/>
      <c r="T568" s="53"/>
      <c r="U568" s="53"/>
      <c r="V568" s="53"/>
      <c r="W568" s="53"/>
      <c r="X568" s="53"/>
      <c r="Y568" s="53"/>
      <c r="Z568" s="53"/>
    </row>
    <row r="569" spans="1:26" ht="13.5" customHeight="1">
      <c r="A569" s="53"/>
      <c r="B569" s="53"/>
      <c r="C569" s="53"/>
      <c r="D569" s="53"/>
      <c r="E569" s="53"/>
      <c r="F569" s="53"/>
      <c r="G569" s="53"/>
      <c r="H569" s="53"/>
      <c r="I569" s="53"/>
      <c r="J569" s="53"/>
      <c r="K569" s="53"/>
      <c r="L569" s="53"/>
      <c r="M569" s="53"/>
      <c r="N569" s="53"/>
      <c r="O569" s="53"/>
      <c r="P569" s="53"/>
      <c r="Q569" s="53"/>
      <c r="R569" s="53"/>
      <c r="S569" s="53"/>
      <c r="T569" s="53"/>
      <c r="U569" s="53"/>
      <c r="V569" s="53"/>
      <c r="W569" s="53"/>
      <c r="X569" s="53"/>
      <c r="Y569" s="53"/>
      <c r="Z569" s="53"/>
    </row>
    <row r="570" spans="1:26" ht="13.5" customHeight="1">
      <c r="A570" s="53"/>
      <c r="B570" s="53"/>
      <c r="C570" s="53"/>
      <c r="D570" s="53"/>
      <c r="E570" s="53"/>
      <c r="F570" s="53"/>
      <c r="G570" s="53"/>
      <c r="H570" s="53"/>
      <c r="I570" s="53"/>
      <c r="J570" s="53"/>
      <c r="K570" s="53"/>
      <c r="L570" s="53"/>
      <c r="M570" s="53"/>
      <c r="N570" s="53"/>
      <c r="O570" s="53"/>
      <c r="P570" s="53"/>
      <c r="Q570" s="53"/>
      <c r="R570" s="53"/>
      <c r="S570" s="53"/>
      <c r="T570" s="53"/>
      <c r="U570" s="53"/>
      <c r="V570" s="53"/>
      <c r="W570" s="53"/>
      <c r="X570" s="53"/>
      <c r="Y570" s="53"/>
      <c r="Z570" s="53"/>
    </row>
    <row r="571" spans="1:26" ht="13.5" customHeight="1">
      <c r="A571" s="53"/>
      <c r="B571" s="53"/>
      <c r="C571" s="53"/>
      <c r="D571" s="53"/>
      <c r="E571" s="53"/>
      <c r="F571" s="53"/>
      <c r="G571" s="53"/>
      <c r="H571" s="53"/>
      <c r="I571" s="53"/>
      <c r="J571" s="53"/>
      <c r="K571" s="53"/>
      <c r="L571" s="53"/>
      <c r="M571" s="53"/>
      <c r="N571" s="53"/>
      <c r="O571" s="53"/>
      <c r="P571" s="53"/>
      <c r="Q571" s="53"/>
      <c r="R571" s="53"/>
      <c r="S571" s="53"/>
      <c r="T571" s="53"/>
      <c r="U571" s="53"/>
      <c r="V571" s="53"/>
      <c r="W571" s="53"/>
      <c r="X571" s="53"/>
      <c r="Y571" s="53"/>
      <c r="Z571" s="53"/>
    </row>
    <row r="572" spans="1:26" ht="13.5" customHeight="1">
      <c r="A572" s="53"/>
      <c r="B572" s="53"/>
      <c r="C572" s="53"/>
      <c r="D572" s="53"/>
      <c r="E572" s="53"/>
      <c r="F572" s="53"/>
      <c r="G572" s="53"/>
      <c r="H572" s="53"/>
      <c r="I572" s="53"/>
      <c r="J572" s="53"/>
      <c r="K572" s="53"/>
      <c r="L572" s="53"/>
      <c r="M572" s="53"/>
      <c r="N572" s="53"/>
      <c r="O572" s="53"/>
      <c r="P572" s="53"/>
      <c r="Q572" s="53"/>
      <c r="R572" s="53"/>
      <c r="S572" s="53"/>
      <c r="T572" s="53"/>
      <c r="U572" s="53"/>
      <c r="V572" s="53"/>
      <c r="W572" s="53"/>
      <c r="X572" s="53"/>
      <c r="Y572" s="53"/>
      <c r="Z572" s="53"/>
    </row>
    <row r="573" spans="1:26" ht="13.5" customHeight="1">
      <c r="A573" s="53"/>
      <c r="B573" s="53"/>
      <c r="C573" s="53"/>
      <c r="D573" s="53"/>
      <c r="E573" s="53"/>
      <c r="F573" s="53"/>
      <c r="G573" s="53"/>
      <c r="H573" s="53"/>
      <c r="I573" s="53"/>
      <c r="J573" s="53"/>
      <c r="K573" s="53"/>
      <c r="L573" s="53"/>
      <c r="M573" s="53"/>
      <c r="N573" s="53"/>
      <c r="O573" s="53"/>
      <c r="P573" s="53"/>
      <c r="Q573" s="53"/>
      <c r="R573" s="53"/>
      <c r="S573" s="53"/>
      <c r="T573" s="53"/>
      <c r="U573" s="53"/>
      <c r="V573" s="53"/>
      <c r="W573" s="53"/>
      <c r="X573" s="53"/>
      <c r="Y573" s="53"/>
      <c r="Z573" s="53"/>
    </row>
    <row r="574" spans="1:26" ht="13.5" customHeight="1">
      <c r="A574" s="53"/>
      <c r="B574" s="53"/>
      <c r="C574" s="53"/>
      <c r="D574" s="53"/>
      <c r="E574" s="53"/>
      <c r="F574" s="53"/>
      <c r="G574" s="53"/>
      <c r="H574" s="53"/>
      <c r="I574" s="53"/>
      <c r="J574" s="53"/>
      <c r="K574" s="53"/>
      <c r="L574" s="53"/>
      <c r="M574" s="53"/>
      <c r="N574" s="53"/>
      <c r="O574" s="53"/>
      <c r="P574" s="53"/>
      <c r="Q574" s="53"/>
      <c r="R574" s="53"/>
      <c r="S574" s="53"/>
      <c r="T574" s="53"/>
      <c r="U574" s="53"/>
      <c r="V574" s="53"/>
      <c r="W574" s="53"/>
      <c r="X574" s="53"/>
      <c r="Y574" s="53"/>
      <c r="Z574" s="53"/>
    </row>
    <row r="575" spans="1:26" ht="13.5" customHeight="1">
      <c r="A575" s="53"/>
      <c r="B575" s="53"/>
      <c r="C575" s="53"/>
      <c r="D575" s="53"/>
      <c r="E575" s="53"/>
      <c r="F575" s="53"/>
      <c r="G575" s="53"/>
      <c r="H575" s="53"/>
      <c r="I575" s="53"/>
      <c r="J575" s="53"/>
      <c r="K575" s="53"/>
      <c r="L575" s="53"/>
      <c r="M575" s="53"/>
      <c r="N575" s="53"/>
      <c r="O575" s="53"/>
      <c r="P575" s="53"/>
      <c r="Q575" s="53"/>
      <c r="R575" s="53"/>
      <c r="S575" s="53"/>
      <c r="T575" s="53"/>
      <c r="U575" s="53"/>
      <c r="V575" s="53"/>
      <c r="W575" s="53"/>
      <c r="X575" s="53"/>
      <c r="Y575" s="53"/>
      <c r="Z575" s="53"/>
    </row>
    <row r="576" spans="1:26" ht="13.5" customHeight="1">
      <c r="A576" s="53"/>
      <c r="B576" s="53"/>
      <c r="C576" s="53"/>
      <c r="D576" s="53"/>
      <c r="E576" s="53"/>
      <c r="F576" s="53"/>
      <c r="G576" s="53"/>
      <c r="H576" s="53"/>
      <c r="I576" s="53"/>
      <c r="J576" s="53"/>
      <c r="K576" s="53"/>
      <c r="L576" s="53"/>
      <c r="M576" s="53"/>
      <c r="N576" s="53"/>
      <c r="O576" s="53"/>
      <c r="P576" s="53"/>
      <c r="Q576" s="53"/>
      <c r="R576" s="53"/>
      <c r="S576" s="53"/>
      <c r="T576" s="53"/>
      <c r="U576" s="53"/>
      <c r="V576" s="53"/>
      <c r="W576" s="53"/>
      <c r="X576" s="53"/>
      <c r="Y576" s="53"/>
      <c r="Z576" s="53"/>
    </row>
    <row r="577" spans="1:26" ht="13.5" customHeight="1">
      <c r="A577" s="53"/>
      <c r="B577" s="53"/>
      <c r="C577" s="53"/>
      <c r="D577" s="53"/>
      <c r="E577" s="53"/>
      <c r="F577" s="53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3"/>
      <c r="R577" s="53"/>
      <c r="S577" s="53"/>
      <c r="T577" s="53"/>
      <c r="U577" s="53"/>
      <c r="V577" s="53"/>
      <c r="W577" s="53"/>
      <c r="X577" s="53"/>
      <c r="Y577" s="53"/>
      <c r="Z577" s="53"/>
    </row>
    <row r="578" spans="1:26" ht="13.5" customHeight="1">
      <c r="A578" s="53"/>
      <c r="B578" s="53"/>
      <c r="C578" s="53"/>
      <c r="D578" s="53"/>
      <c r="E578" s="53"/>
      <c r="F578" s="53"/>
      <c r="G578" s="53"/>
      <c r="H578" s="53"/>
      <c r="I578" s="53"/>
      <c r="J578" s="53"/>
      <c r="K578" s="53"/>
      <c r="L578" s="53"/>
      <c r="M578" s="53"/>
      <c r="N578" s="53"/>
      <c r="O578" s="53"/>
      <c r="P578" s="53"/>
      <c r="Q578" s="53"/>
      <c r="R578" s="53"/>
      <c r="S578" s="53"/>
      <c r="T578" s="53"/>
      <c r="U578" s="53"/>
      <c r="V578" s="53"/>
      <c r="W578" s="53"/>
      <c r="X578" s="53"/>
      <c r="Y578" s="53"/>
      <c r="Z578" s="53"/>
    </row>
    <row r="579" spans="1:26" ht="13.5" customHeight="1">
      <c r="A579" s="53"/>
      <c r="B579" s="53"/>
      <c r="C579" s="53"/>
      <c r="D579" s="53"/>
      <c r="E579" s="53"/>
      <c r="F579" s="53"/>
      <c r="G579" s="53"/>
      <c r="H579" s="53"/>
      <c r="I579" s="53"/>
      <c r="J579" s="53"/>
      <c r="K579" s="53"/>
      <c r="L579" s="53"/>
      <c r="M579" s="53"/>
      <c r="N579" s="53"/>
      <c r="O579" s="53"/>
      <c r="P579" s="53"/>
      <c r="Q579" s="53"/>
      <c r="R579" s="53"/>
      <c r="S579" s="53"/>
      <c r="T579" s="53"/>
      <c r="U579" s="53"/>
      <c r="V579" s="53"/>
      <c r="W579" s="53"/>
      <c r="X579" s="53"/>
      <c r="Y579" s="53"/>
      <c r="Z579" s="53"/>
    </row>
    <row r="580" spans="1:26" ht="13.5" customHeight="1">
      <c r="A580" s="53"/>
      <c r="B580" s="53"/>
      <c r="C580" s="53"/>
      <c r="D580" s="53"/>
      <c r="E580" s="53"/>
      <c r="F580" s="53"/>
      <c r="G580" s="53"/>
      <c r="H580" s="53"/>
      <c r="I580" s="53"/>
      <c r="J580" s="53"/>
      <c r="K580" s="53"/>
      <c r="L580" s="53"/>
      <c r="M580" s="53"/>
      <c r="N580" s="53"/>
      <c r="O580" s="53"/>
      <c r="P580" s="53"/>
      <c r="Q580" s="53"/>
      <c r="R580" s="53"/>
      <c r="S580" s="53"/>
      <c r="T580" s="53"/>
      <c r="U580" s="53"/>
      <c r="V580" s="53"/>
      <c r="W580" s="53"/>
      <c r="X580" s="53"/>
      <c r="Y580" s="53"/>
      <c r="Z580" s="53"/>
    </row>
    <row r="581" spans="1:26" ht="13.5" customHeight="1">
      <c r="A581" s="53"/>
      <c r="B581" s="53"/>
      <c r="C581" s="53"/>
      <c r="D581" s="53"/>
      <c r="E581" s="53"/>
      <c r="F581" s="53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3"/>
      <c r="R581" s="53"/>
      <c r="S581" s="53"/>
      <c r="T581" s="53"/>
      <c r="U581" s="53"/>
      <c r="V581" s="53"/>
      <c r="W581" s="53"/>
      <c r="X581" s="53"/>
      <c r="Y581" s="53"/>
      <c r="Z581" s="53"/>
    </row>
    <row r="582" spans="1:26" ht="13.5" customHeight="1">
      <c r="A582" s="53"/>
      <c r="B582" s="53"/>
      <c r="C582" s="53"/>
      <c r="D582" s="53"/>
      <c r="E582" s="53"/>
      <c r="F582" s="53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3"/>
      <c r="R582" s="53"/>
      <c r="S582" s="53"/>
      <c r="T582" s="53"/>
      <c r="U582" s="53"/>
      <c r="V582" s="53"/>
      <c r="W582" s="53"/>
      <c r="X582" s="53"/>
      <c r="Y582" s="53"/>
      <c r="Z582" s="53"/>
    </row>
    <row r="583" spans="1:26" ht="13.5" customHeight="1">
      <c r="A583" s="53"/>
      <c r="B583" s="53"/>
      <c r="C583" s="53"/>
      <c r="D583" s="53"/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  <c r="R583" s="53"/>
      <c r="S583" s="53"/>
      <c r="T583" s="53"/>
      <c r="U583" s="53"/>
      <c r="V583" s="53"/>
      <c r="W583" s="53"/>
      <c r="X583" s="53"/>
      <c r="Y583" s="53"/>
      <c r="Z583" s="53"/>
    </row>
    <row r="584" spans="1:26" ht="13.5" customHeight="1">
      <c r="A584" s="53"/>
      <c r="B584" s="53"/>
      <c r="C584" s="53"/>
      <c r="D584" s="53"/>
      <c r="E584" s="53"/>
      <c r="F584" s="53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3"/>
      <c r="R584" s="53"/>
      <c r="S584" s="53"/>
      <c r="T584" s="53"/>
      <c r="U584" s="53"/>
      <c r="V584" s="53"/>
      <c r="W584" s="53"/>
      <c r="X584" s="53"/>
      <c r="Y584" s="53"/>
      <c r="Z584" s="53"/>
    </row>
    <row r="585" spans="1:26" ht="13.5" customHeight="1">
      <c r="A585" s="53"/>
      <c r="B585" s="53"/>
      <c r="C585" s="53"/>
      <c r="D585" s="53"/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  <c r="R585" s="53"/>
      <c r="S585" s="53"/>
      <c r="T585" s="53"/>
      <c r="U585" s="53"/>
      <c r="V585" s="53"/>
      <c r="W585" s="53"/>
      <c r="X585" s="53"/>
      <c r="Y585" s="53"/>
      <c r="Z585" s="53"/>
    </row>
    <row r="586" spans="1:26" ht="13.5" customHeight="1">
      <c r="A586" s="53"/>
      <c r="B586" s="53"/>
      <c r="C586" s="53"/>
      <c r="D586" s="53"/>
      <c r="E586" s="53"/>
      <c r="F586" s="53"/>
      <c r="G586" s="53"/>
      <c r="H586" s="53"/>
      <c r="I586" s="53"/>
      <c r="J586" s="53"/>
      <c r="K586" s="53"/>
      <c r="L586" s="53"/>
      <c r="M586" s="53"/>
      <c r="N586" s="53"/>
      <c r="O586" s="53"/>
      <c r="P586" s="53"/>
      <c r="Q586" s="53"/>
      <c r="R586" s="53"/>
      <c r="S586" s="53"/>
      <c r="T586" s="53"/>
      <c r="U586" s="53"/>
      <c r="V586" s="53"/>
      <c r="W586" s="53"/>
      <c r="X586" s="53"/>
      <c r="Y586" s="53"/>
      <c r="Z586" s="53"/>
    </row>
    <row r="587" spans="1:26" ht="13.5" customHeight="1">
      <c r="A587" s="53"/>
      <c r="B587" s="53"/>
      <c r="C587" s="53"/>
      <c r="D587" s="53"/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3"/>
      <c r="S587" s="53"/>
      <c r="T587" s="53"/>
      <c r="U587" s="53"/>
      <c r="V587" s="53"/>
      <c r="W587" s="53"/>
      <c r="X587" s="53"/>
      <c r="Y587" s="53"/>
      <c r="Z587" s="53"/>
    </row>
    <row r="588" spans="1:26" ht="13.5" customHeight="1">
      <c r="A588" s="53"/>
      <c r="B588" s="53"/>
      <c r="C588" s="53"/>
      <c r="D588" s="53"/>
      <c r="E588" s="53"/>
      <c r="F588" s="53"/>
      <c r="G588" s="53"/>
      <c r="H588" s="53"/>
      <c r="I588" s="53"/>
      <c r="J588" s="53"/>
      <c r="K588" s="53"/>
      <c r="L588" s="53"/>
      <c r="M588" s="53"/>
      <c r="N588" s="53"/>
      <c r="O588" s="53"/>
      <c r="P588" s="53"/>
      <c r="Q588" s="53"/>
      <c r="R588" s="53"/>
      <c r="S588" s="53"/>
      <c r="T588" s="53"/>
      <c r="U588" s="53"/>
      <c r="V588" s="53"/>
      <c r="W588" s="53"/>
      <c r="X588" s="53"/>
      <c r="Y588" s="53"/>
      <c r="Z588" s="53"/>
    </row>
    <row r="589" spans="1:26" ht="13.5" customHeight="1">
      <c r="A589" s="53"/>
      <c r="B589" s="53"/>
      <c r="C589" s="53"/>
      <c r="D589" s="53"/>
      <c r="E589" s="53"/>
      <c r="F589" s="53"/>
      <c r="G589" s="53"/>
      <c r="H589" s="53"/>
      <c r="I589" s="53"/>
      <c r="J589" s="53"/>
      <c r="K589" s="53"/>
      <c r="L589" s="53"/>
      <c r="M589" s="53"/>
      <c r="N589" s="53"/>
      <c r="O589" s="53"/>
      <c r="P589" s="53"/>
      <c r="Q589" s="53"/>
      <c r="R589" s="53"/>
      <c r="S589" s="53"/>
      <c r="T589" s="53"/>
      <c r="U589" s="53"/>
      <c r="V589" s="53"/>
      <c r="W589" s="53"/>
      <c r="X589" s="53"/>
      <c r="Y589" s="53"/>
      <c r="Z589" s="53"/>
    </row>
    <row r="590" spans="1:26" ht="13.5" customHeight="1">
      <c r="A590" s="53"/>
      <c r="B590" s="53"/>
      <c r="C590" s="53"/>
      <c r="D590" s="53"/>
      <c r="E590" s="53"/>
      <c r="F590" s="53"/>
      <c r="G590" s="53"/>
      <c r="H590" s="53"/>
      <c r="I590" s="53"/>
      <c r="J590" s="53"/>
      <c r="K590" s="53"/>
      <c r="L590" s="53"/>
      <c r="M590" s="53"/>
      <c r="N590" s="53"/>
      <c r="O590" s="53"/>
      <c r="P590" s="53"/>
      <c r="Q590" s="53"/>
      <c r="R590" s="53"/>
      <c r="S590" s="53"/>
      <c r="T590" s="53"/>
      <c r="U590" s="53"/>
      <c r="V590" s="53"/>
      <c r="W590" s="53"/>
      <c r="X590" s="53"/>
      <c r="Y590" s="53"/>
      <c r="Z590" s="53"/>
    </row>
    <row r="591" spans="1:26" ht="13.5" customHeight="1">
      <c r="A591" s="53"/>
      <c r="B591" s="53"/>
      <c r="C591" s="53"/>
      <c r="D591" s="53"/>
      <c r="E591" s="53"/>
      <c r="F591" s="53"/>
      <c r="G591" s="53"/>
      <c r="H591" s="53"/>
      <c r="I591" s="53"/>
      <c r="J591" s="53"/>
      <c r="K591" s="53"/>
      <c r="L591" s="53"/>
      <c r="M591" s="53"/>
      <c r="N591" s="53"/>
      <c r="O591" s="53"/>
      <c r="P591" s="53"/>
      <c r="Q591" s="53"/>
      <c r="R591" s="53"/>
      <c r="S591" s="53"/>
      <c r="T591" s="53"/>
      <c r="U591" s="53"/>
      <c r="V591" s="53"/>
      <c r="W591" s="53"/>
      <c r="X591" s="53"/>
      <c r="Y591" s="53"/>
      <c r="Z591" s="53"/>
    </row>
    <row r="592" spans="1:26" ht="13.5" customHeight="1">
      <c r="A592" s="53"/>
      <c r="B592" s="53"/>
      <c r="C592" s="53"/>
      <c r="D592" s="53"/>
      <c r="E592" s="53"/>
      <c r="F592" s="53"/>
      <c r="G592" s="53"/>
      <c r="H592" s="53"/>
      <c r="I592" s="53"/>
      <c r="J592" s="53"/>
      <c r="K592" s="53"/>
      <c r="L592" s="53"/>
      <c r="M592" s="53"/>
      <c r="N592" s="53"/>
      <c r="O592" s="53"/>
      <c r="P592" s="53"/>
      <c r="Q592" s="53"/>
      <c r="R592" s="53"/>
      <c r="S592" s="53"/>
      <c r="T592" s="53"/>
      <c r="U592" s="53"/>
      <c r="V592" s="53"/>
      <c r="W592" s="53"/>
      <c r="X592" s="53"/>
      <c r="Y592" s="53"/>
      <c r="Z592" s="53"/>
    </row>
    <row r="593" spans="1:26" ht="13.5" customHeight="1">
      <c r="A593" s="53"/>
      <c r="B593" s="53"/>
      <c r="C593" s="53"/>
      <c r="D593" s="53"/>
      <c r="E593" s="53"/>
      <c r="F593" s="53"/>
      <c r="G593" s="53"/>
      <c r="H593" s="53"/>
      <c r="I593" s="53"/>
      <c r="J593" s="53"/>
      <c r="K593" s="53"/>
      <c r="L593" s="53"/>
      <c r="M593" s="53"/>
      <c r="N593" s="53"/>
      <c r="O593" s="53"/>
      <c r="P593" s="53"/>
      <c r="Q593" s="53"/>
      <c r="R593" s="53"/>
      <c r="S593" s="53"/>
      <c r="T593" s="53"/>
      <c r="U593" s="53"/>
      <c r="V593" s="53"/>
      <c r="W593" s="53"/>
      <c r="X593" s="53"/>
      <c r="Y593" s="53"/>
      <c r="Z593" s="53"/>
    </row>
    <row r="594" spans="1:26" ht="13.5" customHeight="1">
      <c r="A594" s="53"/>
      <c r="B594" s="53"/>
      <c r="C594" s="53"/>
      <c r="D594" s="53"/>
      <c r="E594" s="53"/>
      <c r="F594" s="53"/>
      <c r="G594" s="53"/>
      <c r="H594" s="53"/>
      <c r="I594" s="53"/>
      <c r="J594" s="53"/>
      <c r="K594" s="53"/>
      <c r="L594" s="53"/>
      <c r="M594" s="53"/>
      <c r="N594" s="53"/>
      <c r="O594" s="53"/>
      <c r="P594" s="53"/>
      <c r="Q594" s="53"/>
      <c r="R594" s="53"/>
      <c r="S594" s="53"/>
      <c r="T594" s="53"/>
      <c r="U594" s="53"/>
      <c r="V594" s="53"/>
      <c r="W594" s="53"/>
      <c r="X594" s="53"/>
      <c r="Y594" s="53"/>
      <c r="Z594" s="53"/>
    </row>
    <row r="595" spans="1:26" ht="13.5" customHeight="1">
      <c r="A595" s="53"/>
      <c r="B595" s="53"/>
      <c r="C595" s="53"/>
      <c r="D595" s="53"/>
      <c r="E595" s="53"/>
      <c r="F595" s="53"/>
      <c r="G595" s="53"/>
      <c r="H595" s="53"/>
      <c r="I595" s="53"/>
      <c r="J595" s="53"/>
      <c r="K595" s="53"/>
      <c r="L595" s="53"/>
      <c r="M595" s="53"/>
      <c r="N595" s="53"/>
      <c r="O595" s="53"/>
      <c r="P595" s="53"/>
      <c r="Q595" s="53"/>
      <c r="R595" s="53"/>
      <c r="S595" s="53"/>
      <c r="T595" s="53"/>
      <c r="U595" s="53"/>
      <c r="V595" s="53"/>
      <c r="W595" s="53"/>
      <c r="X595" s="53"/>
      <c r="Y595" s="53"/>
      <c r="Z595" s="53"/>
    </row>
    <row r="596" spans="1:26" ht="13.5" customHeight="1">
      <c r="A596" s="53"/>
      <c r="B596" s="53"/>
      <c r="C596" s="53"/>
      <c r="D596" s="53"/>
      <c r="E596" s="53"/>
      <c r="F596" s="53"/>
      <c r="G596" s="53"/>
      <c r="H596" s="53"/>
      <c r="I596" s="53"/>
      <c r="J596" s="53"/>
      <c r="K596" s="53"/>
      <c r="L596" s="53"/>
      <c r="M596" s="53"/>
      <c r="N596" s="53"/>
      <c r="O596" s="53"/>
      <c r="P596" s="53"/>
      <c r="Q596" s="53"/>
      <c r="R596" s="53"/>
      <c r="S596" s="53"/>
      <c r="T596" s="53"/>
      <c r="U596" s="53"/>
      <c r="V596" s="53"/>
      <c r="W596" s="53"/>
      <c r="X596" s="53"/>
      <c r="Y596" s="53"/>
      <c r="Z596" s="53"/>
    </row>
    <row r="597" spans="1:26" ht="13.5" customHeight="1">
      <c r="A597" s="53"/>
      <c r="B597" s="53"/>
      <c r="C597" s="53"/>
      <c r="D597" s="53"/>
      <c r="E597" s="53"/>
      <c r="F597" s="53"/>
      <c r="G597" s="53"/>
      <c r="H597" s="53"/>
      <c r="I597" s="53"/>
      <c r="J597" s="53"/>
      <c r="K597" s="53"/>
      <c r="L597" s="53"/>
      <c r="M597" s="53"/>
      <c r="N597" s="53"/>
      <c r="O597" s="53"/>
      <c r="P597" s="53"/>
      <c r="Q597" s="53"/>
      <c r="R597" s="53"/>
      <c r="S597" s="53"/>
      <c r="T597" s="53"/>
      <c r="U597" s="53"/>
      <c r="V597" s="53"/>
      <c r="W597" s="53"/>
      <c r="X597" s="53"/>
      <c r="Y597" s="53"/>
      <c r="Z597" s="53"/>
    </row>
    <row r="598" spans="1:26" ht="13.5" customHeight="1">
      <c r="A598" s="53"/>
      <c r="B598" s="53"/>
      <c r="C598" s="53"/>
      <c r="D598" s="53"/>
      <c r="E598" s="53"/>
      <c r="F598" s="53"/>
      <c r="G598" s="53"/>
      <c r="H598" s="53"/>
      <c r="I598" s="53"/>
      <c r="J598" s="53"/>
      <c r="K598" s="53"/>
      <c r="L598" s="53"/>
      <c r="M598" s="53"/>
      <c r="N598" s="53"/>
      <c r="O598" s="53"/>
      <c r="P598" s="53"/>
      <c r="Q598" s="53"/>
      <c r="R598" s="53"/>
      <c r="S598" s="53"/>
      <c r="T598" s="53"/>
      <c r="U598" s="53"/>
      <c r="V598" s="53"/>
      <c r="W598" s="53"/>
      <c r="X598" s="53"/>
      <c r="Y598" s="53"/>
      <c r="Z598" s="53"/>
    </row>
    <row r="599" spans="1:26" ht="13.5" customHeight="1">
      <c r="A599" s="53"/>
      <c r="B599" s="53"/>
      <c r="C599" s="53"/>
      <c r="D599" s="53"/>
      <c r="E599" s="53"/>
      <c r="F599" s="53"/>
      <c r="G599" s="53"/>
      <c r="H599" s="53"/>
      <c r="I599" s="53"/>
      <c r="J599" s="53"/>
      <c r="K599" s="53"/>
      <c r="L599" s="53"/>
      <c r="M599" s="53"/>
      <c r="N599" s="53"/>
      <c r="O599" s="53"/>
      <c r="P599" s="53"/>
      <c r="Q599" s="53"/>
      <c r="R599" s="53"/>
      <c r="S599" s="53"/>
      <c r="T599" s="53"/>
      <c r="U599" s="53"/>
      <c r="V599" s="53"/>
      <c r="W599" s="53"/>
      <c r="X599" s="53"/>
      <c r="Y599" s="53"/>
      <c r="Z599" s="53"/>
    </row>
    <row r="600" spans="1:26" ht="13.5" customHeight="1">
      <c r="A600" s="53"/>
      <c r="B600" s="53"/>
      <c r="C600" s="53"/>
      <c r="D600" s="53"/>
      <c r="E600" s="53"/>
      <c r="F600" s="53"/>
      <c r="G600" s="53"/>
      <c r="H600" s="53"/>
      <c r="I600" s="53"/>
      <c r="J600" s="53"/>
      <c r="K600" s="53"/>
      <c r="L600" s="53"/>
      <c r="M600" s="53"/>
      <c r="N600" s="53"/>
      <c r="O600" s="53"/>
      <c r="P600" s="53"/>
      <c r="Q600" s="53"/>
      <c r="R600" s="53"/>
      <c r="S600" s="53"/>
      <c r="T600" s="53"/>
      <c r="U600" s="53"/>
      <c r="V600" s="53"/>
      <c r="W600" s="53"/>
      <c r="X600" s="53"/>
      <c r="Y600" s="53"/>
      <c r="Z600" s="53"/>
    </row>
    <row r="601" spans="1:26" ht="13.5" customHeight="1">
      <c r="A601" s="53"/>
      <c r="B601" s="53"/>
      <c r="C601" s="53"/>
      <c r="D601" s="53"/>
      <c r="E601" s="53"/>
      <c r="F601" s="53"/>
      <c r="G601" s="53"/>
      <c r="H601" s="53"/>
      <c r="I601" s="53"/>
      <c r="J601" s="53"/>
      <c r="K601" s="53"/>
      <c r="L601" s="53"/>
      <c r="M601" s="53"/>
      <c r="N601" s="53"/>
      <c r="O601" s="53"/>
      <c r="P601" s="53"/>
      <c r="Q601" s="53"/>
      <c r="R601" s="53"/>
      <c r="S601" s="53"/>
      <c r="T601" s="53"/>
      <c r="U601" s="53"/>
      <c r="V601" s="53"/>
      <c r="W601" s="53"/>
      <c r="X601" s="53"/>
      <c r="Y601" s="53"/>
      <c r="Z601" s="53"/>
    </row>
    <row r="602" spans="1:26" ht="13.5" customHeight="1">
      <c r="A602" s="53"/>
      <c r="B602" s="53"/>
      <c r="C602" s="53"/>
      <c r="D602" s="53"/>
      <c r="E602" s="53"/>
      <c r="F602" s="53"/>
      <c r="G602" s="53"/>
      <c r="H602" s="53"/>
      <c r="I602" s="53"/>
      <c r="J602" s="53"/>
      <c r="K602" s="53"/>
      <c r="L602" s="53"/>
      <c r="M602" s="53"/>
      <c r="N602" s="53"/>
      <c r="O602" s="53"/>
      <c r="P602" s="53"/>
      <c r="Q602" s="53"/>
      <c r="R602" s="53"/>
      <c r="S602" s="53"/>
      <c r="T602" s="53"/>
      <c r="U602" s="53"/>
      <c r="V602" s="53"/>
      <c r="W602" s="53"/>
      <c r="X602" s="53"/>
      <c r="Y602" s="53"/>
      <c r="Z602" s="53"/>
    </row>
    <row r="603" spans="1:26" ht="13.5" customHeight="1">
      <c r="A603" s="53"/>
      <c r="B603" s="53"/>
      <c r="C603" s="53"/>
      <c r="D603" s="53"/>
      <c r="E603" s="53"/>
      <c r="F603" s="53"/>
      <c r="G603" s="53"/>
      <c r="H603" s="53"/>
      <c r="I603" s="53"/>
      <c r="J603" s="53"/>
      <c r="K603" s="53"/>
      <c r="L603" s="53"/>
      <c r="M603" s="53"/>
      <c r="N603" s="53"/>
      <c r="O603" s="53"/>
      <c r="P603" s="53"/>
      <c r="Q603" s="53"/>
      <c r="R603" s="53"/>
      <c r="S603" s="53"/>
      <c r="T603" s="53"/>
      <c r="U603" s="53"/>
      <c r="V603" s="53"/>
      <c r="W603" s="53"/>
      <c r="X603" s="53"/>
      <c r="Y603" s="53"/>
      <c r="Z603" s="53"/>
    </row>
    <row r="604" spans="1:26" ht="13.5" customHeight="1">
      <c r="A604" s="53"/>
      <c r="B604" s="53"/>
      <c r="C604" s="53"/>
      <c r="D604" s="53"/>
      <c r="E604" s="53"/>
      <c r="F604" s="53"/>
      <c r="G604" s="53"/>
      <c r="H604" s="53"/>
      <c r="I604" s="53"/>
      <c r="J604" s="53"/>
      <c r="K604" s="53"/>
      <c r="L604" s="53"/>
      <c r="M604" s="53"/>
      <c r="N604" s="53"/>
      <c r="O604" s="53"/>
      <c r="P604" s="53"/>
      <c r="Q604" s="53"/>
      <c r="R604" s="53"/>
      <c r="S604" s="53"/>
      <c r="T604" s="53"/>
      <c r="U604" s="53"/>
      <c r="V604" s="53"/>
      <c r="W604" s="53"/>
      <c r="X604" s="53"/>
      <c r="Y604" s="53"/>
      <c r="Z604" s="53"/>
    </row>
    <row r="605" spans="1:26" ht="13.5" customHeight="1">
      <c r="A605" s="53"/>
      <c r="B605" s="53"/>
      <c r="C605" s="53"/>
      <c r="D605" s="53"/>
      <c r="E605" s="53"/>
      <c r="F605" s="53"/>
      <c r="G605" s="53"/>
      <c r="H605" s="53"/>
      <c r="I605" s="53"/>
      <c r="J605" s="53"/>
      <c r="K605" s="53"/>
      <c r="L605" s="53"/>
      <c r="M605" s="53"/>
      <c r="N605" s="53"/>
      <c r="O605" s="53"/>
      <c r="P605" s="53"/>
      <c r="Q605" s="53"/>
      <c r="R605" s="53"/>
      <c r="S605" s="53"/>
      <c r="T605" s="53"/>
      <c r="U605" s="53"/>
      <c r="V605" s="53"/>
      <c r="W605" s="53"/>
      <c r="X605" s="53"/>
      <c r="Y605" s="53"/>
      <c r="Z605" s="53"/>
    </row>
    <row r="606" spans="1:26" ht="13.5" customHeight="1">
      <c r="A606" s="53"/>
      <c r="B606" s="53"/>
      <c r="C606" s="53"/>
      <c r="D606" s="53"/>
      <c r="E606" s="53"/>
      <c r="F606" s="53"/>
      <c r="G606" s="53"/>
      <c r="H606" s="53"/>
      <c r="I606" s="53"/>
      <c r="J606" s="53"/>
      <c r="K606" s="53"/>
      <c r="L606" s="53"/>
      <c r="M606" s="53"/>
      <c r="N606" s="53"/>
      <c r="O606" s="53"/>
      <c r="P606" s="53"/>
      <c r="Q606" s="53"/>
      <c r="R606" s="53"/>
      <c r="S606" s="53"/>
      <c r="T606" s="53"/>
      <c r="U606" s="53"/>
      <c r="V606" s="53"/>
      <c r="W606" s="53"/>
      <c r="X606" s="53"/>
      <c r="Y606" s="53"/>
      <c r="Z606" s="53"/>
    </row>
    <row r="607" spans="1:26" ht="13.5" customHeight="1">
      <c r="A607" s="53"/>
      <c r="B607" s="53"/>
      <c r="C607" s="53"/>
      <c r="D607" s="53"/>
      <c r="E607" s="53"/>
      <c r="F607" s="53"/>
      <c r="G607" s="53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3"/>
      <c r="S607" s="53"/>
      <c r="T607" s="53"/>
      <c r="U607" s="53"/>
      <c r="V607" s="53"/>
      <c r="W607" s="53"/>
      <c r="X607" s="53"/>
      <c r="Y607" s="53"/>
      <c r="Z607" s="53"/>
    </row>
    <row r="608" spans="1:26" ht="13.5" customHeight="1">
      <c r="A608" s="53"/>
      <c r="B608" s="53"/>
      <c r="C608" s="53"/>
      <c r="D608" s="53"/>
      <c r="E608" s="53"/>
      <c r="F608" s="53"/>
      <c r="G608" s="53"/>
      <c r="H608" s="53"/>
      <c r="I608" s="53"/>
      <c r="J608" s="53"/>
      <c r="K608" s="53"/>
      <c r="L608" s="53"/>
      <c r="M608" s="53"/>
      <c r="N608" s="53"/>
      <c r="O608" s="53"/>
      <c r="P608" s="53"/>
      <c r="Q608" s="53"/>
      <c r="R608" s="53"/>
      <c r="S608" s="53"/>
      <c r="T608" s="53"/>
      <c r="U608" s="53"/>
      <c r="V608" s="53"/>
      <c r="W608" s="53"/>
      <c r="X608" s="53"/>
      <c r="Y608" s="53"/>
      <c r="Z608" s="53"/>
    </row>
    <row r="609" spans="1:26" ht="13.5" customHeight="1">
      <c r="A609" s="53"/>
      <c r="B609" s="53"/>
      <c r="C609" s="53"/>
      <c r="D609" s="53"/>
      <c r="E609" s="53"/>
      <c r="F609" s="53"/>
      <c r="G609" s="53"/>
      <c r="H609" s="53"/>
      <c r="I609" s="53"/>
      <c r="J609" s="53"/>
      <c r="K609" s="53"/>
      <c r="L609" s="53"/>
      <c r="M609" s="53"/>
      <c r="N609" s="53"/>
      <c r="O609" s="53"/>
      <c r="P609" s="53"/>
      <c r="Q609" s="53"/>
      <c r="R609" s="53"/>
      <c r="S609" s="53"/>
      <c r="T609" s="53"/>
      <c r="U609" s="53"/>
      <c r="V609" s="53"/>
      <c r="W609" s="53"/>
      <c r="X609" s="53"/>
      <c r="Y609" s="53"/>
      <c r="Z609" s="53"/>
    </row>
    <row r="610" spans="1:26" ht="13.5" customHeight="1">
      <c r="A610" s="53"/>
      <c r="B610" s="53"/>
      <c r="C610" s="53"/>
      <c r="D610" s="53"/>
      <c r="E610" s="53"/>
      <c r="F610" s="53"/>
      <c r="G610" s="53"/>
      <c r="H610" s="53"/>
      <c r="I610" s="53"/>
      <c r="J610" s="53"/>
      <c r="K610" s="53"/>
      <c r="L610" s="53"/>
      <c r="M610" s="53"/>
      <c r="N610" s="53"/>
      <c r="O610" s="53"/>
      <c r="P610" s="53"/>
      <c r="Q610" s="53"/>
      <c r="R610" s="53"/>
      <c r="S610" s="53"/>
      <c r="T610" s="53"/>
      <c r="U610" s="53"/>
      <c r="V610" s="53"/>
      <c r="W610" s="53"/>
      <c r="X610" s="53"/>
      <c r="Y610" s="53"/>
      <c r="Z610" s="53"/>
    </row>
    <row r="611" spans="1:26" ht="13.5" customHeight="1">
      <c r="A611" s="53"/>
      <c r="B611" s="53"/>
      <c r="C611" s="53"/>
      <c r="D611" s="53"/>
      <c r="E611" s="53"/>
      <c r="F611" s="53"/>
      <c r="G611" s="53"/>
      <c r="H611" s="53"/>
      <c r="I611" s="53"/>
      <c r="J611" s="53"/>
      <c r="K611" s="53"/>
      <c r="L611" s="53"/>
      <c r="M611" s="53"/>
      <c r="N611" s="53"/>
      <c r="O611" s="53"/>
      <c r="P611" s="53"/>
      <c r="Q611" s="53"/>
      <c r="R611" s="53"/>
      <c r="S611" s="53"/>
      <c r="T611" s="53"/>
      <c r="U611" s="53"/>
      <c r="V611" s="53"/>
      <c r="W611" s="53"/>
      <c r="X611" s="53"/>
      <c r="Y611" s="53"/>
      <c r="Z611" s="53"/>
    </row>
    <row r="612" spans="1:26" ht="13.5" customHeight="1">
      <c r="A612" s="53"/>
      <c r="B612" s="53"/>
      <c r="C612" s="53"/>
      <c r="D612" s="53"/>
      <c r="E612" s="53"/>
      <c r="F612" s="53"/>
      <c r="G612" s="53"/>
      <c r="H612" s="53"/>
      <c r="I612" s="53"/>
      <c r="J612" s="53"/>
      <c r="K612" s="53"/>
      <c r="L612" s="53"/>
      <c r="M612" s="53"/>
      <c r="N612" s="53"/>
      <c r="O612" s="53"/>
      <c r="P612" s="53"/>
      <c r="Q612" s="53"/>
      <c r="R612" s="53"/>
      <c r="S612" s="53"/>
      <c r="T612" s="53"/>
      <c r="U612" s="53"/>
      <c r="V612" s="53"/>
      <c r="W612" s="53"/>
      <c r="X612" s="53"/>
      <c r="Y612" s="53"/>
      <c r="Z612" s="53"/>
    </row>
    <row r="613" spans="1:26" ht="13.5" customHeight="1">
      <c r="A613" s="53"/>
      <c r="B613" s="53"/>
      <c r="C613" s="53"/>
      <c r="D613" s="53"/>
      <c r="E613" s="53"/>
      <c r="F613" s="53"/>
      <c r="G613" s="53"/>
      <c r="H613" s="53"/>
      <c r="I613" s="53"/>
      <c r="J613" s="53"/>
      <c r="K613" s="53"/>
      <c r="L613" s="53"/>
      <c r="M613" s="53"/>
      <c r="N613" s="53"/>
      <c r="O613" s="53"/>
      <c r="P613" s="53"/>
      <c r="Q613" s="53"/>
      <c r="R613" s="53"/>
      <c r="S613" s="53"/>
      <c r="T613" s="53"/>
      <c r="U613" s="53"/>
      <c r="V613" s="53"/>
      <c r="W613" s="53"/>
      <c r="X613" s="53"/>
      <c r="Y613" s="53"/>
      <c r="Z613" s="53"/>
    </row>
    <row r="614" spans="1:26" ht="13.5" customHeight="1">
      <c r="A614" s="53"/>
      <c r="B614" s="53"/>
      <c r="C614" s="53"/>
      <c r="D614" s="53"/>
      <c r="E614" s="53"/>
      <c r="F614" s="53"/>
      <c r="G614" s="53"/>
      <c r="H614" s="53"/>
      <c r="I614" s="53"/>
      <c r="J614" s="53"/>
      <c r="K614" s="53"/>
      <c r="L614" s="53"/>
      <c r="M614" s="53"/>
      <c r="N614" s="53"/>
      <c r="O614" s="53"/>
      <c r="P614" s="53"/>
      <c r="Q614" s="53"/>
      <c r="R614" s="53"/>
      <c r="S614" s="53"/>
      <c r="T614" s="53"/>
      <c r="U614" s="53"/>
      <c r="V614" s="53"/>
      <c r="W614" s="53"/>
      <c r="X614" s="53"/>
      <c r="Y614" s="53"/>
      <c r="Z614" s="53"/>
    </row>
    <row r="615" spans="1:26" ht="13.5" customHeight="1">
      <c r="A615" s="53"/>
      <c r="B615" s="53"/>
      <c r="C615" s="53"/>
      <c r="D615" s="53"/>
      <c r="E615" s="53"/>
      <c r="F615" s="53"/>
      <c r="G615" s="53"/>
      <c r="H615" s="53"/>
      <c r="I615" s="53"/>
      <c r="J615" s="53"/>
      <c r="K615" s="53"/>
      <c r="L615" s="53"/>
      <c r="M615" s="53"/>
      <c r="N615" s="53"/>
      <c r="O615" s="53"/>
      <c r="P615" s="53"/>
      <c r="Q615" s="53"/>
      <c r="R615" s="53"/>
      <c r="S615" s="53"/>
      <c r="T615" s="53"/>
      <c r="U615" s="53"/>
      <c r="V615" s="53"/>
      <c r="W615" s="53"/>
      <c r="X615" s="53"/>
      <c r="Y615" s="53"/>
      <c r="Z615" s="53"/>
    </row>
    <row r="616" spans="1:26" ht="13.5" customHeight="1">
      <c r="A616" s="53"/>
      <c r="B616" s="53"/>
      <c r="C616" s="53"/>
      <c r="D616" s="53"/>
      <c r="E616" s="53"/>
      <c r="F616" s="53"/>
      <c r="G616" s="53"/>
      <c r="H616" s="53"/>
      <c r="I616" s="53"/>
      <c r="J616" s="53"/>
      <c r="K616" s="53"/>
      <c r="L616" s="53"/>
      <c r="M616" s="53"/>
      <c r="N616" s="53"/>
      <c r="O616" s="53"/>
      <c r="P616" s="53"/>
      <c r="Q616" s="53"/>
      <c r="R616" s="53"/>
      <c r="S616" s="53"/>
      <c r="T616" s="53"/>
      <c r="U616" s="53"/>
      <c r="V616" s="53"/>
      <c r="W616" s="53"/>
      <c r="X616" s="53"/>
      <c r="Y616" s="53"/>
      <c r="Z616" s="53"/>
    </row>
    <row r="617" spans="1:26" ht="13.5" customHeight="1">
      <c r="A617" s="53"/>
      <c r="B617" s="53"/>
      <c r="C617" s="53"/>
      <c r="D617" s="53"/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  <c r="R617" s="53"/>
      <c r="S617" s="53"/>
      <c r="T617" s="53"/>
      <c r="U617" s="53"/>
      <c r="V617" s="53"/>
      <c r="W617" s="53"/>
      <c r="X617" s="53"/>
      <c r="Y617" s="53"/>
      <c r="Z617" s="53"/>
    </row>
    <row r="618" spans="1:26" ht="13.5" customHeight="1">
      <c r="A618" s="53"/>
      <c r="B618" s="53"/>
      <c r="C618" s="53"/>
      <c r="D618" s="53"/>
      <c r="E618" s="53"/>
      <c r="F618" s="53"/>
      <c r="G618" s="53"/>
      <c r="H618" s="53"/>
      <c r="I618" s="53"/>
      <c r="J618" s="53"/>
      <c r="K618" s="53"/>
      <c r="L618" s="53"/>
      <c r="M618" s="53"/>
      <c r="N618" s="53"/>
      <c r="O618" s="53"/>
      <c r="P618" s="53"/>
      <c r="Q618" s="53"/>
      <c r="R618" s="53"/>
      <c r="S618" s="53"/>
      <c r="T618" s="53"/>
      <c r="U618" s="53"/>
      <c r="V618" s="53"/>
      <c r="W618" s="53"/>
      <c r="X618" s="53"/>
      <c r="Y618" s="53"/>
      <c r="Z618" s="53"/>
    </row>
    <row r="619" spans="1:26" ht="13.5" customHeight="1">
      <c r="A619" s="53"/>
      <c r="B619" s="53"/>
      <c r="C619" s="53"/>
      <c r="D619" s="53"/>
      <c r="E619" s="53"/>
      <c r="F619" s="53"/>
      <c r="G619" s="53"/>
      <c r="H619" s="53"/>
      <c r="I619" s="53"/>
      <c r="J619" s="53"/>
      <c r="K619" s="53"/>
      <c r="L619" s="53"/>
      <c r="M619" s="53"/>
      <c r="N619" s="53"/>
      <c r="O619" s="53"/>
      <c r="P619" s="53"/>
      <c r="Q619" s="53"/>
      <c r="R619" s="53"/>
      <c r="S619" s="53"/>
      <c r="T619" s="53"/>
      <c r="U619" s="53"/>
      <c r="V619" s="53"/>
      <c r="W619" s="53"/>
      <c r="X619" s="53"/>
      <c r="Y619" s="53"/>
      <c r="Z619" s="53"/>
    </row>
    <row r="620" spans="1:26" ht="13.5" customHeight="1">
      <c r="A620" s="53"/>
      <c r="B620" s="53"/>
      <c r="C620" s="53"/>
      <c r="D620" s="53"/>
      <c r="E620" s="53"/>
      <c r="F620" s="53"/>
      <c r="G620" s="53"/>
      <c r="H620" s="53"/>
      <c r="I620" s="53"/>
      <c r="J620" s="53"/>
      <c r="K620" s="53"/>
      <c r="L620" s="53"/>
      <c r="M620" s="53"/>
      <c r="N620" s="53"/>
      <c r="O620" s="53"/>
      <c r="P620" s="53"/>
      <c r="Q620" s="53"/>
      <c r="R620" s="53"/>
      <c r="S620" s="53"/>
      <c r="T620" s="53"/>
      <c r="U620" s="53"/>
      <c r="V620" s="53"/>
      <c r="W620" s="53"/>
      <c r="X620" s="53"/>
      <c r="Y620" s="53"/>
      <c r="Z620" s="53"/>
    </row>
    <row r="621" spans="1:26" ht="13.5" customHeight="1">
      <c r="A621" s="53"/>
      <c r="B621" s="53"/>
      <c r="C621" s="53"/>
      <c r="D621" s="53"/>
      <c r="E621" s="53"/>
      <c r="F621" s="53"/>
      <c r="G621" s="53"/>
      <c r="H621" s="53"/>
      <c r="I621" s="53"/>
      <c r="J621" s="53"/>
      <c r="K621" s="53"/>
      <c r="L621" s="53"/>
      <c r="M621" s="53"/>
      <c r="N621" s="53"/>
      <c r="O621" s="53"/>
      <c r="P621" s="53"/>
      <c r="Q621" s="53"/>
      <c r="R621" s="53"/>
      <c r="S621" s="53"/>
      <c r="T621" s="53"/>
      <c r="U621" s="53"/>
      <c r="V621" s="53"/>
      <c r="W621" s="53"/>
      <c r="X621" s="53"/>
      <c r="Y621" s="53"/>
      <c r="Z621" s="53"/>
    </row>
    <row r="622" spans="1:26" ht="13.5" customHeight="1">
      <c r="A622" s="53"/>
      <c r="B622" s="53"/>
      <c r="C622" s="53"/>
      <c r="D622" s="53"/>
      <c r="E622" s="53"/>
      <c r="F622" s="53"/>
      <c r="G622" s="53"/>
      <c r="H622" s="53"/>
      <c r="I622" s="53"/>
      <c r="J622" s="53"/>
      <c r="K622" s="53"/>
      <c r="L622" s="53"/>
      <c r="M622" s="53"/>
      <c r="N622" s="53"/>
      <c r="O622" s="53"/>
      <c r="P622" s="53"/>
      <c r="Q622" s="53"/>
      <c r="R622" s="53"/>
      <c r="S622" s="53"/>
      <c r="T622" s="53"/>
      <c r="U622" s="53"/>
      <c r="V622" s="53"/>
      <c r="W622" s="53"/>
      <c r="X622" s="53"/>
      <c r="Y622" s="53"/>
      <c r="Z622" s="53"/>
    </row>
    <row r="623" spans="1:26" ht="13.5" customHeight="1">
      <c r="A623" s="53"/>
      <c r="B623" s="53"/>
      <c r="C623" s="53"/>
      <c r="D623" s="53"/>
      <c r="E623" s="53"/>
      <c r="F623" s="53"/>
      <c r="G623" s="53"/>
      <c r="H623" s="53"/>
      <c r="I623" s="53"/>
      <c r="J623" s="53"/>
      <c r="K623" s="53"/>
      <c r="L623" s="53"/>
      <c r="M623" s="53"/>
      <c r="N623" s="53"/>
      <c r="O623" s="53"/>
      <c r="P623" s="53"/>
      <c r="Q623" s="53"/>
      <c r="R623" s="53"/>
      <c r="S623" s="53"/>
      <c r="T623" s="53"/>
      <c r="U623" s="53"/>
      <c r="V623" s="53"/>
      <c r="W623" s="53"/>
      <c r="X623" s="53"/>
      <c r="Y623" s="53"/>
      <c r="Z623" s="53"/>
    </row>
    <row r="624" spans="1:26" ht="13.5" customHeight="1">
      <c r="A624" s="53"/>
      <c r="B624" s="53"/>
      <c r="C624" s="53"/>
      <c r="D624" s="53"/>
      <c r="E624" s="53"/>
      <c r="F624" s="53"/>
      <c r="G624" s="53"/>
      <c r="H624" s="53"/>
      <c r="I624" s="53"/>
      <c r="J624" s="53"/>
      <c r="K624" s="53"/>
      <c r="L624" s="53"/>
      <c r="M624" s="53"/>
      <c r="N624" s="53"/>
      <c r="O624" s="53"/>
      <c r="P624" s="53"/>
      <c r="Q624" s="53"/>
      <c r="R624" s="53"/>
      <c r="S624" s="53"/>
      <c r="T624" s="53"/>
      <c r="U624" s="53"/>
      <c r="V624" s="53"/>
      <c r="W624" s="53"/>
      <c r="X624" s="53"/>
      <c r="Y624" s="53"/>
      <c r="Z624" s="53"/>
    </row>
    <row r="625" spans="1:26" ht="13.5" customHeight="1">
      <c r="A625" s="53"/>
      <c r="B625" s="53"/>
      <c r="C625" s="53"/>
      <c r="D625" s="53"/>
      <c r="E625" s="53"/>
      <c r="F625" s="53"/>
      <c r="G625" s="53"/>
      <c r="H625" s="53"/>
      <c r="I625" s="53"/>
      <c r="J625" s="53"/>
      <c r="K625" s="53"/>
      <c r="L625" s="53"/>
      <c r="M625" s="53"/>
      <c r="N625" s="53"/>
      <c r="O625" s="53"/>
      <c r="P625" s="53"/>
      <c r="Q625" s="53"/>
      <c r="R625" s="53"/>
      <c r="S625" s="53"/>
      <c r="T625" s="53"/>
      <c r="U625" s="53"/>
      <c r="V625" s="53"/>
      <c r="W625" s="53"/>
      <c r="X625" s="53"/>
      <c r="Y625" s="53"/>
      <c r="Z625" s="53"/>
    </row>
    <row r="626" spans="1:26" ht="13.5" customHeight="1">
      <c r="A626" s="53"/>
      <c r="B626" s="53"/>
      <c r="C626" s="53"/>
      <c r="D626" s="53"/>
      <c r="E626" s="53"/>
      <c r="F626" s="53"/>
      <c r="G626" s="53"/>
      <c r="H626" s="53"/>
      <c r="I626" s="53"/>
      <c r="J626" s="53"/>
      <c r="K626" s="53"/>
      <c r="L626" s="53"/>
      <c r="M626" s="53"/>
      <c r="N626" s="53"/>
      <c r="O626" s="53"/>
      <c r="P626" s="53"/>
      <c r="Q626" s="53"/>
      <c r="R626" s="53"/>
      <c r="S626" s="53"/>
      <c r="T626" s="53"/>
      <c r="U626" s="53"/>
      <c r="V626" s="53"/>
      <c r="W626" s="53"/>
      <c r="X626" s="53"/>
      <c r="Y626" s="53"/>
      <c r="Z626" s="53"/>
    </row>
    <row r="627" spans="1:26" ht="13.5" customHeight="1">
      <c r="A627" s="53"/>
      <c r="B627" s="53"/>
      <c r="C627" s="53"/>
      <c r="D627" s="53"/>
      <c r="E627" s="53"/>
      <c r="F627" s="53"/>
      <c r="G627" s="53"/>
      <c r="H627" s="53"/>
      <c r="I627" s="53"/>
      <c r="J627" s="53"/>
      <c r="K627" s="53"/>
      <c r="L627" s="53"/>
      <c r="M627" s="53"/>
      <c r="N627" s="53"/>
      <c r="O627" s="53"/>
      <c r="P627" s="53"/>
      <c r="Q627" s="53"/>
      <c r="R627" s="53"/>
      <c r="S627" s="53"/>
      <c r="T627" s="53"/>
      <c r="U627" s="53"/>
      <c r="V627" s="53"/>
      <c r="W627" s="53"/>
      <c r="X627" s="53"/>
      <c r="Y627" s="53"/>
      <c r="Z627" s="53"/>
    </row>
    <row r="628" spans="1:26" ht="13.5" customHeight="1">
      <c r="A628" s="53"/>
      <c r="B628" s="53"/>
      <c r="C628" s="53"/>
      <c r="D628" s="53"/>
      <c r="E628" s="53"/>
      <c r="F628" s="53"/>
      <c r="G628" s="53"/>
      <c r="H628" s="53"/>
      <c r="I628" s="53"/>
      <c r="J628" s="53"/>
      <c r="K628" s="53"/>
      <c r="L628" s="53"/>
      <c r="M628" s="53"/>
      <c r="N628" s="53"/>
      <c r="O628" s="53"/>
      <c r="P628" s="53"/>
      <c r="Q628" s="53"/>
      <c r="R628" s="53"/>
      <c r="S628" s="53"/>
      <c r="T628" s="53"/>
      <c r="U628" s="53"/>
      <c r="V628" s="53"/>
      <c r="W628" s="53"/>
      <c r="X628" s="53"/>
      <c r="Y628" s="53"/>
      <c r="Z628" s="53"/>
    </row>
    <row r="629" spans="1:26" ht="13.5" customHeight="1">
      <c r="A629" s="53"/>
      <c r="B629" s="53"/>
      <c r="C629" s="53"/>
      <c r="D629" s="53"/>
      <c r="E629" s="53"/>
      <c r="F629" s="53"/>
      <c r="G629" s="53"/>
      <c r="H629" s="53"/>
      <c r="I629" s="53"/>
      <c r="J629" s="53"/>
      <c r="K629" s="53"/>
      <c r="L629" s="53"/>
      <c r="M629" s="53"/>
      <c r="N629" s="53"/>
      <c r="O629" s="53"/>
      <c r="P629" s="53"/>
      <c r="Q629" s="53"/>
      <c r="R629" s="53"/>
      <c r="S629" s="53"/>
      <c r="T629" s="53"/>
      <c r="U629" s="53"/>
      <c r="V629" s="53"/>
      <c r="W629" s="53"/>
      <c r="X629" s="53"/>
      <c r="Y629" s="53"/>
      <c r="Z629" s="53"/>
    </row>
    <row r="630" spans="1:26" ht="13.5" customHeight="1">
      <c r="A630" s="53"/>
      <c r="B630" s="53"/>
      <c r="C630" s="53"/>
      <c r="D630" s="53"/>
      <c r="E630" s="53"/>
      <c r="F630" s="53"/>
      <c r="G630" s="53"/>
      <c r="H630" s="53"/>
      <c r="I630" s="53"/>
      <c r="J630" s="53"/>
      <c r="K630" s="53"/>
      <c r="L630" s="53"/>
      <c r="M630" s="53"/>
      <c r="N630" s="53"/>
      <c r="O630" s="53"/>
      <c r="P630" s="53"/>
      <c r="Q630" s="53"/>
      <c r="R630" s="53"/>
      <c r="S630" s="53"/>
      <c r="T630" s="53"/>
      <c r="U630" s="53"/>
      <c r="V630" s="53"/>
      <c r="W630" s="53"/>
      <c r="X630" s="53"/>
      <c r="Y630" s="53"/>
      <c r="Z630" s="53"/>
    </row>
    <row r="631" spans="1:26" ht="13.5" customHeight="1">
      <c r="A631" s="53"/>
      <c r="B631" s="53"/>
      <c r="C631" s="53"/>
      <c r="D631" s="53"/>
      <c r="E631" s="53"/>
      <c r="F631" s="53"/>
      <c r="G631" s="53"/>
      <c r="H631" s="53"/>
      <c r="I631" s="53"/>
      <c r="J631" s="53"/>
      <c r="K631" s="53"/>
      <c r="L631" s="53"/>
      <c r="M631" s="53"/>
      <c r="N631" s="53"/>
      <c r="O631" s="53"/>
      <c r="P631" s="53"/>
      <c r="Q631" s="53"/>
      <c r="R631" s="53"/>
      <c r="S631" s="53"/>
      <c r="T631" s="53"/>
      <c r="U631" s="53"/>
      <c r="V631" s="53"/>
      <c r="W631" s="53"/>
      <c r="X631" s="53"/>
      <c r="Y631" s="53"/>
      <c r="Z631" s="53"/>
    </row>
    <row r="632" spans="1:26" ht="13.5" customHeight="1">
      <c r="A632" s="53"/>
      <c r="B632" s="53"/>
      <c r="C632" s="53"/>
      <c r="D632" s="53"/>
      <c r="E632" s="53"/>
      <c r="F632" s="53"/>
      <c r="G632" s="53"/>
      <c r="H632" s="53"/>
      <c r="I632" s="53"/>
      <c r="J632" s="53"/>
      <c r="K632" s="53"/>
      <c r="L632" s="53"/>
      <c r="M632" s="53"/>
      <c r="N632" s="53"/>
      <c r="O632" s="53"/>
      <c r="P632" s="53"/>
      <c r="Q632" s="53"/>
      <c r="R632" s="53"/>
      <c r="S632" s="53"/>
      <c r="T632" s="53"/>
      <c r="U632" s="53"/>
      <c r="V632" s="53"/>
      <c r="W632" s="53"/>
      <c r="X632" s="53"/>
      <c r="Y632" s="53"/>
      <c r="Z632" s="53"/>
    </row>
    <row r="633" spans="1:26" ht="13.5" customHeight="1">
      <c r="A633" s="53"/>
      <c r="B633" s="53"/>
      <c r="C633" s="53"/>
      <c r="D633" s="53"/>
      <c r="E633" s="53"/>
      <c r="F633" s="53"/>
      <c r="G633" s="53"/>
      <c r="H633" s="53"/>
      <c r="I633" s="53"/>
      <c r="J633" s="53"/>
      <c r="K633" s="53"/>
      <c r="L633" s="53"/>
      <c r="M633" s="53"/>
      <c r="N633" s="53"/>
      <c r="O633" s="53"/>
      <c r="P633" s="53"/>
      <c r="Q633" s="53"/>
      <c r="R633" s="53"/>
      <c r="S633" s="53"/>
      <c r="T633" s="53"/>
      <c r="U633" s="53"/>
      <c r="V633" s="53"/>
      <c r="W633" s="53"/>
      <c r="X633" s="53"/>
      <c r="Y633" s="53"/>
      <c r="Z633" s="53"/>
    </row>
    <row r="634" spans="1:26" ht="13.5" customHeight="1">
      <c r="A634" s="53"/>
      <c r="B634" s="53"/>
      <c r="C634" s="53"/>
      <c r="D634" s="53"/>
      <c r="E634" s="53"/>
      <c r="F634" s="53"/>
      <c r="G634" s="53"/>
      <c r="H634" s="53"/>
      <c r="I634" s="53"/>
      <c r="J634" s="53"/>
      <c r="K634" s="53"/>
      <c r="L634" s="53"/>
      <c r="M634" s="53"/>
      <c r="N634" s="53"/>
      <c r="O634" s="53"/>
      <c r="P634" s="53"/>
      <c r="Q634" s="53"/>
      <c r="R634" s="53"/>
      <c r="S634" s="53"/>
      <c r="T634" s="53"/>
      <c r="U634" s="53"/>
      <c r="V634" s="53"/>
      <c r="W634" s="53"/>
      <c r="X634" s="53"/>
      <c r="Y634" s="53"/>
      <c r="Z634" s="53"/>
    </row>
    <row r="635" spans="1:26" ht="13.5" customHeight="1">
      <c r="A635" s="53"/>
      <c r="B635" s="53"/>
      <c r="C635" s="53"/>
      <c r="D635" s="53"/>
      <c r="E635" s="53"/>
      <c r="F635" s="53"/>
      <c r="G635" s="53"/>
      <c r="H635" s="53"/>
      <c r="I635" s="53"/>
      <c r="J635" s="53"/>
      <c r="K635" s="53"/>
      <c r="L635" s="53"/>
      <c r="M635" s="53"/>
      <c r="N635" s="53"/>
      <c r="O635" s="53"/>
      <c r="P635" s="53"/>
      <c r="Q635" s="53"/>
      <c r="R635" s="53"/>
      <c r="S635" s="53"/>
      <c r="T635" s="53"/>
      <c r="U635" s="53"/>
      <c r="V635" s="53"/>
      <c r="W635" s="53"/>
      <c r="X635" s="53"/>
      <c r="Y635" s="53"/>
      <c r="Z635" s="53"/>
    </row>
    <row r="636" spans="1:26" ht="13.5" customHeight="1">
      <c r="A636" s="53"/>
      <c r="B636" s="53"/>
      <c r="C636" s="53"/>
      <c r="D636" s="53"/>
      <c r="E636" s="53"/>
      <c r="F636" s="53"/>
      <c r="G636" s="53"/>
      <c r="H636" s="53"/>
      <c r="I636" s="53"/>
      <c r="J636" s="53"/>
      <c r="K636" s="53"/>
      <c r="L636" s="53"/>
      <c r="M636" s="53"/>
      <c r="N636" s="53"/>
      <c r="O636" s="53"/>
      <c r="P636" s="53"/>
      <c r="Q636" s="53"/>
      <c r="R636" s="53"/>
      <c r="S636" s="53"/>
      <c r="T636" s="53"/>
      <c r="U636" s="53"/>
      <c r="V636" s="53"/>
      <c r="W636" s="53"/>
      <c r="X636" s="53"/>
      <c r="Y636" s="53"/>
      <c r="Z636" s="53"/>
    </row>
    <row r="637" spans="1:26" ht="13.5" customHeight="1">
      <c r="A637" s="53"/>
      <c r="B637" s="53"/>
      <c r="C637" s="53"/>
      <c r="D637" s="53"/>
      <c r="E637" s="53"/>
      <c r="F637" s="53"/>
      <c r="G637" s="53"/>
      <c r="H637" s="53"/>
      <c r="I637" s="53"/>
      <c r="J637" s="53"/>
      <c r="K637" s="53"/>
      <c r="L637" s="53"/>
      <c r="M637" s="53"/>
      <c r="N637" s="53"/>
      <c r="O637" s="53"/>
      <c r="P637" s="53"/>
      <c r="Q637" s="53"/>
      <c r="R637" s="53"/>
      <c r="S637" s="53"/>
      <c r="T637" s="53"/>
      <c r="U637" s="53"/>
      <c r="V637" s="53"/>
      <c r="W637" s="53"/>
      <c r="X637" s="53"/>
      <c r="Y637" s="53"/>
      <c r="Z637" s="53"/>
    </row>
    <row r="638" spans="1:26" ht="13.5" customHeight="1">
      <c r="A638" s="53"/>
      <c r="B638" s="53"/>
      <c r="C638" s="53"/>
      <c r="D638" s="53"/>
      <c r="E638" s="53"/>
      <c r="F638" s="53"/>
      <c r="G638" s="53"/>
      <c r="H638" s="53"/>
      <c r="I638" s="53"/>
      <c r="J638" s="53"/>
      <c r="K638" s="53"/>
      <c r="L638" s="53"/>
      <c r="M638" s="53"/>
      <c r="N638" s="53"/>
      <c r="O638" s="53"/>
      <c r="P638" s="53"/>
      <c r="Q638" s="53"/>
      <c r="R638" s="53"/>
      <c r="S638" s="53"/>
      <c r="T638" s="53"/>
      <c r="U638" s="53"/>
      <c r="V638" s="53"/>
      <c r="W638" s="53"/>
      <c r="X638" s="53"/>
      <c r="Y638" s="53"/>
      <c r="Z638" s="53"/>
    </row>
    <row r="639" spans="1:26" ht="13.5" customHeight="1">
      <c r="A639" s="53"/>
      <c r="B639" s="53"/>
      <c r="C639" s="53"/>
      <c r="D639" s="53"/>
      <c r="E639" s="53"/>
      <c r="F639" s="53"/>
      <c r="G639" s="53"/>
      <c r="H639" s="53"/>
      <c r="I639" s="53"/>
      <c r="J639" s="53"/>
      <c r="K639" s="53"/>
      <c r="L639" s="53"/>
      <c r="M639" s="53"/>
      <c r="N639" s="53"/>
      <c r="O639" s="53"/>
      <c r="P639" s="53"/>
      <c r="Q639" s="53"/>
      <c r="R639" s="53"/>
      <c r="S639" s="53"/>
      <c r="T639" s="53"/>
      <c r="U639" s="53"/>
      <c r="V639" s="53"/>
      <c r="W639" s="53"/>
      <c r="X639" s="53"/>
      <c r="Y639" s="53"/>
      <c r="Z639" s="53"/>
    </row>
    <row r="640" spans="1:26" ht="13.5" customHeight="1">
      <c r="A640" s="53"/>
      <c r="B640" s="53"/>
      <c r="C640" s="53"/>
      <c r="D640" s="53"/>
      <c r="E640" s="53"/>
      <c r="F640" s="53"/>
      <c r="G640" s="53"/>
      <c r="H640" s="53"/>
      <c r="I640" s="53"/>
      <c r="J640" s="53"/>
      <c r="K640" s="53"/>
      <c r="L640" s="53"/>
      <c r="M640" s="53"/>
      <c r="N640" s="53"/>
      <c r="O640" s="53"/>
      <c r="P640" s="53"/>
      <c r="Q640" s="53"/>
      <c r="R640" s="53"/>
      <c r="S640" s="53"/>
      <c r="T640" s="53"/>
      <c r="U640" s="53"/>
      <c r="V640" s="53"/>
      <c r="W640" s="53"/>
      <c r="X640" s="53"/>
      <c r="Y640" s="53"/>
      <c r="Z640" s="53"/>
    </row>
    <row r="641" spans="1:26" ht="13.5" customHeight="1">
      <c r="A641" s="53"/>
      <c r="B641" s="53"/>
      <c r="C641" s="53"/>
      <c r="D641" s="53"/>
      <c r="E641" s="53"/>
      <c r="F641" s="53"/>
      <c r="G641" s="53"/>
      <c r="H641" s="53"/>
      <c r="I641" s="53"/>
      <c r="J641" s="53"/>
      <c r="K641" s="53"/>
      <c r="L641" s="53"/>
      <c r="M641" s="53"/>
      <c r="N641" s="53"/>
      <c r="O641" s="53"/>
      <c r="P641" s="53"/>
      <c r="Q641" s="53"/>
      <c r="R641" s="53"/>
      <c r="S641" s="53"/>
      <c r="T641" s="53"/>
      <c r="U641" s="53"/>
      <c r="V641" s="53"/>
      <c r="W641" s="53"/>
      <c r="X641" s="53"/>
      <c r="Y641" s="53"/>
      <c r="Z641" s="53"/>
    </row>
    <row r="642" spans="1:26" ht="13.5" customHeight="1">
      <c r="A642" s="53"/>
      <c r="B642" s="53"/>
      <c r="C642" s="53"/>
      <c r="D642" s="53"/>
      <c r="E642" s="53"/>
      <c r="F642" s="53"/>
      <c r="G642" s="53"/>
      <c r="H642" s="53"/>
      <c r="I642" s="53"/>
      <c r="J642" s="53"/>
      <c r="K642" s="53"/>
      <c r="L642" s="53"/>
      <c r="M642" s="53"/>
      <c r="N642" s="53"/>
      <c r="O642" s="53"/>
      <c r="P642" s="53"/>
      <c r="Q642" s="53"/>
      <c r="R642" s="53"/>
      <c r="S642" s="53"/>
      <c r="T642" s="53"/>
      <c r="U642" s="53"/>
      <c r="V642" s="53"/>
      <c r="W642" s="53"/>
      <c r="X642" s="53"/>
      <c r="Y642" s="53"/>
      <c r="Z642" s="53"/>
    </row>
    <row r="643" spans="1:26" ht="13.5" customHeight="1">
      <c r="A643" s="53"/>
      <c r="B643" s="53"/>
      <c r="C643" s="53"/>
      <c r="D643" s="53"/>
      <c r="E643" s="53"/>
      <c r="F643" s="53"/>
      <c r="G643" s="53"/>
      <c r="H643" s="53"/>
      <c r="I643" s="53"/>
      <c r="J643" s="53"/>
      <c r="K643" s="53"/>
      <c r="L643" s="53"/>
      <c r="M643" s="53"/>
      <c r="N643" s="53"/>
      <c r="O643" s="53"/>
      <c r="P643" s="53"/>
      <c r="Q643" s="53"/>
      <c r="R643" s="53"/>
      <c r="S643" s="53"/>
      <c r="T643" s="53"/>
      <c r="U643" s="53"/>
      <c r="V643" s="53"/>
      <c r="W643" s="53"/>
      <c r="X643" s="53"/>
      <c r="Y643" s="53"/>
      <c r="Z643" s="53"/>
    </row>
    <row r="644" spans="1:26" ht="13.5" customHeight="1">
      <c r="A644" s="53"/>
      <c r="B644" s="53"/>
      <c r="C644" s="53"/>
      <c r="D644" s="53"/>
      <c r="E644" s="53"/>
      <c r="F644" s="53"/>
      <c r="G644" s="53"/>
      <c r="H644" s="53"/>
      <c r="I644" s="53"/>
      <c r="J644" s="53"/>
      <c r="K644" s="53"/>
      <c r="L644" s="53"/>
      <c r="M644" s="53"/>
      <c r="N644" s="53"/>
      <c r="O644" s="53"/>
      <c r="P644" s="53"/>
      <c r="Q644" s="53"/>
      <c r="R644" s="53"/>
      <c r="S644" s="53"/>
      <c r="T644" s="53"/>
      <c r="U644" s="53"/>
      <c r="V644" s="53"/>
      <c r="W644" s="53"/>
      <c r="X644" s="53"/>
      <c r="Y644" s="53"/>
      <c r="Z644" s="53"/>
    </row>
    <row r="645" spans="1:26" ht="13.5" customHeight="1">
      <c r="A645" s="53"/>
      <c r="B645" s="53"/>
      <c r="C645" s="53"/>
      <c r="D645" s="53"/>
      <c r="E645" s="53"/>
      <c r="F645" s="53"/>
      <c r="G645" s="53"/>
      <c r="H645" s="53"/>
      <c r="I645" s="53"/>
      <c r="J645" s="53"/>
      <c r="K645" s="53"/>
      <c r="L645" s="53"/>
      <c r="M645" s="53"/>
      <c r="N645" s="53"/>
      <c r="O645" s="53"/>
      <c r="P645" s="53"/>
      <c r="Q645" s="53"/>
      <c r="R645" s="53"/>
      <c r="S645" s="53"/>
      <c r="T645" s="53"/>
      <c r="U645" s="53"/>
      <c r="V645" s="53"/>
      <c r="W645" s="53"/>
      <c r="X645" s="53"/>
      <c r="Y645" s="53"/>
      <c r="Z645" s="53"/>
    </row>
    <row r="646" spans="1:26" ht="13.5" customHeight="1">
      <c r="A646" s="53"/>
      <c r="B646" s="53"/>
      <c r="C646" s="53"/>
      <c r="D646" s="53"/>
      <c r="E646" s="53"/>
      <c r="F646" s="53"/>
      <c r="G646" s="53"/>
      <c r="H646" s="53"/>
      <c r="I646" s="53"/>
      <c r="J646" s="53"/>
      <c r="K646" s="53"/>
      <c r="L646" s="53"/>
      <c r="M646" s="53"/>
      <c r="N646" s="53"/>
      <c r="O646" s="53"/>
      <c r="P646" s="53"/>
      <c r="Q646" s="53"/>
      <c r="R646" s="53"/>
      <c r="S646" s="53"/>
      <c r="T646" s="53"/>
      <c r="U646" s="53"/>
      <c r="V646" s="53"/>
      <c r="W646" s="53"/>
      <c r="X646" s="53"/>
      <c r="Y646" s="53"/>
      <c r="Z646" s="53"/>
    </row>
    <row r="647" spans="1:26" ht="13.5" customHeight="1">
      <c r="A647" s="53"/>
      <c r="B647" s="53"/>
      <c r="C647" s="53"/>
      <c r="D647" s="53"/>
      <c r="E647" s="53"/>
      <c r="F647" s="53"/>
      <c r="G647" s="53"/>
      <c r="H647" s="53"/>
      <c r="I647" s="53"/>
      <c r="J647" s="53"/>
      <c r="K647" s="53"/>
      <c r="L647" s="53"/>
      <c r="M647" s="53"/>
      <c r="N647" s="53"/>
      <c r="O647" s="53"/>
      <c r="P647" s="53"/>
      <c r="Q647" s="53"/>
      <c r="R647" s="53"/>
      <c r="S647" s="53"/>
      <c r="T647" s="53"/>
      <c r="U647" s="53"/>
      <c r="V647" s="53"/>
      <c r="W647" s="53"/>
      <c r="X647" s="53"/>
      <c r="Y647" s="53"/>
      <c r="Z647" s="53"/>
    </row>
    <row r="648" spans="1:26" ht="13.5" customHeight="1">
      <c r="A648" s="53"/>
      <c r="B648" s="53"/>
      <c r="C648" s="53"/>
      <c r="D648" s="53"/>
      <c r="E648" s="53"/>
      <c r="F648" s="53"/>
      <c r="G648" s="53"/>
      <c r="H648" s="53"/>
      <c r="I648" s="53"/>
      <c r="J648" s="53"/>
      <c r="K648" s="53"/>
      <c r="L648" s="53"/>
      <c r="M648" s="53"/>
      <c r="N648" s="53"/>
      <c r="O648" s="53"/>
      <c r="P648" s="53"/>
      <c r="Q648" s="53"/>
      <c r="R648" s="53"/>
      <c r="S648" s="53"/>
      <c r="T648" s="53"/>
      <c r="U648" s="53"/>
      <c r="V648" s="53"/>
      <c r="W648" s="53"/>
      <c r="X648" s="53"/>
      <c r="Y648" s="53"/>
      <c r="Z648" s="53"/>
    </row>
    <row r="649" spans="1:26" ht="13.5" customHeight="1">
      <c r="A649" s="53"/>
      <c r="B649" s="53"/>
      <c r="C649" s="53"/>
      <c r="D649" s="53"/>
      <c r="E649" s="53"/>
      <c r="F649" s="53"/>
      <c r="G649" s="53"/>
      <c r="H649" s="53"/>
      <c r="I649" s="53"/>
      <c r="J649" s="53"/>
      <c r="K649" s="53"/>
      <c r="L649" s="53"/>
      <c r="M649" s="53"/>
      <c r="N649" s="53"/>
      <c r="O649" s="53"/>
      <c r="P649" s="53"/>
      <c r="Q649" s="53"/>
      <c r="R649" s="53"/>
      <c r="S649" s="53"/>
      <c r="T649" s="53"/>
      <c r="U649" s="53"/>
      <c r="V649" s="53"/>
      <c r="W649" s="53"/>
      <c r="X649" s="53"/>
      <c r="Y649" s="53"/>
      <c r="Z649" s="53"/>
    </row>
    <row r="650" spans="1:26" ht="13.5" customHeight="1">
      <c r="A650" s="53"/>
      <c r="B650" s="53"/>
      <c r="C650" s="53"/>
      <c r="D650" s="53"/>
      <c r="E650" s="53"/>
      <c r="F650" s="53"/>
      <c r="G650" s="53"/>
      <c r="H650" s="53"/>
      <c r="I650" s="53"/>
      <c r="J650" s="53"/>
      <c r="K650" s="53"/>
      <c r="L650" s="53"/>
      <c r="M650" s="53"/>
      <c r="N650" s="53"/>
      <c r="O650" s="53"/>
      <c r="P650" s="53"/>
      <c r="Q650" s="53"/>
      <c r="R650" s="53"/>
      <c r="S650" s="53"/>
      <c r="T650" s="53"/>
      <c r="U650" s="53"/>
      <c r="V650" s="53"/>
      <c r="W650" s="53"/>
      <c r="X650" s="53"/>
      <c r="Y650" s="53"/>
      <c r="Z650" s="53"/>
    </row>
    <row r="651" spans="1:26" ht="13.5" customHeight="1">
      <c r="A651" s="53"/>
      <c r="B651" s="53"/>
      <c r="C651" s="53"/>
      <c r="D651" s="53"/>
      <c r="E651" s="53"/>
      <c r="F651" s="53"/>
      <c r="G651" s="53"/>
      <c r="H651" s="53"/>
      <c r="I651" s="53"/>
      <c r="J651" s="53"/>
      <c r="K651" s="53"/>
      <c r="L651" s="53"/>
      <c r="M651" s="53"/>
      <c r="N651" s="53"/>
      <c r="O651" s="53"/>
      <c r="P651" s="53"/>
      <c r="Q651" s="53"/>
      <c r="R651" s="53"/>
      <c r="S651" s="53"/>
      <c r="T651" s="53"/>
      <c r="U651" s="53"/>
      <c r="V651" s="53"/>
      <c r="W651" s="53"/>
      <c r="X651" s="53"/>
      <c r="Y651" s="53"/>
      <c r="Z651" s="53"/>
    </row>
    <row r="652" spans="1:26" ht="13.5" customHeight="1">
      <c r="A652" s="53"/>
      <c r="B652" s="53"/>
      <c r="C652" s="53"/>
      <c r="D652" s="53"/>
      <c r="E652" s="53"/>
      <c r="F652" s="53"/>
      <c r="G652" s="53"/>
      <c r="H652" s="53"/>
      <c r="I652" s="53"/>
      <c r="J652" s="53"/>
      <c r="K652" s="53"/>
      <c r="L652" s="53"/>
      <c r="M652" s="53"/>
      <c r="N652" s="53"/>
      <c r="O652" s="53"/>
      <c r="P652" s="53"/>
      <c r="Q652" s="53"/>
      <c r="R652" s="53"/>
      <c r="S652" s="53"/>
      <c r="T652" s="53"/>
      <c r="U652" s="53"/>
      <c r="V652" s="53"/>
      <c r="W652" s="53"/>
      <c r="X652" s="53"/>
      <c r="Y652" s="53"/>
      <c r="Z652" s="53"/>
    </row>
    <row r="653" spans="1:26" ht="13.5" customHeight="1">
      <c r="A653" s="53"/>
      <c r="B653" s="53"/>
      <c r="C653" s="53"/>
      <c r="D653" s="53"/>
      <c r="E653" s="53"/>
      <c r="F653" s="53"/>
      <c r="G653" s="53"/>
      <c r="H653" s="53"/>
      <c r="I653" s="53"/>
      <c r="J653" s="53"/>
      <c r="K653" s="53"/>
      <c r="L653" s="53"/>
      <c r="M653" s="53"/>
      <c r="N653" s="53"/>
      <c r="O653" s="53"/>
      <c r="P653" s="53"/>
      <c r="Q653" s="53"/>
      <c r="R653" s="53"/>
      <c r="S653" s="53"/>
      <c r="T653" s="53"/>
      <c r="U653" s="53"/>
      <c r="V653" s="53"/>
      <c r="W653" s="53"/>
      <c r="X653" s="53"/>
      <c r="Y653" s="53"/>
      <c r="Z653" s="53"/>
    </row>
    <row r="654" spans="1:26" ht="13.5" customHeight="1">
      <c r="A654" s="53"/>
      <c r="B654" s="53"/>
      <c r="C654" s="53"/>
      <c r="D654" s="53"/>
      <c r="E654" s="53"/>
      <c r="F654" s="53"/>
      <c r="G654" s="53"/>
      <c r="H654" s="53"/>
      <c r="I654" s="53"/>
      <c r="J654" s="53"/>
      <c r="K654" s="53"/>
      <c r="L654" s="53"/>
      <c r="M654" s="53"/>
      <c r="N654" s="53"/>
      <c r="O654" s="53"/>
      <c r="P654" s="53"/>
      <c r="Q654" s="53"/>
      <c r="R654" s="53"/>
      <c r="S654" s="53"/>
      <c r="T654" s="53"/>
      <c r="U654" s="53"/>
      <c r="V654" s="53"/>
      <c r="W654" s="53"/>
      <c r="X654" s="53"/>
      <c r="Y654" s="53"/>
      <c r="Z654" s="53"/>
    </row>
    <row r="655" spans="1:26" ht="13.5" customHeight="1">
      <c r="A655" s="53"/>
      <c r="B655" s="53"/>
      <c r="C655" s="53"/>
      <c r="D655" s="53"/>
      <c r="E655" s="53"/>
      <c r="F655" s="53"/>
      <c r="G655" s="53"/>
      <c r="H655" s="53"/>
      <c r="I655" s="53"/>
      <c r="J655" s="53"/>
      <c r="K655" s="53"/>
      <c r="L655" s="53"/>
      <c r="M655" s="53"/>
      <c r="N655" s="53"/>
      <c r="O655" s="53"/>
      <c r="P655" s="53"/>
      <c r="Q655" s="53"/>
      <c r="R655" s="53"/>
      <c r="S655" s="53"/>
      <c r="T655" s="53"/>
      <c r="U655" s="53"/>
      <c r="V655" s="53"/>
      <c r="W655" s="53"/>
      <c r="X655" s="53"/>
      <c r="Y655" s="53"/>
      <c r="Z655" s="53"/>
    </row>
    <row r="656" spans="1:26" ht="13.5" customHeight="1">
      <c r="A656" s="53"/>
      <c r="B656" s="53"/>
      <c r="C656" s="53"/>
      <c r="D656" s="53"/>
      <c r="E656" s="53"/>
      <c r="F656" s="53"/>
      <c r="G656" s="53"/>
      <c r="H656" s="53"/>
      <c r="I656" s="53"/>
      <c r="J656" s="53"/>
      <c r="K656" s="53"/>
      <c r="L656" s="53"/>
      <c r="M656" s="53"/>
      <c r="N656" s="53"/>
      <c r="O656" s="53"/>
      <c r="P656" s="53"/>
      <c r="Q656" s="53"/>
      <c r="R656" s="53"/>
      <c r="S656" s="53"/>
      <c r="T656" s="53"/>
      <c r="U656" s="53"/>
      <c r="V656" s="53"/>
      <c r="W656" s="53"/>
      <c r="X656" s="53"/>
      <c r="Y656" s="53"/>
      <c r="Z656" s="53"/>
    </row>
    <row r="657" spans="1:26" ht="13.5" customHeight="1">
      <c r="A657" s="53"/>
      <c r="B657" s="53"/>
      <c r="C657" s="53"/>
      <c r="D657" s="53"/>
      <c r="E657" s="53"/>
      <c r="F657" s="53"/>
      <c r="G657" s="53"/>
      <c r="H657" s="53"/>
      <c r="I657" s="53"/>
      <c r="J657" s="53"/>
      <c r="K657" s="53"/>
      <c r="L657" s="53"/>
      <c r="M657" s="53"/>
      <c r="N657" s="53"/>
      <c r="O657" s="53"/>
      <c r="P657" s="53"/>
      <c r="Q657" s="53"/>
      <c r="R657" s="53"/>
      <c r="S657" s="53"/>
      <c r="T657" s="53"/>
      <c r="U657" s="53"/>
      <c r="V657" s="53"/>
      <c r="W657" s="53"/>
      <c r="X657" s="53"/>
      <c r="Y657" s="53"/>
      <c r="Z657" s="53"/>
    </row>
    <row r="658" spans="1:26" ht="13.5" customHeight="1">
      <c r="A658" s="53"/>
      <c r="B658" s="53"/>
      <c r="C658" s="53"/>
      <c r="D658" s="53"/>
      <c r="E658" s="53"/>
      <c r="F658" s="53"/>
      <c r="G658" s="53"/>
      <c r="H658" s="53"/>
      <c r="I658" s="53"/>
      <c r="J658" s="53"/>
      <c r="K658" s="53"/>
      <c r="L658" s="53"/>
      <c r="M658" s="53"/>
      <c r="N658" s="53"/>
      <c r="O658" s="53"/>
      <c r="P658" s="53"/>
      <c r="Q658" s="53"/>
      <c r="R658" s="53"/>
      <c r="S658" s="53"/>
      <c r="T658" s="53"/>
      <c r="U658" s="53"/>
      <c r="V658" s="53"/>
      <c r="W658" s="53"/>
      <c r="X658" s="53"/>
      <c r="Y658" s="53"/>
      <c r="Z658" s="53"/>
    </row>
    <row r="659" spans="1:26" ht="13.5" customHeight="1">
      <c r="A659" s="53"/>
      <c r="B659" s="53"/>
      <c r="C659" s="53"/>
      <c r="D659" s="53"/>
      <c r="E659" s="53"/>
      <c r="F659" s="53"/>
      <c r="G659" s="53"/>
      <c r="H659" s="53"/>
      <c r="I659" s="53"/>
      <c r="J659" s="53"/>
      <c r="K659" s="53"/>
      <c r="L659" s="53"/>
      <c r="M659" s="53"/>
      <c r="N659" s="53"/>
      <c r="O659" s="53"/>
      <c r="P659" s="53"/>
      <c r="Q659" s="53"/>
      <c r="R659" s="53"/>
      <c r="S659" s="53"/>
      <c r="T659" s="53"/>
      <c r="U659" s="53"/>
      <c r="V659" s="53"/>
      <c r="W659" s="53"/>
      <c r="X659" s="53"/>
      <c r="Y659" s="53"/>
      <c r="Z659" s="53"/>
    </row>
    <row r="660" spans="1:26" ht="13.5" customHeight="1">
      <c r="A660" s="53"/>
      <c r="B660" s="53"/>
      <c r="C660" s="53"/>
      <c r="D660" s="53"/>
      <c r="E660" s="53"/>
      <c r="F660" s="53"/>
      <c r="G660" s="53"/>
      <c r="H660" s="53"/>
      <c r="I660" s="53"/>
      <c r="J660" s="53"/>
      <c r="K660" s="53"/>
      <c r="L660" s="53"/>
      <c r="M660" s="53"/>
      <c r="N660" s="53"/>
      <c r="O660" s="53"/>
      <c r="P660" s="53"/>
      <c r="Q660" s="53"/>
      <c r="R660" s="53"/>
      <c r="S660" s="53"/>
      <c r="T660" s="53"/>
      <c r="U660" s="53"/>
      <c r="V660" s="53"/>
      <c r="W660" s="53"/>
      <c r="X660" s="53"/>
      <c r="Y660" s="53"/>
      <c r="Z660" s="53"/>
    </row>
    <row r="661" spans="1:26" ht="13.5" customHeight="1">
      <c r="A661" s="53"/>
      <c r="B661" s="53"/>
      <c r="C661" s="53"/>
      <c r="D661" s="53"/>
      <c r="E661" s="53"/>
      <c r="F661" s="53"/>
      <c r="G661" s="53"/>
      <c r="H661" s="53"/>
      <c r="I661" s="53"/>
      <c r="J661" s="53"/>
      <c r="K661" s="53"/>
      <c r="L661" s="53"/>
      <c r="M661" s="53"/>
      <c r="N661" s="53"/>
      <c r="O661" s="53"/>
      <c r="P661" s="53"/>
      <c r="Q661" s="53"/>
      <c r="R661" s="53"/>
      <c r="S661" s="53"/>
      <c r="T661" s="53"/>
      <c r="U661" s="53"/>
      <c r="V661" s="53"/>
      <c r="W661" s="53"/>
      <c r="X661" s="53"/>
      <c r="Y661" s="53"/>
      <c r="Z661" s="53"/>
    </row>
    <row r="662" spans="1:26" ht="13.5" customHeight="1">
      <c r="A662" s="53"/>
      <c r="B662" s="53"/>
      <c r="C662" s="53"/>
      <c r="D662" s="53"/>
      <c r="E662" s="53"/>
      <c r="F662" s="53"/>
      <c r="G662" s="53"/>
      <c r="H662" s="53"/>
      <c r="I662" s="53"/>
      <c r="J662" s="53"/>
      <c r="K662" s="53"/>
      <c r="L662" s="53"/>
      <c r="M662" s="53"/>
      <c r="N662" s="53"/>
      <c r="O662" s="53"/>
      <c r="P662" s="53"/>
      <c r="Q662" s="53"/>
      <c r="R662" s="53"/>
      <c r="S662" s="53"/>
      <c r="T662" s="53"/>
      <c r="U662" s="53"/>
      <c r="V662" s="53"/>
      <c r="W662" s="53"/>
      <c r="X662" s="53"/>
      <c r="Y662" s="53"/>
      <c r="Z662" s="53"/>
    </row>
    <row r="663" spans="1:26" ht="13.5" customHeight="1">
      <c r="A663" s="53"/>
      <c r="B663" s="53"/>
      <c r="C663" s="53"/>
      <c r="D663" s="53"/>
      <c r="E663" s="53"/>
      <c r="F663" s="53"/>
      <c r="G663" s="53"/>
      <c r="H663" s="53"/>
      <c r="I663" s="53"/>
      <c r="J663" s="53"/>
      <c r="K663" s="53"/>
      <c r="L663" s="53"/>
      <c r="M663" s="53"/>
      <c r="N663" s="53"/>
      <c r="O663" s="53"/>
      <c r="P663" s="53"/>
      <c r="Q663" s="53"/>
      <c r="R663" s="53"/>
      <c r="S663" s="53"/>
      <c r="T663" s="53"/>
      <c r="U663" s="53"/>
      <c r="V663" s="53"/>
      <c r="W663" s="53"/>
      <c r="X663" s="53"/>
      <c r="Y663" s="53"/>
      <c r="Z663" s="53"/>
    </row>
    <row r="664" spans="1:26" ht="13.5" customHeight="1">
      <c r="A664" s="53"/>
      <c r="B664" s="53"/>
      <c r="C664" s="53"/>
      <c r="D664" s="53"/>
      <c r="E664" s="53"/>
      <c r="F664" s="53"/>
      <c r="G664" s="53"/>
      <c r="H664" s="53"/>
      <c r="I664" s="53"/>
      <c r="J664" s="53"/>
      <c r="K664" s="53"/>
      <c r="L664" s="53"/>
      <c r="M664" s="53"/>
      <c r="N664" s="53"/>
      <c r="O664" s="53"/>
      <c r="P664" s="53"/>
      <c r="Q664" s="53"/>
      <c r="R664" s="53"/>
      <c r="S664" s="53"/>
      <c r="T664" s="53"/>
      <c r="U664" s="53"/>
      <c r="V664" s="53"/>
      <c r="W664" s="53"/>
      <c r="X664" s="53"/>
      <c r="Y664" s="53"/>
      <c r="Z664" s="53"/>
    </row>
    <row r="665" spans="1:26" ht="13.5" customHeight="1">
      <c r="A665" s="53"/>
      <c r="B665" s="53"/>
      <c r="C665" s="53"/>
      <c r="D665" s="53"/>
      <c r="E665" s="53"/>
      <c r="F665" s="53"/>
      <c r="G665" s="53"/>
      <c r="H665" s="53"/>
      <c r="I665" s="53"/>
      <c r="J665" s="53"/>
      <c r="K665" s="53"/>
      <c r="L665" s="53"/>
      <c r="M665" s="53"/>
      <c r="N665" s="53"/>
      <c r="O665" s="53"/>
      <c r="P665" s="53"/>
      <c r="Q665" s="53"/>
      <c r="R665" s="53"/>
      <c r="S665" s="53"/>
      <c r="T665" s="53"/>
      <c r="U665" s="53"/>
      <c r="V665" s="53"/>
      <c r="W665" s="53"/>
      <c r="X665" s="53"/>
      <c r="Y665" s="53"/>
      <c r="Z665" s="53"/>
    </row>
    <row r="666" spans="1:26" ht="13.5" customHeight="1">
      <c r="A666" s="53"/>
      <c r="B666" s="53"/>
      <c r="C666" s="53"/>
      <c r="D666" s="53"/>
      <c r="E666" s="53"/>
      <c r="F666" s="53"/>
      <c r="G666" s="53"/>
      <c r="H666" s="53"/>
      <c r="I666" s="53"/>
      <c r="J666" s="53"/>
      <c r="K666" s="53"/>
      <c r="L666" s="53"/>
      <c r="M666" s="53"/>
      <c r="N666" s="53"/>
      <c r="O666" s="53"/>
      <c r="P666" s="53"/>
      <c r="Q666" s="53"/>
      <c r="R666" s="53"/>
      <c r="S666" s="53"/>
      <c r="T666" s="53"/>
      <c r="U666" s="53"/>
      <c r="V666" s="53"/>
      <c r="W666" s="53"/>
      <c r="X666" s="53"/>
      <c r="Y666" s="53"/>
      <c r="Z666" s="53"/>
    </row>
    <row r="667" spans="1:26" ht="13.5" customHeight="1">
      <c r="A667" s="53"/>
      <c r="B667" s="53"/>
      <c r="C667" s="53"/>
      <c r="D667" s="53"/>
      <c r="E667" s="53"/>
      <c r="F667" s="53"/>
      <c r="G667" s="53"/>
      <c r="H667" s="53"/>
      <c r="I667" s="53"/>
      <c r="J667" s="53"/>
      <c r="K667" s="53"/>
      <c r="L667" s="53"/>
      <c r="M667" s="53"/>
      <c r="N667" s="53"/>
      <c r="O667" s="53"/>
      <c r="P667" s="53"/>
      <c r="Q667" s="53"/>
      <c r="R667" s="53"/>
      <c r="S667" s="53"/>
      <c r="T667" s="53"/>
      <c r="U667" s="53"/>
      <c r="V667" s="53"/>
      <c r="W667" s="53"/>
      <c r="X667" s="53"/>
      <c r="Y667" s="53"/>
      <c r="Z667" s="53"/>
    </row>
    <row r="668" spans="1:26" ht="13.5" customHeight="1">
      <c r="A668" s="53"/>
      <c r="B668" s="53"/>
      <c r="C668" s="53"/>
      <c r="D668" s="53"/>
      <c r="E668" s="53"/>
      <c r="F668" s="53"/>
      <c r="G668" s="53"/>
      <c r="H668" s="53"/>
      <c r="I668" s="53"/>
      <c r="J668" s="53"/>
      <c r="K668" s="53"/>
      <c r="L668" s="53"/>
      <c r="M668" s="53"/>
      <c r="N668" s="53"/>
      <c r="O668" s="53"/>
      <c r="P668" s="53"/>
      <c r="Q668" s="53"/>
      <c r="R668" s="53"/>
      <c r="S668" s="53"/>
      <c r="T668" s="53"/>
      <c r="U668" s="53"/>
      <c r="V668" s="53"/>
      <c r="W668" s="53"/>
      <c r="X668" s="53"/>
      <c r="Y668" s="53"/>
      <c r="Z668" s="53"/>
    </row>
    <row r="669" spans="1:26" ht="13.5" customHeight="1">
      <c r="A669" s="53"/>
      <c r="B669" s="53"/>
      <c r="C669" s="53"/>
      <c r="D669" s="53"/>
      <c r="E669" s="53"/>
      <c r="F669" s="53"/>
      <c r="G669" s="53"/>
      <c r="H669" s="53"/>
      <c r="I669" s="53"/>
      <c r="J669" s="53"/>
      <c r="K669" s="53"/>
      <c r="L669" s="53"/>
      <c r="M669" s="53"/>
      <c r="N669" s="53"/>
      <c r="O669" s="53"/>
      <c r="P669" s="53"/>
      <c r="Q669" s="53"/>
      <c r="R669" s="53"/>
      <c r="S669" s="53"/>
      <c r="T669" s="53"/>
      <c r="U669" s="53"/>
      <c r="V669" s="53"/>
      <c r="W669" s="53"/>
      <c r="X669" s="53"/>
      <c r="Y669" s="53"/>
      <c r="Z669" s="53"/>
    </row>
    <row r="670" spans="1:26" ht="13.5" customHeight="1">
      <c r="A670" s="53"/>
      <c r="B670" s="53"/>
      <c r="C670" s="53"/>
      <c r="D670" s="53"/>
      <c r="E670" s="53"/>
      <c r="F670" s="53"/>
      <c r="G670" s="53"/>
      <c r="H670" s="53"/>
      <c r="I670" s="53"/>
      <c r="J670" s="53"/>
      <c r="K670" s="53"/>
      <c r="L670" s="53"/>
      <c r="M670" s="53"/>
      <c r="N670" s="53"/>
      <c r="O670" s="53"/>
      <c r="P670" s="53"/>
      <c r="Q670" s="53"/>
      <c r="R670" s="53"/>
      <c r="S670" s="53"/>
      <c r="T670" s="53"/>
      <c r="U670" s="53"/>
      <c r="V670" s="53"/>
      <c r="W670" s="53"/>
      <c r="X670" s="53"/>
      <c r="Y670" s="53"/>
      <c r="Z670" s="53"/>
    </row>
    <row r="671" spans="1:26" ht="13.5" customHeight="1">
      <c r="A671" s="53"/>
      <c r="B671" s="53"/>
      <c r="C671" s="53"/>
      <c r="D671" s="53"/>
      <c r="E671" s="53"/>
      <c r="F671" s="53"/>
      <c r="G671" s="53"/>
      <c r="H671" s="53"/>
      <c r="I671" s="53"/>
      <c r="J671" s="53"/>
      <c r="K671" s="53"/>
      <c r="L671" s="53"/>
      <c r="M671" s="53"/>
      <c r="N671" s="53"/>
      <c r="O671" s="53"/>
      <c r="P671" s="53"/>
      <c r="Q671" s="53"/>
      <c r="R671" s="53"/>
      <c r="S671" s="53"/>
      <c r="T671" s="53"/>
      <c r="U671" s="53"/>
      <c r="V671" s="53"/>
      <c r="W671" s="53"/>
      <c r="X671" s="53"/>
      <c r="Y671" s="53"/>
      <c r="Z671" s="53"/>
    </row>
    <row r="672" spans="1:26" ht="13.5" customHeight="1">
      <c r="A672" s="53"/>
      <c r="B672" s="53"/>
      <c r="C672" s="53"/>
      <c r="D672" s="53"/>
      <c r="E672" s="53"/>
      <c r="F672" s="53"/>
      <c r="G672" s="53"/>
      <c r="H672" s="53"/>
      <c r="I672" s="53"/>
      <c r="J672" s="53"/>
      <c r="K672" s="53"/>
      <c r="L672" s="53"/>
      <c r="M672" s="53"/>
      <c r="N672" s="53"/>
      <c r="O672" s="53"/>
      <c r="P672" s="53"/>
      <c r="Q672" s="53"/>
      <c r="R672" s="53"/>
      <c r="S672" s="53"/>
      <c r="T672" s="53"/>
      <c r="U672" s="53"/>
      <c r="V672" s="53"/>
      <c r="W672" s="53"/>
      <c r="X672" s="53"/>
      <c r="Y672" s="53"/>
      <c r="Z672" s="53"/>
    </row>
    <row r="673" spans="1:26" ht="13.5" customHeight="1">
      <c r="A673" s="53"/>
      <c r="B673" s="53"/>
      <c r="C673" s="53"/>
      <c r="D673" s="53"/>
      <c r="E673" s="53"/>
      <c r="F673" s="53"/>
      <c r="G673" s="53"/>
      <c r="H673" s="53"/>
      <c r="I673" s="53"/>
      <c r="J673" s="53"/>
      <c r="K673" s="53"/>
      <c r="L673" s="53"/>
      <c r="M673" s="53"/>
      <c r="N673" s="53"/>
      <c r="O673" s="53"/>
      <c r="P673" s="53"/>
      <c r="Q673" s="53"/>
      <c r="R673" s="53"/>
      <c r="S673" s="53"/>
      <c r="T673" s="53"/>
      <c r="U673" s="53"/>
      <c r="V673" s="53"/>
      <c r="W673" s="53"/>
      <c r="X673" s="53"/>
      <c r="Y673" s="53"/>
      <c r="Z673" s="53"/>
    </row>
    <row r="674" spans="1:26" ht="13.5" customHeight="1">
      <c r="A674" s="53"/>
      <c r="B674" s="53"/>
      <c r="C674" s="53"/>
      <c r="D674" s="53"/>
      <c r="E674" s="53"/>
      <c r="F674" s="53"/>
      <c r="G674" s="53"/>
      <c r="H674" s="53"/>
      <c r="I674" s="53"/>
      <c r="J674" s="53"/>
      <c r="K674" s="53"/>
      <c r="L674" s="53"/>
      <c r="M674" s="53"/>
      <c r="N674" s="53"/>
      <c r="O674" s="53"/>
      <c r="P674" s="53"/>
      <c r="Q674" s="53"/>
      <c r="R674" s="53"/>
      <c r="S674" s="53"/>
      <c r="T674" s="53"/>
      <c r="U674" s="53"/>
      <c r="V674" s="53"/>
      <c r="W674" s="53"/>
      <c r="X674" s="53"/>
      <c r="Y674" s="53"/>
      <c r="Z674" s="53"/>
    </row>
    <row r="675" spans="1:26" ht="13.5" customHeight="1">
      <c r="A675" s="53"/>
      <c r="B675" s="53"/>
      <c r="C675" s="53"/>
      <c r="D675" s="53"/>
      <c r="E675" s="53"/>
      <c r="F675" s="53"/>
      <c r="G675" s="53"/>
      <c r="H675" s="53"/>
      <c r="I675" s="53"/>
      <c r="J675" s="53"/>
      <c r="K675" s="53"/>
      <c r="L675" s="53"/>
      <c r="M675" s="53"/>
      <c r="N675" s="53"/>
      <c r="O675" s="53"/>
      <c r="P675" s="53"/>
      <c r="Q675" s="53"/>
      <c r="R675" s="53"/>
      <c r="S675" s="53"/>
      <c r="T675" s="53"/>
      <c r="U675" s="53"/>
      <c r="V675" s="53"/>
      <c r="W675" s="53"/>
      <c r="X675" s="53"/>
      <c r="Y675" s="53"/>
      <c r="Z675" s="53"/>
    </row>
    <row r="676" spans="1:26" ht="13.5" customHeight="1">
      <c r="A676" s="53"/>
      <c r="B676" s="53"/>
      <c r="C676" s="53"/>
      <c r="D676" s="53"/>
      <c r="E676" s="53"/>
      <c r="F676" s="53"/>
      <c r="G676" s="53"/>
      <c r="H676" s="53"/>
      <c r="I676" s="53"/>
      <c r="J676" s="53"/>
      <c r="K676" s="53"/>
      <c r="L676" s="53"/>
      <c r="M676" s="53"/>
      <c r="N676" s="53"/>
      <c r="O676" s="53"/>
      <c r="P676" s="53"/>
      <c r="Q676" s="53"/>
      <c r="R676" s="53"/>
      <c r="S676" s="53"/>
      <c r="T676" s="53"/>
      <c r="U676" s="53"/>
      <c r="V676" s="53"/>
      <c r="W676" s="53"/>
      <c r="X676" s="53"/>
      <c r="Y676" s="53"/>
      <c r="Z676" s="53"/>
    </row>
    <row r="677" spans="1:26" ht="13.5" customHeight="1">
      <c r="A677" s="53"/>
      <c r="B677" s="53"/>
      <c r="C677" s="53"/>
      <c r="D677" s="53"/>
      <c r="E677" s="53"/>
      <c r="F677" s="53"/>
      <c r="G677" s="53"/>
      <c r="H677" s="53"/>
      <c r="I677" s="53"/>
      <c r="J677" s="53"/>
      <c r="K677" s="53"/>
      <c r="L677" s="53"/>
      <c r="M677" s="53"/>
      <c r="N677" s="53"/>
      <c r="O677" s="53"/>
      <c r="P677" s="53"/>
      <c r="Q677" s="53"/>
      <c r="R677" s="53"/>
      <c r="S677" s="53"/>
      <c r="T677" s="53"/>
      <c r="U677" s="53"/>
      <c r="V677" s="53"/>
      <c r="W677" s="53"/>
      <c r="X677" s="53"/>
      <c r="Y677" s="53"/>
      <c r="Z677" s="53"/>
    </row>
    <row r="678" spans="1:26" ht="13.5" customHeight="1">
      <c r="A678" s="53"/>
      <c r="B678" s="53"/>
      <c r="C678" s="53"/>
      <c r="D678" s="53"/>
      <c r="E678" s="53"/>
      <c r="F678" s="53"/>
      <c r="G678" s="53"/>
      <c r="H678" s="53"/>
      <c r="I678" s="53"/>
      <c r="J678" s="53"/>
      <c r="K678" s="53"/>
      <c r="L678" s="53"/>
      <c r="M678" s="53"/>
      <c r="N678" s="53"/>
      <c r="O678" s="53"/>
      <c r="P678" s="53"/>
      <c r="Q678" s="53"/>
      <c r="R678" s="53"/>
      <c r="S678" s="53"/>
      <c r="T678" s="53"/>
      <c r="U678" s="53"/>
      <c r="V678" s="53"/>
      <c r="W678" s="53"/>
      <c r="X678" s="53"/>
      <c r="Y678" s="53"/>
      <c r="Z678" s="53"/>
    </row>
    <row r="679" spans="1:26" ht="13.5" customHeight="1">
      <c r="A679" s="53"/>
      <c r="B679" s="53"/>
      <c r="C679" s="53"/>
      <c r="D679" s="53"/>
      <c r="E679" s="53"/>
      <c r="F679" s="53"/>
      <c r="G679" s="53"/>
      <c r="H679" s="53"/>
      <c r="I679" s="53"/>
      <c r="J679" s="53"/>
      <c r="K679" s="53"/>
      <c r="L679" s="53"/>
      <c r="M679" s="53"/>
      <c r="N679" s="53"/>
      <c r="O679" s="53"/>
      <c r="P679" s="53"/>
      <c r="Q679" s="53"/>
      <c r="R679" s="53"/>
      <c r="S679" s="53"/>
      <c r="T679" s="53"/>
      <c r="U679" s="53"/>
      <c r="V679" s="53"/>
      <c r="W679" s="53"/>
      <c r="X679" s="53"/>
      <c r="Y679" s="53"/>
      <c r="Z679" s="53"/>
    </row>
    <row r="680" spans="1:26" ht="13.5" customHeight="1">
      <c r="A680" s="53"/>
      <c r="B680" s="53"/>
      <c r="C680" s="53"/>
      <c r="D680" s="53"/>
      <c r="E680" s="53"/>
      <c r="F680" s="53"/>
      <c r="G680" s="53"/>
      <c r="H680" s="53"/>
      <c r="I680" s="53"/>
      <c r="J680" s="53"/>
      <c r="K680" s="53"/>
      <c r="L680" s="53"/>
      <c r="M680" s="53"/>
      <c r="N680" s="53"/>
      <c r="O680" s="53"/>
      <c r="P680" s="53"/>
      <c r="Q680" s="53"/>
      <c r="R680" s="53"/>
      <c r="S680" s="53"/>
      <c r="T680" s="53"/>
      <c r="U680" s="53"/>
      <c r="V680" s="53"/>
      <c r="W680" s="53"/>
      <c r="X680" s="53"/>
      <c r="Y680" s="53"/>
      <c r="Z680" s="53"/>
    </row>
    <row r="681" spans="1:26" ht="13.5" customHeight="1">
      <c r="A681" s="53"/>
      <c r="B681" s="53"/>
      <c r="C681" s="53"/>
      <c r="D681" s="53"/>
      <c r="E681" s="53"/>
      <c r="F681" s="53"/>
      <c r="G681" s="53"/>
      <c r="H681" s="53"/>
      <c r="I681" s="53"/>
      <c r="J681" s="53"/>
      <c r="K681" s="53"/>
      <c r="L681" s="53"/>
      <c r="M681" s="53"/>
      <c r="N681" s="53"/>
      <c r="O681" s="53"/>
      <c r="P681" s="53"/>
      <c r="Q681" s="53"/>
      <c r="R681" s="53"/>
      <c r="S681" s="53"/>
      <c r="T681" s="53"/>
      <c r="U681" s="53"/>
      <c r="V681" s="53"/>
      <c r="W681" s="53"/>
      <c r="X681" s="53"/>
      <c r="Y681" s="53"/>
      <c r="Z681" s="53"/>
    </row>
    <row r="682" spans="1:26" ht="13.5" customHeight="1">
      <c r="A682" s="53"/>
      <c r="B682" s="53"/>
      <c r="C682" s="53"/>
      <c r="D682" s="53"/>
      <c r="E682" s="53"/>
      <c r="F682" s="53"/>
      <c r="G682" s="53"/>
      <c r="H682" s="53"/>
      <c r="I682" s="53"/>
      <c r="J682" s="53"/>
      <c r="K682" s="53"/>
      <c r="L682" s="53"/>
      <c r="M682" s="53"/>
      <c r="N682" s="53"/>
      <c r="O682" s="53"/>
      <c r="P682" s="53"/>
      <c r="Q682" s="53"/>
      <c r="R682" s="53"/>
      <c r="S682" s="53"/>
      <c r="T682" s="53"/>
      <c r="U682" s="53"/>
      <c r="V682" s="53"/>
      <c r="W682" s="53"/>
      <c r="X682" s="53"/>
      <c r="Y682" s="53"/>
      <c r="Z682" s="53"/>
    </row>
    <row r="683" spans="1:26" ht="13.5" customHeight="1">
      <c r="A683" s="53"/>
      <c r="B683" s="53"/>
      <c r="C683" s="53"/>
      <c r="D683" s="53"/>
      <c r="E683" s="53"/>
      <c r="F683" s="53"/>
      <c r="G683" s="53"/>
      <c r="H683" s="53"/>
      <c r="I683" s="53"/>
      <c r="J683" s="53"/>
      <c r="K683" s="53"/>
      <c r="L683" s="53"/>
      <c r="M683" s="53"/>
      <c r="N683" s="53"/>
      <c r="O683" s="53"/>
      <c r="P683" s="53"/>
      <c r="Q683" s="53"/>
      <c r="R683" s="53"/>
      <c r="S683" s="53"/>
      <c r="T683" s="53"/>
      <c r="U683" s="53"/>
      <c r="V683" s="53"/>
      <c r="W683" s="53"/>
      <c r="X683" s="53"/>
      <c r="Y683" s="53"/>
      <c r="Z683" s="53"/>
    </row>
    <row r="684" spans="1:26" ht="13.5" customHeight="1">
      <c r="A684" s="53"/>
      <c r="B684" s="53"/>
      <c r="C684" s="53"/>
      <c r="D684" s="53"/>
      <c r="E684" s="53"/>
      <c r="F684" s="53"/>
      <c r="G684" s="53"/>
      <c r="H684" s="53"/>
      <c r="I684" s="53"/>
      <c r="J684" s="53"/>
      <c r="K684" s="53"/>
      <c r="L684" s="53"/>
      <c r="M684" s="53"/>
      <c r="N684" s="53"/>
      <c r="O684" s="53"/>
      <c r="P684" s="53"/>
      <c r="Q684" s="53"/>
      <c r="R684" s="53"/>
      <c r="S684" s="53"/>
      <c r="T684" s="53"/>
      <c r="U684" s="53"/>
      <c r="V684" s="53"/>
      <c r="W684" s="53"/>
      <c r="X684" s="53"/>
      <c r="Y684" s="53"/>
      <c r="Z684" s="53"/>
    </row>
    <row r="685" spans="1:26" ht="13.5" customHeight="1">
      <c r="A685" s="53"/>
      <c r="B685" s="53"/>
      <c r="C685" s="53"/>
      <c r="D685" s="53"/>
      <c r="E685" s="53"/>
      <c r="F685" s="53"/>
      <c r="G685" s="53"/>
      <c r="H685" s="53"/>
      <c r="I685" s="53"/>
      <c r="J685" s="53"/>
      <c r="K685" s="53"/>
      <c r="L685" s="53"/>
      <c r="M685" s="53"/>
      <c r="N685" s="53"/>
      <c r="O685" s="53"/>
      <c r="P685" s="53"/>
      <c r="Q685" s="53"/>
      <c r="R685" s="53"/>
      <c r="S685" s="53"/>
      <c r="T685" s="53"/>
      <c r="U685" s="53"/>
      <c r="V685" s="53"/>
      <c r="W685" s="53"/>
      <c r="X685" s="53"/>
      <c r="Y685" s="53"/>
      <c r="Z685" s="53"/>
    </row>
    <row r="686" spans="1:26" ht="13.5" customHeight="1">
      <c r="A686" s="53"/>
      <c r="B686" s="53"/>
      <c r="C686" s="53"/>
      <c r="D686" s="53"/>
      <c r="E686" s="53"/>
      <c r="F686" s="53"/>
      <c r="G686" s="53"/>
      <c r="H686" s="53"/>
      <c r="I686" s="53"/>
      <c r="J686" s="53"/>
      <c r="K686" s="53"/>
      <c r="L686" s="53"/>
      <c r="M686" s="53"/>
      <c r="N686" s="53"/>
      <c r="O686" s="53"/>
      <c r="P686" s="53"/>
      <c r="Q686" s="53"/>
      <c r="R686" s="53"/>
      <c r="S686" s="53"/>
      <c r="T686" s="53"/>
      <c r="U686" s="53"/>
      <c r="V686" s="53"/>
      <c r="W686" s="53"/>
      <c r="X686" s="53"/>
      <c r="Y686" s="53"/>
      <c r="Z686" s="53"/>
    </row>
    <row r="687" spans="1:26" ht="13.5" customHeight="1">
      <c r="A687" s="53"/>
      <c r="B687" s="53"/>
      <c r="C687" s="53"/>
      <c r="D687" s="53"/>
      <c r="E687" s="53"/>
      <c r="F687" s="53"/>
      <c r="G687" s="53"/>
      <c r="H687" s="53"/>
      <c r="I687" s="53"/>
      <c r="J687" s="53"/>
      <c r="K687" s="53"/>
      <c r="L687" s="53"/>
      <c r="M687" s="53"/>
      <c r="N687" s="53"/>
      <c r="O687" s="53"/>
      <c r="P687" s="53"/>
      <c r="Q687" s="53"/>
      <c r="R687" s="53"/>
      <c r="S687" s="53"/>
      <c r="T687" s="53"/>
      <c r="U687" s="53"/>
      <c r="V687" s="53"/>
      <c r="W687" s="53"/>
      <c r="X687" s="53"/>
      <c r="Y687" s="53"/>
      <c r="Z687" s="53"/>
    </row>
    <row r="688" spans="1:26" ht="13.5" customHeight="1">
      <c r="A688" s="53"/>
      <c r="B688" s="53"/>
      <c r="C688" s="53"/>
      <c r="D688" s="53"/>
      <c r="E688" s="53"/>
      <c r="F688" s="53"/>
      <c r="G688" s="53"/>
      <c r="H688" s="53"/>
      <c r="I688" s="53"/>
      <c r="J688" s="53"/>
      <c r="K688" s="53"/>
      <c r="L688" s="53"/>
      <c r="M688" s="53"/>
      <c r="N688" s="53"/>
      <c r="O688" s="53"/>
      <c r="P688" s="53"/>
      <c r="Q688" s="53"/>
      <c r="R688" s="53"/>
      <c r="S688" s="53"/>
      <c r="T688" s="53"/>
      <c r="U688" s="53"/>
      <c r="V688" s="53"/>
      <c r="W688" s="53"/>
      <c r="X688" s="53"/>
      <c r="Y688" s="53"/>
      <c r="Z688" s="53"/>
    </row>
    <row r="689" spans="1:26" ht="13.5" customHeight="1">
      <c r="A689" s="53"/>
      <c r="B689" s="53"/>
      <c r="C689" s="53"/>
      <c r="D689" s="53"/>
      <c r="E689" s="53"/>
      <c r="F689" s="53"/>
      <c r="G689" s="53"/>
      <c r="H689" s="53"/>
      <c r="I689" s="53"/>
      <c r="J689" s="53"/>
      <c r="K689" s="53"/>
      <c r="L689" s="53"/>
      <c r="M689" s="53"/>
      <c r="N689" s="53"/>
      <c r="O689" s="53"/>
      <c r="P689" s="53"/>
      <c r="Q689" s="53"/>
      <c r="R689" s="53"/>
      <c r="S689" s="53"/>
      <c r="T689" s="53"/>
      <c r="U689" s="53"/>
      <c r="V689" s="53"/>
      <c r="W689" s="53"/>
      <c r="X689" s="53"/>
      <c r="Y689" s="53"/>
      <c r="Z689" s="53"/>
    </row>
    <row r="690" spans="1:26" ht="13.5" customHeight="1">
      <c r="A690" s="53"/>
      <c r="B690" s="53"/>
      <c r="C690" s="53"/>
      <c r="D690" s="53"/>
      <c r="E690" s="53"/>
      <c r="F690" s="53"/>
      <c r="G690" s="53"/>
      <c r="H690" s="53"/>
      <c r="I690" s="53"/>
      <c r="J690" s="53"/>
      <c r="K690" s="53"/>
      <c r="L690" s="53"/>
      <c r="M690" s="53"/>
      <c r="N690" s="53"/>
      <c r="O690" s="53"/>
      <c r="P690" s="53"/>
      <c r="Q690" s="53"/>
      <c r="R690" s="53"/>
      <c r="S690" s="53"/>
      <c r="T690" s="53"/>
      <c r="U690" s="53"/>
      <c r="V690" s="53"/>
      <c r="W690" s="53"/>
      <c r="X690" s="53"/>
      <c r="Y690" s="53"/>
      <c r="Z690" s="53"/>
    </row>
    <row r="691" spans="1:26" ht="13.5" customHeight="1">
      <c r="A691" s="53"/>
      <c r="B691" s="53"/>
      <c r="C691" s="53"/>
      <c r="D691" s="53"/>
      <c r="E691" s="53"/>
      <c r="F691" s="53"/>
      <c r="G691" s="53"/>
      <c r="H691" s="53"/>
      <c r="I691" s="53"/>
      <c r="J691" s="53"/>
      <c r="K691" s="53"/>
      <c r="L691" s="53"/>
      <c r="M691" s="53"/>
      <c r="N691" s="53"/>
      <c r="O691" s="53"/>
      <c r="P691" s="53"/>
      <c r="Q691" s="53"/>
      <c r="R691" s="53"/>
      <c r="S691" s="53"/>
      <c r="T691" s="53"/>
      <c r="U691" s="53"/>
      <c r="V691" s="53"/>
      <c r="W691" s="53"/>
      <c r="X691" s="53"/>
      <c r="Y691" s="53"/>
      <c r="Z691" s="53"/>
    </row>
    <row r="692" spans="1:26" ht="13.5" customHeight="1">
      <c r="A692" s="53"/>
      <c r="B692" s="53"/>
      <c r="C692" s="53"/>
      <c r="D692" s="53"/>
      <c r="E692" s="53"/>
      <c r="F692" s="53"/>
      <c r="G692" s="53"/>
      <c r="H692" s="53"/>
      <c r="I692" s="53"/>
      <c r="J692" s="53"/>
      <c r="K692" s="53"/>
      <c r="L692" s="53"/>
      <c r="M692" s="53"/>
      <c r="N692" s="53"/>
      <c r="O692" s="53"/>
      <c r="P692" s="53"/>
      <c r="Q692" s="53"/>
      <c r="R692" s="53"/>
      <c r="S692" s="53"/>
      <c r="T692" s="53"/>
      <c r="U692" s="53"/>
      <c r="V692" s="53"/>
      <c r="W692" s="53"/>
      <c r="X692" s="53"/>
      <c r="Y692" s="53"/>
      <c r="Z692" s="53"/>
    </row>
    <row r="693" spans="1:26" ht="13.5" customHeight="1">
      <c r="A693" s="53"/>
      <c r="B693" s="53"/>
      <c r="C693" s="53"/>
      <c r="D693" s="53"/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  <c r="R693" s="53"/>
      <c r="S693" s="53"/>
      <c r="T693" s="53"/>
      <c r="U693" s="53"/>
      <c r="V693" s="53"/>
      <c r="W693" s="53"/>
      <c r="X693" s="53"/>
      <c r="Y693" s="53"/>
      <c r="Z693" s="53"/>
    </row>
    <row r="694" spans="1:26" ht="13.5" customHeight="1">
      <c r="A694" s="53"/>
      <c r="B694" s="53"/>
      <c r="C694" s="53"/>
      <c r="D694" s="53"/>
      <c r="E694" s="53"/>
      <c r="F694" s="53"/>
      <c r="G694" s="53"/>
      <c r="H694" s="53"/>
      <c r="I694" s="53"/>
      <c r="J694" s="53"/>
      <c r="K694" s="53"/>
      <c r="L694" s="53"/>
      <c r="M694" s="53"/>
      <c r="N694" s="53"/>
      <c r="O694" s="53"/>
      <c r="P694" s="53"/>
      <c r="Q694" s="53"/>
      <c r="R694" s="53"/>
      <c r="S694" s="53"/>
      <c r="T694" s="53"/>
      <c r="U694" s="53"/>
      <c r="V694" s="53"/>
      <c r="W694" s="53"/>
      <c r="X694" s="53"/>
      <c r="Y694" s="53"/>
      <c r="Z694" s="53"/>
    </row>
    <row r="695" spans="1:26" ht="13.5" customHeight="1">
      <c r="A695" s="53"/>
      <c r="B695" s="53"/>
      <c r="C695" s="53"/>
      <c r="D695" s="53"/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  <c r="R695" s="53"/>
      <c r="S695" s="53"/>
      <c r="T695" s="53"/>
      <c r="U695" s="53"/>
      <c r="V695" s="53"/>
      <c r="W695" s="53"/>
      <c r="X695" s="53"/>
      <c r="Y695" s="53"/>
      <c r="Z695" s="53"/>
    </row>
    <row r="696" spans="1:26" ht="13.5" customHeight="1">
      <c r="A696" s="53"/>
      <c r="B696" s="53"/>
      <c r="C696" s="53"/>
      <c r="D696" s="53"/>
      <c r="E696" s="53"/>
      <c r="F696" s="53"/>
      <c r="G696" s="53"/>
      <c r="H696" s="53"/>
      <c r="I696" s="53"/>
      <c r="J696" s="53"/>
      <c r="K696" s="53"/>
      <c r="L696" s="53"/>
      <c r="M696" s="53"/>
      <c r="N696" s="53"/>
      <c r="O696" s="53"/>
      <c r="P696" s="53"/>
      <c r="Q696" s="53"/>
      <c r="R696" s="53"/>
      <c r="S696" s="53"/>
      <c r="T696" s="53"/>
      <c r="U696" s="53"/>
      <c r="V696" s="53"/>
      <c r="W696" s="53"/>
      <c r="X696" s="53"/>
      <c r="Y696" s="53"/>
      <c r="Z696" s="53"/>
    </row>
    <row r="697" spans="1:26" ht="13.5" customHeight="1">
      <c r="A697" s="53"/>
      <c r="B697" s="53"/>
      <c r="C697" s="53"/>
      <c r="D697" s="53"/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  <c r="R697" s="53"/>
      <c r="S697" s="53"/>
      <c r="T697" s="53"/>
      <c r="U697" s="53"/>
      <c r="V697" s="53"/>
      <c r="W697" s="53"/>
      <c r="X697" s="53"/>
      <c r="Y697" s="53"/>
      <c r="Z697" s="53"/>
    </row>
    <row r="698" spans="1:26" ht="13.5" customHeight="1">
      <c r="A698" s="53"/>
      <c r="B698" s="53"/>
      <c r="C698" s="53"/>
      <c r="D698" s="53"/>
      <c r="E698" s="53"/>
      <c r="F698" s="53"/>
      <c r="G698" s="53"/>
      <c r="H698" s="53"/>
      <c r="I698" s="53"/>
      <c r="J698" s="53"/>
      <c r="K698" s="53"/>
      <c r="L698" s="53"/>
      <c r="M698" s="53"/>
      <c r="N698" s="53"/>
      <c r="O698" s="53"/>
      <c r="P698" s="53"/>
      <c r="Q698" s="53"/>
      <c r="R698" s="53"/>
      <c r="S698" s="53"/>
      <c r="T698" s="53"/>
      <c r="U698" s="53"/>
      <c r="V698" s="53"/>
      <c r="W698" s="53"/>
      <c r="X698" s="53"/>
      <c r="Y698" s="53"/>
      <c r="Z698" s="53"/>
    </row>
    <row r="699" spans="1:26" ht="13.5" customHeight="1">
      <c r="A699" s="53"/>
      <c r="B699" s="53"/>
      <c r="C699" s="53"/>
      <c r="D699" s="53"/>
      <c r="E699" s="53"/>
      <c r="F699" s="53"/>
      <c r="G699" s="53"/>
      <c r="H699" s="53"/>
      <c r="I699" s="53"/>
      <c r="J699" s="53"/>
      <c r="K699" s="53"/>
      <c r="L699" s="53"/>
      <c r="M699" s="53"/>
      <c r="N699" s="53"/>
      <c r="O699" s="53"/>
      <c r="P699" s="53"/>
      <c r="Q699" s="53"/>
      <c r="R699" s="53"/>
      <c r="S699" s="53"/>
      <c r="T699" s="53"/>
      <c r="U699" s="53"/>
      <c r="V699" s="53"/>
      <c r="W699" s="53"/>
      <c r="X699" s="53"/>
      <c r="Y699" s="53"/>
      <c r="Z699" s="53"/>
    </row>
    <row r="700" spans="1:26" ht="13.5" customHeight="1">
      <c r="A700" s="53"/>
      <c r="B700" s="53"/>
      <c r="C700" s="53"/>
      <c r="D700" s="53"/>
      <c r="E700" s="53"/>
      <c r="F700" s="53"/>
      <c r="G700" s="53"/>
      <c r="H700" s="53"/>
      <c r="I700" s="53"/>
      <c r="J700" s="53"/>
      <c r="K700" s="53"/>
      <c r="L700" s="53"/>
      <c r="M700" s="53"/>
      <c r="N700" s="53"/>
      <c r="O700" s="53"/>
      <c r="P700" s="53"/>
      <c r="Q700" s="53"/>
      <c r="R700" s="53"/>
      <c r="S700" s="53"/>
      <c r="T700" s="53"/>
      <c r="U700" s="53"/>
      <c r="V700" s="53"/>
      <c r="W700" s="53"/>
      <c r="X700" s="53"/>
      <c r="Y700" s="53"/>
      <c r="Z700" s="53"/>
    </row>
    <row r="701" spans="1:26" ht="13.5" customHeight="1">
      <c r="A701" s="53"/>
      <c r="B701" s="53"/>
      <c r="C701" s="53"/>
      <c r="D701" s="53"/>
      <c r="E701" s="53"/>
      <c r="F701" s="53"/>
      <c r="G701" s="53"/>
      <c r="H701" s="53"/>
      <c r="I701" s="53"/>
      <c r="J701" s="53"/>
      <c r="K701" s="53"/>
      <c r="L701" s="53"/>
      <c r="M701" s="53"/>
      <c r="N701" s="53"/>
      <c r="O701" s="53"/>
      <c r="P701" s="53"/>
      <c r="Q701" s="53"/>
      <c r="R701" s="53"/>
      <c r="S701" s="53"/>
      <c r="T701" s="53"/>
      <c r="U701" s="53"/>
      <c r="V701" s="53"/>
      <c r="W701" s="53"/>
      <c r="X701" s="53"/>
      <c r="Y701" s="53"/>
      <c r="Z701" s="53"/>
    </row>
    <row r="702" spans="1:26" ht="13.5" customHeight="1">
      <c r="A702" s="53"/>
      <c r="B702" s="53"/>
      <c r="C702" s="53"/>
      <c r="D702" s="53"/>
      <c r="E702" s="53"/>
      <c r="F702" s="53"/>
      <c r="G702" s="53"/>
      <c r="H702" s="53"/>
      <c r="I702" s="53"/>
      <c r="J702" s="53"/>
      <c r="K702" s="53"/>
      <c r="L702" s="53"/>
      <c r="M702" s="53"/>
      <c r="N702" s="53"/>
      <c r="O702" s="53"/>
      <c r="P702" s="53"/>
      <c r="Q702" s="53"/>
      <c r="R702" s="53"/>
      <c r="S702" s="53"/>
      <c r="T702" s="53"/>
      <c r="U702" s="53"/>
      <c r="V702" s="53"/>
      <c r="W702" s="53"/>
      <c r="X702" s="53"/>
      <c r="Y702" s="53"/>
      <c r="Z702" s="53"/>
    </row>
    <row r="703" spans="1:26" ht="13.5" customHeight="1">
      <c r="A703" s="53"/>
      <c r="B703" s="53"/>
      <c r="C703" s="53"/>
      <c r="D703" s="53"/>
      <c r="E703" s="53"/>
      <c r="F703" s="53"/>
      <c r="G703" s="53"/>
      <c r="H703" s="53"/>
      <c r="I703" s="53"/>
      <c r="J703" s="53"/>
      <c r="K703" s="53"/>
      <c r="L703" s="53"/>
      <c r="M703" s="53"/>
      <c r="N703" s="53"/>
      <c r="O703" s="53"/>
      <c r="P703" s="53"/>
      <c r="Q703" s="53"/>
      <c r="R703" s="53"/>
      <c r="S703" s="53"/>
      <c r="T703" s="53"/>
      <c r="U703" s="53"/>
      <c r="V703" s="53"/>
      <c r="W703" s="53"/>
      <c r="X703" s="53"/>
      <c r="Y703" s="53"/>
      <c r="Z703" s="53"/>
    </row>
    <row r="704" spans="1:26" ht="13.5" customHeight="1">
      <c r="A704" s="53"/>
      <c r="B704" s="53"/>
      <c r="C704" s="53"/>
      <c r="D704" s="53"/>
      <c r="E704" s="53"/>
      <c r="F704" s="53"/>
      <c r="G704" s="53"/>
      <c r="H704" s="53"/>
      <c r="I704" s="53"/>
      <c r="J704" s="53"/>
      <c r="K704" s="53"/>
      <c r="L704" s="53"/>
      <c r="M704" s="53"/>
      <c r="N704" s="53"/>
      <c r="O704" s="53"/>
      <c r="P704" s="53"/>
      <c r="Q704" s="53"/>
      <c r="R704" s="53"/>
      <c r="S704" s="53"/>
      <c r="T704" s="53"/>
      <c r="U704" s="53"/>
      <c r="V704" s="53"/>
      <c r="W704" s="53"/>
      <c r="X704" s="53"/>
      <c r="Y704" s="53"/>
      <c r="Z704" s="53"/>
    </row>
    <row r="705" spans="1:26" ht="13.5" customHeight="1">
      <c r="A705" s="53"/>
      <c r="B705" s="53"/>
      <c r="C705" s="53"/>
      <c r="D705" s="53"/>
      <c r="E705" s="53"/>
      <c r="F705" s="53"/>
      <c r="G705" s="53"/>
      <c r="H705" s="53"/>
      <c r="I705" s="53"/>
      <c r="J705" s="53"/>
      <c r="K705" s="53"/>
      <c r="L705" s="53"/>
      <c r="M705" s="53"/>
      <c r="N705" s="53"/>
      <c r="O705" s="53"/>
      <c r="P705" s="53"/>
      <c r="Q705" s="53"/>
      <c r="R705" s="53"/>
      <c r="S705" s="53"/>
      <c r="T705" s="53"/>
      <c r="U705" s="53"/>
      <c r="V705" s="53"/>
      <c r="W705" s="53"/>
      <c r="X705" s="53"/>
      <c r="Y705" s="53"/>
      <c r="Z705" s="53"/>
    </row>
    <row r="706" spans="1:26" ht="13.5" customHeight="1">
      <c r="A706" s="53"/>
      <c r="B706" s="53"/>
      <c r="C706" s="53"/>
      <c r="D706" s="53"/>
      <c r="E706" s="53"/>
      <c r="F706" s="53"/>
      <c r="G706" s="53"/>
      <c r="H706" s="53"/>
      <c r="I706" s="53"/>
      <c r="J706" s="53"/>
      <c r="K706" s="53"/>
      <c r="L706" s="53"/>
      <c r="M706" s="53"/>
      <c r="N706" s="53"/>
      <c r="O706" s="53"/>
      <c r="P706" s="53"/>
      <c r="Q706" s="53"/>
      <c r="R706" s="53"/>
      <c r="S706" s="53"/>
      <c r="T706" s="53"/>
      <c r="U706" s="53"/>
      <c r="V706" s="53"/>
      <c r="W706" s="53"/>
      <c r="X706" s="53"/>
      <c r="Y706" s="53"/>
      <c r="Z706" s="53"/>
    </row>
    <row r="707" spans="1:26" ht="13.5" customHeight="1">
      <c r="A707" s="53"/>
      <c r="B707" s="53"/>
      <c r="C707" s="53"/>
      <c r="D707" s="53"/>
      <c r="E707" s="53"/>
      <c r="F707" s="53"/>
      <c r="G707" s="53"/>
      <c r="H707" s="53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</row>
    <row r="708" spans="1:26" ht="13.5" customHeight="1">
      <c r="A708" s="53"/>
      <c r="B708" s="53"/>
      <c r="C708" s="53"/>
      <c r="D708" s="53"/>
      <c r="E708" s="53"/>
      <c r="F708" s="53"/>
      <c r="G708" s="53"/>
      <c r="H708" s="53"/>
      <c r="I708" s="53"/>
      <c r="J708" s="53"/>
      <c r="K708" s="53"/>
      <c r="L708" s="53"/>
      <c r="M708" s="53"/>
      <c r="N708" s="53"/>
      <c r="O708" s="53"/>
      <c r="P708" s="53"/>
      <c r="Q708" s="53"/>
      <c r="R708" s="53"/>
      <c r="S708" s="53"/>
      <c r="T708" s="53"/>
      <c r="U708" s="53"/>
      <c r="V708" s="53"/>
      <c r="W708" s="53"/>
      <c r="X708" s="53"/>
      <c r="Y708" s="53"/>
      <c r="Z708" s="53"/>
    </row>
    <row r="709" spans="1:26" ht="13.5" customHeight="1">
      <c r="A709" s="53"/>
      <c r="B709" s="53"/>
      <c r="C709" s="53"/>
      <c r="D709" s="53"/>
      <c r="E709" s="53"/>
      <c r="F709" s="53"/>
      <c r="G709" s="53"/>
      <c r="H709" s="53"/>
      <c r="I709" s="53"/>
      <c r="J709" s="53"/>
      <c r="K709" s="53"/>
      <c r="L709" s="53"/>
      <c r="M709" s="53"/>
      <c r="N709" s="53"/>
      <c r="O709" s="53"/>
      <c r="P709" s="53"/>
      <c r="Q709" s="53"/>
      <c r="R709" s="53"/>
      <c r="S709" s="53"/>
      <c r="T709" s="53"/>
      <c r="U709" s="53"/>
      <c r="V709" s="53"/>
      <c r="W709" s="53"/>
      <c r="X709" s="53"/>
      <c r="Y709" s="53"/>
      <c r="Z709" s="53"/>
    </row>
    <row r="710" spans="1:26" ht="13.5" customHeight="1">
      <c r="A710" s="53"/>
      <c r="B710" s="53"/>
      <c r="C710" s="53"/>
      <c r="D710" s="53"/>
      <c r="E710" s="53"/>
      <c r="F710" s="53"/>
      <c r="G710" s="53"/>
      <c r="H710" s="53"/>
      <c r="I710" s="53"/>
      <c r="J710" s="53"/>
      <c r="K710" s="53"/>
      <c r="L710" s="53"/>
      <c r="M710" s="53"/>
      <c r="N710" s="53"/>
      <c r="O710" s="53"/>
      <c r="P710" s="53"/>
      <c r="Q710" s="53"/>
      <c r="R710" s="53"/>
      <c r="S710" s="53"/>
      <c r="T710" s="53"/>
      <c r="U710" s="53"/>
      <c r="V710" s="53"/>
      <c r="W710" s="53"/>
      <c r="X710" s="53"/>
      <c r="Y710" s="53"/>
      <c r="Z710" s="53"/>
    </row>
    <row r="711" spans="1:26" ht="13.5" customHeight="1">
      <c r="A711" s="53"/>
      <c r="B711" s="53"/>
      <c r="C711" s="53"/>
      <c r="D711" s="53"/>
      <c r="E711" s="53"/>
      <c r="F711" s="53"/>
      <c r="G711" s="53"/>
      <c r="H711" s="53"/>
      <c r="I711" s="53"/>
      <c r="J711" s="53"/>
      <c r="K711" s="53"/>
      <c r="L711" s="53"/>
      <c r="M711" s="53"/>
      <c r="N711" s="53"/>
      <c r="O711" s="53"/>
      <c r="P711" s="53"/>
      <c r="Q711" s="53"/>
      <c r="R711" s="53"/>
      <c r="S711" s="53"/>
      <c r="T711" s="53"/>
      <c r="U711" s="53"/>
      <c r="V711" s="53"/>
      <c r="W711" s="53"/>
      <c r="X711" s="53"/>
      <c r="Y711" s="53"/>
      <c r="Z711" s="53"/>
    </row>
    <row r="712" spans="1:26" ht="13.5" customHeight="1">
      <c r="A712" s="53"/>
      <c r="B712" s="53"/>
      <c r="C712" s="53"/>
      <c r="D712" s="53"/>
      <c r="E712" s="53"/>
      <c r="F712" s="53"/>
      <c r="G712" s="53"/>
      <c r="H712" s="53"/>
      <c r="I712" s="53"/>
      <c r="J712" s="53"/>
      <c r="K712" s="53"/>
      <c r="L712" s="53"/>
      <c r="M712" s="53"/>
      <c r="N712" s="53"/>
      <c r="O712" s="53"/>
      <c r="P712" s="53"/>
      <c r="Q712" s="53"/>
      <c r="R712" s="53"/>
      <c r="S712" s="53"/>
      <c r="T712" s="53"/>
      <c r="U712" s="53"/>
      <c r="V712" s="53"/>
      <c r="W712" s="53"/>
      <c r="X712" s="53"/>
      <c r="Y712" s="53"/>
      <c r="Z712" s="53"/>
    </row>
    <row r="713" spans="1:26" ht="13.5" customHeight="1">
      <c r="A713" s="53"/>
      <c r="B713" s="53"/>
      <c r="C713" s="53"/>
      <c r="D713" s="53"/>
      <c r="E713" s="53"/>
      <c r="F713" s="53"/>
      <c r="G713" s="53"/>
      <c r="H713" s="53"/>
      <c r="I713" s="53"/>
      <c r="J713" s="53"/>
      <c r="K713" s="53"/>
      <c r="L713" s="53"/>
      <c r="M713" s="53"/>
      <c r="N713" s="53"/>
      <c r="O713" s="53"/>
      <c r="P713" s="53"/>
      <c r="Q713" s="53"/>
      <c r="R713" s="53"/>
      <c r="S713" s="53"/>
      <c r="T713" s="53"/>
      <c r="U713" s="53"/>
      <c r="V713" s="53"/>
      <c r="W713" s="53"/>
      <c r="X713" s="53"/>
      <c r="Y713" s="53"/>
      <c r="Z713" s="53"/>
    </row>
    <row r="714" spans="1:26" ht="13.5" customHeight="1">
      <c r="A714" s="53"/>
      <c r="B714" s="53"/>
      <c r="C714" s="53"/>
      <c r="D714" s="53"/>
      <c r="E714" s="53"/>
      <c r="F714" s="53"/>
      <c r="G714" s="53"/>
      <c r="H714" s="53"/>
      <c r="I714" s="53"/>
      <c r="J714" s="53"/>
      <c r="K714" s="53"/>
      <c r="L714" s="53"/>
      <c r="M714" s="53"/>
      <c r="N714" s="53"/>
      <c r="O714" s="53"/>
      <c r="P714" s="53"/>
      <c r="Q714" s="53"/>
      <c r="R714" s="53"/>
      <c r="S714" s="53"/>
      <c r="T714" s="53"/>
      <c r="U714" s="53"/>
      <c r="V714" s="53"/>
      <c r="W714" s="53"/>
      <c r="X714" s="53"/>
      <c r="Y714" s="53"/>
      <c r="Z714" s="53"/>
    </row>
    <row r="715" spans="1:26" ht="13.5" customHeight="1">
      <c r="A715" s="53"/>
      <c r="B715" s="53"/>
      <c r="C715" s="53"/>
      <c r="D715" s="53"/>
      <c r="E715" s="53"/>
      <c r="F715" s="53"/>
      <c r="G715" s="53"/>
      <c r="H715" s="53"/>
      <c r="I715" s="53"/>
      <c r="J715" s="53"/>
      <c r="K715" s="53"/>
      <c r="L715" s="53"/>
      <c r="M715" s="53"/>
      <c r="N715" s="53"/>
      <c r="O715" s="53"/>
      <c r="P715" s="53"/>
      <c r="Q715" s="53"/>
      <c r="R715" s="53"/>
      <c r="S715" s="53"/>
      <c r="T715" s="53"/>
      <c r="U715" s="53"/>
      <c r="V715" s="53"/>
      <c r="W715" s="53"/>
      <c r="X715" s="53"/>
      <c r="Y715" s="53"/>
      <c r="Z715" s="53"/>
    </row>
    <row r="716" spans="1:26" ht="13.5" customHeight="1">
      <c r="A716" s="53"/>
      <c r="B716" s="53"/>
      <c r="C716" s="53"/>
      <c r="D716" s="53"/>
      <c r="E716" s="53"/>
      <c r="F716" s="53"/>
      <c r="G716" s="53"/>
      <c r="H716" s="53"/>
      <c r="I716" s="53"/>
      <c r="J716" s="53"/>
      <c r="K716" s="53"/>
      <c r="L716" s="53"/>
      <c r="M716" s="53"/>
      <c r="N716" s="53"/>
      <c r="O716" s="53"/>
      <c r="P716" s="53"/>
      <c r="Q716" s="53"/>
      <c r="R716" s="53"/>
      <c r="S716" s="53"/>
      <c r="T716" s="53"/>
      <c r="U716" s="53"/>
      <c r="V716" s="53"/>
      <c r="W716" s="53"/>
      <c r="X716" s="53"/>
      <c r="Y716" s="53"/>
      <c r="Z716" s="53"/>
    </row>
    <row r="717" spans="1:26" ht="13.5" customHeight="1">
      <c r="A717" s="53"/>
      <c r="B717" s="53"/>
      <c r="C717" s="53"/>
      <c r="D717" s="53"/>
      <c r="E717" s="53"/>
      <c r="F717" s="53"/>
      <c r="G717" s="53"/>
      <c r="H717" s="53"/>
      <c r="I717" s="53"/>
      <c r="J717" s="53"/>
      <c r="K717" s="53"/>
      <c r="L717" s="53"/>
      <c r="M717" s="53"/>
      <c r="N717" s="53"/>
      <c r="O717" s="53"/>
      <c r="P717" s="53"/>
      <c r="Q717" s="53"/>
      <c r="R717" s="53"/>
      <c r="S717" s="53"/>
      <c r="T717" s="53"/>
      <c r="U717" s="53"/>
      <c r="V717" s="53"/>
      <c r="W717" s="53"/>
      <c r="X717" s="53"/>
      <c r="Y717" s="53"/>
      <c r="Z717" s="53"/>
    </row>
    <row r="718" spans="1:26" ht="13.5" customHeight="1">
      <c r="A718" s="53"/>
      <c r="B718" s="53"/>
      <c r="C718" s="53"/>
      <c r="D718" s="53"/>
      <c r="E718" s="53"/>
      <c r="F718" s="53"/>
      <c r="G718" s="53"/>
      <c r="H718" s="53"/>
      <c r="I718" s="53"/>
      <c r="J718" s="53"/>
      <c r="K718" s="53"/>
      <c r="L718" s="53"/>
      <c r="M718" s="53"/>
      <c r="N718" s="53"/>
      <c r="O718" s="53"/>
      <c r="P718" s="53"/>
      <c r="Q718" s="53"/>
      <c r="R718" s="53"/>
      <c r="S718" s="53"/>
      <c r="T718" s="53"/>
      <c r="U718" s="53"/>
      <c r="V718" s="53"/>
      <c r="W718" s="53"/>
      <c r="X718" s="53"/>
      <c r="Y718" s="53"/>
      <c r="Z718" s="53"/>
    </row>
    <row r="719" spans="1:26" ht="13.5" customHeight="1">
      <c r="A719" s="53"/>
      <c r="B719" s="53"/>
      <c r="C719" s="53"/>
      <c r="D719" s="53"/>
      <c r="E719" s="53"/>
      <c r="F719" s="53"/>
      <c r="G719" s="53"/>
      <c r="H719" s="53"/>
      <c r="I719" s="53"/>
      <c r="J719" s="53"/>
      <c r="K719" s="53"/>
      <c r="L719" s="53"/>
      <c r="M719" s="53"/>
      <c r="N719" s="53"/>
      <c r="O719" s="53"/>
      <c r="P719" s="53"/>
      <c r="Q719" s="53"/>
      <c r="R719" s="53"/>
      <c r="S719" s="53"/>
      <c r="T719" s="53"/>
      <c r="U719" s="53"/>
      <c r="V719" s="53"/>
      <c r="W719" s="53"/>
      <c r="X719" s="53"/>
      <c r="Y719" s="53"/>
      <c r="Z719" s="53"/>
    </row>
    <row r="720" spans="1:26" ht="13.5" customHeight="1">
      <c r="A720" s="53"/>
      <c r="B720" s="53"/>
      <c r="C720" s="53"/>
      <c r="D720" s="53"/>
      <c r="E720" s="53"/>
      <c r="F720" s="53"/>
      <c r="G720" s="53"/>
      <c r="H720" s="53"/>
      <c r="I720" s="53"/>
      <c r="J720" s="53"/>
      <c r="K720" s="53"/>
      <c r="L720" s="53"/>
      <c r="M720" s="53"/>
      <c r="N720" s="53"/>
      <c r="O720" s="53"/>
      <c r="P720" s="53"/>
      <c r="Q720" s="53"/>
      <c r="R720" s="53"/>
      <c r="S720" s="53"/>
      <c r="T720" s="53"/>
      <c r="U720" s="53"/>
      <c r="V720" s="53"/>
      <c r="W720" s="53"/>
      <c r="X720" s="53"/>
      <c r="Y720" s="53"/>
      <c r="Z720" s="53"/>
    </row>
    <row r="721" spans="1:26" ht="13.5" customHeight="1">
      <c r="A721" s="53"/>
      <c r="B721" s="53"/>
      <c r="C721" s="53"/>
      <c r="D721" s="53"/>
      <c r="E721" s="53"/>
      <c r="F721" s="53"/>
      <c r="G721" s="53"/>
      <c r="H721" s="53"/>
      <c r="I721" s="53"/>
      <c r="J721" s="53"/>
      <c r="K721" s="53"/>
      <c r="L721" s="53"/>
      <c r="M721" s="53"/>
      <c r="N721" s="53"/>
      <c r="O721" s="53"/>
      <c r="P721" s="53"/>
      <c r="Q721" s="53"/>
      <c r="R721" s="53"/>
      <c r="S721" s="53"/>
      <c r="T721" s="53"/>
      <c r="U721" s="53"/>
      <c r="V721" s="53"/>
      <c r="W721" s="53"/>
      <c r="X721" s="53"/>
      <c r="Y721" s="53"/>
      <c r="Z721" s="53"/>
    </row>
    <row r="722" spans="1:26" ht="13.5" customHeight="1">
      <c r="A722" s="53"/>
      <c r="B722" s="53"/>
      <c r="C722" s="53"/>
      <c r="D722" s="53"/>
      <c r="E722" s="53"/>
      <c r="F722" s="53"/>
      <c r="G722" s="53"/>
      <c r="H722" s="53"/>
      <c r="I722" s="53"/>
      <c r="J722" s="53"/>
      <c r="K722" s="53"/>
      <c r="L722" s="53"/>
      <c r="M722" s="53"/>
      <c r="N722" s="53"/>
      <c r="O722" s="53"/>
      <c r="P722" s="53"/>
      <c r="Q722" s="53"/>
      <c r="R722" s="53"/>
      <c r="S722" s="53"/>
      <c r="T722" s="53"/>
      <c r="U722" s="53"/>
      <c r="V722" s="53"/>
      <c r="W722" s="53"/>
      <c r="X722" s="53"/>
      <c r="Y722" s="53"/>
      <c r="Z722" s="53"/>
    </row>
    <row r="723" spans="1:26" ht="13.5" customHeight="1">
      <c r="A723" s="53"/>
      <c r="B723" s="53"/>
      <c r="C723" s="53"/>
      <c r="D723" s="53"/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3"/>
      <c r="P723" s="53"/>
      <c r="Q723" s="53"/>
      <c r="R723" s="53"/>
      <c r="S723" s="53"/>
      <c r="T723" s="53"/>
      <c r="U723" s="53"/>
      <c r="V723" s="53"/>
      <c r="W723" s="53"/>
      <c r="X723" s="53"/>
      <c r="Y723" s="53"/>
      <c r="Z723" s="53"/>
    </row>
    <row r="724" spans="1:26" ht="13.5" customHeight="1">
      <c r="A724" s="53"/>
      <c r="B724" s="53"/>
      <c r="C724" s="53"/>
      <c r="D724" s="53"/>
      <c r="E724" s="53"/>
      <c r="F724" s="53"/>
      <c r="G724" s="53"/>
      <c r="H724" s="53"/>
      <c r="I724" s="53"/>
      <c r="J724" s="53"/>
      <c r="K724" s="53"/>
      <c r="L724" s="53"/>
      <c r="M724" s="53"/>
      <c r="N724" s="53"/>
      <c r="O724" s="53"/>
      <c r="P724" s="53"/>
      <c r="Q724" s="53"/>
      <c r="R724" s="53"/>
      <c r="S724" s="53"/>
      <c r="T724" s="53"/>
      <c r="U724" s="53"/>
      <c r="V724" s="53"/>
      <c r="W724" s="53"/>
      <c r="X724" s="53"/>
      <c r="Y724" s="53"/>
      <c r="Z724" s="53"/>
    </row>
    <row r="725" spans="1:26" ht="13.5" customHeight="1">
      <c r="A725" s="53"/>
      <c r="B725" s="53"/>
      <c r="C725" s="53"/>
      <c r="D725" s="53"/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  <c r="R725" s="53"/>
      <c r="S725" s="53"/>
      <c r="T725" s="53"/>
      <c r="U725" s="53"/>
      <c r="V725" s="53"/>
      <c r="W725" s="53"/>
      <c r="X725" s="53"/>
      <c r="Y725" s="53"/>
      <c r="Z725" s="53"/>
    </row>
    <row r="726" spans="1:26" ht="13.5" customHeight="1">
      <c r="A726" s="53"/>
      <c r="B726" s="53"/>
      <c r="C726" s="53"/>
      <c r="D726" s="53"/>
      <c r="E726" s="53"/>
      <c r="F726" s="53"/>
      <c r="G726" s="53"/>
      <c r="H726" s="53"/>
      <c r="I726" s="53"/>
      <c r="J726" s="53"/>
      <c r="K726" s="53"/>
      <c r="L726" s="53"/>
      <c r="M726" s="53"/>
      <c r="N726" s="53"/>
      <c r="O726" s="53"/>
      <c r="P726" s="53"/>
      <c r="Q726" s="53"/>
      <c r="R726" s="53"/>
      <c r="S726" s="53"/>
      <c r="T726" s="53"/>
      <c r="U726" s="53"/>
      <c r="V726" s="53"/>
      <c r="W726" s="53"/>
      <c r="X726" s="53"/>
      <c r="Y726" s="53"/>
      <c r="Z726" s="53"/>
    </row>
    <row r="727" spans="1:26" ht="13.5" customHeight="1">
      <c r="A727" s="53"/>
      <c r="B727" s="53"/>
      <c r="C727" s="53"/>
      <c r="D727" s="53"/>
      <c r="E727" s="53"/>
      <c r="F727" s="53"/>
      <c r="G727" s="53"/>
      <c r="H727" s="53"/>
      <c r="I727" s="53"/>
      <c r="J727" s="53"/>
      <c r="K727" s="53"/>
      <c r="L727" s="53"/>
      <c r="M727" s="53"/>
      <c r="N727" s="53"/>
      <c r="O727" s="53"/>
      <c r="P727" s="53"/>
      <c r="Q727" s="53"/>
      <c r="R727" s="53"/>
      <c r="S727" s="53"/>
      <c r="T727" s="53"/>
      <c r="U727" s="53"/>
      <c r="V727" s="53"/>
      <c r="W727" s="53"/>
      <c r="X727" s="53"/>
      <c r="Y727" s="53"/>
      <c r="Z727" s="53"/>
    </row>
    <row r="728" spans="1:26" ht="13.5" customHeight="1">
      <c r="A728" s="53"/>
      <c r="B728" s="53"/>
      <c r="C728" s="53"/>
      <c r="D728" s="53"/>
      <c r="E728" s="53"/>
      <c r="F728" s="53"/>
      <c r="G728" s="53"/>
      <c r="H728" s="53"/>
      <c r="I728" s="53"/>
      <c r="J728" s="53"/>
      <c r="K728" s="53"/>
      <c r="L728" s="53"/>
      <c r="M728" s="53"/>
      <c r="N728" s="53"/>
      <c r="O728" s="53"/>
      <c r="P728" s="53"/>
      <c r="Q728" s="53"/>
      <c r="R728" s="53"/>
      <c r="S728" s="53"/>
      <c r="T728" s="53"/>
      <c r="U728" s="53"/>
      <c r="V728" s="53"/>
      <c r="W728" s="53"/>
      <c r="X728" s="53"/>
      <c r="Y728" s="53"/>
      <c r="Z728" s="53"/>
    </row>
    <row r="729" spans="1:26" ht="13.5" customHeight="1">
      <c r="A729" s="53"/>
      <c r="B729" s="53"/>
      <c r="C729" s="53"/>
      <c r="D729" s="53"/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  <c r="R729" s="53"/>
      <c r="S729" s="53"/>
      <c r="T729" s="53"/>
      <c r="U729" s="53"/>
      <c r="V729" s="53"/>
      <c r="W729" s="53"/>
      <c r="X729" s="53"/>
      <c r="Y729" s="53"/>
      <c r="Z729" s="53"/>
    </row>
    <row r="730" spans="1:26" ht="13.5" customHeight="1">
      <c r="A730" s="53"/>
      <c r="B730" s="53"/>
      <c r="C730" s="53"/>
      <c r="D730" s="53"/>
      <c r="E730" s="53"/>
      <c r="F730" s="53"/>
      <c r="G730" s="53"/>
      <c r="H730" s="53"/>
      <c r="I730" s="53"/>
      <c r="J730" s="53"/>
      <c r="K730" s="53"/>
      <c r="L730" s="53"/>
      <c r="M730" s="53"/>
      <c r="N730" s="53"/>
      <c r="O730" s="53"/>
      <c r="P730" s="53"/>
      <c r="Q730" s="53"/>
      <c r="R730" s="53"/>
      <c r="S730" s="53"/>
      <c r="T730" s="53"/>
      <c r="U730" s="53"/>
      <c r="V730" s="53"/>
      <c r="W730" s="53"/>
      <c r="X730" s="53"/>
      <c r="Y730" s="53"/>
      <c r="Z730" s="53"/>
    </row>
    <row r="731" spans="1:26" ht="13.5" customHeight="1">
      <c r="A731" s="53"/>
      <c r="B731" s="53"/>
      <c r="C731" s="53"/>
      <c r="D731" s="53"/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  <c r="R731" s="53"/>
      <c r="S731" s="53"/>
      <c r="T731" s="53"/>
      <c r="U731" s="53"/>
      <c r="V731" s="53"/>
      <c r="W731" s="53"/>
      <c r="X731" s="53"/>
      <c r="Y731" s="53"/>
      <c r="Z731" s="53"/>
    </row>
    <row r="732" spans="1:26" ht="13.5" customHeight="1">
      <c r="A732" s="53"/>
      <c r="B732" s="53"/>
      <c r="C732" s="53"/>
      <c r="D732" s="53"/>
      <c r="E732" s="53"/>
      <c r="F732" s="53"/>
      <c r="G732" s="53"/>
      <c r="H732" s="53"/>
      <c r="I732" s="53"/>
      <c r="J732" s="53"/>
      <c r="K732" s="53"/>
      <c r="L732" s="53"/>
      <c r="M732" s="53"/>
      <c r="N732" s="53"/>
      <c r="O732" s="53"/>
      <c r="P732" s="53"/>
      <c r="Q732" s="53"/>
      <c r="R732" s="53"/>
      <c r="S732" s="53"/>
      <c r="T732" s="53"/>
      <c r="U732" s="53"/>
      <c r="V732" s="53"/>
      <c r="W732" s="53"/>
      <c r="X732" s="53"/>
      <c r="Y732" s="53"/>
      <c r="Z732" s="53"/>
    </row>
    <row r="733" spans="1:26" ht="13.5" customHeight="1">
      <c r="A733" s="53"/>
      <c r="B733" s="53"/>
      <c r="C733" s="53"/>
      <c r="D733" s="53"/>
      <c r="E733" s="53"/>
      <c r="F733" s="53"/>
      <c r="G733" s="53"/>
      <c r="H733" s="53"/>
      <c r="I733" s="53"/>
      <c r="J733" s="53"/>
      <c r="K733" s="53"/>
      <c r="L733" s="53"/>
      <c r="M733" s="53"/>
      <c r="N733" s="53"/>
      <c r="O733" s="53"/>
      <c r="P733" s="53"/>
      <c r="Q733" s="53"/>
      <c r="R733" s="53"/>
      <c r="S733" s="53"/>
      <c r="T733" s="53"/>
      <c r="U733" s="53"/>
      <c r="V733" s="53"/>
      <c r="W733" s="53"/>
      <c r="X733" s="53"/>
      <c r="Y733" s="53"/>
      <c r="Z733" s="53"/>
    </row>
    <row r="734" spans="1:26" ht="13.5" customHeight="1">
      <c r="A734" s="53"/>
      <c r="B734" s="53"/>
      <c r="C734" s="53"/>
      <c r="D734" s="53"/>
      <c r="E734" s="53"/>
      <c r="F734" s="53"/>
      <c r="G734" s="53"/>
      <c r="H734" s="53"/>
      <c r="I734" s="53"/>
      <c r="J734" s="53"/>
      <c r="K734" s="53"/>
      <c r="L734" s="53"/>
      <c r="M734" s="53"/>
      <c r="N734" s="53"/>
      <c r="O734" s="53"/>
      <c r="P734" s="53"/>
      <c r="Q734" s="53"/>
      <c r="R734" s="53"/>
      <c r="S734" s="53"/>
      <c r="T734" s="53"/>
      <c r="U734" s="53"/>
      <c r="V734" s="53"/>
      <c r="W734" s="53"/>
      <c r="X734" s="53"/>
      <c r="Y734" s="53"/>
      <c r="Z734" s="53"/>
    </row>
    <row r="735" spans="1:26" ht="13.5" customHeight="1">
      <c r="A735" s="53"/>
      <c r="B735" s="53"/>
      <c r="C735" s="53"/>
      <c r="D735" s="53"/>
      <c r="E735" s="53"/>
      <c r="F735" s="53"/>
      <c r="G735" s="53"/>
      <c r="H735" s="53"/>
      <c r="I735" s="53"/>
      <c r="J735" s="53"/>
      <c r="K735" s="53"/>
      <c r="L735" s="53"/>
      <c r="M735" s="53"/>
      <c r="N735" s="53"/>
      <c r="O735" s="53"/>
      <c r="P735" s="53"/>
      <c r="Q735" s="53"/>
      <c r="R735" s="53"/>
      <c r="S735" s="53"/>
      <c r="T735" s="53"/>
      <c r="U735" s="53"/>
      <c r="V735" s="53"/>
      <c r="W735" s="53"/>
      <c r="X735" s="53"/>
      <c r="Y735" s="53"/>
      <c r="Z735" s="53"/>
    </row>
    <row r="736" spans="1:26" ht="13.5" customHeight="1">
      <c r="A736" s="53"/>
      <c r="B736" s="53"/>
      <c r="C736" s="53"/>
      <c r="D736" s="53"/>
      <c r="E736" s="53"/>
      <c r="F736" s="53"/>
      <c r="G736" s="53"/>
      <c r="H736" s="53"/>
      <c r="I736" s="53"/>
      <c r="J736" s="53"/>
      <c r="K736" s="53"/>
      <c r="L736" s="53"/>
      <c r="M736" s="53"/>
      <c r="N736" s="53"/>
      <c r="O736" s="53"/>
      <c r="P736" s="53"/>
      <c r="Q736" s="53"/>
      <c r="R736" s="53"/>
      <c r="S736" s="53"/>
      <c r="T736" s="53"/>
      <c r="U736" s="53"/>
      <c r="V736" s="53"/>
      <c r="W736" s="53"/>
      <c r="X736" s="53"/>
      <c r="Y736" s="53"/>
      <c r="Z736" s="53"/>
    </row>
    <row r="737" spans="1:26" ht="13.5" customHeight="1">
      <c r="A737" s="53"/>
      <c r="B737" s="53"/>
      <c r="C737" s="53"/>
      <c r="D737" s="53"/>
      <c r="E737" s="53"/>
      <c r="F737" s="53"/>
      <c r="G737" s="53"/>
      <c r="H737" s="53"/>
      <c r="I737" s="53"/>
      <c r="J737" s="53"/>
      <c r="K737" s="53"/>
      <c r="L737" s="53"/>
      <c r="M737" s="53"/>
      <c r="N737" s="53"/>
      <c r="O737" s="53"/>
      <c r="P737" s="53"/>
      <c r="Q737" s="53"/>
      <c r="R737" s="53"/>
      <c r="S737" s="53"/>
      <c r="T737" s="53"/>
      <c r="U737" s="53"/>
      <c r="V737" s="53"/>
      <c r="W737" s="53"/>
      <c r="X737" s="53"/>
      <c r="Y737" s="53"/>
      <c r="Z737" s="53"/>
    </row>
    <row r="738" spans="1:26" ht="13.5" customHeight="1">
      <c r="A738" s="53"/>
      <c r="B738" s="53"/>
      <c r="C738" s="53"/>
      <c r="D738" s="53"/>
      <c r="E738" s="53"/>
      <c r="F738" s="53"/>
      <c r="G738" s="53"/>
      <c r="H738" s="53"/>
      <c r="I738" s="53"/>
      <c r="J738" s="53"/>
      <c r="K738" s="53"/>
      <c r="L738" s="53"/>
      <c r="M738" s="53"/>
      <c r="N738" s="53"/>
      <c r="O738" s="53"/>
      <c r="P738" s="53"/>
      <c r="Q738" s="53"/>
      <c r="R738" s="53"/>
      <c r="S738" s="53"/>
      <c r="T738" s="53"/>
      <c r="U738" s="53"/>
      <c r="V738" s="53"/>
      <c r="W738" s="53"/>
      <c r="X738" s="53"/>
      <c r="Y738" s="53"/>
      <c r="Z738" s="53"/>
    </row>
    <row r="739" spans="1:26" ht="13.5" customHeight="1">
      <c r="A739" s="53"/>
      <c r="B739" s="53"/>
      <c r="C739" s="53"/>
      <c r="D739" s="53"/>
      <c r="E739" s="53"/>
      <c r="F739" s="53"/>
      <c r="G739" s="53"/>
      <c r="H739" s="53"/>
      <c r="I739" s="53"/>
      <c r="J739" s="53"/>
      <c r="K739" s="53"/>
      <c r="L739" s="53"/>
      <c r="M739" s="53"/>
      <c r="N739" s="53"/>
      <c r="O739" s="53"/>
      <c r="P739" s="53"/>
      <c r="Q739" s="53"/>
      <c r="R739" s="53"/>
      <c r="S739" s="53"/>
      <c r="T739" s="53"/>
      <c r="U739" s="53"/>
      <c r="V739" s="53"/>
      <c r="W739" s="53"/>
      <c r="X739" s="53"/>
      <c r="Y739" s="53"/>
      <c r="Z739" s="53"/>
    </row>
    <row r="740" spans="1:26" ht="13.5" customHeight="1">
      <c r="A740" s="53"/>
      <c r="B740" s="53"/>
      <c r="C740" s="53"/>
      <c r="D740" s="53"/>
      <c r="E740" s="53"/>
      <c r="F740" s="53"/>
      <c r="G740" s="53"/>
      <c r="H740" s="53"/>
      <c r="I740" s="53"/>
      <c r="J740" s="53"/>
      <c r="K740" s="53"/>
      <c r="L740" s="53"/>
      <c r="M740" s="53"/>
      <c r="N740" s="53"/>
      <c r="O740" s="53"/>
      <c r="P740" s="53"/>
      <c r="Q740" s="53"/>
      <c r="R740" s="53"/>
      <c r="S740" s="53"/>
      <c r="T740" s="53"/>
      <c r="U740" s="53"/>
      <c r="V740" s="53"/>
      <c r="W740" s="53"/>
      <c r="X740" s="53"/>
      <c r="Y740" s="53"/>
      <c r="Z740" s="53"/>
    </row>
    <row r="741" spans="1:26" ht="13.5" customHeight="1">
      <c r="A741" s="53"/>
      <c r="B741" s="53"/>
      <c r="C741" s="53"/>
      <c r="D741" s="53"/>
      <c r="E741" s="53"/>
      <c r="F741" s="53"/>
      <c r="G741" s="53"/>
      <c r="H741" s="53"/>
      <c r="I741" s="53"/>
      <c r="J741" s="53"/>
      <c r="K741" s="53"/>
      <c r="L741" s="53"/>
      <c r="M741" s="53"/>
      <c r="N741" s="53"/>
      <c r="O741" s="53"/>
      <c r="P741" s="53"/>
      <c r="Q741" s="53"/>
      <c r="R741" s="53"/>
      <c r="S741" s="53"/>
      <c r="T741" s="53"/>
      <c r="U741" s="53"/>
      <c r="V741" s="53"/>
      <c r="W741" s="53"/>
      <c r="X741" s="53"/>
      <c r="Y741" s="53"/>
      <c r="Z741" s="53"/>
    </row>
    <row r="742" spans="1:26" ht="13.5" customHeight="1">
      <c r="A742" s="53"/>
      <c r="B742" s="53"/>
      <c r="C742" s="53"/>
      <c r="D742" s="53"/>
      <c r="E742" s="53"/>
      <c r="F742" s="53"/>
      <c r="G742" s="53"/>
      <c r="H742" s="53"/>
      <c r="I742" s="53"/>
      <c r="J742" s="53"/>
      <c r="K742" s="53"/>
      <c r="L742" s="53"/>
      <c r="M742" s="53"/>
      <c r="N742" s="53"/>
      <c r="O742" s="53"/>
      <c r="P742" s="53"/>
      <c r="Q742" s="53"/>
      <c r="R742" s="53"/>
      <c r="S742" s="53"/>
      <c r="T742" s="53"/>
      <c r="U742" s="53"/>
      <c r="V742" s="53"/>
      <c r="W742" s="53"/>
      <c r="X742" s="53"/>
      <c r="Y742" s="53"/>
      <c r="Z742" s="53"/>
    </row>
    <row r="743" spans="1:26" ht="13.5" customHeight="1">
      <c r="A743" s="53"/>
      <c r="B743" s="53"/>
      <c r="C743" s="53"/>
      <c r="D743" s="53"/>
      <c r="E743" s="53"/>
      <c r="F743" s="53"/>
      <c r="G743" s="53"/>
      <c r="H743" s="53"/>
      <c r="I743" s="53"/>
      <c r="J743" s="53"/>
      <c r="K743" s="53"/>
      <c r="L743" s="53"/>
      <c r="M743" s="53"/>
      <c r="N743" s="53"/>
      <c r="O743" s="53"/>
      <c r="P743" s="53"/>
      <c r="Q743" s="53"/>
      <c r="R743" s="53"/>
      <c r="S743" s="53"/>
      <c r="T743" s="53"/>
      <c r="U743" s="53"/>
      <c r="V743" s="53"/>
      <c r="W743" s="53"/>
      <c r="X743" s="53"/>
      <c r="Y743" s="53"/>
      <c r="Z743" s="53"/>
    </row>
    <row r="744" spans="1:26" ht="13.5" customHeight="1">
      <c r="A744" s="53"/>
      <c r="B744" s="53"/>
      <c r="C744" s="53"/>
      <c r="D744" s="53"/>
      <c r="E744" s="53"/>
      <c r="F744" s="53"/>
      <c r="G744" s="53"/>
      <c r="H744" s="53"/>
      <c r="I744" s="53"/>
      <c r="J744" s="53"/>
      <c r="K744" s="53"/>
      <c r="L744" s="53"/>
      <c r="M744" s="53"/>
      <c r="N744" s="53"/>
      <c r="O744" s="53"/>
      <c r="P744" s="53"/>
      <c r="Q744" s="53"/>
      <c r="R744" s="53"/>
      <c r="S744" s="53"/>
      <c r="T744" s="53"/>
      <c r="U744" s="53"/>
      <c r="V744" s="53"/>
      <c r="W744" s="53"/>
      <c r="X744" s="53"/>
      <c r="Y744" s="53"/>
      <c r="Z744" s="53"/>
    </row>
    <row r="745" spans="1:26" ht="13.5" customHeight="1">
      <c r="A745" s="53"/>
      <c r="B745" s="53"/>
      <c r="C745" s="53"/>
      <c r="D745" s="53"/>
      <c r="E745" s="53"/>
      <c r="F745" s="53"/>
      <c r="G745" s="53"/>
      <c r="H745" s="53"/>
      <c r="I745" s="53"/>
      <c r="J745" s="53"/>
      <c r="K745" s="53"/>
      <c r="L745" s="53"/>
      <c r="M745" s="53"/>
      <c r="N745" s="53"/>
      <c r="O745" s="53"/>
      <c r="P745" s="53"/>
      <c r="Q745" s="53"/>
      <c r="R745" s="53"/>
      <c r="S745" s="53"/>
      <c r="T745" s="53"/>
      <c r="U745" s="53"/>
      <c r="V745" s="53"/>
      <c r="W745" s="53"/>
      <c r="X745" s="53"/>
      <c r="Y745" s="53"/>
      <c r="Z745" s="53"/>
    </row>
    <row r="746" spans="1:26" ht="13.5" customHeight="1">
      <c r="A746" s="53"/>
      <c r="B746" s="53"/>
      <c r="C746" s="53"/>
      <c r="D746" s="53"/>
      <c r="E746" s="53"/>
      <c r="F746" s="53"/>
      <c r="G746" s="53"/>
      <c r="H746" s="53"/>
      <c r="I746" s="53"/>
      <c r="J746" s="53"/>
      <c r="K746" s="53"/>
      <c r="L746" s="53"/>
      <c r="M746" s="53"/>
      <c r="N746" s="53"/>
      <c r="O746" s="53"/>
      <c r="P746" s="53"/>
      <c r="Q746" s="53"/>
      <c r="R746" s="53"/>
      <c r="S746" s="53"/>
      <c r="T746" s="53"/>
      <c r="U746" s="53"/>
      <c r="V746" s="53"/>
      <c r="W746" s="53"/>
      <c r="X746" s="53"/>
      <c r="Y746" s="53"/>
      <c r="Z746" s="53"/>
    </row>
    <row r="747" spans="1:26" ht="13.5" customHeight="1">
      <c r="A747" s="53"/>
      <c r="B747" s="53"/>
      <c r="C747" s="53"/>
      <c r="D747" s="53"/>
      <c r="E747" s="53"/>
      <c r="F747" s="53"/>
      <c r="G747" s="53"/>
      <c r="H747" s="53"/>
      <c r="I747" s="53"/>
      <c r="J747" s="53"/>
      <c r="K747" s="53"/>
      <c r="L747" s="53"/>
      <c r="M747" s="53"/>
      <c r="N747" s="53"/>
      <c r="O747" s="53"/>
      <c r="P747" s="53"/>
      <c r="Q747" s="53"/>
      <c r="R747" s="53"/>
      <c r="S747" s="53"/>
      <c r="T747" s="53"/>
      <c r="U747" s="53"/>
      <c r="V747" s="53"/>
      <c r="W747" s="53"/>
      <c r="X747" s="53"/>
      <c r="Y747" s="53"/>
      <c r="Z747" s="53"/>
    </row>
    <row r="748" spans="1:26" ht="13.5" customHeight="1">
      <c r="A748" s="53"/>
      <c r="B748" s="53"/>
      <c r="C748" s="53"/>
      <c r="D748" s="53"/>
      <c r="E748" s="53"/>
      <c r="F748" s="53"/>
      <c r="G748" s="53"/>
      <c r="H748" s="53"/>
      <c r="I748" s="53"/>
      <c r="J748" s="53"/>
      <c r="K748" s="53"/>
      <c r="L748" s="53"/>
      <c r="M748" s="53"/>
      <c r="N748" s="53"/>
      <c r="O748" s="53"/>
      <c r="P748" s="53"/>
      <c r="Q748" s="53"/>
      <c r="R748" s="53"/>
      <c r="S748" s="53"/>
      <c r="T748" s="53"/>
      <c r="U748" s="53"/>
      <c r="V748" s="53"/>
      <c r="W748" s="53"/>
      <c r="X748" s="53"/>
      <c r="Y748" s="53"/>
      <c r="Z748" s="53"/>
    </row>
    <row r="749" spans="1:26" ht="13.5" customHeight="1">
      <c r="A749" s="53"/>
      <c r="B749" s="53"/>
      <c r="C749" s="53"/>
      <c r="D749" s="53"/>
      <c r="E749" s="53"/>
      <c r="F749" s="53"/>
      <c r="G749" s="53"/>
      <c r="H749" s="53"/>
      <c r="I749" s="53"/>
      <c r="J749" s="53"/>
      <c r="K749" s="53"/>
      <c r="L749" s="53"/>
      <c r="M749" s="53"/>
      <c r="N749" s="53"/>
      <c r="O749" s="53"/>
      <c r="P749" s="53"/>
      <c r="Q749" s="53"/>
      <c r="R749" s="53"/>
      <c r="S749" s="53"/>
      <c r="T749" s="53"/>
      <c r="U749" s="53"/>
      <c r="V749" s="53"/>
      <c r="W749" s="53"/>
      <c r="X749" s="53"/>
      <c r="Y749" s="53"/>
      <c r="Z749" s="53"/>
    </row>
    <row r="750" spans="1:26" ht="13.5" customHeight="1">
      <c r="A750" s="53"/>
      <c r="B750" s="53"/>
      <c r="C750" s="53"/>
      <c r="D750" s="53"/>
      <c r="E750" s="53"/>
      <c r="F750" s="53"/>
      <c r="G750" s="53"/>
      <c r="H750" s="53"/>
      <c r="I750" s="53"/>
      <c r="J750" s="53"/>
      <c r="K750" s="53"/>
      <c r="L750" s="53"/>
      <c r="M750" s="53"/>
      <c r="N750" s="53"/>
      <c r="O750" s="53"/>
      <c r="P750" s="53"/>
      <c r="Q750" s="53"/>
      <c r="R750" s="53"/>
      <c r="S750" s="53"/>
      <c r="T750" s="53"/>
      <c r="U750" s="53"/>
      <c r="V750" s="53"/>
      <c r="W750" s="53"/>
      <c r="X750" s="53"/>
      <c r="Y750" s="53"/>
      <c r="Z750" s="53"/>
    </row>
    <row r="751" spans="1:26" ht="13.5" customHeight="1">
      <c r="A751" s="53"/>
      <c r="B751" s="53"/>
      <c r="C751" s="53"/>
      <c r="D751" s="53"/>
      <c r="E751" s="53"/>
      <c r="F751" s="53"/>
      <c r="G751" s="53"/>
      <c r="H751" s="53"/>
      <c r="I751" s="53"/>
      <c r="J751" s="53"/>
      <c r="K751" s="53"/>
      <c r="L751" s="53"/>
      <c r="M751" s="53"/>
      <c r="N751" s="53"/>
      <c r="O751" s="53"/>
      <c r="P751" s="53"/>
      <c r="Q751" s="53"/>
      <c r="R751" s="53"/>
      <c r="S751" s="53"/>
      <c r="T751" s="53"/>
      <c r="U751" s="53"/>
      <c r="V751" s="53"/>
      <c r="W751" s="53"/>
      <c r="X751" s="53"/>
      <c r="Y751" s="53"/>
      <c r="Z751" s="53"/>
    </row>
    <row r="752" spans="1:26" ht="13.5" customHeight="1">
      <c r="A752" s="53"/>
      <c r="B752" s="53"/>
      <c r="C752" s="53"/>
      <c r="D752" s="53"/>
      <c r="E752" s="53"/>
      <c r="F752" s="53"/>
      <c r="G752" s="53"/>
      <c r="H752" s="53"/>
      <c r="I752" s="53"/>
      <c r="J752" s="53"/>
      <c r="K752" s="53"/>
      <c r="L752" s="53"/>
      <c r="M752" s="53"/>
      <c r="N752" s="53"/>
      <c r="O752" s="53"/>
      <c r="P752" s="53"/>
      <c r="Q752" s="53"/>
      <c r="R752" s="53"/>
      <c r="S752" s="53"/>
      <c r="T752" s="53"/>
      <c r="U752" s="53"/>
      <c r="V752" s="53"/>
      <c r="W752" s="53"/>
      <c r="X752" s="53"/>
      <c r="Y752" s="53"/>
      <c r="Z752" s="53"/>
    </row>
    <row r="753" spans="1:26" ht="13.5" customHeight="1">
      <c r="A753" s="53"/>
      <c r="B753" s="53"/>
      <c r="C753" s="53"/>
      <c r="D753" s="53"/>
      <c r="E753" s="53"/>
      <c r="F753" s="53"/>
      <c r="G753" s="53"/>
      <c r="H753" s="53"/>
      <c r="I753" s="53"/>
      <c r="J753" s="53"/>
      <c r="K753" s="53"/>
      <c r="L753" s="53"/>
      <c r="M753" s="53"/>
      <c r="N753" s="53"/>
      <c r="O753" s="53"/>
      <c r="P753" s="53"/>
      <c r="Q753" s="53"/>
      <c r="R753" s="53"/>
      <c r="S753" s="53"/>
      <c r="T753" s="53"/>
      <c r="U753" s="53"/>
      <c r="V753" s="53"/>
      <c r="W753" s="53"/>
      <c r="X753" s="53"/>
      <c r="Y753" s="53"/>
      <c r="Z753" s="53"/>
    </row>
    <row r="754" spans="1:26" ht="13.5" customHeight="1">
      <c r="A754" s="53"/>
      <c r="B754" s="53"/>
      <c r="C754" s="53"/>
      <c r="D754" s="53"/>
      <c r="E754" s="53"/>
      <c r="F754" s="53"/>
      <c r="G754" s="53"/>
      <c r="H754" s="53"/>
      <c r="I754" s="53"/>
      <c r="J754" s="53"/>
      <c r="K754" s="53"/>
      <c r="L754" s="53"/>
      <c r="M754" s="53"/>
      <c r="N754" s="53"/>
      <c r="O754" s="53"/>
      <c r="P754" s="53"/>
      <c r="Q754" s="53"/>
      <c r="R754" s="53"/>
      <c r="S754" s="53"/>
      <c r="T754" s="53"/>
      <c r="U754" s="53"/>
      <c r="V754" s="53"/>
      <c r="W754" s="53"/>
      <c r="X754" s="53"/>
      <c r="Y754" s="53"/>
      <c r="Z754" s="53"/>
    </row>
    <row r="755" spans="1:26" ht="13.5" customHeight="1">
      <c r="A755" s="53"/>
      <c r="B755" s="53"/>
      <c r="C755" s="53"/>
      <c r="D755" s="53"/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3"/>
      <c r="P755" s="53"/>
      <c r="Q755" s="53"/>
      <c r="R755" s="53"/>
      <c r="S755" s="53"/>
      <c r="T755" s="53"/>
      <c r="U755" s="53"/>
      <c r="V755" s="53"/>
      <c r="W755" s="53"/>
      <c r="X755" s="53"/>
      <c r="Y755" s="53"/>
      <c r="Z755" s="53"/>
    </row>
    <row r="756" spans="1:26" ht="13.5" customHeight="1">
      <c r="A756" s="53"/>
      <c r="B756" s="53"/>
      <c r="C756" s="53"/>
      <c r="D756" s="53"/>
      <c r="E756" s="53"/>
      <c r="F756" s="53"/>
      <c r="G756" s="53"/>
      <c r="H756" s="53"/>
      <c r="I756" s="53"/>
      <c r="J756" s="53"/>
      <c r="K756" s="53"/>
      <c r="L756" s="53"/>
      <c r="M756" s="53"/>
      <c r="N756" s="53"/>
      <c r="O756" s="53"/>
      <c r="P756" s="53"/>
      <c r="Q756" s="53"/>
      <c r="R756" s="53"/>
      <c r="S756" s="53"/>
      <c r="T756" s="53"/>
      <c r="U756" s="53"/>
      <c r="V756" s="53"/>
      <c r="W756" s="53"/>
      <c r="X756" s="53"/>
      <c r="Y756" s="53"/>
      <c r="Z756" s="53"/>
    </row>
    <row r="757" spans="1:26" ht="13.5" customHeight="1">
      <c r="A757" s="53"/>
      <c r="B757" s="53"/>
      <c r="C757" s="53"/>
      <c r="D757" s="53"/>
      <c r="E757" s="53"/>
      <c r="F757" s="53"/>
      <c r="G757" s="53"/>
      <c r="H757" s="53"/>
      <c r="I757" s="53"/>
      <c r="J757" s="53"/>
      <c r="K757" s="53"/>
      <c r="L757" s="53"/>
      <c r="M757" s="53"/>
      <c r="N757" s="53"/>
      <c r="O757" s="53"/>
      <c r="P757" s="53"/>
      <c r="Q757" s="53"/>
      <c r="R757" s="53"/>
      <c r="S757" s="53"/>
      <c r="T757" s="53"/>
      <c r="U757" s="53"/>
      <c r="V757" s="53"/>
      <c r="W757" s="53"/>
      <c r="X757" s="53"/>
      <c r="Y757" s="53"/>
      <c r="Z757" s="53"/>
    </row>
    <row r="758" spans="1:26" ht="13.5" customHeight="1">
      <c r="A758" s="53"/>
      <c r="B758" s="53"/>
      <c r="C758" s="53"/>
      <c r="D758" s="53"/>
      <c r="E758" s="53"/>
      <c r="F758" s="53"/>
      <c r="G758" s="53"/>
      <c r="H758" s="53"/>
      <c r="I758" s="53"/>
      <c r="J758" s="53"/>
      <c r="K758" s="53"/>
      <c r="L758" s="53"/>
      <c r="M758" s="53"/>
      <c r="N758" s="53"/>
      <c r="O758" s="53"/>
      <c r="P758" s="53"/>
      <c r="Q758" s="53"/>
      <c r="R758" s="53"/>
      <c r="S758" s="53"/>
      <c r="T758" s="53"/>
      <c r="U758" s="53"/>
      <c r="V758" s="53"/>
      <c r="W758" s="53"/>
      <c r="X758" s="53"/>
      <c r="Y758" s="53"/>
      <c r="Z758" s="53"/>
    </row>
    <row r="759" spans="1:26" ht="13.5" customHeight="1">
      <c r="A759" s="53"/>
      <c r="B759" s="53"/>
      <c r="C759" s="53"/>
      <c r="D759" s="53"/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  <c r="R759" s="53"/>
      <c r="S759" s="53"/>
      <c r="T759" s="53"/>
      <c r="U759" s="53"/>
      <c r="V759" s="53"/>
      <c r="W759" s="53"/>
      <c r="X759" s="53"/>
      <c r="Y759" s="53"/>
      <c r="Z759" s="53"/>
    </row>
    <row r="760" spans="1:26" ht="13.5" customHeight="1">
      <c r="A760" s="53"/>
      <c r="B760" s="53"/>
      <c r="C760" s="53"/>
      <c r="D760" s="53"/>
      <c r="E760" s="53"/>
      <c r="F760" s="53"/>
      <c r="G760" s="53"/>
      <c r="H760" s="53"/>
      <c r="I760" s="53"/>
      <c r="J760" s="53"/>
      <c r="K760" s="53"/>
      <c r="L760" s="53"/>
      <c r="M760" s="53"/>
      <c r="N760" s="53"/>
      <c r="O760" s="53"/>
      <c r="P760" s="53"/>
      <c r="Q760" s="53"/>
      <c r="R760" s="53"/>
      <c r="S760" s="53"/>
      <c r="T760" s="53"/>
      <c r="U760" s="53"/>
      <c r="V760" s="53"/>
      <c r="W760" s="53"/>
      <c r="X760" s="53"/>
      <c r="Y760" s="53"/>
      <c r="Z760" s="53"/>
    </row>
    <row r="761" spans="1:26" ht="13.5" customHeight="1">
      <c r="A761" s="53"/>
      <c r="B761" s="53"/>
      <c r="C761" s="53"/>
      <c r="D761" s="53"/>
      <c r="E761" s="53"/>
      <c r="F761" s="53"/>
      <c r="G761" s="53"/>
      <c r="H761" s="53"/>
      <c r="I761" s="53"/>
      <c r="J761" s="53"/>
      <c r="K761" s="53"/>
      <c r="L761" s="53"/>
      <c r="M761" s="53"/>
      <c r="N761" s="53"/>
      <c r="O761" s="53"/>
      <c r="P761" s="53"/>
      <c r="Q761" s="53"/>
      <c r="R761" s="53"/>
      <c r="S761" s="53"/>
      <c r="T761" s="53"/>
      <c r="U761" s="53"/>
      <c r="V761" s="53"/>
      <c r="W761" s="53"/>
      <c r="X761" s="53"/>
      <c r="Y761" s="53"/>
      <c r="Z761" s="53"/>
    </row>
    <row r="762" spans="1:26" ht="13.5" customHeight="1">
      <c r="A762" s="53"/>
      <c r="B762" s="53"/>
      <c r="C762" s="53"/>
      <c r="D762" s="53"/>
      <c r="E762" s="53"/>
      <c r="F762" s="53"/>
      <c r="G762" s="53"/>
      <c r="H762" s="53"/>
      <c r="I762" s="53"/>
      <c r="J762" s="53"/>
      <c r="K762" s="53"/>
      <c r="L762" s="53"/>
      <c r="M762" s="53"/>
      <c r="N762" s="53"/>
      <c r="O762" s="53"/>
      <c r="P762" s="53"/>
      <c r="Q762" s="53"/>
      <c r="R762" s="53"/>
      <c r="S762" s="53"/>
      <c r="T762" s="53"/>
      <c r="U762" s="53"/>
      <c r="V762" s="53"/>
      <c r="W762" s="53"/>
      <c r="X762" s="53"/>
      <c r="Y762" s="53"/>
      <c r="Z762" s="53"/>
    </row>
    <row r="763" spans="1:26" ht="13.5" customHeight="1">
      <c r="A763" s="53"/>
      <c r="B763" s="53"/>
      <c r="C763" s="53"/>
      <c r="D763" s="53"/>
      <c r="E763" s="53"/>
      <c r="F763" s="53"/>
      <c r="G763" s="53"/>
      <c r="H763" s="53"/>
      <c r="I763" s="53"/>
      <c r="J763" s="53"/>
      <c r="K763" s="53"/>
      <c r="L763" s="53"/>
      <c r="M763" s="53"/>
      <c r="N763" s="53"/>
      <c r="O763" s="53"/>
      <c r="P763" s="53"/>
      <c r="Q763" s="53"/>
      <c r="R763" s="53"/>
      <c r="S763" s="53"/>
      <c r="T763" s="53"/>
      <c r="U763" s="53"/>
      <c r="V763" s="53"/>
      <c r="W763" s="53"/>
      <c r="X763" s="53"/>
      <c r="Y763" s="53"/>
      <c r="Z763" s="53"/>
    </row>
    <row r="764" spans="1:26" ht="13.5" customHeight="1">
      <c r="A764" s="53"/>
      <c r="B764" s="53"/>
      <c r="C764" s="53"/>
      <c r="D764" s="53"/>
      <c r="E764" s="53"/>
      <c r="F764" s="53"/>
      <c r="G764" s="53"/>
      <c r="H764" s="53"/>
      <c r="I764" s="53"/>
      <c r="J764" s="53"/>
      <c r="K764" s="53"/>
      <c r="L764" s="53"/>
      <c r="M764" s="53"/>
      <c r="N764" s="53"/>
      <c r="O764" s="53"/>
      <c r="P764" s="53"/>
      <c r="Q764" s="53"/>
      <c r="R764" s="53"/>
      <c r="S764" s="53"/>
      <c r="T764" s="53"/>
      <c r="U764" s="53"/>
      <c r="V764" s="53"/>
      <c r="W764" s="53"/>
      <c r="X764" s="53"/>
      <c r="Y764" s="53"/>
      <c r="Z764" s="53"/>
    </row>
    <row r="765" spans="1:26" ht="13.5" customHeight="1">
      <c r="A765" s="53"/>
      <c r="B765" s="53"/>
      <c r="C765" s="53"/>
      <c r="D765" s="53"/>
      <c r="E765" s="53"/>
      <c r="F765" s="53"/>
      <c r="G765" s="53"/>
      <c r="H765" s="53"/>
      <c r="I765" s="53"/>
      <c r="J765" s="53"/>
      <c r="K765" s="53"/>
      <c r="L765" s="53"/>
      <c r="M765" s="53"/>
      <c r="N765" s="53"/>
      <c r="O765" s="53"/>
      <c r="P765" s="53"/>
      <c r="Q765" s="53"/>
      <c r="R765" s="53"/>
      <c r="S765" s="53"/>
      <c r="T765" s="53"/>
      <c r="U765" s="53"/>
      <c r="V765" s="53"/>
      <c r="W765" s="53"/>
      <c r="X765" s="53"/>
      <c r="Y765" s="53"/>
      <c r="Z765" s="53"/>
    </row>
    <row r="766" spans="1:26" ht="13.5" customHeight="1">
      <c r="A766" s="53"/>
      <c r="B766" s="53"/>
      <c r="C766" s="53"/>
      <c r="D766" s="53"/>
      <c r="E766" s="53"/>
      <c r="F766" s="53"/>
      <c r="G766" s="53"/>
      <c r="H766" s="53"/>
      <c r="I766" s="53"/>
      <c r="J766" s="53"/>
      <c r="K766" s="53"/>
      <c r="L766" s="53"/>
      <c r="M766" s="53"/>
      <c r="N766" s="53"/>
      <c r="O766" s="53"/>
      <c r="P766" s="53"/>
      <c r="Q766" s="53"/>
      <c r="R766" s="53"/>
      <c r="S766" s="53"/>
      <c r="T766" s="53"/>
      <c r="U766" s="53"/>
      <c r="V766" s="53"/>
      <c r="W766" s="53"/>
      <c r="X766" s="53"/>
      <c r="Y766" s="53"/>
      <c r="Z766" s="53"/>
    </row>
    <row r="767" spans="1:26" ht="13.5" customHeight="1">
      <c r="A767" s="53"/>
      <c r="B767" s="53"/>
      <c r="C767" s="53"/>
      <c r="D767" s="53"/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  <c r="R767" s="53"/>
      <c r="S767" s="53"/>
      <c r="T767" s="53"/>
      <c r="U767" s="53"/>
      <c r="V767" s="53"/>
      <c r="W767" s="53"/>
      <c r="X767" s="53"/>
      <c r="Y767" s="53"/>
      <c r="Z767" s="53"/>
    </row>
    <row r="768" spans="1:26" ht="13.5" customHeight="1">
      <c r="A768" s="53"/>
      <c r="B768" s="53"/>
      <c r="C768" s="53"/>
      <c r="D768" s="53"/>
      <c r="E768" s="53"/>
      <c r="F768" s="53"/>
      <c r="G768" s="53"/>
      <c r="H768" s="53"/>
      <c r="I768" s="53"/>
      <c r="J768" s="53"/>
      <c r="K768" s="53"/>
      <c r="L768" s="53"/>
      <c r="M768" s="53"/>
      <c r="N768" s="53"/>
      <c r="O768" s="53"/>
      <c r="P768" s="53"/>
      <c r="Q768" s="53"/>
      <c r="R768" s="53"/>
      <c r="S768" s="53"/>
      <c r="T768" s="53"/>
      <c r="U768" s="53"/>
      <c r="V768" s="53"/>
      <c r="W768" s="53"/>
      <c r="X768" s="53"/>
      <c r="Y768" s="53"/>
      <c r="Z768" s="53"/>
    </row>
    <row r="769" spans="1:26" ht="13.5" customHeight="1">
      <c r="A769" s="53"/>
      <c r="B769" s="53"/>
      <c r="C769" s="53"/>
      <c r="D769" s="53"/>
      <c r="E769" s="53"/>
      <c r="F769" s="53"/>
      <c r="G769" s="53"/>
      <c r="H769" s="53"/>
      <c r="I769" s="53"/>
      <c r="J769" s="53"/>
      <c r="K769" s="53"/>
      <c r="L769" s="53"/>
      <c r="M769" s="53"/>
      <c r="N769" s="53"/>
      <c r="O769" s="53"/>
      <c r="P769" s="53"/>
      <c r="Q769" s="53"/>
      <c r="R769" s="53"/>
      <c r="S769" s="53"/>
      <c r="T769" s="53"/>
      <c r="U769" s="53"/>
      <c r="V769" s="53"/>
      <c r="W769" s="53"/>
      <c r="X769" s="53"/>
      <c r="Y769" s="53"/>
      <c r="Z769" s="53"/>
    </row>
    <row r="770" spans="1:26" ht="13.5" customHeight="1">
      <c r="A770" s="53"/>
      <c r="B770" s="53"/>
      <c r="C770" s="53"/>
      <c r="D770" s="53"/>
      <c r="E770" s="53"/>
      <c r="F770" s="53"/>
      <c r="G770" s="53"/>
      <c r="H770" s="53"/>
      <c r="I770" s="53"/>
      <c r="J770" s="53"/>
      <c r="K770" s="53"/>
      <c r="L770" s="53"/>
      <c r="M770" s="53"/>
      <c r="N770" s="53"/>
      <c r="O770" s="53"/>
      <c r="P770" s="53"/>
      <c r="Q770" s="53"/>
      <c r="R770" s="53"/>
      <c r="S770" s="53"/>
      <c r="T770" s="53"/>
      <c r="U770" s="53"/>
      <c r="V770" s="53"/>
      <c r="W770" s="53"/>
      <c r="X770" s="53"/>
      <c r="Y770" s="53"/>
      <c r="Z770" s="53"/>
    </row>
    <row r="771" spans="1:26" ht="13.5" customHeight="1">
      <c r="A771" s="53"/>
      <c r="B771" s="53"/>
      <c r="C771" s="53"/>
      <c r="D771" s="53"/>
      <c r="E771" s="53"/>
      <c r="F771" s="53"/>
      <c r="G771" s="53"/>
      <c r="H771" s="53"/>
      <c r="I771" s="53"/>
      <c r="J771" s="53"/>
      <c r="K771" s="53"/>
      <c r="L771" s="53"/>
      <c r="M771" s="53"/>
      <c r="N771" s="53"/>
      <c r="O771" s="53"/>
      <c r="P771" s="53"/>
      <c r="Q771" s="53"/>
      <c r="R771" s="53"/>
      <c r="S771" s="53"/>
      <c r="T771" s="53"/>
      <c r="U771" s="53"/>
      <c r="V771" s="53"/>
      <c r="W771" s="53"/>
      <c r="X771" s="53"/>
      <c r="Y771" s="53"/>
      <c r="Z771" s="53"/>
    </row>
    <row r="772" spans="1:26" ht="13.5" customHeight="1">
      <c r="A772" s="53"/>
      <c r="B772" s="53"/>
      <c r="C772" s="53"/>
      <c r="D772" s="53"/>
      <c r="E772" s="53"/>
      <c r="F772" s="53"/>
      <c r="G772" s="53"/>
      <c r="H772" s="53"/>
      <c r="I772" s="53"/>
      <c r="J772" s="53"/>
      <c r="K772" s="53"/>
      <c r="L772" s="53"/>
      <c r="M772" s="53"/>
      <c r="N772" s="53"/>
      <c r="O772" s="53"/>
      <c r="P772" s="53"/>
      <c r="Q772" s="53"/>
      <c r="R772" s="53"/>
      <c r="S772" s="53"/>
      <c r="T772" s="53"/>
      <c r="U772" s="53"/>
      <c r="V772" s="53"/>
      <c r="W772" s="53"/>
      <c r="X772" s="53"/>
      <c r="Y772" s="53"/>
      <c r="Z772" s="53"/>
    </row>
    <row r="773" spans="1:26" ht="13.5" customHeight="1">
      <c r="A773" s="53"/>
      <c r="B773" s="53"/>
      <c r="C773" s="53"/>
      <c r="D773" s="53"/>
      <c r="E773" s="53"/>
      <c r="F773" s="53"/>
      <c r="G773" s="53"/>
      <c r="H773" s="53"/>
      <c r="I773" s="53"/>
      <c r="J773" s="53"/>
      <c r="K773" s="53"/>
      <c r="L773" s="53"/>
      <c r="M773" s="53"/>
      <c r="N773" s="53"/>
      <c r="O773" s="53"/>
      <c r="P773" s="53"/>
      <c r="Q773" s="53"/>
      <c r="R773" s="53"/>
      <c r="S773" s="53"/>
      <c r="T773" s="53"/>
      <c r="U773" s="53"/>
      <c r="V773" s="53"/>
      <c r="W773" s="53"/>
      <c r="X773" s="53"/>
      <c r="Y773" s="53"/>
      <c r="Z773" s="53"/>
    </row>
    <row r="774" spans="1:26" ht="13.5" customHeight="1">
      <c r="A774" s="53"/>
      <c r="B774" s="53"/>
      <c r="C774" s="53"/>
      <c r="D774" s="53"/>
      <c r="E774" s="53"/>
      <c r="F774" s="53"/>
      <c r="G774" s="53"/>
      <c r="H774" s="53"/>
      <c r="I774" s="53"/>
      <c r="J774" s="53"/>
      <c r="K774" s="53"/>
      <c r="L774" s="53"/>
      <c r="M774" s="53"/>
      <c r="N774" s="53"/>
      <c r="O774" s="53"/>
      <c r="P774" s="53"/>
      <c r="Q774" s="53"/>
      <c r="R774" s="53"/>
      <c r="S774" s="53"/>
      <c r="T774" s="53"/>
      <c r="U774" s="53"/>
      <c r="V774" s="53"/>
      <c r="W774" s="53"/>
      <c r="X774" s="53"/>
      <c r="Y774" s="53"/>
      <c r="Z774" s="53"/>
    </row>
    <row r="775" spans="1:26" ht="13.5" customHeight="1">
      <c r="A775" s="53"/>
      <c r="B775" s="53"/>
      <c r="C775" s="53"/>
      <c r="D775" s="53"/>
      <c r="E775" s="53"/>
      <c r="F775" s="53"/>
      <c r="G775" s="53"/>
      <c r="H775" s="53"/>
      <c r="I775" s="53"/>
      <c r="J775" s="53"/>
      <c r="K775" s="53"/>
      <c r="L775" s="53"/>
      <c r="M775" s="53"/>
      <c r="N775" s="53"/>
      <c r="O775" s="53"/>
      <c r="P775" s="53"/>
      <c r="Q775" s="53"/>
      <c r="R775" s="53"/>
      <c r="S775" s="53"/>
      <c r="T775" s="53"/>
      <c r="U775" s="53"/>
      <c r="V775" s="53"/>
      <c r="W775" s="53"/>
      <c r="X775" s="53"/>
      <c r="Y775" s="53"/>
      <c r="Z775" s="53"/>
    </row>
    <row r="776" spans="1:26" ht="13.5" customHeight="1">
      <c r="A776" s="53"/>
      <c r="B776" s="53"/>
      <c r="C776" s="53"/>
      <c r="D776" s="53"/>
      <c r="E776" s="53"/>
      <c r="F776" s="53"/>
      <c r="G776" s="53"/>
      <c r="H776" s="53"/>
      <c r="I776" s="53"/>
      <c r="J776" s="53"/>
      <c r="K776" s="53"/>
      <c r="L776" s="53"/>
      <c r="M776" s="53"/>
      <c r="N776" s="53"/>
      <c r="O776" s="53"/>
      <c r="P776" s="53"/>
      <c r="Q776" s="53"/>
      <c r="R776" s="53"/>
      <c r="S776" s="53"/>
      <c r="T776" s="53"/>
      <c r="U776" s="53"/>
      <c r="V776" s="53"/>
      <c r="W776" s="53"/>
      <c r="X776" s="53"/>
      <c r="Y776" s="53"/>
      <c r="Z776" s="53"/>
    </row>
    <row r="777" spans="1:26" ht="13.5" customHeight="1">
      <c r="A777" s="53"/>
      <c r="B777" s="53"/>
      <c r="C777" s="53"/>
      <c r="D777" s="53"/>
      <c r="E777" s="53"/>
      <c r="F777" s="53"/>
      <c r="G777" s="53"/>
      <c r="H777" s="53"/>
      <c r="I777" s="53"/>
      <c r="J777" s="53"/>
      <c r="K777" s="53"/>
      <c r="L777" s="53"/>
      <c r="M777" s="53"/>
      <c r="N777" s="53"/>
      <c r="O777" s="53"/>
      <c r="P777" s="53"/>
      <c r="Q777" s="53"/>
      <c r="R777" s="53"/>
      <c r="S777" s="53"/>
      <c r="T777" s="53"/>
      <c r="U777" s="53"/>
      <c r="V777" s="53"/>
      <c r="W777" s="53"/>
      <c r="X777" s="53"/>
      <c r="Y777" s="53"/>
      <c r="Z777" s="53"/>
    </row>
    <row r="778" spans="1:26" ht="13.5" customHeight="1">
      <c r="A778" s="53"/>
      <c r="B778" s="53"/>
      <c r="C778" s="53"/>
      <c r="D778" s="53"/>
      <c r="E778" s="53"/>
      <c r="F778" s="53"/>
      <c r="G778" s="53"/>
      <c r="H778" s="53"/>
      <c r="I778" s="53"/>
      <c r="J778" s="53"/>
      <c r="K778" s="53"/>
      <c r="L778" s="53"/>
      <c r="M778" s="53"/>
      <c r="N778" s="53"/>
      <c r="O778" s="53"/>
      <c r="P778" s="53"/>
      <c r="Q778" s="53"/>
      <c r="R778" s="53"/>
      <c r="S778" s="53"/>
      <c r="T778" s="53"/>
      <c r="U778" s="53"/>
      <c r="V778" s="53"/>
      <c r="W778" s="53"/>
      <c r="X778" s="53"/>
      <c r="Y778" s="53"/>
      <c r="Z778" s="53"/>
    </row>
    <row r="779" spans="1:26" ht="13.5" customHeight="1">
      <c r="A779" s="53"/>
      <c r="B779" s="53"/>
      <c r="C779" s="53"/>
      <c r="D779" s="53"/>
      <c r="E779" s="53"/>
      <c r="F779" s="53"/>
      <c r="G779" s="53"/>
      <c r="H779" s="53"/>
      <c r="I779" s="53"/>
      <c r="J779" s="53"/>
      <c r="K779" s="53"/>
      <c r="L779" s="53"/>
      <c r="M779" s="53"/>
      <c r="N779" s="53"/>
      <c r="O779" s="53"/>
      <c r="P779" s="53"/>
      <c r="Q779" s="53"/>
      <c r="R779" s="53"/>
      <c r="S779" s="53"/>
      <c r="T779" s="53"/>
      <c r="U779" s="53"/>
      <c r="V779" s="53"/>
      <c r="W779" s="53"/>
      <c r="X779" s="53"/>
      <c r="Y779" s="53"/>
      <c r="Z779" s="53"/>
    </row>
    <row r="780" spans="1:26" ht="13.5" customHeight="1">
      <c r="A780" s="53"/>
      <c r="B780" s="53"/>
      <c r="C780" s="53"/>
      <c r="D780" s="53"/>
      <c r="E780" s="53"/>
      <c r="F780" s="53"/>
      <c r="G780" s="53"/>
      <c r="H780" s="53"/>
      <c r="I780" s="53"/>
      <c r="J780" s="53"/>
      <c r="K780" s="53"/>
      <c r="L780" s="53"/>
      <c r="M780" s="53"/>
      <c r="N780" s="53"/>
      <c r="O780" s="53"/>
      <c r="P780" s="53"/>
      <c r="Q780" s="53"/>
      <c r="R780" s="53"/>
      <c r="S780" s="53"/>
      <c r="T780" s="53"/>
      <c r="U780" s="53"/>
      <c r="V780" s="53"/>
      <c r="W780" s="53"/>
      <c r="X780" s="53"/>
      <c r="Y780" s="53"/>
      <c r="Z780" s="53"/>
    </row>
    <row r="781" spans="1:26" ht="13.5" customHeight="1">
      <c r="A781" s="53"/>
      <c r="B781" s="53"/>
      <c r="C781" s="53"/>
      <c r="D781" s="53"/>
      <c r="E781" s="53"/>
      <c r="F781" s="53"/>
      <c r="G781" s="53"/>
      <c r="H781" s="53"/>
      <c r="I781" s="53"/>
      <c r="J781" s="53"/>
      <c r="K781" s="53"/>
      <c r="L781" s="53"/>
      <c r="M781" s="53"/>
      <c r="N781" s="53"/>
      <c r="O781" s="53"/>
      <c r="P781" s="53"/>
      <c r="Q781" s="53"/>
      <c r="R781" s="53"/>
      <c r="S781" s="53"/>
      <c r="T781" s="53"/>
      <c r="U781" s="53"/>
      <c r="V781" s="53"/>
      <c r="W781" s="53"/>
      <c r="X781" s="53"/>
      <c r="Y781" s="53"/>
      <c r="Z781" s="53"/>
    </row>
    <row r="782" spans="1:26" ht="13.5" customHeight="1">
      <c r="A782" s="53"/>
      <c r="B782" s="53"/>
      <c r="C782" s="53"/>
      <c r="D782" s="53"/>
      <c r="E782" s="53"/>
      <c r="F782" s="53"/>
      <c r="G782" s="53"/>
      <c r="H782" s="53"/>
      <c r="I782" s="53"/>
      <c r="J782" s="53"/>
      <c r="K782" s="53"/>
      <c r="L782" s="53"/>
      <c r="M782" s="53"/>
      <c r="N782" s="53"/>
      <c r="O782" s="53"/>
      <c r="P782" s="53"/>
      <c r="Q782" s="53"/>
      <c r="R782" s="53"/>
      <c r="S782" s="53"/>
      <c r="T782" s="53"/>
      <c r="U782" s="53"/>
      <c r="V782" s="53"/>
      <c r="W782" s="53"/>
      <c r="X782" s="53"/>
      <c r="Y782" s="53"/>
      <c r="Z782" s="53"/>
    </row>
    <row r="783" spans="1:26" ht="13.5" customHeight="1">
      <c r="A783" s="53"/>
      <c r="B783" s="53"/>
      <c r="C783" s="53"/>
      <c r="D783" s="53"/>
      <c r="E783" s="53"/>
      <c r="F783" s="53"/>
      <c r="G783" s="53"/>
      <c r="H783" s="53"/>
      <c r="I783" s="53"/>
      <c r="J783" s="53"/>
      <c r="K783" s="53"/>
      <c r="L783" s="53"/>
      <c r="M783" s="53"/>
      <c r="N783" s="53"/>
      <c r="O783" s="53"/>
      <c r="P783" s="53"/>
      <c r="Q783" s="53"/>
      <c r="R783" s="53"/>
      <c r="S783" s="53"/>
      <c r="T783" s="53"/>
      <c r="U783" s="53"/>
      <c r="V783" s="53"/>
      <c r="W783" s="53"/>
      <c r="X783" s="53"/>
      <c r="Y783" s="53"/>
      <c r="Z783" s="53"/>
    </row>
    <row r="784" spans="1:26" ht="13.5" customHeight="1">
      <c r="A784" s="53"/>
      <c r="B784" s="53"/>
      <c r="C784" s="53"/>
      <c r="D784" s="53"/>
      <c r="E784" s="53"/>
      <c r="F784" s="53"/>
      <c r="G784" s="53"/>
      <c r="H784" s="53"/>
      <c r="I784" s="53"/>
      <c r="J784" s="53"/>
      <c r="K784" s="53"/>
      <c r="L784" s="53"/>
      <c r="M784" s="53"/>
      <c r="N784" s="53"/>
      <c r="O784" s="53"/>
      <c r="P784" s="53"/>
      <c r="Q784" s="53"/>
      <c r="R784" s="53"/>
      <c r="S784" s="53"/>
      <c r="T784" s="53"/>
      <c r="U784" s="53"/>
      <c r="V784" s="53"/>
      <c r="W784" s="53"/>
      <c r="X784" s="53"/>
      <c r="Y784" s="53"/>
      <c r="Z784" s="53"/>
    </row>
    <row r="785" spans="1:26" ht="13.5" customHeight="1">
      <c r="A785" s="53"/>
      <c r="B785" s="53"/>
      <c r="C785" s="53"/>
      <c r="D785" s="53"/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  <c r="R785" s="53"/>
      <c r="S785" s="53"/>
      <c r="T785" s="53"/>
      <c r="U785" s="53"/>
      <c r="V785" s="53"/>
      <c r="W785" s="53"/>
      <c r="X785" s="53"/>
      <c r="Y785" s="53"/>
      <c r="Z785" s="53"/>
    </row>
    <row r="786" spans="1:26" ht="13.5" customHeight="1">
      <c r="A786" s="53"/>
      <c r="B786" s="53"/>
      <c r="C786" s="53"/>
      <c r="D786" s="53"/>
      <c r="E786" s="53"/>
      <c r="F786" s="53"/>
      <c r="G786" s="53"/>
      <c r="H786" s="53"/>
      <c r="I786" s="53"/>
      <c r="J786" s="53"/>
      <c r="K786" s="53"/>
      <c r="L786" s="53"/>
      <c r="M786" s="53"/>
      <c r="N786" s="53"/>
      <c r="O786" s="53"/>
      <c r="P786" s="53"/>
      <c r="Q786" s="53"/>
      <c r="R786" s="53"/>
      <c r="S786" s="53"/>
      <c r="T786" s="53"/>
      <c r="U786" s="53"/>
      <c r="V786" s="53"/>
      <c r="W786" s="53"/>
      <c r="X786" s="53"/>
      <c r="Y786" s="53"/>
      <c r="Z786" s="53"/>
    </row>
    <row r="787" spans="1:26" ht="13.5" customHeight="1">
      <c r="A787" s="53"/>
      <c r="B787" s="53"/>
      <c r="C787" s="53"/>
      <c r="D787" s="53"/>
      <c r="E787" s="53"/>
      <c r="F787" s="53"/>
      <c r="G787" s="53"/>
      <c r="H787" s="53"/>
      <c r="I787" s="53"/>
      <c r="J787" s="53"/>
      <c r="K787" s="53"/>
      <c r="L787" s="53"/>
      <c r="M787" s="53"/>
      <c r="N787" s="53"/>
      <c r="O787" s="53"/>
      <c r="P787" s="53"/>
      <c r="Q787" s="53"/>
      <c r="R787" s="53"/>
      <c r="S787" s="53"/>
      <c r="T787" s="53"/>
      <c r="U787" s="53"/>
      <c r="V787" s="53"/>
      <c r="W787" s="53"/>
      <c r="X787" s="53"/>
      <c r="Y787" s="53"/>
      <c r="Z787" s="53"/>
    </row>
    <row r="788" spans="1:26" ht="13.5" customHeight="1">
      <c r="A788" s="53"/>
      <c r="B788" s="53"/>
      <c r="C788" s="53"/>
      <c r="D788" s="53"/>
      <c r="E788" s="53"/>
      <c r="F788" s="53"/>
      <c r="G788" s="53"/>
      <c r="H788" s="53"/>
      <c r="I788" s="53"/>
      <c r="J788" s="53"/>
      <c r="K788" s="53"/>
      <c r="L788" s="53"/>
      <c r="M788" s="53"/>
      <c r="N788" s="53"/>
      <c r="O788" s="53"/>
      <c r="P788" s="53"/>
      <c r="Q788" s="53"/>
      <c r="R788" s="53"/>
      <c r="S788" s="53"/>
      <c r="T788" s="53"/>
      <c r="U788" s="53"/>
      <c r="V788" s="53"/>
      <c r="W788" s="53"/>
      <c r="X788" s="53"/>
      <c r="Y788" s="53"/>
      <c r="Z788" s="53"/>
    </row>
    <row r="789" spans="1:26" ht="13.5" customHeight="1">
      <c r="A789" s="53"/>
      <c r="B789" s="53"/>
      <c r="C789" s="53"/>
      <c r="D789" s="53"/>
      <c r="E789" s="53"/>
      <c r="F789" s="53"/>
      <c r="G789" s="53"/>
      <c r="H789" s="53"/>
      <c r="I789" s="53"/>
      <c r="J789" s="53"/>
      <c r="K789" s="53"/>
      <c r="L789" s="53"/>
      <c r="M789" s="53"/>
      <c r="N789" s="53"/>
      <c r="O789" s="53"/>
      <c r="P789" s="53"/>
      <c r="Q789" s="53"/>
      <c r="R789" s="53"/>
      <c r="S789" s="53"/>
      <c r="T789" s="53"/>
      <c r="U789" s="53"/>
      <c r="V789" s="53"/>
      <c r="W789" s="53"/>
      <c r="X789" s="53"/>
      <c r="Y789" s="53"/>
      <c r="Z789" s="53"/>
    </row>
    <row r="790" spans="1:26" ht="13.5" customHeight="1">
      <c r="A790" s="53"/>
      <c r="B790" s="53"/>
      <c r="C790" s="53"/>
      <c r="D790" s="53"/>
      <c r="E790" s="53"/>
      <c r="F790" s="53"/>
      <c r="G790" s="53"/>
      <c r="H790" s="53"/>
      <c r="I790" s="53"/>
      <c r="J790" s="53"/>
      <c r="K790" s="53"/>
      <c r="L790" s="53"/>
      <c r="M790" s="53"/>
      <c r="N790" s="53"/>
      <c r="O790" s="53"/>
      <c r="P790" s="53"/>
      <c r="Q790" s="53"/>
      <c r="R790" s="53"/>
      <c r="S790" s="53"/>
      <c r="T790" s="53"/>
      <c r="U790" s="53"/>
      <c r="V790" s="53"/>
      <c r="W790" s="53"/>
      <c r="X790" s="53"/>
      <c r="Y790" s="53"/>
      <c r="Z790" s="53"/>
    </row>
    <row r="791" spans="1:26" ht="13.5" customHeight="1">
      <c r="A791" s="53"/>
      <c r="B791" s="53"/>
      <c r="C791" s="53"/>
      <c r="D791" s="53"/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  <c r="R791" s="53"/>
      <c r="S791" s="53"/>
      <c r="T791" s="53"/>
      <c r="U791" s="53"/>
      <c r="V791" s="53"/>
      <c r="W791" s="53"/>
      <c r="X791" s="53"/>
      <c r="Y791" s="53"/>
      <c r="Z791" s="53"/>
    </row>
    <row r="792" spans="1:26" ht="13.5" customHeight="1">
      <c r="A792" s="53"/>
      <c r="B792" s="53"/>
      <c r="C792" s="53"/>
      <c r="D792" s="53"/>
      <c r="E792" s="53"/>
      <c r="F792" s="53"/>
      <c r="G792" s="53"/>
      <c r="H792" s="53"/>
      <c r="I792" s="53"/>
      <c r="J792" s="53"/>
      <c r="K792" s="53"/>
      <c r="L792" s="53"/>
      <c r="M792" s="53"/>
      <c r="N792" s="53"/>
      <c r="O792" s="53"/>
      <c r="P792" s="53"/>
      <c r="Q792" s="53"/>
      <c r="R792" s="53"/>
      <c r="S792" s="53"/>
      <c r="T792" s="53"/>
      <c r="U792" s="53"/>
      <c r="V792" s="53"/>
      <c r="W792" s="53"/>
      <c r="X792" s="53"/>
      <c r="Y792" s="53"/>
      <c r="Z792" s="53"/>
    </row>
    <row r="793" spans="1:26" ht="13.5" customHeight="1">
      <c r="A793" s="53"/>
      <c r="B793" s="53"/>
      <c r="C793" s="53"/>
      <c r="D793" s="53"/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  <c r="R793" s="53"/>
      <c r="S793" s="53"/>
      <c r="T793" s="53"/>
      <c r="U793" s="53"/>
      <c r="V793" s="53"/>
      <c r="W793" s="53"/>
      <c r="X793" s="53"/>
      <c r="Y793" s="53"/>
      <c r="Z793" s="53"/>
    </row>
    <row r="794" spans="1:26" ht="13.5" customHeight="1">
      <c r="A794" s="53"/>
      <c r="B794" s="53"/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</row>
    <row r="795" spans="1:26" ht="13.5" customHeight="1">
      <c r="A795" s="53"/>
      <c r="B795" s="53"/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  <c r="R795" s="53"/>
      <c r="S795" s="53"/>
      <c r="T795" s="53"/>
      <c r="U795" s="53"/>
      <c r="V795" s="53"/>
      <c r="W795" s="53"/>
      <c r="X795" s="53"/>
      <c r="Y795" s="53"/>
      <c r="Z795" s="53"/>
    </row>
    <row r="796" spans="1:26" ht="13.5" customHeight="1">
      <c r="A796" s="53"/>
      <c r="B796" s="53"/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  <c r="R796" s="53"/>
      <c r="S796" s="53"/>
      <c r="T796" s="53"/>
      <c r="U796" s="53"/>
      <c r="V796" s="53"/>
      <c r="W796" s="53"/>
      <c r="X796" s="53"/>
      <c r="Y796" s="53"/>
      <c r="Z796" s="53"/>
    </row>
    <row r="797" spans="1:26" ht="13.5" customHeight="1">
      <c r="A797" s="53"/>
      <c r="B797" s="53"/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  <c r="R797" s="53"/>
      <c r="S797" s="53"/>
      <c r="T797" s="53"/>
      <c r="U797" s="53"/>
      <c r="V797" s="53"/>
      <c r="W797" s="53"/>
      <c r="X797" s="53"/>
      <c r="Y797" s="53"/>
      <c r="Z797" s="53"/>
    </row>
    <row r="798" spans="1:26" ht="13.5" customHeight="1">
      <c r="A798" s="53"/>
      <c r="B798" s="53"/>
      <c r="C798" s="53"/>
      <c r="D798" s="53"/>
      <c r="E798" s="53"/>
      <c r="F798" s="53"/>
      <c r="G798" s="53"/>
      <c r="H798" s="53"/>
      <c r="I798" s="53"/>
      <c r="J798" s="53"/>
      <c r="K798" s="53"/>
      <c r="L798" s="53"/>
      <c r="M798" s="53"/>
      <c r="N798" s="53"/>
      <c r="O798" s="53"/>
      <c r="P798" s="53"/>
      <c r="Q798" s="53"/>
      <c r="R798" s="53"/>
      <c r="S798" s="53"/>
      <c r="T798" s="53"/>
      <c r="U798" s="53"/>
      <c r="V798" s="53"/>
      <c r="W798" s="53"/>
      <c r="X798" s="53"/>
      <c r="Y798" s="53"/>
      <c r="Z798" s="53"/>
    </row>
    <row r="799" spans="1:26" ht="13.5" customHeight="1">
      <c r="A799" s="53"/>
      <c r="B799" s="53"/>
      <c r="C799" s="53"/>
      <c r="D799" s="53"/>
      <c r="E799" s="53"/>
      <c r="F799" s="53"/>
      <c r="G799" s="53"/>
      <c r="H799" s="53"/>
      <c r="I799" s="53"/>
      <c r="J799" s="53"/>
      <c r="K799" s="53"/>
      <c r="L799" s="53"/>
      <c r="M799" s="53"/>
      <c r="N799" s="53"/>
      <c r="O799" s="53"/>
      <c r="P799" s="53"/>
      <c r="Q799" s="53"/>
      <c r="R799" s="53"/>
      <c r="S799" s="53"/>
      <c r="T799" s="53"/>
      <c r="U799" s="53"/>
      <c r="V799" s="53"/>
      <c r="W799" s="53"/>
      <c r="X799" s="53"/>
      <c r="Y799" s="53"/>
      <c r="Z799" s="53"/>
    </row>
    <row r="800" spans="1:26" ht="13.5" customHeight="1">
      <c r="A800" s="53"/>
      <c r="B800" s="53"/>
      <c r="C800" s="53"/>
      <c r="D800" s="53"/>
      <c r="E800" s="53"/>
      <c r="F800" s="53"/>
      <c r="G800" s="53"/>
      <c r="H800" s="53"/>
      <c r="I800" s="53"/>
      <c r="J800" s="53"/>
      <c r="K800" s="53"/>
      <c r="L800" s="53"/>
      <c r="M800" s="53"/>
      <c r="N800" s="53"/>
      <c r="O800" s="53"/>
      <c r="P800" s="53"/>
      <c r="Q800" s="53"/>
      <c r="R800" s="53"/>
      <c r="S800" s="53"/>
      <c r="T800" s="53"/>
      <c r="U800" s="53"/>
      <c r="V800" s="53"/>
      <c r="W800" s="53"/>
      <c r="X800" s="53"/>
      <c r="Y800" s="53"/>
      <c r="Z800" s="53"/>
    </row>
    <row r="801" spans="1:26" ht="13.5" customHeight="1">
      <c r="A801" s="53"/>
      <c r="B801" s="53"/>
      <c r="C801" s="53"/>
      <c r="D801" s="53"/>
      <c r="E801" s="53"/>
      <c r="F801" s="53"/>
      <c r="G801" s="53"/>
      <c r="H801" s="53"/>
      <c r="I801" s="53"/>
      <c r="J801" s="53"/>
      <c r="K801" s="53"/>
      <c r="L801" s="53"/>
      <c r="M801" s="53"/>
      <c r="N801" s="53"/>
      <c r="O801" s="53"/>
      <c r="P801" s="53"/>
      <c r="Q801" s="53"/>
      <c r="R801" s="53"/>
      <c r="S801" s="53"/>
      <c r="T801" s="53"/>
      <c r="U801" s="53"/>
      <c r="V801" s="53"/>
      <c r="W801" s="53"/>
      <c r="X801" s="53"/>
      <c r="Y801" s="53"/>
      <c r="Z801" s="53"/>
    </row>
    <row r="802" spans="1:26" ht="13.5" customHeight="1">
      <c r="A802" s="53"/>
      <c r="B802" s="53"/>
      <c r="C802" s="53"/>
      <c r="D802" s="53"/>
      <c r="E802" s="53"/>
      <c r="F802" s="53"/>
      <c r="G802" s="53"/>
      <c r="H802" s="53"/>
      <c r="I802" s="53"/>
      <c r="J802" s="53"/>
      <c r="K802" s="53"/>
      <c r="L802" s="53"/>
      <c r="M802" s="53"/>
      <c r="N802" s="53"/>
      <c r="O802" s="53"/>
      <c r="P802" s="53"/>
      <c r="Q802" s="53"/>
      <c r="R802" s="53"/>
      <c r="S802" s="53"/>
      <c r="T802" s="53"/>
      <c r="U802" s="53"/>
      <c r="V802" s="53"/>
      <c r="W802" s="53"/>
      <c r="X802" s="53"/>
      <c r="Y802" s="53"/>
      <c r="Z802" s="53"/>
    </row>
    <row r="803" spans="1:26" ht="13.5" customHeight="1">
      <c r="A803" s="53"/>
      <c r="B803" s="53"/>
      <c r="C803" s="53"/>
      <c r="D803" s="53"/>
      <c r="E803" s="53"/>
      <c r="F803" s="53"/>
      <c r="G803" s="53"/>
      <c r="H803" s="53"/>
      <c r="I803" s="53"/>
      <c r="J803" s="53"/>
      <c r="K803" s="53"/>
      <c r="L803" s="53"/>
      <c r="M803" s="53"/>
      <c r="N803" s="53"/>
      <c r="O803" s="53"/>
      <c r="P803" s="53"/>
      <c r="Q803" s="53"/>
      <c r="R803" s="53"/>
      <c r="S803" s="53"/>
      <c r="T803" s="53"/>
      <c r="U803" s="53"/>
      <c r="V803" s="53"/>
      <c r="W803" s="53"/>
      <c r="X803" s="53"/>
      <c r="Y803" s="53"/>
      <c r="Z803" s="53"/>
    </row>
    <row r="804" spans="1:26" ht="13.5" customHeight="1">
      <c r="A804" s="53"/>
      <c r="B804" s="53"/>
      <c r="C804" s="53"/>
      <c r="D804" s="53"/>
      <c r="E804" s="53"/>
      <c r="F804" s="53"/>
      <c r="G804" s="53"/>
      <c r="H804" s="53"/>
      <c r="I804" s="53"/>
      <c r="J804" s="53"/>
      <c r="K804" s="53"/>
      <c r="L804" s="53"/>
      <c r="M804" s="53"/>
      <c r="N804" s="53"/>
      <c r="O804" s="53"/>
      <c r="P804" s="53"/>
      <c r="Q804" s="53"/>
      <c r="R804" s="53"/>
      <c r="S804" s="53"/>
      <c r="T804" s="53"/>
      <c r="U804" s="53"/>
      <c r="V804" s="53"/>
      <c r="W804" s="53"/>
      <c r="X804" s="53"/>
      <c r="Y804" s="53"/>
      <c r="Z804" s="53"/>
    </row>
    <row r="805" spans="1:26" ht="13.5" customHeight="1">
      <c r="A805" s="53"/>
      <c r="B805" s="53"/>
      <c r="C805" s="53"/>
      <c r="D805" s="53"/>
      <c r="E805" s="53"/>
      <c r="F805" s="53"/>
      <c r="G805" s="53"/>
      <c r="H805" s="53"/>
      <c r="I805" s="53"/>
      <c r="J805" s="53"/>
      <c r="K805" s="53"/>
      <c r="L805" s="53"/>
      <c r="M805" s="53"/>
      <c r="N805" s="53"/>
      <c r="O805" s="53"/>
      <c r="P805" s="53"/>
      <c r="Q805" s="53"/>
      <c r="R805" s="53"/>
      <c r="S805" s="53"/>
      <c r="T805" s="53"/>
      <c r="U805" s="53"/>
      <c r="V805" s="53"/>
      <c r="W805" s="53"/>
      <c r="X805" s="53"/>
      <c r="Y805" s="53"/>
      <c r="Z805" s="53"/>
    </row>
    <row r="806" spans="1:26" ht="13.5" customHeight="1">
      <c r="A806" s="53"/>
      <c r="B806" s="53"/>
      <c r="C806" s="53"/>
      <c r="D806" s="53"/>
      <c r="E806" s="53"/>
      <c r="F806" s="53"/>
      <c r="G806" s="53"/>
      <c r="H806" s="53"/>
      <c r="I806" s="53"/>
      <c r="J806" s="53"/>
      <c r="K806" s="53"/>
      <c r="L806" s="53"/>
      <c r="M806" s="53"/>
      <c r="N806" s="53"/>
      <c r="O806" s="53"/>
      <c r="P806" s="53"/>
      <c r="Q806" s="53"/>
      <c r="R806" s="53"/>
      <c r="S806" s="53"/>
      <c r="T806" s="53"/>
      <c r="U806" s="53"/>
      <c r="V806" s="53"/>
      <c r="W806" s="53"/>
      <c r="X806" s="53"/>
      <c r="Y806" s="53"/>
      <c r="Z806" s="53"/>
    </row>
    <row r="807" spans="1:26" ht="13.5" customHeight="1">
      <c r="A807" s="53"/>
      <c r="B807" s="53"/>
      <c r="C807" s="53"/>
      <c r="D807" s="53"/>
      <c r="E807" s="53"/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R807" s="53"/>
      <c r="S807" s="53"/>
      <c r="T807" s="53"/>
      <c r="U807" s="53"/>
      <c r="V807" s="53"/>
      <c r="W807" s="53"/>
      <c r="X807" s="53"/>
      <c r="Y807" s="53"/>
      <c r="Z807" s="53"/>
    </row>
    <row r="808" spans="1:26" ht="13.5" customHeight="1">
      <c r="A808" s="53"/>
      <c r="B808" s="53"/>
      <c r="C808" s="53"/>
      <c r="D808" s="53"/>
      <c r="E808" s="53"/>
      <c r="F808" s="53"/>
      <c r="G808" s="53"/>
      <c r="H808" s="53"/>
      <c r="I808" s="53"/>
      <c r="J808" s="53"/>
      <c r="K808" s="53"/>
      <c r="L808" s="53"/>
      <c r="M808" s="53"/>
      <c r="N808" s="53"/>
      <c r="O808" s="53"/>
      <c r="P808" s="53"/>
      <c r="Q808" s="53"/>
      <c r="R808" s="53"/>
      <c r="S808" s="53"/>
      <c r="T808" s="53"/>
      <c r="U808" s="53"/>
      <c r="V808" s="53"/>
      <c r="W808" s="53"/>
      <c r="X808" s="53"/>
      <c r="Y808" s="53"/>
      <c r="Z808" s="53"/>
    </row>
    <row r="809" spans="1:26" ht="13.5" customHeight="1">
      <c r="A809" s="53"/>
      <c r="B809" s="53"/>
      <c r="C809" s="53"/>
      <c r="D809" s="53"/>
      <c r="E809" s="53"/>
      <c r="F809" s="53"/>
      <c r="G809" s="53"/>
      <c r="H809" s="53"/>
      <c r="I809" s="53"/>
      <c r="J809" s="53"/>
      <c r="K809" s="53"/>
      <c r="L809" s="53"/>
      <c r="M809" s="53"/>
      <c r="N809" s="53"/>
      <c r="O809" s="53"/>
      <c r="P809" s="53"/>
      <c r="Q809" s="53"/>
      <c r="R809" s="53"/>
      <c r="S809" s="53"/>
      <c r="T809" s="53"/>
      <c r="U809" s="53"/>
      <c r="V809" s="53"/>
      <c r="W809" s="53"/>
      <c r="X809" s="53"/>
      <c r="Y809" s="53"/>
      <c r="Z809" s="53"/>
    </row>
    <row r="810" spans="1:26" ht="13.5" customHeight="1">
      <c r="A810" s="53"/>
      <c r="B810" s="53"/>
      <c r="C810" s="53"/>
      <c r="D810" s="53"/>
      <c r="E810" s="53"/>
      <c r="F810" s="53"/>
      <c r="G810" s="53"/>
      <c r="H810" s="53"/>
      <c r="I810" s="53"/>
      <c r="J810" s="53"/>
      <c r="K810" s="53"/>
      <c r="L810" s="53"/>
      <c r="M810" s="53"/>
      <c r="N810" s="53"/>
      <c r="O810" s="53"/>
      <c r="P810" s="53"/>
      <c r="Q810" s="53"/>
      <c r="R810" s="53"/>
      <c r="S810" s="53"/>
      <c r="T810" s="53"/>
      <c r="U810" s="53"/>
      <c r="V810" s="53"/>
      <c r="W810" s="53"/>
      <c r="X810" s="53"/>
      <c r="Y810" s="53"/>
      <c r="Z810" s="53"/>
    </row>
    <row r="811" spans="1:26" ht="13.5" customHeight="1">
      <c r="A811" s="53"/>
      <c r="B811" s="53"/>
      <c r="C811" s="53"/>
      <c r="D811" s="53"/>
      <c r="E811" s="53"/>
      <c r="F811" s="53"/>
      <c r="G811" s="53"/>
      <c r="H811" s="53"/>
      <c r="I811" s="53"/>
      <c r="J811" s="53"/>
      <c r="K811" s="53"/>
      <c r="L811" s="53"/>
      <c r="M811" s="53"/>
      <c r="N811" s="53"/>
      <c r="O811" s="53"/>
      <c r="P811" s="53"/>
      <c r="Q811" s="53"/>
      <c r="R811" s="53"/>
      <c r="S811" s="53"/>
      <c r="T811" s="53"/>
      <c r="U811" s="53"/>
      <c r="V811" s="53"/>
      <c r="W811" s="53"/>
      <c r="X811" s="53"/>
      <c r="Y811" s="53"/>
      <c r="Z811" s="53"/>
    </row>
    <row r="812" spans="1:26" ht="13.5" customHeight="1">
      <c r="A812" s="53"/>
      <c r="B812" s="53"/>
      <c r="C812" s="53"/>
      <c r="D812" s="53"/>
      <c r="E812" s="53"/>
      <c r="F812" s="53"/>
      <c r="G812" s="53"/>
      <c r="H812" s="53"/>
      <c r="I812" s="53"/>
      <c r="J812" s="53"/>
      <c r="K812" s="53"/>
      <c r="L812" s="53"/>
      <c r="M812" s="53"/>
      <c r="N812" s="53"/>
      <c r="O812" s="53"/>
      <c r="P812" s="53"/>
      <c r="Q812" s="53"/>
      <c r="R812" s="53"/>
      <c r="S812" s="53"/>
      <c r="T812" s="53"/>
      <c r="U812" s="53"/>
      <c r="V812" s="53"/>
      <c r="W812" s="53"/>
      <c r="X812" s="53"/>
      <c r="Y812" s="53"/>
      <c r="Z812" s="53"/>
    </row>
    <row r="813" spans="1:26" ht="13.5" customHeight="1">
      <c r="A813" s="53"/>
      <c r="B813" s="53"/>
      <c r="C813" s="53"/>
      <c r="D813" s="53"/>
      <c r="E813" s="53"/>
      <c r="F813" s="53"/>
      <c r="G813" s="53"/>
      <c r="H813" s="53"/>
      <c r="I813" s="53"/>
      <c r="J813" s="53"/>
      <c r="K813" s="53"/>
      <c r="L813" s="53"/>
      <c r="M813" s="53"/>
      <c r="N813" s="53"/>
      <c r="O813" s="53"/>
      <c r="P813" s="53"/>
      <c r="Q813" s="53"/>
      <c r="R813" s="53"/>
      <c r="S813" s="53"/>
      <c r="T813" s="53"/>
      <c r="U813" s="53"/>
      <c r="V813" s="53"/>
      <c r="W813" s="53"/>
      <c r="X813" s="53"/>
      <c r="Y813" s="53"/>
      <c r="Z813" s="53"/>
    </row>
    <row r="814" spans="1:26" ht="13.5" customHeight="1">
      <c r="A814" s="53"/>
      <c r="B814" s="53"/>
      <c r="C814" s="53"/>
      <c r="D814" s="53"/>
      <c r="E814" s="53"/>
      <c r="F814" s="53"/>
      <c r="G814" s="53"/>
      <c r="H814" s="53"/>
      <c r="I814" s="53"/>
      <c r="J814" s="53"/>
      <c r="K814" s="53"/>
      <c r="L814" s="53"/>
      <c r="M814" s="53"/>
      <c r="N814" s="53"/>
      <c r="O814" s="53"/>
      <c r="P814" s="53"/>
      <c r="Q814" s="53"/>
      <c r="R814" s="53"/>
      <c r="S814" s="53"/>
      <c r="T814" s="53"/>
      <c r="U814" s="53"/>
      <c r="V814" s="53"/>
      <c r="W814" s="53"/>
      <c r="X814" s="53"/>
      <c r="Y814" s="53"/>
      <c r="Z814" s="53"/>
    </row>
    <row r="815" spans="1:26" ht="13.5" customHeight="1">
      <c r="A815" s="53"/>
      <c r="B815" s="53"/>
      <c r="C815" s="53"/>
      <c r="D815" s="53"/>
      <c r="E815" s="53"/>
      <c r="F815" s="53"/>
      <c r="G815" s="53"/>
      <c r="H815" s="53"/>
      <c r="I815" s="53"/>
      <c r="J815" s="53"/>
      <c r="K815" s="53"/>
      <c r="L815" s="53"/>
      <c r="M815" s="53"/>
      <c r="N815" s="53"/>
      <c r="O815" s="53"/>
      <c r="P815" s="53"/>
      <c r="Q815" s="53"/>
      <c r="R815" s="53"/>
      <c r="S815" s="53"/>
      <c r="T815" s="53"/>
      <c r="U815" s="53"/>
      <c r="V815" s="53"/>
      <c r="W815" s="53"/>
      <c r="X815" s="53"/>
      <c r="Y815" s="53"/>
      <c r="Z815" s="53"/>
    </row>
    <row r="816" spans="1:26" ht="13.5" customHeight="1">
      <c r="A816" s="53"/>
      <c r="B816" s="53"/>
      <c r="C816" s="53"/>
      <c r="D816" s="53"/>
      <c r="E816" s="53"/>
      <c r="F816" s="53"/>
      <c r="G816" s="53"/>
      <c r="H816" s="53"/>
      <c r="I816" s="53"/>
      <c r="J816" s="53"/>
      <c r="K816" s="53"/>
      <c r="L816" s="53"/>
      <c r="M816" s="53"/>
      <c r="N816" s="53"/>
      <c r="O816" s="53"/>
      <c r="P816" s="53"/>
      <c r="Q816" s="53"/>
      <c r="R816" s="53"/>
      <c r="S816" s="53"/>
      <c r="T816" s="53"/>
      <c r="U816" s="53"/>
      <c r="V816" s="53"/>
      <c r="W816" s="53"/>
      <c r="X816" s="53"/>
      <c r="Y816" s="53"/>
      <c r="Z816" s="53"/>
    </row>
    <row r="817" spans="1:26" ht="13.5" customHeight="1">
      <c r="A817" s="53"/>
      <c r="B817" s="53"/>
      <c r="C817" s="53"/>
      <c r="D817" s="53"/>
      <c r="E817" s="53"/>
      <c r="F817" s="53"/>
      <c r="G817" s="53"/>
      <c r="H817" s="53"/>
      <c r="I817" s="53"/>
      <c r="J817" s="53"/>
      <c r="K817" s="53"/>
      <c r="L817" s="53"/>
      <c r="M817" s="53"/>
      <c r="N817" s="53"/>
      <c r="O817" s="53"/>
      <c r="P817" s="53"/>
      <c r="Q817" s="53"/>
      <c r="R817" s="53"/>
      <c r="S817" s="53"/>
      <c r="T817" s="53"/>
      <c r="U817" s="53"/>
      <c r="V817" s="53"/>
      <c r="W817" s="53"/>
      <c r="X817" s="53"/>
      <c r="Y817" s="53"/>
      <c r="Z817" s="53"/>
    </row>
    <row r="818" spans="1:26" ht="13.5" customHeight="1">
      <c r="A818" s="53"/>
      <c r="B818" s="53"/>
      <c r="C818" s="53"/>
      <c r="D818" s="53"/>
      <c r="E818" s="53"/>
      <c r="F818" s="53"/>
      <c r="G818" s="53"/>
      <c r="H818" s="53"/>
      <c r="I818" s="53"/>
      <c r="J818" s="53"/>
      <c r="K818" s="53"/>
      <c r="L818" s="53"/>
      <c r="M818" s="53"/>
      <c r="N818" s="53"/>
      <c r="O818" s="53"/>
      <c r="P818" s="53"/>
      <c r="Q818" s="53"/>
      <c r="R818" s="53"/>
      <c r="S818" s="53"/>
      <c r="T818" s="53"/>
      <c r="U818" s="53"/>
      <c r="V818" s="53"/>
      <c r="W818" s="53"/>
      <c r="X818" s="53"/>
      <c r="Y818" s="53"/>
      <c r="Z818" s="53"/>
    </row>
    <row r="819" spans="1:26" ht="13.5" customHeight="1">
      <c r="A819" s="53"/>
      <c r="B819" s="53"/>
      <c r="C819" s="53"/>
      <c r="D819" s="53"/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3"/>
      <c r="P819" s="53"/>
      <c r="Q819" s="53"/>
      <c r="R819" s="53"/>
      <c r="S819" s="53"/>
      <c r="T819" s="53"/>
      <c r="U819" s="53"/>
      <c r="V819" s="53"/>
      <c r="W819" s="53"/>
      <c r="X819" s="53"/>
      <c r="Y819" s="53"/>
      <c r="Z819" s="53"/>
    </row>
    <row r="820" spans="1:26" ht="13.5" customHeight="1">
      <c r="A820" s="53"/>
      <c r="B820" s="53"/>
      <c r="C820" s="53"/>
      <c r="D820" s="53"/>
      <c r="E820" s="53"/>
      <c r="F820" s="53"/>
      <c r="G820" s="53"/>
      <c r="H820" s="53"/>
      <c r="I820" s="53"/>
      <c r="J820" s="53"/>
      <c r="K820" s="53"/>
      <c r="L820" s="53"/>
      <c r="M820" s="53"/>
      <c r="N820" s="53"/>
      <c r="O820" s="53"/>
      <c r="P820" s="53"/>
      <c r="Q820" s="53"/>
      <c r="R820" s="53"/>
      <c r="S820" s="53"/>
      <c r="T820" s="53"/>
      <c r="U820" s="53"/>
      <c r="V820" s="53"/>
      <c r="W820" s="53"/>
      <c r="X820" s="53"/>
      <c r="Y820" s="53"/>
      <c r="Z820" s="53"/>
    </row>
    <row r="821" spans="1:26" ht="13.5" customHeight="1">
      <c r="A821" s="53"/>
      <c r="B821" s="53"/>
      <c r="C821" s="53"/>
      <c r="D821" s="53"/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  <c r="R821" s="53"/>
      <c r="S821" s="53"/>
      <c r="T821" s="53"/>
      <c r="U821" s="53"/>
      <c r="V821" s="53"/>
      <c r="W821" s="53"/>
      <c r="X821" s="53"/>
      <c r="Y821" s="53"/>
      <c r="Z821" s="53"/>
    </row>
    <row r="822" spans="1:26" ht="13.5" customHeight="1">
      <c r="A822" s="53"/>
      <c r="B822" s="53"/>
      <c r="C822" s="53"/>
      <c r="D822" s="53"/>
      <c r="E822" s="53"/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  <c r="R822" s="53"/>
      <c r="S822" s="53"/>
      <c r="T822" s="53"/>
      <c r="U822" s="53"/>
      <c r="V822" s="53"/>
      <c r="W822" s="53"/>
      <c r="X822" s="53"/>
      <c r="Y822" s="53"/>
      <c r="Z822" s="53"/>
    </row>
    <row r="823" spans="1:26" ht="13.5" customHeight="1">
      <c r="A823" s="53"/>
      <c r="B823" s="53"/>
      <c r="C823" s="53"/>
      <c r="D823" s="53"/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  <c r="R823" s="53"/>
      <c r="S823" s="53"/>
      <c r="T823" s="53"/>
      <c r="U823" s="53"/>
      <c r="V823" s="53"/>
      <c r="W823" s="53"/>
      <c r="X823" s="53"/>
      <c r="Y823" s="53"/>
      <c r="Z823" s="53"/>
    </row>
    <row r="824" spans="1:26" ht="13.5" customHeight="1">
      <c r="A824" s="53"/>
      <c r="B824" s="53"/>
      <c r="C824" s="53"/>
      <c r="D824" s="53"/>
      <c r="E824" s="53"/>
      <c r="F824" s="53"/>
      <c r="G824" s="53"/>
      <c r="H824" s="53"/>
      <c r="I824" s="53"/>
      <c r="J824" s="53"/>
      <c r="K824" s="53"/>
      <c r="L824" s="53"/>
      <c r="M824" s="53"/>
      <c r="N824" s="53"/>
      <c r="O824" s="53"/>
      <c r="P824" s="53"/>
      <c r="Q824" s="53"/>
      <c r="R824" s="53"/>
      <c r="S824" s="53"/>
      <c r="T824" s="53"/>
      <c r="U824" s="53"/>
      <c r="V824" s="53"/>
      <c r="W824" s="53"/>
      <c r="X824" s="53"/>
      <c r="Y824" s="53"/>
      <c r="Z824" s="53"/>
    </row>
    <row r="825" spans="1:26" ht="13.5" customHeight="1">
      <c r="A825" s="53"/>
      <c r="B825" s="53"/>
      <c r="C825" s="53"/>
      <c r="D825" s="53"/>
      <c r="E825" s="53"/>
      <c r="F825" s="53"/>
      <c r="G825" s="53"/>
      <c r="H825" s="53"/>
      <c r="I825" s="53"/>
      <c r="J825" s="53"/>
      <c r="K825" s="53"/>
      <c r="L825" s="53"/>
      <c r="M825" s="53"/>
      <c r="N825" s="53"/>
      <c r="O825" s="53"/>
      <c r="P825" s="53"/>
      <c r="Q825" s="53"/>
      <c r="R825" s="53"/>
      <c r="S825" s="53"/>
      <c r="T825" s="53"/>
      <c r="U825" s="53"/>
      <c r="V825" s="53"/>
      <c r="W825" s="53"/>
      <c r="X825" s="53"/>
      <c r="Y825" s="53"/>
      <c r="Z825" s="53"/>
    </row>
    <row r="826" spans="1:26" ht="13.5" customHeight="1">
      <c r="A826" s="53"/>
      <c r="B826" s="53"/>
      <c r="C826" s="53"/>
      <c r="D826" s="53"/>
      <c r="E826" s="53"/>
      <c r="F826" s="53"/>
      <c r="G826" s="53"/>
      <c r="H826" s="53"/>
      <c r="I826" s="53"/>
      <c r="J826" s="53"/>
      <c r="K826" s="53"/>
      <c r="L826" s="53"/>
      <c r="M826" s="53"/>
      <c r="N826" s="53"/>
      <c r="O826" s="53"/>
      <c r="P826" s="53"/>
      <c r="Q826" s="53"/>
      <c r="R826" s="53"/>
      <c r="S826" s="53"/>
      <c r="T826" s="53"/>
      <c r="U826" s="53"/>
      <c r="V826" s="53"/>
      <c r="W826" s="53"/>
      <c r="X826" s="53"/>
      <c r="Y826" s="53"/>
      <c r="Z826" s="53"/>
    </row>
    <row r="827" spans="1:26" ht="13.5" customHeight="1">
      <c r="A827" s="53"/>
      <c r="B827" s="53"/>
      <c r="C827" s="53"/>
      <c r="D827" s="53"/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  <c r="R827" s="53"/>
      <c r="S827" s="53"/>
      <c r="T827" s="53"/>
      <c r="U827" s="53"/>
      <c r="V827" s="53"/>
      <c r="W827" s="53"/>
      <c r="X827" s="53"/>
      <c r="Y827" s="53"/>
      <c r="Z827" s="53"/>
    </row>
    <row r="828" spans="1:26" ht="13.5" customHeight="1">
      <c r="A828" s="53"/>
      <c r="B828" s="53"/>
      <c r="C828" s="53"/>
      <c r="D828" s="53"/>
      <c r="E828" s="53"/>
      <c r="F828" s="53"/>
      <c r="G828" s="53"/>
      <c r="H828" s="53"/>
      <c r="I828" s="53"/>
      <c r="J828" s="53"/>
      <c r="K828" s="53"/>
      <c r="L828" s="53"/>
      <c r="M828" s="53"/>
      <c r="N828" s="53"/>
      <c r="O828" s="53"/>
      <c r="P828" s="53"/>
      <c r="Q828" s="53"/>
      <c r="R828" s="53"/>
      <c r="S828" s="53"/>
      <c r="T828" s="53"/>
      <c r="U828" s="53"/>
      <c r="V828" s="53"/>
      <c r="W828" s="53"/>
      <c r="X828" s="53"/>
      <c r="Y828" s="53"/>
      <c r="Z828" s="53"/>
    </row>
    <row r="829" spans="1:26" ht="13.5" customHeight="1">
      <c r="A829" s="53"/>
      <c r="B829" s="53"/>
      <c r="C829" s="53"/>
      <c r="D829" s="53"/>
      <c r="E829" s="53"/>
      <c r="F829" s="53"/>
      <c r="G829" s="53"/>
      <c r="H829" s="53"/>
      <c r="I829" s="53"/>
      <c r="J829" s="53"/>
      <c r="K829" s="53"/>
      <c r="L829" s="53"/>
      <c r="M829" s="53"/>
      <c r="N829" s="53"/>
      <c r="O829" s="53"/>
      <c r="P829" s="53"/>
      <c r="Q829" s="53"/>
      <c r="R829" s="53"/>
      <c r="S829" s="53"/>
      <c r="T829" s="53"/>
      <c r="U829" s="53"/>
      <c r="V829" s="53"/>
      <c r="W829" s="53"/>
      <c r="X829" s="53"/>
      <c r="Y829" s="53"/>
      <c r="Z829" s="53"/>
    </row>
    <row r="830" spans="1:26" ht="13.5" customHeight="1">
      <c r="A830" s="53"/>
      <c r="B830" s="53"/>
      <c r="C830" s="53"/>
      <c r="D830" s="53"/>
      <c r="E830" s="53"/>
      <c r="F830" s="53"/>
      <c r="G830" s="53"/>
      <c r="H830" s="53"/>
      <c r="I830" s="53"/>
      <c r="J830" s="53"/>
      <c r="K830" s="53"/>
      <c r="L830" s="53"/>
      <c r="M830" s="53"/>
      <c r="N830" s="53"/>
      <c r="O830" s="53"/>
      <c r="P830" s="53"/>
      <c r="Q830" s="53"/>
      <c r="R830" s="53"/>
      <c r="S830" s="53"/>
      <c r="T830" s="53"/>
      <c r="U830" s="53"/>
      <c r="V830" s="53"/>
      <c r="W830" s="53"/>
      <c r="X830" s="53"/>
      <c r="Y830" s="53"/>
      <c r="Z830" s="53"/>
    </row>
    <row r="831" spans="1:26" ht="13.5" customHeight="1">
      <c r="A831" s="53"/>
      <c r="B831" s="53"/>
      <c r="C831" s="53"/>
      <c r="D831" s="53"/>
      <c r="E831" s="53"/>
      <c r="F831" s="53"/>
      <c r="G831" s="53"/>
      <c r="H831" s="53"/>
      <c r="I831" s="53"/>
      <c r="J831" s="53"/>
      <c r="K831" s="53"/>
      <c r="L831" s="53"/>
      <c r="M831" s="53"/>
      <c r="N831" s="53"/>
      <c r="O831" s="53"/>
      <c r="P831" s="53"/>
      <c r="Q831" s="53"/>
      <c r="R831" s="53"/>
      <c r="S831" s="53"/>
      <c r="T831" s="53"/>
      <c r="U831" s="53"/>
      <c r="V831" s="53"/>
      <c r="W831" s="53"/>
      <c r="X831" s="53"/>
      <c r="Y831" s="53"/>
      <c r="Z831" s="53"/>
    </row>
    <row r="832" spans="1:26" ht="13.5" customHeight="1">
      <c r="A832" s="53"/>
      <c r="B832" s="53"/>
      <c r="C832" s="53"/>
      <c r="D832" s="53"/>
      <c r="E832" s="53"/>
      <c r="F832" s="53"/>
      <c r="G832" s="53"/>
      <c r="H832" s="53"/>
      <c r="I832" s="53"/>
      <c r="J832" s="53"/>
      <c r="K832" s="53"/>
      <c r="L832" s="53"/>
      <c r="M832" s="53"/>
      <c r="N832" s="53"/>
      <c r="O832" s="53"/>
      <c r="P832" s="53"/>
      <c r="Q832" s="53"/>
      <c r="R832" s="53"/>
      <c r="S832" s="53"/>
      <c r="T832" s="53"/>
      <c r="U832" s="53"/>
      <c r="V832" s="53"/>
      <c r="W832" s="53"/>
      <c r="X832" s="53"/>
      <c r="Y832" s="53"/>
      <c r="Z832" s="53"/>
    </row>
    <row r="833" spans="1:26" ht="13.5" customHeight="1">
      <c r="A833" s="53"/>
      <c r="B833" s="53"/>
      <c r="C833" s="53"/>
      <c r="D833" s="53"/>
      <c r="E833" s="53"/>
      <c r="F833" s="53"/>
      <c r="G833" s="53"/>
      <c r="H833" s="53"/>
      <c r="I833" s="53"/>
      <c r="J833" s="53"/>
      <c r="K833" s="53"/>
      <c r="L833" s="53"/>
      <c r="M833" s="53"/>
      <c r="N833" s="53"/>
      <c r="O833" s="53"/>
      <c r="P833" s="53"/>
      <c r="Q833" s="53"/>
      <c r="R833" s="53"/>
      <c r="S833" s="53"/>
      <c r="T833" s="53"/>
      <c r="U833" s="53"/>
      <c r="V833" s="53"/>
      <c r="W833" s="53"/>
      <c r="X833" s="53"/>
      <c r="Y833" s="53"/>
      <c r="Z833" s="53"/>
    </row>
    <row r="834" spans="1:26" ht="13.5" customHeight="1">
      <c r="A834" s="53"/>
      <c r="B834" s="53"/>
      <c r="C834" s="53"/>
      <c r="D834" s="53"/>
      <c r="E834" s="53"/>
      <c r="F834" s="53"/>
      <c r="G834" s="53"/>
      <c r="H834" s="53"/>
      <c r="I834" s="53"/>
      <c r="J834" s="53"/>
      <c r="K834" s="53"/>
      <c r="L834" s="53"/>
      <c r="M834" s="53"/>
      <c r="N834" s="53"/>
      <c r="O834" s="53"/>
      <c r="P834" s="53"/>
      <c r="Q834" s="53"/>
      <c r="R834" s="53"/>
      <c r="S834" s="53"/>
      <c r="T834" s="53"/>
      <c r="U834" s="53"/>
      <c r="V834" s="53"/>
      <c r="W834" s="53"/>
      <c r="X834" s="53"/>
      <c r="Y834" s="53"/>
      <c r="Z834" s="53"/>
    </row>
    <row r="835" spans="1:26" ht="13.5" customHeight="1">
      <c r="A835" s="53"/>
      <c r="B835" s="53"/>
      <c r="C835" s="53"/>
      <c r="D835" s="53"/>
      <c r="E835" s="53"/>
      <c r="F835" s="53"/>
      <c r="G835" s="53"/>
      <c r="H835" s="53"/>
      <c r="I835" s="53"/>
      <c r="J835" s="53"/>
      <c r="K835" s="53"/>
      <c r="L835" s="53"/>
      <c r="M835" s="53"/>
      <c r="N835" s="53"/>
      <c r="O835" s="53"/>
      <c r="P835" s="53"/>
      <c r="Q835" s="53"/>
      <c r="R835" s="53"/>
      <c r="S835" s="53"/>
      <c r="T835" s="53"/>
      <c r="U835" s="53"/>
      <c r="V835" s="53"/>
      <c r="W835" s="53"/>
      <c r="X835" s="53"/>
      <c r="Y835" s="53"/>
      <c r="Z835" s="53"/>
    </row>
    <row r="836" spans="1:26" ht="13.5" customHeight="1">
      <c r="A836" s="53"/>
      <c r="B836" s="53"/>
      <c r="C836" s="53"/>
      <c r="D836" s="53"/>
      <c r="E836" s="53"/>
      <c r="F836" s="53"/>
      <c r="G836" s="53"/>
      <c r="H836" s="53"/>
      <c r="I836" s="53"/>
      <c r="J836" s="53"/>
      <c r="K836" s="53"/>
      <c r="L836" s="53"/>
      <c r="M836" s="53"/>
      <c r="N836" s="53"/>
      <c r="O836" s="53"/>
      <c r="P836" s="53"/>
      <c r="Q836" s="53"/>
      <c r="R836" s="53"/>
      <c r="S836" s="53"/>
      <c r="T836" s="53"/>
      <c r="U836" s="53"/>
      <c r="V836" s="53"/>
      <c r="W836" s="53"/>
      <c r="X836" s="53"/>
      <c r="Y836" s="53"/>
      <c r="Z836" s="53"/>
    </row>
    <row r="837" spans="1:26" ht="13.5" customHeight="1">
      <c r="A837" s="53"/>
      <c r="B837" s="53"/>
      <c r="C837" s="53"/>
      <c r="D837" s="53"/>
      <c r="E837" s="53"/>
      <c r="F837" s="53"/>
      <c r="G837" s="53"/>
      <c r="H837" s="53"/>
      <c r="I837" s="53"/>
      <c r="J837" s="53"/>
      <c r="K837" s="53"/>
      <c r="L837" s="53"/>
      <c r="M837" s="53"/>
      <c r="N837" s="53"/>
      <c r="O837" s="53"/>
      <c r="P837" s="53"/>
      <c r="Q837" s="53"/>
      <c r="R837" s="53"/>
      <c r="S837" s="53"/>
      <c r="T837" s="53"/>
      <c r="U837" s="53"/>
      <c r="V837" s="53"/>
      <c r="W837" s="53"/>
      <c r="X837" s="53"/>
      <c r="Y837" s="53"/>
      <c r="Z837" s="53"/>
    </row>
    <row r="838" spans="1:26" ht="13.5" customHeight="1">
      <c r="A838" s="53"/>
      <c r="B838" s="53"/>
      <c r="C838" s="53"/>
      <c r="D838" s="53"/>
      <c r="E838" s="53"/>
      <c r="F838" s="53"/>
      <c r="G838" s="53"/>
      <c r="H838" s="53"/>
      <c r="I838" s="53"/>
      <c r="J838" s="53"/>
      <c r="K838" s="53"/>
      <c r="L838" s="53"/>
      <c r="M838" s="53"/>
      <c r="N838" s="53"/>
      <c r="O838" s="53"/>
      <c r="P838" s="53"/>
      <c r="Q838" s="53"/>
      <c r="R838" s="53"/>
      <c r="S838" s="53"/>
      <c r="T838" s="53"/>
      <c r="U838" s="53"/>
      <c r="V838" s="53"/>
      <c r="W838" s="53"/>
      <c r="X838" s="53"/>
      <c r="Y838" s="53"/>
      <c r="Z838" s="53"/>
    </row>
    <row r="839" spans="1:26" ht="13.5" customHeight="1">
      <c r="A839" s="53"/>
      <c r="B839" s="53"/>
      <c r="C839" s="53"/>
      <c r="D839" s="53"/>
      <c r="E839" s="53"/>
      <c r="F839" s="53"/>
      <c r="G839" s="53"/>
      <c r="H839" s="53"/>
      <c r="I839" s="53"/>
      <c r="J839" s="53"/>
      <c r="K839" s="53"/>
      <c r="L839" s="53"/>
      <c r="M839" s="53"/>
      <c r="N839" s="53"/>
      <c r="O839" s="53"/>
      <c r="P839" s="53"/>
      <c r="Q839" s="53"/>
      <c r="R839" s="53"/>
      <c r="S839" s="53"/>
      <c r="T839" s="53"/>
      <c r="U839" s="53"/>
      <c r="V839" s="53"/>
      <c r="W839" s="53"/>
      <c r="X839" s="53"/>
      <c r="Y839" s="53"/>
      <c r="Z839" s="53"/>
    </row>
    <row r="840" spans="1:26" ht="13.5" customHeight="1">
      <c r="A840" s="53"/>
      <c r="B840" s="53"/>
      <c r="C840" s="53"/>
      <c r="D840" s="53"/>
      <c r="E840" s="53"/>
      <c r="F840" s="53"/>
      <c r="G840" s="53"/>
      <c r="H840" s="53"/>
      <c r="I840" s="53"/>
      <c r="J840" s="53"/>
      <c r="K840" s="53"/>
      <c r="L840" s="53"/>
      <c r="M840" s="53"/>
      <c r="N840" s="53"/>
      <c r="O840" s="53"/>
      <c r="P840" s="53"/>
      <c r="Q840" s="53"/>
      <c r="R840" s="53"/>
      <c r="S840" s="53"/>
      <c r="T840" s="53"/>
      <c r="U840" s="53"/>
      <c r="V840" s="53"/>
      <c r="W840" s="53"/>
      <c r="X840" s="53"/>
      <c r="Y840" s="53"/>
      <c r="Z840" s="53"/>
    </row>
    <row r="841" spans="1:26" ht="13.5" customHeight="1">
      <c r="A841" s="53"/>
      <c r="B841" s="53"/>
      <c r="C841" s="53"/>
      <c r="D841" s="53"/>
      <c r="E841" s="53"/>
      <c r="F841" s="53"/>
      <c r="G841" s="53"/>
      <c r="H841" s="53"/>
      <c r="I841" s="53"/>
      <c r="J841" s="53"/>
      <c r="K841" s="53"/>
      <c r="L841" s="53"/>
      <c r="M841" s="53"/>
      <c r="N841" s="53"/>
      <c r="O841" s="53"/>
      <c r="P841" s="53"/>
      <c r="Q841" s="53"/>
      <c r="R841" s="53"/>
      <c r="S841" s="53"/>
      <c r="T841" s="53"/>
      <c r="U841" s="53"/>
      <c r="V841" s="53"/>
      <c r="W841" s="53"/>
      <c r="X841" s="53"/>
      <c r="Y841" s="53"/>
      <c r="Z841" s="53"/>
    </row>
    <row r="842" spans="1:26" ht="13.5" customHeight="1">
      <c r="A842" s="53"/>
      <c r="B842" s="53"/>
      <c r="C842" s="53"/>
      <c r="D842" s="53"/>
      <c r="E842" s="53"/>
      <c r="F842" s="53"/>
      <c r="G842" s="53"/>
      <c r="H842" s="53"/>
      <c r="I842" s="53"/>
      <c r="J842" s="53"/>
      <c r="K842" s="53"/>
      <c r="L842" s="53"/>
      <c r="M842" s="53"/>
      <c r="N842" s="53"/>
      <c r="O842" s="53"/>
      <c r="P842" s="53"/>
      <c r="Q842" s="53"/>
      <c r="R842" s="53"/>
      <c r="S842" s="53"/>
      <c r="T842" s="53"/>
      <c r="U842" s="53"/>
      <c r="V842" s="53"/>
      <c r="W842" s="53"/>
      <c r="X842" s="53"/>
      <c r="Y842" s="53"/>
      <c r="Z842" s="53"/>
    </row>
    <row r="843" spans="1:26" ht="13.5" customHeight="1">
      <c r="A843" s="53"/>
      <c r="B843" s="53"/>
      <c r="C843" s="53"/>
      <c r="D843" s="53"/>
      <c r="E843" s="53"/>
      <c r="F843" s="53"/>
      <c r="G843" s="53"/>
      <c r="H843" s="53"/>
      <c r="I843" s="53"/>
      <c r="J843" s="53"/>
      <c r="K843" s="53"/>
      <c r="L843" s="53"/>
      <c r="M843" s="53"/>
      <c r="N843" s="53"/>
      <c r="O843" s="53"/>
      <c r="P843" s="53"/>
      <c r="Q843" s="53"/>
      <c r="R843" s="53"/>
      <c r="S843" s="53"/>
      <c r="T843" s="53"/>
      <c r="U843" s="53"/>
      <c r="V843" s="53"/>
      <c r="W843" s="53"/>
      <c r="X843" s="53"/>
      <c r="Y843" s="53"/>
      <c r="Z843" s="53"/>
    </row>
    <row r="844" spans="1:26" ht="13.5" customHeight="1">
      <c r="A844" s="53"/>
      <c r="B844" s="53"/>
      <c r="C844" s="53"/>
      <c r="D844" s="53"/>
      <c r="E844" s="53"/>
      <c r="F844" s="53"/>
      <c r="G844" s="53"/>
      <c r="H844" s="53"/>
      <c r="I844" s="53"/>
      <c r="J844" s="53"/>
      <c r="K844" s="53"/>
      <c r="L844" s="53"/>
      <c r="M844" s="53"/>
      <c r="N844" s="53"/>
      <c r="O844" s="53"/>
      <c r="P844" s="53"/>
      <c r="Q844" s="53"/>
      <c r="R844" s="53"/>
      <c r="S844" s="53"/>
      <c r="T844" s="53"/>
      <c r="U844" s="53"/>
      <c r="V844" s="53"/>
      <c r="W844" s="53"/>
      <c r="X844" s="53"/>
      <c r="Y844" s="53"/>
      <c r="Z844" s="53"/>
    </row>
    <row r="845" spans="1:26" ht="13.5" customHeight="1">
      <c r="A845" s="53"/>
      <c r="B845" s="53"/>
      <c r="C845" s="53"/>
      <c r="D845" s="53"/>
      <c r="E845" s="53"/>
      <c r="F845" s="53"/>
      <c r="G845" s="53"/>
      <c r="H845" s="53"/>
      <c r="I845" s="53"/>
      <c r="J845" s="53"/>
      <c r="K845" s="53"/>
      <c r="L845" s="53"/>
      <c r="M845" s="53"/>
      <c r="N845" s="53"/>
      <c r="O845" s="53"/>
      <c r="P845" s="53"/>
      <c r="Q845" s="53"/>
      <c r="R845" s="53"/>
      <c r="S845" s="53"/>
      <c r="T845" s="53"/>
      <c r="U845" s="53"/>
      <c r="V845" s="53"/>
      <c r="W845" s="53"/>
      <c r="X845" s="53"/>
      <c r="Y845" s="53"/>
      <c r="Z845" s="53"/>
    </row>
    <row r="846" spans="1:26" ht="13.5" customHeight="1">
      <c r="A846" s="53"/>
      <c r="B846" s="53"/>
      <c r="C846" s="53"/>
      <c r="D846" s="53"/>
      <c r="E846" s="53"/>
      <c r="F846" s="53"/>
      <c r="G846" s="53"/>
      <c r="H846" s="53"/>
      <c r="I846" s="53"/>
      <c r="J846" s="53"/>
      <c r="K846" s="53"/>
      <c r="L846" s="53"/>
      <c r="M846" s="53"/>
      <c r="N846" s="53"/>
      <c r="O846" s="53"/>
      <c r="P846" s="53"/>
      <c r="Q846" s="53"/>
      <c r="R846" s="53"/>
      <c r="S846" s="53"/>
      <c r="T846" s="53"/>
      <c r="U846" s="53"/>
      <c r="V846" s="53"/>
      <c r="W846" s="53"/>
      <c r="X846" s="53"/>
      <c r="Y846" s="53"/>
      <c r="Z846" s="53"/>
    </row>
    <row r="847" spans="1:26" ht="13.5" customHeight="1">
      <c r="A847" s="53"/>
      <c r="B847" s="53"/>
      <c r="C847" s="53"/>
      <c r="D847" s="53"/>
      <c r="E847" s="53"/>
      <c r="F847" s="53"/>
      <c r="G847" s="53"/>
      <c r="H847" s="53"/>
      <c r="I847" s="53"/>
      <c r="J847" s="53"/>
      <c r="K847" s="53"/>
      <c r="L847" s="53"/>
      <c r="M847" s="53"/>
      <c r="N847" s="53"/>
      <c r="O847" s="53"/>
      <c r="P847" s="53"/>
      <c r="Q847" s="53"/>
      <c r="R847" s="53"/>
      <c r="S847" s="53"/>
      <c r="T847" s="53"/>
      <c r="U847" s="53"/>
      <c r="V847" s="53"/>
      <c r="W847" s="53"/>
      <c r="X847" s="53"/>
      <c r="Y847" s="53"/>
      <c r="Z847" s="53"/>
    </row>
    <row r="848" spans="1:26" ht="13.5" customHeight="1">
      <c r="A848" s="53"/>
      <c r="B848" s="53"/>
      <c r="C848" s="53"/>
      <c r="D848" s="53"/>
      <c r="E848" s="53"/>
      <c r="F848" s="53"/>
      <c r="G848" s="53"/>
      <c r="H848" s="53"/>
      <c r="I848" s="53"/>
      <c r="J848" s="53"/>
      <c r="K848" s="53"/>
      <c r="L848" s="53"/>
      <c r="M848" s="53"/>
      <c r="N848" s="53"/>
      <c r="O848" s="53"/>
      <c r="P848" s="53"/>
      <c r="Q848" s="53"/>
      <c r="R848" s="53"/>
      <c r="S848" s="53"/>
      <c r="T848" s="53"/>
      <c r="U848" s="53"/>
      <c r="V848" s="53"/>
      <c r="W848" s="53"/>
      <c r="X848" s="53"/>
      <c r="Y848" s="53"/>
      <c r="Z848" s="53"/>
    </row>
    <row r="849" spans="1:26" ht="13.5" customHeight="1">
      <c r="A849" s="53"/>
      <c r="B849" s="53"/>
      <c r="C849" s="53"/>
      <c r="D849" s="53"/>
      <c r="E849" s="53"/>
      <c r="F849" s="53"/>
      <c r="G849" s="53"/>
      <c r="H849" s="53"/>
      <c r="I849" s="53"/>
      <c r="J849" s="53"/>
      <c r="K849" s="53"/>
      <c r="L849" s="53"/>
      <c r="M849" s="53"/>
      <c r="N849" s="53"/>
      <c r="O849" s="53"/>
      <c r="P849" s="53"/>
      <c r="Q849" s="53"/>
      <c r="R849" s="53"/>
      <c r="S849" s="53"/>
      <c r="T849" s="53"/>
      <c r="U849" s="53"/>
      <c r="V849" s="53"/>
      <c r="W849" s="53"/>
      <c r="X849" s="53"/>
      <c r="Y849" s="53"/>
      <c r="Z849" s="53"/>
    </row>
    <row r="850" spans="1:26" ht="13.5" customHeight="1">
      <c r="A850" s="53"/>
      <c r="B850" s="53"/>
      <c r="C850" s="53"/>
      <c r="D850" s="53"/>
      <c r="E850" s="53"/>
      <c r="F850" s="53"/>
      <c r="G850" s="53"/>
      <c r="H850" s="53"/>
      <c r="I850" s="53"/>
      <c r="J850" s="53"/>
      <c r="K850" s="53"/>
      <c r="L850" s="53"/>
      <c r="M850" s="53"/>
      <c r="N850" s="53"/>
      <c r="O850" s="53"/>
      <c r="P850" s="53"/>
      <c r="Q850" s="53"/>
      <c r="R850" s="53"/>
      <c r="S850" s="53"/>
      <c r="T850" s="53"/>
      <c r="U850" s="53"/>
      <c r="V850" s="53"/>
      <c r="W850" s="53"/>
      <c r="X850" s="53"/>
      <c r="Y850" s="53"/>
      <c r="Z850" s="53"/>
    </row>
    <row r="851" spans="1:26" ht="13.5" customHeight="1">
      <c r="A851" s="53"/>
      <c r="B851" s="53"/>
      <c r="C851" s="53"/>
      <c r="D851" s="53"/>
      <c r="E851" s="53"/>
      <c r="F851" s="53"/>
      <c r="G851" s="53"/>
      <c r="H851" s="53"/>
      <c r="I851" s="53"/>
      <c r="J851" s="53"/>
      <c r="K851" s="53"/>
      <c r="L851" s="53"/>
      <c r="M851" s="53"/>
      <c r="N851" s="53"/>
      <c r="O851" s="53"/>
      <c r="P851" s="53"/>
      <c r="Q851" s="53"/>
      <c r="R851" s="53"/>
      <c r="S851" s="53"/>
      <c r="T851" s="53"/>
      <c r="U851" s="53"/>
      <c r="V851" s="53"/>
      <c r="W851" s="53"/>
      <c r="X851" s="53"/>
      <c r="Y851" s="53"/>
      <c r="Z851" s="53"/>
    </row>
    <row r="852" spans="1:26" ht="13.5" customHeight="1">
      <c r="A852" s="53"/>
      <c r="B852" s="53"/>
      <c r="C852" s="53"/>
      <c r="D852" s="53"/>
      <c r="E852" s="53"/>
      <c r="F852" s="53"/>
      <c r="G852" s="53"/>
      <c r="H852" s="53"/>
      <c r="I852" s="53"/>
      <c r="J852" s="53"/>
      <c r="K852" s="53"/>
      <c r="L852" s="53"/>
      <c r="M852" s="53"/>
      <c r="N852" s="53"/>
      <c r="O852" s="53"/>
      <c r="P852" s="53"/>
      <c r="Q852" s="53"/>
      <c r="R852" s="53"/>
      <c r="S852" s="53"/>
      <c r="T852" s="53"/>
      <c r="U852" s="53"/>
      <c r="V852" s="53"/>
      <c r="W852" s="53"/>
      <c r="X852" s="53"/>
      <c r="Y852" s="53"/>
      <c r="Z852" s="53"/>
    </row>
    <row r="853" spans="1:26" ht="13.5" customHeight="1">
      <c r="A853" s="53"/>
      <c r="B853" s="53"/>
      <c r="C853" s="53"/>
      <c r="D853" s="53"/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3"/>
      <c r="P853" s="53"/>
      <c r="Q853" s="53"/>
      <c r="R853" s="53"/>
      <c r="S853" s="53"/>
      <c r="T853" s="53"/>
      <c r="U853" s="53"/>
      <c r="V853" s="53"/>
      <c r="W853" s="53"/>
      <c r="X853" s="53"/>
      <c r="Y853" s="53"/>
      <c r="Z853" s="53"/>
    </row>
    <row r="854" spans="1:26" ht="13.5" customHeight="1">
      <c r="A854" s="53"/>
      <c r="B854" s="53"/>
      <c r="C854" s="53"/>
      <c r="D854" s="53"/>
      <c r="E854" s="53"/>
      <c r="F854" s="53"/>
      <c r="G854" s="53"/>
      <c r="H854" s="53"/>
      <c r="I854" s="53"/>
      <c r="J854" s="53"/>
      <c r="K854" s="53"/>
      <c r="L854" s="53"/>
      <c r="M854" s="53"/>
      <c r="N854" s="53"/>
      <c r="O854" s="53"/>
      <c r="P854" s="53"/>
      <c r="Q854" s="53"/>
      <c r="R854" s="53"/>
      <c r="S854" s="53"/>
      <c r="T854" s="53"/>
      <c r="U854" s="53"/>
      <c r="V854" s="53"/>
      <c r="W854" s="53"/>
      <c r="X854" s="53"/>
      <c r="Y854" s="53"/>
      <c r="Z854" s="53"/>
    </row>
    <row r="855" spans="1:26" ht="13.5" customHeight="1">
      <c r="A855" s="53"/>
      <c r="B855" s="53"/>
      <c r="C855" s="53"/>
      <c r="D855" s="53"/>
      <c r="E855" s="53"/>
      <c r="F855" s="53"/>
      <c r="G855" s="53"/>
      <c r="H855" s="53"/>
      <c r="I855" s="53"/>
      <c r="J855" s="53"/>
      <c r="K855" s="53"/>
      <c r="L855" s="53"/>
      <c r="M855" s="53"/>
      <c r="N855" s="53"/>
      <c r="O855" s="53"/>
      <c r="P855" s="53"/>
      <c r="Q855" s="53"/>
      <c r="R855" s="53"/>
      <c r="S855" s="53"/>
      <c r="T855" s="53"/>
      <c r="U855" s="53"/>
      <c r="V855" s="53"/>
      <c r="W855" s="53"/>
      <c r="X855" s="53"/>
      <c r="Y855" s="53"/>
      <c r="Z855" s="53"/>
    </row>
    <row r="856" spans="1:26" ht="13.5" customHeight="1">
      <c r="A856" s="53"/>
      <c r="B856" s="53"/>
      <c r="C856" s="53"/>
      <c r="D856" s="53"/>
      <c r="E856" s="53"/>
      <c r="F856" s="53"/>
      <c r="G856" s="53"/>
      <c r="H856" s="53"/>
      <c r="I856" s="53"/>
      <c r="J856" s="53"/>
      <c r="K856" s="53"/>
      <c r="L856" s="53"/>
      <c r="M856" s="53"/>
      <c r="N856" s="53"/>
      <c r="O856" s="53"/>
      <c r="P856" s="53"/>
      <c r="Q856" s="53"/>
      <c r="R856" s="53"/>
      <c r="S856" s="53"/>
      <c r="T856" s="53"/>
      <c r="U856" s="53"/>
      <c r="V856" s="53"/>
      <c r="W856" s="53"/>
      <c r="X856" s="53"/>
      <c r="Y856" s="53"/>
      <c r="Z856" s="53"/>
    </row>
    <row r="857" spans="1:26" ht="13.5" customHeight="1">
      <c r="A857" s="53"/>
      <c r="B857" s="53"/>
      <c r="C857" s="53"/>
      <c r="D857" s="53"/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3"/>
      <c r="P857" s="53"/>
      <c r="Q857" s="53"/>
      <c r="R857" s="53"/>
      <c r="S857" s="53"/>
      <c r="T857" s="53"/>
      <c r="U857" s="53"/>
      <c r="V857" s="53"/>
      <c r="W857" s="53"/>
      <c r="X857" s="53"/>
      <c r="Y857" s="53"/>
      <c r="Z857" s="53"/>
    </row>
    <row r="858" spans="1:26" ht="13.5" customHeight="1">
      <c r="A858" s="53"/>
      <c r="B858" s="53"/>
      <c r="C858" s="53"/>
      <c r="D858" s="53"/>
      <c r="E858" s="53"/>
      <c r="F858" s="53"/>
      <c r="G858" s="53"/>
      <c r="H858" s="53"/>
      <c r="I858" s="53"/>
      <c r="J858" s="53"/>
      <c r="K858" s="53"/>
      <c r="L858" s="53"/>
      <c r="M858" s="53"/>
      <c r="N858" s="53"/>
      <c r="O858" s="53"/>
      <c r="P858" s="53"/>
      <c r="Q858" s="53"/>
      <c r="R858" s="53"/>
      <c r="S858" s="53"/>
      <c r="T858" s="53"/>
      <c r="U858" s="53"/>
      <c r="V858" s="53"/>
      <c r="W858" s="53"/>
      <c r="X858" s="53"/>
      <c r="Y858" s="53"/>
      <c r="Z858" s="53"/>
    </row>
    <row r="859" spans="1:26" ht="13.5" customHeight="1">
      <c r="A859" s="53"/>
      <c r="B859" s="53"/>
      <c r="C859" s="53"/>
      <c r="D859" s="53"/>
      <c r="E859" s="53"/>
      <c r="F859" s="53"/>
      <c r="G859" s="53"/>
      <c r="H859" s="53"/>
      <c r="I859" s="53"/>
      <c r="J859" s="53"/>
      <c r="K859" s="53"/>
      <c r="L859" s="53"/>
      <c r="M859" s="53"/>
      <c r="N859" s="53"/>
      <c r="O859" s="53"/>
      <c r="P859" s="53"/>
      <c r="Q859" s="53"/>
      <c r="R859" s="53"/>
      <c r="S859" s="53"/>
      <c r="T859" s="53"/>
      <c r="U859" s="53"/>
      <c r="V859" s="53"/>
      <c r="W859" s="53"/>
      <c r="X859" s="53"/>
      <c r="Y859" s="53"/>
      <c r="Z859" s="53"/>
    </row>
    <row r="860" spans="1:26" ht="13.5" customHeight="1">
      <c r="A860" s="53"/>
      <c r="B860" s="53"/>
      <c r="C860" s="53"/>
      <c r="D860" s="53"/>
      <c r="E860" s="53"/>
      <c r="F860" s="53"/>
      <c r="G860" s="53"/>
      <c r="H860" s="53"/>
      <c r="I860" s="53"/>
      <c r="J860" s="53"/>
      <c r="K860" s="53"/>
      <c r="L860" s="53"/>
      <c r="M860" s="53"/>
      <c r="N860" s="53"/>
      <c r="O860" s="53"/>
      <c r="P860" s="53"/>
      <c r="Q860" s="53"/>
      <c r="R860" s="53"/>
      <c r="S860" s="53"/>
      <c r="T860" s="53"/>
      <c r="U860" s="53"/>
      <c r="V860" s="53"/>
      <c r="W860" s="53"/>
      <c r="X860" s="53"/>
      <c r="Y860" s="53"/>
      <c r="Z860" s="53"/>
    </row>
    <row r="861" spans="1:26" ht="13.5" customHeight="1">
      <c r="A861" s="53"/>
      <c r="B861" s="53"/>
      <c r="C861" s="53"/>
      <c r="D861" s="53"/>
      <c r="E861" s="53"/>
      <c r="F861" s="53"/>
      <c r="G861" s="53"/>
      <c r="H861" s="53"/>
      <c r="I861" s="53"/>
      <c r="J861" s="53"/>
      <c r="K861" s="53"/>
      <c r="L861" s="53"/>
      <c r="M861" s="53"/>
      <c r="N861" s="53"/>
      <c r="O861" s="53"/>
      <c r="P861" s="53"/>
      <c r="Q861" s="53"/>
      <c r="R861" s="53"/>
      <c r="S861" s="53"/>
      <c r="T861" s="53"/>
      <c r="U861" s="53"/>
      <c r="V861" s="53"/>
      <c r="W861" s="53"/>
      <c r="X861" s="53"/>
      <c r="Y861" s="53"/>
      <c r="Z861" s="53"/>
    </row>
    <row r="862" spans="1:26" ht="13.5" customHeight="1">
      <c r="A862" s="53"/>
      <c r="B862" s="53"/>
      <c r="C862" s="53"/>
      <c r="D862" s="53"/>
      <c r="E862" s="53"/>
      <c r="F862" s="53"/>
      <c r="G862" s="53"/>
      <c r="H862" s="53"/>
      <c r="I862" s="53"/>
      <c r="J862" s="53"/>
      <c r="K862" s="53"/>
      <c r="L862" s="53"/>
      <c r="M862" s="53"/>
      <c r="N862" s="53"/>
      <c r="O862" s="53"/>
      <c r="P862" s="53"/>
      <c r="Q862" s="53"/>
      <c r="R862" s="53"/>
      <c r="S862" s="53"/>
      <c r="T862" s="53"/>
      <c r="U862" s="53"/>
      <c r="V862" s="53"/>
      <c r="W862" s="53"/>
      <c r="X862" s="53"/>
      <c r="Y862" s="53"/>
      <c r="Z862" s="53"/>
    </row>
    <row r="863" spans="1:26" ht="13.5" customHeight="1">
      <c r="A863" s="53"/>
      <c r="B863" s="53"/>
      <c r="C863" s="53"/>
      <c r="D863" s="53"/>
      <c r="E863" s="53"/>
      <c r="F863" s="53"/>
      <c r="G863" s="53"/>
      <c r="H863" s="53"/>
      <c r="I863" s="53"/>
      <c r="J863" s="53"/>
      <c r="K863" s="53"/>
      <c r="L863" s="53"/>
      <c r="M863" s="53"/>
      <c r="N863" s="53"/>
      <c r="O863" s="53"/>
      <c r="P863" s="53"/>
      <c r="Q863" s="53"/>
      <c r="R863" s="53"/>
      <c r="S863" s="53"/>
      <c r="T863" s="53"/>
      <c r="U863" s="53"/>
      <c r="V863" s="53"/>
      <c r="W863" s="53"/>
      <c r="X863" s="53"/>
      <c r="Y863" s="53"/>
      <c r="Z863" s="53"/>
    </row>
    <row r="864" spans="1:26" ht="13.5" customHeight="1">
      <c r="A864" s="53"/>
      <c r="B864" s="53"/>
      <c r="C864" s="53"/>
      <c r="D864" s="53"/>
      <c r="E864" s="53"/>
      <c r="F864" s="53"/>
      <c r="G864" s="53"/>
      <c r="H864" s="53"/>
      <c r="I864" s="53"/>
      <c r="J864" s="53"/>
      <c r="K864" s="53"/>
      <c r="L864" s="53"/>
      <c r="M864" s="53"/>
      <c r="N864" s="53"/>
      <c r="O864" s="53"/>
      <c r="P864" s="53"/>
      <c r="Q864" s="53"/>
      <c r="R864" s="53"/>
      <c r="S864" s="53"/>
      <c r="T864" s="53"/>
      <c r="U864" s="53"/>
      <c r="V864" s="53"/>
      <c r="W864" s="53"/>
      <c r="X864" s="53"/>
      <c r="Y864" s="53"/>
      <c r="Z864" s="53"/>
    </row>
    <row r="865" spans="1:26" ht="13.5" customHeight="1">
      <c r="A865" s="53"/>
      <c r="B865" s="53"/>
      <c r="C865" s="53"/>
      <c r="D865" s="53"/>
      <c r="E865" s="53"/>
      <c r="F865" s="53"/>
      <c r="G865" s="53"/>
      <c r="H865" s="53"/>
      <c r="I865" s="53"/>
      <c r="J865" s="53"/>
      <c r="K865" s="53"/>
      <c r="L865" s="53"/>
      <c r="M865" s="53"/>
      <c r="N865" s="53"/>
      <c r="O865" s="53"/>
      <c r="P865" s="53"/>
      <c r="Q865" s="53"/>
      <c r="R865" s="53"/>
      <c r="S865" s="53"/>
      <c r="T865" s="53"/>
      <c r="U865" s="53"/>
      <c r="V865" s="53"/>
      <c r="W865" s="53"/>
      <c r="X865" s="53"/>
      <c r="Y865" s="53"/>
      <c r="Z865" s="53"/>
    </row>
    <row r="866" spans="1:26" ht="13.5" customHeight="1">
      <c r="A866" s="53"/>
      <c r="B866" s="53"/>
      <c r="C866" s="53"/>
      <c r="D866" s="53"/>
      <c r="E866" s="53"/>
      <c r="F866" s="53"/>
      <c r="G866" s="53"/>
      <c r="H866" s="53"/>
      <c r="I866" s="53"/>
      <c r="J866" s="53"/>
      <c r="K866" s="53"/>
      <c r="L866" s="53"/>
      <c r="M866" s="53"/>
      <c r="N866" s="53"/>
      <c r="O866" s="53"/>
      <c r="P866" s="53"/>
      <c r="Q866" s="53"/>
      <c r="R866" s="53"/>
      <c r="S866" s="53"/>
      <c r="T866" s="53"/>
      <c r="U866" s="53"/>
      <c r="V866" s="53"/>
      <c r="W866" s="53"/>
      <c r="X866" s="53"/>
      <c r="Y866" s="53"/>
      <c r="Z866" s="53"/>
    </row>
    <row r="867" spans="1:26" ht="13.5" customHeight="1">
      <c r="A867" s="53"/>
      <c r="B867" s="53"/>
      <c r="C867" s="53"/>
      <c r="D867" s="53"/>
      <c r="E867" s="53"/>
      <c r="F867" s="53"/>
      <c r="G867" s="53"/>
      <c r="H867" s="53"/>
      <c r="I867" s="53"/>
      <c r="J867" s="53"/>
      <c r="K867" s="53"/>
      <c r="L867" s="53"/>
      <c r="M867" s="53"/>
      <c r="N867" s="53"/>
      <c r="O867" s="53"/>
      <c r="P867" s="53"/>
      <c r="Q867" s="53"/>
      <c r="R867" s="53"/>
      <c r="S867" s="53"/>
      <c r="T867" s="53"/>
      <c r="U867" s="53"/>
      <c r="V867" s="53"/>
      <c r="W867" s="53"/>
      <c r="X867" s="53"/>
      <c r="Y867" s="53"/>
      <c r="Z867" s="53"/>
    </row>
    <row r="868" spans="1:26" ht="13.5" customHeight="1">
      <c r="A868" s="53"/>
      <c r="B868" s="53"/>
      <c r="C868" s="53"/>
      <c r="D868" s="53"/>
      <c r="E868" s="53"/>
      <c r="F868" s="53"/>
      <c r="G868" s="53"/>
      <c r="H868" s="53"/>
      <c r="I868" s="53"/>
      <c r="J868" s="53"/>
      <c r="K868" s="53"/>
      <c r="L868" s="53"/>
      <c r="M868" s="53"/>
      <c r="N868" s="53"/>
      <c r="O868" s="53"/>
      <c r="P868" s="53"/>
      <c r="Q868" s="53"/>
      <c r="R868" s="53"/>
      <c r="S868" s="53"/>
      <c r="T868" s="53"/>
      <c r="U868" s="53"/>
      <c r="V868" s="53"/>
      <c r="W868" s="53"/>
      <c r="X868" s="53"/>
      <c r="Y868" s="53"/>
      <c r="Z868" s="53"/>
    </row>
    <row r="869" spans="1:26" ht="13.5" customHeight="1">
      <c r="A869" s="53"/>
      <c r="B869" s="53"/>
      <c r="C869" s="53"/>
      <c r="D869" s="53"/>
      <c r="E869" s="53"/>
      <c r="F869" s="53"/>
      <c r="G869" s="53"/>
      <c r="H869" s="53"/>
      <c r="I869" s="53"/>
      <c r="J869" s="53"/>
      <c r="K869" s="53"/>
      <c r="L869" s="53"/>
      <c r="M869" s="53"/>
      <c r="N869" s="53"/>
      <c r="O869" s="53"/>
      <c r="P869" s="53"/>
      <c r="Q869" s="53"/>
      <c r="R869" s="53"/>
      <c r="S869" s="53"/>
      <c r="T869" s="53"/>
      <c r="U869" s="53"/>
      <c r="V869" s="53"/>
      <c r="W869" s="53"/>
      <c r="X869" s="53"/>
      <c r="Y869" s="53"/>
      <c r="Z869" s="53"/>
    </row>
    <row r="870" spans="1:26" ht="13.5" customHeight="1">
      <c r="A870" s="53"/>
      <c r="B870" s="53"/>
      <c r="C870" s="53"/>
      <c r="D870" s="53"/>
      <c r="E870" s="53"/>
      <c r="F870" s="53"/>
      <c r="G870" s="53"/>
      <c r="H870" s="53"/>
      <c r="I870" s="53"/>
      <c r="J870" s="53"/>
      <c r="K870" s="53"/>
      <c r="L870" s="53"/>
      <c r="M870" s="53"/>
      <c r="N870" s="53"/>
      <c r="O870" s="53"/>
      <c r="P870" s="53"/>
      <c r="Q870" s="53"/>
      <c r="R870" s="53"/>
      <c r="S870" s="53"/>
      <c r="T870" s="53"/>
      <c r="U870" s="53"/>
      <c r="V870" s="53"/>
      <c r="W870" s="53"/>
      <c r="X870" s="53"/>
      <c r="Y870" s="53"/>
      <c r="Z870" s="53"/>
    </row>
    <row r="871" spans="1:26" ht="13.5" customHeight="1">
      <c r="A871" s="53"/>
      <c r="B871" s="53"/>
      <c r="C871" s="53"/>
      <c r="D871" s="53"/>
      <c r="E871" s="53"/>
      <c r="F871" s="53"/>
      <c r="G871" s="53"/>
      <c r="H871" s="53"/>
      <c r="I871" s="53"/>
      <c r="J871" s="53"/>
      <c r="K871" s="53"/>
      <c r="L871" s="53"/>
      <c r="M871" s="53"/>
      <c r="N871" s="53"/>
      <c r="O871" s="53"/>
      <c r="P871" s="53"/>
      <c r="Q871" s="53"/>
      <c r="R871" s="53"/>
      <c r="S871" s="53"/>
      <c r="T871" s="53"/>
      <c r="U871" s="53"/>
      <c r="V871" s="53"/>
      <c r="W871" s="53"/>
      <c r="X871" s="53"/>
      <c r="Y871" s="53"/>
      <c r="Z871" s="53"/>
    </row>
    <row r="872" spans="1:26" ht="13.5" customHeight="1">
      <c r="A872" s="53"/>
      <c r="B872" s="53"/>
      <c r="C872" s="53"/>
      <c r="D872" s="53"/>
      <c r="E872" s="53"/>
      <c r="F872" s="53"/>
      <c r="G872" s="53"/>
      <c r="H872" s="53"/>
      <c r="I872" s="53"/>
      <c r="J872" s="53"/>
      <c r="K872" s="53"/>
      <c r="L872" s="53"/>
      <c r="M872" s="53"/>
      <c r="N872" s="53"/>
      <c r="O872" s="53"/>
      <c r="P872" s="53"/>
      <c r="Q872" s="53"/>
      <c r="R872" s="53"/>
      <c r="S872" s="53"/>
      <c r="T872" s="53"/>
      <c r="U872" s="53"/>
      <c r="V872" s="53"/>
      <c r="W872" s="53"/>
      <c r="X872" s="53"/>
      <c r="Y872" s="53"/>
      <c r="Z872" s="53"/>
    </row>
    <row r="873" spans="1:26" ht="13.5" customHeight="1">
      <c r="A873" s="53"/>
      <c r="B873" s="53"/>
      <c r="C873" s="53"/>
      <c r="D873" s="53"/>
      <c r="E873" s="53"/>
      <c r="F873" s="53"/>
      <c r="G873" s="53"/>
      <c r="H873" s="53"/>
      <c r="I873" s="53"/>
      <c r="J873" s="53"/>
      <c r="K873" s="53"/>
      <c r="L873" s="53"/>
      <c r="M873" s="53"/>
      <c r="N873" s="53"/>
      <c r="O873" s="53"/>
      <c r="P873" s="53"/>
      <c r="Q873" s="53"/>
      <c r="R873" s="53"/>
      <c r="S873" s="53"/>
      <c r="T873" s="53"/>
      <c r="U873" s="53"/>
      <c r="V873" s="53"/>
      <c r="W873" s="53"/>
      <c r="X873" s="53"/>
      <c r="Y873" s="53"/>
      <c r="Z873" s="53"/>
    </row>
    <row r="874" spans="1:26" ht="13.5" customHeight="1">
      <c r="A874" s="53"/>
      <c r="B874" s="53"/>
      <c r="C874" s="53"/>
      <c r="D874" s="53"/>
      <c r="E874" s="53"/>
      <c r="F874" s="53"/>
      <c r="G874" s="53"/>
      <c r="H874" s="53"/>
      <c r="I874" s="53"/>
      <c r="J874" s="53"/>
      <c r="K874" s="53"/>
      <c r="L874" s="53"/>
      <c r="M874" s="53"/>
      <c r="N874" s="53"/>
      <c r="O874" s="53"/>
      <c r="P874" s="53"/>
      <c r="Q874" s="53"/>
      <c r="R874" s="53"/>
      <c r="S874" s="53"/>
      <c r="T874" s="53"/>
      <c r="U874" s="53"/>
      <c r="V874" s="53"/>
      <c r="W874" s="53"/>
      <c r="X874" s="53"/>
      <c r="Y874" s="53"/>
      <c r="Z874" s="53"/>
    </row>
    <row r="875" spans="1:26" ht="13.5" customHeight="1">
      <c r="A875" s="53"/>
      <c r="B875" s="53"/>
      <c r="C875" s="53"/>
      <c r="D875" s="53"/>
      <c r="E875" s="53"/>
      <c r="F875" s="53"/>
      <c r="G875" s="53"/>
      <c r="H875" s="53"/>
      <c r="I875" s="53"/>
      <c r="J875" s="53"/>
      <c r="K875" s="53"/>
      <c r="L875" s="53"/>
      <c r="M875" s="53"/>
      <c r="N875" s="53"/>
      <c r="O875" s="53"/>
      <c r="P875" s="53"/>
      <c r="Q875" s="53"/>
      <c r="R875" s="53"/>
      <c r="S875" s="53"/>
      <c r="T875" s="53"/>
      <c r="U875" s="53"/>
      <c r="V875" s="53"/>
      <c r="W875" s="53"/>
      <c r="X875" s="53"/>
      <c r="Y875" s="53"/>
      <c r="Z875" s="53"/>
    </row>
    <row r="876" spans="1:26" ht="13.5" customHeight="1">
      <c r="A876" s="53"/>
      <c r="B876" s="53"/>
      <c r="C876" s="53"/>
      <c r="D876" s="53"/>
      <c r="E876" s="53"/>
      <c r="F876" s="53"/>
      <c r="G876" s="53"/>
      <c r="H876" s="53"/>
      <c r="I876" s="53"/>
      <c r="J876" s="53"/>
      <c r="K876" s="53"/>
      <c r="L876" s="53"/>
      <c r="M876" s="53"/>
      <c r="N876" s="53"/>
      <c r="O876" s="53"/>
      <c r="P876" s="53"/>
      <c r="Q876" s="53"/>
      <c r="R876" s="53"/>
      <c r="S876" s="53"/>
      <c r="T876" s="53"/>
      <c r="U876" s="53"/>
      <c r="V876" s="53"/>
      <c r="W876" s="53"/>
      <c r="X876" s="53"/>
      <c r="Y876" s="53"/>
      <c r="Z876" s="53"/>
    </row>
    <row r="877" spans="1:26" ht="13.5" customHeight="1">
      <c r="A877" s="53"/>
      <c r="B877" s="53"/>
      <c r="C877" s="53"/>
      <c r="D877" s="53"/>
      <c r="E877" s="53"/>
      <c r="F877" s="53"/>
      <c r="G877" s="53"/>
      <c r="H877" s="53"/>
      <c r="I877" s="53"/>
      <c r="J877" s="53"/>
      <c r="K877" s="53"/>
      <c r="L877" s="53"/>
      <c r="M877" s="53"/>
      <c r="N877" s="53"/>
      <c r="O877" s="53"/>
      <c r="P877" s="53"/>
      <c r="Q877" s="53"/>
      <c r="R877" s="53"/>
      <c r="S877" s="53"/>
      <c r="T877" s="53"/>
      <c r="U877" s="53"/>
      <c r="V877" s="53"/>
      <c r="W877" s="53"/>
      <c r="X877" s="53"/>
      <c r="Y877" s="53"/>
      <c r="Z877" s="53"/>
    </row>
    <row r="878" spans="1:26" ht="13.5" customHeight="1">
      <c r="A878" s="53"/>
      <c r="B878" s="53"/>
      <c r="C878" s="53"/>
      <c r="D878" s="53"/>
      <c r="E878" s="53"/>
      <c r="F878" s="53"/>
      <c r="G878" s="53"/>
      <c r="H878" s="53"/>
      <c r="I878" s="53"/>
      <c r="J878" s="53"/>
      <c r="K878" s="53"/>
      <c r="L878" s="53"/>
      <c r="M878" s="53"/>
      <c r="N878" s="53"/>
      <c r="O878" s="53"/>
      <c r="P878" s="53"/>
      <c r="Q878" s="53"/>
      <c r="R878" s="53"/>
      <c r="S878" s="53"/>
      <c r="T878" s="53"/>
      <c r="U878" s="53"/>
      <c r="V878" s="53"/>
      <c r="W878" s="53"/>
      <c r="X878" s="53"/>
      <c r="Y878" s="53"/>
      <c r="Z878" s="53"/>
    </row>
    <row r="879" spans="1:26" ht="13.5" customHeight="1">
      <c r="A879" s="53"/>
      <c r="B879" s="53"/>
      <c r="C879" s="53"/>
      <c r="D879" s="53"/>
      <c r="E879" s="53"/>
      <c r="F879" s="53"/>
      <c r="G879" s="53"/>
      <c r="H879" s="53"/>
      <c r="I879" s="53"/>
      <c r="J879" s="53"/>
      <c r="K879" s="53"/>
      <c r="L879" s="53"/>
      <c r="M879" s="53"/>
      <c r="N879" s="53"/>
      <c r="O879" s="53"/>
      <c r="P879" s="53"/>
      <c r="Q879" s="53"/>
      <c r="R879" s="53"/>
      <c r="S879" s="53"/>
      <c r="T879" s="53"/>
      <c r="U879" s="53"/>
      <c r="V879" s="53"/>
      <c r="W879" s="53"/>
      <c r="X879" s="53"/>
      <c r="Y879" s="53"/>
      <c r="Z879" s="53"/>
    </row>
    <row r="880" spans="1:26" ht="13.5" customHeight="1">
      <c r="A880" s="53"/>
      <c r="B880" s="53"/>
      <c r="C880" s="53"/>
      <c r="D880" s="53"/>
      <c r="E880" s="53"/>
      <c r="F880" s="53"/>
      <c r="G880" s="53"/>
      <c r="H880" s="53"/>
      <c r="I880" s="53"/>
      <c r="J880" s="53"/>
      <c r="K880" s="53"/>
      <c r="L880" s="53"/>
      <c r="M880" s="53"/>
      <c r="N880" s="53"/>
      <c r="O880" s="53"/>
      <c r="P880" s="53"/>
      <c r="Q880" s="53"/>
      <c r="R880" s="53"/>
      <c r="S880" s="53"/>
      <c r="T880" s="53"/>
      <c r="U880" s="53"/>
      <c r="V880" s="53"/>
      <c r="W880" s="53"/>
      <c r="X880" s="53"/>
      <c r="Y880" s="53"/>
      <c r="Z880" s="53"/>
    </row>
    <row r="881" spans="1:26" ht="13.5" customHeight="1">
      <c r="A881" s="53"/>
      <c r="B881" s="53"/>
      <c r="C881" s="53"/>
      <c r="D881" s="53"/>
      <c r="E881" s="53"/>
      <c r="F881" s="53"/>
      <c r="G881" s="53"/>
      <c r="H881" s="53"/>
      <c r="I881" s="53"/>
      <c r="J881" s="53"/>
      <c r="K881" s="53"/>
      <c r="L881" s="53"/>
      <c r="M881" s="53"/>
      <c r="N881" s="53"/>
      <c r="O881" s="53"/>
      <c r="P881" s="53"/>
      <c r="Q881" s="53"/>
      <c r="R881" s="53"/>
      <c r="S881" s="53"/>
      <c r="T881" s="53"/>
      <c r="U881" s="53"/>
      <c r="V881" s="53"/>
      <c r="W881" s="53"/>
      <c r="X881" s="53"/>
      <c r="Y881" s="53"/>
      <c r="Z881" s="53"/>
    </row>
    <row r="882" spans="1:26" ht="13.5" customHeight="1">
      <c r="A882" s="53"/>
      <c r="B882" s="53"/>
      <c r="C882" s="53"/>
      <c r="D882" s="53"/>
      <c r="E882" s="53"/>
      <c r="F882" s="53"/>
      <c r="G882" s="53"/>
      <c r="H882" s="53"/>
      <c r="I882" s="53"/>
      <c r="J882" s="53"/>
      <c r="K882" s="53"/>
      <c r="L882" s="53"/>
      <c r="M882" s="53"/>
      <c r="N882" s="53"/>
      <c r="O882" s="53"/>
      <c r="P882" s="53"/>
      <c r="Q882" s="53"/>
      <c r="R882" s="53"/>
      <c r="S882" s="53"/>
      <c r="T882" s="53"/>
      <c r="U882" s="53"/>
      <c r="V882" s="53"/>
      <c r="W882" s="53"/>
      <c r="X882" s="53"/>
      <c r="Y882" s="53"/>
      <c r="Z882" s="53"/>
    </row>
    <row r="883" spans="1:26" ht="13.5" customHeight="1">
      <c r="A883" s="53"/>
      <c r="B883" s="53"/>
      <c r="C883" s="53"/>
      <c r="D883" s="53"/>
      <c r="E883" s="53"/>
      <c r="F883" s="53"/>
      <c r="G883" s="53"/>
      <c r="H883" s="53"/>
      <c r="I883" s="53"/>
      <c r="J883" s="53"/>
      <c r="K883" s="53"/>
      <c r="L883" s="53"/>
      <c r="M883" s="53"/>
      <c r="N883" s="53"/>
      <c r="O883" s="53"/>
      <c r="P883" s="53"/>
      <c r="Q883" s="53"/>
      <c r="R883" s="53"/>
      <c r="S883" s="53"/>
      <c r="T883" s="53"/>
      <c r="U883" s="53"/>
      <c r="V883" s="53"/>
      <c r="W883" s="53"/>
      <c r="X883" s="53"/>
      <c r="Y883" s="53"/>
      <c r="Z883" s="53"/>
    </row>
    <row r="884" spans="1:26" ht="13.5" customHeight="1">
      <c r="A884" s="53"/>
      <c r="B884" s="53"/>
      <c r="C884" s="53"/>
      <c r="D884" s="53"/>
      <c r="E884" s="53"/>
      <c r="F884" s="53"/>
      <c r="G884" s="53"/>
      <c r="H884" s="53"/>
      <c r="I884" s="53"/>
      <c r="J884" s="53"/>
      <c r="K884" s="53"/>
      <c r="L884" s="53"/>
      <c r="M884" s="53"/>
      <c r="N884" s="53"/>
      <c r="O884" s="53"/>
      <c r="P884" s="53"/>
      <c r="Q884" s="53"/>
      <c r="R884" s="53"/>
      <c r="S884" s="53"/>
      <c r="T884" s="53"/>
      <c r="U884" s="53"/>
      <c r="V884" s="53"/>
      <c r="W884" s="53"/>
      <c r="X884" s="53"/>
      <c r="Y884" s="53"/>
      <c r="Z884" s="53"/>
    </row>
    <row r="885" spans="1:26" ht="13.5" customHeight="1">
      <c r="A885" s="53"/>
      <c r="B885" s="53"/>
      <c r="C885" s="53"/>
      <c r="D885" s="53"/>
      <c r="E885" s="53"/>
      <c r="F885" s="53"/>
      <c r="G885" s="53"/>
      <c r="H885" s="53"/>
      <c r="I885" s="53"/>
      <c r="J885" s="53"/>
      <c r="K885" s="53"/>
      <c r="L885" s="53"/>
      <c r="M885" s="53"/>
      <c r="N885" s="53"/>
      <c r="O885" s="53"/>
      <c r="P885" s="53"/>
      <c r="Q885" s="53"/>
      <c r="R885" s="53"/>
      <c r="S885" s="53"/>
      <c r="T885" s="53"/>
      <c r="U885" s="53"/>
      <c r="V885" s="53"/>
      <c r="W885" s="53"/>
      <c r="X885" s="53"/>
      <c r="Y885" s="53"/>
      <c r="Z885" s="53"/>
    </row>
    <row r="886" spans="1:26" ht="13.5" customHeight="1">
      <c r="A886" s="53"/>
      <c r="B886" s="53"/>
      <c r="C886" s="53"/>
      <c r="D886" s="53"/>
      <c r="E886" s="53"/>
      <c r="F886" s="53"/>
      <c r="G886" s="53"/>
      <c r="H886" s="53"/>
      <c r="I886" s="53"/>
      <c r="J886" s="53"/>
      <c r="K886" s="53"/>
      <c r="L886" s="53"/>
      <c r="M886" s="53"/>
      <c r="N886" s="53"/>
      <c r="O886" s="53"/>
      <c r="P886" s="53"/>
      <c r="Q886" s="53"/>
      <c r="R886" s="53"/>
      <c r="S886" s="53"/>
      <c r="T886" s="53"/>
      <c r="U886" s="53"/>
      <c r="V886" s="53"/>
      <c r="W886" s="53"/>
      <c r="X886" s="53"/>
      <c r="Y886" s="53"/>
      <c r="Z886" s="53"/>
    </row>
    <row r="887" spans="1:26" ht="13.5" customHeight="1">
      <c r="A887" s="53"/>
      <c r="B887" s="53"/>
      <c r="C887" s="53"/>
      <c r="D887" s="53"/>
      <c r="E887" s="53"/>
      <c r="F887" s="53"/>
      <c r="G887" s="53"/>
      <c r="H887" s="53"/>
      <c r="I887" s="53"/>
      <c r="J887" s="53"/>
      <c r="K887" s="53"/>
      <c r="L887" s="53"/>
      <c r="M887" s="53"/>
      <c r="N887" s="53"/>
      <c r="O887" s="53"/>
      <c r="P887" s="53"/>
      <c r="Q887" s="53"/>
      <c r="R887" s="53"/>
      <c r="S887" s="53"/>
      <c r="T887" s="53"/>
      <c r="U887" s="53"/>
      <c r="V887" s="53"/>
      <c r="W887" s="53"/>
      <c r="X887" s="53"/>
      <c r="Y887" s="53"/>
      <c r="Z887" s="53"/>
    </row>
    <row r="888" spans="1:26" ht="13.5" customHeight="1">
      <c r="A888" s="53"/>
      <c r="B888" s="53"/>
      <c r="C888" s="53"/>
      <c r="D888" s="53"/>
      <c r="E888" s="53"/>
      <c r="F888" s="53"/>
      <c r="G888" s="53"/>
      <c r="H888" s="53"/>
      <c r="I888" s="53"/>
      <c r="J888" s="53"/>
      <c r="K888" s="53"/>
      <c r="L888" s="53"/>
      <c r="M888" s="53"/>
      <c r="N888" s="53"/>
      <c r="O888" s="53"/>
      <c r="P888" s="53"/>
      <c r="Q888" s="53"/>
      <c r="R888" s="53"/>
      <c r="S888" s="53"/>
      <c r="T888" s="53"/>
      <c r="U888" s="53"/>
      <c r="V888" s="53"/>
      <c r="W888" s="53"/>
      <c r="X888" s="53"/>
      <c r="Y888" s="53"/>
      <c r="Z888" s="53"/>
    </row>
    <row r="889" spans="1:26" ht="13.5" customHeight="1">
      <c r="A889" s="53"/>
      <c r="B889" s="53"/>
      <c r="C889" s="53"/>
      <c r="D889" s="53"/>
      <c r="E889" s="53"/>
      <c r="F889" s="53"/>
      <c r="G889" s="53"/>
      <c r="H889" s="53"/>
      <c r="I889" s="53"/>
      <c r="J889" s="53"/>
      <c r="K889" s="53"/>
      <c r="L889" s="53"/>
      <c r="M889" s="53"/>
      <c r="N889" s="53"/>
      <c r="O889" s="53"/>
      <c r="P889" s="53"/>
      <c r="Q889" s="53"/>
      <c r="R889" s="53"/>
      <c r="S889" s="53"/>
      <c r="T889" s="53"/>
      <c r="U889" s="53"/>
      <c r="V889" s="53"/>
      <c r="W889" s="53"/>
      <c r="X889" s="53"/>
      <c r="Y889" s="53"/>
      <c r="Z889" s="53"/>
    </row>
    <row r="890" spans="1:26" ht="13.5" customHeight="1">
      <c r="A890" s="53"/>
      <c r="B890" s="53"/>
      <c r="C890" s="53"/>
      <c r="D890" s="53"/>
      <c r="E890" s="53"/>
      <c r="F890" s="53"/>
      <c r="G890" s="53"/>
      <c r="H890" s="53"/>
      <c r="I890" s="53"/>
      <c r="J890" s="53"/>
      <c r="K890" s="53"/>
      <c r="L890" s="53"/>
      <c r="M890" s="53"/>
      <c r="N890" s="53"/>
      <c r="O890" s="53"/>
      <c r="P890" s="53"/>
      <c r="Q890" s="53"/>
      <c r="R890" s="53"/>
      <c r="S890" s="53"/>
      <c r="T890" s="53"/>
      <c r="U890" s="53"/>
      <c r="V890" s="53"/>
      <c r="W890" s="53"/>
      <c r="X890" s="53"/>
      <c r="Y890" s="53"/>
      <c r="Z890" s="53"/>
    </row>
    <row r="891" spans="1:26" ht="13.5" customHeight="1">
      <c r="A891" s="53"/>
      <c r="B891" s="53"/>
      <c r="C891" s="53"/>
      <c r="D891" s="53"/>
      <c r="E891" s="53"/>
      <c r="F891" s="53"/>
      <c r="G891" s="53"/>
      <c r="H891" s="53"/>
      <c r="I891" s="53"/>
      <c r="J891" s="53"/>
      <c r="K891" s="53"/>
      <c r="L891" s="53"/>
      <c r="M891" s="53"/>
      <c r="N891" s="53"/>
      <c r="O891" s="53"/>
      <c r="P891" s="53"/>
      <c r="Q891" s="53"/>
      <c r="R891" s="53"/>
      <c r="S891" s="53"/>
      <c r="T891" s="53"/>
      <c r="U891" s="53"/>
      <c r="V891" s="53"/>
      <c r="W891" s="53"/>
      <c r="X891" s="53"/>
      <c r="Y891" s="53"/>
      <c r="Z891" s="53"/>
    </row>
    <row r="892" spans="1:26" ht="13.5" customHeight="1">
      <c r="A892" s="53"/>
      <c r="B892" s="53"/>
      <c r="C892" s="53"/>
      <c r="D892" s="53"/>
      <c r="E892" s="53"/>
      <c r="F892" s="53"/>
      <c r="G892" s="53"/>
      <c r="H892" s="53"/>
      <c r="I892" s="53"/>
      <c r="J892" s="53"/>
      <c r="K892" s="53"/>
      <c r="L892" s="53"/>
      <c r="M892" s="53"/>
      <c r="N892" s="53"/>
      <c r="O892" s="53"/>
      <c r="P892" s="53"/>
      <c r="Q892" s="53"/>
      <c r="R892" s="53"/>
      <c r="S892" s="53"/>
      <c r="T892" s="53"/>
      <c r="U892" s="53"/>
      <c r="V892" s="53"/>
      <c r="W892" s="53"/>
      <c r="X892" s="53"/>
      <c r="Y892" s="53"/>
      <c r="Z892" s="53"/>
    </row>
    <row r="893" spans="1:26" ht="13.5" customHeight="1">
      <c r="A893" s="53"/>
      <c r="B893" s="53"/>
      <c r="C893" s="53"/>
      <c r="D893" s="53"/>
      <c r="E893" s="53"/>
      <c r="F893" s="53"/>
      <c r="G893" s="53"/>
      <c r="H893" s="53"/>
      <c r="I893" s="53"/>
      <c r="J893" s="53"/>
      <c r="K893" s="53"/>
      <c r="L893" s="53"/>
      <c r="M893" s="53"/>
      <c r="N893" s="53"/>
      <c r="O893" s="53"/>
      <c r="P893" s="53"/>
      <c r="Q893" s="53"/>
      <c r="R893" s="53"/>
      <c r="S893" s="53"/>
      <c r="T893" s="53"/>
      <c r="U893" s="53"/>
      <c r="V893" s="53"/>
      <c r="W893" s="53"/>
      <c r="X893" s="53"/>
      <c r="Y893" s="53"/>
      <c r="Z893" s="53"/>
    </row>
    <row r="894" spans="1:26" ht="13.5" customHeight="1">
      <c r="A894" s="53"/>
      <c r="B894" s="53"/>
      <c r="C894" s="53"/>
      <c r="D894" s="53"/>
      <c r="E894" s="53"/>
      <c r="F894" s="53"/>
      <c r="G894" s="53"/>
      <c r="H894" s="53"/>
      <c r="I894" s="53"/>
      <c r="J894" s="53"/>
      <c r="K894" s="53"/>
      <c r="L894" s="53"/>
      <c r="M894" s="53"/>
      <c r="N894" s="53"/>
      <c r="O894" s="53"/>
      <c r="P894" s="53"/>
      <c r="Q894" s="53"/>
      <c r="R894" s="53"/>
      <c r="S894" s="53"/>
      <c r="T894" s="53"/>
      <c r="U894" s="53"/>
      <c r="V894" s="53"/>
      <c r="W894" s="53"/>
      <c r="X894" s="53"/>
      <c r="Y894" s="53"/>
      <c r="Z894" s="53"/>
    </row>
    <row r="895" spans="1:26" ht="13.5" customHeight="1">
      <c r="A895" s="53"/>
      <c r="B895" s="53"/>
      <c r="C895" s="53"/>
      <c r="D895" s="53"/>
      <c r="E895" s="53"/>
      <c r="F895" s="53"/>
      <c r="G895" s="53"/>
      <c r="H895" s="53"/>
      <c r="I895" s="53"/>
      <c r="J895" s="53"/>
      <c r="K895" s="53"/>
      <c r="L895" s="53"/>
      <c r="M895" s="53"/>
      <c r="N895" s="53"/>
      <c r="O895" s="53"/>
      <c r="P895" s="53"/>
      <c r="Q895" s="53"/>
      <c r="R895" s="53"/>
      <c r="S895" s="53"/>
      <c r="T895" s="53"/>
      <c r="U895" s="53"/>
      <c r="V895" s="53"/>
      <c r="W895" s="53"/>
      <c r="X895" s="53"/>
      <c r="Y895" s="53"/>
      <c r="Z895" s="53"/>
    </row>
    <row r="896" spans="1:26" ht="13.5" customHeight="1">
      <c r="A896" s="53"/>
      <c r="B896" s="53"/>
      <c r="C896" s="53"/>
      <c r="D896" s="53"/>
      <c r="E896" s="53"/>
      <c r="F896" s="53"/>
      <c r="G896" s="53"/>
      <c r="H896" s="53"/>
      <c r="I896" s="53"/>
      <c r="J896" s="53"/>
      <c r="K896" s="53"/>
      <c r="L896" s="53"/>
      <c r="M896" s="53"/>
      <c r="N896" s="53"/>
      <c r="O896" s="53"/>
      <c r="P896" s="53"/>
      <c r="Q896" s="53"/>
      <c r="R896" s="53"/>
      <c r="S896" s="53"/>
      <c r="T896" s="53"/>
      <c r="U896" s="53"/>
      <c r="V896" s="53"/>
      <c r="W896" s="53"/>
      <c r="X896" s="53"/>
      <c r="Y896" s="53"/>
      <c r="Z896" s="53"/>
    </row>
    <row r="897" spans="1:26" ht="13.5" customHeight="1">
      <c r="A897" s="53"/>
      <c r="B897" s="53"/>
      <c r="C897" s="53"/>
      <c r="D897" s="53"/>
      <c r="E897" s="53"/>
      <c r="F897" s="53"/>
      <c r="G897" s="53"/>
      <c r="H897" s="53"/>
      <c r="I897" s="53"/>
      <c r="J897" s="53"/>
      <c r="K897" s="53"/>
      <c r="L897" s="53"/>
      <c r="M897" s="53"/>
      <c r="N897" s="53"/>
      <c r="O897" s="53"/>
      <c r="P897" s="53"/>
      <c r="Q897" s="53"/>
      <c r="R897" s="53"/>
      <c r="S897" s="53"/>
      <c r="T897" s="53"/>
      <c r="U897" s="53"/>
      <c r="V897" s="53"/>
      <c r="W897" s="53"/>
      <c r="X897" s="53"/>
      <c r="Y897" s="53"/>
      <c r="Z897" s="53"/>
    </row>
    <row r="898" spans="1:26" ht="13.5" customHeight="1">
      <c r="A898" s="53"/>
      <c r="B898" s="53"/>
      <c r="C898" s="53"/>
      <c r="D898" s="53"/>
      <c r="E898" s="53"/>
      <c r="F898" s="53"/>
      <c r="G898" s="53"/>
      <c r="H898" s="53"/>
      <c r="I898" s="53"/>
      <c r="J898" s="53"/>
      <c r="K898" s="53"/>
      <c r="L898" s="53"/>
      <c r="M898" s="53"/>
      <c r="N898" s="53"/>
      <c r="O898" s="53"/>
      <c r="P898" s="53"/>
      <c r="Q898" s="53"/>
      <c r="R898" s="53"/>
      <c r="S898" s="53"/>
      <c r="T898" s="53"/>
      <c r="U898" s="53"/>
      <c r="V898" s="53"/>
      <c r="W898" s="53"/>
      <c r="X898" s="53"/>
      <c r="Y898" s="53"/>
      <c r="Z898" s="53"/>
    </row>
    <row r="899" spans="1:26" ht="13.5" customHeight="1">
      <c r="A899" s="53"/>
      <c r="B899" s="53"/>
      <c r="C899" s="53"/>
      <c r="D899" s="53"/>
      <c r="E899" s="53"/>
      <c r="F899" s="53"/>
      <c r="G899" s="53"/>
      <c r="H899" s="53"/>
      <c r="I899" s="53"/>
      <c r="J899" s="53"/>
      <c r="K899" s="53"/>
      <c r="L899" s="53"/>
      <c r="M899" s="53"/>
      <c r="N899" s="53"/>
      <c r="O899" s="53"/>
      <c r="P899" s="53"/>
      <c r="Q899" s="53"/>
      <c r="R899" s="53"/>
      <c r="S899" s="53"/>
      <c r="T899" s="53"/>
      <c r="U899" s="53"/>
      <c r="V899" s="53"/>
      <c r="W899" s="53"/>
      <c r="X899" s="53"/>
      <c r="Y899" s="53"/>
      <c r="Z899" s="53"/>
    </row>
    <row r="900" spans="1:26" ht="13.5" customHeight="1">
      <c r="A900" s="53"/>
      <c r="B900" s="53"/>
      <c r="C900" s="53"/>
      <c r="D900" s="53"/>
      <c r="E900" s="53"/>
      <c r="F900" s="53"/>
      <c r="G900" s="53"/>
      <c r="H900" s="53"/>
      <c r="I900" s="53"/>
      <c r="J900" s="53"/>
      <c r="K900" s="53"/>
      <c r="L900" s="53"/>
      <c r="M900" s="53"/>
      <c r="N900" s="53"/>
      <c r="O900" s="53"/>
      <c r="P900" s="53"/>
      <c r="Q900" s="53"/>
      <c r="R900" s="53"/>
      <c r="S900" s="53"/>
      <c r="T900" s="53"/>
      <c r="U900" s="53"/>
      <c r="V900" s="53"/>
      <c r="W900" s="53"/>
      <c r="X900" s="53"/>
      <c r="Y900" s="53"/>
      <c r="Z900" s="53"/>
    </row>
    <row r="901" spans="1:26" ht="13.5" customHeight="1">
      <c r="A901" s="53"/>
      <c r="B901" s="53"/>
      <c r="C901" s="53"/>
      <c r="D901" s="53"/>
      <c r="E901" s="53"/>
      <c r="F901" s="53"/>
      <c r="G901" s="53"/>
      <c r="H901" s="53"/>
      <c r="I901" s="53"/>
      <c r="J901" s="53"/>
      <c r="K901" s="53"/>
      <c r="L901" s="53"/>
      <c r="M901" s="53"/>
      <c r="N901" s="53"/>
      <c r="O901" s="53"/>
      <c r="P901" s="53"/>
      <c r="Q901" s="53"/>
      <c r="R901" s="53"/>
      <c r="S901" s="53"/>
      <c r="T901" s="53"/>
      <c r="U901" s="53"/>
      <c r="V901" s="53"/>
      <c r="W901" s="53"/>
      <c r="X901" s="53"/>
      <c r="Y901" s="53"/>
      <c r="Z901" s="53"/>
    </row>
    <row r="902" spans="1:26" ht="13.5" customHeight="1">
      <c r="A902" s="53"/>
      <c r="B902" s="53"/>
      <c r="C902" s="53"/>
      <c r="D902" s="53"/>
      <c r="E902" s="53"/>
      <c r="F902" s="53"/>
      <c r="G902" s="53"/>
      <c r="H902" s="53"/>
      <c r="I902" s="53"/>
      <c r="J902" s="53"/>
      <c r="K902" s="53"/>
      <c r="L902" s="53"/>
      <c r="M902" s="53"/>
      <c r="N902" s="53"/>
      <c r="O902" s="53"/>
      <c r="P902" s="53"/>
      <c r="Q902" s="53"/>
      <c r="R902" s="53"/>
      <c r="S902" s="53"/>
      <c r="T902" s="53"/>
      <c r="U902" s="53"/>
      <c r="V902" s="53"/>
      <c r="W902" s="53"/>
      <c r="X902" s="53"/>
      <c r="Y902" s="53"/>
      <c r="Z902" s="53"/>
    </row>
    <row r="903" spans="1:26" ht="13.5" customHeight="1">
      <c r="A903" s="53"/>
      <c r="B903" s="53"/>
      <c r="C903" s="53"/>
      <c r="D903" s="53"/>
      <c r="E903" s="53"/>
      <c r="F903" s="53"/>
      <c r="G903" s="53"/>
      <c r="H903" s="53"/>
      <c r="I903" s="53"/>
      <c r="J903" s="53"/>
      <c r="K903" s="53"/>
      <c r="L903" s="53"/>
      <c r="M903" s="53"/>
      <c r="N903" s="53"/>
      <c r="O903" s="53"/>
      <c r="P903" s="53"/>
      <c r="Q903" s="53"/>
      <c r="R903" s="53"/>
      <c r="S903" s="53"/>
      <c r="T903" s="53"/>
      <c r="U903" s="53"/>
      <c r="V903" s="53"/>
      <c r="W903" s="53"/>
      <c r="X903" s="53"/>
      <c r="Y903" s="53"/>
      <c r="Z903" s="53"/>
    </row>
    <row r="904" spans="1:26" ht="13.5" customHeight="1">
      <c r="A904" s="53"/>
      <c r="B904" s="53"/>
      <c r="C904" s="53"/>
      <c r="D904" s="53"/>
      <c r="E904" s="53"/>
      <c r="F904" s="53"/>
      <c r="G904" s="53"/>
      <c r="H904" s="53"/>
      <c r="I904" s="53"/>
      <c r="J904" s="53"/>
      <c r="K904" s="53"/>
      <c r="L904" s="53"/>
      <c r="M904" s="53"/>
      <c r="N904" s="53"/>
      <c r="O904" s="53"/>
      <c r="P904" s="53"/>
      <c r="Q904" s="53"/>
      <c r="R904" s="53"/>
      <c r="S904" s="53"/>
      <c r="T904" s="53"/>
      <c r="U904" s="53"/>
      <c r="V904" s="53"/>
      <c r="W904" s="53"/>
      <c r="X904" s="53"/>
      <c r="Y904" s="53"/>
      <c r="Z904" s="53"/>
    </row>
    <row r="905" spans="1:26" ht="13.5" customHeight="1">
      <c r="A905" s="53"/>
      <c r="B905" s="53"/>
      <c r="C905" s="53"/>
      <c r="D905" s="53"/>
      <c r="E905" s="53"/>
      <c r="F905" s="53"/>
      <c r="G905" s="53"/>
      <c r="H905" s="53"/>
      <c r="I905" s="53"/>
      <c r="J905" s="53"/>
      <c r="K905" s="53"/>
      <c r="L905" s="53"/>
      <c r="M905" s="53"/>
      <c r="N905" s="53"/>
      <c r="O905" s="53"/>
      <c r="P905" s="53"/>
      <c r="Q905" s="53"/>
      <c r="R905" s="53"/>
      <c r="S905" s="53"/>
      <c r="T905" s="53"/>
      <c r="U905" s="53"/>
      <c r="V905" s="53"/>
      <c r="W905" s="53"/>
      <c r="X905" s="53"/>
      <c r="Y905" s="53"/>
      <c r="Z905" s="53"/>
    </row>
    <row r="906" spans="1:26" ht="13.5" customHeight="1">
      <c r="A906" s="53"/>
      <c r="B906" s="53"/>
      <c r="C906" s="53"/>
      <c r="D906" s="53"/>
      <c r="E906" s="53"/>
      <c r="F906" s="53"/>
      <c r="G906" s="53"/>
      <c r="H906" s="53"/>
      <c r="I906" s="53"/>
      <c r="J906" s="53"/>
      <c r="K906" s="53"/>
      <c r="L906" s="53"/>
      <c r="M906" s="53"/>
      <c r="N906" s="53"/>
      <c r="O906" s="53"/>
      <c r="P906" s="53"/>
      <c r="Q906" s="53"/>
      <c r="R906" s="53"/>
      <c r="S906" s="53"/>
      <c r="T906" s="53"/>
      <c r="U906" s="53"/>
      <c r="V906" s="53"/>
      <c r="W906" s="53"/>
      <c r="X906" s="53"/>
      <c r="Y906" s="53"/>
      <c r="Z906" s="53"/>
    </row>
    <row r="907" spans="1:26" ht="13.5" customHeight="1">
      <c r="A907" s="53"/>
      <c r="B907" s="53"/>
      <c r="C907" s="53"/>
      <c r="D907" s="53"/>
      <c r="E907" s="53"/>
      <c r="F907" s="53"/>
      <c r="G907" s="53"/>
      <c r="H907" s="53"/>
      <c r="I907" s="53"/>
      <c r="J907" s="53"/>
      <c r="K907" s="53"/>
      <c r="L907" s="53"/>
      <c r="M907" s="53"/>
      <c r="N907" s="53"/>
      <c r="O907" s="53"/>
      <c r="P907" s="53"/>
      <c r="Q907" s="53"/>
      <c r="R907" s="53"/>
      <c r="S907" s="53"/>
      <c r="T907" s="53"/>
      <c r="U907" s="53"/>
      <c r="V907" s="53"/>
      <c r="W907" s="53"/>
      <c r="X907" s="53"/>
      <c r="Y907" s="53"/>
      <c r="Z907" s="53"/>
    </row>
    <row r="908" spans="1:26" ht="13.5" customHeight="1">
      <c r="A908" s="53"/>
      <c r="B908" s="53"/>
      <c r="C908" s="53"/>
      <c r="D908" s="53"/>
      <c r="E908" s="53"/>
      <c r="F908" s="53"/>
      <c r="G908" s="53"/>
      <c r="H908" s="53"/>
      <c r="I908" s="53"/>
      <c r="J908" s="53"/>
      <c r="K908" s="53"/>
      <c r="L908" s="53"/>
      <c r="M908" s="53"/>
      <c r="N908" s="53"/>
      <c r="O908" s="53"/>
      <c r="P908" s="53"/>
      <c r="Q908" s="53"/>
      <c r="R908" s="53"/>
      <c r="S908" s="53"/>
      <c r="T908" s="53"/>
      <c r="U908" s="53"/>
      <c r="V908" s="53"/>
      <c r="W908" s="53"/>
      <c r="X908" s="53"/>
      <c r="Y908" s="53"/>
      <c r="Z908" s="53"/>
    </row>
    <row r="909" spans="1:26" ht="13.5" customHeight="1">
      <c r="A909" s="53"/>
      <c r="B909" s="53"/>
      <c r="C909" s="53"/>
      <c r="D909" s="53"/>
      <c r="E909" s="53"/>
      <c r="F909" s="53"/>
      <c r="G909" s="53"/>
      <c r="H909" s="53"/>
      <c r="I909" s="53"/>
      <c r="J909" s="53"/>
      <c r="K909" s="53"/>
      <c r="L909" s="53"/>
      <c r="M909" s="53"/>
      <c r="N909" s="53"/>
      <c r="O909" s="53"/>
      <c r="P909" s="53"/>
      <c r="Q909" s="53"/>
      <c r="R909" s="53"/>
      <c r="S909" s="53"/>
      <c r="T909" s="53"/>
      <c r="U909" s="53"/>
      <c r="V909" s="53"/>
      <c r="W909" s="53"/>
      <c r="X909" s="53"/>
      <c r="Y909" s="53"/>
      <c r="Z909" s="53"/>
    </row>
    <row r="910" spans="1:26" ht="13.5" customHeight="1">
      <c r="A910" s="53"/>
      <c r="B910" s="53"/>
      <c r="C910" s="53"/>
      <c r="D910" s="53"/>
      <c r="E910" s="53"/>
      <c r="F910" s="53"/>
      <c r="G910" s="53"/>
      <c r="H910" s="53"/>
      <c r="I910" s="53"/>
      <c r="J910" s="53"/>
      <c r="K910" s="53"/>
      <c r="L910" s="53"/>
      <c r="M910" s="53"/>
      <c r="N910" s="53"/>
      <c r="O910" s="53"/>
      <c r="P910" s="53"/>
      <c r="Q910" s="53"/>
      <c r="R910" s="53"/>
      <c r="S910" s="53"/>
      <c r="T910" s="53"/>
      <c r="U910" s="53"/>
      <c r="V910" s="53"/>
      <c r="W910" s="53"/>
      <c r="X910" s="53"/>
      <c r="Y910" s="53"/>
      <c r="Z910" s="53"/>
    </row>
    <row r="911" spans="1:26" ht="13.5" customHeight="1">
      <c r="A911" s="53"/>
      <c r="B911" s="53"/>
      <c r="C911" s="53"/>
      <c r="D911" s="53"/>
      <c r="E911" s="53"/>
      <c r="F911" s="53"/>
      <c r="G911" s="53"/>
      <c r="H911" s="53"/>
      <c r="I911" s="53"/>
      <c r="J911" s="53"/>
      <c r="K911" s="53"/>
      <c r="L911" s="53"/>
      <c r="M911" s="53"/>
      <c r="N911" s="53"/>
      <c r="O911" s="53"/>
      <c r="P911" s="53"/>
      <c r="Q911" s="53"/>
      <c r="R911" s="53"/>
      <c r="S911" s="53"/>
      <c r="T911" s="53"/>
      <c r="U911" s="53"/>
      <c r="V911" s="53"/>
      <c r="W911" s="53"/>
      <c r="X911" s="53"/>
      <c r="Y911" s="53"/>
      <c r="Z911" s="53"/>
    </row>
    <row r="912" spans="1:26" ht="13.5" customHeight="1">
      <c r="A912" s="53"/>
      <c r="B912" s="53"/>
      <c r="C912" s="53"/>
      <c r="D912" s="53"/>
      <c r="E912" s="53"/>
      <c r="F912" s="53"/>
      <c r="G912" s="53"/>
      <c r="H912" s="53"/>
      <c r="I912" s="53"/>
      <c r="J912" s="53"/>
      <c r="K912" s="53"/>
      <c r="L912" s="53"/>
      <c r="M912" s="53"/>
      <c r="N912" s="53"/>
      <c r="O912" s="53"/>
      <c r="P912" s="53"/>
      <c r="Q912" s="53"/>
      <c r="R912" s="53"/>
      <c r="S912" s="53"/>
      <c r="T912" s="53"/>
      <c r="U912" s="53"/>
      <c r="V912" s="53"/>
      <c r="W912" s="53"/>
      <c r="X912" s="53"/>
      <c r="Y912" s="53"/>
      <c r="Z912" s="53"/>
    </row>
    <row r="913" spans="1:26" ht="13.5" customHeight="1">
      <c r="A913" s="53"/>
      <c r="B913" s="53"/>
      <c r="C913" s="53"/>
      <c r="D913" s="53"/>
      <c r="E913" s="53"/>
      <c r="F913" s="53"/>
      <c r="G913" s="53"/>
      <c r="H913" s="53"/>
      <c r="I913" s="53"/>
      <c r="J913" s="53"/>
      <c r="K913" s="53"/>
      <c r="L913" s="53"/>
      <c r="M913" s="53"/>
      <c r="N913" s="53"/>
      <c r="O913" s="53"/>
      <c r="P913" s="53"/>
      <c r="Q913" s="53"/>
      <c r="R913" s="53"/>
      <c r="S913" s="53"/>
      <c r="T913" s="53"/>
      <c r="U913" s="53"/>
      <c r="V913" s="53"/>
      <c r="W913" s="53"/>
      <c r="X913" s="53"/>
      <c r="Y913" s="53"/>
      <c r="Z913" s="53"/>
    </row>
    <row r="914" spans="1:26" ht="13.5" customHeight="1">
      <c r="A914" s="53"/>
      <c r="B914" s="53"/>
      <c r="C914" s="53"/>
      <c r="D914" s="53"/>
      <c r="E914" s="53"/>
      <c r="F914" s="53"/>
      <c r="G914" s="53"/>
      <c r="H914" s="53"/>
      <c r="I914" s="53"/>
      <c r="J914" s="53"/>
      <c r="K914" s="53"/>
      <c r="L914" s="53"/>
      <c r="M914" s="53"/>
      <c r="N914" s="53"/>
      <c r="O914" s="53"/>
      <c r="P914" s="53"/>
      <c r="Q914" s="53"/>
      <c r="R914" s="53"/>
      <c r="S914" s="53"/>
      <c r="T914" s="53"/>
      <c r="U914" s="53"/>
      <c r="V914" s="53"/>
      <c r="W914" s="53"/>
      <c r="X914" s="53"/>
      <c r="Y914" s="53"/>
      <c r="Z914" s="53"/>
    </row>
    <row r="915" spans="1:26" ht="13.5" customHeight="1">
      <c r="A915" s="53"/>
      <c r="B915" s="53"/>
      <c r="C915" s="53"/>
      <c r="D915" s="53"/>
      <c r="E915" s="53"/>
      <c r="F915" s="53"/>
      <c r="G915" s="53"/>
      <c r="H915" s="53"/>
      <c r="I915" s="53"/>
      <c r="J915" s="53"/>
      <c r="K915" s="53"/>
      <c r="L915" s="53"/>
      <c r="M915" s="53"/>
      <c r="N915" s="53"/>
      <c r="O915" s="53"/>
      <c r="P915" s="53"/>
      <c r="Q915" s="53"/>
      <c r="R915" s="53"/>
      <c r="S915" s="53"/>
      <c r="T915" s="53"/>
      <c r="U915" s="53"/>
      <c r="V915" s="53"/>
      <c r="W915" s="53"/>
      <c r="X915" s="53"/>
      <c r="Y915" s="53"/>
      <c r="Z915" s="53"/>
    </row>
    <row r="916" spans="1:26" ht="13.5" customHeight="1">
      <c r="A916" s="53"/>
      <c r="B916" s="53"/>
      <c r="C916" s="53"/>
      <c r="D916" s="53"/>
      <c r="E916" s="53"/>
      <c r="F916" s="53"/>
      <c r="G916" s="53"/>
      <c r="H916" s="53"/>
      <c r="I916" s="53"/>
      <c r="J916" s="53"/>
      <c r="K916" s="53"/>
      <c r="L916" s="53"/>
      <c r="M916" s="53"/>
      <c r="N916" s="53"/>
      <c r="O916" s="53"/>
      <c r="P916" s="53"/>
      <c r="Q916" s="53"/>
      <c r="R916" s="53"/>
      <c r="S916" s="53"/>
      <c r="T916" s="53"/>
      <c r="U916" s="53"/>
      <c r="V916" s="53"/>
      <c r="W916" s="53"/>
      <c r="X916" s="53"/>
      <c r="Y916" s="53"/>
      <c r="Z916" s="53"/>
    </row>
    <row r="917" spans="1:26" ht="13.5" customHeight="1">
      <c r="A917" s="53"/>
      <c r="B917" s="53"/>
      <c r="C917" s="53"/>
      <c r="D917" s="53"/>
      <c r="E917" s="53"/>
      <c r="F917" s="53"/>
      <c r="G917" s="53"/>
      <c r="H917" s="53"/>
      <c r="I917" s="53"/>
      <c r="J917" s="53"/>
      <c r="K917" s="53"/>
      <c r="L917" s="53"/>
      <c r="M917" s="53"/>
      <c r="N917" s="53"/>
      <c r="O917" s="53"/>
      <c r="P917" s="53"/>
      <c r="Q917" s="53"/>
      <c r="R917" s="53"/>
      <c r="S917" s="53"/>
      <c r="T917" s="53"/>
      <c r="U917" s="53"/>
      <c r="V917" s="53"/>
      <c r="W917" s="53"/>
      <c r="X917" s="53"/>
      <c r="Y917" s="53"/>
      <c r="Z917" s="53"/>
    </row>
    <row r="918" spans="1:26" ht="13.5" customHeight="1">
      <c r="A918" s="53"/>
      <c r="B918" s="53"/>
      <c r="C918" s="53"/>
      <c r="D918" s="53"/>
      <c r="E918" s="53"/>
      <c r="F918" s="53"/>
      <c r="G918" s="53"/>
      <c r="H918" s="53"/>
      <c r="I918" s="53"/>
      <c r="J918" s="53"/>
      <c r="K918" s="53"/>
      <c r="L918" s="53"/>
      <c r="M918" s="53"/>
      <c r="N918" s="53"/>
      <c r="O918" s="53"/>
      <c r="P918" s="53"/>
      <c r="Q918" s="53"/>
      <c r="R918" s="53"/>
      <c r="S918" s="53"/>
      <c r="T918" s="53"/>
      <c r="U918" s="53"/>
      <c r="V918" s="53"/>
      <c r="W918" s="53"/>
      <c r="X918" s="53"/>
      <c r="Y918" s="53"/>
      <c r="Z918" s="53"/>
    </row>
    <row r="919" spans="1:26" ht="13.5" customHeight="1">
      <c r="A919" s="53"/>
      <c r="B919" s="53"/>
      <c r="C919" s="53"/>
      <c r="D919" s="53"/>
      <c r="E919" s="53"/>
      <c r="F919" s="53"/>
      <c r="G919" s="53"/>
      <c r="H919" s="53"/>
      <c r="I919" s="53"/>
      <c r="J919" s="53"/>
      <c r="K919" s="53"/>
      <c r="L919" s="53"/>
      <c r="M919" s="53"/>
      <c r="N919" s="53"/>
      <c r="O919" s="53"/>
      <c r="P919" s="53"/>
      <c r="Q919" s="53"/>
      <c r="R919" s="53"/>
      <c r="S919" s="53"/>
      <c r="T919" s="53"/>
      <c r="U919" s="53"/>
      <c r="V919" s="53"/>
      <c r="W919" s="53"/>
      <c r="X919" s="53"/>
      <c r="Y919" s="53"/>
      <c r="Z919" s="53"/>
    </row>
    <row r="920" spans="1:26" ht="13.5" customHeight="1">
      <c r="A920" s="53"/>
      <c r="B920" s="53"/>
      <c r="C920" s="53"/>
      <c r="D920" s="53"/>
      <c r="E920" s="53"/>
      <c r="F920" s="53"/>
      <c r="G920" s="53"/>
      <c r="H920" s="53"/>
      <c r="I920" s="53"/>
      <c r="J920" s="53"/>
      <c r="K920" s="53"/>
      <c r="L920" s="53"/>
      <c r="M920" s="53"/>
      <c r="N920" s="53"/>
      <c r="O920" s="53"/>
      <c r="P920" s="53"/>
      <c r="Q920" s="53"/>
      <c r="R920" s="53"/>
      <c r="S920" s="53"/>
      <c r="T920" s="53"/>
      <c r="U920" s="53"/>
      <c r="V920" s="53"/>
      <c r="W920" s="53"/>
      <c r="X920" s="53"/>
      <c r="Y920" s="53"/>
      <c r="Z920" s="53"/>
    </row>
    <row r="921" spans="1:26" ht="13.5" customHeight="1">
      <c r="A921" s="53"/>
      <c r="B921" s="53"/>
      <c r="C921" s="53"/>
      <c r="D921" s="53"/>
      <c r="E921" s="53"/>
      <c r="F921" s="53"/>
      <c r="G921" s="53"/>
      <c r="H921" s="53"/>
      <c r="I921" s="53"/>
      <c r="J921" s="53"/>
      <c r="K921" s="53"/>
      <c r="L921" s="53"/>
      <c r="M921" s="53"/>
      <c r="N921" s="53"/>
      <c r="O921" s="53"/>
      <c r="P921" s="53"/>
      <c r="Q921" s="53"/>
      <c r="R921" s="53"/>
      <c r="S921" s="53"/>
      <c r="T921" s="53"/>
      <c r="U921" s="53"/>
      <c r="V921" s="53"/>
      <c r="W921" s="53"/>
      <c r="X921" s="53"/>
      <c r="Y921" s="53"/>
      <c r="Z921" s="53"/>
    </row>
    <row r="922" spans="1:26" ht="13.5" customHeight="1">
      <c r="A922" s="53"/>
      <c r="B922" s="53"/>
      <c r="C922" s="53"/>
      <c r="D922" s="53"/>
      <c r="E922" s="53"/>
      <c r="F922" s="53"/>
      <c r="G922" s="53"/>
      <c r="H922" s="53"/>
      <c r="I922" s="53"/>
      <c r="J922" s="53"/>
      <c r="K922" s="53"/>
      <c r="L922" s="53"/>
      <c r="M922" s="53"/>
      <c r="N922" s="53"/>
      <c r="O922" s="53"/>
      <c r="P922" s="53"/>
      <c r="Q922" s="53"/>
      <c r="R922" s="53"/>
      <c r="S922" s="53"/>
      <c r="T922" s="53"/>
      <c r="U922" s="53"/>
      <c r="V922" s="53"/>
      <c r="W922" s="53"/>
      <c r="X922" s="53"/>
      <c r="Y922" s="53"/>
      <c r="Z922" s="53"/>
    </row>
    <row r="923" spans="1:26" ht="13.5" customHeight="1">
      <c r="A923" s="53"/>
      <c r="B923" s="53"/>
      <c r="C923" s="53"/>
      <c r="D923" s="53"/>
      <c r="E923" s="53"/>
      <c r="F923" s="53"/>
      <c r="G923" s="53"/>
      <c r="H923" s="53"/>
      <c r="I923" s="53"/>
      <c r="J923" s="53"/>
      <c r="K923" s="53"/>
      <c r="L923" s="53"/>
      <c r="M923" s="53"/>
      <c r="N923" s="53"/>
      <c r="O923" s="53"/>
      <c r="P923" s="53"/>
      <c r="Q923" s="53"/>
      <c r="R923" s="53"/>
      <c r="S923" s="53"/>
      <c r="T923" s="53"/>
      <c r="U923" s="53"/>
      <c r="V923" s="53"/>
      <c r="W923" s="53"/>
      <c r="X923" s="53"/>
      <c r="Y923" s="53"/>
      <c r="Z923" s="53"/>
    </row>
    <row r="924" spans="1:26" ht="13.5" customHeight="1">
      <c r="A924" s="53"/>
      <c r="B924" s="53"/>
      <c r="C924" s="53"/>
      <c r="D924" s="53"/>
      <c r="E924" s="53"/>
      <c r="F924" s="53"/>
      <c r="G924" s="53"/>
      <c r="H924" s="53"/>
      <c r="I924" s="53"/>
      <c r="J924" s="53"/>
      <c r="K924" s="53"/>
      <c r="L924" s="53"/>
      <c r="M924" s="53"/>
      <c r="N924" s="53"/>
      <c r="O924" s="53"/>
      <c r="P924" s="53"/>
      <c r="Q924" s="53"/>
      <c r="R924" s="53"/>
      <c r="S924" s="53"/>
      <c r="T924" s="53"/>
      <c r="U924" s="53"/>
      <c r="V924" s="53"/>
      <c r="W924" s="53"/>
      <c r="X924" s="53"/>
      <c r="Y924" s="53"/>
      <c r="Z924" s="53"/>
    </row>
    <row r="925" spans="1:26" ht="13.5" customHeight="1">
      <c r="A925" s="53"/>
      <c r="B925" s="53"/>
      <c r="C925" s="53"/>
      <c r="D925" s="53"/>
      <c r="E925" s="53"/>
      <c r="F925" s="53"/>
      <c r="G925" s="53"/>
      <c r="H925" s="53"/>
      <c r="I925" s="53"/>
      <c r="J925" s="53"/>
      <c r="K925" s="53"/>
      <c r="L925" s="53"/>
      <c r="M925" s="53"/>
      <c r="N925" s="53"/>
      <c r="O925" s="53"/>
      <c r="P925" s="53"/>
      <c r="Q925" s="53"/>
      <c r="R925" s="53"/>
      <c r="S925" s="53"/>
      <c r="T925" s="53"/>
      <c r="U925" s="53"/>
      <c r="V925" s="53"/>
      <c r="W925" s="53"/>
      <c r="X925" s="53"/>
      <c r="Y925" s="53"/>
      <c r="Z925" s="53"/>
    </row>
    <row r="926" spans="1:26" ht="13.5" customHeight="1">
      <c r="A926" s="53"/>
      <c r="B926" s="53"/>
      <c r="C926" s="53"/>
      <c r="D926" s="53"/>
      <c r="E926" s="53"/>
      <c r="F926" s="53"/>
      <c r="G926" s="53"/>
      <c r="H926" s="53"/>
      <c r="I926" s="53"/>
      <c r="J926" s="53"/>
      <c r="K926" s="53"/>
      <c r="L926" s="53"/>
      <c r="M926" s="53"/>
      <c r="N926" s="53"/>
      <c r="O926" s="53"/>
      <c r="P926" s="53"/>
      <c r="Q926" s="53"/>
      <c r="R926" s="53"/>
      <c r="S926" s="53"/>
      <c r="T926" s="53"/>
      <c r="U926" s="53"/>
      <c r="V926" s="53"/>
      <c r="W926" s="53"/>
      <c r="X926" s="53"/>
      <c r="Y926" s="53"/>
      <c r="Z926" s="53"/>
    </row>
    <row r="927" spans="1:26" ht="13.5" customHeight="1">
      <c r="A927" s="53"/>
      <c r="B927" s="53"/>
      <c r="C927" s="53"/>
      <c r="D927" s="53"/>
      <c r="E927" s="53"/>
      <c r="F927" s="53"/>
      <c r="G927" s="53"/>
      <c r="H927" s="53"/>
      <c r="I927" s="53"/>
      <c r="J927" s="53"/>
      <c r="K927" s="53"/>
      <c r="L927" s="53"/>
      <c r="M927" s="53"/>
      <c r="N927" s="53"/>
      <c r="O927" s="53"/>
      <c r="P927" s="53"/>
      <c r="Q927" s="53"/>
      <c r="R927" s="53"/>
      <c r="S927" s="53"/>
      <c r="T927" s="53"/>
      <c r="U927" s="53"/>
      <c r="V927" s="53"/>
      <c r="W927" s="53"/>
      <c r="X927" s="53"/>
      <c r="Y927" s="53"/>
      <c r="Z927" s="53"/>
    </row>
    <row r="928" spans="1:26" ht="13.5" customHeight="1">
      <c r="A928" s="53"/>
      <c r="B928" s="53"/>
      <c r="C928" s="53"/>
      <c r="D928" s="53"/>
      <c r="E928" s="53"/>
      <c r="F928" s="53"/>
      <c r="G928" s="53"/>
      <c r="H928" s="53"/>
      <c r="I928" s="53"/>
      <c r="J928" s="53"/>
      <c r="K928" s="53"/>
      <c r="L928" s="53"/>
      <c r="M928" s="53"/>
      <c r="N928" s="53"/>
      <c r="O928" s="53"/>
      <c r="P928" s="53"/>
      <c r="Q928" s="53"/>
      <c r="R928" s="53"/>
      <c r="S928" s="53"/>
      <c r="T928" s="53"/>
      <c r="U928" s="53"/>
      <c r="V928" s="53"/>
      <c r="W928" s="53"/>
      <c r="X928" s="53"/>
      <c r="Y928" s="53"/>
      <c r="Z928" s="53"/>
    </row>
    <row r="929" spans="1:26" ht="13.5" customHeight="1">
      <c r="A929" s="53"/>
      <c r="B929" s="53"/>
      <c r="C929" s="53"/>
      <c r="D929" s="53"/>
      <c r="E929" s="53"/>
      <c r="F929" s="53"/>
      <c r="G929" s="53"/>
      <c r="H929" s="53"/>
      <c r="I929" s="53"/>
      <c r="J929" s="53"/>
      <c r="K929" s="53"/>
      <c r="L929" s="53"/>
      <c r="M929" s="53"/>
      <c r="N929" s="53"/>
      <c r="O929" s="53"/>
      <c r="P929" s="53"/>
      <c r="Q929" s="53"/>
      <c r="R929" s="53"/>
      <c r="S929" s="53"/>
      <c r="T929" s="53"/>
      <c r="U929" s="53"/>
      <c r="V929" s="53"/>
      <c r="W929" s="53"/>
      <c r="X929" s="53"/>
      <c r="Y929" s="53"/>
      <c r="Z929" s="53"/>
    </row>
    <row r="930" spans="1:26" ht="13.5" customHeight="1">
      <c r="A930" s="53"/>
      <c r="B930" s="53"/>
      <c r="C930" s="53"/>
      <c r="D930" s="53"/>
      <c r="E930" s="53"/>
      <c r="F930" s="53"/>
      <c r="G930" s="53"/>
      <c r="H930" s="53"/>
      <c r="I930" s="53"/>
      <c r="J930" s="53"/>
      <c r="K930" s="53"/>
      <c r="L930" s="53"/>
      <c r="M930" s="53"/>
      <c r="N930" s="53"/>
      <c r="O930" s="53"/>
      <c r="P930" s="53"/>
      <c r="Q930" s="53"/>
      <c r="R930" s="53"/>
      <c r="S930" s="53"/>
      <c r="T930" s="53"/>
      <c r="U930" s="53"/>
      <c r="V930" s="53"/>
      <c r="W930" s="53"/>
      <c r="X930" s="53"/>
      <c r="Y930" s="53"/>
      <c r="Z930" s="53"/>
    </row>
    <row r="931" spans="1:26" ht="13.5" customHeight="1">
      <c r="A931" s="53"/>
      <c r="B931" s="53"/>
      <c r="C931" s="53"/>
      <c r="D931" s="53"/>
      <c r="E931" s="53"/>
      <c r="F931" s="53"/>
      <c r="G931" s="53"/>
      <c r="H931" s="53"/>
      <c r="I931" s="53"/>
      <c r="J931" s="53"/>
      <c r="K931" s="53"/>
      <c r="L931" s="53"/>
      <c r="M931" s="53"/>
      <c r="N931" s="53"/>
      <c r="O931" s="53"/>
      <c r="P931" s="53"/>
      <c r="Q931" s="53"/>
      <c r="R931" s="53"/>
      <c r="S931" s="53"/>
      <c r="T931" s="53"/>
      <c r="U931" s="53"/>
      <c r="V931" s="53"/>
      <c r="W931" s="53"/>
      <c r="X931" s="53"/>
      <c r="Y931" s="53"/>
      <c r="Z931" s="53"/>
    </row>
    <row r="932" spans="1:26" ht="13.5" customHeight="1">
      <c r="A932" s="53"/>
      <c r="B932" s="53"/>
      <c r="C932" s="53"/>
      <c r="D932" s="53"/>
      <c r="E932" s="53"/>
      <c r="F932" s="53"/>
      <c r="G932" s="53"/>
      <c r="H932" s="53"/>
      <c r="I932" s="53"/>
      <c r="J932" s="53"/>
      <c r="K932" s="53"/>
      <c r="L932" s="53"/>
      <c r="M932" s="53"/>
      <c r="N932" s="53"/>
      <c r="O932" s="53"/>
      <c r="P932" s="53"/>
      <c r="Q932" s="53"/>
      <c r="R932" s="53"/>
      <c r="S932" s="53"/>
      <c r="T932" s="53"/>
      <c r="U932" s="53"/>
      <c r="V932" s="53"/>
      <c r="W932" s="53"/>
      <c r="X932" s="53"/>
      <c r="Y932" s="53"/>
      <c r="Z932" s="53"/>
    </row>
    <row r="933" spans="1:26" ht="13.5" customHeight="1">
      <c r="A933" s="53"/>
      <c r="B933" s="53"/>
      <c r="C933" s="53"/>
      <c r="D933" s="53"/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3"/>
      <c r="P933" s="53"/>
      <c r="Q933" s="53"/>
      <c r="R933" s="53"/>
      <c r="S933" s="53"/>
      <c r="T933" s="53"/>
      <c r="U933" s="53"/>
      <c r="V933" s="53"/>
      <c r="W933" s="53"/>
      <c r="X933" s="53"/>
      <c r="Y933" s="53"/>
      <c r="Z933" s="53"/>
    </row>
    <row r="934" spans="1:26" ht="13.5" customHeight="1">
      <c r="A934" s="53"/>
      <c r="B934" s="53"/>
      <c r="C934" s="53"/>
      <c r="D934" s="53"/>
      <c r="E934" s="53"/>
      <c r="F934" s="53"/>
      <c r="G934" s="53"/>
      <c r="H934" s="53"/>
      <c r="I934" s="53"/>
      <c r="J934" s="53"/>
      <c r="K934" s="53"/>
      <c r="L934" s="53"/>
      <c r="M934" s="53"/>
      <c r="N934" s="53"/>
      <c r="O934" s="53"/>
      <c r="P934" s="53"/>
      <c r="Q934" s="53"/>
      <c r="R934" s="53"/>
      <c r="S934" s="53"/>
      <c r="T934" s="53"/>
      <c r="U934" s="53"/>
      <c r="V934" s="53"/>
      <c r="W934" s="53"/>
      <c r="X934" s="53"/>
      <c r="Y934" s="53"/>
      <c r="Z934" s="53"/>
    </row>
    <row r="935" spans="1:26" ht="13.5" customHeight="1">
      <c r="A935" s="53"/>
      <c r="B935" s="53"/>
      <c r="C935" s="53"/>
      <c r="D935" s="53"/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3"/>
      <c r="P935" s="53"/>
      <c r="Q935" s="53"/>
      <c r="R935" s="53"/>
      <c r="S935" s="53"/>
      <c r="T935" s="53"/>
      <c r="U935" s="53"/>
      <c r="V935" s="53"/>
      <c r="W935" s="53"/>
      <c r="X935" s="53"/>
      <c r="Y935" s="53"/>
      <c r="Z935" s="53"/>
    </row>
    <row r="936" spans="1:26" ht="13.5" customHeight="1">
      <c r="A936" s="53"/>
      <c r="B936" s="53"/>
      <c r="C936" s="53"/>
      <c r="D936" s="53"/>
      <c r="E936" s="53"/>
      <c r="F936" s="53"/>
      <c r="G936" s="53"/>
      <c r="H936" s="53"/>
      <c r="I936" s="53"/>
      <c r="J936" s="53"/>
      <c r="K936" s="53"/>
      <c r="L936" s="53"/>
      <c r="M936" s="53"/>
      <c r="N936" s="53"/>
      <c r="O936" s="53"/>
      <c r="P936" s="53"/>
      <c r="Q936" s="53"/>
      <c r="R936" s="53"/>
      <c r="S936" s="53"/>
      <c r="T936" s="53"/>
      <c r="U936" s="53"/>
      <c r="V936" s="53"/>
      <c r="W936" s="53"/>
      <c r="X936" s="53"/>
      <c r="Y936" s="53"/>
      <c r="Z936" s="53"/>
    </row>
    <row r="937" spans="1:26" ht="13.5" customHeight="1">
      <c r="A937" s="53"/>
      <c r="B937" s="53"/>
      <c r="C937" s="53"/>
      <c r="D937" s="53"/>
      <c r="E937" s="53"/>
      <c r="F937" s="53"/>
      <c r="G937" s="53"/>
      <c r="H937" s="53"/>
      <c r="I937" s="53"/>
      <c r="J937" s="53"/>
      <c r="K937" s="53"/>
      <c r="L937" s="53"/>
      <c r="M937" s="53"/>
      <c r="N937" s="53"/>
      <c r="O937" s="53"/>
      <c r="P937" s="53"/>
      <c r="Q937" s="53"/>
      <c r="R937" s="53"/>
      <c r="S937" s="53"/>
      <c r="T937" s="53"/>
      <c r="U937" s="53"/>
      <c r="V937" s="53"/>
      <c r="W937" s="53"/>
      <c r="X937" s="53"/>
      <c r="Y937" s="53"/>
      <c r="Z937" s="53"/>
    </row>
    <row r="938" spans="1:26" ht="13.5" customHeight="1">
      <c r="A938" s="53"/>
      <c r="B938" s="53"/>
      <c r="C938" s="53"/>
      <c r="D938" s="53"/>
      <c r="E938" s="53"/>
      <c r="F938" s="53"/>
      <c r="G938" s="53"/>
      <c r="H938" s="53"/>
      <c r="I938" s="53"/>
      <c r="J938" s="53"/>
      <c r="K938" s="53"/>
      <c r="L938" s="53"/>
      <c r="M938" s="53"/>
      <c r="N938" s="53"/>
      <c r="O938" s="53"/>
      <c r="P938" s="53"/>
      <c r="Q938" s="53"/>
      <c r="R938" s="53"/>
      <c r="S938" s="53"/>
      <c r="T938" s="53"/>
      <c r="U938" s="53"/>
      <c r="V938" s="53"/>
      <c r="W938" s="53"/>
      <c r="X938" s="53"/>
      <c r="Y938" s="53"/>
      <c r="Z938" s="53"/>
    </row>
    <row r="939" spans="1:26" ht="13.5" customHeight="1">
      <c r="A939" s="53"/>
      <c r="B939" s="53"/>
      <c r="C939" s="53"/>
      <c r="D939" s="53"/>
      <c r="E939" s="53"/>
      <c r="F939" s="53"/>
      <c r="G939" s="53"/>
      <c r="H939" s="53"/>
      <c r="I939" s="53"/>
      <c r="J939" s="53"/>
      <c r="K939" s="53"/>
      <c r="L939" s="53"/>
      <c r="M939" s="53"/>
      <c r="N939" s="53"/>
      <c r="O939" s="53"/>
      <c r="P939" s="53"/>
      <c r="Q939" s="53"/>
      <c r="R939" s="53"/>
      <c r="S939" s="53"/>
      <c r="T939" s="53"/>
      <c r="U939" s="53"/>
      <c r="V939" s="53"/>
      <c r="W939" s="53"/>
      <c r="X939" s="53"/>
      <c r="Y939" s="53"/>
      <c r="Z939" s="53"/>
    </row>
    <row r="940" spans="1:26" ht="13.5" customHeight="1">
      <c r="A940" s="53"/>
      <c r="B940" s="53"/>
      <c r="C940" s="53"/>
      <c r="D940" s="53"/>
      <c r="E940" s="53"/>
      <c r="F940" s="53"/>
      <c r="G940" s="53"/>
      <c r="H940" s="53"/>
      <c r="I940" s="53"/>
      <c r="J940" s="53"/>
      <c r="K940" s="53"/>
      <c r="L940" s="53"/>
      <c r="M940" s="53"/>
      <c r="N940" s="53"/>
      <c r="O940" s="53"/>
      <c r="P940" s="53"/>
      <c r="Q940" s="53"/>
      <c r="R940" s="53"/>
      <c r="S940" s="53"/>
      <c r="T940" s="53"/>
      <c r="U940" s="53"/>
      <c r="V940" s="53"/>
      <c r="W940" s="53"/>
      <c r="X940" s="53"/>
      <c r="Y940" s="53"/>
      <c r="Z940" s="53"/>
    </row>
    <row r="941" spans="1:26" ht="13.5" customHeight="1">
      <c r="A941" s="53"/>
      <c r="B941" s="53"/>
      <c r="C941" s="53"/>
      <c r="D941" s="53"/>
      <c r="E941" s="53"/>
      <c r="F941" s="53"/>
      <c r="G941" s="53"/>
      <c r="H941" s="53"/>
      <c r="I941" s="53"/>
      <c r="J941" s="53"/>
      <c r="K941" s="53"/>
      <c r="L941" s="53"/>
      <c r="M941" s="53"/>
      <c r="N941" s="53"/>
      <c r="O941" s="53"/>
      <c r="P941" s="53"/>
      <c r="Q941" s="53"/>
      <c r="R941" s="53"/>
      <c r="S941" s="53"/>
      <c r="T941" s="53"/>
      <c r="U941" s="53"/>
      <c r="V941" s="53"/>
      <c r="W941" s="53"/>
      <c r="X941" s="53"/>
      <c r="Y941" s="53"/>
      <c r="Z941" s="53"/>
    </row>
    <row r="942" spans="1:26" ht="13.5" customHeight="1">
      <c r="A942" s="53"/>
      <c r="B942" s="53"/>
      <c r="C942" s="53"/>
      <c r="D942" s="53"/>
      <c r="E942" s="53"/>
      <c r="F942" s="53"/>
      <c r="G942" s="53"/>
      <c r="H942" s="53"/>
      <c r="I942" s="53"/>
      <c r="J942" s="53"/>
      <c r="K942" s="53"/>
      <c r="L942" s="53"/>
      <c r="M942" s="53"/>
      <c r="N942" s="53"/>
      <c r="O942" s="53"/>
      <c r="P942" s="53"/>
      <c r="Q942" s="53"/>
      <c r="R942" s="53"/>
      <c r="S942" s="53"/>
      <c r="T942" s="53"/>
      <c r="U942" s="53"/>
      <c r="V942" s="53"/>
      <c r="W942" s="53"/>
      <c r="X942" s="53"/>
      <c r="Y942" s="53"/>
      <c r="Z942" s="53"/>
    </row>
    <row r="943" spans="1:26" ht="13.5" customHeight="1">
      <c r="A943" s="53"/>
      <c r="B943" s="53"/>
      <c r="C943" s="53"/>
      <c r="D943" s="53"/>
      <c r="E943" s="53"/>
      <c r="F943" s="53"/>
      <c r="G943" s="53"/>
      <c r="H943" s="53"/>
      <c r="I943" s="53"/>
      <c r="J943" s="53"/>
      <c r="K943" s="53"/>
      <c r="L943" s="53"/>
      <c r="M943" s="53"/>
      <c r="N943" s="53"/>
      <c r="O943" s="53"/>
      <c r="P943" s="53"/>
      <c r="Q943" s="53"/>
      <c r="R943" s="53"/>
      <c r="S943" s="53"/>
      <c r="T943" s="53"/>
      <c r="U943" s="53"/>
      <c r="V943" s="53"/>
      <c r="W943" s="53"/>
      <c r="X943" s="53"/>
      <c r="Y943" s="53"/>
      <c r="Z943" s="53"/>
    </row>
    <row r="944" spans="1:26" ht="13.5" customHeight="1">
      <c r="A944" s="53"/>
      <c r="B944" s="53"/>
      <c r="C944" s="53"/>
      <c r="D944" s="53"/>
      <c r="E944" s="53"/>
      <c r="F944" s="53"/>
      <c r="G944" s="53"/>
      <c r="H944" s="53"/>
      <c r="I944" s="53"/>
      <c r="J944" s="53"/>
      <c r="K944" s="53"/>
      <c r="L944" s="53"/>
      <c r="M944" s="53"/>
      <c r="N944" s="53"/>
      <c r="O944" s="53"/>
      <c r="P944" s="53"/>
      <c r="Q944" s="53"/>
      <c r="R944" s="53"/>
      <c r="S944" s="53"/>
      <c r="T944" s="53"/>
      <c r="U944" s="53"/>
      <c r="V944" s="53"/>
      <c r="W944" s="53"/>
      <c r="X944" s="53"/>
      <c r="Y944" s="53"/>
      <c r="Z944" s="53"/>
    </row>
    <row r="945" spans="1:26" ht="13.5" customHeight="1">
      <c r="A945" s="53"/>
      <c r="B945" s="53"/>
      <c r="C945" s="53"/>
      <c r="D945" s="53"/>
      <c r="E945" s="53"/>
      <c r="F945" s="53"/>
      <c r="G945" s="53"/>
      <c r="H945" s="53"/>
      <c r="I945" s="53"/>
      <c r="J945" s="53"/>
      <c r="K945" s="53"/>
      <c r="L945" s="53"/>
      <c r="M945" s="53"/>
      <c r="N945" s="53"/>
      <c r="O945" s="53"/>
      <c r="P945" s="53"/>
      <c r="Q945" s="53"/>
      <c r="R945" s="53"/>
      <c r="S945" s="53"/>
      <c r="T945" s="53"/>
      <c r="U945" s="53"/>
      <c r="V945" s="53"/>
      <c r="W945" s="53"/>
      <c r="X945" s="53"/>
      <c r="Y945" s="53"/>
      <c r="Z945" s="53"/>
    </row>
    <row r="946" spans="1:26" ht="13.5" customHeight="1">
      <c r="A946" s="53"/>
      <c r="B946" s="53"/>
      <c r="C946" s="53"/>
      <c r="D946" s="53"/>
      <c r="E946" s="53"/>
      <c r="F946" s="53"/>
      <c r="G946" s="53"/>
      <c r="H946" s="53"/>
      <c r="I946" s="53"/>
      <c r="J946" s="53"/>
      <c r="K946" s="53"/>
      <c r="L946" s="53"/>
      <c r="M946" s="53"/>
      <c r="N946" s="53"/>
      <c r="O946" s="53"/>
      <c r="P946" s="53"/>
      <c r="Q946" s="53"/>
      <c r="R946" s="53"/>
      <c r="S946" s="53"/>
      <c r="T946" s="53"/>
      <c r="U946" s="53"/>
      <c r="V946" s="53"/>
      <c r="W946" s="53"/>
      <c r="X946" s="53"/>
      <c r="Y946" s="53"/>
      <c r="Z946" s="53"/>
    </row>
    <row r="947" spans="1:26" ht="13.5" customHeight="1">
      <c r="A947" s="53"/>
      <c r="B947" s="53"/>
      <c r="C947" s="53"/>
      <c r="D947" s="53"/>
      <c r="E947" s="53"/>
      <c r="F947" s="53"/>
      <c r="G947" s="53"/>
      <c r="H947" s="53"/>
      <c r="I947" s="53"/>
      <c r="J947" s="53"/>
      <c r="K947" s="53"/>
      <c r="L947" s="53"/>
      <c r="M947" s="53"/>
      <c r="N947" s="53"/>
      <c r="O947" s="53"/>
      <c r="P947" s="53"/>
      <c r="Q947" s="53"/>
      <c r="R947" s="53"/>
      <c r="S947" s="53"/>
      <c r="T947" s="53"/>
      <c r="U947" s="53"/>
      <c r="V947" s="53"/>
      <c r="W947" s="53"/>
      <c r="X947" s="53"/>
      <c r="Y947" s="53"/>
      <c r="Z947" s="53"/>
    </row>
    <row r="948" spans="1:26" ht="13.5" customHeight="1">
      <c r="A948" s="53"/>
      <c r="B948" s="53"/>
      <c r="C948" s="53"/>
      <c r="D948" s="53"/>
      <c r="E948" s="53"/>
      <c r="F948" s="53"/>
      <c r="G948" s="53"/>
      <c r="H948" s="53"/>
      <c r="I948" s="53"/>
      <c r="J948" s="53"/>
      <c r="K948" s="53"/>
      <c r="L948" s="53"/>
      <c r="M948" s="53"/>
      <c r="N948" s="53"/>
      <c r="O948" s="53"/>
      <c r="P948" s="53"/>
      <c r="Q948" s="53"/>
      <c r="R948" s="53"/>
      <c r="S948" s="53"/>
      <c r="T948" s="53"/>
      <c r="U948" s="53"/>
      <c r="V948" s="53"/>
      <c r="W948" s="53"/>
      <c r="X948" s="53"/>
      <c r="Y948" s="53"/>
      <c r="Z948" s="53"/>
    </row>
    <row r="949" spans="1:26" ht="13.5" customHeight="1">
      <c r="A949" s="53"/>
      <c r="B949" s="53"/>
      <c r="C949" s="53"/>
      <c r="D949" s="53"/>
      <c r="E949" s="53"/>
      <c r="F949" s="53"/>
      <c r="G949" s="53"/>
      <c r="H949" s="53"/>
      <c r="I949" s="53"/>
      <c r="J949" s="53"/>
      <c r="K949" s="53"/>
      <c r="L949" s="53"/>
      <c r="M949" s="53"/>
      <c r="N949" s="53"/>
      <c r="O949" s="53"/>
      <c r="P949" s="53"/>
      <c r="Q949" s="53"/>
      <c r="R949" s="53"/>
      <c r="S949" s="53"/>
      <c r="T949" s="53"/>
      <c r="U949" s="53"/>
      <c r="V949" s="53"/>
      <c r="W949" s="53"/>
      <c r="X949" s="53"/>
      <c r="Y949" s="53"/>
      <c r="Z949" s="53"/>
    </row>
    <row r="950" spans="1:26" ht="13.5" customHeight="1">
      <c r="A950" s="53"/>
      <c r="B950" s="53"/>
      <c r="C950" s="53"/>
      <c r="D950" s="53"/>
      <c r="E950" s="53"/>
      <c r="F950" s="53"/>
      <c r="G950" s="53"/>
      <c r="H950" s="53"/>
      <c r="I950" s="53"/>
      <c r="J950" s="53"/>
      <c r="K950" s="53"/>
      <c r="L950" s="53"/>
      <c r="M950" s="53"/>
      <c r="N950" s="53"/>
      <c r="O950" s="53"/>
      <c r="P950" s="53"/>
      <c r="Q950" s="53"/>
      <c r="R950" s="53"/>
      <c r="S950" s="53"/>
      <c r="T950" s="53"/>
      <c r="U950" s="53"/>
      <c r="V950" s="53"/>
      <c r="W950" s="53"/>
      <c r="X950" s="53"/>
      <c r="Y950" s="53"/>
      <c r="Z950" s="53"/>
    </row>
    <row r="951" spans="1:26" ht="13.5" customHeight="1">
      <c r="A951" s="53"/>
      <c r="B951" s="53"/>
      <c r="C951" s="53"/>
      <c r="D951" s="53"/>
      <c r="E951" s="53"/>
      <c r="F951" s="53"/>
      <c r="G951" s="53"/>
      <c r="H951" s="53"/>
      <c r="I951" s="53"/>
      <c r="J951" s="53"/>
      <c r="K951" s="53"/>
      <c r="L951" s="53"/>
      <c r="M951" s="53"/>
      <c r="N951" s="53"/>
      <c r="O951" s="53"/>
      <c r="P951" s="53"/>
      <c r="Q951" s="53"/>
      <c r="R951" s="53"/>
      <c r="S951" s="53"/>
      <c r="T951" s="53"/>
      <c r="U951" s="53"/>
      <c r="V951" s="53"/>
      <c r="W951" s="53"/>
      <c r="X951" s="53"/>
      <c r="Y951" s="53"/>
      <c r="Z951" s="53"/>
    </row>
    <row r="952" spans="1:26" ht="13.5" customHeight="1">
      <c r="A952" s="53"/>
      <c r="B952" s="53"/>
      <c r="C952" s="53"/>
      <c r="D952" s="53"/>
      <c r="E952" s="53"/>
      <c r="F952" s="53"/>
      <c r="G952" s="53"/>
      <c r="H952" s="53"/>
      <c r="I952" s="53"/>
      <c r="J952" s="53"/>
      <c r="K952" s="53"/>
      <c r="L952" s="53"/>
      <c r="M952" s="53"/>
      <c r="N952" s="53"/>
      <c r="O952" s="53"/>
      <c r="P952" s="53"/>
      <c r="Q952" s="53"/>
      <c r="R952" s="53"/>
      <c r="S952" s="53"/>
      <c r="T952" s="53"/>
      <c r="U952" s="53"/>
      <c r="V952" s="53"/>
      <c r="W952" s="53"/>
      <c r="X952" s="53"/>
      <c r="Y952" s="53"/>
      <c r="Z952" s="53"/>
    </row>
    <row r="953" spans="1:26" ht="13.5" customHeight="1">
      <c r="A953" s="53"/>
      <c r="B953" s="53"/>
      <c r="C953" s="53"/>
      <c r="D953" s="53"/>
      <c r="E953" s="53"/>
      <c r="F953" s="53"/>
      <c r="G953" s="53"/>
      <c r="H953" s="53"/>
      <c r="I953" s="53"/>
      <c r="J953" s="53"/>
      <c r="K953" s="53"/>
      <c r="L953" s="53"/>
      <c r="M953" s="53"/>
      <c r="N953" s="53"/>
      <c r="O953" s="53"/>
      <c r="P953" s="53"/>
      <c r="Q953" s="53"/>
      <c r="R953" s="53"/>
      <c r="S953" s="53"/>
      <c r="T953" s="53"/>
      <c r="U953" s="53"/>
      <c r="V953" s="53"/>
      <c r="W953" s="53"/>
      <c r="X953" s="53"/>
      <c r="Y953" s="53"/>
      <c r="Z953" s="53"/>
    </row>
    <row r="954" spans="1:26" ht="13.5" customHeight="1">
      <c r="A954" s="53"/>
      <c r="B954" s="53"/>
      <c r="C954" s="53"/>
      <c r="D954" s="53"/>
      <c r="E954" s="53"/>
      <c r="F954" s="53"/>
      <c r="G954" s="53"/>
      <c r="H954" s="53"/>
      <c r="I954" s="53"/>
      <c r="J954" s="53"/>
      <c r="K954" s="53"/>
      <c r="L954" s="53"/>
      <c r="M954" s="53"/>
      <c r="N954" s="53"/>
      <c r="O954" s="53"/>
      <c r="P954" s="53"/>
      <c r="Q954" s="53"/>
      <c r="R954" s="53"/>
      <c r="S954" s="53"/>
      <c r="T954" s="53"/>
      <c r="U954" s="53"/>
      <c r="V954" s="53"/>
      <c r="W954" s="53"/>
      <c r="X954" s="53"/>
      <c r="Y954" s="53"/>
      <c r="Z954" s="53"/>
    </row>
    <row r="955" spans="1:26" ht="13.5" customHeight="1">
      <c r="A955" s="53"/>
      <c r="B955" s="53"/>
      <c r="C955" s="53"/>
      <c r="D955" s="53"/>
      <c r="E955" s="53"/>
      <c r="F955" s="53"/>
      <c r="G955" s="53"/>
      <c r="H955" s="53"/>
      <c r="I955" s="53"/>
      <c r="J955" s="53"/>
      <c r="K955" s="53"/>
      <c r="L955" s="53"/>
      <c r="M955" s="53"/>
      <c r="N955" s="53"/>
      <c r="O955" s="53"/>
      <c r="P955" s="53"/>
      <c r="Q955" s="53"/>
      <c r="R955" s="53"/>
      <c r="S955" s="53"/>
      <c r="T955" s="53"/>
      <c r="U955" s="53"/>
      <c r="V955" s="53"/>
      <c r="W955" s="53"/>
      <c r="X955" s="53"/>
      <c r="Y955" s="53"/>
      <c r="Z955" s="53"/>
    </row>
    <row r="956" spans="1:26" ht="13.5" customHeight="1">
      <c r="A956" s="53"/>
      <c r="B956" s="53"/>
      <c r="C956" s="53"/>
      <c r="D956" s="53"/>
      <c r="E956" s="53"/>
      <c r="F956" s="53"/>
      <c r="G956" s="53"/>
      <c r="H956" s="53"/>
      <c r="I956" s="53"/>
      <c r="J956" s="53"/>
      <c r="K956" s="53"/>
      <c r="L956" s="53"/>
      <c r="M956" s="53"/>
      <c r="N956" s="53"/>
      <c r="O956" s="53"/>
      <c r="P956" s="53"/>
      <c r="Q956" s="53"/>
      <c r="R956" s="53"/>
      <c r="S956" s="53"/>
      <c r="T956" s="53"/>
      <c r="U956" s="53"/>
      <c r="V956" s="53"/>
      <c r="W956" s="53"/>
      <c r="X956" s="53"/>
      <c r="Y956" s="53"/>
      <c r="Z956" s="53"/>
    </row>
    <row r="957" spans="1:26" ht="13.5" customHeight="1">
      <c r="A957" s="53"/>
      <c r="B957" s="53"/>
      <c r="C957" s="53"/>
      <c r="D957" s="53"/>
      <c r="E957" s="53"/>
      <c r="F957" s="53"/>
      <c r="G957" s="53"/>
      <c r="H957" s="53"/>
      <c r="I957" s="53"/>
      <c r="J957" s="53"/>
      <c r="K957" s="53"/>
      <c r="L957" s="53"/>
      <c r="M957" s="53"/>
      <c r="N957" s="53"/>
      <c r="O957" s="53"/>
      <c r="P957" s="53"/>
      <c r="Q957" s="53"/>
      <c r="R957" s="53"/>
      <c r="S957" s="53"/>
      <c r="T957" s="53"/>
      <c r="U957" s="53"/>
      <c r="V957" s="53"/>
      <c r="W957" s="53"/>
      <c r="X957" s="53"/>
      <c r="Y957" s="53"/>
      <c r="Z957" s="53"/>
    </row>
    <row r="958" spans="1:26" ht="13.5" customHeight="1">
      <c r="A958" s="53"/>
      <c r="B958" s="53"/>
      <c r="C958" s="53"/>
      <c r="D958" s="53"/>
      <c r="E958" s="53"/>
      <c r="F958" s="53"/>
      <c r="G958" s="53"/>
      <c r="H958" s="53"/>
      <c r="I958" s="53"/>
      <c r="J958" s="53"/>
      <c r="K958" s="53"/>
      <c r="L958" s="53"/>
      <c r="M958" s="53"/>
      <c r="N958" s="53"/>
      <c r="O958" s="53"/>
      <c r="P958" s="53"/>
      <c r="Q958" s="53"/>
      <c r="R958" s="53"/>
      <c r="S958" s="53"/>
      <c r="T958" s="53"/>
      <c r="U958" s="53"/>
      <c r="V958" s="53"/>
      <c r="W958" s="53"/>
      <c r="X958" s="53"/>
      <c r="Y958" s="53"/>
      <c r="Z958" s="53"/>
    </row>
    <row r="959" spans="1:26" ht="13.5" customHeight="1">
      <c r="A959" s="53"/>
      <c r="B959" s="53"/>
      <c r="C959" s="53"/>
      <c r="D959" s="53"/>
      <c r="E959" s="53"/>
      <c r="F959" s="53"/>
      <c r="G959" s="53"/>
      <c r="H959" s="53"/>
      <c r="I959" s="53"/>
      <c r="J959" s="53"/>
      <c r="K959" s="53"/>
      <c r="L959" s="53"/>
      <c r="M959" s="53"/>
      <c r="N959" s="53"/>
      <c r="O959" s="53"/>
      <c r="P959" s="53"/>
      <c r="Q959" s="53"/>
      <c r="R959" s="53"/>
      <c r="S959" s="53"/>
      <c r="T959" s="53"/>
      <c r="U959" s="53"/>
      <c r="V959" s="53"/>
      <c r="W959" s="53"/>
      <c r="X959" s="53"/>
      <c r="Y959" s="53"/>
      <c r="Z959" s="53"/>
    </row>
    <row r="960" spans="1:26" ht="13.5" customHeight="1">
      <c r="A960" s="53"/>
      <c r="B960" s="53"/>
      <c r="C960" s="53"/>
      <c r="D960" s="53"/>
      <c r="E960" s="53"/>
      <c r="F960" s="53"/>
      <c r="G960" s="53"/>
      <c r="H960" s="53"/>
      <c r="I960" s="53"/>
      <c r="J960" s="53"/>
      <c r="K960" s="53"/>
      <c r="L960" s="53"/>
      <c r="M960" s="53"/>
      <c r="N960" s="53"/>
      <c r="O960" s="53"/>
      <c r="P960" s="53"/>
      <c r="Q960" s="53"/>
      <c r="R960" s="53"/>
      <c r="S960" s="53"/>
      <c r="T960" s="53"/>
      <c r="U960" s="53"/>
      <c r="V960" s="53"/>
      <c r="W960" s="53"/>
      <c r="X960" s="53"/>
      <c r="Y960" s="53"/>
      <c r="Z960" s="53"/>
    </row>
    <row r="961" spans="1:26" ht="13.5" customHeight="1">
      <c r="A961" s="53"/>
      <c r="B961" s="53"/>
      <c r="C961" s="53"/>
      <c r="D961" s="53"/>
      <c r="E961" s="53"/>
      <c r="F961" s="53"/>
      <c r="G961" s="53"/>
      <c r="H961" s="53"/>
      <c r="I961" s="53"/>
      <c r="J961" s="53"/>
      <c r="K961" s="53"/>
      <c r="L961" s="53"/>
      <c r="M961" s="53"/>
      <c r="N961" s="53"/>
      <c r="O961" s="53"/>
      <c r="P961" s="53"/>
      <c r="Q961" s="53"/>
      <c r="R961" s="53"/>
      <c r="S961" s="53"/>
      <c r="T961" s="53"/>
      <c r="U961" s="53"/>
      <c r="V961" s="53"/>
      <c r="W961" s="53"/>
      <c r="X961" s="53"/>
      <c r="Y961" s="53"/>
      <c r="Z961" s="53"/>
    </row>
    <row r="962" spans="1:26" ht="13.5" customHeight="1">
      <c r="A962" s="53"/>
      <c r="B962" s="53"/>
      <c r="C962" s="53"/>
      <c r="D962" s="53"/>
      <c r="E962" s="53"/>
      <c r="F962" s="53"/>
      <c r="G962" s="53"/>
      <c r="H962" s="53"/>
      <c r="I962" s="53"/>
      <c r="J962" s="53"/>
      <c r="K962" s="53"/>
      <c r="L962" s="53"/>
      <c r="M962" s="53"/>
      <c r="N962" s="53"/>
      <c r="O962" s="53"/>
      <c r="P962" s="53"/>
      <c r="Q962" s="53"/>
      <c r="R962" s="53"/>
      <c r="S962" s="53"/>
      <c r="T962" s="53"/>
      <c r="U962" s="53"/>
      <c r="V962" s="53"/>
      <c r="W962" s="53"/>
      <c r="X962" s="53"/>
      <c r="Y962" s="53"/>
      <c r="Z962" s="53"/>
    </row>
    <row r="963" spans="1:26" ht="13.5" customHeight="1">
      <c r="A963" s="53"/>
      <c r="B963" s="53"/>
      <c r="C963" s="53"/>
      <c r="D963" s="53"/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3"/>
      <c r="P963" s="53"/>
      <c r="Q963" s="53"/>
      <c r="R963" s="53"/>
      <c r="S963" s="53"/>
      <c r="T963" s="53"/>
      <c r="U963" s="53"/>
      <c r="V963" s="53"/>
      <c r="W963" s="53"/>
      <c r="X963" s="53"/>
      <c r="Y963" s="53"/>
      <c r="Z963" s="53"/>
    </row>
    <row r="964" spans="1:26" ht="13.5" customHeight="1">
      <c r="A964" s="53"/>
      <c r="B964" s="53"/>
      <c r="C964" s="53"/>
      <c r="D964" s="53"/>
      <c r="E964" s="53"/>
      <c r="F964" s="53"/>
      <c r="G964" s="53"/>
      <c r="H964" s="53"/>
      <c r="I964" s="53"/>
      <c r="J964" s="53"/>
      <c r="K964" s="53"/>
      <c r="L964" s="53"/>
      <c r="M964" s="53"/>
      <c r="N964" s="53"/>
      <c r="O964" s="53"/>
      <c r="P964" s="53"/>
      <c r="Q964" s="53"/>
      <c r="R964" s="53"/>
      <c r="S964" s="53"/>
      <c r="T964" s="53"/>
      <c r="U964" s="53"/>
      <c r="V964" s="53"/>
      <c r="W964" s="53"/>
      <c r="X964" s="53"/>
      <c r="Y964" s="53"/>
      <c r="Z964" s="53"/>
    </row>
    <row r="965" spans="1:26" ht="13.5" customHeight="1">
      <c r="A965" s="53"/>
      <c r="B965" s="53"/>
      <c r="C965" s="53"/>
      <c r="D965" s="53"/>
      <c r="E965" s="53"/>
      <c r="F965" s="53"/>
      <c r="G965" s="53"/>
      <c r="H965" s="53"/>
      <c r="I965" s="53"/>
      <c r="J965" s="53"/>
      <c r="K965" s="53"/>
      <c r="L965" s="53"/>
      <c r="M965" s="53"/>
      <c r="N965" s="53"/>
      <c r="O965" s="53"/>
      <c r="P965" s="53"/>
      <c r="Q965" s="53"/>
      <c r="R965" s="53"/>
      <c r="S965" s="53"/>
      <c r="T965" s="53"/>
      <c r="U965" s="53"/>
      <c r="V965" s="53"/>
      <c r="W965" s="53"/>
      <c r="X965" s="53"/>
      <c r="Y965" s="53"/>
      <c r="Z965" s="53"/>
    </row>
    <row r="966" spans="1:26" ht="13.5" customHeight="1">
      <c r="A966" s="53"/>
      <c r="B966" s="53"/>
      <c r="C966" s="53"/>
      <c r="D966" s="53"/>
      <c r="E966" s="53"/>
      <c r="F966" s="53"/>
      <c r="G966" s="53"/>
      <c r="H966" s="53"/>
      <c r="I966" s="53"/>
      <c r="J966" s="53"/>
      <c r="K966" s="53"/>
      <c r="L966" s="53"/>
      <c r="M966" s="53"/>
      <c r="N966" s="53"/>
      <c r="O966" s="53"/>
      <c r="P966" s="53"/>
      <c r="Q966" s="53"/>
      <c r="R966" s="53"/>
      <c r="S966" s="53"/>
      <c r="T966" s="53"/>
      <c r="U966" s="53"/>
      <c r="V966" s="53"/>
      <c r="W966" s="53"/>
      <c r="X966" s="53"/>
      <c r="Y966" s="53"/>
      <c r="Z966" s="53"/>
    </row>
    <row r="967" spans="1:26" ht="13.5" customHeight="1">
      <c r="A967" s="53"/>
      <c r="B967" s="53"/>
      <c r="C967" s="53"/>
      <c r="D967" s="53"/>
      <c r="E967" s="53"/>
      <c r="F967" s="53"/>
      <c r="G967" s="53"/>
      <c r="H967" s="53"/>
      <c r="I967" s="53"/>
      <c r="J967" s="53"/>
      <c r="K967" s="53"/>
      <c r="L967" s="53"/>
      <c r="M967" s="53"/>
      <c r="N967" s="53"/>
      <c r="O967" s="53"/>
      <c r="P967" s="53"/>
      <c r="Q967" s="53"/>
      <c r="R967" s="53"/>
      <c r="S967" s="53"/>
      <c r="T967" s="53"/>
      <c r="U967" s="53"/>
      <c r="V967" s="53"/>
      <c r="W967" s="53"/>
      <c r="X967" s="53"/>
      <c r="Y967" s="53"/>
      <c r="Z967" s="53"/>
    </row>
    <row r="968" spans="1:26" ht="13.5" customHeight="1">
      <c r="A968" s="53"/>
      <c r="B968" s="53"/>
      <c r="C968" s="53"/>
      <c r="D968" s="53"/>
      <c r="E968" s="53"/>
      <c r="F968" s="53"/>
      <c r="G968" s="53"/>
      <c r="H968" s="53"/>
      <c r="I968" s="53"/>
      <c r="J968" s="53"/>
      <c r="K968" s="53"/>
      <c r="L968" s="53"/>
      <c r="M968" s="53"/>
      <c r="N968" s="53"/>
      <c r="O968" s="53"/>
      <c r="P968" s="53"/>
      <c r="Q968" s="53"/>
      <c r="R968" s="53"/>
      <c r="S968" s="53"/>
      <c r="T968" s="53"/>
      <c r="U968" s="53"/>
      <c r="V968" s="53"/>
      <c r="W968" s="53"/>
      <c r="X968" s="53"/>
      <c r="Y968" s="53"/>
      <c r="Z968" s="53"/>
    </row>
    <row r="969" spans="1:26" ht="13.5" customHeight="1">
      <c r="A969" s="53"/>
      <c r="B969" s="53"/>
      <c r="C969" s="53"/>
      <c r="D969" s="53"/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3"/>
      <c r="P969" s="53"/>
      <c r="Q969" s="53"/>
      <c r="R969" s="53"/>
      <c r="S969" s="53"/>
      <c r="T969" s="53"/>
      <c r="U969" s="53"/>
      <c r="V969" s="53"/>
      <c r="W969" s="53"/>
      <c r="X969" s="53"/>
      <c r="Y969" s="53"/>
      <c r="Z969" s="53"/>
    </row>
    <row r="970" spans="1:26" ht="13.5" customHeight="1">
      <c r="A970" s="53"/>
      <c r="B970" s="53"/>
      <c r="C970" s="53"/>
      <c r="D970" s="53"/>
      <c r="E970" s="53"/>
      <c r="F970" s="53"/>
      <c r="G970" s="53"/>
      <c r="H970" s="53"/>
      <c r="I970" s="53"/>
      <c r="J970" s="53"/>
      <c r="K970" s="53"/>
      <c r="L970" s="53"/>
      <c r="M970" s="53"/>
      <c r="N970" s="53"/>
      <c r="O970" s="53"/>
      <c r="P970" s="53"/>
      <c r="Q970" s="53"/>
      <c r="R970" s="53"/>
      <c r="S970" s="53"/>
      <c r="T970" s="53"/>
      <c r="U970" s="53"/>
      <c r="V970" s="53"/>
      <c r="W970" s="53"/>
      <c r="X970" s="53"/>
      <c r="Y970" s="53"/>
      <c r="Z970" s="53"/>
    </row>
    <row r="971" spans="1:26" ht="13.5" customHeight="1">
      <c r="A971" s="53"/>
      <c r="B971" s="53"/>
      <c r="C971" s="53"/>
      <c r="D971" s="53"/>
      <c r="E971" s="53"/>
      <c r="F971" s="53"/>
      <c r="G971" s="53"/>
      <c r="H971" s="53"/>
      <c r="I971" s="53"/>
      <c r="J971" s="53"/>
      <c r="K971" s="53"/>
      <c r="L971" s="53"/>
      <c r="M971" s="53"/>
      <c r="N971" s="53"/>
      <c r="O971" s="53"/>
      <c r="P971" s="53"/>
      <c r="Q971" s="53"/>
      <c r="R971" s="53"/>
      <c r="S971" s="53"/>
      <c r="T971" s="53"/>
      <c r="U971" s="53"/>
      <c r="V971" s="53"/>
      <c r="W971" s="53"/>
      <c r="X971" s="53"/>
      <c r="Y971" s="53"/>
      <c r="Z971" s="53"/>
    </row>
    <row r="972" spans="1:26" ht="13.5" customHeight="1">
      <c r="A972" s="53"/>
      <c r="B972" s="53"/>
      <c r="C972" s="53"/>
      <c r="D972" s="53"/>
      <c r="E972" s="53"/>
      <c r="F972" s="53"/>
      <c r="G972" s="53"/>
      <c r="H972" s="53"/>
      <c r="I972" s="53"/>
      <c r="J972" s="53"/>
      <c r="K972" s="53"/>
      <c r="L972" s="53"/>
      <c r="M972" s="53"/>
      <c r="N972" s="53"/>
      <c r="O972" s="53"/>
      <c r="P972" s="53"/>
      <c r="Q972" s="53"/>
      <c r="R972" s="53"/>
      <c r="S972" s="53"/>
      <c r="T972" s="53"/>
      <c r="U972" s="53"/>
      <c r="V972" s="53"/>
      <c r="W972" s="53"/>
      <c r="X972" s="53"/>
      <c r="Y972" s="53"/>
      <c r="Z972" s="53"/>
    </row>
    <row r="973" spans="1:26" ht="13.5" customHeight="1">
      <c r="A973" s="53"/>
      <c r="B973" s="53"/>
      <c r="C973" s="53"/>
      <c r="D973" s="53"/>
      <c r="E973" s="53"/>
      <c r="F973" s="53"/>
      <c r="G973" s="53"/>
      <c r="H973" s="53"/>
      <c r="I973" s="53"/>
      <c r="J973" s="53"/>
      <c r="K973" s="53"/>
      <c r="L973" s="53"/>
      <c r="M973" s="53"/>
      <c r="N973" s="53"/>
      <c r="O973" s="53"/>
      <c r="P973" s="53"/>
      <c r="Q973" s="53"/>
      <c r="R973" s="53"/>
      <c r="S973" s="53"/>
      <c r="T973" s="53"/>
      <c r="U973" s="53"/>
      <c r="V973" s="53"/>
      <c r="W973" s="53"/>
      <c r="X973" s="53"/>
      <c r="Y973" s="53"/>
      <c r="Z973" s="53"/>
    </row>
    <row r="974" spans="1:26" ht="13.5" customHeight="1">
      <c r="A974" s="53"/>
      <c r="B974" s="53"/>
      <c r="C974" s="53"/>
      <c r="D974" s="53"/>
      <c r="E974" s="53"/>
      <c r="F974" s="53"/>
      <c r="G974" s="53"/>
      <c r="H974" s="53"/>
      <c r="I974" s="53"/>
      <c r="J974" s="53"/>
      <c r="K974" s="53"/>
      <c r="L974" s="53"/>
      <c r="M974" s="53"/>
      <c r="N974" s="53"/>
      <c r="O974" s="53"/>
      <c r="P974" s="53"/>
      <c r="Q974" s="53"/>
      <c r="R974" s="53"/>
      <c r="S974" s="53"/>
      <c r="T974" s="53"/>
      <c r="U974" s="53"/>
      <c r="V974" s="53"/>
      <c r="W974" s="53"/>
      <c r="X974" s="53"/>
      <c r="Y974" s="53"/>
      <c r="Z974" s="53"/>
    </row>
    <row r="975" spans="1:26" ht="13.5" customHeight="1">
      <c r="A975" s="53"/>
      <c r="B975" s="53"/>
      <c r="C975" s="53"/>
      <c r="D975" s="53"/>
      <c r="E975" s="53"/>
      <c r="F975" s="53"/>
      <c r="G975" s="53"/>
      <c r="H975" s="53"/>
      <c r="I975" s="53"/>
      <c r="J975" s="53"/>
      <c r="K975" s="53"/>
      <c r="L975" s="53"/>
      <c r="M975" s="53"/>
      <c r="N975" s="53"/>
      <c r="O975" s="53"/>
      <c r="P975" s="53"/>
      <c r="Q975" s="53"/>
      <c r="R975" s="53"/>
      <c r="S975" s="53"/>
      <c r="T975" s="53"/>
      <c r="U975" s="53"/>
      <c r="V975" s="53"/>
      <c r="W975" s="53"/>
      <c r="X975" s="53"/>
      <c r="Y975" s="53"/>
      <c r="Z975" s="53"/>
    </row>
    <row r="976" spans="1:26" ht="13.5" customHeight="1">
      <c r="A976" s="53"/>
      <c r="B976" s="53"/>
      <c r="C976" s="53"/>
      <c r="D976" s="53"/>
      <c r="E976" s="53"/>
      <c r="F976" s="53"/>
      <c r="G976" s="53"/>
      <c r="H976" s="53"/>
      <c r="I976" s="53"/>
      <c r="J976" s="53"/>
      <c r="K976" s="53"/>
      <c r="L976" s="53"/>
      <c r="M976" s="53"/>
      <c r="N976" s="53"/>
      <c r="O976" s="53"/>
      <c r="P976" s="53"/>
      <c r="Q976" s="53"/>
      <c r="R976" s="53"/>
      <c r="S976" s="53"/>
      <c r="T976" s="53"/>
      <c r="U976" s="53"/>
      <c r="V976" s="53"/>
      <c r="W976" s="53"/>
      <c r="X976" s="53"/>
      <c r="Y976" s="53"/>
      <c r="Z976" s="53"/>
    </row>
    <row r="977" spans="1:26" ht="13.5" customHeight="1">
      <c r="A977" s="53"/>
      <c r="B977" s="53"/>
      <c r="C977" s="53"/>
      <c r="D977" s="53"/>
      <c r="E977" s="53"/>
      <c r="F977" s="53"/>
      <c r="G977" s="53"/>
      <c r="H977" s="53"/>
      <c r="I977" s="53"/>
      <c r="J977" s="53"/>
      <c r="K977" s="53"/>
      <c r="L977" s="53"/>
      <c r="M977" s="53"/>
      <c r="N977" s="53"/>
      <c r="O977" s="53"/>
      <c r="P977" s="53"/>
      <c r="Q977" s="53"/>
      <c r="R977" s="53"/>
      <c r="S977" s="53"/>
      <c r="T977" s="53"/>
      <c r="U977" s="53"/>
      <c r="V977" s="53"/>
      <c r="W977" s="53"/>
      <c r="X977" s="53"/>
      <c r="Y977" s="53"/>
      <c r="Z977" s="53"/>
    </row>
    <row r="978" spans="1:26" ht="13.5" customHeight="1">
      <c r="A978" s="53"/>
      <c r="B978" s="53"/>
      <c r="C978" s="53"/>
      <c r="D978" s="53"/>
      <c r="E978" s="53"/>
      <c r="F978" s="53"/>
      <c r="G978" s="53"/>
      <c r="H978" s="53"/>
      <c r="I978" s="53"/>
      <c r="J978" s="53"/>
      <c r="K978" s="53"/>
      <c r="L978" s="53"/>
      <c r="M978" s="53"/>
      <c r="N978" s="53"/>
      <c r="O978" s="53"/>
      <c r="P978" s="53"/>
      <c r="Q978" s="53"/>
      <c r="R978" s="53"/>
      <c r="S978" s="53"/>
      <c r="T978" s="53"/>
      <c r="U978" s="53"/>
      <c r="V978" s="53"/>
      <c r="W978" s="53"/>
      <c r="X978" s="53"/>
      <c r="Y978" s="53"/>
      <c r="Z978" s="53"/>
    </row>
    <row r="979" spans="1:26" ht="13.5" customHeight="1">
      <c r="A979" s="53"/>
      <c r="B979" s="53"/>
      <c r="C979" s="53"/>
      <c r="D979" s="53"/>
      <c r="E979" s="53"/>
      <c r="F979" s="53"/>
      <c r="G979" s="53"/>
      <c r="H979" s="53"/>
      <c r="I979" s="53"/>
      <c r="J979" s="53"/>
      <c r="K979" s="53"/>
      <c r="L979" s="53"/>
      <c r="M979" s="53"/>
      <c r="N979" s="53"/>
      <c r="O979" s="53"/>
      <c r="P979" s="53"/>
      <c r="Q979" s="53"/>
      <c r="R979" s="53"/>
      <c r="S979" s="53"/>
      <c r="T979" s="53"/>
      <c r="U979" s="53"/>
      <c r="V979" s="53"/>
      <c r="W979" s="53"/>
      <c r="X979" s="53"/>
      <c r="Y979" s="53"/>
      <c r="Z979" s="53"/>
    </row>
    <row r="980" spans="1:26" ht="13.5" customHeight="1">
      <c r="A980" s="53"/>
      <c r="B980" s="53"/>
      <c r="C980" s="53"/>
      <c r="D980" s="53"/>
      <c r="E980" s="53"/>
      <c r="F980" s="53"/>
      <c r="G980" s="53"/>
      <c r="H980" s="53"/>
      <c r="I980" s="53"/>
      <c r="J980" s="53"/>
      <c r="K980" s="53"/>
      <c r="L980" s="53"/>
      <c r="M980" s="53"/>
      <c r="N980" s="53"/>
      <c r="O980" s="53"/>
      <c r="P980" s="53"/>
      <c r="Q980" s="53"/>
      <c r="R980" s="53"/>
      <c r="S980" s="53"/>
      <c r="T980" s="53"/>
      <c r="U980" s="53"/>
      <c r="V980" s="53"/>
      <c r="W980" s="53"/>
      <c r="X980" s="53"/>
      <c r="Y980" s="53"/>
      <c r="Z980" s="53"/>
    </row>
    <row r="981" spans="1:26" ht="13.5" customHeight="1">
      <c r="A981" s="53"/>
      <c r="B981" s="53"/>
      <c r="C981" s="53"/>
      <c r="D981" s="53"/>
      <c r="E981" s="53"/>
      <c r="F981" s="53"/>
      <c r="G981" s="53"/>
      <c r="H981" s="53"/>
      <c r="I981" s="53"/>
      <c r="J981" s="53"/>
      <c r="K981" s="53"/>
      <c r="L981" s="53"/>
      <c r="M981" s="53"/>
      <c r="N981" s="53"/>
      <c r="O981" s="53"/>
      <c r="P981" s="53"/>
      <c r="Q981" s="53"/>
      <c r="R981" s="53"/>
      <c r="S981" s="53"/>
      <c r="T981" s="53"/>
      <c r="U981" s="53"/>
      <c r="V981" s="53"/>
      <c r="W981" s="53"/>
      <c r="X981" s="53"/>
      <c r="Y981" s="53"/>
      <c r="Z981" s="53"/>
    </row>
    <row r="982" spans="1:26" ht="13.5" customHeight="1">
      <c r="A982" s="53"/>
      <c r="B982" s="53"/>
      <c r="C982" s="53"/>
      <c r="D982" s="53"/>
      <c r="E982" s="53"/>
      <c r="F982" s="53"/>
      <c r="G982" s="53"/>
      <c r="H982" s="53"/>
      <c r="I982" s="53"/>
      <c r="J982" s="53"/>
      <c r="K982" s="53"/>
      <c r="L982" s="53"/>
      <c r="M982" s="53"/>
      <c r="N982" s="53"/>
      <c r="O982" s="53"/>
      <c r="P982" s="53"/>
      <c r="Q982" s="53"/>
      <c r="R982" s="53"/>
      <c r="S982" s="53"/>
      <c r="T982" s="53"/>
      <c r="U982" s="53"/>
      <c r="V982" s="53"/>
      <c r="W982" s="53"/>
      <c r="X982" s="53"/>
      <c r="Y982" s="53"/>
      <c r="Z982" s="53"/>
    </row>
    <row r="983" spans="1:26" ht="13.5" customHeight="1">
      <c r="A983" s="53"/>
      <c r="B983" s="53"/>
      <c r="C983" s="53"/>
      <c r="D983" s="53"/>
      <c r="E983" s="53"/>
      <c r="F983" s="53"/>
      <c r="G983" s="53"/>
      <c r="H983" s="53"/>
      <c r="I983" s="53"/>
      <c r="J983" s="53"/>
      <c r="K983" s="53"/>
      <c r="L983" s="53"/>
      <c r="M983" s="53"/>
      <c r="N983" s="53"/>
      <c r="O983" s="53"/>
      <c r="P983" s="53"/>
      <c r="Q983" s="53"/>
      <c r="R983" s="53"/>
      <c r="S983" s="53"/>
      <c r="T983" s="53"/>
      <c r="U983" s="53"/>
      <c r="V983" s="53"/>
      <c r="W983" s="53"/>
      <c r="X983" s="53"/>
      <c r="Y983" s="53"/>
      <c r="Z983" s="53"/>
    </row>
    <row r="984" spans="1:26" ht="13.5" customHeight="1">
      <c r="A984" s="53"/>
      <c r="B984" s="53"/>
      <c r="C984" s="53"/>
      <c r="D984" s="53"/>
      <c r="E984" s="53"/>
      <c r="F984" s="53"/>
      <c r="G984" s="53"/>
      <c r="H984" s="53"/>
      <c r="I984" s="53"/>
      <c r="J984" s="53"/>
      <c r="K984" s="53"/>
      <c r="L984" s="53"/>
      <c r="M984" s="53"/>
      <c r="N984" s="53"/>
      <c r="O984" s="53"/>
      <c r="P984" s="53"/>
      <c r="Q984" s="53"/>
      <c r="R984" s="53"/>
      <c r="S984" s="53"/>
      <c r="T984" s="53"/>
      <c r="U984" s="53"/>
      <c r="V984" s="53"/>
      <c r="W984" s="53"/>
      <c r="X984" s="53"/>
      <c r="Y984" s="53"/>
      <c r="Z984" s="53"/>
    </row>
    <row r="985" spans="1:26" ht="13.5" customHeight="1">
      <c r="A985" s="53"/>
      <c r="B985" s="53"/>
      <c r="C985" s="53"/>
      <c r="D985" s="53"/>
      <c r="E985" s="53"/>
      <c r="F985" s="53"/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</row>
    <row r="986" spans="1:26" ht="13.5" customHeight="1">
      <c r="A986" s="53"/>
      <c r="B986" s="53"/>
      <c r="C986" s="53"/>
      <c r="D986" s="53"/>
      <c r="E986" s="53"/>
      <c r="F986" s="53"/>
      <c r="G986" s="53"/>
      <c r="H986" s="53"/>
      <c r="I986" s="53"/>
      <c r="J986" s="53"/>
      <c r="K986" s="53"/>
      <c r="L986" s="53"/>
      <c r="M986" s="53"/>
      <c r="N986" s="53"/>
      <c r="O986" s="53"/>
      <c r="P986" s="53"/>
      <c r="Q986" s="53"/>
      <c r="R986" s="53"/>
      <c r="S986" s="53"/>
      <c r="T986" s="53"/>
      <c r="U986" s="53"/>
      <c r="V986" s="53"/>
      <c r="W986" s="53"/>
      <c r="X986" s="53"/>
      <c r="Y986" s="53"/>
      <c r="Z986" s="53"/>
    </row>
    <row r="987" spans="1:26" ht="13.5" customHeight="1">
      <c r="A987" s="53"/>
      <c r="B987" s="53"/>
      <c r="C987" s="53"/>
      <c r="D987" s="53"/>
      <c r="E987" s="53"/>
      <c r="F987" s="53"/>
      <c r="G987" s="53"/>
      <c r="H987" s="53"/>
      <c r="I987" s="53"/>
      <c r="J987" s="53"/>
      <c r="K987" s="53"/>
      <c r="L987" s="53"/>
      <c r="M987" s="53"/>
      <c r="N987" s="53"/>
      <c r="O987" s="53"/>
      <c r="P987" s="53"/>
      <c r="Q987" s="53"/>
      <c r="R987" s="53"/>
      <c r="S987" s="53"/>
      <c r="T987" s="53"/>
      <c r="U987" s="53"/>
      <c r="V987" s="53"/>
      <c r="W987" s="53"/>
      <c r="X987" s="53"/>
      <c r="Y987" s="53"/>
      <c r="Z987" s="53"/>
    </row>
    <row r="988" spans="1:26" ht="13.5" customHeight="1">
      <c r="A988" s="53"/>
      <c r="B988" s="53"/>
      <c r="C988" s="53"/>
      <c r="D988" s="53"/>
      <c r="E988" s="53"/>
      <c r="F988" s="53"/>
      <c r="G988" s="53"/>
      <c r="H988" s="53"/>
      <c r="I988" s="53"/>
      <c r="J988" s="53"/>
      <c r="K988" s="53"/>
      <c r="L988" s="53"/>
      <c r="M988" s="53"/>
      <c r="N988" s="53"/>
      <c r="O988" s="53"/>
      <c r="P988" s="53"/>
      <c r="Q988" s="53"/>
      <c r="R988" s="53"/>
      <c r="S988" s="53"/>
      <c r="T988" s="53"/>
      <c r="U988" s="53"/>
      <c r="V988" s="53"/>
      <c r="W988" s="53"/>
      <c r="X988" s="53"/>
      <c r="Y988" s="53"/>
      <c r="Z988" s="53"/>
    </row>
    <row r="989" spans="1:26" ht="13.5" customHeight="1">
      <c r="A989" s="53"/>
      <c r="B989" s="53"/>
      <c r="C989" s="53"/>
      <c r="D989" s="53"/>
      <c r="E989" s="53"/>
      <c r="F989" s="53"/>
      <c r="G989" s="53"/>
      <c r="H989" s="53"/>
      <c r="I989" s="53"/>
      <c r="J989" s="53"/>
      <c r="K989" s="53"/>
      <c r="L989" s="53"/>
      <c r="M989" s="53"/>
      <c r="N989" s="53"/>
      <c r="O989" s="53"/>
      <c r="P989" s="53"/>
      <c r="Q989" s="53"/>
      <c r="R989" s="53"/>
      <c r="S989" s="53"/>
      <c r="T989" s="53"/>
      <c r="U989" s="53"/>
      <c r="V989" s="53"/>
      <c r="W989" s="53"/>
      <c r="X989" s="53"/>
      <c r="Y989" s="53"/>
      <c r="Z989" s="53"/>
    </row>
    <row r="990" spans="1:26" ht="13.5" customHeight="1">
      <c r="A990" s="53"/>
      <c r="B990" s="53"/>
      <c r="C990" s="53"/>
      <c r="D990" s="53"/>
      <c r="E990" s="53"/>
      <c r="F990" s="53"/>
      <c r="G990" s="53"/>
      <c r="H990" s="53"/>
      <c r="I990" s="53"/>
      <c r="J990" s="53"/>
      <c r="K990" s="53"/>
      <c r="L990" s="53"/>
      <c r="M990" s="53"/>
      <c r="N990" s="53"/>
      <c r="O990" s="53"/>
      <c r="P990" s="53"/>
      <c r="Q990" s="53"/>
      <c r="R990" s="53"/>
      <c r="S990" s="53"/>
      <c r="T990" s="53"/>
      <c r="U990" s="53"/>
      <c r="V990" s="53"/>
      <c r="W990" s="53"/>
      <c r="X990" s="53"/>
      <c r="Y990" s="53"/>
      <c r="Z990" s="53"/>
    </row>
    <row r="991" spans="1:26" ht="13.5" customHeight="1">
      <c r="A991" s="53"/>
      <c r="B991" s="53"/>
      <c r="C991" s="53"/>
      <c r="D991" s="53"/>
      <c r="E991" s="53"/>
      <c r="F991" s="53"/>
      <c r="G991" s="53"/>
      <c r="H991" s="53"/>
      <c r="I991" s="53"/>
      <c r="J991" s="53"/>
      <c r="K991" s="53"/>
      <c r="L991" s="53"/>
      <c r="M991" s="53"/>
      <c r="N991" s="53"/>
      <c r="O991" s="53"/>
      <c r="P991" s="53"/>
      <c r="Q991" s="53"/>
      <c r="R991" s="53"/>
      <c r="S991" s="53"/>
      <c r="T991" s="53"/>
      <c r="U991" s="53"/>
      <c r="V991" s="53"/>
      <c r="W991" s="53"/>
      <c r="X991" s="53"/>
      <c r="Y991" s="53"/>
      <c r="Z991" s="53"/>
    </row>
    <row r="992" spans="1:26" ht="13.5" customHeight="1">
      <c r="A992" s="53"/>
      <c r="B992" s="53"/>
      <c r="C992" s="53"/>
      <c r="D992" s="53"/>
      <c r="E992" s="53"/>
      <c r="F992" s="53"/>
      <c r="G992" s="53"/>
      <c r="H992" s="53"/>
      <c r="I992" s="53"/>
      <c r="J992" s="53"/>
      <c r="K992" s="53"/>
      <c r="L992" s="53"/>
      <c r="M992" s="53"/>
      <c r="N992" s="53"/>
      <c r="O992" s="53"/>
      <c r="P992" s="53"/>
      <c r="Q992" s="53"/>
      <c r="R992" s="53"/>
      <c r="S992" s="53"/>
      <c r="T992" s="53"/>
      <c r="U992" s="53"/>
      <c r="V992" s="53"/>
      <c r="W992" s="53"/>
      <c r="X992" s="53"/>
      <c r="Y992" s="53"/>
      <c r="Z992" s="53"/>
    </row>
    <row r="993" spans="1:26" ht="13.5" customHeight="1">
      <c r="A993" s="53"/>
      <c r="B993" s="53"/>
      <c r="C993" s="53"/>
      <c r="D993" s="53"/>
      <c r="E993" s="53"/>
      <c r="F993" s="53"/>
      <c r="G993" s="53"/>
      <c r="H993" s="53"/>
      <c r="I993" s="53"/>
      <c r="J993" s="53"/>
      <c r="K993" s="53"/>
      <c r="L993" s="53"/>
      <c r="M993" s="53"/>
      <c r="N993" s="53"/>
      <c r="O993" s="53"/>
      <c r="P993" s="53"/>
      <c r="Q993" s="53"/>
      <c r="R993" s="53"/>
      <c r="S993" s="53"/>
      <c r="T993" s="53"/>
      <c r="U993" s="53"/>
      <c r="V993" s="53"/>
      <c r="W993" s="53"/>
      <c r="X993" s="53"/>
      <c r="Y993" s="53"/>
      <c r="Z993" s="53"/>
    </row>
    <row r="994" spans="1:26" ht="13.5" customHeight="1">
      <c r="A994" s="53"/>
      <c r="B994" s="53"/>
      <c r="C994" s="53"/>
      <c r="D994" s="53"/>
      <c r="E994" s="53"/>
      <c r="F994" s="53"/>
      <c r="G994" s="53"/>
      <c r="H994" s="53"/>
      <c r="I994" s="53"/>
      <c r="J994" s="53"/>
      <c r="K994" s="53"/>
      <c r="L994" s="53"/>
      <c r="M994" s="53"/>
      <c r="N994" s="53"/>
      <c r="O994" s="53"/>
      <c r="P994" s="53"/>
      <c r="Q994" s="53"/>
      <c r="R994" s="53"/>
      <c r="S994" s="53"/>
      <c r="T994" s="53"/>
      <c r="U994" s="53"/>
      <c r="V994" s="53"/>
      <c r="W994" s="53"/>
      <c r="X994" s="53"/>
      <c r="Y994" s="53"/>
      <c r="Z994" s="53"/>
    </row>
    <row r="995" spans="1:26" ht="13.5" customHeight="1">
      <c r="A995" s="53"/>
      <c r="B995" s="53"/>
      <c r="C995" s="53"/>
      <c r="D995" s="53"/>
      <c r="E995" s="53"/>
      <c r="F995" s="53"/>
      <c r="G995" s="53"/>
      <c r="H995" s="53"/>
      <c r="I995" s="53"/>
      <c r="J995" s="53"/>
      <c r="K995" s="53"/>
      <c r="L995" s="53"/>
      <c r="M995" s="53"/>
      <c r="N995" s="53"/>
      <c r="O995" s="53"/>
      <c r="P995" s="53"/>
      <c r="Q995" s="53"/>
      <c r="R995" s="53"/>
      <c r="S995" s="53"/>
      <c r="T995" s="53"/>
      <c r="U995" s="53"/>
      <c r="V995" s="53"/>
      <c r="W995" s="53"/>
      <c r="X995" s="53"/>
      <c r="Y995" s="53"/>
      <c r="Z995" s="53"/>
    </row>
    <row r="996" spans="1:26" ht="13.5" customHeight="1">
      <c r="A996" s="53"/>
      <c r="B996" s="53"/>
      <c r="C996" s="53"/>
      <c r="D996" s="53"/>
      <c r="E996" s="53"/>
      <c r="F996" s="53"/>
      <c r="G996" s="53"/>
      <c r="H996" s="53"/>
      <c r="I996" s="53"/>
      <c r="J996" s="53"/>
      <c r="K996" s="53"/>
      <c r="L996" s="53"/>
      <c r="M996" s="53"/>
      <c r="N996" s="53"/>
      <c r="O996" s="53"/>
      <c r="P996" s="53"/>
      <c r="Q996" s="53"/>
      <c r="R996" s="53"/>
      <c r="S996" s="53"/>
      <c r="T996" s="53"/>
      <c r="U996" s="53"/>
      <c r="V996" s="53"/>
      <c r="W996" s="53"/>
      <c r="X996" s="53"/>
      <c r="Y996" s="53"/>
      <c r="Z996" s="53"/>
    </row>
    <row r="997" spans="1:26" ht="13.5" customHeight="1">
      <c r="A997" s="53"/>
      <c r="B997" s="53"/>
      <c r="C997" s="53"/>
      <c r="D997" s="53"/>
      <c r="E997" s="53"/>
      <c r="F997" s="53"/>
      <c r="G997" s="53"/>
      <c r="H997" s="53"/>
      <c r="I997" s="53"/>
      <c r="J997" s="53"/>
      <c r="K997" s="53"/>
      <c r="L997" s="53"/>
      <c r="M997" s="53"/>
      <c r="N997" s="53"/>
      <c r="O997" s="53"/>
      <c r="P997" s="53"/>
      <c r="Q997" s="53"/>
      <c r="R997" s="53"/>
      <c r="S997" s="53"/>
      <c r="T997" s="53"/>
      <c r="U997" s="53"/>
      <c r="V997" s="53"/>
      <c r="W997" s="53"/>
      <c r="X997" s="53"/>
      <c r="Y997" s="53"/>
      <c r="Z997" s="53"/>
    </row>
    <row r="998" spans="1:26" ht="13.5" customHeight="1">
      <c r="A998" s="53"/>
      <c r="B998" s="53"/>
      <c r="C998" s="53"/>
      <c r="D998" s="53"/>
      <c r="E998" s="53"/>
      <c r="F998" s="53"/>
      <c r="G998" s="53"/>
      <c r="H998" s="53"/>
      <c r="I998" s="53"/>
      <c r="J998" s="53"/>
      <c r="K998" s="53"/>
      <c r="L998" s="53"/>
      <c r="M998" s="53"/>
      <c r="N998" s="53"/>
      <c r="O998" s="53"/>
      <c r="P998" s="53"/>
      <c r="Q998" s="53"/>
      <c r="R998" s="53"/>
      <c r="S998" s="53"/>
      <c r="T998" s="53"/>
      <c r="U998" s="53"/>
      <c r="V998" s="53"/>
      <c r="W998" s="53"/>
      <c r="X998" s="53"/>
      <c r="Y998" s="53"/>
      <c r="Z998" s="53"/>
    </row>
    <row r="999" spans="1:26" ht="13.5" customHeight="1">
      <c r="A999" s="53"/>
      <c r="B999" s="53"/>
      <c r="C999" s="53"/>
      <c r="D999" s="53"/>
      <c r="E999" s="53"/>
      <c r="F999" s="53"/>
      <c r="G999" s="53"/>
      <c r="H999" s="53"/>
      <c r="I999" s="53"/>
      <c r="J999" s="53"/>
      <c r="K999" s="53"/>
      <c r="L999" s="53"/>
      <c r="M999" s="53"/>
      <c r="N999" s="53"/>
      <c r="O999" s="53"/>
      <c r="P999" s="53"/>
      <c r="Q999" s="53"/>
      <c r="R999" s="53"/>
      <c r="S999" s="53"/>
      <c r="T999" s="53"/>
      <c r="U999" s="53"/>
      <c r="V999" s="53"/>
      <c r="W999" s="53"/>
      <c r="X999" s="53"/>
      <c r="Y999" s="53"/>
      <c r="Z999" s="53"/>
    </row>
    <row r="1000" spans="1:26" ht="13.5" customHeight="1">
      <c r="A1000" s="53"/>
      <c r="B1000" s="53"/>
      <c r="C1000" s="53"/>
      <c r="D1000" s="53"/>
      <c r="E1000" s="53"/>
      <c r="F1000" s="53"/>
      <c r="G1000" s="53"/>
      <c r="H1000" s="53"/>
      <c r="I1000" s="53"/>
      <c r="J1000" s="53"/>
      <c r="K1000" s="53"/>
      <c r="L1000" s="53"/>
      <c r="M1000" s="53"/>
      <c r="N1000" s="53"/>
      <c r="O1000" s="53"/>
      <c r="P1000" s="53"/>
      <c r="Q1000" s="53"/>
      <c r="R1000" s="53"/>
      <c r="S1000" s="53"/>
      <c r="T1000" s="53"/>
      <c r="U1000" s="53"/>
      <c r="V1000" s="53"/>
      <c r="W1000" s="53"/>
      <c r="X1000" s="53"/>
      <c r="Y1000" s="53"/>
      <c r="Z1000" s="53"/>
    </row>
    <row r="1001" spans="1:26" ht="13.5" customHeight="1">
      <c r="A1001" s="53"/>
      <c r="B1001" s="53"/>
      <c r="C1001" s="53"/>
      <c r="D1001" s="53"/>
      <c r="E1001" s="53"/>
      <c r="F1001" s="53"/>
      <c r="G1001" s="53"/>
      <c r="H1001" s="53"/>
      <c r="I1001" s="53"/>
      <c r="J1001" s="53"/>
      <c r="K1001" s="53"/>
      <c r="L1001" s="53"/>
      <c r="M1001" s="53"/>
      <c r="N1001" s="53"/>
      <c r="O1001" s="53"/>
      <c r="P1001" s="53"/>
      <c r="Q1001" s="53"/>
      <c r="R1001" s="53"/>
      <c r="S1001" s="53"/>
      <c r="T1001" s="53"/>
      <c r="U1001" s="53"/>
      <c r="V1001" s="53"/>
      <c r="W1001" s="53"/>
      <c r="X1001" s="53"/>
      <c r="Y1001" s="53"/>
      <c r="Z1001" s="53"/>
    </row>
    <row r="1002" spans="1:26" ht="13.5" customHeight="1">
      <c r="A1002" s="53"/>
      <c r="B1002" s="53"/>
      <c r="C1002" s="53"/>
      <c r="D1002" s="53"/>
      <c r="E1002" s="53"/>
      <c r="F1002" s="53"/>
      <c r="G1002" s="53"/>
      <c r="H1002" s="53"/>
      <c r="I1002" s="53"/>
      <c r="J1002" s="53"/>
      <c r="K1002" s="53"/>
      <c r="L1002" s="53"/>
      <c r="M1002" s="53"/>
      <c r="N1002" s="53"/>
      <c r="O1002" s="53"/>
      <c r="P1002" s="53"/>
      <c r="Q1002" s="53"/>
      <c r="R1002" s="53"/>
      <c r="S1002" s="53"/>
      <c r="T1002" s="53"/>
      <c r="U1002" s="53"/>
      <c r="V1002" s="53"/>
      <c r="W1002" s="53"/>
      <c r="X1002" s="53"/>
      <c r="Y1002" s="53"/>
      <c r="Z1002" s="53"/>
    </row>
    <row r="1003" spans="1:26" ht="13.5" customHeight="1">
      <c r="A1003" s="53"/>
      <c r="B1003" s="53"/>
      <c r="C1003" s="53"/>
      <c r="D1003" s="53"/>
      <c r="E1003" s="53"/>
      <c r="F1003" s="53"/>
      <c r="G1003" s="53"/>
      <c r="H1003" s="53"/>
      <c r="I1003" s="53"/>
      <c r="J1003" s="53"/>
      <c r="K1003" s="53"/>
      <c r="L1003" s="53"/>
      <c r="M1003" s="53"/>
      <c r="N1003" s="53"/>
      <c r="O1003" s="53"/>
      <c r="P1003" s="53"/>
      <c r="Q1003" s="53"/>
      <c r="R1003" s="53"/>
      <c r="S1003" s="53"/>
      <c r="T1003" s="53"/>
      <c r="U1003" s="53"/>
      <c r="V1003" s="53"/>
      <c r="W1003" s="53"/>
      <c r="X1003" s="53"/>
      <c r="Y1003" s="53"/>
      <c r="Z1003" s="53"/>
    </row>
    <row r="1004" spans="1:26" ht="13.5" customHeight="1">
      <c r="A1004" s="53"/>
      <c r="B1004" s="53"/>
      <c r="C1004" s="53"/>
      <c r="D1004" s="53"/>
      <c r="E1004" s="53"/>
      <c r="F1004" s="53"/>
      <c r="G1004" s="53"/>
      <c r="H1004" s="53"/>
      <c r="I1004" s="53"/>
      <c r="J1004" s="53"/>
      <c r="K1004" s="53"/>
      <c r="L1004" s="53"/>
      <c r="M1004" s="53"/>
      <c r="N1004" s="53"/>
      <c r="O1004" s="53"/>
      <c r="P1004" s="53"/>
      <c r="Q1004" s="53"/>
      <c r="R1004" s="53"/>
      <c r="S1004" s="53"/>
      <c r="T1004" s="53"/>
      <c r="U1004" s="53"/>
      <c r="V1004" s="53"/>
      <c r="W1004" s="53"/>
      <c r="X1004" s="53"/>
      <c r="Y1004" s="53"/>
      <c r="Z1004" s="53"/>
    </row>
    <row r="1005" spans="1:26" ht="13.5" customHeight="1">
      <c r="A1005" s="53"/>
      <c r="B1005" s="53"/>
      <c r="C1005" s="53"/>
      <c r="D1005" s="53"/>
      <c r="E1005" s="53"/>
      <c r="F1005" s="53"/>
      <c r="G1005" s="53"/>
      <c r="H1005" s="53"/>
      <c r="I1005" s="53"/>
      <c r="J1005" s="53"/>
      <c r="K1005" s="53"/>
      <c r="L1005" s="53"/>
      <c r="M1005" s="53"/>
      <c r="N1005" s="53"/>
      <c r="O1005" s="53"/>
      <c r="P1005" s="53"/>
      <c r="Q1005" s="53"/>
      <c r="R1005" s="53"/>
      <c r="S1005" s="53"/>
      <c r="T1005" s="53"/>
      <c r="U1005" s="53"/>
      <c r="V1005" s="53"/>
      <c r="W1005" s="53"/>
      <c r="X1005" s="53"/>
      <c r="Y1005" s="53"/>
      <c r="Z1005" s="53"/>
    </row>
    <row r="1006" spans="1:26" ht="13.5" customHeight="1">
      <c r="A1006" s="53"/>
      <c r="B1006" s="53"/>
      <c r="C1006" s="53"/>
      <c r="D1006" s="53"/>
      <c r="E1006" s="53"/>
      <c r="F1006" s="53"/>
      <c r="G1006" s="53"/>
      <c r="H1006" s="53"/>
      <c r="I1006" s="53"/>
      <c r="J1006" s="53"/>
      <c r="K1006" s="53"/>
      <c r="L1006" s="53"/>
      <c r="M1006" s="53"/>
      <c r="N1006" s="53"/>
      <c r="O1006" s="53"/>
      <c r="P1006" s="53"/>
      <c r="Q1006" s="53"/>
      <c r="R1006" s="53"/>
      <c r="S1006" s="53"/>
      <c r="T1006" s="53"/>
      <c r="U1006" s="53"/>
      <c r="V1006" s="53"/>
      <c r="W1006" s="53"/>
      <c r="X1006" s="53"/>
      <c r="Y1006" s="53"/>
      <c r="Z1006" s="53"/>
    </row>
    <row r="1007" spans="1:26" ht="13.5" customHeight="1">
      <c r="A1007" s="53"/>
      <c r="B1007" s="53"/>
      <c r="C1007" s="53"/>
      <c r="D1007" s="53"/>
      <c r="E1007" s="53"/>
      <c r="F1007" s="53"/>
      <c r="G1007" s="53"/>
      <c r="H1007" s="53"/>
      <c r="I1007" s="53"/>
      <c r="J1007" s="53"/>
      <c r="K1007" s="53"/>
      <c r="L1007" s="53"/>
      <c r="M1007" s="53"/>
      <c r="N1007" s="53"/>
      <c r="O1007" s="53"/>
      <c r="P1007" s="53"/>
      <c r="Q1007" s="53"/>
      <c r="R1007" s="53"/>
      <c r="S1007" s="53"/>
      <c r="T1007" s="53"/>
      <c r="U1007" s="53"/>
      <c r="V1007" s="53"/>
      <c r="W1007" s="53"/>
      <c r="X1007" s="53"/>
      <c r="Y1007" s="53"/>
      <c r="Z1007" s="53"/>
    </row>
    <row r="1008" spans="1:26" ht="13.5" customHeight="1">
      <c r="A1008" s="53"/>
      <c r="B1008" s="53"/>
      <c r="C1008" s="53"/>
      <c r="D1008" s="53"/>
      <c r="E1008" s="53"/>
      <c r="F1008" s="53"/>
      <c r="G1008" s="53"/>
      <c r="H1008" s="53"/>
      <c r="I1008" s="53"/>
      <c r="J1008" s="53"/>
      <c r="K1008" s="53"/>
      <c r="L1008" s="53"/>
      <c r="M1008" s="53"/>
      <c r="N1008" s="53"/>
      <c r="O1008" s="53"/>
      <c r="P1008" s="53"/>
      <c r="Q1008" s="53"/>
      <c r="R1008" s="53"/>
      <c r="S1008" s="53"/>
      <c r="T1008" s="53"/>
      <c r="U1008" s="53"/>
      <c r="V1008" s="53"/>
      <c r="W1008" s="53"/>
      <c r="X1008" s="53"/>
      <c r="Y1008" s="53"/>
      <c r="Z1008" s="53"/>
    </row>
    <row r="1009" spans="1:26" ht="13.5" customHeight="1">
      <c r="A1009" s="53"/>
      <c r="B1009" s="53"/>
      <c r="C1009" s="53"/>
      <c r="D1009" s="53"/>
      <c r="E1009" s="53"/>
      <c r="F1009" s="53"/>
      <c r="G1009" s="53"/>
      <c r="H1009" s="53"/>
      <c r="I1009" s="53"/>
      <c r="J1009" s="53"/>
      <c r="K1009" s="53"/>
      <c r="L1009" s="53"/>
      <c r="M1009" s="53"/>
      <c r="N1009" s="53"/>
      <c r="O1009" s="53"/>
      <c r="P1009" s="53"/>
      <c r="Q1009" s="53"/>
      <c r="R1009" s="53"/>
      <c r="S1009" s="53"/>
      <c r="T1009" s="53"/>
      <c r="U1009" s="53"/>
      <c r="V1009" s="53"/>
      <c r="W1009" s="53"/>
      <c r="X1009" s="53"/>
      <c r="Y1009" s="53"/>
      <c r="Z1009" s="53"/>
    </row>
    <row r="1010" spans="1:26" ht="13.5" customHeight="1">
      <c r="A1010" s="53"/>
      <c r="B1010" s="53"/>
      <c r="C1010" s="53"/>
      <c r="D1010" s="53"/>
      <c r="E1010" s="53"/>
      <c r="F1010" s="53"/>
      <c r="G1010" s="53"/>
      <c r="H1010" s="53"/>
      <c r="I1010" s="53"/>
      <c r="J1010" s="53"/>
      <c r="K1010" s="53"/>
      <c r="L1010" s="53"/>
      <c r="M1010" s="53"/>
      <c r="N1010" s="53"/>
      <c r="O1010" s="53"/>
      <c r="P1010" s="53"/>
      <c r="Q1010" s="53"/>
      <c r="R1010" s="53"/>
      <c r="S1010" s="53"/>
      <c r="T1010" s="53"/>
      <c r="U1010" s="53"/>
      <c r="V1010" s="53"/>
      <c r="W1010" s="53"/>
      <c r="X1010" s="53"/>
      <c r="Y1010" s="53"/>
      <c r="Z1010" s="53"/>
    </row>
    <row r="1011" spans="1:26" ht="13.5" customHeight="1">
      <c r="A1011" s="53"/>
      <c r="B1011" s="53"/>
      <c r="C1011" s="53"/>
      <c r="D1011" s="53"/>
      <c r="E1011" s="53"/>
      <c r="F1011" s="53"/>
      <c r="G1011" s="53"/>
      <c r="H1011" s="53"/>
      <c r="I1011" s="53"/>
      <c r="J1011" s="53"/>
      <c r="K1011" s="53"/>
      <c r="L1011" s="53"/>
      <c r="M1011" s="53"/>
      <c r="N1011" s="53"/>
      <c r="O1011" s="53"/>
      <c r="P1011" s="53"/>
      <c r="Q1011" s="53"/>
      <c r="R1011" s="53"/>
      <c r="S1011" s="53"/>
      <c r="T1011" s="53"/>
      <c r="U1011" s="53"/>
      <c r="V1011" s="53"/>
      <c r="W1011" s="53"/>
      <c r="X1011" s="53"/>
      <c r="Y1011" s="53"/>
      <c r="Z1011" s="53"/>
    </row>
    <row r="1012" spans="1:26" ht="13.5" customHeight="1">
      <c r="A1012" s="53"/>
      <c r="B1012" s="53"/>
      <c r="C1012" s="53"/>
      <c r="D1012" s="53"/>
      <c r="E1012" s="53"/>
      <c r="F1012" s="53"/>
      <c r="G1012" s="53"/>
      <c r="H1012" s="53"/>
      <c r="I1012" s="53"/>
      <c r="J1012" s="53"/>
      <c r="K1012" s="53"/>
      <c r="L1012" s="53"/>
      <c r="M1012" s="53"/>
      <c r="N1012" s="53"/>
      <c r="O1012" s="53"/>
      <c r="P1012" s="53"/>
      <c r="Q1012" s="53"/>
      <c r="R1012" s="53"/>
      <c r="S1012" s="53"/>
      <c r="T1012" s="53"/>
      <c r="U1012" s="53"/>
      <c r="V1012" s="53"/>
      <c r="W1012" s="53"/>
      <c r="X1012" s="53"/>
      <c r="Y1012" s="53"/>
      <c r="Z1012" s="53"/>
    </row>
  </sheetData>
  <hyperlinks>
    <hyperlink ref="B70" r:id="rId1"/>
    <hyperlink ref="B71" r:id="rId2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EVELYN</cp:lastModifiedBy>
  <dcterms:created xsi:type="dcterms:W3CDTF">2018-04-04T01:42:34Z</dcterms:created>
  <dcterms:modified xsi:type="dcterms:W3CDTF">2018-06-04T05:49:07Z</dcterms:modified>
</cp:coreProperties>
</file>