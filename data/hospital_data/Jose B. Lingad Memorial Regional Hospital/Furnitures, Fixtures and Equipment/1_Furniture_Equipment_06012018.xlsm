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3BQJByNC0CMWjbh7O8JX8YlOirEdpnpCDi0pnySVu5u2rDypPvZ6zNPuktqf8ZypxPwm0nV8aw4cw8boqZocuQ==" workbookSaltValue="YZWjLNxaggX0g0S7oSTqkA==" workbookSpinCount="100000" lockStructure="1"/>
  <bookViews>
    <workbookView xWindow="0" yWindow="0" windowWidth="15525" windowHeight="7050"/>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definedNames>
    <definedName name="_xlnm._FilterDatabase" localSheetId="0" hidden="1">'9.1Furnitures&amp;Fixtures'!$B$12:$DO$179</definedName>
    <definedName name="_xlnm._FilterDatabase" localSheetId="1" hidden="1">'9.2Medical Equipment'!$B$12:$DD$482</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82" i="4" l="1"/>
  <c r="J481" i="4"/>
  <c r="J275" i="3"/>
  <c r="J480" i="4"/>
  <c r="J479" i="4"/>
  <c r="J478" i="4"/>
  <c r="J475" i="4" l="1"/>
  <c r="J477" i="4"/>
  <c r="J476" i="4"/>
  <c r="J474" i="4"/>
  <c r="J473" i="4"/>
  <c r="J472" i="4"/>
  <c r="J471" i="4"/>
  <c r="J470" i="4"/>
  <c r="J469" i="4"/>
  <c r="J179" i="1"/>
  <c r="J468" i="4"/>
  <c r="J467" i="4"/>
  <c r="J466" i="4"/>
  <c r="J465" i="4"/>
  <c r="J464" i="4"/>
  <c r="J178" i="1"/>
  <c r="J177" i="1"/>
  <c r="J176" i="1"/>
  <c r="J175" i="1"/>
  <c r="J174" i="1"/>
  <c r="J463" i="4"/>
  <c r="J462" i="4"/>
  <c r="J461" i="4"/>
  <c r="J460" i="4"/>
  <c r="J459" i="4"/>
  <c r="J458" i="4"/>
  <c r="J457" i="4"/>
  <c r="J456" i="4"/>
  <c r="J455" i="4"/>
  <c r="J454" i="4" l="1"/>
  <c r="J453" i="4"/>
  <c r="J452" i="4"/>
  <c r="J451" i="4"/>
  <c r="J450" i="4"/>
  <c r="J449" i="4"/>
  <c r="J448" i="4"/>
  <c r="J447" i="4"/>
  <c r="J446" i="4"/>
  <c r="J445" i="4"/>
  <c r="J444" i="4"/>
  <c r="J443" i="4"/>
  <c r="J442" i="4"/>
  <c r="J441" i="4"/>
  <c r="J440" i="4"/>
  <c r="J439" i="4"/>
  <c r="J438" i="4"/>
  <c r="J437" i="4"/>
  <c r="J436" i="4"/>
  <c r="J435" i="4"/>
  <c r="J434" i="4"/>
  <c r="J433" i="4"/>
  <c r="J432" i="4"/>
  <c r="J431" i="4"/>
  <c r="J430" i="4"/>
  <c r="J429" i="4"/>
  <c r="J428" i="4"/>
  <c r="J427" i="4"/>
  <c r="J426" i="4"/>
  <c r="J425" i="4"/>
  <c r="J424" i="4"/>
  <c r="J423" i="4"/>
  <c r="J422" i="4"/>
  <c r="J173" i="1"/>
  <c r="J172" i="1"/>
  <c r="J171" i="1"/>
  <c r="J170" i="1"/>
  <c r="J169" i="1"/>
  <c r="J168" i="1"/>
  <c r="J421" i="4"/>
  <c r="J420" i="4"/>
  <c r="J419" i="4"/>
  <c r="J418" i="4"/>
  <c r="J417" i="4"/>
  <c r="J416" i="4"/>
  <c r="J415" i="4"/>
  <c r="J414" i="4" l="1"/>
  <c r="J413" i="4"/>
  <c r="J412" i="4"/>
  <c r="J411" i="4"/>
  <c r="J410" i="4"/>
  <c r="J409" i="4"/>
  <c r="J408" i="4"/>
  <c r="J407" i="4"/>
  <c r="J406" i="4"/>
  <c r="J405" i="4"/>
  <c r="J404" i="4"/>
  <c r="J403" i="4"/>
  <c r="J402" i="4"/>
  <c r="J401" i="4"/>
  <c r="J400" i="4"/>
  <c r="J399" i="4"/>
  <c r="J398" i="4"/>
  <c r="J274" i="3"/>
  <c r="J397" i="4"/>
  <c r="J396" i="4"/>
  <c r="J395" i="4"/>
  <c r="J394" i="4"/>
  <c r="J393" i="4"/>
  <c r="J392" i="4"/>
  <c r="J391" i="4"/>
  <c r="J390" i="4"/>
  <c r="J389" i="4"/>
  <c r="J388" i="4"/>
  <c r="J387" i="4"/>
  <c r="J386" i="4"/>
  <c r="J250" i="3" l="1"/>
  <c r="J249" i="3"/>
  <c r="J268" i="3"/>
  <c r="J151" i="3"/>
  <c r="J178" i="3"/>
  <c r="J177" i="3"/>
  <c r="J176" i="3"/>
  <c r="J150" i="3"/>
  <c r="J149" i="3"/>
  <c r="J148" i="3"/>
  <c r="J235" i="3"/>
  <c r="J59" i="3"/>
  <c r="J53" i="3"/>
  <c r="J147" i="3"/>
  <c r="J70" i="3"/>
  <c r="J45" i="3"/>
  <c r="J267" i="3"/>
  <c r="J266" i="3"/>
  <c r="J234" i="3"/>
  <c r="J146" i="3"/>
  <c r="J175" i="3"/>
  <c r="J248" i="3"/>
  <c r="J145" i="3"/>
  <c r="J144" i="3"/>
  <c r="J143" i="3"/>
  <c r="J69" i="3"/>
  <c r="J142" i="3"/>
  <c r="J90" i="3"/>
  <c r="J141" i="3"/>
  <c r="J102" i="3"/>
  <c r="J49" i="3"/>
  <c r="J48" i="3"/>
  <c r="J140" i="3"/>
  <c r="J273" i="3"/>
  <c r="J231" i="3"/>
  <c r="J230" i="3"/>
  <c r="J137" i="3"/>
  <c r="J136" i="3"/>
  <c r="J56" i="3"/>
  <c r="J88" i="3"/>
  <c r="J229" i="3"/>
  <c r="J41" i="3"/>
  <c r="J228" i="3"/>
  <c r="J101" i="3"/>
  <c r="J265" i="3"/>
  <c r="J226" i="3"/>
  <c r="J174" i="3"/>
  <c r="J224" i="3"/>
  <c r="J173" i="3"/>
  <c r="J171" i="3"/>
  <c r="J221" i="3"/>
  <c r="J170" i="3"/>
  <c r="J134" i="3"/>
  <c r="J220" i="3"/>
  <c r="J271" i="3"/>
  <c r="J246" i="3"/>
  <c r="J219" i="3"/>
  <c r="J87" i="3"/>
  <c r="J86" i="3"/>
  <c r="J218" i="3"/>
  <c r="J38" i="3"/>
  <c r="J133" i="3"/>
  <c r="J132" i="3"/>
  <c r="J131" i="3"/>
  <c r="J52" i="3"/>
  <c r="J68" i="3"/>
  <c r="J17" i="3"/>
  <c r="J166" i="3"/>
  <c r="J99" i="3"/>
  <c r="J212" i="3"/>
  <c r="J211" i="3"/>
  <c r="J210" i="3"/>
  <c r="J209" i="3"/>
  <c r="J261" i="3"/>
  <c r="J208" i="3"/>
  <c r="J207" i="3"/>
  <c r="J85" i="3"/>
  <c r="J165" i="3"/>
  <c r="J206" i="3"/>
  <c r="J205" i="3"/>
  <c r="J164" i="3"/>
  <c r="J128" i="3"/>
  <c r="J127" i="3"/>
  <c r="J204" i="3"/>
  <c r="J44" i="3"/>
  <c r="J126" i="3"/>
  <c r="J260" i="3"/>
  <c r="J202" i="3"/>
  <c r="J80" i="3"/>
  <c r="J201" i="3"/>
  <c r="J243" i="3"/>
  <c r="J242" i="3"/>
  <c r="J241" i="3"/>
  <c r="J124" i="3"/>
  <c r="J98" i="3"/>
  <c r="J97" i="3"/>
  <c r="J123" i="3"/>
  <c r="J259" i="3"/>
  <c r="J258" i="3"/>
  <c r="J122" i="3"/>
  <c r="J121" i="3"/>
  <c r="J32" i="3"/>
  <c r="J58" i="3"/>
  <c r="J64" i="3"/>
  <c r="J200" i="3"/>
  <c r="J257" i="3"/>
  <c r="J256" i="3"/>
  <c r="J197" i="3"/>
  <c r="J120" i="3"/>
  <c r="J76" i="3"/>
  <c r="J196" i="3"/>
  <c r="J75" i="3"/>
  <c r="J195" i="3"/>
  <c r="J194" i="3"/>
  <c r="J193" i="3"/>
  <c r="J43" i="3"/>
  <c r="J255" i="3"/>
  <c r="J192" i="3"/>
  <c r="J14" i="3"/>
  <c r="J63" i="3"/>
  <c r="J20" i="3"/>
  <c r="J74" i="3"/>
  <c r="J62" i="3"/>
  <c r="J51" i="3"/>
  <c r="J161" i="3"/>
  <c r="J119" i="3"/>
  <c r="J118" i="3"/>
  <c r="J254" i="3"/>
  <c r="J160" i="3"/>
  <c r="J253" i="3"/>
  <c r="J191" i="3"/>
  <c r="J190" i="3"/>
  <c r="J82" i="3"/>
  <c r="J117" i="3"/>
  <c r="J240" i="3"/>
  <c r="J116" i="3"/>
  <c r="J159" i="3"/>
  <c r="J158" i="3"/>
  <c r="J189" i="3"/>
  <c r="J188" i="3"/>
  <c r="J187" i="3"/>
  <c r="J186" i="3"/>
  <c r="J185" i="3"/>
  <c r="J92" i="3"/>
  <c r="J184" i="3"/>
  <c r="J239" i="3"/>
  <c r="J115" i="3"/>
  <c r="J57" i="3"/>
  <c r="J50" i="3"/>
  <c r="J61" i="3"/>
  <c r="J183" i="3"/>
  <c r="J55" i="3"/>
  <c r="J157" i="3"/>
  <c r="J252" i="3"/>
  <c r="J156" i="3"/>
  <c r="J27" i="3"/>
  <c r="J54" i="3"/>
  <c r="J73" i="3"/>
  <c r="J182" i="3"/>
  <c r="J155" i="3"/>
  <c r="J114" i="3"/>
  <c r="J26" i="3"/>
  <c r="J251" i="3"/>
  <c r="J25" i="3"/>
  <c r="J154" i="3"/>
  <c r="J94" i="3"/>
  <c r="J113" i="3"/>
  <c r="J112" i="3"/>
  <c r="J111" i="3"/>
  <c r="J110" i="3"/>
  <c r="J24" i="3"/>
  <c r="J81" i="3"/>
  <c r="J109" i="3"/>
  <c r="J108" i="3"/>
  <c r="J107" i="3"/>
  <c r="J60" i="3"/>
  <c r="J181" i="3"/>
  <c r="J23" i="3"/>
  <c r="J22" i="3"/>
  <c r="J21" i="3"/>
  <c r="J106" i="3"/>
  <c r="J91" i="3"/>
  <c r="J153" i="3"/>
  <c r="J93" i="3"/>
  <c r="J105" i="3"/>
  <c r="J104" i="3"/>
  <c r="J72" i="3"/>
  <c r="J42" i="3"/>
  <c r="J103" i="3"/>
  <c r="J180" i="3"/>
  <c r="J179" i="3"/>
  <c r="J71" i="3"/>
  <c r="J131" i="4"/>
  <c r="J384" i="4"/>
  <c r="J383" i="4"/>
  <c r="J382" i="4"/>
  <c r="J381" i="4"/>
  <c r="J380" i="4"/>
  <c r="J313" i="4"/>
  <c r="J312" i="4"/>
  <c r="J311" i="4"/>
  <c r="J283" i="4"/>
  <c r="J282" i="4"/>
  <c r="J281" i="4"/>
  <c r="J280" i="4"/>
  <c r="J279" i="4"/>
  <c r="J278" i="4"/>
  <c r="J277" i="4"/>
  <c r="J276" i="4"/>
  <c r="J275" i="4"/>
  <c r="J274" i="4"/>
  <c r="J273" i="4"/>
  <c r="J219" i="4"/>
  <c r="J218" i="4"/>
  <c r="J217" i="4"/>
  <c r="J216" i="4"/>
  <c r="J215" i="4"/>
  <c r="J145" i="4"/>
  <c r="J114" i="4"/>
  <c r="J89" i="4"/>
  <c r="J82" i="4"/>
  <c r="J67" i="4"/>
  <c r="J66" i="4"/>
  <c r="J379" i="4"/>
  <c r="J378" i="4"/>
  <c r="J310" i="4"/>
  <c r="J309" i="4"/>
  <c r="J214" i="4"/>
  <c r="J164" i="4"/>
  <c r="J163" i="4"/>
  <c r="J162" i="4"/>
  <c r="J161" i="4"/>
  <c r="J272" i="4"/>
  <c r="J213" i="4"/>
  <c r="J105" i="4"/>
  <c r="J377" i="4"/>
  <c r="J376" i="4"/>
  <c r="J375" i="4"/>
  <c r="J374" i="4"/>
  <c r="J373" i="4"/>
  <c r="J372" i="4"/>
  <c r="J371" i="4"/>
  <c r="J370" i="4"/>
  <c r="J369" i="4"/>
  <c r="J368" i="4"/>
  <c r="J367" i="4"/>
  <c r="J366" i="4"/>
  <c r="J365" i="4"/>
  <c r="J364" i="4"/>
  <c r="J308" i="4"/>
  <c r="J307" i="4"/>
  <c r="J306" i="4"/>
  <c r="J305" i="4"/>
  <c r="J304" i="4"/>
  <c r="J303" i="4"/>
  <c r="J271" i="4"/>
  <c r="J270" i="4"/>
  <c r="J269" i="4"/>
  <c r="J268" i="4"/>
  <c r="J267" i="4"/>
  <c r="J266" i="4"/>
  <c r="J265" i="4"/>
  <c r="J212" i="4"/>
  <c r="J211" i="4"/>
  <c r="J130" i="4"/>
  <c r="J129" i="4"/>
  <c r="J128" i="4"/>
  <c r="J127" i="4"/>
  <c r="J102" i="4"/>
  <c r="J98" i="4"/>
  <c r="J72" i="4"/>
  <c r="J65" i="4"/>
  <c r="J64" i="4"/>
  <c r="J363" i="4"/>
  <c r="J362" i="4"/>
  <c r="J264" i="4"/>
  <c r="J263" i="4"/>
  <c r="J262" i="4"/>
  <c r="J261" i="4"/>
  <c r="J260" i="4"/>
  <c r="J259" i="4"/>
  <c r="J210" i="4"/>
  <c r="J209" i="4"/>
  <c r="J208" i="4"/>
  <c r="J207" i="4"/>
  <c r="J183" i="4"/>
  <c r="J182" i="4"/>
  <c r="J181" i="4"/>
  <c r="J180" i="4"/>
  <c r="J160" i="4"/>
  <c r="J159" i="4"/>
  <c r="J158" i="4"/>
  <c r="J157" i="4"/>
  <c r="J156" i="4"/>
  <c r="J155" i="4"/>
  <c r="J154" i="4"/>
  <c r="J144" i="4"/>
  <c r="J143" i="4"/>
  <c r="J142" i="4"/>
  <c r="J141" i="4"/>
  <c r="J140" i="4"/>
  <c r="J139" i="4"/>
  <c r="J138" i="4"/>
  <c r="J126" i="4"/>
  <c r="J125" i="4"/>
  <c r="J104" i="4"/>
  <c r="J97" i="4"/>
  <c r="J88" i="4"/>
  <c r="J87" i="4"/>
  <c r="J86" i="4"/>
  <c r="J85" i="4"/>
  <c r="J81" i="4"/>
  <c r="J80" i="4"/>
  <c r="J79" i="4"/>
  <c r="J78" i="4"/>
  <c r="J77" i="4"/>
  <c r="J76" i="4"/>
  <c r="J63" i="4"/>
  <c r="J62" i="4"/>
  <c r="J61" i="4"/>
  <c r="J54" i="4"/>
  <c r="J26" i="4"/>
  <c r="J361" i="4"/>
  <c r="J360" i="4"/>
  <c r="J359" i="4"/>
  <c r="J302" i="4"/>
  <c r="J258" i="4"/>
  <c r="J257" i="4"/>
  <c r="J256" i="4"/>
  <c r="J206" i="4"/>
  <c r="J205" i="4"/>
  <c r="J204" i="4"/>
  <c r="J203" i="4"/>
  <c r="J202" i="4"/>
  <c r="J179" i="4"/>
  <c r="J178" i="4"/>
  <c r="J153" i="4"/>
  <c r="J152" i="4"/>
  <c r="J124" i="4"/>
  <c r="J123" i="4"/>
  <c r="J96" i="4"/>
  <c r="J71" i="4"/>
  <c r="J60" i="4"/>
  <c r="J59" i="4"/>
  <c r="J49" i="4"/>
  <c r="J48" i="4"/>
  <c r="J47" i="4"/>
  <c r="J25" i="4"/>
  <c r="J24" i="4"/>
  <c r="J23" i="4"/>
  <c r="J22" i="4"/>
  <c r="J21" i="4"/>
  <c r="J14" i="4"/>
  <c r="J13" i="4"/>
  <c r="J358" i="4"/>
  <c r="J357" i="4"/>
  <c r="J356" i="4"/>
  <c r="J355" i="4"/>
  <c r="J255" i="4"/>
  <c r="J254" i="4"/>
  <c r="J253" i="4"/>
  <c r="J201" i="4"/>
  <c r="J200" i="4"/>
  <c r="J122" i="4"/>
  <c r="J84" i="4"/>
  <c r="J58" i="4"/>
  <c r="J46" i="4"/>
  <c r="J20" i="4"/>
  <c r="J385" i="4"/>
  <c r="J354" i="4"/>
  <c r="J353" i="4"/>
  <c r="J352" i="4"/>
  <c r="J351" i="4"/>
  <c r="J350" i="4"/>
  <c r="J349" i="4"/>
  <c r="J348" i="4"/>
  <c r="J347" i="4"/>
  <c r="J346" i="4"/>
  <c r="J345" i="4"/>
  <c r="J344" i="4"/>
  <c r="J343" i="4"/>
  <c r="J342" i="4"/>
  <c r="J301" i="4"/>
  <c r="J300" i="4"/>
  <c r="J252" i="4"/>
  <c r="J251" i="4"/>
  <c r="J250" i="4"/>
  <c r="J249" i="4"/>
  <c r="J248" i="4"/>
  <c r="J247" i="4"/>
  <c r="J246" i="4"/>
  <c r="J245" i="4"/>
  <c r="J199" i="4"/>
  <c r="J198" i="4"/>
  <c r="J197" i="4"/>
  <c r="J177" i="4"/>
  <c r="J176" i="4"/>
  <c r="J175" i="4"/>
  <c r="J151" i="4"/>
  <c r="J150" i="4"/>
  <c r="J137" i="4"/>
  <c r="J136" i="4"/>
  <c r="J121" i="4"/>
  <c r="J120" i="4"/>
  <c r="J113" i="4"/>
  <c r="J112" i="4"/>
  <c r="J103" i="4"/>
  <c r="J101" i="4"/>
  <c r="J95" i="4"/>
  <c r="J83" i="4"/>
  <c r="J70" i="4"/>
  <c r="J53" i="4"/>
  <c r="J45" i="4"/>
  <c r="J44" i="4"/>
  <c r="J16" i="4"/>
  <c r="J341" i="4"/>
  <c r="J340" i="4"/>
  <c r="J339" i="4"/>
  <c r="J299" i="4"/>
  <c r="J298" i="4"/>
  <c r="J244" i="4"/>
  <c r="J243" i="4"/>
  <c r="J242" i="4"/>
  <c r="J241" i="4"/>
  <c r="J240" i="4"/>
  <c r="J239" i="4"/>
  <c r="J196" i="4"/>
  <c r="J195" i="4"/>
  <c r="J194" i="4"/>
  <c r="J193" i="4"/>
  <c r="J192" i="4"/>
  <c r="J191" i="4"/>
  <c r="J190" i="4"/>
  <c r="J189" i="4"/>
  <c r="J188" i="4"/>
  <c r="J174" i="4"/>
  <c r="J173" i="4"/>
  <c r="J149" i="4"/>
  <c r="J135" i="4"/>
  <c r="J111" i="4"/>
  <c r="J94" i="4"/>
  <c r="J43" i="4"/>
  <c r="J42" i="4"/>
  <c r="J41" i="4"/>
  <c r="J40" i="4"/>
  <c r="J39" i="4"/>
  <c r="J38" i="4"/>
  <c r="J37" i="4"/>
  <c r="J338" i="4"/>
  <c r="J337" i="4"/>
  <c r="J336" i="4"/>
  <c r="J335" i="4"/>
  <c r="J334" i="4"/>
  <c r="J333" i="4"/>
  <c r="J332" i="4"/>
  <c r="J331" i="4"/>
  <c r="J330" i="4"/>
  <c r="J329" i="4"/>
  <c r="J328" i="4"/>
  <c r="J327" i="4"/>
  <c r="J326" i="4"/>
  <c r="J297" i="4"/>
  <c r="J296" i="4"/>
  <c r="J295" i="4"/>
  <c r="J294" i="4"/>
  <c r="J293" i="4"/>
  <c r="J238" i="4"/>
  <c r="J237" i="4"/>
  <c r="J236" i="4"/>
  <c r="J187" i="4"/>
  <c r="J186" i="4"/>
  <c r="J172" i="4"/>
  <c r="J171" i="4"/>
  <c r="J170" i="4"/>
  <c r="J169" i="4"/>
  <c r="J168" i="4"/>
  <c r="J148" i="4"/>
  <c r="J147" i="4"/>
  <c r="J134" i="4"/>
  <c r="J119" i="4"/>
  <c r="J93" i="4"/>
  <c r="J75" i="4"/>
  <c r="J69" i="4"/>
  <c r="J57" i="4"/>
  <c r="J52" i="4"/>
  <c r="J36" i="4"/>
  <c r="J35" i="4"/>
  <c r="J34" i="4"/>
  <c r="J33" i="4"/>
  <c r="J28" i="4"/>
  <c r="J19" i="4"/>
  <c r="J18" i="4"/>
  <c r="J17" i="4"/>
  <c r="J15" i="4"/>
  <c r="J325" i="4"/>
  <c r="J324" i="4"/>
  <c r="J323" i="4"/>
  <c r="J322" i="4"/>
  <c r="J235" i="4"/>
  <c r="J185" i="4"/>
  <c r="J184" i="4"/>
  <c r="J167" i="4"/>
  <c r="J292" i="4"/>
  <c r="J321" i="4"/>
  <c r="J320" i="4"/>
  <c r="J319" i="4"/>
  <c r="J318" i="4"/>
  <c r="J317" i="4"/>
  <c r="J316" i="4"/>
  <c r="J315" i="4"/>
  <c r="J291" i="4"/>
  <c r="J290" i="4"/>
  <c r="J289" i="4"/>
  <c r="J234" i="4"/>
  <c r="J233" i="4"/>
  <c r="J232" i="4"/>
  <c r="J231" i="4"/>
  <c r="J230" i="4"/>
  <c r="J229" i="4"/>
  <c r="J228" i="4"/>
  <c r="J227" i="4"/>
  <c r="J226" i="4"/>
  <c r="J225" i="4"/>
  <c r="J224" i="4"/>
  <c r="J166" i="4"/>
  <c r="J165" i="4"/>
  <c r="J133" i="4"/>
  <c r="J118" i="4"/>
  <c r="J117" i="4"/>
  <c r="J116" i="4"/>
  <c r="J110" i="4"/>
  <c r="J109" i="4"/>
  <c r="J108" i="4"/>
  <c r="J107" i="4"/>
  <c r="J106" i="4"/>
  <c r="J100" i="4"/>
  <c r="J99" i="4"/>
  <c r="J74" i="4"/>
  <c r="J56" i="4"/>
  <c r="J51" i="4"/>
  <c r="J32" i="4"/>
  <c r="J31" i="4"/>
  <c r="J30" i="4"/>
  <c r="J27" i="4"/>
  <c r="J314" i="4"/>
  <c r="J288" i="4"/>
  <c r="J146" i="4"/>
  <c r="J115" i="4"/>
  <c r="J29" i="4"/>
  <c r="J73" i="4"/>
  <c r="J68" i="4"/>
  <c r="J50" i="4"/>
  <c r="J223" i="4"/>
  <c r="J287" i="4"/>
  <c r="J286" i="4"/>
  <c r="J285" i="4"/>
  <c r="J284" i="4"/>
  <c r="J222" i="4"/>
  <c r="J221" i="4"/>
  <c r="J220" i="4"/>
  <c r="J132" i="4"/>
  <c r="J92" i="4"/>
  <c r="J91" i="4"/>
  <c r="J90" i="4"/>
  <c r="J55" i="4"/>
  <c r="J110" i="1" l="1"/>
  <c r="J109" i="1"/>
  <c r="J49" i="1"/>
  <c r="J31" i="1"/>
  <c r="J131" i="1"/>
  <c r="J130" i="1"/>
  <c r="J158" i="1"/>
  <c r="J30" i="1"/>
  <c r="J48" i="1"/>
  <c r="J76" i="1"/>
  <c r="J52" i="1"/>
  <c r="J108" i="1"/>
  <c r="J107" i="1"/>
  <c r="J148" i="1"/>
  <c r="J47" i="1"/>
  <c r="J106" i="1"/>
  <c r="J67" i="1"/>
  <c r="J46" i="1"/>
  <c r="J81" i="1"/>
  <c r="J66" i="1"/>
  <c r="J129" i="1"/>
  <c r="J157" i="1"/>
  <c r="J128" i="1"/>
  <c r="J105" i="1"/>
  <c r="J147" i="1"/>
  <c r="J104" i="1"/>
  <c r="J103" i="1"/>
  <c r="J87" i="1"/>
  <c r="J59" i="1"/>
  <c r="J60" i="1"/>
  <c r="J45" i="1"/>
  <c r="J44" i="1"/>
  <c r="J29" i="1"/>
  <c r="J146" i="1"/>
  <c r="J156" i="1"/>
  <c r="J86" i="1"/>
  <c r="J28" i="1"/>
  <c r="J127" i="1"/>
  <c r="J85" i="1"/>
  <c r="J80" i="1"/>
  <c r="J155" i="1"/>
  <c r="J145" i="1"/>
  <c r="J144" i="1"/>
  <c r="J54" i="1"/>
  <c r="J43" i="1"/>
  <c r="J27" i="1"/>
  <c r="J26" i="1"/>
  <c r="J25" i="1"/>
  <c r="J167" i="1"/>
  <c r="J53" i="1"/>
  <c r="J143" i="1"/>
  <c r="J79" i="1"/>
  <c r="J42" i="1"/>
  <c r="J58" i="1"/>
  <c r="J166" i="1"/>
  <c r="J102" i="1"/>
  <c r="J65" i="1"/>
  <c r="J101" i="1"/>
  <c r="J88" i="1"/>
  <c r="J142" i="1"/>
  <c r="J41" i="1"/>
  <c r="J24" i="1"/>
  <c r="J64" i="1"/>
  <c r="J57" i="1"/>
  <c r="J40" i="1"/>
  <c r="J126" i="1"/>
  <c r="J141" i="1"/>
  <c r="J165" i="1"/>
  <c r="J140" i="1"/>
  <c r="J23" i="1"/>
  <c r="J22" i="1"/>
  <c r="J21" i="1"/>
  <c r="J125" i="1"/>
  <c r="J100" i="1"/>
  <c r="J99" i="1"/>
  <c r="J75" i="1"/>
  <c r="J39" i="1"/>
  <c r="J98" i="1"/>
  <c r="J124" i="1"/>
  <c r="J164" i="1"/>
  <c r="J139" i="1"/>
  <c r="J138" i="1"/>
  <c r="J137" i="1"/>
  <c r="J136" i="1"/>
  <c r="J154" i="1"/>
  <c r="J153" i="1"/>
  <c r="J152" i="1"/>
  <c r="J20" i="1"/>
  <c r="J51" i="1"/>
  <c r="J123" i="1"/>
  <c r="J122" i="1"/>
  <c r="J19" i="1"/>
  <c r="J135" i="1"/>
  <c r="J121" i="1"/>
  <c r="J120" i="1"/>
  <c r="J119" i="1"/>
  <c r="J118" i="1"/>
  <c r="J151" i="1"/>
  <c r="J74" i="1"/>
  <c r="J97" i="1"/>
  <c r="J78" i="1"/>
  <c r="J134" i="1"/>
  <c r="J163" i="1"/>
  <c r="J18" i="1"/>
  <c r="J96" i="1"/>
  <c r="J95" i="1"/>
  <c r="J94" i="1"/>
  <c r="J73" i="1"/>
  <c r="J72" i="1"/>
  <c r="J133" i="1"/>
  <c r="J56" i="1"/>
  <c r="J50" i="1"/>
  <c r="J63" i="1"/>
  <c r="J38" i="1"/>
  <c r="J37" i="1"/>
  <c r="J36" i="1"/>
  <c r="J35" i="1"/>
  <c r="J162" i="1"/>
  <c r="J150" i="1"/>
  <c r="J17" i="1"/>
  <c r="J93" i="1"/>
  <c r="J55" i="1"/>
  <c r="J149" i="1"/>
  <c r="J34" i="1"/>
  <c r="J117" i="1"/>
  <c r="J116" i="1"/>
  <c r="J84" i="1"/>
  <c r="J115" i="1"/>
  <c r="J16" i="1"/>
  <c r="J15" i="1"/>
  <c r="J62" i="1"/>
  <c r="J92" i="1"/>
  <c r="J114" i="1"/>
  <c r="J113" i="1"/>
  <c r="J14" i="1"/>
  <c r="J91" i="1"/>
  <c r="J90" i="1"/>
  <c r="J13" i="1"/>
  <c r="J71" i="1"/>
  <c r="J33" i="1"/>
  <c r="J77" i="1"/>
  <c r="J161" i="1"/>
  <c r="J70" i="1"/>
  <c r="J69" i="1"/>
  <c r="J61" i="1"/>
  <c r="J112" i="1"/>
  <c r="J132" i="1"/>
  <c r="J83" i="1"/>
  <c r="J82" i="1"/>
  <c r="J111" i="1"/>
  <c r="J32" i="1"/>
  <c r="J89" i="1"/>
  <c r="J68" i="1"/>
  <c r="J160" i="1"/>
  <c r="J159" i="1"/>
  <c r="B56" i="11" l="1"/>
  <c r="B57" i="11"/>
  <c r="B58" i="11"/>
  <c r="B59" i="11"/>
  <c r="B60" i="11"/>
  <c r="B61" i="11"/>
  <c r="B62" i="11"/>
  <c r="B63" i="11"/>
  <c r="B64" i="11"/>
  <c r="B65" i="11"/>
  <c r="B66" i="11"/>
  <c r="B67" i="11"/>
  <c r="C5" i="10" l="1"/>
  <c r="B3" i="11" s="1"/>
  <c r="C6" i="10"/>
  <c r="B4" i="11" s="1"/>
  <c r="C7" i="10"/>
  <c r="B5" i="11" s="1"/>
  <c r="C8" i="10"/>
  <c r="B6" i="11" s="1"/>
  <c r="C9" i="10"/>
  <c r="B7" i="11" s="1"/>
  <c r="C10" i="10"/>
  <c r="B8" i="11" s="1"/>
  <c r="C11" i="10"/>
  <c r="B9" i="11" s="1"/>
  <c r="C12" i="10"/>
  <c r="B10" i="11" s="1"/>
  <c r="C13" i="10"/>
  <c r="B11" i="11" s="1"/>
  <c r="C14" i="10"/>
  <c r="B12" i="11" s="1"/>
  <c r="C15" i="10"/>
  <c r="B13" i="11" s="1"/>
  <c r="C16" i="10"/>
  <c r="B14" i="11" s="1"/>
  <c r="C17" i="10"/>
  <c r="B15" i="11" s="1"/>
  <c r="C18" i="10"/>
  <c r="B16" i="11" s="1"/>
  <c r="C19" i="10"/>
  <c r="B17" i="11" s="1"/>
  <c r="C20" i="10"/>
  <c r="B18" i="11" s="1"/>
  <c r="C21" i="10"/>
  <c r="B19" i="11" s="1"/>
  <c r="C22" i="10"/>
  <c r="B20" i="11" s="1"/>
  <c r="C23" i="10"/>
  <c r="B21" i="11" s="1"/>
  <c r="C24" i="10"/>
  <c r="B22" i="11" s="1"/>
  <c r="C25" i="10"/>
  <c r="B23" i="11" s="1"/>
  <c r="C26" i="10"/>
  <c r="B24" i="11" s="1"/>
  <c r="C27" i="10"/>
  <c r="B25" i="11" s="1"/>
  <c r="C28" i="10"/>
  <c r="B26" i="11" s="1"/>
  <c r="C29" i="10"/>
  <c r="B27" i="11" s="1"/>
  <c r="C30" i="10"/>
  <c r="B28" i="11" s="1"/>
  <c r="C31" i="10"/>
  <c r="B29" i="11" s="1"/>
  <c r="C32" i="10"/>
  <c r="B30" i="11" s="1"/>
  <c r="C33" i="10"/>
  <c r="B31" i="11" s="1"/>
  <c r="C34" i="10"/>
  <c r="B32" i="11" s="1"/>
  <c r="C35" i="10"/>
  <c r="B33" i="11" s="1"/>
  <c r="C36" i="10"/>
  <c r="B34" i="11" s="1"/>
  <c r="C37" i="10"/>
  <c r="B35" i="11" s="1"/>
  <c r="C38" i="10"/>
  <c r="B36" i="11" s="1"/>
  <c r="C39" i="10"/>
  <c r="B37" i="11" s="1"/>
  <c r="C40" i="10"/>
  <c r="B38" i="11" s="1"/>
  <c r="C41" i="10"/>
  <c r="B39" i="11" s="1"/>
  <c r="C42" i="10"/>
  <c r="B40" i="11" s="1"/>
  <c r="C43" i="10"/>
  <c r="B41" i="11" s="1"/>
  <c r="C44" i="10"/>
  <c r="B42" i="11" s="1"/>
  <c r="C45" i="10"/>
  <c r="B43" i="11" s="1"/>
  <c r="C46" i="10"/>
  <c r="B44" i="11" s="1"/>
  <c r="C47" i="10"/>
  <c r="B45" i="11" s="1"/>
  <c r="C48" i="10"/>
  <c r="B46" i="11" s="1"/>
  <c r="C49" i="10"/>
  <c r="B47" i="11" s="1"/>
  <c r="C50" i="10"/>
  <c r="B48" i="11" s="1"/>
  <c r="C51" i="10"/>
  <c r="B49" i="11" s="1"/>
  <c r="C52" i="10"/>
  <c r="B50" i="11" s="1"/>
  <c r="C53" i="10"/>
  <c r="B51" i="11" s="1"/>
  <c r="C54" i="10"/>
  <c r="B52" i="11" s="1"/>
  <c r="C55" i="10"/>
  <c r="B53" i="11" s="1"/>
  <c r="C56" i="10"/>
  <c r="B54" i="11" s="1"/>
  <c r="C57" i="10"/>
  <c r="B55" i="11" s="1"/>
  <c r="C4" i="10"/>
  <c r="B2" i="11" s="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4" i="9"/>
</calcChain>
</file>

<file path=xl/sharedStrings.xml><?xml version="1.0" encoding="utf-8"?>
<sst xmlns="http://schemas.openxmlformats.org/spreadsheetml/2006/main" count="3783" uniqueCount="2149">
  <si>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</si>
  <si>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</si>
  <si>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</si>
  <si>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</si>
  <si>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</si>
  <si>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</si>
  <si>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</si>
  <si>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</si>
  <si>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</si>
  <si>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</si>
  <si>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Instructions:</t>
    </r>
    <r>
      <rPr>
        <sz val="11"/>
        <color theme="1"/>
        <rFont val="Arial Narrow"/>
        <family val="2"/>
      </rPr>
      <t xml:space="preserve"> Identify all </t>
    </r>
    <r>
      <rPr>
        <b/>
        <sz val="11"/>
        <color theme="1"/>
        <rFont val="Arial Narrow"/>
        <family val="2"/>
      </rPr>
      <t>furnitures and fixtures in the respective department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</si>
  <si>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</si>
  <si>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</si>
  <si>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</si>
  <si>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</si>
  <si>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</si>
  <si>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</si>
  <si>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</si>
  <si>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</si>
  <si>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</si>
  <si>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</si>
  <si>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Please do not include medical equipment in laboratory and radiology departments/units.</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</si>
  <si>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</si>
  <si>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</si>
  <si>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</si>
  <si>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</si>
  <si>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</si>
  <si>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</si>
  <si>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</si>
  <si>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</si>
  <si>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</si>
  <si>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</si>
  <si>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</si>
  <si>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</si>
  <si>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</si>
  <si>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</si>
  <si>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</si>
  <si>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</si>
  <si>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</si>
  <si>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</si>
  <si>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</si>
  <si>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</si>
  <si>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</si>
  <si>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</si>
  <si>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</si>
  <si>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</si>
  <si>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</si>
  <si>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</si>
  <si>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</si>
  <si>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</si>
  <si>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</si>
  <si>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</si>
  <si>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</si>
  <si>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</si>
  <si>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</si>
  <si>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</si>
  <si>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</si>
  <si>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</si>
  <si>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</si>
  <si>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</si>
  <si>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</si>
  <si>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</si>
  <si>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</si>
  <si>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</si>
  <si>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</si>
  <si>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</si>
  <si>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</si>
  <si>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</si>
  <si>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</si>
  <si>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</si>
  <si>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</si>
  <si>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</si>
  <si>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</si>
  <si>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</si>
  <si>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</si>
  <si>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</si>
  <si>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</si>
  <si>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</si>
  <si>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</si>
  <si>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</si>
  <si>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</si>
  <si>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</si>
  <si>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</si>
  <si>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</si>
  <si>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</si>
  <si>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</si>
  <si>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</si>
  <si>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</si>
  <si>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</si>
  <si>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</si>
  <si>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</si>
  <si>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</si>
  <si>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</si>
  <si>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</si>
  <si>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</si>
  <si>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</si>
  <si>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</si>
  <si>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</si>
  <si>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</si>
  <si>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</si>
  <si>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</si>
  <si>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</si>
  <si>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</si>
  <si>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</si>
  <si>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</si>
  <si>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</si>
  <si>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</si>
  <si>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</si>
  <si>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</si>
  <si>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</si>
  <si>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</si>
  <si>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</si>
  <si>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</si>
  <si>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Level I</t>
  </si>
  <si>
    <t>Procurement /Donation value</t>
  </si>
  <si>
    <t>Quantity</t>
  </si>
  <si>
    <t>E-17-06-000448</t>
  </si>
  <si>
    <t>Air conditioner</t>
  </si>
  <si>
    <t>3.0 Toner Split Type Floor Mounted Cooling Capacity: 37,980 KJ/Hr Power: 3,400 watts Current: 15.9 amperes Power Supply: 230V, 1 Phase, 60Hz (Carrier FP-53ASBFM360) , Supplier: Imperial Appliance , PO # 17-02-000101 , Delivery Date: March 06,2017</t>
  </si>
  <si>
    <t>E-17-06-000449</t>
  </si>
  <si>
    <t>1.5 HP Window Type Manual Cooling Capacity: 12,660 KJ/Hr , Supplier: Imperial Appliance , PO # 17-02-000101 , Delivery Date: March 06,2017</t>
  </si>
  <si>
    <t>E-2873</t>
  </si>
  <si>
    <t>Carrier 2HP SN: 0406831 September 25, 2009</t>
  </si>
  <si>
    <t>E-13-06-3449</t>
  </si>
  <si>
    <t xml:space="preserve">Airconditioner </t>
  </si>
  <si>
    <t>3 toner split ype, floor mounted w/ evaporator Serial # __________Outside__________ Model: KFM-400IJ Brand: Kolin           June 2013 - Saver's Mart</t>
  </si>
  <si>
    <t>E-2033</t>
  </si>
  <si>
    <t>Office table</t>
  </si>
  <si>
    <t>30 x 62 x 30 varnish finish with 3 drawers, 2000</t>
  </si>
  <si>
    <t>E-14-04-3696</t>
  </si>
  <si>
    <t>Airconditioner</t>
  </si>
  <si>
    <t>1HP window type (Kolin) 5 yrs warranty ; SN: 13341211-39411- Saver's Mart Angeles , PO# 14-02-000064 dtd 2/18/14</t>
  </si>
  <si>
    <t>E-3269</t>
  </si>
  <si>
    <t>2HP Manual window type Carrier SN. B11PCO165756, March 23, 2011, TRANSFER FROM Valencia, Clarence TO DURAL-BULAON MD / SUCALDITO MD</t>
  </si>
  <si>
    <t>E-3269A</t>
  </si>
  <si>
    <t>2hp, window type, Carrier,March 23, 2011, TRANSFER FROM Valencia, Clarence TO DURAL-BULAON MD / SUCALDITO MD</t>
  </si>
  <si>
    <t>E-15-10-4050</t>
  </si>
  <si>
    <t>Steel locker</t>
  </si>
  <si>
    <t>Steel locker, with 16 partitions/cabinets, each partition/cabinet measures 18 inches. Width: at least 6 feet, Height: at least 6 feet, Supplier-LGY, 15-10-000426, 10-07-15 , TRANSFER FROM Valencia, Clarence TO DURAL-BULAON MD / SUCALDITO MD</t>
  </si>
  <si>
    <t>E-14-10-3806</t>
  </si>
  <si>
    <t>Window type 2HP (Brand amtrix ) 1 yr warranty 5 yrs on parts and services PO # 14-9-232 del 10/13/14 Simpao Marketing Serial # JAA0CAD2093535000117</t>
  </si>
  <si>
    <t>E-2739</t>
  </si>
  <si>
    <t>Condura 2HP, July 3, 2008</t>
  </si>
  <si>
    <t>E-2819</t>
  </si>
  <si>
    <t>Carrier, February 16, 2009</t>
  </si>
  <si>
    <t>E-2843</t>
  </si>
  <si>
    <t>Carrier 2HP window type SN: 0748439, February 12, 2009</t>
  </si>
  <si>
    <t>E-17-06-000450</t>
  </si>
  <si>
    <t>E-2984</t>
  </si>
  <si>
    <t>2HP Carrier window type, manual SN. B10PCO161038, July 23, 2010</t>
  </si>
  <si>
    <t>E-400</t>
  </si>
  <si>
    <t>2 HP Carrier, 2000</t>
  </si>
  <si>
    <t>E-2814</t>
  </si>
  <si>
    <t>2HP Carrier, window type, 5 in 1 series with filter, heavy duty February 11, 2009</t>
  </si>
  <si>
    <t>E-1882</t>
  </si>
  <si>
    <t xml:space="preserve">Cabinet </t>
  </si>
  <si>
    <t>Steel, Safety Vault</t>
  </si>
  <si>
    <t>E-2951</t>
  </si>
  <si>
    <t>Table</t>
  </si>
  <si>
    <t>Manager's table w/ back drawer &amp; chest, drawer 1.6m (4/13/2013</t>
  </si>
  <si>
    <t xml:space="preserve">E-13-04-3432 </t>
  </si>
  <si>
    <t>2hp, manual, window type, (Kopel), 2013 (transfer to Mrs. Ilagan HOPSS from Ma. Jesusa U. Perez)</t>
  </si>
  <si>
    <t>E2814</t>
  </si>
  <si>
    <t>2hp, window type</t>
  </si>
  <si>
    <t>E-14-03-3680</t>
  </si>
  <si>
    <t>Split Type, Wall Mounted Aircon, with Installation, 5 yrs warranty on Compressor , 1 yr warranty on parts and services.; - Saver's Mart Angeles , PO# 14-03-000080 dtd 3/21/14 SN: 16011310-11394</t>
  </si>
  <si>
    <t>E-14-03-3676</t>
  </si>
  <si>
    <t xml:space="preserve">Split Type, Wall Mounted Aircon, with Installation, 5 yrs warranty on Compressor , 1 yr warranty on parts and services.; - Saver's Mart Angeles , PO# 14-03-000080 dtd 3/21/14 </t>
  </si>
  <si>
    <t>E-13-06-3448</t>
  </si>
  <si>
    <t>3 toner split ype, floor mounted w/ evaporator Serial #1063130413914 Model: KFM-400IJ Brand: Kolin           June 2013 - Saver's Mart</t>
  </si>
  <si>
    <t>E-2949</t>
  </si>
  <si>
    <t>Manager's table</t>
  </si>
  <si>
    <t>w/ black and chest drawer 1.6m</t>
  </si>
  <si>
    <t>E-2092</t>
  </si>
  <si>
    <t>Filing Cabinet</t>
  </si>
  <si>
    <t>Steel, with vault and safety lock</t>
  </si>
  <si>
    <t>w/ back drawer &amp; chest drawer 1.6m</t>
  </si>
  <si>
    <t>E-14-05-3726</t>
  </si>
  <si>
    <t>1HP window type (Kolin) 5 yrs warranty ; SN: 13341305-41626- Saver's Mart Angeles , PO# 14-02-000064 dtd 2/18/14</t>
  </si>
  <si>
    <t>E-2963</t>
  </si>
  <si>
    <t>w/ back drawer &amp; chest drawer 4.8m. (Dr. Chichioco), 2011</t>
  </si>
  <si>
    <t>E-14-07-3739</t>
  </si>
  <si>
    <t>3 toner split ype, floor mounted w/ evaporator Brand: Kolin 2 years warranty on motor compressor SN Indoor: 10631311-15998 / SN Outdoor: 10641311-15976 - Saver's Mart, PO# 14-06-000157 dtd 6/26/14</t>
  </si>
  <si>
    <t>E-14-03-3666</t>
  </si>
  <si>
    <t>3 toner split ype, floor mounted w/ evaporator Brand: Kolin 2 years warranty on motor compressor SN: 10631309-15073 Lot #  106313005 - Saver's Mart, March 3, 2014 PO 14-02-000064 (COMPS Office)</t>
  </si>
  <si>
    <t>E-2096</t>
  </si>
  <si>
    <t>National 2HP, 2000</t>
  </si>
  <si>
    <t>E-16-08-4164</t>
  </si>
  <si>
    <t>Airconditioner, 2HP Window-Type Aircondition, 220v, 60hz, 18000 kjh, 2118w, 9.7amp. Warranty period - 1 year on parts and service, 5 years on compressor, Supplier - Imperial Appliance Plaza, PO 16-06-000175, Delivery Date - 16 June 2016</t>
  </si>
  <si>
    <t>E-3362</t>
  </si>
  <si>
    <t>Condura Infiniti (From Dr. Papio) 2005</t>
  </si>
  <si>
    <t>E-13-06-3445</t>
  </si>
  <si>
    <t>2hp, window type. SN 13601211 PO3-06-000200 2013</t>
  </si>
  <si>
    <t>E-2091</t>
  </si>
  <si>
    <t>Steel with 4 drawers and with safety vault</t>
  </si>
  <si>
    <t>E-16-02-4135</t>
  </si>
  <si>
    <t>Freezer</t>
  </si>
  <si>
    <t>Freezer, chest type, 11 cu. Ft. (GE Brand), Supplier: Savers Electronic World Inc. PO 16-02-000061 dtd 02-23-16</t>
  </si>
  <si>
    <t>E-17-03-000067</t>
  </si>
  <si>
    <t>AIRCONDITIONER</t>
  </si>
  <si>
    <t>AIRCONDITIONER, 2.0 HP WINDOW TYPE, ACU MANUAL, COOLING CAPACITY:19,000KJ/HR, POWER : 1,880 W, EER : 10.11KJ/W-HR, CURRENT : 8.17 AMP , POWER SUPPLY : 230V , 1PHASE , 60HZ , CARRIER WCARH-019EA) , SUPPLIER : IMPERIAL APPLIANCE PO# 17-02-000101 DTD 03-06-2017</t>
  </si>
  <si>
    <t>E-2384-2386</t>
  </si>
  <si>
    <t>1.5 HP Condura w/o timer, 2000</t>
  </si>
  <si>
    <t>E-2398-2400</t>
  </si>
  <si>
    <t>Split type 3 tonner Carrier, 2000</t>
  </si>
  <si>
    <t>E-2401, 2402</t>
  </si>
  <si>
    <t>Condura 2HP SN 046444842, 046444854, 2000</t>
  </si>
  <si>
    <t>E-2404-2405</t>
  </si>
  <si>
    <t>2HP 220 v w/timer (Condura) w/ SN 46830883, 46830716, 46803271, 2000</t>
  </si>
  <si>
    <t>E-2778-2781</t>
  </si>
  <si>
    <t>2HP Carrier SN: 0070808, 03099437, 0088690, 0070812, 2008</t>
  </si>
  <si>
    <t>E-2445</t>
  </si>
  <si>
    <t>Condura, SN 046830907 -Infirmary 2,  2002</t>
  </si>
  <si>
    <t>E-2686-2689</t>
  </si>
  <si>
    <t>1/2 hp Carrier Brand Model FCIA 055 BP March 21, 2005</t>
  </si>
  <si>
    <t>E-15-01-3850</t>
  </si>
  <si>
    <t>wall mounted, 2hp, w/ remote control Supplier: Simpao Marketing  PO 14-12-00301  Date of Delivery:  Jan. 5, 2015 SN: Indoor JG501228/Outdoor SN JG541248</t>
  </si>
  <si>
    <t>E-2836</t>
  </si>
  <si>
    <t>1.5HP Carrier with 14EA SN: 0203159 May 19, 2009</t>
  </si>
  <si>
    <t>E-2837-2839</t>
  </si>
  <si>
    <t>1HP Carrier with CAR FO 10EA SN: 0221433, 0221434, 0221429 May 19, 2009</t>
  </si>
  <si>
    <t>E-13--03-3408-3409</t>
  </si>
  <si>
    <t>2hp, window type LG SN: 207TAWS00367 &amp; 207TAZF 00237,  2013</t>
  </si>
  <si>
    <t>E-13-06-3446</t>
  </si>
  <si>
    <t>2hp, window type (Kolin) Serial #13601211-19530, Minor ER  (2013)</t>
  </si>
  <si>
    <t>E-13-04-3434</t>
  </si>
  <si>
    <t>Conference Table</t>
  </si>
  <si>
    <t>6 seaters 3 x 6 natural color, palot china, lumber, wood (HEMS) 2013</t>
  </si>
  <si>
    <t>E-3012-3015</t>
  </si>
  <si>
    <t xml:space="preserve"> Ganged chair</t>
  </si>
  <si>
    <t>2.4mx60m</t>
  </si>
  <si>
    <t>E-17-03-000063 / E-17-03-000064 / E-17-03-000065 / E-17-03-000066</t>
  </si>
  <si>
    <t>AIRCONDITIONER, 3.0 TONER SPLIT TYPE FLOOR MOUNTED COOLING CAPACITY : 37,980 KJ/HR , POWER : 3,400W , CURRENT : 15.9AMP , POWER SUPPLY : 230V , 1 PHASE , 60HZ (CARRIER FP-53ASBFM360) , SUPPLIER - IMPERIAL APPLIANCE , PO 17-02-000101 , DTD 03-06-17</t>
  </si>
  <si>
    <t>E-15-07-4020/ E-15-07-4021</t>
  </si>
  <si>
    <t>Aiconditioning unit, 2hp, window-type (Kolin) SN: 13761408-13664/ 13761408-13702, Supplier: Savers Appliance Store, 15-07-000239, 07-02-16</t>
  </si>
  <si>
    <t>E-2983</t>
  </si>
  <si>
    <t>Carrier 2HP, window type Manual 5 in 1 series 5 way fertilization SN: B10PC0161058 july 23, 2010</t>
  </si>
  <si>
    <t>E-13-06-3442</t>
  </si>
  <si>
    <t>3 toner split ype, floor mounted w/ evaporator Serial # 10631304-14090 Outside10641304-139671 Model: KFM-400IJ Brand: Kolin,  June 2013 - Saver's Mart</t>
  </si>
  <si>
    <t>E-2911</t>
  </si>
  <si>
    <t>2HP, Carrier SN: 0406836 (Donation from DOH - GFR6) 2009</t>
  </si>
  <si>
    <t>E-16-03-4137</t>
  </si>
  <si>
    <t>Airconditioner, CONDURA A/C FP WCONX014EC 1.5hp, Date Received Feb 23, 2016, Model: WCONX014EC, S# 51CH3RACCON14KEC, DONATION - Philippine Business for Social Progress (PBSP)</t>
  </si>
  <si>
    <t>E-14-03-3682</t>
  </si>
  <si>
    <t xml:space="preserve">Split Type, Wall Mounted Aircon, with Installation, 5 yrs warranty on Compressor , 1 yr warranty on parts and services.; SN:16011310-11394 - Saver's Mart Angeles , PO# 14-03-000080 dtd 3/21/14 </t>
  </si>
  <si>
    <t>E-14-10-3804</t>
  </si>
  <si>
    <t>Split type wall mounted evaporator w/ installation 2Hp (Brand Matrix) w/ warranty Simpao Marketing PO # 14-09-232 10/13/14 @ VIP ROOM</t>
  </si>
  <si>
    <t>E-14-11-3815-3820</t>
  </si>
  <si>
    <t>Recliner Split Leather Black</t>
  </si>
  <si>
    <t>Cash Advance Dra Lee Ambiance One Furniture</t>
  </si>
  <si>
    <t>E-14-03-3677 - 14-03-3678</t>
  </si>
  <si>
    <t xml:space="preserve">Split Type, Wall Mounted Aircon, with Installation, 5 yrs warranty on Compressor , 1 yr warranty on parts and services.; 3677 SN:167011311-11590; 3678 SN: 167011310 -11502 - Saver's Mart Angeles , PO# 14-03-000080 dtd 3/21/14 </t>
  </si>
  <si>
    <t>E-15-05-3986</t>
  </si>
  <si>
    <t>Air conditioning units, 2HP window type (American Home Brand) May 12, 2015</t>
  </si>
  <si>
    <t>E-1745</t>
  </si>
  <si>
    <t>Carrier 2000 NOTE: From Manzano, Carlota, M.D. -to- Galvan, Gil Bryan MD</t>
  </si>
  <si>
    <t>E-14-05-3724</t>
  </si>
  <si>
    <t>1HP window type (Kolin) 5 yrs warranty ; 3724 -  SN: 13341211-39568 - Saver's Mart Angeles , PO# 14-02-000064 dtd 2/18/14 NOTE - From Palsimon, Salome -to- Gonzales, Lorna</t>
  </si>
  <si>
    <t>E-14-05-3725</t>
  </si>
  <si>
    <t>1HP window type (Kolin) 5 yrs warranty  SN: 13341310-42505  - Saver's Mart Angeles , PO# 14-02-000064 dtd 2/18/15 NOTE - From Palsimon, Salome -to- Paule, Diosdado</t>
  </si>
  <si>
    <t>E-2431</t>
  </si>
  <si>
    <t>2HP 220 volts with timer, 2002</t>
  </si>
  <si>
    <t>SE-3017,3018, 3024,30254</t>
  </si>
  <si>
    <t>Ganged chair</t>
  </si>
  <si>
    <t>NOTE - From Palsimon, Salome -to- Miranda, Andres</t>
  </si>
  <si>
    <t>E-16-02-4130</t>
  </si>
  <si>
    <t xml:space="preserve">Airconditioner, CONDURA, FP WCONX019EA1, 2hp, S# T159PC0715534, Donated by Zafire Distributor, Inc. Received Feb 05, 2016 </t>
  </si>
  <si>
    <t>E-16-02-4131</t>
  </si>
  <si>
    <t>Airconditioner, PANASONIC, 2HP, Model: CW-SC125VPH, S# 5D1010183, DONATION from Sta. Ana Enterprises, Dated Feb. 10, 2016</t>
  </si>
  <si>
    <t>E-16-02-4132</t>
  </si>
  <si>
    <t>PANASONIC AIRCON, 2HP, Model: CW-SC125VPH, Serial #: 5D1010170, DONATION from Sta. Ana Enterprises, dtd. Feb 10, 2016</t>
  </si>
  <si>
    <t>E-15-04-3970</t>
  </si>
  <si>
    <t>1Hp window aircon SN: D202202530114410150327 Donation from MRL Cybertec for Cryostat Machine)</t>
  </si>
  <si>
    <t>E-15-11-4051</t>
  </si>
  <si>
    <t>Aircondition unit, widow-type, 2HP, Manual (CWSC-185EPH), Supplier- Imperial Appliance Plaza, 15-10-000455, 11-05-15</t>
  </si>
  <si>
    <t>E-15-11-4052</t>
  </si>
  <si>
    <t>E-16-02-4134</t>
  </si>
  <si>
    <t>Airconditioner 3.0 toner, floor mounted, including supply of manpower, tools,materials and consumables (Carrier 3TR Floor Mounted), Supplier- Savers Electronic World, Inc. PO 15-12-000570, dtd. Dec 09-15</t>
  </si>
  <si>
    <t>E-17-07-000509 TO -000510</t>
  </si>
  <si>
    <t>2.0 Window Type ACU Manual, Cooling Capacity: 19,000 KJ/Hr, Power: 1,880 watts, EER: 10.11 KJ/W-Hr, Current: 8.17 amperes , Power Supply: 230V, 1Phase, 60Hz (Carrier WCARH-019EA),  Supplier: Imperial Appliance, PO # 17-02-000101, Delivery Date: March 06,2017</t>
  </si>
  <si>
    <t>E-14-03-3681</t>
  </si>
  <si>
    <t>Split Type, Wall Mounted Aircon, with Installation, 5 yrs warranty on Compressor , 1 yr warranty on parts and services.; - Saver's Mart Angeles , PO# 14-03-000080 dtd 3/21/14  (Mimeo Room) SN: 16011311-11599,</t>
  </si>
  <si>
    <t>E-13-03-3407</t>
  </si>
  <si>
    <t>1.5 hp, manual, window type (Koppel), 2013</t>
  </si>
  <si>
    <t>E-2048</t>
  </si>
  <si>
    <t>Fedders 220v , 2000</t>
  </si>
  <si>
    <t>E-2909</t>
  </si>
  <si>
    <t>Window type , 2HP Carrier, Manual 5 in 1 series  September 25, 2009</t>
  </si>
  <si>
    <t>E-13-06-3440</t>
  </si>
  <si>
    <t xml:space="preserve">window type, 2hp KWR 184, June 2013 </t>
  </si>
  <si>
    <t>E-13-06-3444</t>
  </si>
  <si>
    <t>3 toner split ype, floor mounted w/ evaporator Brand: Kolin Model: KFM-400IJ,  SN: 10631304-13914 SN:106313001 June 2013 - Saver's Mart (COH Office)</t>
  </si>
  <si>
    <t>E-14-03-3667</t>
  </si>
  <si>
    <t>3 toner split ype, floor mounted w/ evaporator Brand: Kolin 2 years warranty on motor compressor SN: 10631309-15072 Lot #  106313005 - Saver's Mart, March 3, 2014 PO 14-02-000064 (Board Room)</t>
  </si>
  <si>
    <t>E-2049</t>
  </si>
  <si>
    <t>Cabinet</t>
  </si>
  <si>
    <t>Steel w/ 4 drawers and w/safety vault</t>
  </si>
  <si>
    <t>E-2051</t>
  </si>
  <si>
    <t>Sala Set</t>
  </si>
  <si>
    <t>mint green - 3 pcs.</t>
  </si>
  <si>
    <t>E-3276</t>
  </si>
  <si>
    <t>Manager's table w/ back drawer &amp; chest drawer 1.6m</t>
  </si>
  <si>
    <t>E-15-11-4053</t>
  </si>
  <si>
    <t>Window-type, 2HP, Manual (CWSC-185 EPH), Supplier- Imperial Appliance Plaza, 15-10-000455, 11-05-15</t>
  </si>
  <si>
    <t>E-17-07-000486</t>
  </si>
  <si>
    <t>2.0 HP Split type ACU Wall mounted , Cooling capacity: 17,750 KJ/Hr , Power: 1,650 watts , EER: 10.8 KJ/W-Hr , Current: 7.17 amperes , Power Supply: 230V, 1 phase, 60Hz (Koppel) , Supplier: Extreme Cool Ref &amp; Airconditioning , PO # 17-02-000102 , Delivery Date: 28 February 2017</t>
  </si>
  <si>
    <t>E-15-07-4018</t>
  </si>
  <si>
    <t>Aiconditioning unit, 2hp, window-type (Kolin) SN: 13761408-12700, Supplier: Savers Appliance Store, 15-07-000239, 07-02-15</t>
  </si>
  <si>
    <t>E-14-03-3679</t>
  </si>
  <si>
    <t>Split Type, Wall Mounted Aircon, with Installation, 5 yrs warranty on Compressor , 1 yr warranty on parts and services.; - Saver's Mart Angeles , PO# 14-03-000080 dtd 3/21/14 SN: 16011311-11737</t>
  </si>
  <si>
    <t>E-2055</t>
  </si>
  <si>
    <t>Fedders from OPD,  2000</t>
  </si>
  <si>
    <t>E-2698</t>
  </si>
  <si>
    <t>2.5HP Panasonic SN: 451701655 July 22, 2005</t>
  </si>
  <si>
    <t>E-2806</t>
  </si>
  <si>
    <t>Carrier 2HP WCARPO 19EA Window type October 17, 2008</t>
  </si>
  <si>
    <t>E-3231</t>
  </si>
  <si>
    <t>Carrier, 0.6hp window type manual (transfer to ICU-Medicine from Ma. Jesusa U. perez)</t>
  </si>
  <si>
    <t>E-2381</t>
  </si>
  <si>
    <t>2HP 220V w/o timer (Condura), 2000</t>
  </si>
  <si>
    <t>E-15-07-4016,     15-07-4017</t>
  </si>
  <si>
    <t>Evaporative cooler</t>
  </si>
  <si>
    <t>evaporative cooler/fan, heavy duty (Iwata/Breeze)</t>
  </si>
  <si>
    <t>E-3293</t>
  </si>
  <si>
    <t>window type 2HP Carrier, 2012</t>
  </si>
  <si>
    <t>E-13-06-3443</t>
  </si>
  <si>
    <t>3 toner split ype, floor mounted w/ evaporator, Brand: Kolin  Serial #10631304-14090 Model: KFM-400IJ           June 2013 - Saver's Mart</t>
  </si>
  <si>
    <t>E-2738</t>
  </si>
  <si>
    <t>Split type 1.5HP Carrier Split wall mounted, March 17, 2008 (from Billing Tomasina Sicat)</t>
  </si>
  <si>
    <t>E-13-02-3400</t>
  </si>
  <si>
    <t>1hp, window type, Carrier, 2013</t>
  </si>
  <si>
    <t>E-17-07-000487</t>
  </si>
  <si>
    <t>E-2701</t>
  </si>
  <si>
    <t>2HP Carier w/o timer, July 19, 2005</t>
  </si>
  <si>
    <t>E-1990</t>
  </si>
  <si>
    <t>Nation al 2 HP SN. 872410271, 2000</t>
  </si>
  <si>
    <t>E-2991</t>
  </si>
  <si>
    <t>2HP Carrier,window typeSN. S52THW MS (PH) (9/17/2010)</t>
  </si>
  <si>
    <t>E-15-11-4056/ E-15-11-4057/ E-15-11-4058</t>
  </si>
  <si>
    <t>Aircondition unit, window-type, 2hp, Manual (CWSC-185 EPH)</t>
  </si>
  <si>
    <t>E-2566</t>
  </si>
  <si>
    <t>Carrier SN: 015405593 March 11, 2003 NOTE - From Velasquez, Roma-Myka MD -to- Lopez, Melisa MD</t>
  </si>
  <si>
    <t>E-17-07-000484 TO -000485</t>
  </si>
  <si>
    <t>E-1421</t>
  </si>
  <si>
    <t>2HP Carrier</t>
  </si>
  <si>
    <t>E-1421A</t>
  </si>
  <si>
    <t>2HP with SN: 046834222</t>
  </si>
  <si>
    <t>E-2840</t>
  </si>
  <si>
    <t>2HP Carrier with 5 stage of air filter SN: 0748424</t>
  </si>
  <si>
    <t>E-2395</t>
  </si>
  <si>
    <t>2HP 220v with timer Condura, 2000</t>
  </si>
  <si>
    <t>E-13-03-3405</t>
  </si>
  <si>
    <t>2hp, manual, window type (Koppel) 2003</t>
  </si>
  <si>
    <t>E15-05-3987</t>
  </si>
  <si>
    <t>2HP windowtype (American Home Brand)</t>
  </si>
  <si>
    <t>E-15-11-4059</t>
  </si>
  <si>
    <t>Aircondition unit, window-type, 2hp, Manual (CWSC-185 EPH), Supplier- Imperial Appliance Plaza, 15-10-000455</t>
  </si>
  <si>
    <t>E-16-10-4302 -to- 4303</t>
  </si>
  <si>
    <t>Airconditioner, 2HP Window-Type Aircondition, 220v, 60hz, 18000 kjh, 2118w, 9.7amp. Warranty period - 1 year on parts and service, 5 years on compressor, Supplier Savers Electronic World, Inc. , PO 16-10-000336, Delivery Date - 10 October 2017</t>
  </si>
  <si>
    <t>E-2982</t>
  </si>
  <si>
    <t>2hp , Brand; Carrier,  window type, manual July 23, 2010</t>
  </si>
  <si>
    <t>E-3296</t>
  </si>
  <si>
    <t>Carrier 2HP Window type, manual Sn: 51PMXRACCAR 19KEA November 3, 2011</t>
  </si>
  <si>
    <t>E14-07-3740 - 14-07-3741</t>
  </si>
  <si>
    <t>Split type 2 HP, wall mounted aircon w/ installation (KOLIN) 5 yrs on motor compressor, 1 yr on major parts and services PO# 14-06-157 Savers Mart Angeles SN:166061311-11083 / 16061311-11425 Outdoor 16051311-11335/ 16051311-11034 Indoor</t>
  </si>
  <si>
    <t>E-3021 to 3023</t>
  </si>
  <si>
    <t>Ganged Chair</t>
  </si>
  <si>
    <t>Steel</t>
  </si>
  <si>
    <t>E3214 to 3223</t>
  </si>
  <si>
    <t>2HP, manual window type, Carrier ;SN: B11 PCO 165767 , B11 PCO 165770 , B11 PCO 164734 ,B11 PCO 165731 ,B11 PCO 165738, B11 PCO 165752 , B11 PCO165753,  ,B11 PCO 165737 , ,B11 PCO165727,B11 PCO 165726,B11 PCO165749,B11 PCO165740,B11 PCO 165766,B11 PCO165772, April 1, 2011</t>
  </si>
  <si>
    <t>E-16-10-4299 -to- 4301</t>
  </si>
  <si>
    <t>Airconditioner, 2HP Window-Type Aircondition, 220v, 60hz, 18000 kjh, 2118w, 9.7amp. Warranty period - 1 year on parts and service, 5 years on compressor, Supplier Savers Electronic World, Inc. , PO 16-10-000336, Delivery Date - 10 October 2016</t>
  </si>
  <si>
    <t>E 15-07-4019</t>
  </si>
  <si>
    <t>Airconditioning unit</t>
  </si>
  <si>
    <t>2HP, window type (KOLIN) Serial No: 13761408-13387 (July 02, 2015)</t>
  </si>
  <si>
    <t>E-2540</t>
  </si>
  <si>
    <t>2HP 220v with timer Condura</t>
  </si>
  <si>
    <t>E-2268</t>
  </si>
  <si>
    <t>window, 2hp june 21, 2000</t>
  </si>
  <si>
    <t>E-2111</t>
  </si>
  <si>
    <t>Fedders 2HP, 2000</t>
  </si>
  <si>
    <t>E-2871</t>
  </si>
  <si>
    <t>2HP window type Condura SN: 141607646, 2006</t>
  </si>
  <si>
    <t>E-2660</t>
  </si>
  <si>
    <t>2HP Condura February 10, 2005</t>
  </si>
  <si>
    <t>E-3270</t>
  </si>
  <si>
    <t>LG Model LA 150 M67, window type SN. 710TAW00250 December 5, 2011</t>
  </si>
  <si>
    <t>E-13-04-3433</t>
  </si>
  <si>
    <t>2hp, manual, window type (Kopel) (2013)</t>
  </si>
  <si>
    <t>E-13-0-3446A</t>
  </si>
  <si>
    <t>2hp, window type Brand: Kolin Serial #  (2013)</t>
  </si>
  <si>
    <t>E-15-11-4054/ E-15-11-4055</t>
  </si>
  <si>
    <t>E-13-06-3447</t>
  </si>
  <si>
    <t>window type, 2 hp (Kolin) SN# 13601211-19530, 2013</t>
  </si>
  <si>
    <t>3 toner split ype, floor mounted w/ evaporator Brand: Kolin 2 years warranty on motor compressor SN: 10631309-14964 Lot #  106313005 - Saver's Mart, March 3, 2014 PO 14-02-000064</t>
  </si>
  <si>
    <t>E-16-03-4138</t>
  </si>
  <si>
    <t>E-14-03-3669</t>
  </si>
  <si>
    <t>3 toner split ype, floor mounted w/ evaporator Brand: Kolin 2 years warranty on motor compressor SN: 10631309-149963 Lot #  106313005 - Saver's Mart, March 3, 2014 PO 14-02-000064 (Board Room)</t>
  </si>
  <si>
    <t>E-2809</t>
  </si>
  <si>
    <t>Carrier 2HP Manual SN: 0070809 June 30, 2008</t>
  </si>
  <si>
    <t>E-3004</t>
  </si>
  <si>
    <t>Carrier 1HP, manual window type December 17, 2010</t>
  </si>
  <si>
    <t>E-2001</t>
  </si>
  <si>
    <t>National 1HP with timer, 2000</t>
  </si>
  <si>
    <t>E-2757</t>
  </si>
  <si>
    <t>Carrier SN: 51PMXRACCAR 19KEAB08PC-0070812 July 21, 2008</t>
  </si>
  <si>
    <t>E-13-7-3453</t>
  </si>
  <si>
    <t>window type 2hp (Kolin) SN: 13601211-19389 Model: Kag-190ME (2013)</t>
  </si>
  <si>
    <t>E-1839</t>
  </si>
  <si>
    <t>1HP National, model No. CW 903 FPH 2000</t>
  </si>
  <si>
    <t>E-15-01-3853-3854</t>
  </si>
  <si>
    <t>2hp, window type, manual (Kolin) Saver's Mart Angeles  PO 15-01-000014  January 23, 2015</t>
  </si>
  <si>
    <t>E-13-02-3397/ 3398</t>
  </si>
  <si>
    <t>2hp, manual, Carrier, 2013</t>
  </si>
  <si>
    <t>E-3010-3011</t>
  </si>
  <si>
    <t>4 Ganged chair</t>
  </si>
  <si>
    <t>size: 2.4mx60m (3/17/2013)</t>
  </si>
  <si>
    <t>E-2406</t>
  </si>
  <si>
    <t>2HP 220V with timer, Condura SN: 04688307173, 2002</t>
  </si>
  <si>
    <t>E-2815, 2099</t>
  </si>
  <si>
    <t>Carrier 2HP Sn. 0748434, 111617748 December 12, 2009</t>
  </si>
  <si>
    <t>E-2035</t>
  </si>
  <si>
    <t>National, 2000</t>
  </si>
  <si>
    <t>E-3019, 3020 &amp; 3054</t>
  </si>
  <si>
    <t>16-01-4071</t>
  </si>
  <si>
    <t>Airconditioner 3.0 toner, floor mounted, including supply of manpower, tools materials, and consumables, CARRIER 3 Tr Floor Mounter. Savers Electronic World Inc. PO 15-12-000570, Date 09 Dec 2015</t>
  </si>
  <si>
    <t>E-14-04-3695</t>
  </si>
  <si>
    <t>1HP window type (Kolin) 5 yrs warranty ; SN: 13341305-41613- Saver's Mart Angeles , PO# 14-02-000064 dtd 2/18/14</t>
  </si>
  <si>
    <t>E-14-10-3813-3814</t>
  </si>
  <si>
    <t>Evaporative Fan</t>
  </si>
  <si>
    <t>Iwata MDL Breeze,Fan type airflow PO # 14-10-000243 dtd 10/27/14 Savers Dolores</t>
  </si>
  <si>
    <t>SE-10041</t>
  </si>
  <si>
    <t>E-2030</t>
  </si>
  <si>
    <t>2 HP National w/ timer, 2000</t>
  </si>
  <si>
    <t>E-13-08-3462A</t>
  </si>
  <si>
    <t>2hp, window type, manual (Carrier) SN:51PMXRACAR19KEA  2013</t>
  </si>
  <si>
    <t>E-13-08-3462B</t>
  </si>
  <si>
    <t>6 seaters 3 x 6 natural color, palot china, lumber, wood  (PO 13-06-205 dtd. 6/21/13)</t>
  </si>
  <si>
    <t>ACCOUNTING</t>
  </si>
  <si>
    <t>Administrative/Overhead services -&gt; Budget and Accounting</t>
  </si>
  <si>
    <t>Ancillary services/Support services -&gt; Others</t>
  </si>
  <si>
    <t>Ancillary services/Support services -&gt; Operating Room / Aneasthesiology / PACU / Recovery Room</t>
  </si>
  <si>
    <t>Administrative/Overhead services -&gt; Billing and Claims</t>
  </si>
  <si>
    <t>Administrative/Overhead services -&gt; Office of the Administrative Officer</t>
  </si>
  <si>
    <t>Administrative/Overhead services -&gt; Others</t>
  </si>
  <si>
    <t>Administrative/Overhead services -&gt; Office of the Chief of Medical Professional Staff</t>
  </si>
  <si>
    <t>Administrative/Overhead services -&gt; Central Supply Office</t>
  </si>
  <si>
    <t>Clinical/Medical services -&gt; Dental</t>
  </si>
  <si>
    <t>Ancillary services/Support services -&gt; Nutrition and Dietetics</t>
  </si>
  <si>
    <t>Administrative/Overhead services -&gt; Engineering and Facilities Management</t>
  </si>
  <si>
    <t>Clinical/Medical services -&gt; Emergency Medicine Department</t>
  </si>
  <si>
    <t>Administrative/Overhead services -&gt; Human Resource Management</t>
  </si>
  <si>
    <t>Administrative/Overhead services -&gt; IT Departments</t>
  </si>
  <si>
    <t>Ancillary services/Support services -&gt; Laboratory</t>
  </si>
  <si>
    <t>Ancillary services/Support services -&gt; Laundry</t>
  </si>
  <si>
    <t>Clinical/Medical services -&gt; Internal Medicine Ward</t>
  </si>
  <si>
    <t>Administrative/Overhead services -&gt; Office of the Chief Nurse</t>
  </si>
  <si>
    <t>Clinical/Medical services -&gt; Ob/Gyne Ward</t>
  </si>
  <si>
    <t>Clinical/Medical services -&gt; Outpatient Department (general)</t>
  </si>
  <si>
    <t>Clinical/Medical services -&gt; Pediatric Ward</t>
  </si>
  <si>
    <t>Ancillary services/Support services -&gt; Pharmacy</t>
  </si>
  <si>
    <t>Administrative/Overhead services -&gt; Procurement</t>
  </si>
  <si>
    <t>Ancillary services/Support services -&gt; Radiology / Diagnostic Imaging (CT Scan, MRI, ECG, Mammography, Endoscopy)</t>
  </si>
  <si>
    <t>Administrative/Overhead services -&gt; Medical Social Work</t>
  </si>
  <si>
    <t>Clinical/Medical services -&gt; TB Dots</t>
  </si>
  <si>
    <t>E-2319</t>
  </si>
  <si>
    <t>Anesthesia machine</t>
  </si>
  <si>
    <t>BLEASE with ventilator, 2000</t>
  </si>
  <si>
    <t>E-2772</t>
  </si>
  <si>
    <t>ECG machine</t>
  </si>
  <si>
    <t>portable, digital KENZ 108, single channel compact &amp; light weight excellent recording quality (NOA dtd July 31, 2006, Public Bidding June 27, 2006 - RG Meditron)</t>
  </si>
  <si>
    <t>E-2762, 2763</t>
  </si>
  <si>
    <t>Suction machine</t>
  </si>
  <si>
    <t>Portable, maintenance free with wide varietyof suction applications. Model No 133 with SN: 05970002116, 08960000035 (NOA dtd July 31, 2006, Public Bidding June 27, 2006 - Blue Sky Trading)</t>
  </si>
  <si>
    <t>E-2770</t>
  </si>
  <si>
    <t>Syringe pump</t>
  </si>
  <si>
    <t>Ascor Sep Iiz, lightweight (2.8 kg) wide range over 40 types of compatible syringe. Power supply 230VAC, 50/60 HZ with rechargeable battery  (NOA dtd July 31, 2006, Public Bidding June 27, 2006 - Respicare Ent.)</t>
  </si>
  <si>
    <t>E-3212-3213</t>
  </si>
  <si>
    <t>Anesthesia machine w/ ventilator</t>
  </si>
  <si>
    <t>S/5 Aespice 100 w/ 7 100 ventilator, w/ 1 vaporizer, 2 maximum number of cylinders, 2 maximum number of pipelines, familiar lay-out, conventional cascade flow tubes, low flow ready, Made in USA (NOA dtd April 19, 2011, Public Biddinbg February 1, 2011 -  Health Solution Ent.)</t>
  </si>
  <si>
    <t>E-15-03-3907</t>
  </si>
  <si>
    <t>Cardiac Monitor with Capograph, NIBP, and Pulse Oximenter</t>
  </si>
  <si>
    <t xml:space="preserve">Brand/Model: Edan iM70  Country of Origin:  China   with ECG, RR temperature, SPO2, NIBP and Capnograph, with anteriror and posterior compatibility, at least 12' monitor with intuitive touch screen menu, built in alarm light with option for external alarm light, tone access controls, remotely view, control, review and recor patient data, capable of HL7 interface to HIS application, at least 3 Lead ECG w/ patient cable, various sizes of BP cuff and SPO2 sensors, NIBP accessories and consumables  RESPICARE Ent.  PO 15-01-000006  Delivery date:  March 11, 2015 </t>
  </si>
  <si>
    <t>E-15-01-3857-3858</t>
  </si>
  <si>
    <t>Anesthesia Machine</t>
  </si>
  <si>
    <t>Brand: Penlon country of Origin: UK, with 2 vaporizer, with volume control ventillator operating at 100% oxygen, up to 7 gas inlets, air/notious oxide interlock, 2 station Selectatec, multi gas shut off device, easy to read angle agauges, common gas outlet, monitor shel (3 shelves) side rails, independently braked front castor, maximum no of cylinder-4, maximum no of pipeline-3, latex free w/ UPS, w/ adult/pediatric bellow, touch screen  VAllery Ent. Po 15-01-000002 dated January 5, 2015 Delivery Date January 27, 2015 SN SP2061410-2061411</t>
  </si>
  <si>
    <t>E-15-04-3963</t>
  </si>
  <si>
    <t xml:space="preserve">Difficult Airway Management Set Video Laryngoscope </t>
  </si>
  <si>
    <t>Adult and Pedia  Brand/Model: Karl Storz CMAC Airway Management Set  Country of Origin:  Germany  Consist of Video Laryngocope set, Moniotr, Electronic Module, 3 pcs Blades, Mobile stand, 1 camera head, 1 portable light source, 1 intubating fiberoptic scope, 1 Retromar intubation endoscope, with user's manual  Saviour Medevices Inc.,  PO 15-01-000019  April 15, 2015</t>
  </si>
  <si>
    <t>E-16-04-4150</t>
  </si>
  <si>
    <t>ANESTHESIA MACHINE</t>
  </si>
  <si>
    <t>ANESTHESIA MACHINE, Brand/Model: Draeger/Fabius Plus XL w/ Vamos, Country of Origin: Germany, Flowmeter with hypoxic guard, Oxygen flush, Maximum Cylinder Size-E, Easy to clean and maintain, Can be used with all ranges of patients, Advanced to easy to use features for maximum patient safety, Pneumatically/Gas (bellows) or pistob driven system, With comprehensive after sales plan, Vaporizer, With 2 vaporizer with 10 years warranty, Selected Mounting System, Ventillator, With volume control ventilator operating at 100% oxygen, Digital Display of volume of oxygen, At  least 7 liters inters, Air/Nitrous, oxide interlock, 2 station selectatec, Multi-gas shut off device, Easy to read angled gauges, Common gas outlet, Monitor shelf, Side rails for improved maneuverability and accessories, Independently brake front caster, Number of Gases (Oxygen and Nitrous) Supplier - MEDILINES DISTRIBUTORS, INC. PO 16-01-000024, Delivery date April 12, 2016</t>
  </si>
  <si>
    <t>E-16-04-4152</t>
  </si>
  <si>
    <t>Defibrillator with Cardiac Monitor</t>
  </si>
  <si>
    <t>Defibrillator with Cardiac Monitor, Brand/Model: Mindray Beneheart D6 Defibrillator, Country of Origin: China, Power Supply AC 220 V with ECG Machine with Thermal Paper ECG Strip, User-Friendly, 12-lead ECG Analysis Program includes AMI and STEMI statements, Quick set: Activates alarms for all active vital signs, Activates continuous monitoring in Manual mode or its equivalent, Shock advisory system, Biphasic output: Energy Shock levels raging from 150-360 joules and sensors, With display HR, Spo2, NIBP, C02 (ETC02), RR, NIBP, IPI, Ip2, ST, Heavy Duty, Durability, Portability, Power Adapters provide operation and battery charging from external AC or DC power, Indicators: external power indicator, battery charging indicator with built-in internal battery, UPS, AVR, with AED pads adult and pedia (5pcs each), with heavy duty mobile stand and tray, with 5 rolls standard size ECG papers, Standard Requirements: User's manual in English language, operational manual 3 manuals, service manual 3 copies, Training Program for end-users on equipment operation, Preventive maintenance program for at least 3 years, Three Years warranty on parts and service after testing, inspection and acceptance, Supplier - RESPICARE ENTERPRISES, PO 16-01-000021, Delivery Date April 14, 2016</t>
  </si>
  <si>
    <t>E-16-05-4155</t>
  </si>
  <si>
    <t>Cardiac Monitor with NIBP and PULSE  OXIMETER</t>
  </si>
  <si>
    <t>Cardiac Monitor with NIBP and PULSE  OXIMETER, Technical Specifications: Brand/Model :  Draege/Vista 120A, Country of Origin : Germany/China, Either Display for HR, SpO2, NIBP, SpCO2, RR, Temp, BP, With detachable sensors for: Non-invasive Blood Pressure Monitor, Adult Measurement, Pediatric Measurement, Pulse Rate Monitoring, CO2 Monitoring, SpO2 Monitoring, Electocardiogram, 3 Lead, 5 Lead, Temperature Monitoring: With adult and pediatric (big and small children) and neonatal cuff, with at least5 packs of disposable chest monitoring electrodes (50pc/pack),With ECG tracing printer using standard ECG paper, with at least 10 pcs ECG Paper; with built in rechargeable batteries, can be connected to standard external AC/DC outlet; with external power indicator; with heavy duty mobile stand and basket for accessories; can be mounted on wall bracket or cardiac monitor; uninterrupted Power Supply (UPS); AVR, Standard Requirements: User's Manual in English Language, Operational Manual - 1 copies, Service Manual - 1 copies, Training program for the end-users on equipment operation, Preventive Maintenance program for at least 3 years, Three years warranty on parts and service after testing, inspection and acceptance. Supplier- MEDILINES DISTRIBUTORS, INC., PO- 16-01-000024, Delivery - 12 May 2016</t>
  </si>
  <si>
    <t>E-16-12-4376</t>
  </si>
  <si>
    <t>ULTRASOUND FOR PERIPHERAL NERVE</t>
  </si>
  <si>
    <t>ULTRASOUND FOR PERIPHERAL NERVE , BRAND : EZONO 3000 , COUNTRY OF ORIGIN : GERMANY , SUPPLIER - SAVIOUR MEDEVICES, INC. PO # 16-10-000381 DTD 12-14-16</t>
  </si>
  <si>
    <t>E-15-01-3878-3879</t>
  </si>
  <si>
    <t>WHEELED STRETCHER</t>
  </si>
  <si>
    <t>1900MM X740MM X 750MM, With 2 pcs Restrain strap accessories Model: ANT - 2R  Country of Origin:  China  Supplier: One Stop Systems Resources  August 27, 2014</t>
  </si>
  <si>
    <t>E-1904</t>
  </si>
  <si>
    <t>Microscope</t>
  </si>
  <si>
    <t>Binocular body with interpullary distance adjustment, one eye tube focusable to compensate for diff eye refraction SN 4F0369, 1999</t>
  </si>
  <si>
    <t>E-2436</t>
  </si>
  <si>
    <t>Motic Trinocular microscope</t>
  </si>
  <si>
    <t>with ABBE condenser &amp; halogen lamp, with phototube for video camera WF 10x achromatic objectives 4x, 10x40x and a00x CCTV from JVC (NTSC) w/ 12 volts transformer and video camera FE-10 Nikon Automatic camera w/ T-2 ring adap for 29 inch Panasonic color TV monitor, 2002</t>
  </si>
  <si>
    <t>Pharmaceutical ref</t>
  </si>
  <si>
    <t>MOR 16D, Sanyo, February 3, 2003</t>
  </si>
  <si>
    <t>Sphygmomanometer</t>
  </si>
  <si>
    <t>Dental conventional spacix</t>
  </si>
  <si>
    <t>(Trophy Radiologic) X-ray machine (1998)</t>
  </si>
  <si>
    <t>E-2945</t>
  </si>
  <si>
    <t xml:space="preserve">Sphygmomanometer  </t>
  </si>
  <si>
    <t xml:space="preserve">Erka Vario Basic Model Stand (April-5, 2010) </t>
  </si>
  <si>
    <t>E-3247, 3248</t>
  </si>
  <si>
    <t>Dental unit</t>
  </si>
  <si>
    <t>with complete accessories, Brand: Royal Excellent, Made in Japan, includes highspeed handpiece, low speed airmotor, complete with straight handpiece and contra engle, three way syring, tip detachable &amp; autoclavable X-ray film viewer, operating tray, movable porselain cup filter and spittoon flush, mobable cupsidor bowl, pressurized claen water tank system, halogen operating light w/ dim and bright illumination adjustment WIT Chair and Dentil stool (NOA dtd February 23, 2012, Public Bidding November 24, 2011 - Sta. Ana Ent.)</t>
  </si>
  <si>
    <t>E-16-08-4292</t>
  </si>
  <si>
    <t>MOTORIZED DENTAL UNIT AND CHAIR</t>
  </si>
  <si>
    <t>Brand/Model : FONA, Power Supply: 220V, 60Hz, Control System: spitoon flush and cup filler, Operating light: LED, minimum intensity of 14,000lux, Movable spittoon, DC motor for patient chair : 24V, Saliva Ejector, Dental Chair: control panel chair positioning and other functions, Chair base and back: Die cast aluminum material, Fixed into vehicle, Hands-free Footswitch control: multiple functions, One (1) dental stool per unit, Lift Capacity: Minimum 130kg Patient weight, Dental module and operating light fitted on a telescopic arm. DONATION FROM DOH. Delivery Date: June 15, 2016</t>
  </si>
  <si>
    <t>E-17-05-000254</t>
  </si>
  <si>
    <t>MEDICAL SUCTION MACHINE</t>
  </si>
  <si>
    <t>MEDICAL SUCTION MACHINE, Brand: CA-MI , Country of Origin: ITALY , Supplier: Aljeron Medical Enterprises , PO# 17-01-000048 , Delivery Date: May 09,2017</t>
  </si>
  <si>
    <t xml:space="preserve">E-2100 to 2103, </t>
  </si>
  <si>
    <t>Stretcher</t>
  </si>
  <si>
    <t>heavy duty w/built in IV stand, H.D. 8 rubber coaster wheel 1995</t>
  </si>
  <si>
    <t>E-2098 A</t>
  </si>
  <si>
    <t>Ambu-baby</t>
  </si>
  <si>
    <t>with 5 face piece and 100 head bags supplies (FOR CONDEMN) 1998</t>
  </si>
  <si>
    <t>E-2099</t>
  </si>
  <si>
    <t>Ambu-man</t>
  </si>
  <si>
    <t>model DF for CPR and Defibrillator (FOR CONDEMN) 1998</t>
  </si>
  <si>
    <t>E-2097A</t>
  </si>
  <si>
    <t>Am-Intubation Trainer</t>
  </si>
  <si>
    <t>complete with carrying case, pull out tray, and lubricant (FOR CONDEMN) 1998</t>
  </si>
  <si>
    <t>SE-3006-3007</t>
  </si>
  <si>
    <t>Laryngoscope</t>
  </si>
  <si>
    <t>adult (1999)</t>
  </si>
  <si>
    <t>E- 2244</t>
  </si>
  <si>
    <t>Suction apparatus</t>
  </si>
  <si>
    <t>Atmos LC-116 Germany, 2000</t>
  </si>
  <si>
    <t>Wheel chair</t>
  </si>
  <si>
    <t>E-2447 to 2454</t>
  </si>
  <si>
    <t>Roller stretcher</t>
  </si>
  <si>
    <t>stainless with side rails, IV stand, &amp; mattress, heavy duty 2003</t>
  </si>
  <si>
    <t>E-2890</t>
  </si>
  <si>
    <t xml:space="preserve">Defibrilator w/ Cardiac monitor </t>
  </si>
  <si>
    <t>Triup Defi-Monito Model: DFB-900 SN 0803557 (NOA dtd Dec 10, 2007, Public Bidding September 19, 2007, Surgico Phils.)</t>
  </si>
  <si>
    <t>E- 2880-2885</t>
  </si>
  <si>
    <t>all stainless w/mattress, leather, 3" (Uratex) w/ side railing (NOA dtd December 10, 2007, Public Bidding September 19, 2007, Roshem Dist.)</t>
  </si>
  <si>
    <t>E-2817</t>
  </si>
  <si>
    <t>BP Apparatus</t>
  </si>
  <si>
    <t>Aneroid w/ stand Erka Germany (February 11, 2009)</t>
  </si>
  <si>
    <t>E-2358</t>
  </si>
  <si>
    <t>ECG Fukuda  M-E</t>
  </si>
  <si>
    <t>Cardisunny 501-B-III 200-240v 50Hz (October 5, 2000)</t>
  </si>
  <si>
    <t>E-2833</t>
  </si>
  <si>
    <t>Emergency cart</t>
  </si>
  <si>
    <t>400 x 600 x 950mm, 3 pull out drawers, 8 shelves (February 17, 2009)</t>
  </si>
  <si>
    <t>E-2908</t>
  </si>
  <si>
    <t>Model  YX930L (Shilohmed) 2009</t>
  </si>
  <si>
    <t>E-2846</t>
  </si>
  <si>
    <t>(BLS) Mannequin</t>
  </si>
  <si>
    <t>Adult, Pedia, and Infant (Laerdal) July 13, 2009</t>
  </si>
  <si>
    <t>SE-9560, 9561</t>
  </si>
  <si>
    <t>w/ wheels (Donations) 2010</t>
  </si>
  <si>
    <t>E-14-09-3776</t>
  </si>
  <si>
    <t>Cast Cutter</t>
  </si>
  <si>
    <t>E-14-04-3689</t>
  </si>
  <si>
    <t>Laringoscope set</t>
  </si>
  <si>
    <t>Pedia w/ Complete Blade 7 (Truphatek Standard)  PO # 10-10000528 11/12/10 MCTC</t>
  </si>
  <si>
    <t>E-3052-3053</t>
  </si>
  <si>
    <t>w/ wheels (2011)</t>
  </si>
  <si>
    <t>E-13-11-3553- to 3559, 3560 to 3567</t>
  </si>
  <si>
    <t>Hospital Bed</t>
  </si>
  <si>
    <t>3 cranks w/ mattress, head &amp; footboard Brand:Saikang Model: SK014 Made in China Donation from DOH dtd November 2013 Supplier: Endure Medical Inc.</t>
  </si>
  <si>
    <t>E 14-05-3720 - 14-05-3721</t>
  </si>
  <si>
    <t>Suction MAchine</t>
  </si>
  <si>
    <t xml:space="preserve">Brand: TRIUP , Model: Tres -2311, Origin: China DOH DONATION  4/30/14 SN: 14-05-3720 - SMSL263-NKTI 2013 , 3721 - SmSL-259-NKTI-2013 , </t>
  </si>
  <si>
    <t>15-04-3967</t>
  </si>
  <si>
    <t>Defibrillator with ECG</t>
  </si>
  <si>
    <t>Brand/Model: Mindray; Country of Origin: China; Technical Specifications: -Low energy biphasic defibrillator monitor; -with recorder; Monitor ECG trhough paddles, pads &amp; monitoring electrodes &amp; defibrillate through pads &amp; paddles; -Automatic lead switching to see patient ECG through paddles or leads, -Measure &amp; compensate for chest impedenace for a range of 25 to 150 ohms; -Built in 50mm strip printer/thermal recorder; -Charging time of less than 3 seconds for maximum energy; -With charging indicator; -Bright electroluminescent display for viewing messages and ECG waveform of 4 seconds; -External paddles with apddles contact indicator; -Battery capable of usage for at least 90 minutes or 30 discharges; - Capable of printing reports on event summary, configuration, self-test, battery capacity etc; -Facility for self-test/ chack before usage and set up function; -Capable of delivering energy in incerements of 1-2 joules up to 30 J and increments of maximum 50j thereafter; User friendly 1,2,3, color coded operations; -System configuration accessories, spares &amp; consumables; Paddles Adult &amp; pediatric (1 pair each) -01; -Patient Cable; -ECG rolls; -Complete set of ECG 3 leads; -Power supply; -Power input to be 220-240VAC; -50Hz ; -Resettable overcurrent breaker shall be fitted for protection; -Standards, Safety &amp; training; -FDA or CE approved product, Electrical safety conforms to standars for electrical safety IEC-60601-1 General; TECHNOMED INTERNATIONAL INC. APRIL 07, 2015</t>
  </si>
  <si>
    <t>E-15-02-3887</t>
  </si>
  <si>
    <t>Portable Operating Room Light</t>
  </si>
  <si>
    <t>Brand: RIMA/Pentaled 30N Country of Origin Italy, mimimumof 140000 to 160000 lux light intensity output, white LED light utilizing indirect lighting system, with movable stand, light weight, heavy duty, mobile, shasowless, cool tempearture, at least 100cm depth of illumination and adjustable lightfield diameter, with AC power for 220v, preferably with back-up battery pack, with at least 50,000hours LED lifespan or more, controllable light, lens with clear scratch pad proof, non-static tampered glass, with heavy duty casters  MEDICOTEK PO 15-01-000021 dated 1/14/15 Delivery Date:  February 27, 2015</t>
  </si>
  <si>
    <t>E-15-03-3902</t>
  </si>
  <si>
    <t>Cardiac Monitor with Pulse Oximenter, BP Monitor, respirator and temperature Sensor</t>
  </si>
  <si>
    <t>Brand/Model:  Edan iM8B   country of Origin:  China  cardiac monitor display fo BP pressure, heart rate, O2 Saturation, RR and temp, sensors for all parameters are detachable and compatible with other cardiac monitor u its, heavy duty, w/ back-up battery, rechargeable batteries, with 6 cuffs of various sizes, with cart  RESPICARE Ent. PO 15-01-000006  Delivery date:  March 11, 2015</t>
  </si>
  <si>
    <t>E-15-043972, E-1504-3973</t>
  </si>
  <si>
    <t>SUCTION MACHINE</t>
  </si>
  <si>
    <t>Brand/Model: EsP -50; -Country of Origin: China; Technical Specifications: -Heavy Duty; -with plastic canisters; -with manimum capacity of 3L per plastic canister; -with foot pedal; -over flow safety device/filter; -trolley mounted; -user friendly; -2pcs  3,000 fiberglass jars 10 250cc jar for soot; 1 pc fooot switch, 1 set cannula tube; 2pcs plastic suction; 1pc glass cup; -detachable power cord. ROSHEM DISTRIBUTOR INC, APRIL 22, 2015</t>
  </si>
  <si>
    <t>E-15-04-3962</t>
  </si>
  <si>
    <t>VIDEO LARYNGOSCOPE (ER)</t>
  </si>
  <si>
    <t>Brand/ Model: Karl Storz CMAC Video Laryngoscope; Country of Orgin; Germany; Technical Specifications: Heavy Duty; -with advance CMOS Technology with at least 12 megapixels display; -with electronic module suitable for mechanical and manual disinfections; -with at least 7" thin film transistor (TFT) Wide-View-Angle Display with 4243x2828 pixel resolution; -Data documentaion SD Memory Card; -with complete adult and pediatric laryngoscope blade reusable; -with laryngoscope blade for trauma patient; - with special blade shape for the difficult intubation; -with protecting bag water resistant; -with mobile stand; -with HD colored monitor; -with rechargable batteries, w/ tray for cleaning. SAVIOUR MEDEVICES, INC.  15-01-000019 April 15, 2015</t>
  </si>
  <si>
    <t>E-15-08-4037/ E-15-08-4038</t>
  </si>
  <si>
    <t>Nebulizer</t>
  </si>
  <si>
    <t>Nebulizer Battery Operated (Short inhalation time-efficient lung deposition, Fast and Convenient, Long-life compressor, High nebulization rate, V.V.T. nebulizer Technology, Water protected switch</t>
  </si>
  <si>
    <t>E-15-08-4039/ E-15-08-4040</t>
  </si>
  <si>
    <t>Portable Suction Machine</t>
  </si>
  <si>
    <t>Portable suction machine, heavy-duty motor, silent operation, easy to use</t>
  </si>
  <si>
    <t>E-15-08-4041/ E-15-08-4042</t>
  </si>
  <si>
    <t>AED Powerheat</t>
  </si>
  <si>
    <t>AED Power hear (Basic) Automated External Defibrillator, Semi-automatic with manual override, STAR biphasic truncated exponential, Escalating variable energy (VE) 95J to 351J, 5 energy protocols available, Clear, concise voice prompts guide user through the rescue, Rescue Ready status indicator, Voice prompt, system alert, Built-in automatic synchronization feature, Pacemaker pulse detection. ECG Display, Display specification 3.5in (8.9cm) diagonal transreflective TFT display with 320 x 240 pixels (quarter VGA). Resolution is 113.5 dots/in 4.47 dots/mm</t>
  </si>
  <si>
    <t>E 15-03-3889/ 3890/ 3891/ 3892</t>
  </si>
  <si>
    <t>Multi-Functional Heavy Duty Transport Stretchers</t>
  </si>
  <si>
    <t xml:space="preserve">Brand/Model: Paramount Stretcher KK 800E, Country of Origin: Japan, </t>
  </si>
  <si>
    <t>E 15-03-3915</t>
  </si>
  <si>
    <t>Cast Cutter with Blades</t>
  </si>
  <si>
    <t>Brand/Model: NOPA/OSCINOPA, Country of Origin: Germany, Supplier: MEDICAL CENTER TRADING CORP.</t>
  </si>
  <si>
    <t>E 15-03-3919</t>
  </si>
  <si>
    <t>ECG Machine</t>
  </si>
  <si>
    <t>Brand/Model: BSCS/ECG-101G, Country of Origin: China, Supplier: Blue Sky Trading Co. Inc.</t>
  </si>
  <si>
    <t>16-01-4072</t>
  </si>
  <si>
    <t>Stretcher, Stainless, Donation</t>
  </si>
  <si>
    <t>16-01-4073 -to- 4079</t>
  </si>
  <si>
    <t>Mechanical Bed 2 Cranks w/ Matress</t>
  </si>
  <si>
    <t>Mechanical Bed 2 Cranks w/ Matress, DOH - Donation, 04 Apr 2014</t>
  </si>
  <si>
    <t>E-16-04-4151</t>
  </si>
  <si>
    <t>E-17-06-000360</t>
  </si>
  <si>
    <t>OPERATING ROOM TABLE HEAVY DUTY</t>
  </si>
  <si>
    <t xml:space="preserve">OPERATING ROOM TABLE HEAVY DUTY , Brand: KELING , Country of Origin: CHINA , Supplier: Aljeron , PO# 17-01-000048 , Delivery Date: May 05,2017 </t>
  </si>
  <si>
    <t>E-17-06-000356 / E-17-06-000357</t>
  </si>
  <si>
    <t>MULTI-FUNCTIONAL HEAVY DUTY TRANSPORT STRETCHER</t>
  </si>
  <si>
    <t xml:space="preserve">MULTI-FUNCTIONAL HEAVY DUTY TRANSPORT STRETCHER, Brand: COMPASS , Country of Origin: CHINA , Size: 1950mm (L) x 750mm (W) x 550-820mm (H) , Net weight: 72 kg , GW: Approximately 102kg , Material: The cart frame is made of quality aluminum alloy. Cart surface and side rails are shaped by once injection molding of imported PP engineering plastics , Supplier: Technomed , PO# 17-01-000049 , Delivery Date: May 24,2017 </t>
  </si>
  <si>
    <t>E-17-03-000090</t>
  </si>
  <si>
    <t>PORTABLE INCUBATOR</t>
  </si>
  <si>
    <t>PORTABLE INCUBATOR, BRAND : DISON, CHINA , MODEL : BT-100 , SUPPLIER - ALJERON , PO 16-12-000499 DTD 03-15-17</t>
  </si>
  <si>
    <t>E-17-06-000302</t>
  </si>
  <si>
    <t>ANESTHESIA MACHINE HEAVY DUTY</t>
  </si>
  <si>
    <t>ANESTHESIA MACHINE HEAVY DUTY , Brand: MINDRAY , Country of Origin: CHINA , Supplier: Technomed , PO# 17-01-000049 , Delivery Date: May 24,2017</t>
  </si>
  <si>
    <t>E-17-06-000288</t>
  </si>
  <si>
    <t>PORTABLE OPERATING ROOM LIGHT WITH AT LEAST 130,000 LUX LIGHT INTENSITY OUTPUT</t>
  </si>
  <si>
    <t>PORTABLE OPERATING ROOM LIGHT WITH AT LEAST 130,000 LUX LIGHT INTENSITY OUTPUT , Brand: ACEM , Country of Origin: ITALY , White LED light utilizing indirect lightning system ; heavy duty;, mobile; shadowless, cool temperature; at least 50,000 hours LED lifespan or more; controllable light intensity thru soft touch panel; lens with clear, scratch proof, non static tempered glass with removable and sterilizable handle; with heavy duty casters; Supplier: Aljeron Medical Enterprises , PO# 17-01-000048 , Delivery Date: May 16,2017</t>
  </si>
  <si>
    <t>E-17-05-000263</t>
  </si>
  <si>
    <t>E-CART</t>
  </si>
  <si>
    <t>E-CART, Brand: THR , Country of Origin: CHINA , Supplier: Medical Gallery Trading Co. , PO# 17-01-000044 , Delivery Date: May 10,2017</t>
  </si>
  <si>
    <t>E-17-01-000015</t>
  </si>
  <si>
    <t>ECG MACHINE</t>
  </si>
  <si>
    <t>ECG MACHINE, BRAND : 3RAYS , COUNTRY OF ORIGIN : CHINA , SUPPLIER - SURGICO PHILS., INC. PO 16-10-000377 DTD 01-10-17</t>
  </si>
  <si>
    <t>E-16-06-4159-A</t>
  </si>
  <si>
    <t>AUTOMATED EXTERNAL DEFIBRILLATOR</t>
  </si>
  <si>
    <t>AUTOMATED EXTERNAL DEFIBRILLATOR, Technical Specifications: Brand/Model : Nihon Kohden, Country of Origin : Japan, Heavy Duty; with rechargeable batteries; with adult and pediatrics pads (5pcs each); Semi automatic low energy Rectilinen Biphasic, visible with ECG display RBW fixed in escalating low energy V-fib rhythm detection; with Voice prompt; Integrated Thermal Printer for ECG traces and events documentation hard copy including SPO2 level in %; Two Hand safety shock release; With AED Trainer Equipment, Patient Simulator; Uninterrupted Power Supply (UPS); AVR; with HEavy duty detacheable mobile stand and tray; with 5 rolls standard size ECG papers. STANDARD REQUIREMENTS: 1. User's MAnual in ENglish LAnguage, a- Operational Manual, b- Service MAnual; 2. Training Program for the end-users on equipment operation; 3. Preventive MAintenance program for at least 3 years; 4. Three years warranty on parts and service after testing, inspection, and acceptance. SUPPLIER - VARIANCE TRADING CORPORATION, PO 16-01-000022, Date of Delivery - June 02, 2016</t>
  </si>
  <si>
    <t>E-13-07-3454</t>
  </si>
  <si>
    <t xml:space="preserve">Aneroid type w/ stand (July 2013) </t>
  </si>
  <si>
    <t>E-14-11-3816</t>
  </si>
  <si>
    <t>Wheeled Stretcher</t>
  </si>
  <si>
    <t>1900mm x 740mm x 750mm w/ 2 pcs Restrain Strap Accessories Model :AMT -  R DOH Donation Supplier One Top System Resources 8/27/14</t>
  </si>
  <si>
    <t>E-14-09-3764-3765</t>
  </si>
  <si>
    <t>Mechanical BEd</t>
  </si>
  <si>
    <t>2 cranks w/ mattress Brand ACARE RANGE, Model:HCB-7031 China DOH DONATION   4/4/14</t>
  </si>
  <si>
    <t>E-15-06-3995</t>
  </si>
  <si>
    <t>set-fiber optic, adult with handle size 2, 3, and 4 full spectrum, bright white LED light, repairable, single pice, stainless steel blade ("Schucman 2" Laryngoscope set, consist of F.O. mcintosh blade w/ fiber clip bundle 2, 3, 4) NOTE : From Magtoto, Ma. Theresa -to- Timpug, Juliana M.</t>
  </si>
  <si>
    <t>E-17-04-000233 / E-17-04-000234 / E-17-04-000235</t>
  </si>
  <si>
    <t>INFUSION PUMP</t>
  </si>
  <si>
    <t>INFUSION PUMP, BRAND : MINDRAY, COUNTRY OF ORIGIN : CHINA, SUPPLIER - TECHNOMED INTERNATIONAL, INC. PO 16-11-000436 DTD. 04-05-17</t>
  </si>
  <si>
    <t xml:space="preserve">E-17-04-000238 / E-17-04-000239 / E-17-04-000240 / E-17-04-000241 / E-17-04-000242 / </t>
  </si>
  <si>
    <t>CARDIAC MONITOR W/ NIBP &amp; PULSE OXIMETER</t>
  </si>
  <si>
    <t xml:space="preserve">CARDIAC MONITOR W/ NIBP &amp; PULSE OXIMETER, BRAND : MINDRAY , COUNTRY OF ORIGIN : CHINA, SUPPLIER - TECHNOMED INTERNATIONAL, INC. , PO 16-11-000436 DTD 04-05-17 </t>
  </si>
  <si>
    <t xml:space="preserve">E-17-06-000317 / E-17-06-000318 / E-17-06-000319 / E-17-06-000320 / E-17-06-000321 </t>
  </si>
  <si>
    <t>CARDIAC MONITOR WITH PULSE OXIMETER</t>
  </si>
  <si>
    <t xml:space="preserve">CARDIAC MONITOR WITH PULSE OXIMETER, Brand: MINDRAY , Country of Origin: CHINA ,  - Patient Monitor (Touch Screen) , WITH 1 UNIT OF CENTRAL MONITORING SYSTEM FOR 5 UNITS OF CARDIAC MONITOR , Supplier: Technomed , PO# 17-01-000049 , Delivery Date: May 24,2017, </t>
  </si>
  <si>
    <t xml:space="preserve">E-17-06-000312 / E-17-06-000313 / E-17-06-000314 / E-17-06-000315 / E-17-06-000316  </t>
  </si>
  <si>
    <t>INFUSION PUMP , Brand: MINDRAY , Country of Origin: CHINA , Supplier: Technomed , PO# 17-01-000049 , Delivery Date: May 24,2017</t>
  </si>
  <si>
    <t>E-1837</t>
  </si>
  <si>
    <t>Incubator Shel-Lab</t>
  </si>
  <si>
    <t xml:space="preserve"> SN. 0901993, 1993 NOTE - From Palsimon, Salome -to- Cabantog, Julie Anne</t>
  </si>
  <si>
    <t>E-1895</t>
  </si>
  <si>
    <t>Plasma separator</t>
  </si>
  <si>
    <t>Date purchased: 1994</t>
  </si>
  <si>
    <t>E-1885</t>
  </si>
  <si>
    <t>Ultra low freezer</t>
  </si>
  <si>
    <t>plasma freezer odel CTFI, US, 1994</t>
  </si>
  <si>
    <t>E-1822</t>
  </si>
  <si>
    <t>Water bath</t>
  </si>
  <si>
    <t xml:space="preserve"> SN: 854, 1994</t>
  </si>
  <si>
    <t>E-2007</t>
  </si>
  <si>
    <t>Plasma Freezer</t>
  </si>
  <si>
    <t>Date purchased: 1996</t>
  </si>
  <si>
    <t>E-1838</t>
  </si>
  <si>
    <t>Bactec</t>
  </si>
  <si>
    <t>NR 730 SN280 1 BD, 1998</t>
  </si>
  <si>
    <t>E-630</t>
  </si>
  <si>
    <t>Blood bank ref</t>
  </si>
  <si>
    <t>Sanyo SN: 501918          11/25/1998</t>
  </si>
  <si>
    <t>E-1898</t>
  </si>
  <si>
    <t>Binocular halogen bulb type, Japan, Olympus CH2 series w/ step down transformer Ventar, 1998</t>
  </si>
  <si>
    <t>E-700</t>
  </si>
  <si>
    <t>Oven Memert</t>
  </si>
  <si>
    <t xml:space="preserve"> 11/25/1998 NOTE - From Palsimon, Salome -to- Cabantog, Julie Anne</t>
  </si>
  <si>
    <t>E-2252</t>
  </si>
  <si>
    <t>Parafuge/Centrifuge</t>
  </si>
  <si>
    <t>BD 1999</t>
  </si>
  <si>
    <t>E-2258</t>
  </si>
  <si>
    <t>Tissue processor</t>
  </si>
  <si>
    <t>Sakura brand Model RX-11A 115V Japan, 2000</t>
  </si>
  <si>
    <t>E-2426</t>
  </si>
  <si>
    <t>Weighing scale</t>
  </si>
  <si>
    <t>Digital Kern Germany, 2002</t>
  </si>
  <si>
    <t>E-2650</t>
  </si>
  <si>
    <t>Manual rotary microtome</t>
  </si>
  <si>
    <t>Model RM2125 Rt Germany Zafire Dist. September 8, 2004</t>
  </si>
  <si>
    <t>E-2787</t>
  </si>
  <si>
    <t>Clinical centrifuge</t>
  </si>
  <si>
    <t>TDL 80 2B, 12 placer with timer Tackometer (NOA dtd July 31, 2006, Public Bidding June 27, 2006, Sta. Ana Enterprises)</t>
  </si>
  <si>
    <t>E-2944</t>
  </si>
  <si>
    <t>ERKA Vario Basic Model Stand Germany (2010) NOTE : From MCC- Dee, Yolanda, M.D. -to- Alalan, Rachelle Monique</t>
  </si>
  <si>
    <t>E-3246</t>
  </si>
  <si>
    <t>Biological Microscope</t>
  </si>
  <si>
    <t>Brand: Olympus, Country of Origin: Japan, Model CX21Ledest with illumination built in (Donation from DOH) 2011</t>
  </si>
  <si>
    <t>E-3351</t>
  </si>
  <si>
    <t>Chemistry Machine</t>
  </si>
  <si>
    <t>Mindray BA88A Semi Automated (Donation from CHD) 2012</t>
  </si>
  <si>
    <t>E-3295</t>
  </si>
  <si>
    <t>Model DW-86L388, Brand Haier, Germany w/ AVR (NOA dtd February 23, 2012, Public Bidding November 28, 2011, Zafire Dist.)</t>
  </si>
  <si>
    <t>E-13-04-3429</t>
  </si>
  <si>
    <t>Binocular microscope</t>
  </si>
  <si>
    <t>w/ mechanical stage and abbey condenser 4x, 10x, 40x &amp; 100x magnification, Power Input: AC 100-240V, Led light illumination minimum 3 watts SN 201202165, 2013</t>
  </si>
  <si>
    <t>E-13-12-3572</t>
  </si>
  <si>
    <t>Blood Bank Refrigerator</t>
  </si>
  <si>
    <t>Donation from DOH dtd. December 2013</t>
  </si>
  <si>
    <t>E-13-01-3396</t>
  </si>
  <si>
    <t>Olympus (Donation from CHD3), 2013</t>
  </si>
  <si>
    <t>E-14-01-3580</t>
  </si>
  <si>
    <t>Brand new Model: MBR305GR-PK Country of Origin: Japan, Brand: Panasonic SN: 13010010 Donation from DOH, Dece. 27, 2013 (Omnibus Bio Medical Systems Inc.</t>
  </si>
  <si>
    <t>E-13-04-3428</t>
  </si>
  <si>
    <t>w/ mechanical stage and abbey condenser 4x, 10x, 40x &amp; 100x magnification, Power Input: AC 100-240V, Led light illumination minimum 3 watts SN 201202148, 2013</t>
  </si>
  <si>
    <t>E-14-05-3723</t>
  </si>
  <si>
    <t>Brand: Digi System Taiwan ;Model: BSC 1512T;Capacity: 12 Placer;Standard features: - carbon brush motor;  - at least 3000 RPM; - fixed motor; - lid dropping protection, w/ metal lid; - Metal housing, lid locking; - with user's Manual in English language (2 Copies: operation &amp; service manual);Warranty: One (1) year warranty on parts &amp; service after testing, inspection &amp; acceptance ; PO # 14-05-000111 dtd 5/12/14 Preans ENT</t>
  </si>
  <si>
    <t>E-14-01-3579</t>
  </si>
  <si>
    <t>Refrigerated centrifuge</t>
  </si>
  <si>
    <t>Brand new Model: Rotosilenta 630 RS Made in Germany, 2014 (DOH)</t>
  </si>
  <si>
    <t>E-15-10-4048</t>
  </si>
  <si>
    <t>BD Facspresto TM</t>
  </si>
  <si>
    <t xml:space="preserve">BD FACSPresto TM near PATIENT CD4 Counter Unit (DONATION), Philippine Business for Social Progress (PBSP), 10-02-15, Supplier- Zafire Distributors, Inc. </t>
  </si>
  <si>
    <t>E 15-06-3993</t>
  </si>
  <si>
    <t>Brand/Model: Triup International corp/80-2C  country of Origin: China   capacity 12th placer (12 x 5-10ml test tubes)  Power supply input: 220-240VAC, 60Hz, at least 4000RPM, fixed rotor, lid droppingprotection with metal lid, stainless steel centrifuging, air cooling, -Automatic rotor recognition; -Error display, imbalance detection. June 4, 2015</t>
  </si>
  <si>
    <t>E-15-03-3893</t>
  </si>
  <si>
    <t xml:space="preserve">CRYOSTAT/CROMICROTOME MACHINE </t>
  </si>
  <si>
    <t>Brand/Model:  Leica Microsystem CM 1860 Cryostat  Country of Origin:  China, single compressor system, vacuum section waste removal sysyem, quick freeze shelf w/ max temp of 40, automatic defrost   MRL Cybertec PO 15-01-000011 dtd january 7, 2015   Delivery date march 4, 2015</t>
  </si>
  <si>
    <t>E-16-02-4133</t>
  </si>
  <si>
    <t>Platelet Incubator with Agitator</t>
  </si>
  <si>
    <t>Brand/Model: Presvac/ AP 96LT, Country- Argentina, Box Material: Galvannealed steel with Bacteria Resistant Powder, Storage Capacity: 96 Random Bags/32 Apherasis bags, Shelf: 1 Stationary/Galvannealed steel-perforated and Powder, Drawer-7 pull-out, removable, Galvannealed steel, with compatible incubator, with motion alarm, uninterrupted Power Supply (UPS), AVR, Supplier- MRL Cybertec Corp, PO 16-01-000025</t>
  </si>
  <si>
    <t>E-16-06-4158</t>
  </si>
  <si>
    <t>Autoclave Machine</t>
  </si>
  <si>
    <t>Autoclave Machine, Brand New, TRIUP TRS-150 YDA), 150 L Capacity, Fully stainless steel structure, Bevel designated control panel, easy to operate, Microprocessor control, LED display, Audio and visual alarm for low water, automatic water supply system, Downward displacement (gravity-type) ensures a pure steam environment, Over-temperature protection precision of temperature within ± 0.5 'C, Cover can be opened easily, 220V power supply, With UPS and AVR, Three Years warranty on parts and services, With Three (3) copies for operator/ user/ service/ technical and maintenance manual in English language, Submit the following: List of Engineers or technical personnel who shall perform preventive maintenance of the product during the warranty period, Copy of distributorship agreement between the manufacturer and the local distributor, Certification that the bidder will provide a Service Unit that the end-user can use in case the equipment will be pulled-out for repair or maintenance within the warranty period. SUPPLIER - SURGICO PHILS, INC. , PO - 16-02-000062 , Delivery Date - May 12, 2016</t>
  </si>
  <si>
    <t>E-16-12-4380</t>
  </si>
  <si>
    <t>Biosafety Cabinet Class IIA</t>
  </si>
  <si>
    <t>Biosafety Cabinet Class IIA, Brand: "N-BIOTEK" NB-602WS, Country of Origin: KOREA, Specifications: Full Digital Control, 10-stage velocity control, Purity lower than 100, HEPA Filter/0.3 micron 99.99% efficiency, Easy removable working table, Dimension (IN) - at least 1230 x 600 x 700 (H) mm, Dimension (OUT) - at least 1300 x 840 x 1890 (H) mm, Material : Stainless steel working table, Cabinet : Steel plate with powder coating, Illumination :40W Fluorescent Lamp x 2EA, UVG LAmp - 40W x 2EA, Electronic Digital Timer, Door: Sliding Glass Door, tempered safety glass, Power 220v, With Inclusions of the following, - AVR (compatible with the machine) Socket adaptor, Standard Requirements: 1. Users-Manual in English LAnguage, a. Operational Manual, B. Service Manual, 2. Training program for the end-users on equipment operation. 3. Preventive Maintenance program for at least two (2) years, 4. Two (2) years warranty on parts and service after testing, inspection, and acceptance. (Supplier: MRL CYBERTEC CORP. PO- 16-10-000374, Delivery 21-Dec-16)</t>
  </si>
  <si>
    <t>E-16-12-4379</t>
  </si>
  <si>
    <t>CO2 Incubator</t>
  </si>
  <si>
    <t>CO2 Incubator, Brand: "N-BIOTEK" NB-203XL, Country of Origin : KOREA. Specifications: Temperature: 3-5'C to 55-60'C, User programmable tracking alarm, Microprocessor, CO2 Range 0-20%, CO2 Control ± 0.1%, CO2 Sensor - IR, Tempered Glass Door, Individual 2 Chamber touch button, LED Display, Stainless Steel, 179 liter, Chamber Dimension ≥473mm x ≥528mm ≥710mm, Overall Dimension ≥560mm ≥665mm ≥945, 220V 50-60Hz, 600W, With installation of the Equipment, With Inclusion of the following -AVR (compatible with the machine), -Socket Adaptor. Standard Requirements: 1. Users-Manual in English LAnguage, a. Operational Manual, B. Service Manual, 2. Training program for the end-users on equipment operation. 3. Preventive Maintenance program for at least two (2) years, 4. Two (2) years warranty on parts and service after testing, inspection, and acceptance. (Supplier: MRL CYBERTEC CORP. PO- 16-10-000374, Delivery 21-Dec-16)</t>
  </si>
  <si>
    <t>E-16-12-4377</t>
  </si>
  <si>
    <t>CLINICAL CENTRIFUGE, MODEL "XIANGZHI CENTRIFUGE" TD4A , COUNTRY OF ORIGIN : CHINA , S# L1606002LW , SUPPLIER - MRL CYBERTEC CORP., PO 16-10-000374 DTD 12-21-16</t>
  </si>
  <si>
    <t>E-17-01-000002</t>
  </si>
  <si>
    <t>BIOLOGICAL MICROSCOPE</t>
  </si>
  <si>
    <t>BIOLOGICAL MICROSCOPE, MODEL ; LEICA BIOSYSTEMS - DM500 MICROSCOPE , COUNTRY OF ORIGIN : CHINA , SUPPLIER - MRL CYBERTEC, INC. PO 16-11-000345 DTD 01-04-17</t>
  </si>
  <si>
    <t>E-17-02-000027</t>
  </si>
  <si>
    <t>CLINICAL CENTRIFUGE</t>
  </si>
  <si>
    <t>CLINICAL CENTRIFUGE, MODEL "XIANGZHI CENTRIFUGE" TD4A , COUNTRY OF ORIGIN : CHINA , S# L1607007LW , SUPPLIER - MRL CYBERTEC CORP., PO 16-10-000374 DTD 01-28-17</t>
  </si>
  <si>
    <t>E-17-02-000003</t>
  </si>
  <si>
    <t>E-17-01-4382</t>
  </si>
  <si>
    <t>E-17-01-4383</t>
  </si>
  <si>
    <t>E-17-03-000059</t>
  </si>
  <si>
    <t>FLOATATION BATH</t>
  </si>
  <si>
    <t>FLOATATION BATH , BRAND : "LEICA BIOSYSTEMS HI1210 , COUNTRY OF ORIGIN : CHINA , SUPPLIER - MRL CYBERTEC CORP. , PO 17-01-000047 DTD 03-02-17</t>
  </si>
  <si>
    <t>E-17-03-000060</t>
  </si>
  <si>
    <t>TISSUE PROCESSOR</t>
  </si>
  <si>
    <t>TISSUE PROCESSOR , BRAND : "LEICA BIOSYSTEMS" TP1020  , COUNTRY OF ORIGIN : CHINA , SUPPLIER - MRL CYBERTEC CORP. PO 17-01-000047 DTD 03-03-17</t>
  </si>
  <si>
    <t>E-17-04-000203</t>
  </si>
  <si>
    <t>DRY WATER BATH</t>
  </si>
  <si>
    <t>DRY WATER BATH, BRAND : "N-BIOTEK" NB-305TB , COUNTRY OF ORIGIN</t>
  </si>
  <si>
    <t>E-17-04-000202</t>
  </si>
  <si>
    <t>12 PLACER REFRIGERATED CENTRIFUGE</t>
  </si>
  <si>
    <t xml:space="preserve">12 PLACER REFRIGERATED CENTRIFUGE, BRAND : "PRESVAC" DP2065 R 12B , COUNTRY OF ORIGIN : ARGENTINA , SUPPLIER - MRL CYBERTEC , PO 17-01-000047 DTD 04-05-2017 </t>
  </si>
  <si>
    <t>E-17-04-000204</t>
  </si>
  <si>
    <t>MICROHEMATOCRIT CENTRIFUGE</t>
  </si>
  <si>
    <t>MICROHEMATOCRIT CENTRIFUGE, BRAND : CHANGSHA XIANGZHI CENTRIFUGE , MODEL : TG12 , COUNTRY OF ORIGIN : CHINA , SUPPLIER - MRL CYBERTEC , PO 17-01-000047 DTD 04-05-17</t>
  </si>
  <si>
    <t>E-17-07-000468</t>
  </si>
  <si>
    <t>PLASMA THAWER</t>
  </si>
  <si>
    <t>PLASMA THAWER , Brand: "PRESVAC" , Country of Origin: ARGENTINA , Supplier: MRL Cybertec Corp , PO # 17-01-000047 , Delivery Date: May 08,2017</t>
  </si>
  <si>
    <t>E-17-07-000467</t>
  </si>
  <si>
    <t>TUBE SEALER</t>
  </si>
  <si>
    <t>TUBE SEALER , Brand: "CHANGSHA XIANGZHI CENTRIFUGE"  , Model: GR2002 , Country of Origin: CHINA , Supplier: MRL Cybertec Corp , PO # 17-01-000047 , Delivery Date: June 01,2017</t>
  </si>
  <si>
    <t>E-17-03-000061</t>
  </si>
  <si>
    <t>ROTARY MICROTOME</t>
  </si>
  <si>
    <t xml:space="preserve">ROTARY MICROTOME, Brand : "LEICA BIOSYSTEMS" RM2125 RTS, Country of Origin : CHINA, Supplier - MRL CYBERTEC Corp. PO # 17-01-000047 , Delivery date - 03-02-2017 </t>
  </si>
  <si>
    <t>E-3031</t>
  </si>
  <si>
    <t>borrowed for personal use (borrowed) 11/25/1998</t>
  </si>
  <si>
    <t>Bed</t>
  </si>
  <si>
    <t>E-2069</t>
  </si>
  <si>
    <t>Defibrilator</t>
  </si>
  <si>
    <t xml:space="preserve">SN: 100559 725774, w/ cardiac monitor Life Pack 9B Physio control </t>
  </si>
  <si>
    <t>E-2693</t>
  </si>
  <si>
    <t>single channel rechargeable battery or AC operation digital ECG, alphanumeric patient information Entry message, six Recording modes (Kenz 108)  11/25/1998</t>
  </si>
  <si>
    <t>E-2134 to 2135</t>
  </si>
  <si>
    <t>Infusion pump</t>
  </si>
  <si>
    <t>Volumetric FLO-GARD 6201   11/25/1998</t>
  </si>
  <si>
    <t>E-2648, 2649</t>
  </si>
  <si>
    <t>Laryngoscope set</t>
  </si>
  <si>
    <t>adult Wittex Fiber Optic, straight or curved FO blade 1,2,3,4 FO standard battery handle, wooden case, spare bulb   11/25/1998</t>
  </si>
  <si>
    <t>E-2829</t>
  </si>
  <si>
    <t>with 1 pc. Handle, 1 size 3 blade, 1 size 4 blade   1/25/1998</t>
  </si>
  <si>
    <t xml:space="preserve"> 11/25/1998</t>
  </si>
  <si>
    <t>E-2529</t>
  </si>
  <si>
    <t>HD USA Sorenson Br Model No. 2492-122E SN 0008003  11/25/1998</t>
  </si>
  <si>
    <t>E-2825, 2826</t>
  </si>
  <si>
    <t>Mechanical ventillator</t>
  </si>
  <si>
    <t>Newport E100M ventilator with external compressor for adult Pediatric, infant application volume control, pressure control mode A/C NV, Comprehensive alarm package w/ battery &amp; nebulizer, oxygen gauge, air compressor respironics B2 Heated humidifier, reusable breathing circuit, test lung &amp; operations &amp; service manual SN 0607MG199, 0607/MG 198 (NOA dtd July 31, 2006, Public Bidding June 27, 2006, Respicare Ent.)</t>
  </si>
  <si>
    <t>E-2939</t>
  </si>
  <si>
    <t>Patient monitor</t>
  </si>
  <si>
    <t>4 multi parameter w/ accessories: 1pc SP2 Probe adult, 1 pc manual, 1 pc power cord, 1 pc ECG/Patient cable, 1 pc NIBP Cuff adult, 1 pc NIBP Extension, 1 pc temperature probe, 1 pack Disposable ECG-Electrode, 1 pc Ground wire, 1 pc ECG paper, 1 unit Perfect View Bracket, 1 unit AVacus 350W AVR, 1 unit Computer CPU w/ 1 pc LG DVD ROM, 1 unit Chimei LCD Monitor 18.5, 1 unit Chimei LCD Monitor 21.6", 1 set speaker, 1 pc mouse, 1 pc keyboard 1 pc Edimanx switch hub, 1 pc APC UPS, 1 pc Hasp USB Security (NOA dtd September 2, 2009, Public Bidding November 12, 2008, Surgico Phils.)</t>
  </si>
  <si>
    <t>E-3059to3083</t>
  </si>
  <si>
    <t>Mechanical hospital bed</t>
  </si>
  <si>
    <t>2 cranks, stainless steel head/foot board, rubber foot w/ matress leatherette cover (NOA dtd April 18, 2011, Public Bidding February 1, 2011, Roshem Dist.)</t>
  </si>
  <si>
    <t>E-3294</t>
  </si>
  <si>
    <t>ERKA, Gernmany, Saviour Medevices, April 25, 2012</t>
  </si>
  <si>
    <t>E-13-08-3464</t>
  </si>
  <si>
    <t>2D Echo Machine w/ Doppler</t>
  </si>
  <si>
    <t>4 wheeled Medical Grade Trolley w/ brake or locking system ECG kit and cable w/ clamps Brand: Samsung Medison EK07 Made in Korea Serial No. SO8FM3D6000009B with SONY DVD Recorder, Printer, AVR- Donation from DOH dtd. August 8, 2013 Supplier NPK Medical trading Corp. 2013</t>
  </si>
  <si>
    <t>E-14-03-3618-14-03-3660</t>
  </si>
  <si>
    <t>E-14-10-3807-3811</t>
  </si>
  <si>
    <t>2 cranks w/ mattress Brand ACARE RANGE, Model:HCB-7031 China DOH DONATION    4/04/14</t>
  </si>
  <si>
    <t>E-14-02-3663-14-02-3665</t>
  </si>
  <si>
    <t>with stand, with adult and pedia cuff (Aneroid) with stethoscope Brand: Baunamometer US PO 13-12-000400 February 18, 2014 Surgico Phils. Inc. SN: 12080827, 08104203 &amp; 08104255</t>
  </si>
  <si>
    <t>3 blades Brand: Goldstar March 7, 2014 Alphine Ent.</t>
  </si>
  <si>
    <t>E-14-04-3684</t>
  </si>
  <si>
    <t>Patient Monitor</t>
  </si>
  <si>
    <t>Model Taixing Lencen &amp; S-5 Country of Origin: China DOH Donation March 27, 2014 (Chem Valley Resources Inc. SN: K8140115232U</t>
  </si>
  <si>
    <t>E-14-04-3686</t>
  </si>
  <si>
    <t>Model Taixing Lencen &amp; S-5 Country of Origin: China DOH Donation March 27, 2014 (Chem Valley Resources Inc. SN: K8140115170U</t>
  </si>
  <si>
    <t>E-14-04-3687</t>
  </si>
  <si>
    <t>Model Taixing Lencen &amp; S-5 Country of Origin: China DOH Donation March 27, 2014 (Chem Valley Resources Inc. SN: K8140115061U</t>
  </si>
  <si>
    <t>E-14-04-3688</t>
  </si>
  <si>
    <t>Model Taixing Lencen &amp; S-5 Country of Origin: China DOH Donation March 27, 2014 (Chem Valley Resources Inc. SN: K8140115178U</t>
  </si>
  <si>
    <t>E 14-05-3722 -14-05-3722E</t>
  </si>
  <si>
    <t xml:space="preserve">EEG MACHINE        </t>
  </si>
  <si>
    <t>Brand: Nicolet ; Model: VEEG 32 Channel Ethernet  Interface w/ digital Video &amp; Sleep Software SN: Y32-*1360100; Country Origin: USA; Accessories: Computer Set w/ 22 LCD Monitor , HP Brand SN: 6CM 32601DH; HP Desktop Printer SN: CN33K19JV8, VIDEo SN: 3003746 ; UPS, DONATION  FROM DOH (RG MEDITRON INC)   August 20, 2014</t>
  </si>
  <si>
    <t>E-14-09-3777</t>
  </si>
  <si>
    <t>Mobile Xray Machine</t>
  </si>
  <si>
    <t>Brand:SMAM , Model: easy slide 30, w/ @ pcs lightweight lead aprons, 2 thyroid shields,2 gonadal shields, 2 14 x 17 green sensitive cassettes, 2 10 x 12 green sensitive cassettes 1 grounding rod DOH DONATIon (Filrad Corp) 9/8/14</t>
  </si>
  <si>
    <t>E-15-01-3864-3868</t>
  </si>
  <si>
    <t>ICU Bed</t>
  </si>
  <si>
    <t>Brand: Triup Model : 016 Electric Tripple Crank  w/ UPS  Country of Origin:  China   Supplier: S &amp; S Enterprises  Delivery date:  1/22/2015</t>
  </si>
  <si>
    <t>E-15-01-3859-15-01-3863</t>
  </si>
  <si>
    <t>Brand: Advance Medical Model: AM-2000H  Supplier: Jordal Medical System Inc.  IR-DOH-BIH</t>
  </si>
  <si>
    <t>E-15-01-3874-3875</t>
  </si>
  <si>
    <t>IV Infusion Pump</t>
  </si>
  <si>
    <t>w/ IV Stand  Brand: Advanced Medical  Model: AM 601A  SN 1312272 and 1312283  Supplier:  Jordal Medical System Inc  EU Fund from DOH, Manila  Deliver Date:  November 6 2014</t>
  </si>
  <si>
    <t>E-15-07-4030 to 4033</t>
  </si>
  <si>
    <t>Mechanical Bed</t>
  </si>
  <si>
    <t>Mechanical Bed 2 Cranks with mattress, (DOH-Donation) 04-04-14</t>
  </si>
  <si>
    <t>E-15-06-3994</t>
  </si>
  <si>
    <t>set-fiber optic, adult with handle size 2, 3, and 4 full spectrum, bright white LED light, repairable, single pice, stainless steel blade ("Schucman 2" Laryngoscope set, consist of F.O. mcintosh blade w/ fiber clip bundle 2, 3, 4) NOTE : From Magtoto, Ma. Theresa -to- Medicine Ward Nurses</t>
  </si>
  <si>
    <t>E-15-04-3968</t>
  </si>
  <si>
    <t>Brand/Model:  Mindray   Country of Origin:  China, with reorder, monitor ECG through paddles, pads and monitoring electrodes &amp; defibrillate in through pads and paddles, built in 50mm strip printer/thermal recorder, with charging indicator, patient cable, complete set of ECG  3 leads, Power Supply, Power input to be 220-240 VAC, 50Hz with useer's manual  Technomed International Inc.   PO 15-01-000005   April 7, 2015</t>
  </si>
  <si>
    <t>16-01-4069</t>
  </si>
  <si>
    <t>Plasma -Air Sterilizer</t>
  </si>
  <si>
    <t>Brand New , Free and flexible sterilization by manual, automatic, &amp; on schedule. Accurate  time display. Adjustable air flow speed. Sterilize air by plasma. Built in negative ion generator. Remote control via wifi. Self inspect and warning. Initial and mild effect filter. Multiple sensors to inspect air quality, temperature and RH. Work by manual, automatic &amp; on schedule. Power Supply : 220v 50Hz, with users manual, with training to end-users, warranty at least 2 years on parts and service, with free 1 set of AVR w/ time delay.   Supplier - ENDURE MEDICAL Inc. PO 15-08-000321, date 04 Dec 2015</t>
  </si>
  <si>
    <t>E-16-05-4156</t>
  </si>
  <si>
    <t>E-17-05-000246</t>
  </si>
  <si>
    <t xml:space="preserve">NEGATOSCOPE WITH LED LIGHT 2-3 FILMS </t>
  </si>
  <si>
    <t>NEGATOSCOPE WITH LED LIGHT 2-3 FILMS , Brand: ELMED , Country of Origin: PHILIPPINES , Supplier: Medical Gallery , PO# 17-01-000044 , Delivery Date: May 04,2017</t>
  </si>
  <si>
    <t>E-17-01-000017</t>
  </si>
  <si>
    <t xml:space="preserve">E-17-05-000277 / E-17-05-000278 / E-17-05-000279 </t>
  </si>
  <si>
    <t>E-1444</t>
  </si>
  <si>
    <t>DR table</t>
  </si>
  <si>
    <t>E-3057</t>
  </si>
  <si>
    <t>w/ wheels   11/25/1998</t>
  </si>
  <si>
    <t>E-2575</t>
  </si>
  <si>
    <t>Gemmy Brand  11/25/1998</t>
  </si>
  <si>
    <t>E-2110</t>
  </si>
  <si>
    <t>ATMOS, 1999</t>
  </si>
  <si>
    <t>E-2269</t>
  </si>
  <si>
    <t>Laparoscopy w/ thermoflator</t>
  </si>
  <si>
    <t>Brand: Storz, April 19, 2002 NOTE - From Velasquez, Roma-Myka MD -to- Lopez, Melisa MD</t>
  </si>
  <si>
    <t>E-2697</t>
  </si>
  <si>
    <t>Portable, May 13, 2005</t>
  </si>
  <si>
    <t>E-2856</t>
  </si>
  <si>
    <t>ECG portable</t>
  </si>
  <si>
    <t>Digital KENZ 108, single channel compact &amp; light weight excellent recording quality, easy operation alpha numeric patient information entry rechargeable battery or AC operation message display (NOA dtd July 31, 2006, Public Bidding June 27, 2006, RG Meditron) NOTE - From Velasquez, Roma-Myka MD -to- Lopez, Melisa MD</t>
  </si>
  <si>
    <t>E-3238</t>
  </si>
  <si>
    <t>Ultrasound machine DP-7700</t>
  </si>
  <si>
    <t>Digital ultrasonic diagnostic imaging system (P.R. China), Imaging processing Pre-processing, dynamic range, edge (October 2011) (NOA dtd December 10, 2007 Public Bidding September 19, 2007, Allied Hospital Supply Int'l) NOTE: From De Guzman, Beethoven MD -to- Lopez, Melisa MD</t>
  </si>
  <si>
    <t>E-2903</t>
  </si>
  <si>
    <t>Delivery table</t>
  </si>
  <si>
    <t>CHS-ESO Choong Korea, Size: W-650mm x L-1,880 mm x H 700-820mm, Back section: 25-5, Table rotating: 360  (NOA dtd August 19, 2009, Public Bidding November 12, 2008, NPK)</t>
  </si>
  <si>
    <t>E-2894, 2895</t>
  </si>
  <si>
    <t>D &amp; C set</t>
  </si>
  <si>
    <t>w/ forcep, blaunt burette, ovum forcep, single tooth tenaculum forcep, 2009</t>
  </si>
  <si>
    <t>E-2834</t>
  </si>
  <si>
    <t>400 x 600 x 950mm, 3 pull out drawers, 8 shelves, stainless, December 12, 2009</t>
  </si>
  <si>
    <t>E-3029</t>
  </si>
  <si>
    <t>E-3050,3051</t>
  </si>
  <si>
    <t>w/ wheels Model CK-142, 2010</t>
  </si>
  <si>
    <t>E-3230</t>
  </si>
  <si>
    <t>Obtetrical Neonatal Mannequin</t>
  </si>
  <si>
    <t>Fiberglass transparent w/ styrotry for diapers, 4 wheels and stand, size L-2080, W-420 x H 950mm, stainless steel, August 1, 2011 NOTE - From Velasquez, Roma-Myka MD -to- Lopez, Melisa MD</t>
  </si>
  <si>
    <t>E-12-10-3369-3386</t>
  </si>
  <si>
    <t>with matress, 2 cranks, rubber foot, stainless steel head/foot board (Repeat Order Public Bidding February 1, 2011, Roshem Dist)</t>
  </si>
  <si>
    <t>E 3365A</t>
  </si>
  <si>
    <t>Fetal Doopler</t>
  </si>
  <si>
    <t>Fetal Doopler Brand/Model: Country Huntleigh DF3/UK, Digital w/ fetal heart rate display and battery status display with probe for snsitive detection in early gestation as early as 8-10 weeks (July 2012) (32,900.00) NOTE - From Guintu, Sharon -to- Lopez, Melisa MD</t>
  </si>
  <si>
    <t>E-3344</t>
  </si>
  <si>
    <t>Ultrasound machine</t>
  </si>
  <si>
    <t>Model: Logig C5 Premium, Brand: GE, Made in China, Display screen: 15inc resolution color LCD, Display pixel: 1024 x 768 pixels, integrated speakers, brightness adjustment (NOA dtd February 24, 2012, Public Bidding November 24, 2011, Technomed Int'l) NOTE - From Velasquez, Roma-Myka MD -to- Lopez, Melisa MD</t>
  </si>
  <si>
    <t>E-14-02-3603</t>
  </si>
  <si>
    <t>Mama Natallie (Manequin)</t>
  </si>
  <si>
    <t xml:space="preserve">Birthing stimulator (DOH-Donation) November 13, 2013 </t>
  </si>
  <si>
    <t>E-14-05-3715</t>
  </si>
  <si>
    <t xml:space="preserve">Brand: TRIUP , Model: Tres -2311, Origin: China DOH DONATION  4/30/14 SN: 14-05-3715 - SMSL239-NKTI 2013 </t>
  </si>
  <si>
    <t>E-13-11-3503-3552</t>
  </si>
  <si>
    <t>E-14-02-3609-14-02-3611</t>
  </si>
  <si>
    <t>with stand, with adult and pedia cuff (Aneroid) with stethoscope Brand: Baunamometer US PO 13-12-000400 February 18, 2014 Surgico Phils. Inc. SN:  03101481, 08103361 &amp;</t>
  </si>
  <si>
    <t>E-14-12-3824 - 14-12-3848</t>
  </si>
  <si>
    <t>2 crank w/ mattress brand: ACARE RANGE , Model: HCB-7031 China, 83L" x 39W" DOH DONATION  4/4/14</t>
  </si>
  <si>
    <t>E-14-10-3795 - 14-10-3796</t>
  </si>
  <si>
    <t>E-15-04-3969</t>
  </si>
  <si>
    <t>Fetal Monitor</t>
  </si>
  <si>
    <t>Brand/Model;  Edan/F9 Fetal and Maternal Monitor, Country of Origin:China, 12-Crystal pulsed doppler ultrasound, Nautilus toco, High/low heart rate alarm, Fetal movement detection (manual), remote event marker interface, standard Z-fold paper, unique fetal acoustic stimulator, Large LED displays, dual digital interface, with thermal printer and operations and service manual, Medical Center Trading Corporation,  PO#15-01-000010 April 15, 2015</t>
  </si>
  <si>
    <t>E-15-03-3921</t>
  </si>
  <si>
    <t>Brand/Model:  BSCS/ECG-101G  Country of Origin: China, user friendly, heavy duty, with internal battery, with recdhargeable battery or AC Operation Digital ECG Alpha Numeric patinet information, utilizes standard ECG strip paper size (50mm)  Blue Sky Trading 15-01-000003 (March 2015)</t>
  </si>
  <si>
    <t>E-15-03-3950- 15-03-3951</t>
  </si>
  <si>
    <t>Brand/Model: BSCS/BSCS IP-12 country of Origin:  China,  operated on drip rate Peristaltic finger pump method, compatible with most of the IV sets, Flow rate accuracy of +10% and drip rate accuracy of +2%, Volume display from 0 to 999.9ml, purge and KVO facility, audible and visual alarm for occlusion pressure, air alrm, door open, empty, low battery, minmum of 2hr battery back-up, Input 200to 240 Vac 50Hz supply , with drop sensor  and stand  Blue Sky Trading Co. inc.  15-01-000003  March 2015</t>
  </si>
  <si>
    <t>E-15-04-3955, E-15-04-3956</t>
  </si>
  <si>
    <t>Pulse Oximeter including consumables</t>
  </si>
  <si>
    <t>Brand/Model: Choice/Md20000A; Country Origin: China; Technical Specifications: with pediatric and adult sensor (Audible and visible alarm); Display: digital with pulse rate and SPO2; With AC and Battery, bedside. Blue Sky Trading CO. INC April 13, 2015</t>
  </si>
  <si>
    <t>E-15-04-3964</t>
  </si>
  <si>
    <t>Suction/Irrigation System for Hysteroscopy</t>
  </si>
  <si>
    <t>Brand/Model: karl Storz Hamou Endomat Suction/Irrigation System  Country of origin: Germany, with hysterescopy tubing set 3 pcs, laparascopy tubing set 3 pcs, silicone tubing set for suction, unit footswitched, suction bottle, Line voltage: 100/120/230/240 VAC, Line frequency: 50/60Hz, Line consumption: 80VA, Power Fuses: 2 x T2 AL 250V with user's manual  Saviour Medevice Inc., Po 15-01-000019  April 15, 2015</t>
  </si>
  <si>
    <t>E-15-04-3974/ E-15-04-3975</t>
  </si>
  <si>
    <t>Suction Machine</t>
  </si>
  <si>
    <t>Brand/Model: ESP-50, Country of Origin: China, Supplier: Roshem Distributor Inc., 04-22-15</t>
  </si>
  <si>
    <t>E-15-03-3901</t>
  </si>
  <si>
    <t>Brand/Model:  Edan iM8B   country of Origin:  China  cardiac monitor display fo BP pressure, heart rate, O2 Saturation, RR and temp, sensors for all parameters are detachable and compatible with other cardiac monitor u its, heavy duty, w/ back-up battery, rechargeable batteries, with 6 cuffs of various sizes, with cart  RESPICARE Ent. PO 15-01-000006  Delivery date:  March 11, 2015 NOTE - From Velasquez, Roma-Myka MD -to- Lopez, Melisa MD</t>
  </si>
  <si>
    <t>E-15-01-3876 to 3877</t>
  </si>
  <si>
    <t>Mama Natalie</t>
  </si>
  <si>
    <t>Manequin Donation from UNICEF January 15, 2015 NOTE - From Gorospe, Teresa Juanita -to- Lopez, Melisa MD</t>
  </si>
  <si>
    <t>E-16-12-4306 TO E-16-12-4375</t>
  </si>
  <si>
    <t>PATIENT BED</t>
  </si>
  <si>
    <t>PATIENT'S BED, BRAND : MAIKANG , COUNTRY OF ORIGIN : CHINA, HEAVY DUTY WITH SIDE RAILS AND STRAIGHT 4 INCHES FOAM MATTRESS MUST LAST FOR 5 YEARS, WITH LEATHERETTE COVER, CAPABLE OF MANUAL ELEVATION OF THE HEAD OR FOOT PART OF THE BED, WITH IV STANDS, SUPPLIER - MEDICAL GALLERY TRADING CO. PO 16-11-000435 DELIVERY DATE : 12-09-16</t>
  </si>
  <si>
    <t>E-16-11-4304</t>
  </si>
  <si>
    <t>COMPLETE BASIC MINIMALLY INVASIVE SURGERY EQUIPMENT FOR LAPAROSCOPY AND HYSTEROSCOPY</t>
  </si>
  <si>
    <t>COMPLETE BASIC MINIMALLY INVASIVE SURGERY EQUIPMENT FOR LAPAROSCOPY AND HYSTEROSCOPY, BRAND : KARL STORZ , COUNTRY OF ORIGIN : GERMANY, SPECS - LAPAROSCOPY TOWER, LAPAROSCOPY INSTRUMENTS , OPERATIVE AND DIAGNOSTIC HYSTEROSCOPY, UPS, AVR, STAND, STRAP AND SOCKET ADAPTOR, SUPPLIER - SAVIOUR MEDEVICES, INC. , PO# 16-10-000382 , DTD 11-25-16</t>
  </si>
  <si>
    <t>E-17-06-000359</t>
  </si>
  <si>
    <t>CRYO SURGICAL UNIT MACHINE</t>
  </si>
  <si>
    <t>CRYO SURGICAL UNIT MACHINE , Brand: WALLACH , Country of Origin: USA , Supplier: Aljeron Medical Enterprises , PO# 17-01-000048 , Delivery Date: May 05,2017</t>
  </si>
  <si>
    <t>E-17-04-000206</t>
  </si>
  <si>
    <t>LAMINAR FLOW CABINET</t>
  </si>
  <si>
    <t>LAMINAR FLOW CABINET, 1400 x 900 x 1730 MM, ***DONATION*** FROM ROTARY CLUB DTD 04-03-17</t>
  </si>
  <si>
    <t>E-17-04-000207</t>
  </si>
  <si>
    <t>LABORATORY FREEZER</t>
  </si>
  <si>
    <t>LABORATORY FREEZER, 700 X 715 X 1940 MM , ***DONATION*** FROM ROTARY CLUB DTD 04-03-17</t>
  </si>
  <si>
    <t>E-17-04-000208</t>
  </si>
  <si>
    <t>LABORATORY REFRIGERATOR</t>
  </si>
  <si>
    <t>LABORATORY REFRIGERATOR, 700 X 720 X 1940 MM , ***DONATION*** FROM ROTARY CLUB DTD 04-03-17</t>
  </si>
  <si>
    <t>E-17-01-000013 / E-17-01-000014</t>
  </si>
  <si>
    <t>Suction Apparatus for Ward Use</t>
  </si>
  <si>
    <t>Suction Apparatus for Ward Use , 'Brand: TRIUP (P25,000) , 'Country of Origin: CHINA , Supplier: Surgico Phils INC , PO # 16-10-000377 , Delivery Date: January 10,2017</t>
  </si>
  <si>
    <t>E-17-04-000226</t>
  </si>
  <si>
    <t>PLASMA STERILIZER</t>
  </si>
  <si>
    <t>PLASMA STERILIZER , BRAND : PLASMAIR T2006 , COUNTRY OF ORIGIN : FRANCE , SUPPLIER : STA. ANA , PO 16-12-000500 , STS 04-11-17</t>
  </si>
  <si>
    <t>E-17-07-000456 / E-17-07-000466</t>
  </si>
  <si>
    <t>MANUAL TRANSPORT STRETCHER</t>
  </si>
  <si>
    <t>MANUAL TRANSPORT STRETCHER , Brand: THR, Country of Origin: CHINA , Supplier: Medical Gallery Trading Co. , PO # 17-01-000044 , Delivery Date: April 27,2017</t>
  </si>
  <si>
    <t xml:space="preserve">E-17-05-000280 / E-17-05-000281 / E-17-05-000445 / E-17-05-000446 / E-17-05-000447 </t>
  </si>
  <si>
    <t>E-17-07-000473 , E-17-07-000473</t>
  </si>
  <si>
    <t>OR/DR Table - Suval Type</t>
  </si>
  <si>
    <t>OR/DR Table - Suval Type, Brand: BM MODEL JK301, Country of Origin: PHILIPPINES , Supplier: BATAAN MANUFACTURING CO.,INC , PO # 17-02-000072 , Delivery Date: June 01,2017</t>
  </si>
  <si>
    <t xml:space="preserve">E-17-07-000469, E-17-07-000470, E-17-07-000471, E-17-07-000472, </t>
  </si>
  <si>
    <t>OPERATING/DELIVERY ROOM STRETCHER</t>
  </si>
  <si>
    <t>OPERATING/DELIVERY ROOM STRETCHER , Brand: MINDRAY , Country of Origin: CHINA , Supplier: TECHNOMED INT'L INC , PO # 17-01-000049 , Delivery Date: July 16,2017</t>
  </si>
  <si>
    <t>PLASMA STERILIZER , Brand: PLASMAIR T2006 , Country of Origin: FRANCE , Supplier# STA. ANA , PO# 16-12-000500 , Delivery Date: April 11,2017</t>
  </si>
  <si>
    <t>E-17-03-000051 / E-17-03-000052</t>
  </si>
  <si>
    <t>HYDRAULIC OR TABLE</t>
  </si>
  <si>
    <t xml:space="preserve">HYDRAULIC OR TABLE , Brand:PRACTICO MANUAL HYDRAUTIC , Country of Origin: FINLAND , Supplier: Medicotek, INC , PO # 16-10-000378 , Delivery Date: February 13,2017 </t>
  </si>
  <si>
    <t>E-17-03-000049 / E-17-03-000050</t>
  </si>
  <si>
    <t>MANUAL OR TABLE</t>
  </si>
  <si>
    <t xml:space="preserve"> MANUAL OR TABLE , Brand: RAPIDO MANUAL HYDRAULIC , Country of Origin: FINLAND , Supplier: Medicotek, INC , PO # 16-10-000379 , Delivery Date: February 13,2017</t>
  </si>
  <si>
    <t>E-17-02-000028 / E-17-02-000028A</t>
  </si>
  <si>
    <t>OR LIGHT MOVEABLE</t>
  </si>
  <si>
    <t>OR LIGHT MOVEABLE , Brand/Model: STARLED 3NX- Mobile , Country of Origin: ITALY , Supplier: Aljeron Medical Enterprises , PO # 16-11-000431 , Delivery Date: January 26,2017</t>
  </si>
  <si>
    <t>E -1423 , 2238</t>
  </si>
  <si>
    <t>OR table</t>
  </si>
  <si>
    <t>cardisunny, Fukuda, 1998</t>
  </si>
  <si>
    <t>E-2944-A</t>
  </si>
  <si>
    <t>ERKA Basic Model Stand, Germany, August 23, 2000</t>
  </si>
  <si>
    <t>E-3032 to 3035</t>
  </si>
  <si>
    <t>E-3000</t>
  </si>
  <si>
    <t xml:space="preserve">Cast cutter </t>
  </si>
  <si>
    <t>220V w/ 2 pcs blade size 3 (50mm) 2pcs blade size 4 (65mm) w/ brochure (NOPA, Germany), December 17, 2010</t>
  </si>
  <si>
    <t>E-14-08-3763</t>
  </si>
  <si>
    <t xml:space="preserve">w/ analyzer Brand:Sino Hero Model :SE 508 China w/ accessories :Patient cable, reusable patient electrodes (Limb &amp; Chest) ,power cord,ground wire,carrying case, include catr/trolley w/ drawer , 2 or 4 lackable casters DOH -DONATION 7/15/14 </t>
  </si>
  <si>
    <t>E-14-10-3794</t>
  </si>
  <si>
    <t>E-15-02-3886</t>
  </si>
  <si>
    <t>E-15-03-3905</t>
  </si>
  <si>
    <t xml:space="preserve">Cautery machine </t>
  </si>
  <si>
    <t>Brand: Healforce EBO3 Country of Origin: China  spray coagulation provided transurethral Resection (TUR) and Endoscopic procedures in urology, three audible tones signal cutting and coagulation procedure, interlocking multi monopolar outlest and for one laparoscopic, interlock security circuit guarantees patient and opertion safety, 100-120 (220-240) 50/60 Hz 800/960VA, monopolar 300W/3000hm, bipolar 70W/1000hm with consumable pencils and return electrode pads, with analog dials, with universal adopter for Urology, with caster with footwitch, with bipolar coagulation forcep RESPICARE Ent PO 15-01-000006 delivery Date: March 11, 2015</t>
  </si>
  <si>
    <t>E 15-06-3996</t>
  </si>
  <si>
    <t>Cast cutter  w/ blades (Brand:NOPA)</t>
  </si>
  <si>
    <t xml:space="preserve"> -2pcs blade size 3 at least 50mm; 2 pcs size 4 at least 65mm; quickly cuts all casting materials; electric operated; with users manual 3 copies; training for end-users; warranty: one year on parts and services. Medical Center Trading CORP. 15-05-000196. PHP 66,000</t>
  </si>
  <si>
    <t>E-17-05-000276</t>
  </si>
  <si>
    <t>E-17-05-000270</t>
  </si>
  <si>
    <t>E-17-05-000247</t>
  </si>
  <si>
    <t>E-17-01-000016</t>
  </si>
  <si>
    <t>ECG MACHINE , BRAND - 3RAYS , COUNTRY OF ORIGIN : CHINA , SUPPLIER - SURGICO PHILS., INC. PO 16-10-000377 DTD 01-10-17</t>
  </si>
  <si>
    <t>E-205</t>
  </si>
  <si>
    <t>Refraction</t>
  </si>
  <si>
    <t>Model 250/Ophthalmic chair, 1990</t>
  </si>
  <si>
    <t>E-200</t>
  </si>
  <si>
    <t>Welch allyn</t>
  </si>
  <si>
    <t>Headlight, 1990</t>
  </si>
  <si>
    <t>E-1855</t>
  </si>
  <si>
    <t>EO gas sterilizer</t>
  </si>
  <si>
    <t>AN 74, 1994</t>
  </si>
  <si>
    <t>E-1860</t>
  </si>
  <si>
    <t>Indirect ophthalmoscope</t>
  </si>
  <si>
    <t>Keeler brand, 1994</t>
  </si>
  <si>
    <t>E-2115</t>
  </si>
  <si>
    <t>Operating microscope</t>
  </si>
  <si>
    <t>w/relay lens CCD camera, beam splitter, Topcom CMS-75, 1994</t>
  </si>
  <si>
    <t>E-1862</t>
  </si>
  <si>
    <t>Ophthalmic unit</t>
  </si>
  <si>
    <t>1994</t>
  </si>
  <si>
    <t>E-1861</t>
  </si>
  <si>
    <t>Slit lamp</t>
  </si>
  <si>
    <t xml:space="preserve"> Topcon SN: 636104 (Donation) (P 85,000.00), 1994</t>
  </si>
  <si>
    <t>E-189</t>
  </si>
  <si>
    <t>CIGI (w/ethrane evaporizer &amp; stand)</t>
  </si>
  <si>
    <t>E-2585</t>
  </si>
  <si>
    <t>Godmann applanation Tonometer</t>
  </si>
  <si>
    <t>(Heag-Streit), 11/25/1998</t>
  </si>
  <si>
    <t>E-2567</t>
  </si>
  <si>
    <t>portable Gemmy w/foot switch cabinet and stand  11/28/1998</t>
  </si>
  <si>
    <t>E-2116</t>
  </si>
  <si>
    <t>Cryo unit</t>
  </si>
  <si>
    <t>Keeler US, 2000</t>
  </si>
  <si>
    <t>E-2308</t>
  </si>
  <si>
    <t>Phaeco emulsification</t>
  </si>
  <si>
    <t>brand name Alcon Universal II Phaecoemulsifier, USA, July 12, 2000</t>
  </si>
  <si>
    <t>E-2584</t>
  </si>
  <si>
    <t>Ocular posner diagnostic &amp; surgical gonioprism ergonomic handle</t>
  </si>
  <si>
    <t>Ocular posner diagnostic &amp; surgical gonioprism ergonomic handle, June 13, 2002</t>
  </si>
  <si>
    <t>E-2875</t>
  </si>
  <si>
    <t>Scan optic Model SO-5000, fully featured ophthalmic microscope with foot controls and floor stand w/ continuous 200mm (NOA dtd July 31, 2006, Public Bidding June 27, 2006, IECON)</t>
  </si>
  <si>
    <t>E-2947</t>
  </si>
  <si>
    <t>Erka Vario Basic Model Stand, Made in Germany  (March 31, 2010)</t>
  </si>
  <si>
    <t>E-2975</t>
  </si>
  <si>
    <t>Tonometer</t>
  </si>
  <si>
    <t>Model:OP-1S, Brand: Optilasa, Made in Spain w/o accessories (NOA dtd June 4, 2010, Public Bidding March 3, 2010, Jerrmed Dist)</t>
  </si>
  <si>
    <t>E-3245</t>
  </si>
  <si>
    <t>A/B Scan Ophthalmic Ultrasound</t>
  </si>
  <si>
    <t>Model: E-Z Scan A/B 5500 + Series  Brand: Sonomed, Made in USA Spec: touch screen, full function A scan,Color or gray scale B-scan Image, Printer High resolution video printer.  A-scan probes: 10MHZ focused internal fixation light solid tip touch or immersion (NOA dtd February 24, 2012, Public BiddingNovember 24, 2011, Microlab Inc.)</t>
  </si>
  <si>
    <t>E-3314</t>
  </si>
  <si>
    <t>Brand-YZ-20T9, China, w/ accessories.  Specs: eyepiece: 12.5 x 18B, Oj. Lens: E-200m, Working distance: 190mm etc. (NOAdtd February 23, 2012, Public Bidding November 24, 2011, Roshem Dist)</t>
  </si>
  <si>
    <t>E-13-12-3575</t>
  </si>
  <si>
    <t>Brand: HUVITZ Model: HS-5000, Made in Korea Donation from DoH dtd. December 2013</t>
  </si>
  <si>
    <t>E-13-12-3576</t>
  </si>
  <si>
    <t>Phacoemulsification Machine</t>
  </si>
  <si>
    <t>with Anterior Vitrectomy Brand: OERTLI Model: OS3 Made in Switzerland Donation from DOH dtd. December 2013</t>
  </si>
  <si>
    <t>E-14-05-3702;E-14-05-3714</t>
  </si>
  <si>
    <t>Gonioscope Lens / Slit Lamp</t>
  </si>
  <si>
    <t>3 mirror ; White ED based, Aluminum carrying case (SN: 13940613) 4/29/14</t>
  </si>
  <si>
    <t>E-14-05-3712; 3701; 3713</t>
  </si>
  <si>
    <t>Green Laser Indirect Opthamoscope System / Phaco Vtrectomy System/Teller Visual Aculty Cards</t>
  </si>
  <si>
    <t>includes: Doube Frequency Green Laser Photocoagulator console w/ foot switc 91) (SN:11556) 4/29/14</t>
  </si>
  <si>
    <t>E-14-07-3754</t>
  </si>
  <si>
    <t>Opthalmic Microscope</t>
  </si>
  <si>
    <t>Brand: Carl-Zess ; Model: OPMI-FR Pro Led DOH-Donation (Microbiological Lab-Inc) 7/23/14</t>
  </si>
  <si>
    <t>E-14-05-3719</t>
  </si>
  <si>
    <t>Opthalmic Laser    (5/12/14)</t>
  </si>
  <si>
    <t xml:space="preserve">Model: Solitaire ; Brand:  Ellex ; Country of Origin: Australia, MTC OPTO-Medic, Inc. P 3,280,000. , A.) 1 unit Ellex Solitaire 532 Laser Sn: 4A3417S ; B.) 1 unit Ellex Solitaire Slit lamp delivery System  63339050 (SDS-Z30SL) SN: 4B1404 C.) 1 unit Ellex Solitaire Laser Indirect Opthalmoscope w/ coaxial laxer Beam &amp; illumination Plus 20D LensS SN : 4C1404 ,  D.) 1 unit Ellex 30XL Slit Lamp Microscope SN: 1213264  E.) 1 unit Automatic Voltage Regulator  </t>
  </si>
  <si>
    <t>E-14-03-3675</t>
  </si>
  <si>
    <t>Surgical Operating Microscope with Video (3/13/14)</t>
  </si>
  <si>
    <t>Brand: Carl Zeiss, Model: OPMI 1-FR Pro S/N: 101663, Zeiss Operating Microscope, Apochramatic Optics, Motorized Zoom &amp; Focus  Viewing tube: Inclinable tube inter pupillary distance: 55-75mm, eyepiece; 12.5x (wide field/push in), Illumination: LED, with 1 unit of ALR 100A-25TTN Automatic Voltage Regulator SN: 1402-12827, 1 unit Devant 32" DL410 LED TV SN: 32 DL410C12131224, 1 unit Panasonic DMR-EH69 DVD-R SN: VN2KB001187, 1 unit TV Cart DOH Donation 3/13/2014 (Microbiological Lab. Inc.)</t>
  </si>
  <si>
    <t>E-15-05-3990</t>
  </si>
  <si>
    <t>Operating Table (Appasamy)</t>
  </si>
  <si>
    <t>Technical Specifications: Full Stainless steel body w/ polyuthereane bed size; 360 rotation of patient's bed on either side; adjustable head set w/ manual up and down; motorized up and down movement. FILIPINAS TEKNOMED MARKETING CORP. May 2015</t>
  </si>
  <si>
    <t>E-15-105-3988</t>
  </si>
  <si>
    <t>AVF PERIMETRY MACHINE (Brand New)</t>
  </si>
  <si>
    <t>Brand: CARL ZEISS MEDITEC; Model: HFA II 750i; Name of Manufaturer: Carl Zeiss Meditec; Country of Origin: USA; Technical Spcifications: Power Supply: 220v 60hz.; Technical Capability: allows testing of the central 30° extending to 90° of visual; Test mode-static perimetry; with kinetic; Background Illumination: Adjustable settings; Stimulus size: Goldman I to V; Stimulus duration: Adjustable settings; Stimulus Intensity: various stimulus intensity; Testing Methods; Standard white/white perimetry; Short wavelength automated perimetry (SWAP); Testing Strategies: a. Super Threshold testing, b. Threshold testing, c. Dynamic Testing, d. Normal Testing, 3. Low VIsion Testing; Testing Programs: a. Physiological glaucoma test, b. Physiological macular test, c. Low vision testing, d. Custom testing; Operating Temperatures: 15°C to 40°C; Capable of fixation monitoring; Automatic Pupil measurement and report average pupil; Eye tracking system automated; Lens holder adjustment; Upgradable Operating system; Expandable Memory; Touch screen user interface; Software for trend analysis and progression analysis; Internet connectivity/ access of data with available PC software; Color printer with manufacturer: installed continuous ink (not converted), WIFI, Multiple print out capacity; USB external drive: for patient data base back-up; Standard Accesories: a. UPS compatible with the unit, stand-by power, at least 30 minutes, b. motorized table, c. CHair adjustable gas-lift with back rest (2) for patient and examiner. MICRO-BIOLOGICAL LABORATORY, INC. GOP-2014-296(DOH-HFDB-HFEP)</t>
  </si>
  <si>
    <t>E-15-05-3989</t>
  </si>
  <si>
    <t>FLOURESCEIN ANGUIGRAPHY MACHINE (Brand New)</t>
  </si>
  <si>
    <t xml:space="preserve">Brand: CARL ZEISS MEDITEC; Model: VISUCAM 500, Name of Manufacturer: Carl Zeiss Meditec; Country Origin: Germany; Technical Specifications: Type: Fundus digital Camera (Mydriatic &amp; nonmydriatic); Type of photography: a. color photo mode, b. red free mode. c. FA mode, d. FAF-Fundus Auto-Flourescence; Field Angle:* 30° to 45°; Filters *FA exciter and barrier filters, UV and IR barrier filters; Capture Sequence: *1.5 Seconds (depends on the flash energy); Compensation for Ametropia: *+35d...-35 D, continous; Pupil Diameter *≥4.0mm (mydriatic mode) *≥3.3mm (Non-mydriatic mode or small pupil mode); working distance *40mm (from the front of objective lens) ; Capture sensor *CCD type with 5.0megapixels; Fixation *External and internal; Internal *Various programmed sequences or freely positionable; special attention mode; Flash Energy *Xenon flash lamp; Tilting Range (Optional) *N/A; Panning Range *30 degrees to the right and left; Database *patient information and images, FA time, R/L recognition and date of visit; Computer: *i7 at least 3.3GHz *Licensed Windows &amp; Professional 64 bit *Led monitor *Hard Disk at least 2 terabytes *8GB DDR3 memory *USD ports and network connectors *Video Card at least 2GB HDMI ready *DVD-RW *Photo-quality Printer with manufacturer-installed continuous ink (not converted). WIFI-ready/ capable (Optional); Export/import *image formats; DITCOM, bitmap, jpeg; Internal DVD Burner *patient list *DISCOM MWL, DICOM storage *combo type -DVD-CD. MICRO-BIOLOGICAL LABORATORY, INC; GOP-2014-296 (DOH-HFDB-HFEP) </t>
  </si>
  <si>
    <t>E-16-06-4162 to -4163</t>
  </si>
  <si>
    <t>W63011313 VICTRECTOMY PACK</t>
  </si>
  <si>
    <t xml:space="preserve">Victrectomy Pack, Shelf Life at least 18 months upon delivery, compatible with existing machine (OFRLI / Victrectomy Pack OSR Caliburn One-Step 236 SPS Cutter/Panorama light air, Supplier - MTC-OptoMedic, Inc. PO 16-06-000170, Delivery Date - 21 June 2016, </t>
  </si>
  <si>
    <t>E-17-03-000096</t>
  </si>
  <si>
    <t>SLIT LAMP</t>
  </si>
  <si>
    <t>SLIT LAMP, BRAND : TOPCON SLIT LAMP SL-D4 , COUNTRY OF ORIGIN : JAPAN , SUPPLIER - MDRX ENTERPRISE , PO 17-02-000070 , DTD 03-08-2017</t>
  </si>
  <si>
    <t>E-17-06-000299</t>
  </si>
  <si>
    <t>DEFIBRILATOR WITH CARDIAC MONITOR WITH PULSE OXIMETER, CAPNOGRAPH, BP, HR, RR, TEMP SENSOR WITH ADULT AND PEDIATRIC ACCESSORIES</t>
  </si>
  <si>
    <t>DEFIBRILATOR WITH CARDIAC MONITOR WITH PULSE OXIMETER, CAPNOGRAPH, BP, HR, RR, TEMP SENSOR WITH ADULT AND PEDIATRIC ACCESSORIES , Brand: MINDRAY , Model: iUstar 100-Colored , Country of Origin: CHINA, PO# 17-01-000049 , Delivery Date: May 24,2017</t>
  </si>
  <si>
    <t>E-17-05-000285</t>
  </si>
  <si>
    <t>E-1532</t>
  </si>
  <si>
    <t>Autoclave/Sterilizer</t>
  </si>
  <si>
    <t>Big, 1994</t>
  </si>
  <si>
    <t>E-2249</t>
  </si>
  <si>
    <t>Surgi-operating table</t>
  </si>
  <si>
    <t>Shampaine Model 511, Accessories: conductive mattress pad , 2 pcs arm board pad, a pc Single yoke anesthesia, 1 pair MDT Bierhoff knee crutches w/ pad, 1 px strap, 1 pc crutch sockets, 1999</t>
  </si>
  <si>
    <t>E-2300</t>
  </si>
  <si>
    <t>Mobile/Manual operating Microscope</t>
  </si>
  <si>
    <t>Complete with 5 step magnification charger/inclined tube 1= 25 mm including eye pieces/objective lens f-300/120 degrees coupling w/ brake repair of Opmi maneuvering handle w/ adapter and pair sterilixable caps on rollable stand, Model : OPMI19 Brand: Carl-Zeiss, Germany, June 28, 2000</t>
  </si>
  <si>
    <t>E-2336</t>
  </si>
  <si>
    <t>Shampaine Model (511) Surgical operating table, accessories include conducive mattress pad and accossories, June 16, 2000</t>
  </si>
  <si>
    <t>E-2246</t>
  </si>
  <si>
    <t>Electrosurgical machine</t>
  </si>
  <si>
    <t>US Valley SSE 2L generator, 2000</t>
  </si>
  <si>
    <t>E-2654</t>
  </si>
  <si>
    <t>Electro surgical machine</t>
  </si>
  <si>
    <t>Unbranded EB03 High Frequency (Monopolar and Bipolar Max Power 350W) August 17, 2004</t>
  </si>
  <si>
    <t>E-2625</t>
  </si>
  <si>
    <t>Merkur 3 general orthopedic operating table</t>
  </si>
  <si>
    <t>w/ accessories A &amp; B January 27, 2004</t>
  </si>
  <si>
    <t>E-2653</t>
  </si>
  <si>
    <t>OR light</t>
  </si>
  <si>
    <t>Hanu Med 2004-2003 combination, ceiling type, Made in Germany Practica Inc, 2004</t>
  </si>
  <si>
    <t>E-2673 to 2675</t>
  </si>
  <si>
    <t>CS Sets</t>
  </si>
  <si>
    <t>consists of : 18 pcs. Curved Forceps Size 6", 18 pcs. Straight forceps size 6", 6 pcs. Bobcock 6", 6pcs. Allis 6", 3 pcs. Mosquito curved, 6 pcs. Tissue forceps w/ teeth 6", 9 pcs. Army Navy, 3 pcs. Blade Holder size 4", 3 pcs. Bandage Scissors, 3 pcs. Straight scissor, 3 pcs. Thumb Forceps 6", 6 pcs. Needle Holder 6', November 17, 2004</t>
  </si>
  <si>
    <t>E-2667 to 2670</t>
  </si>
  <si>
    <t>GS Instrument</t>
  </si>
  <si>
    <t>96 pcs Curved forceps 6 1/2, 28 pcs Staight forceps, 20 pcs Tissue forceps 6", 16 pcs Allis forceps, 12 pcs Needle holder 8", 16 pcs, bobcock, 4pcs Blade holder size 4, November 17, 2004</t>
  </si>
  <si>
    <t>E-2671, 2672</t>
  </si>
  <si>
    <t>Hysterectomy set</t>
  </si>
  <si>
    <t>straight ochsner 9" (4pcs), cuve oschner 8" (8pcs), ovem forceps (2 pcs), Towel clips (10 pcs), Needle holder (4 pcs) etc… Novemver 17, 2004</t>
  </si>
  <si>
    <t>E-2716</t>
  </si>
  <si>
    <t>Neuro instrument</t>
  </si>
  <si>
    <t>consist of: 1 pc. Badgely laminictomyrectractor, 1 pc. Love_Gruenwald Ronguer, 1 pc. Hudson Craneal Drill set w/o case 1 pc. Spurling Ronguer, August 18, 2005</t>
  </si>
  <si>
    <t>E-2715</t>
  </si>
  <si>
    <t>Neuro surgical instrument set</t>
  </si>
  <si>
    <t>Elcon brand: 1 pc. Cushing brain spatula, 1 pc Cushing retractor, 1 pc Weitlaner Vetractor LT Batch, 1 pc Backhaus Towel Holding Forceps, 1 pc Penfield disector, double ended 18cm, 1 pc Penfield disector, double ended 19.5cm, 1 pc Ruskin Bone Ronguer, 1 pc Dandy forcep 14cm, 2 doz Malsted mosquito forceps 12cm, 2 pcs Frazier Tips Fr 10, 2 pcs Frazier tips Fr 6, 2 pcs Fazier tips Fr 12, 1 pc Olive crona gigli saw, 1 pc Bailey Demartel gigli guide 30cm, 1 pc Mead bone Ronguer curved, August 18, 2005</t>
  </si>
  <si>
    <t>E-2717</t>
  </si>
  <si>
    <t>Orthopedic instrument set</t>
  </si>
  <si>
    <t>Gromed Brand by Microbiological Lab. Inc.: 1 pc Lane bone holding forcep, 1 pc Liston Bone cutting forcep, 1 pc straight, 1 pc Liston bone cutting forcep curved, 1 pc Kerrison Lamin punch-up, 1 pc Lagenback elevator light, 1 pc Bennet bone lever, 1 pc Love Kerrison lamin punch-up 3mm 18cm, 1 pc Love Kerrison Lamin punch up 3mm 15cm, August 18, 2005</t>
  </si>
  <si>
    <t>E-2718</t>
  </si>
  <si>
    <t>Elcon Brand, 2 pcs Gigly saw, 2 pcs Olive crona wire saw, 1 pc Fat nose piler, 1 pc laggenback Elevator, 1 pc Ruskin D/A Bone Ronguer, 1 pc Kern bone clamps, 1 pc Impactor, 1 pc Mallet, 1 pc Bobe clamps, 1 pc Mallet, 1 pc Bone file, 1 pc Oscillating Electric saw, 1 pc F.S. Kerrison Ronguer Cat #344-013, 1 pc F. S. Kerrison Ronguer downwards, 1 pc Tingsten cut wire cutting forceps, August 18, 2005</t>
  </si>
  <si>
    <t>E-2865</t>
  </si>
  <si>
    <t>F60 heavy duty mobile suction machine for professional use with powerful double piston, w/ jars, Fazzini Italy  (NOA dtd July 31, 2006, Public Bidding June 27, 2006, Blue Sky Trading))</t>
  </si>
  <si>
    <t>E-2820</t>
  </si>
  <si>
    <t>Video GI Endoscopy &amp; Bronchoscopy System Pentax</t>
  </si>
  <si>
    <t>Video Endoscopy System, Made in Japan, 1 unit Digital Color Video Processor, 1 unit Xenon Light Source (built in a Video Processor or separate component, 1 unit Upper GI Video Endoscope w/ standard accessories for reprocessing, 1 unit Video Colonscope with standard accssories for reprocessing, 1 unit Video Bronchoscope w/ standard accessories for reprocessing, Endoscopy Cart and Built Isolation Transformer, 19" Flat Panel LCD Video Color Monitor, DVD Recorder with DHH 220V, w/ leakage tester, suction machine &amp; AVR (NOA dtd December 19, 2008, Public Bidding November 12, 2008, Saviour Medevices)</t>
  </si>
  <si>
    <t>E-2969, 2970</t>
  </si>
  <si>
    <t xml:space="preserve"> (NOA dtd June 4, 2010, Public Bidding March 3, 3010, Saviour Medevices) (only 1 Functional)</t>
  </si>
  <si>
    <t>E-2971</t>
  </si>
  <si>
    <t xml:space="preserve">Highflow Insuflator </t>
  </si>
  <si>
    <t>w/ Thermoregulator, Model: Karl Storz, Endoscopy, Germany (NOA dtd June 4, 2010 Public Bidding March 3, 2010, Saviour Medevices</t>
  </si>
  <si>
    <t>E-3349, 3350</t>
  </si>
  <si>
    <t xml:space="preserve">Autoclave Machine </t>
  </si>
  <si>
    <t>big, all stainless steel, steam jacket and chamber door, electric control box, horizontal, 12kw, 339 liters (NOA dtd February 24, 2012, Public Bidding November 24, 2011, Roshem Dist)</t>
  </si>
  <si>
    <t>E-12-8-3365</t>
  </si>
  <si>
    <t>Choledochoscope w/ accessories</t>
  </si>
  <si>
    <t>Model Karl Stoz, Endoscope, Made in Germany w/ accessories: BB case, grasping forceps, biopsy forceps, compensation cap, cleaning brush, luer connector w./ sealing, sealing for working channel, grasping forcep rotating, double action jaws, padded jaws consist of silicone pads, 24" LCD medical grade high definitionmonitor (Sony, Japan), AVR and 2 sets manual (NOA dtd February 23, 2012, Public Bidding November 24, 2011, Saviour Medevices)</t>
  </si>
  <si>
    <t>E-3232, 3233, 3234</t>
  </si>
  <si>
    <t>LED Operating Light</t>
  </si>
  <si>
    <t>Ceiling mounted, Marled V 16, Germany, Light, Illumination: 160,000 lux, Multi-lens matrix, homogenous shadow, touch screen for automatic light focusing (NOA dtd April 19, 2011, Public Bidding February 1, 2011, Technomed Int'l)</t>
  </si>
  <si>
    <t>E-3239 to 3241</t>
  </si>
  <si>
    <t>Manual operating Room Table</t>
  </si>
  <si>
    <t>Universal OR Table, (JS-001) Korea, Table size: 1800mm L x 480mmm W, July 8, 2011</t>
  </si>
  <si>
    <t>E-3257 to 3268</t>
  </si>
  <si>
    <t>stainless steel head/footboard, rubber foot, epoxy coating bed frame, w/ mattress 3" Leatherette cover, China (NOA dtd April 18, 2011, Public Bidding February 1, 2011, roshem Dist)</t>
  </si>
  <si>
    <t>E-13-01-3393, 13-01- 3394   &amp; 13-01-3395</t>
  </si>
  <si>
    <t>Baic Orthopedic Instruments</t>
  </si>
  <si>
    <t xml:space="preserve">Brand Elcon, Made in Germany, Scalpel handle No. 3 (1), Scalpel Handle No. 4 (1), Lister Bandage scissors (1), Surgical scissors straight (1), Surgical scissor 14.5cm str SH-sh (1), Surgical scissor 14.5 strt SH-BL (1), Buck stich scissors 18cm (2), Mayo stille dissect scissor (1), Mayo stille dissect scissors 17cm str (1), TC Universal wire cutting scs 120mm Ang (1), Debakey (Gemini) dissect forceps 18cm (4), Kelly hemostatic forceps 145cm str (10), Rochester Pean Hemostatic forceops (3), Rochester Pean forceps 16mm (3), Dissecting forceps 145mm (2), Burns curette 230mm str (1), Dissecting forceps 220mm (2) Burns curette 230mm str #3 oval (1), Tissue forceps 145mm (2), Spratt ovel bone curette 170mm No. 000 (1), Tissue forceps 220mm  (2), Spratt oval bone curette 170mm No. 3 (1), Allis tissue forceps 15.5cm 5 x 6 teeth (2), Ruskin D/A bone ronguer 18cm str 6mm (1), Allis tissue forceps 19cm 5 x 6 teeth (2), Backhaus towel forceps 130mm (1), Volkman Retractor 22cm 4 sharp prong (2), Volkmann Retractor 22cm 4 blunt prongs (2),Hibbs retractor 23cm 75 x 25 (2) Bennet Tibia Retractors 240cm 4mm wide (2)Beckman self Ret Retractor 16cm bl (1), Langenback Elevator 8mm, 200mm solid handle (1), Langenback Elevator 8mm, 200mm solid handle (1), w/ manuals (NOA dtd February 23, 2012 Public Bidding November 24, 2011, Technomed Int'l), </t>
  </si>
  <si>
    <t>E 13-01-3395A</t>
  </si>
  <si>
    <t>Special Orthopedic Instruments</t>
  </si>
  <si>
    <t>Made in Germany (NOA dtd February 23, 2012, Public Bidding Noember 24, 2011, Technomed Int'l)</t>
  </si>
  <si>
    <t>3347-3348</t>
  </si>
  <si>
    <t>Explor Lap Instruments</t>
  </si>
  <si>
    <t>Brand Elcon, Made in Germany, includes: 2 Dissecting forceps, 2 tissue forceps, 10 Halsted mosquito forceps 12.5cm str, 1o Halsted mosquito forceps 12.5cm cvd, 10 rankin crile hemostatic forceps, 10 rochester ochsner forceps 165mm, 10 rochester ochsner forceops 160cvd, 4 backhaus towel forceps, 2 scalpel handle, 2 US army D/E retractor, 4 allis tissue forceps, 4 babcock tissue forceps (NOA dtd February 23, 2012, Public Bidding November 24, 2011, Technomed Int'l.)</t>
  </si>
  <si>
    <t>Laparoscopy Tower w/ Accessories</t>
  </si>
  <si>
    <t>Full HD laparoscopy system, 1TM full HD Camera control unit and standard three chip camera heads, with integrated KARL Storz-SCB and integrated image Processing Module, color system PAL/NTSC, power supply, AVR, DVD Recorder, 2 sets manual (NOA dtd February 24, 2012, Public Bidding November 24, 2011, Saviour Medevices)</t>
  </si>
  <si>
    <t>E-12-08-3368</t>
  </si>
  <si>
    <t>Mobile X-ray machine</t>
  </si>
  <si>
    <t>100MA-300MA, Made in France, mobile  compact and easy to use, MAS range 02-220MAS, x-ray tube w/ rotating anode, manually operated collimator w/ 1 set of lead gown (NOA dtd February 24, 2012, Public Bidding November 24, 2011, Technomed Int'l.)</t>
  </si>
  <si>
    <t>E-3344A</t>
  </si>
  <si>
    <t>Small, Brand: TRS-150YDA, Made in China, all stainless water pipes and fittings w/ set of manuals (NOA dtd February 24, 2012, Public Bidding November 24, 2011, Roshem Dist)</t>
  </si>
  <si>
    <t>E-12-8-3366</t>
  </si>
  <si>
    <t>OR Lights</t>
  </si>
  <si>
    <t>LED, Made in Germany, 160,000lux, Multi lens Matrix, Homogenous, shadow controlled light with manual (NOA dtd February 24, 2012 Public Bidding November 24, 2011, Technomed Int'l)</t>
  </si>
  <si>
    <t>E-12-8-3367</t>
  </si>
  <si>
    <t>OR Table</t>
  </si>
  <si>
    <t>Made in United Kingdom, Battery and electric operation, smooth and easy adjustment of head and leg section, Pads integrally foamed, electrically conducted soft and detached, w/ integral x-ray cassette tunnel (August 16, 2012)</t>
  </si>
  <si>
    <t>E-13-03-3402- 13-03-3404</t>
  </si>
  <si>
    <t>Ceasarian Section Instruments</t>
  </si>
  <si>
    <t>Brand: Elcon, Made in Germany, consist of : 10 Rochester Pean forceps straight, 10 Rochesters Pean forceps curved, 4 Backhaus towel forceps, 2 mayo Hegar needle holder 16cm, 2 Mayo hegar needle holder 18cm, 2 scalpel handle no. 4, 2 scalpel handle no 7, 2 US army D/E retractor,, a balfour abdominal retractor, 4 babcock tissue forceps, 2 tissue forceps 145mm 1 x 2 teeth, 2 tissue forceps 200mm (NOA dtd February 23, 2012 Public Bidding November 24, 2011, Technomed Int'l)</t>
  </si>
  <si>
    <t>E 14-05-3716</t>
  </si>
  <si>
    <t xml:space="preserve">Brand: TRIUP , Model: Tres -2311, Origin: China DOH DONATION  4/30/14 SN: 14-05-3716 - SMSL235-NKTI 2013 , 3717 - SmSL-287-NKTI-2013 , 3718-SMSL270-NKTI-2013 </t>
  </si>
  <si>
    <t>E-13-02-3390-3392</t>
  </si>
  <si>
    <t xml:space="preserve">Biopsy Forceps </t>
  </si>
  <si>
    <t>standard size (Pentax), 2013</t>
  </si>
  <si>
    <t>E-13-12-3578</t>
  </si>
  <si>
    <t>Electro cauteryl machine</t>
  </si>
  <si>
    <t>Brand: E-       , bipolar/monopolar, spray coagulation provides TUR and Endoscopic procedures in urology - Shopping Surgico Phils. dtd December 2013</t>
  </si>
  <si>
    <t>E-13-11-3568</t>
  </si>
  <si>
    <t>Operating Table</t>
  </si>
  <si>
    <t>Hydraulic Brand: Mindray Model Hybase 1000 Made in china Donation from DOH dtd. November 2013</t>
  </si>
  <si>
    <t>E-14-03-3673-14-03-3674</t>
  </si>
  <si>
    <t xml:space="preserve">with stand, with adult and pedia cuff (Aneroid) with stethoscope Brand: Baunamometer US PO 13-12-000400 February 18, 2014 Surgico Phils. </t>
  </si>
  <si>
    <t>E14-06-3731</t>
  </si>
  <si>
    <t>Integrated Endoscopy System Tower w/ compatible Gastroscope, Colonoscope (One Lot)</t>
  </si>
  <si>
    <t xml:space="preserve">Model: EPK-i5000,EG 29i10N, EC34i10L; Brand Pentax Medical Singapore Pte., Ltd.,; Country of Origin: Japan; Processor and Light Source, EPK -1500 SN: EC011348; Gastroscope, EG29i10L SN: A110172; Colonoscope, EC34-i10L SN: A110084 ; 24" Sony LCD Monitor, LMD-2451MD SN: 3108127 ; Leakage Test SHA-P5 ; Mobile Cart SN: K-SG1309132SU; Panasonic DVD Recorder w/ HDD SN: VN2GB001101; Endowasher w/ Dissinfector SN: 13CB263 ; Suction MAchine, 30P SN:3329P&lt;-03/13; AVR 1500 watts SN: H08013760 ; Operation MAnual, 2 copies, Service Manual 2 copies DOH DONATION 4/14/14 </t>
  </si>
  <si>
    <t>E-14-04-3685</t>
  </si>
  <si>
    <t>Model Taixing Lencen &amp; S-5 Country of Origin: China DOH Donation March 27, 2014 (Chem Valley Resources Inc. SN: K8140115118U</t>
  </si>
  <si>
    <t>E-14-02-3606-14-02-3608</t>
  </si>
  <si>
    <t>with stand, with adult and pedia cuff (Aneroid) with stethoscope Brand: Baunamometer US PO 13-12-000400 February 18, 2014 Surgico Phils. Inc. SN:  _________________</t>
  </si>
  <si>
    <t>E 15-03-3904</t>
  </si>
  <si>
    <t>Cautery Machine</t>
  </si>
  <si>
    <t>Brand/Model: Healforce EBO 3, Country of Origin: China, Supplier: RESPICARE ENT.</t>
  </si>
  <si>
    <t>E-15-03-3903</t>
  </si>
  <si>
    <t>E-15-03-3923</t>
  </si>
  <si>
    <t>E-15-03-3908</t>
  </si>
  <si>
    <t>Mobile Air Decontamination System</t>
  </si>
  <si>
    <t>Brand/Model:  Plasma air   Country of Origin:  France   Light and easy, exceptional manueverability, easy to use (plug and play) small footprint, low noise level, low energy consuption ISO Particulate cleanliness class:  ISO8/1507,  90% decontamination kinetics: within 20/10mins  Airflow range: 400-600-850m 3/h, Destruction of airborne microorganisms, fungi, bacteria, virus and spores  Sta. Ana Ent.  15-01-000073  March 2015</t>
  </si>
  <si>
    <t>E-15-04-3978 to E-15-04-3981</t>
  </si>
  <si>
    <t>Brand/Model ESP -50; Country of Origin: China; Technical Specifications: -Heavy duty; -with plastic canisters; -with minimum capacity of 3L per plastic canister; -with foot pedal; -over flow safety device/filter; -trolley mounted; -user friendly; -2 psc 3,000 fiberglass jars 1p 250cc stone jar for soot; 1 pc foot switch, 1 set cannula tube; 2pcs plastic suction ;1pc glass cup; -detachable power cord. ROSHEM DISTRIBUTOR INC. April 22, 2015</t>
  </si>
  <si>
    <t>E-15-04-3965</t>
  </si>
  <si>
    <t>Gas Sterilization Machine</t>
  </si>
  <si>
    <t>Brand Model: STERI-VAC 5XL EO Gas Sterilizer; Country of Origin: USA. Technical Specifications: EO sterilizer/Aerator system 5XL, dual cycle; EO gas sterilizer and aerator apprixmately 4.8cu. Ft. chamber and automatic aerator, Built in printer records for each load, video screen displays cycle status, sensing system continously monitor relative humidity during the pre-conditioning phase; Voltage: 220volts +/- 10%AC; Frequency: 50Hz; Phase: Single; Current: 15Amp (dedicated); Power cord: 220volts, 10Amp plug; -With processor; -Includes intallation cost; -with stand/table; -with electrical panel; -with 3 gas catridge; -with universal package/ pouches; -with gas indicator tape (1 roll); - 1 box of gas indicator strips; -with 1 unit of Auto Reader for Biological indicator (Gas); -20pcs of at least Biological indicator for gas. Patient Care Corporation. 14-12-000310. April 15,2015</t>
  </si>
  <si>
    <t>E-17-01-000019 / E-17-01-000020</t>
  </si>
  <si>
    <t>OR LIGHT (SINGLE TYPE)</t>
  </si>
  <si>
    <t>OR LIGHT (SINGLE TYPE) BRAND : PENTALED M 30N CEILING MOUNTED , COUNTRY OF ORIGIN : ITALY , SUPPLIER MEDICOTEK, INC. PO 16-10-000380 DTD 01-16-17</t>
  </si>
  <si>
    <t>E-17-01-000018</t>
  </si>
  <si>
    <t>OR LIGHT (DUO TYPE SHADOWLESS TYPE)</t>
  </si>
  <si>
    <t>OR LIGHT (DUO TYPE SHADOWLESS TYPE) , BRAND : PENTALEDM 63N + 30N CEILING MOUNTED , COUNTRY OF ORIGIN : ITALY , SUPPLIER MEDICOTEK, INC. PO 16-10-000380 DTD 01-16-17</t>
  </si>
  <si>
    <t>E-2303</t>
  </si>
  <si>
    <t>Ohmeda Care Plus</t>
  </si>
  <si>
    <t>Model manual air controlled incubator, june 30, 2000</t>
  </si>
  <si>
    <t>E-2098</t>
  </si>
  <si>
    <t>Phototherapy Drager</t>
  </si>
  <si>
    <t>Bilirubin, with 4 Fluorescent, 2000</t>
  </si>
  <si>
    <t>E-2530</t>
  </si>
  <si>
    <t>Heavy duty, Gemmy brand standard, w/ 2 pcs of glass jars, suction tubing, specimen bottle, detached power chord, glass cup for disinfection, May 15, 2002</t>
  </si>
  <si>
    <t>E-2869</t>
  </si>
  <si>
    <t>Ascor Sep II lightweight (2.8 kg), wide range of infusion rate over 40 types of compatibility w/ rechargeable battery and manual (NOA dtd July 31, 2006 Public Bidding June 27, 2006)</t>
  </si>
  <si>
    <t>E-2867, 2868</t>
  </si>
  <si>
    <t>Incubator</t>
  </si>
  <si>
    <t>Phototherapy, infant incubator, TRBI 3000P (NOA dtd December 10, 2007 Public Bidding September 19, 2007)</t>
  </si>
  <si>
    <t>E-2976-2977</t>
  </si>
  <si>
    <t>Infant incubator</t>
  </si>
  <si>
    <t>GE Health Care Ohmeda Medical Care Plus, Made in USA (NOA dtd June 4, 2010 Public Bidding July 3, 2010, Saviour Medevices)</t>
  </si>
  <si>
    <t>E-13-09-3471</t>
  </si>
  <si>
    <t>Model AJ5808, China, ambient temperature, Power supply: AC 100-240V, automatic rechargeable battery can supply more than 4 hours operation (NOA dtd June 4. 2010, Public Bidding March 3, 2010 - Medical Center Trading Corporation)</t>
  </si>
  <si>
    <t>E-3009B</t>
  </si>
  <si>
    <t>with complete blade  (3pcs) with battery (November 4, 2010)</t>
  </si>
  <si>
    <t>E-2978, 2979</t>
  </si>
  <si>
    <t>Phototherapy light</t>
  </si>
  <si>
    <t>Tilt light, Model: TRP 100, Triup, US exported to China (NOA dtd June 4, 2010 Public bidding March 3, 2010, Surgico Phils)</t>
  </si>
  <si>
    <t>E 14-05-3727</t>
  </si>
  <si>
    <t>Triup , Origin: China; , Model: TRBI-900, DOH DONATION 5/12/14 ; Manufacturer: Triup Int'l Corp.</t>
  </si>
  <si>
    <t>E-14-10-3799-3802 , 14-09-3766 -3775</t>
  </si>
  <si>
    <t>2 cranks w/ mattress Brand ACARE RANGE, Model:HCB-7031 China DOH DONATION 4/4/14</t>
  </si>
  <si>
    <t>E-15-04-3958</t>
  </si>
  <si>
    <t>Bubble CPAP</t>
  </si>
  <si>
    <t>Pigeon/BSCS AD-1  country of Origin: China , with various sizes of nasal prong, with oxygen analyzer, with nasal prong measurement ruler, with user's manual  Supplier;  Blue Sky Trading Co. Inc. P) 15-01-000003  Date of Delivery April 13, 2015</t>
  </si>
  <si>
    <t>E-15-03-3924</t>
  </si>
  <si>
    <t>Infant Radiant Warmer</t>
  </si>
  <si>
    <t>Brand/Model: BSCS 2000  Country of Origin:  China,  Dimension- 655mm W x 1800 mm H x 1120mm D, Mattress- 462x640 x 25.4mm (leather, Weight- (ecluding accessories) 72kg, Bed to floor height: 890,950,1020mm (service adjustable heights) , w/ IV stand, x-ray compatibility, w/ temperature sensor, w/ metric scale for measurement, w/ user manual  Blue Sky Trading Co., Inc 15-01-000003  March 2015</t>
  </si>
  <si>
    <t>E-15-03-3948- 15-03-3949</t>
  </si>
  <si>
    <t>Brand/Model: BSCS/BSCS IP-12 country of Origin:  China,  operated on drip rate Peristaltic finger pump method, compatible with most of the IV sets, Flow rate accuracy of +10% and drip rate accuracy of +2%, Volume display from 0 to 999.9ml, purge and KVO facility, audible and visual alarm for occlusion pressure, air alrm, door open, empty, low battery, minmum of 2hr battery back-up, Input 200to 240 Vac 50Hz supply , with drop sensor  and stand, w/ user manual  Blue Sky Trading Co. inc.  15-01-000003  March 2015</t>
  </si>
  <si>
    <t>E-15-03-3925- 15-03-3926</t>
  </si>
  <si>
    <t>Brand/model: BSCS/BSCS IP 21  country of Origin: China,  compatible with various specified brands, w/ user manual  Blue sky Trading co. Inc.  15-01-000003   March 2015</t>
  </si>
  <si>
    <t>E 15-04-3953/ E 15-04-3954</t>
  </si>
  <si>
    <t>Pulse Oximeter including consumables (PEDIA and OB)</t>
  </si>
  <si>
    <t>Brand/Model: Choice/MD 20000A, Country of Origin: China, Supplier: Blue Sky Trading Co. Inc.</t>
  </si>
  <si>
    <t>E 15-04-3966</t>
  </si>
  <si>
    <t>Cardiac Monitor for Adult, Pediatric and Neonatal Patients</t>
  </si>
  <si>
    <t>Brand/Model: Mindray, Country of Origin: China, Supplier: Technomed International, Inc.</t>
  </si>
  <si>
    <t>E-15-03-3916- 15-03-3917</t>
  </si>
  <si>
    <t>Brand/Model: DF/DF760A  Country of Origin: Taiwan  Output-88w, Volt 240V, Amp 0.53A, Phase-1, Class E, Pole 4P, RPM-1400/1720, Thermal paper auto reset, with connecting tubing, suction catheter, consumable filter (2-pcs), Standard Requirements: User's manual in English, operational manual 3-copies, service manual 3-copies, Training program for end-users on equipment operation, Preventive maintenance program Medical Center Corp. 15-01-000010  (March 2015)</t>
  </si>
  <si>
    <t>E-16-04-4148</t>
  </si>
  <si>
    <t>LED PHOTOTHERAPY APPARATUS</t>
  </si>
  <si>
    <t>LED PHOTOTHERAPY APPARATUS, Brand/Model: Atom/Bili-Therapy, Country of Origin: Japan, Ideal Irradiance levels, with high irradiance of 45 uw/cm2/nm and a low irradiancew at 22 uw/cm2/nm, LED allows treatment tailored to each patient's need, LED Focuses tightly on the optimal 475-nm wavelenght for the maximum bilirubin metabolism, Removable head - for seamless use with incubators, Light weight, Supplier - TECHNOMED INTERNATIONAL, INC. PO 16-01-000023 Delivery Date April 7, 2016</t>
  </si>
  <si>
    <t>E-16-04-4153</t>
  </si>
  <si>
    <t>16-01-4066</t>
  </si>
  <si>
    <t xml:space="preserve">Firefly Phototherapy </t>
  </si>
  <si>
    <t>Donation - EAST MEETS WEST , Date 15 December 2015</t>
  </si>
  <si>
    <t>16-01-4067</t>
  </si>
  <si>
    <t>Light Meter</t>
  </si>
  <si>
    <t>16-01-4068</t>
  </si>
  <si>
    <t>Overhead Phototherapy</t>
  </si>
  <si>
    <t>E-16-05-4154-A</t>
  </si>
  <si>
    <t>E-17-03-000088</t>
  </si>
  <si>
    <t xml:space="preserve">LED PHOTOTHERAPY </t>
  </si>
  <si>
    <t>LED PHOTOTHERAPY, BRAND : DISON, CHINA, MODEL : BL-50D, SUPPLIER ALJERON, PO 17-01-000050 DTD 3-15-17</t>
  </si>
  <si>
    <t>E-17-03-000071 / E-17-03-000072</t>
  </si>
  <si>
    <t>LARYNGOSCOPE SET - COMPLETE SET OF MACINTOSH LARYNGOSCOPE BLADES WITH MEDIUM AND SMALL HANDLES IN ZIPPER CASE</t>
  </si>
  <si>
    <t>LARYNGOSCOPE SET - COMPLETE SET OF MACINTOSH LARYNGOSCOPE BLADES WITH MEDIUM AND SMALL HANDLES IN ZIPPER CASE - BRAND : TRUPHATEK , COUNTRY OF ORIGIN : ISRAEL, WITH SPARE BULD (2-PC EACH), SUPPLIER - MEDICAL CENTER TRADING INC. , PO# 17-01-000045 DTD 03-06-17</t>
  </si>
  <si>
    <t xml:space="preserve">E-17-03-000089 / E-17-03-000091 / E-17-03-000092 / E-17-03-000093 / </t>
  </si>
  <si>
    <t>SUCTION MACHINE FOR BABY</t>
  </si>
  <si>
    <t>SUCTION MACHINE FOR BABY, BRAND : CA-MI, ITALY , MODEL : NEW ASKIR 30, SUPPLIER - ALJERON , PO 16-12-000498 DTD 03-15-17</t>
  </si>
  <si>
    <t xml:space="preserve">E-17-06-000307 / E-17-06-000308 / E-17-06-000309 / E-17-06-000310 / E-17-06-000311  </t>
  </si>
  <si>
    <t>E-17-06-000303 / E-17-06-000304 / E-17-06-000305 / E-17-06-000306</t>
  </si>
  <si>
    <t>LED PHOTOTHERAPY</t>
  </si>
  <si>
    <t>LED PHOTOTHERAPY , Brand: BISTOS , Country of Origin: KOREA , Supplier: Technomed , PO# 17-01-000049 , Delivery Date: May 24,2017</t>
  </si>
  <si>
    <t>E-17-06-000298</t>
  </si>
  <si>
    <t>E-17-04-000231 / E-17-04-000232</t>
  </si>
  <si>
    <t>INFUSION PUMP , Brand: MINDRAY , Country of Origin: CHINA , Supplier: Technomed , PO# 16-11-000436 , Delivery Date: April 5, 2017</t>
  </si>
  <si>
    <t>E-17-04-000228 / E-17-04-000229</t>
  </si>
  <si>
    <t>Cardiac Monitor for Newborn</t>
  </si>
  <si>
    <t>Cardiac Monitor for Newborn , Brand: MINDRAY iMEC 12 , Country of Origin: CHINA , Supplier: Technomed International, INC , PO# 16-11-000436 , Delivery Date: April 05,2017</t>
  </si>
  <si>
    <t xml:space="preserve">E-17-03-000053 / E-17-03-000054 / E-17-03-000055 / E-17-03-000056 / E-17-03-000057 / E-17-03-000058 /  </t>
  </si>
  <si>
    <t>Infant Incubator</t>
  </si>
  <si>
    <t>Infant Incubator , Brand: BISTOS , Country of Origin: KOREA , Supplier: Technomed International, INC , PO # 16-10-000376 , Delivery Date: February 16,2017</t>
  </si>
  <si>
    <t>E-17-03-000040 / E-17-03-000041</t>
  </si>
  <si>
    <t>INFANT INCUBATOR BB-100</t>
  </si>
  <si>
    <t>INFANT INCUBATOR BB-100 , Donor: Abundant Blessing Foundation , Delivery Date: February 13,2017</t>
  </si>
  <si>
    <t>E-17-03-000042 / E-17-03-000043</t>
  </si>
  <si>
    <t>PATIENT MONITOR</t>
  </si>
  <si>
    <r>
      <t xml:space="preserve">PATIENT MONITOR </t>
    </r>
    <r>
      <rPr>
        <b/>
        <sz val="9"/>
        <color indexed="8"/>
        <rFont val="Calibri"/>
        <family val="2"/>
        <scheme val="minor"/>
      </rPr>
      <t xml:space="preserve">, </t>
    </r>
    <r>
      <rPr>
        <sz val="9"/>
        <color theme="1"/>
        <rFont val="Calibri"/>
        <family val="2"/>
        <scheme val="minor"/>
      </rPr>
      <t>Donor: Abundant Blessing Foundation , Delivery Date: February 13,2017</t>
    </r>
  </si>
  <si>
    <t>E-17-03-000044</t>
  </si>
  <si>
    <t>PHOTO THERAPY</t>
  </si>
  <si>
    <t>PHOTO THERAPY , Donor: Abundant Blessing Foundation , Delivery Date: February 13,2017</t>
  </si>
  <si>
    <t xml:space="preserve">E-17-03-000045 / E-17-03-000046  </t>
  </si>
  <si>
    <t>INFUSION PUMP , Donor: Abundant Blessing Foundation , Delivery Date: February 13,2017</t>
  </si>
  <si>
    <t>E-17-03-000047 / E-17-03-000048</t>
  </si>
  <si>
    <t>SURGITECH PULSE OXIMETER</t>
  </si>
  <si>
    <t>SURGITECH PULSE OXIMETER , Donor: Abundant Blessing Foundation , Delivery Date: February 13,2017</t>
  </si>
  <si>
    <t>E-2807</t>
  </si>
  <si>
    <t>Iced Linea</t>
  </si>
  <si>
    <t xml:space="preserve"> SN: 80257186, June 13, 2008</t>
  </si>
  <si>
    <t>E-14-12-3849</t>
  </si>
  <si>
    <t xml:space="preserve">Therapeutic Ultrasound </t>
  </si>
  <si>
    <t xml:space="preserve">(EN-CAR U), Ultrasound Frequencies: 1 and 3MHZ, Ultrasound: Continuous and pulse, Power supply: 100-240V 10% (50/60Hz) Dimensions (wxdxh): 24 x 32 x 12cm, Weight: 2kg 2 treatment heads (5cm2, 0.8cm2), w/ Equipment Trolley-two tray   Supplier:  Fairbright Ent. Inc.  PO 14-12-0000296  12/10/2014   </t>
  </si>
  <si>
    <t>E-15-01-3852</t>
  </si>
  <si>
    <t>Mobile Pack Heater</t>
  </si>
  <si>
    <t>Brand: Chattan-ooGA m2, tank capacity:  68.8L, Temp range: 71-74 C Main voltage: 220V, Main frequency; 50/60Hz Power consumptio: 100000W dimension; HxDxW) 85.09x67.31x39.97cm Weight; 37..32kg  Power supply: 100-240v 10% (50/60hz0  GLOBAL Healthcare products PO 14-12-000297  Delivery date;  january 23, 2015</t>
  </si>
  <si>
    <t>E-13-03-3401</t>
  </si>
  <si>
    <t>CT Scan Machine</t>
  </si>
  <si>
    <t>Spiral CT Scan, 16 Multi-Slice, Model: TSX -03 2A/ SN 1KA 1222369 Complete w/ standard accessories, PMSI  (May 2012)</t>
  </si>
  <si>
    <t>E-3284</t>
  </si>
  <si>
    <t xml:space="preserve">X-Ray cassette w/ </t>
  </si>
  <si>
    <t>Intensifying screen 10x12, 2012</t>
  </si>
  <si>
    <t>E-3283</t>
  </si>
  <si>
    <t>X-Ray c asette w/</t>
  </si>
  <si>
    <t>Intensifying screen 11x14, 2012</t>
  </si>
  <si>
    <t>E-12-11-3387</t>
  </si>
  <si>
    <t>X-ray machine w/ Fluoroscopy</t>
  </si>
  <si>
    <t>Brand: Flexavision, Made in Japan, Universal Remote controlle F/F System, 2 tube operation with standard accessories: shoulder rest, hand grips (1 pair), foot rest, intercom, Imaging system: Image intensifier: 9, TV Monitor, Fluoroscopic image, w/ Protective Accessories: lead apron (1 pair), Protective goggles (1 pair) Gonadal shiled (1 pair), 1 lead gloves (NOA dtd June 11, 2012 Public Bidding March 27, 2012, Instrumix Supplier Inc.)</t>
  </si>
  <si>
    <t>E-14-07-3751</t>
  </si>
  <si>
    <t xml:space="preserve">Mobile C-Arm </t>
  </si>
  <si>
    <t>w/ Vascular Package Brand: Philips BV Pulsera ; DOH DONATION ; Supplier: Philips Electronics &amp; Lighting, Inc. 7/18/14 SN:3156 7/21/14</t>
  </si>
  <si>
    <t>E-16-03-4143</t>
  </si>
  <si>
    <t>Ultrasound Machine</t>
  </si>
  <si>
    <t>Ultrasound machine, Brand/Model : GE Logiq F6, Country of Origin: China, Console Design/ Operator Keyboard/ Display Screen/ Application/ Transducers Types/ Operation Modes/ Spatial Compounding/ Patient Information Database/ Probes/ Standard Requirements: User's manual in English LAnguage, Operational Manual - 1 copy, Service Manual - 1 copy, Training copy for end-users on equipment operation, Preventive Maintenance program for at least 3 years, Tree years warranty on parts and service after testing. Supplier - Fernando Medical Enterprises, Inc. PO - 16-01-000026, Delivery Date - March 22, 2016</t>
  </si>
  <si>
    <t>E-16-04-4149</t>
  </si>
  <si>
    <t>X-Ray Machine</t>
  </si>
  <si>
    <t>Stationary High Frequency X-Ray Machine, Brand/Model : Shimadzu Mobile, Country of Origin : Japan, X-Ray Generator, X-Ray Tube, Radiography, Control Panel, X-Ray Tube Support Assembly, Table Specification, Standard Accessories, Cassettes, Warranty Certificates, Other Accessories, Other Requirements, Standard Requirements, Training Requirements, Supplier - INSTRUMIX SUPPLIER, INC. PO 16-01-000037, Delivery Date : April 12, 2016</t>
  </si>
  <si>
    <t>E-17-04-000247</t>
  </si>
  <si>
    <t>MOBILE X-RAY MACHINE 300MA</t>
  </si>
  <si>
    <t>MOBILE X-RAY MACHINE 300MA, BRAND : SMAM , COUNTRY OF ORIGIN : ITALY , SUPPLIER - FILRAD CORPORATION , PO 16-11-000432 DTD 04-12-17</t>
  </si>
  <si>
    <t>E-17-01-000009</t>
  </si>
  <si>
    <t>COMPUTER AIDED DIAGNOSTIC X-RAY QA / DOSIMETRY SYSTEM</t>
  </si>
  <si>
    <t>COMPUTER AIDED DIAGNOSTIC X-RAY QA / DOSIMETRY SYSTEM , RTI PIRANHA PREMIUM OCEAN PRO / MAS - 1 / CT ION CH. , BRAND : PIRANHA , MANUFACTURER : RTI ELECTRONICS . SUPPLIER : DOH *****DONATION***** , DTD 01-06-17</t>
  </si>
  <si>
    <t>E-2305</t>
  </si>
  <si>
    <t>Heine Headlight</t>
  </si>
  <si>
    <t>MD 500 fiber optic w/ an ultra slim illumination of th of the binocular loupe.  (non-functional), 2000</t>
  </si>
  <si>
    <t>E-6492-6496</t>
  </si>
  <si>
    <t>stainless steel w/ mattress, 2001</t>
  </si>
  <si>
    <t>E-2647</t>
  </si>
  <si>
    <t>Proctosigmoidoscope</t>
  </si>
  <si>
    <t>fiber optic Endoscope Set Model No. 353ZZ Welch Allyn US w/ include: Pediatric endoscope, Fiber optic anascope, Light &amp; handle, transformer, Extra halogen lamp suction tube and case to hold all the items, September 8, 2004</t>
  </si>
  <si>
    <t>E-2692-2693</t>
  </si>
  <si>
    <t>portable, May 24, 2005</t>
  </si>
  <si>
    <t>E-2832</t>
  </si>
  <si>
    <t>400 x 600 x 950mm, 3 pull out drawers, w/ oxygen tank holder and steel trash bin, 2009</t>
  </si>
  <si>
    <t>E-3087-3211</t>
  </si>
  <si>
    <t>Mechanical Hospital Bed</t>
  </si>
  <si>
    <t>2 cranks, Made in China, stainless steel, head/foot board, rubber foot, epoxy coating bed frame w/ matress 3" leatherette cover (NOA dtd April 18, 2011 Public Bidding February 1, 2011, Roshem Dist)</t>
  </si>
  <si>
    <t>E-1406-3732</t>
  </si>
  <si>
    <t>Craniotomy Set</t>
  </si>
  <si>
    <t xml:space="preserve"> </t>
  </si>
  <si>
    <t>E-14-02-3615</t>
  </si>
  <si>
    <t>with stand, with adult and pedia cuff (Aneroid) with stethoscope Brand: Baunamometer US PO 13-12-000400 February 18, 2014 Surgico Phils. Inc. SN: 07103243</t>
  </si>
  <si>
    <t>E-14-02-3616</t>
  </si>
  <si>
    <t>with stand, with adult and pedia cuff (Aneroid) with stethoscope Brand: Baunamometer US PO 13-12-000400 February 18, 2014 Surgico Phils. Inc. SN: 08104115</t>
  </si>
  <si>
    <t>E-14-02-3617</t>
  </si>
  <si>
    <t>with stand, with adult and pedia cuff (Aneroid) with stethoscope Brand: Baunamometer US PO 13-12-000400 February 18, 2014 Surgico Phils. Inc. SN: 07103231</t>
  </si>
  <si>
    <t>E-14-10-3790-14-10-3791</t>
  </si>
  <si>
    <t>E-15-07-4029</t>
  </si>
  <si>
    <t>click line dissecting and grasping forceps</t>
  </si>
  <si>
    <t>click line dissecting and grasping forceps, rotating w/ connector pin for unipolar coagulation, size 5mm, 36mm, "alligator jaws" double action jaws. Supplier- Saviour</t>
  </si>
  <si>
    <t>E - 15-06-3999</t>
  </si>
  <si>
    <t>click line dissecting and grasping forceps, rotating w/ connector pin for unipolar coagulation, size 5mm, 36mm, atraumatic, double action jaws.</t>
  </si>
  <si>
    <t>E -15-06-4000</t>
  </si>
  <si>
    <t>click like kelly</t>
  </si>
  <si>
    <t>click line kelly dissecting and grasping forceps, rotating, w/ connector pin for unipolar coagulation, size 5mm, 35cm</t>
  </si>
  <si>
    <t>E-15-06-4001</t>
  </si>
  <si>
    <t>click line dissecting and grasping forceps (right angle)</t>
  </si>
  <si>
    <t>click line dissecting and grasping forceps, rotating w/ connector pin for unipolar coagulation, size 5mm, 36mm, right angle, double action jaws.</t>
  </si>
  <si>
    <t>E-15-06-4002</t>
  </si>
  <si>
    <t>click line reddick-olsen</t>
  </si>
  <si>
    <t>click line reddick-olsen dissecting and grasping forceps, rotating w/ connector pin for unipolar coagulation, size 5mm, 36cm, heavy double action jaws</t>
  </si>
  <si>
    <t>E-15-06-4004</t>
  </si>
  <si>
    <t>Scissors rotating</t>
  </si>
  <si>
    <t>Scissors, rotating, size 4mm length 36cm, serrated, curved, conical and correlation pin for unipolar coagulation, double action jaws</t>
  </si>
  <si>
    <t>E-15-03-3922</t>
  </si>
  <si>
    <t>Brand/Model:  BSCS/ECG-101G  Country of Origin: China, user friendly, heavy duty, with internal battery, with recdhargeable battery or AC Operation Digital ECG Alpha Numeric patinet information, utilizes standard ECG strip paper size (50mm), w/ user manual  Blue Sky Trading 15-01-000003 (March 2015)</t>
  </si>
  <si>
    <t>E-15-03-3952</t>
  </si>
  <si>
    <t>E-15-03-3906</t>
  </si>
  <si>
    <t>E15-04-3976, E15-04-3977</t>
  </si>
  <si>
    <t>Brand/Model: ESP -50; -Country of Origin: China; Technical Specifications: -Heavy Duty; -with plastic canisters; -with manimum capacity of 3L per plastic canister; -with foot pedal; -over flow safety device/filter; -trolley mounted; -user friendly; -2pcs 3,000 fiberglass jars 1p 250cc stone jar for soot; 1 pc foot switch, 1 set cannula tube; 2 pcs plastic suction; 1pc glass cup; -detachable power cord. Roshem Distributor Inc April 22, 2015</t>
  </si>
  <si>
    <t>E-15-2-3888</t>
  </si>
  <si>
    <t>ELECTRO CAUTERY MACHINE</t>
  </si>
  <si>
    <t>with vessels sealing capacity up to 7mm with hand instruments, with monopolar and bipolar function, tissue vessel with cart, touch screen monitor, w/ 1 set of removable shears, with universal monopolar and bipolar cord, with gound connector MEDICOTEK, INC. PO 15-01-000008 dated 1/07/15  Delivery dtae" 2/27/15</t>
  </si>
  <si>
    <t>E-16-08-4294</t>
  </si>
  <si>
    <t>MICRO DRILL</t>
  </si>
  <si>
    <t>Micro Drill, Brand/Model - Karl Storz Nuero Drill, Country of Origin - Germany , Supplier - SAVIOUR MEDEVICES, INC. , PO # 16-01-0000020 , Delivery Date - August 14, 2016</t>
  </si>
  <si>
    <t>E-16-08-4295</t>
  </si>
  <si>
    <t>ELECTRIC DERMATONE UNIT</t>
  </si>
  <si>
    <t>Electric Dermatone Unit. Brand/Model - Karl Storz, Country of Origin - Germany , Supplier - SAVIOUR MEDEVICES, INC. , PO # 16-01-0000020 , Delivery Date - August 14, 2016</t>
  </si>
  <si>
    <t>E-16-05-4157</t>
  </si>
  <si>
    <t>E-17-04-000225</t>
  </si>
  <si>
    <t>PROCTOSIGMOIDOSCOPE SET</t>
  </si>
  <si>
    <t>PROCTOSIGMOIDOSCOPE SET, BRAND : WELCH ALLYN , COUNTRY OF ORIGIN : USA , SUPPLIER - ALJERON , PO # 17-02-000071 DTD 04-19-17</t>
  </si>
  <si>
    <t>E-17-04-000236 / E-17-04-000237</t>
  </si>
  <si>
    <t>CARDIAC MONITOR WITH NIBP AND PULSE OXIMETER</t>
  </si>
  <si>
    <t>CARDIAC MONITOR WITH NIBP AND PULSE OXIMETER, BRAND : MINDRAY , COUNTRY OF ORIGIN : CHINA , SUPPLIER - TECHNOMED INTERNATIONAL, INC. PO 16-11-000436 DTD 04-05-17</t>
  </si>
  <si>
    <t>E-17-01-000004 / E-17-01-000005</t>
  </si>
  <si>
    <t xml:space="preserve">SUCTION APPARATUS </t>
  </si>
  <si>
    <t>SUCTION APPARATUS HEAVY-DUTY , BRAND - TRIUP COUNTRY OF ORIGIN : CHINA , SUPPLIER - SURGICO PHILS., INC. PO 16-10-000377 DTD 01-10-17</t>
  </si>
  <si>
    <t>E-17-01-000006 / E-17-01-000007</t>
  </si>
  <si>
    <t>ECG MACHINE , BRAND - 3RAYS , COUNTRY OF ORIGIN : CHINA , SUPPLIER - SURGICO PHILS., INC. PO 16-10-000377 DTD 01-10-18</t>
  </si>
  <si>
    <t>E-17-01-000008</t>
  </si>
  <si>
    <t>LARYNGOSCOPE SET</t>
  </si>
  <si>
    <t>LARYNGOSCOPE SET , BRAND - WITTEX , COUNTRY OF ORIGIN : GERMANY , SUPPLIER - SURGICO PHILS., INC. PO 16-10-000377 DTD 01-10-19</t>
  </si>
  <si>
    <t>E-2962</t>
  </si>
  <si>
    <t xml:space="preserve">BP Apparatus </t>
  </si>
  <si>
    <t>ERKA Vario Basic Model stand, Made in Germany, non-mercurial w/ stand, 5 castors (June 3, 2010)</t>
  </si>
  <si>
    <t>Ancillary services/Support services -&gt; Physiotherapy / Rehabilitation</t>
  </si>
  <si>
    <t>E-1879</t>
  </si>
  <si>
    <t>Steel , Safety vault, 2000</t>
  </si>
  <si>
    <t>E-15-02-3882-A</t>
  </si>
  <si>
    <t>Computer set</t>
  </si>
  <si>
    <t>Inter core I3-4160, Motherboard ASUS, 2GB Memory, 250GB SATA Hard drive (WD 500GB), DVD-RW ROM (Samsung SH-224), 20" LCD/LED Monitor Samsung, UPS, USB Keyboard  Silicon Forest  PO15-01-000045  1/30/15  Delivery date;  Feb. 13, 2015</t>
  </si>
  <si>
    <t>E-15-07-4026</t>
  </si>
  <si>
    <t>Computer</t>
  </si>
  <si>
    <t>Intel Core i5-4460 ASUS H81-board, 2GB DDR3 Memory, 500GB Hdd, DVD-RW Casing with PSU 20", Samsung LED Monitor, APC, WIN 8.1, EPSON L120 Printer, Keyboard &amp;Mouse (Rapoo) Printer SN:TP3K103801, Monitor SN: 00LHHYCG201728, P.O. No: 15-05-000175. Date Purchased: May 20,2015. SMARTYSTS RETAILERS CORPORATION.</t>
  </si>
  <si>
    <t>E-13-04-3426</t>
  </si>
  <si>
    <t>LCD Monitor 1.5 wide screen (AOC)Intel dual core processor 2-3 GHZ (intel) Memory 2GB DDR3 (Kingston) Hard disk: 500GB (Western Digital Seagate) DVD ROM (DV DRW) Samsung (2013)</t>
  </si>
  <si>
    <t>E-2848</t>
  </si>
  <si>
    <t>LCD 16' monitor, chimney, CPU P4, AMDZ Redfox, AVR, keyboard, mouse, speaker, 2001</t>
  </si>
  <si>
    <t>E-2959</t>
  </si>
  <si>
    <t>Desktop, Intel E5400 Dual core 2.7GHz, DVD RW 24x writing speed, 16"LCD wide screen, w/ keyboard, mouse, AVR, 2009</t>
  </si>
  <si>
    <t>E-13-04-3425</t>
  </si>
  <si>
    <t>CPU, dual core processor unit, intel 2.3 Ghz, Memory 2GB DDr3, Hard disk 500GB, DVD ROM (DVD RW) Mother Board (64 1WV 775, Itel, w/ monitor 16" LCD/LED, w/ keyboard and mouse, AVR 500VA w/ free Printer, Cannon iP2770 w/ CIS (2013)</t>
  </si>
  <si>
    <t>E-13-04-3427</t>
  </si>
  <si>
    <t>Scanner</t>
  </si>
  <si>
    <t>Scanjet sheet feeder, scan 40PPM or more in black &amp; white or grayscale &amp; 35PPM or more in color, HP Scanjet 7000 S2 (2013)</t>
  </si>
  <si>
    <t>E-9096</t>
  </si>
  <si>
    <t>LCD monitor 16.5" wide screen, w/ keyboard, mouse, 2012</t>
  </si>
  <si>
    <t>E-14-08-3762</t>
  </si>
  <si>
    <t>Laptop computer</t>
  </si>
  <si>
    <t>Intel Core I5,4gb DDR3 Memory, 500GB Hard drive NVIDIA Ge Force 830 , Video Card 2GB, Touch Screen, 14"LED Display, Win 8.1 ,4-cell Li-on Battery, w/ free 16GB USB (Sand disk) PO# 14-07-000188 7/28/14</t>
  </si>
  <si>
    <t>2758A</t>
  </si>
  <si>
    <t>w/ CPU,  AOC LCD Monitor 15.6" SN: DAZBA 1A002524 (10/20/2011) Transfer from Songco, Gil to Paras, Emily</t>
  </si>
  <si>
    <t>E - 14-04-3698</t>
  </si>
  <si>
    <t>Computer System Desktop w/ UPS</t>
  </si>
  <si>
    <t>A . CPU - D3PFA600BJ3, B. Monitor -CCLMTF100740  , C-Keyboard - AUS1308005484 , D-UPS  - 1212064748 ; ACER DOH DONATION 8/2/13</t>
  </si>
  <si>
    <t>E-916</t>
  </si>
  <si>
    <t>Refrigerator</t>
  </si>
  <si>
    <t>GE , 1998</t>
  </si>
  <si>
    <t>E-1890</t>
  </si>
  <si>
    <t>Typewriter</t>
  </si>
  <si>
    <t>Olympia 15 C SN: 7-6819134, 2000</t>
  </si>
  <si>
    <t>E-2242</t>
  </si>
  <si>
    <t>Mimeo machine</t>
  </si>
  <si>
    <t>Superfax RE-350 (Non-functional) for condemned, 2000</t>
  </si>
  <si>
    <t>E-13-08-3459</t>
  </si>
  <si>
    <t>Copier machine</t>
  </si>
  <si>
    <t>Kyocera Mita Digital Copier FS-6525MF PO# 13-07-000259 - Shopping, dated August 1, 2013</t>
  </si>
  <si>
    <t>E-15-7-4025</t>
  </si>
  <si>
    <t>Intel Core i5-4660 ASUS H81-board, 2GB DDR3 Memory, 500GB HDD, DVD-RW Casing with PSU 20", Samsung LED Monitor, APC, WIN 8.1, EPSON L120 Printer, Keyboard &amp; Mouse (Rapoo), Printer SN:TP3K103722, Monitor SN: 00LHHYCG201836. P.O. no: 15-05-000175, Date Purchased: 05/20/2015 SMARTSYS RETAILERS CORPORATION</t>
  </si>
  <si>
    <t>E-2737</t>
  </si>
  <si>
    <t>Intel Celeron 1.8GHz, Red Fox motherboard and monitor 15" w/ free Lexmark printer  March 17, 2008</t>
  </si>
  <si>
    <t>E - 13-12-3571</t>
  </si>
  <si>
    <t>A . CPU - D3PFA600BHY , B. Monitor -CCLMTF101674  , C-Mouse 31A004A96; D- Keyboard - AUS1308005578 , E-UPS  - E1212064560 ; ACER DOH DONATION 8/2/13</t>
  </si>
  <si>
    <t>E - 14-02-3604</t>
  </si>
  <si>
    <t>A . CPU - D3PFA600BFR , B. Monitor -CCLMTF172425  , C-Mouse 31A004A88; D- Keyboard - AUS1308005556 , E-UPS  - E1212064561 ; ACER DOH DONATION 8/2/13</t>
  </si>
  <si>
    <t>E - 14-02-3605</t>
  </si>
  <si>
    <t>A . CPU - D3PFA600BJA , B. Monitor -CCLMTF100696  , C-Mouse 31A004CFB; D- Keyboard - AUS1308005285 , E-UPS  - E1212064699 ; ACER DOH DONATION 8/2/13</t>
  </si>
  <si>
    <t>E-2965</t>
  </si>
  <si>
    <t>Desk Top Computer</t>
  </si>
  <si>
    <t>Intel E5400 dual core 2.7GHz, 2 GB DDRR2, 16" LCD wide screen 1440 x 900 screen resolution w/ keyboard/mouse/AVR , 2010</t>
  </si>
  <si>
    <t>E-2017</t>
  </si>
  <si>
    <t>Workstation</t>
  </si>
  <si>
    <t>Computer Binary works P233, 2000</t>
  </si>
  <si>
    <t>E-13-03-3412</t>
  </si>
  <si>
    <t>E-13-03-3411</t>
  </si>
  <si>
    <t>E-13-03-3418</t>
  </si>
  <si>
    <t>CPU only</t>
  </si>
  <si>
    <t>Intel dual core processor 2-3 GHZ (intel) Memory 2GB DDR3 (Kingston) Hard disk: 500GB (Western Digital Seagate) DVD ROM (DV DRW) Samsung (2013)</t>
  </si>
  <si>
    <t>E-13-03-3413</t>
  </si>
  <si>
    <t>E-3364A</t>
  </si>
  <si>
    <t>CPU: ASUS, LCD monitor AOC , w/ keyboard and mouse, 2012</t>
  </si>
  <si>
    <t>E-14-08-3758</t>
  </si>
  <si>
    <r>
      <t>Intel Core I5,4gb DDR3 Memory, 500GB Hard drive NVIDIA Ge Force 830 , Video Card 2GB, Touch Screen, 14"LED Display, Win 8.1 ,4-cell Li-on Battery, w/ free 16GB USB (Sand disk) PO# 14-07-000188 7/28/14 (</t>
    </r>
    <r>
      <rPr>
        <b/>
        <sz val="9"/>
        <rFont val="Calibri"/>
        <family val="2"/>
        <scheme val="minor"/>
      </rPr>
      <t>TRANSFERRED ITEM FROM DR. YOLANDA T. DEE)</t>
    </r>
  </si>
  <si>
    <t>E-3364B</t>
  </si>
  <si>
    <t>CPU Neutron, Monitor AOC, 2000</t>
  </si>
  <si>
    <t>E-17-03-000191</t>
  </si>
  <si>
    <t>COMPUTER SET</t>
  </si>
  <si>
    <t>COMPUTER SET, Computer set, Intel Core i5 4460 4th Gen. Gigabyte H81 Mboard 4GB DDR3 Memory pc 1600 500GB Hard Disk seagate 19" LED Monitor AOC Keyboard and mouse USB Epson L120 Microsoft Office Home and Student 2016 Win 10 650VA UPS Intex , UPS ''2101869221161901362 , MONITOR  KCYG91A000598 , PRINTER TP3K364626 , SUPPLIER - PRJ COMPUTER CENTER , PO 16-12-000492 , DTD 01-13-17</t>
  </si>
  <si>
    <t>E-499</t>
  </si>
  <si>
    <t>Olympia , 2000</t>
  </si>
  <si>
    <t>E-13-08-3460</t>
  </si>
  <si>
    <t>E-14-10-3797- 3798</t>
  </si>
  <si>
    <t>Digital Duplicator / Mimeograph Machine</t>
  </si>
  <si>
    <t xml:space="preserve">Table Top Sn:140480901 , 140280520, PO # 14-09-000233 Phil-Repro-com Products &amp; System </t>
  </si>
  <si>
    <t>E-15-04-3982</t>
  </si>
  <si>
    <t>LCD PROJECTOR</t>
  </si>
  <si>
    <t>(Infocus) (In112A) Manual optical zoom, HDMI Ready, 110-240volts, Lamp type: 200 watts, Screen size: 60" Tripod screen 152 x 152cm, bag 340 x 40mm x 280mm Supplier: American Technologies Inc.  15-04-000101 April 23, 2015</t>
  </si>
  <si>
    <t>E-2849</t>
  </si>
  <si>
    <t>LCD 16" Monitor, Chimey, CPU P4 AVR 400W, keyboard, mouse &amp; speaker, 2009</t>
  </si>
  <si>
    <t>E-2731</t>
  </si>
  <si>
    <t>CPU: Asus, Monitor: Samsung March 16, 2006</t>
  </si>
  <si>
    <t>SE-2896A</t>
  </si>
  <si>
    <t>set w/ monitor, CPU, 2000</t>
  </si>
  <si>
    <t>E-14-08-3759</t>
  </si>
  <si>
    <t>E-17-03-000190</t>
  </si>
  <si>
    <t>COMPUTER SET, Computer set, Intel Core i5 4460 4th Gen. Gigabyte H81 Mboard 4GB DDR3 Memory pc 1600 500GB Hard Disk seagate 19" LED Monitor AOC Keyboard and mouse USB Epson L120 Microsoft Office Home and Student 2016 Win 10 650VA UPS Intex , UPS '2101869221161901740 , MONITOR KCYG91A000565 , PRINTER TP3K374642 , SUPPLIER - PRJ COMPUTER CENTER , PO 16-12-000492 , DTD 01-13-17</t>
  </si>
  <si>
    <t>E-2022</t>
  </si>
  <si>
    <t>Base radio</t>
  </si>
  <si>
    <t>Motorola GM-300 136-174 MH2 5 watts with accessories, 2000</t>
  </si>
  <si>
    <t>E-2804</t>
  </si>
  <si>
    <t>Olympia 18 Carriage</t>
  </si>
  <si>
    <t>E-2759</t>
  </si>
  <si>
    <t>w/ LCD monitor</t>
  </si>
  <si>
    <t>E-15-09-4062</t>
  </si>
  <si>
    <t>Computer Set</t>
  </si>
  <si>
    <t>Inter core i5 4460 3.2Ghz 1150 Asus H81M-K/C/SI OEM, Kingston 2GB DDR3, ASUS DVD-RW OEM SATA, 'Rise 813 Red Casing, ASUS VS207T 19.5" Monitor plus 0.5" margin, 'UPS 4 socket ports (30mins power back-up) (APC BX-625CI-MS 625VA UPS), 'A4 Tech KRS 8372 USB Keyboard/Mouse, '2Gb Video card (Inno3D GT730 2Gb/128 bit), Windows 8.1 SL 64 bit English, w/ 1 year warranty on CPU, 2  years on Monitor ang 6 months on accessories, Supplier- PC Square Computers, 15-08-000329, 09-10-15, 33,995.00 (FROM Admitting- Arcilla, Irene)</t>
  </si>
  <si>
    <t>E-2786</t>
  </si>
  <si>
    <t>Fax machine</t>
  </si>
  <si>
    <t>Panasonic KX-FT933 SN: 73AWA0539956</t>
  </si>
  <si>
    <t>E-2659</t>
  </si>
  <si>
    <t>desktop, CPU, speaker, Brand: Samsung, February 14, 2005</t>
  </si>
  <si>
    <t>E-2862</t>
  </si>
  <si>
    <t>LCD monitor (Acer), CPU Samsung with printer (Canon), 2007</t>
  </si>
  <si>
    <t>E-13-04-3423B - 13-04-3424</t>
  </si>
  <si>
    <t>E-16-04-4147</t>
  </si>
  <si>
    <t>Laptop</t>
  </si>
  <si>
    <t>Laptop, Core i5 Processor, 4 GB Memory, DDR3, ITP/SATA, HDD, DVD-RW ROM, 15.6" LED, HDMI and VGA port available, with original installer and/or recovery CD and license of Windows 7 or 10 (Lenovo 300-i5 80Q700 AMPH), Supplier: Smartsys Retailers Corp., PO 16-03-000076, Dtd. MArch 18, 2016</t>
  </si>
  <si>
    <t>E 15-04-3985</t>
  </si>
  <si>
    <t>Dot Matrix Printer</t>
  </si>
  <si>
    <t>EPSON LQ2190, 24 pin, 136 columns, 24 needles, Windows 7/XP Compatible, Supplier: Silicon Forest Phil., Inc.</t>
  </si>
  <si>
    <t>E-3026</t>
  </si>
  <si>
    <t>workstation</t>
  </si>
  <si>
    <t>Epson  2175 Sn. GLXY036149 (Payroll) May 11, 2011</t>
  </si>
  <si>
    <t>E-15-02-3882</t>
  </si>
  <si>
    <t>E 15-06-3998</t>
  </si>
  <si>
    <t>Intel core i%-4660, ASUS H81-board, 2GB DDR3 Memory, 500GB HDD, DVD-RW Casing with PSU 20" Samsung LED Monitor. APC, WIN 8.1, Keyboard &amp; Mouse. Note: NO PRINTER. Monitor SN: 00LHHYCG101780. May 20, 2015</t>
  </si>
  <si>
    <t>E-15-09-4044</t>
  </si>
  <si>
    <t>Inter core i5 4460 3.2Ghz 1150 Asus H81M-K/C/SI OEM, Kingston 2GB DDR3, ASUS DVD-RW OEM SATA, 'Rise 813 Red Casing, ASUS VS207T 19.5" Monitor plus 0.5" margin, 'UPS 4 socket ports (30mins power back-up) (APC BX-625CI-MS 625VA UPS), 'A4 Tech KRS 8372 USB Keyboard/Mouse, '2Gb Video card (Inno3D GT730 2Gb/128 bit), Windows 8.1 SL 64 bit English, w/ 1 year warranty on CPU, 2  years on Monitor ang 6 months on accessories, Monitor S/N: E4LMTF127972, UPS S/N: 3B1531X15315, Supplier- PC Square Computers, 15-08-000329, 09-10-15, 29,000.00</t>
  </si>
  <si>
    <t>E-15-04-3985</t>
  </si>
  <si>
    <t>(Epson LQ2190); -24 pin; -136 columns; -24needles; -Windows 7/XP Compatible. P.O. No.: 15-02-000055; SILICON FOREST PHIL., INC. February 27, 2015</t>
  </si>
  <si>
    <t>E-15-09-4043</t>
  </si>
  <si>
    <t>Inter core i5 4460 3.2Ghz 1150 Asus H81M-K/C/SI OEM, Kingston 2GB DDR3, ASUS DVD-RW OEM SATA, 'Rise 813 Red Casing, ASUS VS207T 19.5" Monitor plus 0.5" margin, 'UPS 4 socket ports (30mins power back-up) (APC BX-625CI-MS 625VA UPS), 'A4 Tech KRS 8372 USB Keyboard/Mouse, '2Gb Video card (Inno3D GT730 2Gb/128 bit), Windows 8.1 SL 64 bit English, w/ 1 year warranty on CPU, 2  years on Monitor ang 6 months on accessories, Supplier- PC Square Computers</t>
  </si>
  <si>
    <t>E-14-11-3822</t>
  </si>
  <si>
    <t xml:space="preserve">Copier Machine </t>
  </si>
  <si>
    <t xml:space="preserve">Fuji Xerox PO # 14-10-000242 Phil Repro Com products &amp; system </t>
  </si>
  <si>
    <t>E-14-08-3760</t>
  </si>
  <si>
    <t>E-13-03-3420</t>
  </si>
  <si>
    <t>E-16-08-4293</t>
  </si>
  <si>
    <t>MOBILE DENTAL VEHICLE</t>
  </si>
  <si>
    <t>Mobile Dental Vehicel (Brand New), Jingma Motor Co., JMMC, Country of Origin : China, Engine Model : ISF3.8S4.1341, Chasis Number : K162038, Engine Number : ISF3.8S3141, DONATION , Donor - DOH , Date Delivered - June 15, 2016</t>
  </si>
  <si>
    <t>E-13-03-3423A</t>
  </si>
  <si>
    <t>Intel dual core processor 2-3 GHZ (intel) Memory 2GB DDR3 (Kingston) Hard disk: 500GB (Western Digital Seagate) DVD ROM (DV DRW) Samsung (2013)l120</t>
  </si>
  <si>
    <t>E-2366</t>
  </si>
  <si>
    <t>Standard 18" Carriage Elite type, HD "Olympia", November 10, 2010</t>
  </si>
  <si>
    <t>E 15-07-4027</t>
  </si>
  <si>
    <t>Intel Core i5-4460 ASUS H81-board, 2GB DDR3 Memory, 500GB Hdd, DVD-RW Casing with PSU 20", Samsung LED Monitor, APC, WIN 8.1, EPSON L120 Printer, Keyboard &amp;Mouse (Rapoo) Printer SN:TP3K103917, Monitor SN: 00LHHYCG101721, P.O. No: 15-05-000175. Date Purchased: May 20,2015. SMARTSTS RETAILERS CORPORATION</t>
  </si>
  <si>
    <t>E-15-03-3899</t>
  </si>
  <si>
    <t>For Autocad and sketch up application, OS: Lifetime Microsoft Windows 8/8/1-64 bit CPU: core 17 Processor (Intel core I451OU), RAM: 4GB, DDR3, Hard disk drive: 500 GB (ITB) Scree size: 15.6" Video card: 2GB, ROM: DVD+RW   March 4, 2015</t>
  </si>
  <si>
    <t>E-IT-17-02-000039</t>
  </si>
  <si>
    <t>COMPUTER SET , Intel Core i5 4460 4th Gen. Gigabyte, H81 Mboard 4GB DDR3 Memory pc 1600 500GB Hard, Disk seagate 19" LED Monitor AOC Keyboard and mouse USB Epson L120 Microsoft Office Home and Student 2016 Win 10 650VA UPS Intex , SUPPLIER - PRJ COMPUTER CENTER PO 16-12-000492 DTD 01-13-17</t>
  </si>
  <si>
    <t>E-14-06-3729-ABC</t>
  </si>
  <si>
    <t xml:space="preserve"> -CPU SN : fuld71A000536(E-14-06-3729B)  Intel Core i5 4570 3.2ghz, - Motherboard: gigabyte GA-H81M-DS2, HD Toshiba 500GB SATA 3, -  Windows 7 Prof, - ATX with 600w Power supply, VGA Card: PALIT GT 630 2GB DDR3 128 bit, -Monitor AOC 21.5" LED SN:00186714-004-095 (E-14-06-3729A), - Mouse USB A4 tech , - Keyboard A4 tech Usb Cord, - 3 in 1 Printer Canon MP 237 all in one, SN: LSMF03257 (E-14-06-3729C) -PO # 14-04-000105 dtd 4/30/14 PC CITY COMPUTER SHOP (From Dr. Concepcion)</t>
  </si>
  <si>
    <t>E-17-01-000026</t>
  </si>
  <si>
    <t>COMPUTER SET, Computer set, Intel Core i5 4460 4th Gen. Gigabyte H81 Mboard 4GB DDR3 Memory pc 1600 500GB Hard Disk seagate 19" LED Monitor AOC Keyboard and mouse USB Epson L120 Microsoft Office Home and Student 2016 Win 10 650VA UPS Intex , UPS '2101869221161000724 , MONITOR KCYG91A000913 , PRINTER TP3K364646 , SUPPLIER - PRJ COMPUTER CENTER , PO 16-12-000492 , DTD 01-13-17</t>
  </si>
  <si>
    <t>E-13-03-3422</t>
  </si>
  <si>
    <t>E-13-12-3577</t>
  </si>
  <si>
    <t>13/15 Core Processor, 2GB Ram DDR3 ovation, 2GB Video card, 20" LED Monitor viewsonic w/ UPS, mouse- December 13, 2013</t>
  </si>
  <si>
    <t>E-14-07-3748</t>
  </si>
  <si>
    <t>Technical Specifications: - I3 Core processor (Intel Core I3,4130 , 3.4ghz (4th Generation) - Hard drive 500GB (Toshiba) - RAM, 2GB (Dolgix, DDR3) - Motherboard (Gigabyte H81 M Board) - AVR , 220 volts (Eco) ,  - Mouse , USB (Intex) - Keyboard ,  USB (Intex) - CPU Case (Ovation sheer w/ 600 w PSU)  ; - Monito LCD/LED 18-20" (20" LED Viewsonic)  ; - w/ printer,continous ink (EPSON L120) . PO# 14-047-000099 dtd 4/21/14 PRJ Computer Center</t>
  </si>
  <si>
    <t>E-15-08-4035-A</t>
  </si>
  <si>
    <t>Power Generating Set</t>
  </si>
  <si>
    <t>Power Generating Set, Brand: Mitsubishi, Model: MGS0500B, Date of Delivery: 08-11-14, DONATION- DOH</t>
  </si>
  <si>
    <t>E-3058</t>
  </si>
  <si>
    <t>Adjustable ladder</t>
  </si>
  <si>
    <t>E-12-8-3369</t>
  </si>
  <si>
    <t xml:space="preserve">Hammer </t>
  </si>
  <si>
    <t>340W (borsh 1040wts 65H 388, 2012</t>
  </si>
  <si>
    <t>E-3313</t>
  </si>
  <si>
    <t>Threading machine</t>
  </si>
  <si>
    <t>(US) w/ blade size of 2", 2012</t>
  </si>
  <si>
    <t>E-2240</t>
  </si>
  <si>
    <t>Generator</t>
  </si>
  <si>
    <t>KOHLER Power 53044, 2000</t>
  </si>
  <si>
    <t>E-2334</t>
  </si>
  <si>
    <t>Softer tank</t>
  </si>
  <si>
    <t>RT 844 (June 6, 2000</t>
  </si>
  <si>
    <t>E-2335</t>
  </si>
  <si>
    <t>Storage tank</t>
  </si>
  <si>
    <t>Steel, stainless 1,500L (June 7,2000)</t>
  </si>
  <si>
    <t>E-2317</t>
  </si>
  <si>
    <t>Ambulance</t>
  </si>
  <si>
    <t>Mitsubishi L300 with plate no. SHH 581 (2005)</t>
  </si>
  <si>
    <t>Toyota Hi-Ace Commuter Van SJA 708 (2008)</t>
  </si>
  <si>
    <t>E-3264</t>
  </si>
  <si>
    <t>Foton Type-4x2 Ambulance van, Model 2009 SKL 425 (2009)</t>
  </si>
  <si>
    <t>E-2316</t>
  </si>
  <si>
    <t>Service vehicle</t>
  </si>
  <si>
    <t>Mitsubishi L-200 Strada 2.5 with plate no. SFJ 663 Rear shell  W-6a5, 2-66, H23.5 (1999)</t>
  </si>
  <si>
    <t>Hyundai Starex Van SJB 479 (2008)</t>
  </si>
  <si>
    <t>Ambulance Besta Kia 2.7 SER 520 (1997)</t>
  </si>
  <si>
    <t>E-15-08-4035/ E-15-08-4035</t>
  </si>
  <si>
    <t xml:space="preserve">Ambulance </t>
  </si>
  <si>
    <t>Ambulance Vehicle- (Brand New), Technical Specification: 2015 Brand New Toyota Hi-Ace GL Grandia, 2.5L Dsl M/T, Speed Manual equipped with 2KD-FTV engine type, 2.5ltrs, 4 cylinders Direct, Injection Common Rail (DOHC) Turbo Charged converted to high-end ambulance, Color: White, Supplier- Toyota San Fernando Pampanga</t>
  </si>
  <si>
    <t>E-IT-17-03-000188</t>
  </si>
  <si>
    <t>E-2905</t>
  </si>
  <si>
    <t>LCD Multi Projector</t>
  </si>
  <si>
    <t>1024 x 768 x Xga resolution, 2500 1ml - 1.6 x wide-angle zoom lens, 600.1 control ratio Brand: ACER DLD Projector 1160ZSN. EKYO101006942022105901, November 3, 2009</t>
  </si>
  <si>
    <t>E 15-04-3957</t>
  </si>
  <si>
    <t>Projector</t>
  </si>
  <si>
    <t>Brand New ACER Projector w/ complete accessories</t>
  </si>
  <si>
    <t>E-15-07-4022</t>
  </si>
  <si>
    <t>Television</t>
  </si>
  <si>
    <t>Devant 58 Smart TV, (DONATION) 07-08-15</t>
  </si>
  <si>
    <t>E-15-07-4023</t>
  </si>
  <si>
    <t>Devant 40CB520-40 LEDTECH TV, (DONATION) 07-08-15</t>
  </si>
  <si>
    <t>E-2874</t>
  </si>
  <si>
    <t>(Desktop) Dell Opti Plex 330 w/ UPS (Donation from DOH) September 15, 2009</t>
  </si>
  <si>
    <t>E-15-0403957</t>
  </si>
  <si>
    <t>Brand new Acer Projector w/ complete accessories</t>
  </si>
  <si>
    <t>Brand new Acer Projector w/ complete accessories April 21, 2015</t>
  </si>
  <si>
    <t>E-2904</t>
  </si>
  <si>
    <t>Laptop Computer</t>
  </si>
  <si>
    <t>HP COMPAQ CQ35 102TU, built in: wireless LAN/webcom, bluetooth, WiFi certified, November 3, 2009</t>
  </si>
  <si>
    <t>E-13-03-3441</t>
  </si>
  <si>
    <t>E-15-03-3895</t>
  </si>
  <si>
    <t>E-IT-17-02-000028</t>
  </si>
  <si>
    <t>E-2601</t>
  </si>
  <si>
    <t>Radio</t>
  </si>
  <si>
    <t>Motorola, June 20, 2002</t>
  </si>
  <si>
    <t>E-2899</t>
  </si>
  <si>
    <t>TV set</t>
  </si>
  <si>
    <t>Infirmary 2, 2009</t>
  </si>
  <si>
    <t>E-2901</t>
  </si>
  <si>
    <t>Camcorder</t>
  </si>
  <si>
    <t>Dual flash 37xoptical zoom 48xAdvanc ed zoom FS200 Canon, 2009</t>
  </si>
  <si>
    <t>E-2900</t>
  </si>
  <si>
    <t>6cu.ft. SN. 981707700, 2009</t>
  </si>
  <si>
    <t>E-2898</t>
  </si>
  <si>
    <t xml:space="preserve">TV 21" </t>
  </si>
  <si>
    <t>LG Collins (Flat) (HEMS), July 28, 2010</t>
  </si>
  <si>
    <t>LG Collins (Flat) (ER), 2010</t>
  </si>
  <si>
    <t>E-15-07-4010/ E-15-07-4011/ E-15-07-4012</t>
  </si>
  <si>
    <t>Evaporative Cooler</t>
  </si>
  <si>
    <t>Evaporative Cooler/fan, heavy duty (Iwata-Breeze), Supplier- Savers Appliance Store, 15-06-000207, 06-06-15</t>
  </si>
  <si>
    <t>E-15-07-4007</t>
  </si>
  <si>
    <t>PA Amplifier</t>
  </si>
  <si>
    <t>PA Amplifier, 250 watts, USB input, SD Card reader, MP3 input, 220 watts, with matching transformer, 100 volts line, with wireless microphone dual w/ receivfer, w/ 1 roll speaker wire, warranty: 1 year on parts and services, Supplier- Success Business Machine Corporation, 15-06-000208, 06-25-15</t>
  </si>
  <si>
    <t>E-IT-17-03-000189</t>
  </si>
  <si>
    <t>E-15-01-3880</t>
  </si>
  <si>
    <t>I5 Core Processor (4460 4th Gen), 500GB Hard drive (SATA) (WD), DVD-RW ROM (Samsung), 2GB RAM (Emaxx) 20" LED Viewsonic, USB mouse, USB keyboard, Motherboard AUS, CPU casing, Power Supply AVR w/ Printer continuous ink</t>
  </si>
  <si>
    <t>E-2775</t>
  </si>
  <si>
    <t>Core Duo 1.8 GHz, Asrock M. Board SN: 86MOX2027508 Apacer 1GB Memory, 160GB SATA Samsung Hard disk, AOC CRT-ATX casing w/ power supplu PS 2 keyboard (black), w/ speaker, AVR, CPU, July 31, 2008</t>
  </si>
  <si>
    <t>E-2729</t>
  </si>
  <si>
    <t>PC, Intel celeron, Red Fox, Samsung 40GB HDD &amp; 52 x CD-RD Monitor, PS 2 keyboard &amp; mouse w/ free lexmark printer, January 17, 2007</t>
  </si>
  <si>
    <t>E-2960</t>
  </si>
  <si>
    <t>Desktop, mini type casing: Intel E5400 Dual Core 2.7 GHz, 2GB DDR2, 320 gb, 16" LCD wide screen 1440 x 900 screen resolution w/ printer, keyboard,mouse, AVR ,October 2000</t>
  </si>
  <si>
    <t>E-13-03-3438</t>
  </si>
  <si>
    <t>E-14-06-3733-3734</t>
  </si>
  <si>
    <t xml:space="preserve">Stand Alone Fingerprint Scanner </t>
  </si>
  <si>
    <t xml:space="preserve">Scanner resolution not less than 500dpi ;      Optical ,scratch/impact resistant scanner ; Not less than 2,000 transaction records ;  Automatic tardiness and undertime tacking   and report ; Automatic leave and absences tracking and report ; Time card entry report ; Full Technical Support- training and orientation of personnel, set up of installation of unit and System ; (iclock 700 biometric Stand alone  ; fingerprint Scanner Time Keeping Software)      (Time Keeping Software P 60,000.00) SN : 5302332240019 / 5302342240020 P.O # 13-02-000032 dtd 2/18/13 Jheraz Computer Sales &amp; Rental </t>
  </si>
  <si>
    <t>E-17-03-000192 / E-17-03-000193 / E-17-03-000194 / E-17-03-000195 / E-17-03-000196</t>
  </si>
  <si>
    <t>BIOMETRIC SYSTEM</t>
  </si>
  <si>
    <t>BIOMETRIC SYSTEM, 50000 FINGER PRINT, 800000 EVENTS CAPACITY CAMERA AND 3.5 COLOR TFT-LCD DISPLAY, TCP/IP RS 232/485 AND USB-HOST WITH TRAINING (DS-ICLOCK 880-H), SUPPLIER - INTEGRATED SECURITY AND AUTOMATION, INC. PO- 16-12-000489 DTD. 12-28-16</t>
  </si>
  <si>
    <t>E-IT-17-05-000249</t>
  </si>
  <si>
    <t>COMPUTER, CORE i5 4460 gb H81, 1TB HDD TOSHIBA 49 DDR3 1600 TREND SONIC CASE WITH COVER PSU WIN 10 PRO 64 BIT MS OFFICE HOME AND STUDENT 2016, 19" LED ACER, USB KEYBOARD, UPS 650VA USB MOUSE, EPSON L120, SUPPLIER PRJ COMPUTER CENTER PO 17-03-000195 03-31-17</t>
  </si>
  <si>
    <t>E-13-03-3410</t>
  </si>
  <si>
    <t>CPU, dual core processor unit, intel 2.3 Ghz, Memory 2GB DDr3, Hard disk 500GB, DVD ROM (DVD RW) Mother Board (64 1WV 775, Itel, w/ monitor 16" LCD/LED, w/ keyboard and mouse, AVR 500VA w/ free Printer, Cannon iP2770 w/ CIS (2013) (Transfer from Emily Paras)</t>
  </si>
  <si>
    <t>E-9044</t>
  </si>
  <si>
    <t>CPU Processor IMB, motherboard 2GB, DDH3, LCd monitor 15.6 wide screen (AOC) w/ speaker, keyboard mouse, 2012, (Transfer from Emily Paras)</t>
  </si>
  <si>
    <t>E-13-01-3389</t>
  </si>
  <si>
    <t>Printer</t>
  </si>
  <si>
    <t>For payroll, Epson LQ 2190 (December 2012) Supplier- Silicon Valley, 12-12-000497, 12-03-12 (Transfer from Emily Paras)</t>
  </si>
  <si>
    <t>E-13-03-3419</t>
  </si>
  <si>
    <t>w/ monitor, CPU, Intel dual core processor 2-3 GHZ (intel) Memory 2GB DDR3 (Kingston) Hard disk: 500GB (Western Digital Seagate) DVD ROM (DV DRW) Samsung (2013)</t>
  </si>
  <si>
    <t>E-16-03-4139</t>
  </si>
  <si>
    <t>Computer Set, Intel Core i5 4460 3.2Ghz 1150, Kingston 2GB DDR3 1333, Toshiba 500GB SATA HDD, Samsung DVD-Writer SH-224 OEM (F3LMQS132297), Rise 813 Silver Casing, Asus VX207DE 19.5" LED Monitor, A4tech KRS 8372 USB KYB Mouse, APC BX650LI-MS 650VA 325W PSU (9B1526AO4241), Epson L120 CIS Printer (TP3K211O18), Asus H81M-K/C/SI OEM 1150, Windows 10 64bit English, Supplier- PC Square Computers, PO- 15-12-000582A dtd Jan-18-16</t>
  </si>
  <si>
    <t>E-16-03-4141</t>
  </si>
  <si>
    <t>Computer Set, Intel Core i5 4460 3.2Ghz 1150, Kingston 2GB DDR3 1333, Toshiba 500GB SATA HDD, Samsung DVD-Writer SH-224 OEM (F3LMQS132315), Rise 813 Silver Casing, Asus VX207DE 19.5" LED Monitor, A4tech KRS 8372 USB KYB Mouse, APC BX650LI-MS 650VA 325W PSU (9B152A04250), Epson L120 CIS Printer (TP3K209563), Asus H81M-K/C/SI OEM 1150, Windows 10 64bit English, Supplier- PC Square Computers, PO- 15-12-000582A dtd Jan-18-16</t>
  </si>
  <si>
    <t>E-16-03-4142</t>
  </si>
  <si>
    <t>Computer Set, Intel Core i5 4460 3.2Ghz 1150, Kingston 2GB DDR3 1333, Toshiba 500GB SATA HDD, Samsung DVD-Writer SH-224 OEM (F3LMQS132419), Rise 813 Silver Casing, Asus VX207DE 19.5" LED Monitor, A4tech KRS 8372 USB KYB Mouse, APC BX650LI-MS 650VA 325W PSU (9B1526A04252), Epson L120 CIS Printer (TP3K209572), Asus H81M-K/C/SI OEM 1150, Windows 10 64bit English, Supplier- PC Square Computers, PO- 15-12-000582A dtd Jan-18-16</t>
  </si>
  <si>
    <t xml:space="preserve"> E-13-08-3457</t>
  </si>
  <si>
    <t>Fingerprints Scanner</t>
  </si>
  <si>
    <t>stand alone, optical scratch/impact resistant scanner, automatic tardiness/undertime tracking and report, automatic leave and absences tracking and report (2013)</t>
  </si>
  <si>
    <t>E-15-12-4061</t>
  </si>
  <si>
    <t>EPSON L220 Printer w/ USB Printer Cable SN: DTVLASPO54532055839600, MMLVGSS007525081848501, LN: 65895993, 6501507032499, VGWK0666639</t>
  </si>
  <si>
    <t>E-2910A</t>
  </si>
  <si>
    <t>Acer desktop SN: PSV 480C039849093 FD2704, LCD monitor, 17", black SNETLBY0802682 103C424200 UPS Apollo,  SN: 20154390810 w/ speaker (Donation from DOH-GRF6) November 11, 2009</t>
  </si>
  <si>
    <t>E-15-12-4060</t>
  </si>
  <si>
    <t>ACER Veriton X46306-Limited Stocks, Window 8.1SL (OS), Intel Core iS-4460 Processor, Intel B85 Express Chipset, 4GB DDR3 Memory, 1TB Hard disk drive, 16x DVD-Super Multi Drive, Intel HD Graphics 4600, LAN Gigabit Ethernet, USB Keyboard &amp; Mouse with parallel port, Internal speaker, XSFF</t>
  </si>
  <si>
    <t>E-17-01-000021</t>
  </si>
  <si>
    <t>COMPUTER SET, Computer set, Intel Core i5 4460 4th Gen. Gigabyte H81 Mboard 4GB DDR3 Memory pc 1600 500GB Hard Disk seagate 19" LED Monitor AOC Keyboard and mouse USB Epson L120 Microsoft Office Home and Student 2016 Win 10 650VA UPS Intex , UPS '2101869221161901373 , MONITOR KCYG91A000555 , PRINTER TP3K364590 , SUPPLIER - PRJ COMPUTER CENTER , PO 16-12-000492 , DTD 01-13-17</t>
  </si>
  <si>
    <t>E-16-02-4081</t>
  </si>
  <si>
    <t>DOH - Donation, dated Jan. 22, 2016</t>
  </si>
  <si>
    <t>E-14-012-3849B</t>
  </si>
  <si>
    <t>5 cu ft, GAV055Bayrag (Dr. Dee's CA) 11-24-2014</t>
  </si>
  <si>
    <t>E-15-07-4006</t>
  </si>
  <si>
    <t>E-2390</t>
  </si>
  <si>
    <t>Sony, 2000, (Transfer from Dra. Yolanda T. Lee-Dee)</t>
  </si>
  <si>
    <t>E-16-02-4080</t>
  </si>
  <si>
    <t>E-2377</t>
  </si>
  <si>
    <t>From Mrs.  Ilagan, August 22, 2001</t>
  </si>
  <si>
    <t>E-14-12-3849C</t>
  </si>
  <si>
    <t>Screen Projector</t>
  </si>
  <si>
    <t>EB-S18, SN #TUK4802225 w/ 70x70 Tripod EZ (Dr. Dee's Cash Advance) 11-24-2014</t>
  </si>
  <si>
    <t>E-16-04-4154</t>
  </si>
  <si>
    <t>Computer Set, Intel Core i5 4460 3.2Ghz 1150, Kingston 2GB DDR3 1333, Toshiba 500GB SATA HDD, Samsung DVD-Writer SH-224 OEM (F3LMQS132419), Rise 813 Silver Casing, Asus VX207DE 19.5" LED Monitor, A4tech KRS 8372 USB KYB Mouse, APC BX650LI-MS 650VA 325W PSU (9B1526A04252), Epson L120 CIS Printer (TP3K209572), Asus H81M-K/C/SI OEM 1150, Windows 10 64bit English, Supplier- PC Square Computers, PO- 15-12-000582A dtd Jan-18-16 (Monitor S# F3LMQS132329) (Printer S# TP3K209570) ( APC S# 95126A02904)</t>
  </si>
  <si>
    <t>E-13-12-3574        (8-2-13)</t>
  </si>
  <si>
    <t>Computer Server</t>
  </si>
  <si>
    <t>Donation from DOH (2013)</t>
  </si>
  <si>
    <t>E-13-11-3569-3571</t>
  </si>
  <si>
    <t>set, desktop with UPS  (2013)</t>
  </si>
  <si>
    <t>E-14-06-3730-ABC</t>
  </si>
  <si>
    <t xml:space="preserve"> -CPU SN : fuld71A000189 (E-14-06-3730B)  Intel Core i5 4570 3.2ghz, - Motherboard: gigabyte GA-H81M-DS2, HD Toshiba 500GB SATA 3, -  Windows 7 Prof, - ATX with 600w Power supply, VGA Card: PALIT GT 630 2GB DDR3 128 bit, -Monitor AOC 21.5" LED SN:00186714-004-172 (E-14-06-3730A), - Mouse USB A4 tech , - Keyboard A4 tech Usb Cord, - 3 in 1 Printer Canon MP 237 all in one, SN: LSME97716 (E-14-06-3730C) -PO # 14-04-000105 dtd 4/30/14 PC CITY COMPUTER SHOP</t>
  </si>
  <si>
    <t>E-15-06-3997</t>
  </si>
  <si>
    <t>Intel Core i5-4460 ASUS H81-board, 2GB DDR3 Memory, 500Gb HDD, DVD-RW Casing with PSU 20", Samsung LED Monitor APC, WIN 8 .1, Epson L120 Keyboard &amp; Mouse (Rapoo) Printer: TP3K103786, Monitor SN: 00LHHYCG201584</t>
  </si>
  <si>
    <t>E 15-02-3885</t>
  </si>
  <si>
    <t>Intel Core I3-4160, Motherboard (ASUS H81 M-Borad), 2GB Memory (Kingston), 250GB-SATA Hard Drive (WD 500GB), DVD-RW ROM (Samsung SH-224), 20" LCD/LED Monitor (Samsung LS 20300), UPS 625VA, USB Keyboard 9Rapoo (N1820), Windows 7 pro/Windows 8 pro, Supplier: SILICON FOREST PHIL., INC.</t>
  </si>
  <si>
    <t>E-14-08-3755</t>
  </si>
  <si>
    <t>E-2986</t>
  </si>
  <si>
    <t>HP Compaq CQ 35 LO2TU) Genuine Vista-Core Duo L1.4 GHz 800Mhz ESB Built In: Wireless LAN, Webcam, Bluetooth-Wifi certified-3GB DDR3, 13.3" LCD, DVDRW  (From Mrs. Ilagan) July 23, 2010</t>
  </si>
  <si>
    <t>E-15-09-4063</t>
  </si>
  <si>
    <t>Inter core i5 4460 3.2Ghz 1150 Asus H81M-K/C/SI OEM, Kingston 2GB DDR3, ASUS DVD-RW OEM SATA, 'Rise 813 Red Casing, ASUS VS207T 19.5" Monitor plus 0.5" margin, 'UPS 4 socket ports (30mins power back-up) (APC BX-625CI-MS 625VA UPS), 'A4 Tech KRS 8372 USB Keyboard/Mouse, '2Gb Video card (Inno3D GT730 2Gb/128 bit), Windows 8.1 SL 64 bit English, w/ 1 year warranty on CPU, 2  years on Monitor ang 6 months on accessories, Supplier- PC Square Computers, 15-08-000329, 09-10-15, 33,995.00</t>
  </si>
  <si>
    <t>E-2812</t>
  </si>
  <si>
    <t>Camera</t>
  </si>
  <si>
    <t>10 Megapixels, 5x Optical zoom, 2.5 LCD screen (from Mrs. Ilagan), december 17, 2008</t>
  </si>
  <si>
    <t>E-2813</t>
  </si>
  <si>
    <t>Video camera</t>
  </si>
  <si>
    <t>Canon Vixia FS 100, 37x Optical zoom, 48 Advanced zoom (from Mrs. Ilagan) december 17, 2008</t>
  </si>
  <si>
    <t>E 15-03-3898</t>
  </si>
  <si>
    <t>Printer w/ Dot Matrix</t>
  </si>
  <si>
    <t>9 pins, High-speed draft 10cpi, paper feeder, tractor</t>
  </si>
  <si>
    <t>E-17-01-000027</t>
  </si>
  <si>
    <t>COMPUTER SET, Computer set, Intel Core i5 4460 4th Gen. Gigabyte H81 Mboard 4GB DDR3 Memory pc 1600 500GB Hard Disk seagate 19" LED Monitor AOC Keyboard and mouse USB Epson L120 Microsoft Office Home and Student 2016 Win 10 650VA UPS Intex , UPS '2101869221161901083 , MONITOR KCYG91A000538 , PRINTER TP3K375260 , SUPPLIER - PRJ COMPUTER CENTER , PO 16-12-000492 , DTD 01-13-17</t>
  </si>
  <si>
    <t>E-15-01-3869</t>
  </si>
  <si>
    <t>Acer E-14/E5-417G 546W, I5 core processor (I5-4210), ITB Hard drive, DVD-RW ROM (Dvd Bx), 4GB RAM, 14" display screen monitor, with license Microsoft office application MS Office 2013  Supplier: pRJ Computer  PO 14-12-000317  January 9, 2015</t>
  </si>
  <si>
    <t>E-15-01-3872</t>
  </si>
  <si>
    <t>Core I3 4162, 500GB Hard drive (SATA Toshiba), DVD-RW ROM (Samsung), 2GBRAM (ADATA 1500), 16" lCD/LED Monitor (AOC), USB Mouse Intex, USB Keyboard, Motherboard AUS, w/ AVR, with printer continuous (EPSON L120) wl/ License Microsoft Office Application MS Office 2013  Supplier:  PRJ Computer PO 14-12-000317  January 9, 2015</t>
  </si>
  <si>
    <t>E-15-01-3871</t>
  </si>
  <si>
    <t>E-15-01-3870</t>
  </si>
  <si>
    <t>E-3274</t>
  </si>
  <si>
    <t xml:space="preserve">Computer </t>
  </si>
  <si>
    <t>Desktop, complete, w/ web cam SN:PVSBW0100294202EB03000m\, LCD monitor, mouse, keyboard, speaker, UPS Battery, barcode scanner &amp; Biometrics, 2012 NOTE: From Manzano, Carlota, M.D. -to- Galvan, Gil Bryan MD</t>
  </si>
  <si>
    <t>E-14-07-3743</t>
  </si>
  <si>
    <t>E-2422</t>
  </si>
  <si>
    <t>Condura CPS - 8 SD063611943, 2003</t>
  </si>
  <si>
    <t>E-2158</t>
  </si>
  <si>
    <t xml:space="preserve">Pharmaceutical Refrigerator </t>
  </si>
  <si>
    <t>MOR 16D, Sanyo, 2000</t>
  </si>
  <si>
    <t>E-13-12-3573</t>
  </si>
  <si>
    <t>UPS</t>
  </si>
  <si>
    <t>Voltsure Ultima Donation from DOH dtd December 2013</t>
  </si>
  <si>
    <t>E-17-03-000186 / E-17-03-000186</t>
  </si>
  <si>
    <t>CHILLER</t>
  </si>
  <si>
    <t>CHILLER , 27CU FT , 2-DOOR (TO BE USED FOR LABORATORY, DRUGS AND MEDS PROVIDING COLD TEMPERATURE) (MARKERS MSR 2-400D) , SUPPLIER - SAVERS ELECTRONIC WORLD , PO 17-02-000099 DTD 03-03-2017</t>
  </si>
  <si>
    <t>E-2432</t>
  </si>
  <si>
    <t>10 cu. ft. Kelvinator single door SN: 073908120, 2000</t>
  </si>
  <si>
    <t>E-12-12-3388</t>
  </si>
  <si>
    <t>No frost, 8.8-5cu ft, 2 door, LG Collins, 2012 NOTE - From Palsimon, Salome R.-to- Canda, Lourdes</t>
  </si>
  <si>
    <t>E-13-09-3465</t>
  </si>
  <si>
    <t>14cu ft, 2 door, no frost, LG Brand Serial #3011N603c943 (August 2013) NOTE - From Palsimon, Salome -to- Cabantog, Julie Anne</t>
  </si>
  <si>
    <t>E-16-02-4129</t>
  </si>
  <si>
    <t>E-1805, 2163</t>
  </si>
  <si>
    <t>Sewing machine</t>
  </si>
  <si>
    <t>Singer, 1999, 2000</t>
  </si>
  <si>
    <t>E-2776</t>
  </si>
  <si>
    <t>Zigzag machine</t>
  </si>
  <si>
    <t>(Edging machine) heavy duty Sibura brand, August 7, 2008</t>
  </si>
  <si>
    <t>E-14-06-3736</t>
  </si>
  <si>
    <t>Dryer</t>
  </si>
  <si>
    <t>Single Heavy duty 10.5kg atleast 3.4 cu ft Whirpool 14-03-000078 dtd 3/6/14  Savers Mart AC</t>
  </si>
  <si>
    <t>E-14-06-3735</t>
  </si>
  <si>
    <t>Washing Machine</t>
  </si>
  <si>
    <t>Single Heavy duty 11kg atleast 7.0 cu ft Whirpool 14-03-000078 dtd 3/6/14  Savers Mart AC</t>
  </si>
  <si>
    <t>E-2165</t>
  </si>
  <si>
    <t>Heavy Duty, 2000</t>
  </si>
  <si>
    <t>E-15-04-3959</t>
  </si>
  <si>
    <t>Brand/Model: HGQ150  Country of Origin: China , digital operating panel, drums made of stainless, rated capacity-150kg, drum dimension-1600x1150, Drum speed- 28 r/min, Electricity heating - 27kw, Motor power-4KW, over-all wight- 1300kg w/ user manual  Roshem Distributor Inc. 15-01-000009  (March 2015)</t>
  </si>
  <si>
    <t>E-15-04-3960</t>
  </si>
  <si>
    <t>Extractor</t>
  </si>
  <si>
    <t>Brand/Model: TL100 country of Origin: China   Capacity-100kg, stainless steel drum, 5.5kw motor, Independent 3 leg base, w/ user manual, Roshem distributor Inc. 15-01-000009  March 2015</t>
  </si>
  <si>
    <t>E-15-04-3961</t>
  </si>
  <si>
    <t>Brand/Model: SX 150  Country of Origin: China  Shel and drums are made up of stainless steel, Washing temp can be controlled, Capacity- 150kg, Motor power- 4kx, Weight- 10150kg, with user manual, Roshem Dist. Inc.  15-04-000009  March 2013</t>
  </si>
  <si>
    <t>E-514</t>
  </si>
  <si>
    <t>Overhead projector</t>
  </si>
  <si>
    <t>Elmo HP 8290</t>
  </si>
  <si>
    <t>E-2866</t>
  </si>
  <si>
    <t>Slide projector</t>
  </si>
  <si>
    <t>Kodak Ektagraphic III, November 12, 2008</t>
  </si>
  <si>
    <t>E-2699</t>
  </si>
  <si>
    <t>Intel Celeron, 1.8GHZ, Red Fox motherboard, July 4, 2005</t>
  </si>
  <si>
    <t>E-13-03-3417</t>
  </si>
  <si>
    <t>Set of computer,  Monitor-LCD/LED 16",  w/ Printer: Cannon, keyboard and mouse, dual processor (2013)</t>
  </si>
  <si>
    <t>E-15-01-3855</t>
  </si>
  <si>
    <t>DB Tech Opera</t>
  </si>
  <si>
    <t>DB Tech Opera 60SD January 5, 2015</t>
  </si>
  <si>
    <t>DB Opera w/ Speaker</t>
  </si>
  <si>
    <t xml:space="preserve"> 11/4/2014</t>
  </si>
  <si>
    <t>E-17-04-000205</t>
  </si>
  <si>
    <t>INDUSTRIAL SEWING MACHINE</t>
  </si>
  <si>
    <t>INDUSTRIAL SEWING MACHINE, HIGH SPEED (SINGER/CHINA) SUPPLIER - HEALTH OPTIONS , PO# 17-03-000172 DTD 04-12-17</t>
  </si>
  <si>
    <t>E-15-03-3900</t>
  </si>
  <si>
    <t>Chiller</t>
  </si>
  <si>
    <t>27 cu ft., 2 door, glass (Kolin Moddel: KSF-790, B2L) saver's Mart angeles  March 4, 2015</t>
  </si>
  <si>
    <t>E-003</t>
  </si>
  <si>
    <t>White Westinghouse 11/25/1998</t>
  </si>
  <si>
    <t>E-2981</t>
  </si>
  <si>
    <t>Panasonic, 2 door,,m 9.3cu ft.</t>
  </si>
  <si>
    <t>E-13-08-3461</t>
  </si>
  <si>
    <t>E-2050</t>
  </si>
  <si>
    <t>w/ utter, National Panasonic, Model KX-F 2581, 2000</t>
  </si>
  <si>
    <t>E-2391</t>
  </si>
  <si>
    <t>Heavy duty Olympia 18" SG-3 SN: 7412046, 2001</t>
  </si>
  <si>
    <t>E-15-04-3983</t>
  </si>
  <si>
    <t>LCD Projector</t>
  </si>
  <si>
    <t>(Infocus) (In112A) Manual optical zoom, HDMI Ready, 110-240volts, Lamp type: 200 watts, Screen size: 60" Tripod screen 152 x 152cm, bag 340 x 40mm x 280mm Supplier: American Technologies Inc.  15-01-000101</t>
  </si>
  <si>
    <t>E-2961</t>
  </si>
  <si>
    <t>Desktop computer: Mini type casing, Intel E5400 Dual Core 2.7 GHz, 2GB DDR2, 320GB HDD SATA, DVD-RW 24x writing speed, 16" LCD wide screen 1440 x 900 screen resolution w/ Printer Epson/mouse/AVR ( 5/5/2010)</t>
  </si>
  <si>
    <t>w/ CPU , monitor, keyboard &amp; mouse, March 31, 2010</t>
  </si>
  <si>
    <t>E-15-06-3992</t>
  </si>
  <si>
    <t>intel core i5-4660 ASUS H81-board 2Gb DDR3 Memory, 500GB HDD, DVD-RW Casing with PSU 20", Samsung LED Monitor, APC, WIN 8.1, Keyboard and Mouse (Rapoo). Note: NO Printer Included. Monitor SN: ))LHHYCG101363. May 20, 2015  SMARTSYS RETAILERS CORPORATION (from Catherine Chiong</t>
  </si>
  <si>
    <t>E-17-04-000244</t>
  </si>
  <si>
    <t>REFRIGERATOR</t>
  </si>
  <si>
    <t>REFRIGERATOR, AT LEAST 7CU FT. (2-DOOR) INVERTER (SAMSUNG - NO FROST) RT25FARBDUT , SUPPLIER - IMPERIAL APPLIANCE PLAZA , PO 17-04-000236  DTD 04-25-17</t>
  </si>
  <si>
    <t>E-2383</t>
  </si>
  <si>
    <t>Component</t>
  </si>
  <si>
    <t>Sony Mini component with subwoofer Model MI-IC VX88, 2000</t>
  </si>
  <si>
    <t>E-2389</t>
  </si>
  <si>
    <t>Condura, 2000</t>
  </si>
  <si>
    <t>E-16-03-4140</t>
  </si>
  <si>
    <t>E-16-08-4165 -to- -4291</t>
  </si>
  <si>
    <t>COMPUTER SETS FOR MEDIX</t>
  </si>
  <si>
    <t xml:space="preserve">127 SETS FOR DIFFERENT RECEIPIENTS </t>
  </si>
  <si>
    <t>E-15-04-3984</t>
  </si>
  <si>
    <t>(Infocus) (In112A) Manual optical zoom, HDMI Ready, 110-240volts, Lamp type: 200 watts, Screen size: 60" Tripod screen 152 x 152cm, bag 340 x 40mm x 280mm Supplier: American Technologies Inc.  15-04-000101</t>
  </si>
  <si>
    <t>E-13-03-3421</t>
  </si>
  <si>
    <t>E-14-07-3744</t>
  </si>
  <si>
    <t>Technical Specifications: - I3 Core processor (Intel Core I3,4130 , 3.4ghz (4th Generation) - Hard drive 500GB (Toshiba) - RAM, 2GB (Dolgix, DDR3) - Motherboard (Gigabyte H81 M Board) - AVR , 220 volts (Eco) ,  - Mouse , USB (Intex) - Keyboard ,  USB (Intex) - CPU Case (Ovation sheer w/ 600 w PSU)  ; - Monito LCD/LED 18-20" (20" LED Viewsonic) ; - w/ printer,continous ink (EPSON L120)  . PO# 14-047-000099 dtd 4/21/14 PRJ Computer Center</t>
  </si>
  <si>
    <t>E-15-02-3881</t>
  </si>
  <si>
    <t>E-14-08-3761</t>
  </si>
  <si>
    <t>E-15-07-4005</t>
  </si>
  <si>
    <t>E-16-02-4082 -to- E-16-02-4126</t>
  </si>
  <si>
    <t>Mechanical Bed, 2 cranks with Mattress and bed side table, DONATION - DOH, dtd. April 4, 2014</t>
  </si>
  <si>
    <t>16-01-4070</t>
  </si>
  <si>
    <t>E-14-07-3742</t>
  </si>
  <si>
    <t>E-15-02-3884</t>
  </si>
  <si>
    <t>E-14-07-3749</t>
  </si>
  <si>
    <t>E-13-08-3456</t>
  </si>
  <si>
    <t>Public Address (PA)</t>
  </si>
  <si>
    <t>PA System, 250 watts w/ maching includes 1 microphone, coat cable and speaker- July 2013</t>
  </si>
  <si>
    <t>E-15-07-4013/ E-15-07-4014/ E-15-07-4015</t>
  </si>
  <si>
    <t>E-16-01-4079A</t>
  </si>
  <si>
    <t>Queing Machine</t>
  </si>
  <si>
    <t>E-15-03-3896</t>
  </si>
  <si>
    <t>E-15-04-3971</t>
  </si>
  <si>
    <t>Brand New Samsung 40" LED TV w/ complete accessories; Wall Bracket. MEDICOTEK INC, April 21, 2015</t>
  </si>
  <si>
    <t>E-IT-17-05-000259</t>
  </si>
  <si>
    <t>COMPUTER SET, CORE i5 4460 GB H81, 1TB HDD TOSHIBA 49 DDR3 1600 TREND SONIC CASE W/ COVER PSU WIN 10 PRO 64 BIT MS OFFICE HOME AND STUDENT 2016, 19 " LED ACER S# MMT3FSS002708007353B00 , USB KEYBOARD, UPS 650VA S# 210869221170805218 , AND PRINTER EPSON L120 S# TP3K398983 , SUPPLIER - PRJ COMPUTER CENTER , PO # 17-03-000195 DTD 3-31-17</t>
  </si>
  <si>
    <t>E-3273</t>
  </si>
  <si>
    <t>Powerlogic Intel Pentium, 2012</t>
  </si>
  <si>
    <t>E-15-01-3873</t>
  </si>
  <si>
    <t>E-2367</t>
  </si>
  <si>
    <t>Olympia, November 10, 2000</t>
  </si>
  <si>
    <t>E 15-07-4028</t>
  </si>
  <si>
    <t>Intel core i5-4660, ASUS H81-board, 2 GB DDR3 memory, 500GB UDD, DVD-RW Casing with PSU 20", Samsung Led Monitor, APC, WIN 8.1, EPSON L120 Printer, Keyboard &amp; Mouse (Rapoo) Printer SN: TP3K103784, Monitor SN: 00LHHYCG100952</t>
  </si>
  <si>
    <t>E-2964</t>
  </si>
  <si>
    <t>Intel 5400 Dual Core 2.7GHz, 2G DDR2, 320GB HDD SATA, DVD-RW 24 x writing speed, 16" LCD wide screen w/ Printer Caon, Keyboard, Mouse &amp; AVR 500W, 2010</t>
  </si>
  <si>
    <t>E-2756</t>
  </si>
  <si>
    <t>Personal Intel Celeron 1.8 GHZ, Red Fox Motherboard, 128MB DDRAM, 15" Redfox CRT Color Monitor w/ keyboard, mouse, speaker and free Lexmnark Printer, March 16, 2006</t>
  </si>
  <si>
    <t>E-13-06-3437</t>
  </si>
  <si>
    <t>E-14-08-3756</t>
  </si>
  <si>
    <t xml:space="preserve"> desktop w/ ups Donation from DOH (8/2/2013)</t>
  </si>
  <si>
    <t>E-15-02-3883</t>
  </si>
  <si>
    <t>E-15-09-4046</t>
  </si>
  <si>
    <t>Inter core i5 4460 3.2Ghz 1150 Asus H81M-K/C/SI OEM, Kingston 2GB DDR3, ASUS DVD-RW OEM SATA, 'Rise 813 Red Casing, ASUS VS207T 19.5" Monitor plus 0.5" margin, 'UPS 4 socket ports (30mins power back-up) (APC BX-625CI-MS 625VA UPS), 'A4 Tech KRS 8372 USB Keyboard/Mouse, '2Gb Video card (Inno3D GT730 2Gb/128 bit), Windows 8.1 SL 64 bit English, w/ 1 year warranty on CPU, 2  years on Monitor ang 6 months on accessories, Printer S/N: TP3K159517, Monitor S/N: E4LMTF128026, UPS S/N: 3B1531X15328, Supplier- PC Square Computers, 15-08-000329, 09-10-15, 33,995.00</t>
  </si>
  <si>
    <t xml:space="preserve"> E - 13-05-3435 ,   13-05-3436</t>
  </si>
  <si>
    <t>Chiller,</t>
  </si>
  <si>
    <t>10 cubic ft., 1 door  (Haier, 10 cubic., ft., 1 door)SN: BW03N4EONOBUC17Q008,  BW03N4EONOBUC2L0022  6/4/2013</t>
  </si>
  <si>
    <t>E-2993</t>
  </si>
  <si>
    <t>Model: VS 1302SBP, Brand: Visiopn, Made in Korea, stainless, with Temperature recorder SN. EI3210J60004 (NOA dtd June 4, 2010, Public Bidding March 3, 2010- Cosmo Medical)October 2010)</t>
  </si>
  <si>
    <t>E-13-08-3455</t>
  </si>
  <si>
    <t>E-129</t>
  </si>
  <si>
    <t>Whirlpool  11/25/1998</t>
  </si>
  <si>
    <t>E-15-07-4034</t>
  </si>
  <si>
    <t>Two Door Showcase Chiller</t>
  </si>
  <si>
    <t>Two Door Showcase Chiller, Model No.: RS-S1003, SN: 15240002, Brand: Ruey Shing, Date of Delivery: 07-20-15 DONATION from Zuellig Pharma Corporation</t>
  </si>
  <si>
    <t>E-16-02-4136</t>
  </si>
  <si>
    <t>Two-Door Showcase Chiller, Model # RS-S1003, S# 15420048, Date of Delivery: 12-18-15, Note: From Zuellig Pharma Corporation under PO 15-10-000437 with provision of Refrigerator</t>
  </si>
  <si>
    <t>E-16-03-4144</t>
  </si>
  <si>
    <t>Refrigerator, Ice-lined Vaccine Refrigerator, Brand new, Model: HBC-340, Brand: Haier, DONATION - DOH, March 16, 2016</t>
  </si>
  <si>
    <t>E-13-10-3472</t>
  </si>
  <si>
    <t>Kyocera Mita Digital Copier FS-1135MFP, TK-1147 FS-1035 MFP PO# 13-07-000259 - Shopping, dated August 1, 2013</t>
  </si>
  <si>
    <t>E-2321</t>
  </si>
  <si>
    <t>Olympia, manual (from COH), May 2, 2000</t>
  </si>
  <si>
    <t>E-2644</t>
  </si>
  <si>
    <t>FO - 90 Sharp, September 4, 2003</t>
  </si>
  <si>
    <t>E-2645</t>
  </si>
  <si>
    <t>Manual, Olympia September 4, 2003</t>
  </si>
  <si>
    <t>E-3277</t>
  </si>
  <si>
    <t>w/ monitor, keyboard &amp; mouse, 2012</t>
  </si>
  <si>
    <t>E-13-04-3421A</t>
  </si>
  <si>
    <t>E-2987</t>
  </si>
  <si>
    <t>HP Compaq HP Compaq CQ 35-102TU)CQ35-102TU, Genuine Vista, Core 2 DUO 1.40 GHz 800 MHz FSB, Built-in: Wireless LAN, Webcam, Bluetooth, Wi-fi certified, 3 GB DDR3, 320 GB DDR3, 13.3" LCD, DVD RW (From Mrs. Ilagan), 2010</t>
  </si>
  <si>
    <t>E-14-06-3737</t>
  </si>
  <si>
    <t>Technical Specifications: - I3 Core processor (Intel Core I3,4130 , 3.4ghz (4th Generation) - Hard drive 500GB (Toshiba) - RAM, 2GB (Dolgix, DDR3) - Motherboard (Gigabyte H81 M Board) - AVR , 220 volts (Eco) SN:Y14020306782 ,  - Mouse , USB (Intex) - Keyboard ,  USB (Intex) - CPU Case (Ovation sheer w/ 600 w PSU) SN: VE20131204995 ; - Monito LCD/LED 18-20" (20" LED Viewsonic) SN: TSL134802724 ; - w/ printer,continous ink (EPSON L110) SN: SMQK100718 . PO# 14-047-000099 dtd 4/21/14 PRJ Computer Center (jesy)</t>
  </si>
  <si>
    <t>E-14-08-3757</t>
  </si>
  <si>
    <t xml:space="preserve"> desktop w/ ups Donation from DOH (8/2/2013) (Zandra)</t>
  </si>
  <si>
    <t>E-2777A</t>
  </si>
  <si>
    <t>CPU (Samsung), Monitor-LCD w/ mouse &amp; keyboard, 2008</t>
  </si>
  <si>
    <t>E-2748</t>
  </si>
  <si>
    <t>Intel dual core processor 2-3 GHZ (intel) Memory 2GB DDR3 (Kingston) Hard disk: 500GB (Western Digital Seagate) DVD ROM (DV DRW) Samsung (2013) (CPU condemned re-use the Property no.), 2013,</t>
  </si>
  <si>
    <t>E-13-04-3430</t>
  </si>
  <si>
    <t>CPU, dual core processor unit, intel 2.3 Ghz, Memory 2GB DDr3, Hard disk 500GB, DVD ROM (DVD RW) Mother Board (64 1WV 775, Itel, w/ monitor 16" LCD/LED, w/ keyboard and mouse, AVR 500VA w/ free Printer, Cannon iP2770 w/ CIS (2013) (From Dr. Lee)</t>
  </si>
  <si>
    <t>E-16-03-4145</t>
  </si>
  <si>
    <t>Laptop, Core i5 Processor, 4 GB Memory, DDR3, ITP/SATA, HDD, DVD-RW ROM, 15.6" LED, HDMI and VGA port available, with original installer and/or recovery CD and license of Windows 7 or 10 (Lenovo 300-i5 80Q700 AMPH), Supplier: Smartsys Retailers Corp., PO 16-03-000076, March 18, 2016</t>
  </si>
  <si>
    <t>E-14-07-3747</t>
  </si>
  <si>
    <t>E-13-03-3439</t>
  </si>
  <si>
    <t>E-15-09-4047</t>
  </si>
  <si>
    <t>Computer set, intel core i5 4460 3.2 GHz, UPS 4-sockets, Keyboard and mouse, EPSON L120 printer; Monitor SN- E4LMTF128017, Printer SN- TP3K159558, UPS SN- 3B1521X27637; PC Square, 15-08-000329, 09-10-15</t>
  </si>
  <si>
    <t xml:space="preserve">E-17-01-000023 / E-17-01-000024 / E-17-01-000025 </t>
  </si>
  <si>
    <t>COMPUTER SET, Computer set, Intel Core i5 4460 4th Gen. Gigabyte H81 Mboard 4GB DDR3 Memory pc 1600 500GB Hard Disk seagate 19" LED Monitor AOC Keyboard and mouse USB Epson L120 Microsoft Office Home and Student 2016 Win 10 650VA UPS Intex , UPS '2101869221161000782 / '2101869221161000721 / '2101869221161901084   , MONITOR ANIG71A010434 / ANIG71A008779 / KCYG91A000530 , PRINTER TP3K364586 / TP3K364653 / TP3K36458 , SUPPLIER - PRJ COMPUTER CENTER , PO 16-12-000492 , DTD 01-13-17</t>
  </si>
  <si>
    <t>E-17-01-000001</t>
  </si>
  <si>
    <t>LAPTOP</t>
  </si>
  <si>
    <t>LAPTOP, ACER ONE 10, DARK SILVER, S# H11101304E544635D87205 , ASSOCIATED CABLE, POWER SUPPLY AND ADAPTERS , ****DONATION**** DOH 01-06-17</t>
  </si>
  <si>
    <t>E-2393</t>
  </si>
  <si>
    <t>Heavy duty, Olympia 18" SG-3 SN: 74120450, 2001</t>
  </si>
  <si>
    <t>E-2749</t>
  </si>
  <si>
    <t>Manual, Olympia SN: 7664291</t>
  </si>
  <si>
    <t>E-13-03-3414- 13-03-3415</t>
  </si>
  <si>
    <t>E-2711</t>
  </si>
  <si>
    <t>Intel Celeron Red Fox motherboard, w/ monitor, keyboard &amp; mouse, November 17, 2005</t>
  </si>
  <si>
    <t>E-9916</t>
  </si>
  <si>
    <t>Processor, IMB, motherboard memory, 2GB, DDr3, Hard disk 500GB, w/ LCD 15.6" AOC monitor, keyboard &amp; mouse, June 30, 2007</t>
  </si>
  <si>
    <t>E-15-09-4049</t>
  </si>
  <si>
    <t>E-15-03-3894</t>
  </si>
  <si>
    <t>E-13-02-3399</t>
  </si>
  <si>
    <t xml:space="preserve">Desktop  Brand ACER, Model: Veriton x 46106, Country of Origin: Philippines (Donation from DOH-CO) (January 2013)           </t>
  </si>
  <si>
    <t>E-13-02-3399 - A</t>
  </si>
  <si>
    <t xml:space="preserve">                  -- Printer  (Epson LX 300+ II)</t>
  </si>
  <si>
    <t>E-13-02-3399 -B</t>
  </si>
  <si>
    <t xml:space="preserve">                 -- UPS (Infinite)</t>
  </si>
  <si>
    <t>E-14-07-3745</t>
  </si>
  <si>
    <t>E-14-10-3812</t>
  </si>
  <si>
    <t xml:space="preserve">Automated Queuing Machine </t>
  </si>
  <si>
    <t>2 unit Master Queuing Display, 1 unit Ticketing  System , 8 unit External Speaker PO # 14-03-000074 Electrobrain Enterprises 4/29/14</t>
  </si>
  <si>
    <t>E 15-07-4009</t>
  </si>
  <si>
    <t>PA Amplifier 250 watts, USB inpit, SD card reader, MP3 input, 220 watts, with matching transformer, 100 volts line, with wireless microphone dual w/ receiver, w/ 1 roll speaker wire. Success Business Machine Corporation. June 25, 2015.</t>
  </si>
  <si>
    <t>E-15-07-4008</t>
  </si>
  <si>
    <t>E-13-08-3463</t>
  </si>
  <si>
    <t>Desktop computer w/ printer Epson L110, intel dual core Monitor samsung 19" w/ mouse &amp; keyboard (PO 13-07-000257 dtd. 8/14/13) Silicon Valley</t>
  </si>
  <si>
    <t>E-13-08-3458</t>
  </si>
  <si>
    <t>1.2 cu ft 1 door (Haier) September 2013 Saver's Mart</t>
  </si>
  <si>
    <t>16-01-4065</t>
  </si>
  <si>
    <t>Generator Set</t>
  </si>
  <si>
    <t>Generator Set, Solar Power, Donor Philippine Business for Social Progress, Date 17 December 2015</t>
  </si>
  <si>
    <t>E-IT-17-02-000038</t>
  </si>
  <si>
    <t>E-16-10-4298</t>
  </si>
  <si>
    <t>COPIER MACHINE</t>
  </si>
  <si>
    <t>Copier Machine, Supplier - Phil Repro-Com Products Systems, Inc. , Date of Delivery - 13 October 2016</t>
  </si>
  <si>
    <t>E-16-12-4305</t>
  </si>
  <si>
    <t>LCD PROJECTOR, 3,200 LUMENS, 7,000 HOURS WITH 70X70 TRIPOD SCREEN SVGA RESOLUTION AND DIGITAL ZOOM (EPSON EB S31) SUPPLIER SILICON VALLEY PO 16-09-000312 DTD 10-12-16</t>
  </si>
  <si>
    <t>Administrative/Overhead services -&gt; Materials Management</t>
  </si>
  <si>
    <t>WBC TALLY COUNTER</t>
  </si>
  <si>
    <t>COUNTER</t>
  </si>
  <si>
    <t>PLASMA EXTRACTOR</t>
  </si>
  <si>
    <t>EXTRACTOR</t>
  </si>
  <si>
    <t>MORGUE REFRIGERATOR</t>
  </si>
  <si>
    <t>Ancillary services/Support services -&gt; Morgue</t>
  </si>
  <si>
    <t>ELECTRO-SURGICAL CAUTERY MACHINE</t>
  </si>
  <si>
    <t>TWO DOOR MICROBIOLOGY INCUBATOR</t>
  </si>
  <si>
    <t>INCUBATOR</t>
  </si>
  <si>
    <t>PORTABLE COLOR DOPPLER ULTRASOUND SYSTEM (FOR ER AND OR USE)</t>
  </si>
  <si>
    <t>OR LIGHT MOBILE</t>
  </si>
  <si>
    <t>ULTRASOUND MACHINE FOR PHYSICAL THERAPY</t>
  </si>
  <si>
    <t>ULTRASOUND MACHINE</t>
  </si>
  <si>
    <t>NEURO-MUSCULAR ELECTRICAL STIMULATOR (NMES)</t>
  </si>
  <si>
    <t>STIMULATOR</t>
  </si>
  <si>
    <t>Traction Machine</t>
  </si>
  <si>
    <t>Industrial Dryer</t>
  </si>
  <si>
    <t xml:space="preserve">SINUS-SCOPE, 0°, WIDE ANGLE, 4MM Ø, WORKING LENGTH 180MM, AUTOCLAVABLE WITH CASE </t>
  </si>
  <si>
    <t>SINUS-SCOPE, 30°, WIDE ANGLE, 4MM Ø, WORKING LENGTH 180MM, AUTOCLAVABLE WITH CASE</t>
  </si>
  <si>
    <t>SINUS-SCOPE, 70°, WIDE ANGLE, 4MM Ø, WORKING LENGTH 180MM, AUTOCLAVABLE WITH CASE</t>
  </si>
  <si>
    <t>SINUS-SCOPE</t>
  </si>
  <si>
    <t>RADIANT INFANT WARMER</t>
  </si>
  <si>
    <t>INFANT WARMER</t>
  </si>
  <si>
    <t>MOBILE X-RAY MACHINE (ORTHO WARD USE)</t>
  </si>
  <si>
    <t>Clinical/Medical services -&gt; Surgical Ward</t>
  </si>
  <si>
    <t>HI-VIEW LARYNGO-PHARYNGOSCOPE, 10MM Ø, 70°, WORKING LENGTH 160MM, DETACHABLE HANDLE, AUTOCLAVABLE</t>
  </si>
  <si>
    <t>ESOPHAGOSCOPE, FOR ADULT, SHORT</t>
  </si>
  <si>
    <t>ESOPHAGOSCOPE, FOR ADULT, LONG SIZE</t>
  </si>
  <si>
    <t>ESOPHAGOSCOPE, FOR PEDIATRICS, SHORT</t>
  </si>
  <si>
    <t>OPERATING LARYNGOSCOPE WITH DISTAL DILATION, LARGE, FOR ADULTS WITH CHEST SUPPORT WITH ROD, FOR USE WITH STANDARD OPERATING LARYNGOSCOPES, ROD LENGTH 340MM, RUBBER RING Ø 95MM</t>
  </si>
  <si>
    <t>OPERATING LARYNGOSCOPE WITH DISTAL DILATION, FOR CHILDREN WITH ROD, FOR CHEST SUPPORT, LENGTH 240MM</t>
  </si>
  <si>
    <t>CHEST SUPPORT WITH ROD, FOR ADULTS, FOR USE WITH STANDARD OPERATING LARYNGOSCOPES, ROD LENGTH 340MM, RUBBER RING Ø 95MM</t>
  </si>
  <si>
    <t>SINGLE-SIDE MEDICAL CHART HOLDER TROLLEY</t>
  </si>
  <si>
    <t>Hand Dynamometer (for PT use) (5632-13 Jamar Plus + Digital Hand Dynamometer)</t>
  </si>
  <si>
    <t>BALANCED SKELETAL TRACTION SET WITH THOMAS SPLINTS + PEARSON ATTACHMENTS, ADULT</t>
  </si>
  <si>
    <t>BALANCED SKELETAL TRACTION SET WITH THOMAS SPLINTS + PEARSON ATTACHMENTS, PEDIA</t>
  </si>
  <si>
    <t>SKELETAL TRACTION</t>
  </si>
  <si>
    <t>Arthroscopy Hand Instruments</t>
  </si>
  <si>
    <t>Spine Surgery Instruments</t>
  </si>
  <si>
    <t xml:space="preserve">Power Bone Drill - Battery Operated - for cannulated reaming &amp; drilling systems. </t>
  </si>
  <si>
    <t>Power Bone Oscillating Saw - Battery Operated - power saw for cutting bone procedures.</t>
  </si>
  <si>
    <t>Universal Bone Drill - Manual - Manually operated drill fore general orthopaedic procedures.</t>
  </si>
  <si>
    <t>Automatic Pneumatic Torniquet - used in Orthopaedic Operations (100 vac-240 vac 50-60 Hz + -mm Hg pressure SRT 2XT1 AL2002)</t>
  </si>
  <si>
    <t>Medical Plaster Cutting Saw - for removal of all types of castring material in orthopaedics. Specifications: Power Supply: 100 Vac - 240Vac; 50-60Hz; Input Power: 115W; Maximum Unload Output: more than 11000/ min; Swing angle: 4 degrees; noise less htah 85dB</t>
  </si>
  <si>
    <t>Automatic Pneumatic Torniquet</t>
  </si>
  <si>
    <t>Cutting Saw</t>
  </si>
  <si>
    <t xml:space="preserve">Dining table for 6, material wood, thickness: 15-25mm, surface finishing: glossy, water proof, moisture proof, impact resistant, hard wearing, color brown with corresponding sierra type chair of 6 pcs (HOPSS) </t>
  </si>
  <si>
    <t>Dining Table</t>
  </si>
  <si>
    <t>Sofa set includes 1 pc 3 seater + 2pcs 1 seater (Medicine Department)</t>
  </si>
  <si>
    <t>Sofa set</t>
  </si>
  <si>
    <t>SALA SOFA SET (L-SHAPPED, LEATHER, COLOR BLACK, PLEASE REFER TO SAMPLE PICTURE)</t>
  </si>
  <si>
    <t>STAINLESS WORKING TABLE, SMOOTH UPPER SHELF, THREE STAINLESS STEEL DRAWER 45 X 42 X 19CM, SMOOTH LOWER SHELF WITH 20CM DISTANCE FROM THE FLOO, LEVELLING ENDING LEGS, 150 X 80 X 85H CM (HUMAN MILK BANK)</t>
  </si>
  <si>
    <t>PORTABLE BLOOD SEALER BATTERY RECHARGEABLE FULL CHARGE</t>
  </si>
  <si>
    <t>TRACHEOSTOMY SET HEAVYDUTY STAINLESS STEEL (ER) ELCON BRAND/GERMANY</t>
  </si>
  <si>
    <t>INFUSION PUMP (INTERNAL MEDICINE) MODEL:LF600, TERUMO/JAPAN</t>
  </si>
  <si>
    <t>PATIENT MECHANICAL BED (NURSING) BRAND: PUKANG/CHINA MODEL: B28-I-L PATIENT MECHANICAL BED</t>
  </si>
  <si>
    <t>SEROLOGICAL CENTRIFUGE BRAND:HUNAN LABWE/CHINA A. MAX</t>
  </si>
  <si>
    <t>TUBE SEALER BRAND: HUNAN LABWE/CHINA A. TUBE SEALER B.</t>
  </si>
  <si>
    <t>LAPAROSCOPY TOWER, LAPAROSCOPY INSTRUMENT</t>
  </si>
  <si>
    <t>Blood Sealer</t>
  </si>
  <si>
    <t>Centrifuge Brand</t>
  </si>
  <si>
    <t>Sealer Brand</t>
  </si>
  <si>
    <t>Tower, Laparoscopy</t>
  </si>
  <si>
    <t>Tracheostomy</t>
  </si>
  <si>
    <t>BED</t>
  </si>
  <si>
    <t>FIVE HEADER MICROSCOPE WITH CAMERA BRAND NEW LABORATORY MICROSCOPE (LABORATORY) BRAND: OLYMPUS</t>
  </si>
  <si>
    <t>ELECTROSURGICAL CAUTERY MACHINE BRAND: ZEUS 300 COUNTRY OF ORIGIN: KOREA - HEAVY DUTY - 300W</t>
  </si>
  <si>
    <t>ENT CHAIR (ENT) FUKE/CHINA</t>
  </si>
  <si>
    <t>ENT TREATMENT UNIT (ENT) INNOTECH/KOREA</t>
  </si>
  <si>
    <t>PORTABLE ANESTHESIA MACHINE (HEMS) BRAND: ROYAL MEDICAL/KOREA</t>
  </si>
  <si>
    <t>PORTABLE VENTILATOR WITH STAND (HEMS) BRAND: HEINEN</t>
  </si>
  <si>
    <t xml:space="preserve">Dual head ceiling mounted LED OR lights,  ceiling mounted dual head 160,000 LUX + 130,000 LUX light intensity  </t>
  </si>
  <si>
    <t>TISSUE EMBEDDING SYSTEM (LABORATORY)</t>
  </si>
  <si>
    <t>SUCTION MACHINE (INTERNAL MEDICINE) - SUCTION MACHINE</t>
  </si>
  <si>
    <t>ECG MACHINE BRAND: 3RAYS ECG MACHINE:COUNTRY OF ORIGIN: CHINA</t>
  </si>
  <si>
    <t>BIOLOGICAL SAFETY CABINET CLASS III (Nursing)</t>
  </si>
  <si>
    <t>AUTOMATED BLOOD MIXER WITH WEIGHING SCALE FRESENIUS KABI COMPOGUARD BASIC/GERMANY</t>
  </si>
  <si>
    <t>BLOOD BAG WELDER COMPODOCK/GERMANY MANUFACTURER: FRESENIUS KABI</t>
  </si>
  <si>
    <t>BLOOD DONORS BED/CHAIR - COMPOCOUCH SALSA/GERMANY - MANUFACTURER: FRESENIUS</t>
  </si>
  <si>
    <t>LABORATORY INFORMATION SYSTEM (Laboratory)</t>
  </si>
  <si>
    <t>OB GYNE SURGICAL INSTRUMENTS (TAHBSO/ HYSTERECTOMY)</t>
  </si>
  <si>
    <t>ENT CHAIR</t>
  </si>
  <si>
    <t>ENT TREATMENT UNIT</t>
  </si>
  <si>
    <t>PORTABLE ANESTHESIA MACHINE</t>
  </si>
  <si>
    <t>PORTABLE VENTILATOR WITH STAND</t>
  </si>
  <si>
    <t>Dual head</t>
  </si>
  <si>
    <t>TISSUE EMBEDDING SYSTEM</t>
  </si>
  <si>
    <t>BIOLOGICAL SAFETY CABINET CLASS III</t>
  </si>
  <si>
    <t>AUTOMATED BLOOD</t>
  </si>
  <si>
    <t>BLOOD BAG</t>
  </si>
  <si>
    <t>BLOOD DONORS</t>
  </si>
  <si>
    <t>LABORATORY INFORMATION SYSTEM</t>
  </si>
  <si>
    <t>OB GYNE SURGICAL INSTRUMENTS</t>
  </si>
  <si>
    <t>PHOTODISRUPTION LASER SYSTEM WITH AVR, MOTORIZED STAND</t>
  </si>
  <si>
    <t>SLIT LAMP WITH DIGITAL CAMERA, AVR, MOTORIZED STAND</t>
  </si>
  <si>
    <t>BASIC SLIT LAMP WITH AVR, MOTORIZED STAND</t>
  </si>
  <si>
    <t>APPLANATION TONOMETER SWING TYPE</t>
  </si>
  <si>
    <t>PORTABLE BIOMETRY A SCAN WITH AVR</t>
  </si>
  <si>
    <t>Biphasic Defibrillator with ECG (Internal Medicine)</t>
  </si>
  <si>
    <t>Cardiac Monitor with Pulse Oximeter  (Internal Medicine)</t>
  </si>
  <si>
    <t>MULTIFUNCTIONAL OPERATING TABLE</t>
  </si>
  <si>
    <t>PEDIA PATIENT VENTILATOR</t>
  </si>
  <si>
    <t>PHOTODISRUPTION LASER</t>
  </si>
  <si>
    <t>BASIC SLIT</t>
  </si>
  <si>
    <t>APPLANATION TONOMETER</t>
  </si>
  <si>
    <t>PORTABLE BIOMETRY</t>
  </si>
  <si>
    <t>Biphasic Defibrillator</t>
  </si>
  <si>
    <t>Cardiac Monitor</t>
  </si>
  <si>
    <t>MULTIFUNCTIONAL OPERATING</t>
  </si>
  <si>
    <t>PEDIA PATIENT</t>
  </si>
  <si>
    <t>DIAGNOSTIC SET (ER) BRAND:KAWE MEDCENTER 5000/GERMANY</t>
  </si>
  <si>
    <t>LARYNGOSCOPE BRAND: ZARYAB COUNTRY OF ORIGIN: PAKISTAN</t>
  </si>
  <si>
    <t>TYMPANOMETER (ENT) BRAND:MAICO EASY TYMP/ GEMANY - TYMPANOMETERS - TECHNICAL</t>
  </si>
  <si>
    <t>AUDIOMETER (ENT) BRAND: MAICO AUDIOMETER MA HI/GERMANY - AUDIOMETER</t>
  </si>
  <si>
    <t>ACOUSTIC BOOTH (ENT)</t>
  </si>
  <si>
    <t>SURGICAL MICROSCOPE (ENT)</t>
  </si>
  <si>
    <t>INDIRECT OPHTHALMOSCOPE WITH 20 D ASPHERIC LENS</t>
  </si>
  <si>
    <t>PORTABLE AUTOKERATOMETER WITH REFRACTOMER</t>
  </si>
  <si>
    <t>PORTABLE REBOUND TONOMETER WITH 1 BOX PROBE</t>
  </si>
  <si>
    <t>DIAGNOSTIC SET</t>
  </si>
  <si>
    <t>LARYNGOSCOPE</t>
  </si>
  <si>
    <t>TYMPANOMETER</t>
  </si>
  <si>
    <t>AUDIOMETER</t>
  </si>
  <si>
    <t>ACOUSTIC</t>
  </si>
  <si>
    <t>AUTOKERATOMETER</t>
  </si>
  <si>
    <t>AIRCON 1.5 TONER WALL MOUNTED WITH ALL WEATHER CIRCUIT BREAKER, FOR CONDENSER AND COPPER TUBE AND RUBBER INSULATION FOR INSTALLATION (FOR EENT) (KOPPEL KSW-12R5CA KPC 12HH5CA (1.5 HP)</t>
  </si>
  <si>
    <t>AIRCON 2.0 TONER WALL MOUNTED WITH ALL WEATHER CIRCUIT BREAKER, FOR CONDENSER AND COPPER TUBE AND RUBBER INSULATION FOR INSTALLATION (FOR EENT &amp; OPD) (KOPPEL KSW - 18R5CA KPC - 18HH5CA)</t>
  </si>
  <si>
    <t>AIRCON 3.0 TONER WITH ALL WEATHER CIRCUIT BREAKER, FOR CONDENSER AND COPPER TUBE AND RUBBER INSULATION FOR INSTALLATION (FOR RADIOLOGY) (KFM-36E2 KPC - 36IH2)</t>
  </si>
  <si>
    <t>STEEL LOCKER, WITH VENTILATION HOLES, 6 SHELVES, WITH SHOE COMPARTMENT, HANGER PER SHELF, KEY LOCK MECHANISM, DIMENSIONS L900MM X W450MM X H1850MM (OB-DOCTOR)</t>
  </si>
  <si>
    <t>AIR COOLER (HEAVY DUTY) (PLEASE SEE PICTURE SAMPLE) (OPD DEPT) (IWATA)</t>
  </si>
  <si>
    <t>AIRCON</t>
  </si>
  <si>
    <t>LOCKER</t>
  </si>
  <si>
    <t>COLPOSCOPE WITH STEREOSCOPIC CONTINUOUS ZOOM MAGNIFICATION FOR THE CERVICAL CANCER DIAGNOSIS WITH LAPTOP</t>
  </si>
  <si>
    <t>BM-86-B2 BLOOD COLLECTING CHAIR, DOUBLE (FOR LABORATORY SECTION USE),</t>
  </si>
  <si>
    <t>DENTAL CHAIR (SIGER U100)</t>
  </si>
  <si>
    <t>SINGLE OPERATING ROOM LIGHT CEILING MOUNTED (OB GYNE)</t>
  </si>
  <si>
    <t>ANESTHESIA MACHINE (Anesthesia)</t>
  </si>
  <si>
    <t>COLPOSCOPE</t>
  </si>
  <si>
    <t>BLOOD COLLECTING</t>
  </si>
  <si>
    <t>CHAIR</t>
  </si>
  <si>
    <t>OPERATING LIGHT</t>
  </si>
  <si>
    <t>RECTANGULAR WOOD DINING TABLE 8 SEATER, STURDY AND HEAVY DUTY, TABLE DIMENSION: L 78.74" X W 39.4" X H 29.25", CHAIR DIMENSION: L 17.52" X W 16.93" X H 39.34" (FOR PEDIA DEPARTMENT) (HAVANA STYLE 8 SEATER DINING TABLE)</t>
  </si>
  <si>
    <t>ELEVATOR-PERIOSTEAL CUSHING, 7-1/2" (RUGGLES AND REDMOND/INTEGRA)</t>
  </si>
  <si>
    <t>SILICONE RETRACTOR, MEDIUM (RUGGLES AND REDMOND</t>
  </si>
  <si>
    <t>SILICONE RETRACTOR, LARGE (RUGGLES AND REDMOND/INTEGRA)</t>
  </si>
  <si>
    <t>LEKSELL RONGEUR 8MM REGULAR CURVED (RUGGLES AND REDMOND/INTEGRA</t>
  </si>
  <si>
    <t>STILLE-LUER RONGEUR DUCKBILL (RUGGLES AND REDMOND/INTEGRA)</t>
  </si>
  <si>
    <t>RETRACTOR-CEREBELLAR, ADSON, 7 1/2", ANGLED, BL (RUGGLES AND REDMOND/INTEGRA)</t>
  </si>
  <si>
    <t>ULTRA-COAT KERISON MICRO 40D UP 9" 3MM (RUGGLES AND REDMOND/INTEGRA)</t>
  </si>
  <si>
    <t>ULTRA-COAT KERRISON MICRO 40D UP 9" 6MM (RUGGLES AND REDMOND/INTEGRA)</t>
  </si>
  <si>
    <t>LARYNGOSCOPE - SET</t>
  </si>
  <si>
    <t xml:space="preserve">ELEVATOR-PERIOSTEAL CUSHING, 7-1/2" </t>
  </si>
  <si>
    <t>SILICONE RETRACTOR, MEDIUM</t>
  </si>
  <si>
    <t>SILICONE RETRACTOR, LARGE</t>
  </si>
  <si>
    <t>LEKSELL RONGEUR 8MM REGULAR</t>
  </si>
  <si>
    <t>STILLE-LUER RONGEUR DUCKBILL</t>
  </si>
  <si>
    <t xml:space="preserve">RETRACTOR-CEREBELLAR, ADSON, 7 1/2", ANGLED, BL </t>
  </si>
  <si>
    <t>ULTRA-COAT KERISON MICRO 40D UP 9" 3MM</t>
  </si>
  <si>
    <t>ULTRA-COAT KERRISON MICRO 40D UP 9" 6MM</t>
  </si>
  <si>
    <t>TRANSPORT STRETCHER BRAND: PUKANG COUNTRY OF ORIGIN: CHINA -  HYDRAULIC - WITH REMOVABLE IV POLE (2 PCS) WITH 2 HOOKS/POLE -  HEIGHT: APPROXIMATELY 25” -  WIDTH: APPROXIMATELY 27.5” -  LENGTH: APPROXIMATELY 78” -  MANUAL OPERATION, IT GOES UP AND DOWN -  HI-LOW: 570~860MM -  CENTRAL LOCKING SYSTEM - WITH 4” FOAM MATTRESS (LEATHERETTE COVER) - STAINLESS STANDARD REQUIREMENTS: 1.</t>
  </si>
  <si>
    <t>MECHANICAL VENTILATOR BRAND: MINDRAY COUNTRY OF ORIGIN: CHINA TECHNICAL</t>
  </si>
  <si>
    <t>VENTILATOR</t>
  </si>
  <si>
    <t>LARYNGOSCOPE FOR NEONATE (TRUPHATEK)</t>
  </si>
  <si>
    <t>A3 PRINTER SPECIFICATION PRINT METHOD: ON-DEMAND INKJET NUMBER OF TRAY: 1 STANDARD OF PAPER INPUT CAPACITY: UP TO 100 SHEETS</t>
  </si>
  <si>
    <t>A3 PRINTER SPECIFICATION PRINT</t>
  </si>
  <si>
    <t>PATIENT MECHANICAL BED (NURSING) BRAND: PUKANG/CHINA MODEL: B28-I-L PATIENT MECHANICAL BED, HEAVY DUTY WITH SIDE RAILS AND STRAIGHT 4 INCHES FOAM MATTRESS (DURABILITY OF MATTRESS MUST LAST FOR 5 YEARS) WITH LEATHERETTE COVER, CAPABLE OF MANUAL ELEVATION OF THE HEAD AND FOOT PART OF THE BED, USER''S MANUAL IN ENGLISH LANGUAGE, ONE YEAR WARRANTY ON PARTS AND TWO YEARS WARRANTY ON SERVICE AFTER TESTING, INSPECTION AND ACCEPTANCE</t>
  </si>
  <si>
    <t>PORTABLE GENERATOR WITH AT LEAST VOLTAGE OF 220 VOLTS, FREQUENCY OF 60HZ RATED AND OUTPUT 5500 WATTS (5.5KVA), POWDER FACTOR 1, SINGLE PHASE</t>
  </si>
  <si>
    <t>GENERATOR</t>
  </si>
  <si>
    <t>E 17-10-000566</t>
  </si>
  <si>
    <t>E 17-10-000567</t>
  </si>
  <si>
    <t>E 17-10-000568</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</si>
</sst>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00_-;\-* #,##0.00_-;_-* &quot;-&quot;??_-;_-@_-"/>
    <numFmt numFmtId="165" formatCode="#,##0.00;[Red]#,##0.00"/>
  </numFmts>
  <fonts count="26"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sz val="8"/>
      <color rgb="FF008000"/>
      <name val="Calibri"/>
      <family val="2"/>
    </font>
    <font>
      <sz val="8"/>
      <color rgb="FF800000"/>
      <name val="Calibri"/>
      <family val="2"/>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10"/>
      <name val="Arial"/>
      <family val="2"/>
    </font>
    <font>
      <sz val="9"/>
      <name val="Calibri"/>
      <family val="2"/>
      <scheme val="minor"/>
    </font>
    <font>
      <sz val="8"/>
      <name val="Arial"/>
      <family val="2"/>
    </font>
    <font>
      <sz val="9"/>
      <color theme="1"/>
      <name val="Calibri"/>
      <family val="2"/>
      <scheme val="minor"/>
    </font>
    <font>
      <b/>
      <sz val="9"/>
      <color indexed="8"/>
      <name val="Calibri"/>
      <family val="2"/>
      <scheme val="minor"/>
    </font>
    <font>
      <b/>
      <sz val="9"/>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4" fillId="0" borderId="0"/>
    <xf numFmtId="164" fontId="11" fillId="0" borderId="0" applyFont="0" applyFill="0" applyBorder="0" applyAlignment="0" applyProtection="0"/>
    <xf numFmtId="43" fontId="20" fillId="0" borderId="0" applyFont="0" applyFill="0" applyBorder="0" applyAlignment="0" applyProtection="0"/>
  </cellStyleXfs>
  <cellXfs count="156">
    <xf numFmtId="0" fontId="0" fillId="0" borderId="0" xfId="0"/>
    <xf numFmtId="0" fontId="2" fillId="0" borderId="0" xfId="0" applyFont="1"/>
    <xf numFmtId="0" fontId="2" fillId="0" borderId="0" xfId="0" applyFont="1" applyAlignment="1"/>
    <xf numFmtId="0" fontId="2" fillId="0" borderId="0" xfId="0" applyFont="1" applyAlignment="1">
      <alignment horizontal="left"/>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5" fillId="2" borderId="1" xfId="0" applyFont="1" applyFill="1" applyBorder="1" applyAlignment="1">
      <alignment horizontal="center" vertical="center" wrapText="1"/>
    </xf>
    <xf numFmtId="14" fontId="15" fillId="2" borderId="1" xfId="0" applyNumberFormat="1" applyFont="1" applyFill="1" applyBorder="1" applyAlignment="1">
      <alignment horizontal="center" vertical="center" wrapText="1"/>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9" fillId="0" borderId="1" xfId="0" applyFont="1" applyBorder="1" applyAlignment="1" applyProtection="1">
      <alignment horizontal="center" vertical="center"/>
      <protection locked="0"/>
    </xf>
    <xf numFmtId="0" fontId="3" fillId="0" borderId="0" xfId="0" applyFont="1"/>
    <xf numFmtId="0" fontId="1" fillId="3" borderId="0" xfId="0" applyFont="1" applyFill="1"/>
    <xf numFmtId="0" fontId="3" fillId="3" borderId="0" xfId="0" applyFont="1" applyFill="1"/>
    <xf numFmtId="0" fontId="3" fillId="0" borderId="0" xfId="0" applyFont="1" applyProtection="1"/>
    <xf numFmtId="0" fontId="21" fillId="0" borderId="1" xfId="1" applyFont="1" applyFill="1" applyBorder="1" applyAlignment="1">
      <alignment horizontal="left" vertical="center" wrapText="1"/>
    </xf>
    <xf numFmtId="49" fontId="21" fillId="0" borderId="1" xfId="0" applyNumberFormat="1" applyFont="1" applyFill="1" applyBorder="1" applyAlignment="1">
      <alignment horizontal="left" vertical="center" wrapText="1"/>
    </xf>
    <xf numFmtId="0" fontId="21" fillId="0" borderId="1" xfId="0" applyFont="1" applyFill="1" applyBorder="1" applyAlignment="1">
      <alignment horizontal="left" vertical="center" wrapText="1"/>
    </xf>
    <xf numFmtId="0" fontId="22" fillId="0" borderId="1" xfId="1" applyFont="1" applyFill="1" applyBorder="1" applyAlignment="1">
      <alignment horizontal="left" vertical="center" wrapText="1"/>
    </xf>
    <xf numFmtId="49" fontId="22" fillId="0" borderId="1" xfId="0" applyNumberFormat="1" applyFont="1" applyFill="1" applyBorder="1" applyAlignment="1">
      <alignment horizontal="left" vertical="center" wrapText="1"/>
    </xf>
    <xf numFmtId="0" fontId="22" fillId="0" borderId="1" xfId="0" applyFont="1" applyFill="1" applyBorder="1" applyAlignment="1">
      <alignment horizontal="left" vertical="center" wrapText="1"/>
    </xf>
    <xf numFmtId="0" fontId="23" fillId="0" borderId="1" xfId="0" applyFont="1" applyBorder="1" applyAlignment="1">
      <alignment vertical="center"/>
    </xf>
    <xf numFmtId="0" fontId="3" fillId="0" borderId="0" xfId="0" applyFont="1" applyAlignment="1" applyProtection="1">
      <alignment wrapText="1"/>
    </xf>
    <xf numFmtId="14" fontId="2" fillId="0" borderId="0" xfId="0" applyNumberFormat="1" applyFont="1" applyAlignment="1">
      <alignment horizontal="center" wrapText="1"/>
    </xf>
    <xf numFmtId="0" fontId="2" fillId="0" borderId="0" xfId="0" applyFont="1" applyAlignment="1">
      <alignment wrapText="1"/>
    </xf>
    <xf numFmtId="0" fontId="21" fillId="0" borderId="1" xfId="1" applyFont="1" applyFill="1" applyBorder="1" applyAlignment="1">
      <alignment horizontal="center" vertical="center"/>
    </xf>
    <xf numFmtId="164" fontId="21" fillId="0" borderId="1" xfId="2" applyFont="1" applyFill="1" applyBorder="1" applyAlignment="1">
      <alignment horizontal="center" vertical="center" wrapText="1"/>
    </xf>
    <xf numFmtId="0" fontId="21" fillId="0" borderId="1" xfId="1" applyFont="1" applyFill="1" applyBorder="1" applyAlignment="1">
      <alignment horizontal="center" vertical="center" wrapText="1"/>
    </xf>
    <xf numFmtId="164" fontId="21" fillId="0" borderId="1" xfId="2" applyFont="1" applyFill="1" applyBorder="1" applyAlignment="1">
      <alignment vertical="center" wrapText="1"/>
    </xf>
    <xf numFmtId="0" fontId="21" fillId="0" borderId="1" xfId="0" applyFont="1" applyFill="1" applyBorder="1" applyAlignment="1">
      <alignment horizontal="center" vertical="center" wrapText="1"/>
    </xf>
    <xf numFmtId="0" fontId="21" fillId="0" borderId="1" xfId="0" applyFont="1" applyFill="1" applyBorder="1" applyAlignment="1">
      <alignment vertical="center" wrapText="1"/>
    </xf>
    <xf numFmtId="4" fontId="21" fillId="0" borderId="1" xfId="0" applyNumberFormat="1" applyFont="1" applyFill="1" applyBorder="1" applyAlignment="1">
      <alignment horizontal="center" vertical="center" wrapText="1"/>
    </xf>
    <xf numFmtId="43" fontId="23" fillId="0" borderId="1" xfId="0" applyNumberFormat="1" applyFont="1" applyBorder="1" applyAlignment="1">
      <alignment vertical="center" wrapText="1"/>
    </xf>
    <xf numFmtId="0" fontId="2" fillId="0" borderId="1" xfId="0" applyFont="1" applyBorder="1" applyAlignment="1">
      <alignment horizontal="center" vertical="center" wrapText="1"/>
    </xf>
    <xf numFmtId="0" fontId="16" fillId="0" borderId="1" xfId="0" applyFont="1" applyBorder="1" applyAlignment="1" applyProtection="1">
      <alignment horizontal="center" vertical="center" wrapText="1"/>
      <protection locked="0"/>
    </xf>
    <xf numFmtId="43" fontId="23" fillId="0" borderId="1" xfId="0" applyNumberFormat="1" applyFont="1" applyBorder="1" applyAlignment="1">
      <alignment horizontal="center" vertical="center" wrapText="1"/>
    </xf>
    <xf numFmtId="0" fontId="2" fillId="0" borderId="0" xfId="0" applyFont="1" applyAlignment="1">
      <alignment horizontal="center" vertical="center" wrapText="1"/>
    </xf>
    <xf numFmtId="0" fontId="16" fillId="0" borderId="1" xfId="0" applyFont="1" applyBorder="1" applyAlignment="1" applyProtection="1">
      <alignment horizontal="left" vertical="center" wrapText="1"/>
      <protection locked="0"/>
    </xf>
    <xf numFmtId="14" fontId="2" fillId="0" borderId="0" xfId="0" applyNumberFormat="1" applyFont="1" applyAlignment="1">
      <alignment horizontal="left" wrapText="1"/>
    </xf>
    <xf numFmtId="0" fontId="21" fillId="0" borderId="1" xfId="1" applyFont="1" applyFill="1" applyBorder="1" applyAlignment="1">
      <alignment vertical="center" wrapText="1"/>
    </xf>
    <xf numFmtId="49" fontId="21" fillId="0" borderId="1" xfId="0" applyNumberFormat="1" applyFont="1" applyFill="1" applyBorder="1" applyAlignment="1">
      <alignment vertical="center" wrapText="1"/>
    </xf>
    <xf numFmtId="14" fontId="21" fillId="0" borderId="1" xfId="0" applyNumberFormat="1" applyFont="1" applyFill="1" applyBorder="1" applyAlignment="1">
      <alignment horizontal="left" vertical="center" wrapText="1"/>
    </xf>
    <xf numFmtId="0" fontId="21" fillId="0" borderId="1" xfId="1" quotePrefix="1" applyFont="1" applyFill="1" applyBorder="1" applyAlignment="1">
      <alignment vertical="center" wrapText="1"/>
    </xf>
    <xf numFmtId="0" fontId="21" fillId="0" borderId="1" xfId="1" quotePrefix="1" applyFont="1" applyFill="1" applyBorder="1" applyAlignment="1">
      <alignment horizontal="left" vertical="center" wrapText="1"/>
    </xf>
    <xf numFmtId="15" fontId="21" fillId="0" borderId="1" xfId="1" quotePrefix="1" applyNumberFormat="1" applyFont="1" applyFill="1" applyBorder="1" applyAlignment="1">
      <alignment horizontal="left" vertical="center" wrapText="1"/>
    </xf>
    <xf numFmtId="0" fontId="16" fillId="0" borderId="1" xfId="0" applyFont="1" applyBorder="1" applyAlignment="1" applyProtection="1">
      <alignment vertical="center" wrapText="1"/>
      <protection locked="0"/>
    </xf>
    <xf numFmtId="0" fontId="2" fillId="0" borderId="0" xfId="0" applyFont="1" applyAlignment="1">
      <alignment vertical="center" wrapText="1"/>
    </xf>
    <xf numFmtId="164" fontId="21" fillId="0" borderId="1" xfId="2" applyFont="1" applyFill="1" applyBorder="1" applyAlignment="1">
      <alignment horizontal="right" vertical="center" wrapText="1"/>
    </xf>
    <xf numFmtId="165" fontId="21" fillId="0" borderId="1" xfId="0" applyNumberFormat="1" applyFont="1" applyFill="1" applyBorder="1" applyAlignment="1">
      <alignment horizontal="right" vertical="center" wrapText="1"/>
    </xf>
    <xf numFmtId="4" fontId="21" fillId="0" borderId="1" xfId="0" applyNumberFormat="1" applyFont="1" applyFill="1" applyBorder="1" applyAlignment="1">
      <alignment horizontal="right" vertical="center" wrapText="1"/>
    </xf>
    <xf numFmtId="0" fontId="21" fillId="0" borderId="1" xfId="1" applyFont="1" applyFill="1" applyBorder="1" applyAlignment="1">
      <alignment horizontal="left" vertical="center"/>
    </xf>
    <xf numFmtId="0" fontId="23" fillId="0" borderId="1" xfId="0" applyFont="1" applyBorder="1" applyAlignment="1">
      <alignment vertical="center" wrapText="1"/>
    </xf>
    <xf numFmtId="49" fontId="21" fillId="0" borderId="1" xfId="0" applyNumberFormat="1" applyFont="1" applyFill="1" applyBorder="1" applyAlignment="1">
      <alignment vertical="center"/>
    </xf>
    <xf numFmtId="43" fontId="23" fillId="0" borderId="1" xfId="0" applyNumberFormat="1" applyFont="1" applyBorder="1" applyAlignment="1">
      <alignment horizontal="right" vertical="center"/>
    </xf>
    <xf numFmtId="164" fontId="21" fillId="0" borderId="1" xfId="2" applyFont="1" applyFill="1" applyBorder="1" applyAlignment="1">
      <alignment horizontal="right" vertical="center"/>
    </xf>
    <xf numFmtId="0" fontId="21" fillId="0" borderId="1" xfId="0" applyFont="1" applyFill="1" applyBorder="1" applyAlignment="1">
      <alignment horizontal="center" vertical="center"/>
    </xf>
    <xf numFmtId="39" fontId="21" fillId="0" borderId="1" xfId="0" applyNumberFormat="1" applyFont="1" applyFill="1" applyBorder="1" applyAlignment="1">
      <alignment horizontal="right" vertical="center"/>
    </xf>
    <xf numFmtId="165" fontId="21" fillId="0" borderId="1" xfId="2" applyNumberFormat="1" applyFont="1" applyFill="1" applyBorder="1" applyAlignment="1">
      <alignment horizontal="right" vertical="center"/>
    </xf>
    <xf numFmtId="0" fontId="23" fillId="0" borderId="1" xfId="0" applyFont="1" applyBorder="1" applyAlignment="1">
      <alignment horizontal="center" vertical="center"/>
    </xf>
    <xf numFmtId="165" fontId="21" fillId="0" borderId="1" xfId="2" applyNumberFormat="1" applyFont="1" applyFill="1" applyBorder="1" applyAlignment="1">
      <alignment horizontal="right" vertical="center" wrapText="1"/>
    </xf>
    <xf numFmtId="0" fontId="21" fillId="0" borderId="1" xfId="3" applyNumberFormat="1" applyFont="1" applyFill="1" applyBorder="1" applyAlignment="1">
      <alignment horizontal="center" vertical="center"/>
    </xf>
    <xf numFmtId="0" fontId="21" fillId="0" borderId="23" xfId="1" applyFont="1" applyFill="1" applyBorder="1" applyAlignment="1">
      <alignment horizontal="center" vertical="center" wrapText="1"/>
    </xf>
    <xf numFmtId="164" fontId="21" fillId="0" borderId="23" xfId="2" applyFont="1" applyFill="1" applyBorder="1" applyAlignment="1">
      <alignment horizontal="right" vertical="center" wrapText="1"/>
    </xf>
    <xf numFmtId="43" fontId="23" fillId="0" borderId="23" xfId="0" applyNumberFormat="1" applyFont="1" applyBorder="1" applyAlignment="1">
      <alignment horizontal="right" vertical="center"/>
    </xf>
    <xf numFmtId="0" fontId="1" fillId="3" borderId="0" xfId="0" applyFont="1" applyFill="1" applyAlignment="1">
      <alignment vertical="center"/>
    </xf>
    <xf numFmtId="0" fontId="3" fillId="3" borderId="0" xfId="0" applyFont="1" applyFill="1" applyAlignment="1">
      <alignment vertical="center"/>
    </xf>
    <xf numFmtId="0" fontId="3" fillId="0" borderId="0" xfId="0" applyFont="1" applyAlignment="1" applyProtection="1">
      <alignment vertical="center"/>
    </xf>
    <xf numFmtId="0" fontId="3" fillId="0" borderId="0" xfId="0" applyFont="1" applyAlignment="1" applyProtection="1">
      <alignment vertical="center" wrapText="1"/>
    </xf>
    <xf numFmtId="0" fontId="3" fillId="0" borderId="0" xfId="0" applyFont="1" applyAlignment="1">
      <alignment vertical="center"/>
    </xf>
    <xf numFmtId="0" fontId="2" fillId="0" borderId="0" xfId="0" applyFont="1" applyAlignment="1">
      <alignment vertical="center"/>
    </xf>
    <xf numFmtId="14" fontId="2" fillId="0" borderId="0" xfId="0" applyNumberFormat="1" applyFont="1" applyAlignment="1">
      <alignment horizontal="center" vertical="center" wrapText="1"/>
    </xf>
    <xf numFmtId="0" fontId="2" fillId="2" borderId="16" xfId="0" applyFont="1" applyFill="1" applyBorder="1" applyAlignment="1">
      <alignment vertical="center"/>
    </xf>
    <xf numFmtId="0" fontId="2" fillId="2" borderId="17" xfId="0" applyFont="1" applyFill="1" applyBorder="1" applyAlignment="1">
      <alignment vertical="center"/>
    </xf>
    <xf numFmtId="0" fontId="1" fillId="2" borderId="18" xfId="0" applyFont="1" applyFill="1" applyBorder="1" applyAlignment="1">
      <alignment vertical="center"/>
    </xf>
    <xf numFmtId="0" fontId="2" fillId="2" borderId="19" xfId="0" applyFont="1" applyFill="1" applyBorder="1" applyAlignment="1">
      <alignment vertical="center"/>
    </xf>
    <xf numFmtId="0" fontId="2" fillId="2" borderId="0" xfId="0" applyFont="1" applyFill="1" applyBorder="1" applyAlignment="1">
      <alignment vertical="center"/>
    </xf>
    <xf numFmtId="0" fontId="2" fillId="2" borderId="20" xfId="0" applyFont="1" applyFill="1" applyBorder="1" applyAlignment="1">
      <alignment vertical="center"/>
    </xf>
    <xf numFmtId="0" fontId="2" fillId="2" borderId="21" xfId="0" applyFont="1" applyFill="1" applyBorder="1" applyAlignment="1">
      <alignment vertical="center"/>
    </xf>
    <xf numFmtId="0" fontId="2" fillId="2" borderId="2" xfId="0" applyFont="1" applyFill="1" applyBorder="1" applyAlignment="1">
      <alignment vertical="center"/>
    </xf>
    <xf numFmtId="0" fontId="2" fillId="2" borderId="22" xfId="0" applyFont="1" applyFill="1" applyBorder="1" applyAlignment="1">
      <alignment vertical="center"/>
    </xf>
    <xf numFmtId="0" fontId="2" fillId="0" borderId="1" xfId="0" applyFont="1" applyBorder="1" applyAlignment="1">
      <alignment vertical="center"/>
    </xf>
    <xf numFmtId="0" fontId="16" fillId="0" borderId="1" xfId="0" applyFont="1" applyBorder="1" applyAlignment="1" applyProtection="1">
      <alignment vertical="center"/>
      <protection locked="0"/>
    </xf>
    <xf numFmtId="0" fontId="16" fillId="0" borderId="23" xfId="0" applyFont="1" applyBorder="1" applyAlignment="1" applyProtection="1">
      <alignment vertical="center"/>
      <protection locked="0"/>
    </xf>
    <xf numFmtId="0" fontId="2" fillId="0" borderId="0" xfId="0" applyFont="1" applyBorder="1" applyAlignment="1">
      <alignment vertical="center"/>
    </xf>
    <xf numFmtId="0" fontId="23" fillId="0" borderId="23" xfId="0" applyFont="1" applyBorder="1" applyAlignment="1">
      <alignment vertical="center"/>
    </xf>
    <xf numFmtId="0" fontId="23" fillId="0" borderId="23" xfId="0" applyFont="1" applyBorder="1" applyAlignment="1">
      <alignment vertical="center" wrapText="1"/>
    </xf>
    <xf numFmtId="0" fontId="23" fillId="0" borderId="23" xfId="0" applyFont="1" applyBorder="1" applyAlignment="1">
      <alignment horizontal="center" vertical="center"/>
    </xf>
    <xf numFmtId="43" fontId="2" fillId="0" borderId="0" xfId="0" applyNumberFormat="1" applyFont="1" applyAlignment="1">
      <alignment vertical="center"/>
    </xf>
    <xf numFmtId="0" fontId="2" fillId="0" borderId="1" xfId="0" applyFont="1" applyFill="1" applyBorder="1"/>
    <xf numFmtId="0" fontId="16" fillId="0" borderId="1" xfId="0" applyFont="1" applyFill="1" applyBorder="1" applyAlignment="1" applyProtection="1">
      <alignment vertical="center" wrapText="1"/>
      <protection locked="0"/>
    </xf>
    <xf numFmtId="4" fontId="23" fillId="0" borderId="1" xfId="0" applyNumberFormat="1" applyFont="1" applyFill="1" applyBorder="1" applyAlignment="1">
      <alignment vertical="center"/>
    </xf>
    <xf numFmtId="4" fontId="23" fillId="0" borderId="1" xfId="0" applyNumberFormat="1" applyFont="1" applyFill="1" applyBorder="1" applyAlignment="1">
      <alignment horizontal="right" vertical="center"/>
    </xf>
    <xf numFmtId="0" fontId="16" fillId="0" borderId="1" xfId="0" applyFont="1" applyFill="1" applyBorder="1" applyProtection="1">
      <protection locked="0"/>
    </xf>
    <xf numFmtId="0" fontId="2" fillId="0" borderId="0" xfId="0" applyFont="1" applyFill="1"/>
    <xf numFmtId="0" fontId="1" fillId="0" borderId="0" xfId="0" applyFont="1" applyFill="1"/>
    <xf numFmtId="0" fontId="3" fillId="0" borderId="0" xfId="0" applyFont="1" applyFill="1"/>
    <xf numFmtId="0" fontId="3" fillId="0" borderId="0" xfId="0" applyFont="1" applyFill="1" applyProtection="1"/>
    <xf numFmtId="14" fontId="2" fillId="0" borderId="0" xfId="0" applyNumberFormat="1" applyFont="1" applyFill="1" applyAlignment="1">
      <alignment horizontal="center"/>
    </xf>
    <xf numFmtId="0" fontId="2" fillId="0" borderId="0" xfId="0" applyFont="1" applyFill="1" applyAlignment="1">
      <alignment horizontal="left"/>
    </xf>
    <xf numFmtId="0" fontId="2" fillId="0" borderId="0" xfId="0" applyFont="1" applyFill="1" applyAlignment="1"/>
    <xf numFmtId="0" fontId="2" fillId="0" borderId="16" xfId="0" applyFont="1" applyFill="1" applyBorder="1"/>
    <xf numFmtId="0" fontId="2" fillId="0" borderId="17" xfId="0" applyFont="1" applyFill="1" applyBorder="1"/>
    <xf numFmtId="0" fontId="1" fillId="0" borderId="18" xfId="0" applyFont="1" applyFill="1" applyBorder="1"/>
    <xf numFmtId="0" fontId="2" fillId="0" borderId="19" xfId="0" applyFont="1" applyFill="1" applyBorder="1"/>
    <xf numFmtId="0" fontId="2" fillId="0" borderId="0" xfId="0" applyFont="1" applyFill="1" applyBorder="1"/>
    <xf numFmtId="0" fontId="2" fillId="0" borderId="20" xfId="0" applyFont="1" applyFill="1" applyBorder="1"/>
    <xf numFmtId="0" fontId="2" fillId="0" borderId="19" xfId="0" applyFont="1" applyFill="1" applyBorder="1" applyAlignment="1">
      <alignment horizontal="left" wrapText="1"/>
    </xf>
    <xf numFmtId="0" fontId="2" fillId="0" borderId="0" xfId="0" applyFont="1" applyFill="1" applyBorder="1" applyAlignment="1">
      <alignment horizontal="left" wrapText="1"/>
    </xf>
    <xf numFmtId="0" fontId="3" fillId="0" borderId="19" xfId="0" applyFont="1" applyFill="1" applyBorder="1" applyAlignment="1">
      <alignment horizontal="left" vertical="top" wrapText="1"/>
    </xf>
    <xf numFmtId="0" fontId="3" fillId="0" borderId="0" xfId="0" applyFont="1" applyFill="1" applyBorder="1" applyAlignment="1">
      <alignment horizontal="left" vertical="top" wrapText="1"/>
    </xf>
    <xf numFmtId="0" fontId="2" fillId="0" borderId="20" xfId="0" applyFont="1" applyFill="1" applyBorder="1" applyAlignment="1">
      <alignment vertical="top" wrapText="1"/>
    </xf>
    <xf numFmtId="0" fontId="2" fillId="0" borderId="0" xfId="0" applyFont="1" applyFill="1" applyAlignment="1">
      <alignment vertical="top" wrapText="1"/>
    </xf>
    <xf numFmtId="0" fontId="17" fillId="0" borderId="21" xfId="0" applyFont="1" applyFill="1" applyBorder="1"/>
    <xf numFmtId="0" fontId="2" fillId="0" borderId="2" xfId="0" applyFont="1" applyFill="1" applyBorder="1"/>
    <xf numFmtId="0" fontId="2" fillId="0" borderId="22" xfId="0" applyFont="1" applyFill="1" applyBorder="1"/>
    <xf numFmtId="0" fontId="15" fillId="0" borderId="1" xfId="0" applyFont="1" applyFill="1" applyBorder="1" applyAlignment="1">
      <alignment horizontal="center" vertical="center" wrapText="1"/>
    </xf>
    <xf numFmtId="14" fontId="15" fillId="0" borderId="1" xfId="0" applyNumberFormat="1" applyFont="1" applyFill="1" applyBorder="1" applyAlignment="1">
      <alignment horizontal="center" vertical="center" wrapText="1"/>
    </xf>
  </cellXfs>
  <cellStyles count="4">
    <cellStyle name="Comma" xfId="2" builtinId="3"/>
    <cellStyle name="Comma 2" xf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2</xdr:col>
          <xdr:colOff>276225</xdr:colOff>
          <xdr:row>12</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19050</xdr:rowOff>
        </xdr:from>
        <xdr:to>
          <xdr:col>2</xdr:col>
          <xdr:colOff>733425</xdr:colOff>
          <xdr:row>12</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819150</xdr:colOff>
          <xdr:row>12</xdr:row>
          <xdr:rowOff>171450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2</xdr:col>
          <xdr:colOff>600075</xdr:colOff>
          <xdr:row>12</xdr:row>
          <xdr:rowOff>171450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13</xdr:row>
          <xdr:rowOff>19050</xdr:rowOff>
        </xdr:from>
        <xdr:to>
          <xdr:col>1</xdr:col>
          <xdr:colOff>809625</xdr:colOff>
          <xdr:row>13</xdr:row>
          <xdr:rowOff>171450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13</xdr:row>
          <xdr:rowOff>19050</xdr:rowOff>
        </xdr:from>
        <xdr:to>
          <xdr:col>2</xdr:col>
          <xdr:colOff>523875</xdr:colOff>
          <xdr:row>13</xdr:row>
          <xdr:rowOff>171450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O225"/>
  <sheetViews>
    <sheetView showGridLines="0" tabSelected="1" zoomScale="85" zoomScaleNormal="85" workbookViewId="0"/>
  </sheetViews>
  <sheetFormatPr defaultColWidth="8.7109375" defaultRowHeight="16.5" outlineLevelRow="1" x14ac:dyDescent="0.3"/>
  <cols>
    <col min="1" max="1" width="4.5703125" style="1" customWidth="1"/>
    <col min="2" max="2" width="8.140625" style="4" customWidth="1"/>
    <col min="3" max="3" width="17.42578125" style="1" customWidth="1"/>
    <col min="4" max="4" width="22.140625" style="1" customWidth="1"/>
    <col min="5" max="5" width="34.5703125" style="1" customWidth="1"/>
    <col min="6" max="6" width="36.85546875" style="62" customWidth="1"/>
    <col min="7" max="7" width="12.85546875" style="1" customWidth="1"/>
    <col min="8" max="8" width="16.42578125" style="1" customWidth="1"/>
    <col min="9" max="9" width="7.5703125" style="4" bestFit="1" customWidth="1"/>
    <col min="10" max="10" width="16.5703125" style="1" customWidth="1"/>
    <col min="11" max="11" width="19.85546875" style="1" customWidth="1"/>
    <col min="12" max="12" width="8.7109375" style="1" customWidth="1"/>
    <col min="13" max="13" width="21.85546875" style="1" customWidth="1"/>
    <col min="14" max="16384" width="8.7109375" style="1"/>
  </cols>
  <sheetData>
    <row r="2" spans="2:119" s="50" customFormat="1" x14ac:dyDescent="0.3">
      <c r="B2" s="51" t="s">
        <v>19</v>
      </c>
      <c r="C2" s="52"/>
      <c r="D2" s="52"/>
      <c r="E2" s="53"/>
      <c r="F2" s="61"/>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row>
    <row r="3" spans="2:119" x14ac:dyDescent="0.3">
      <c r="B3" s="1"/>
      <c r="H3" s="2"/>
      <c r="I3" s="2"/>
    </row>
    <row r="4" spans="2:119" hidden="1" outlineLevel="1" x14ac:dyDescent="0.3">
      <c r="B4" s="4" t="s">
        <v>101</v>
      </c>
      <c r="C4" s="1">
        <v>157</v>
      </c>
      <c r="H4" s="2"/>
      <c r="I4" s="2"/>
    </row>
    <row r="5" spans="2:119" collapsed="1" x14ac:dyDescent="0.3">
      <c r="B5" s="37" t="s">
        <v>12</v>
      </c>
      <c r="C5" s="38"/>
      <c r="D5" s="38"/>
      <c r="E5" s="39" t="s">
        <v>1</v>
      </c>
      <c r="H5" s="2"/>
      <c r="I5" s="2"/>
    </row>
    <row r="6" spans="2:119" x14ac:dyDescent="0.3">
      <c r="B6" s="40" t="s">
        <v>71</v>
      </c>
      <c r="C6" s="41"/>
      <c r="D6" s="41"/>
      <c r="E6" s="42" t="s">
        <v>72</v>
      </c>
      <c r="H6" s="2"/>
      <c r="I6" s="2"/>
    </row>
    <row r="7" spans="2:119" x14ac:dyDescent="0.3">
      <c r="B7" s="40" t="s">
        <v>11</v>
      </c>
      <c r="C7" s="41"/>
      <c r="D7" s="41"/>
      <c r="E7" s="42"/>
      <c r="H7" s="2"/>
      <c r="I7" s="2"/>
    </row>
    <row r="8" spans="2:119" x14ac:dyDescent="0.3">
      <c r="B8" s="43" t="s">
        <v>10</v>
      </c>
      <c r="C8" s="44"/>
      <c r="D8" s="44"/>
      <c r="E8" s="45"/>
      <c r="F8" s="63"/>
      <c r="H8" s="3"/>
      <c r="I8" s="3"/>
    </row>
    <row r="9" spans="2:119" x14ac:dyDescent="0.3">
      <c r="F9" s="63"/>
      <c r="H9" s="2"/>
      <c r="I9" s="2"/>
    </row>
    <row r="10" spans="2:119" x14ac:dyDescent="0.3">
      <c r="B10" s="48" t="s">
        <v>110</v>
      </c>
      <c r="C10" s="49" t="s">
        <v>113</v>
      </c>
    </row>
    <row r="12" spans="2:119" ht="25.5" x14ac:dyDescent="0.3">
      <c r="B12" s="33" t="s">
        <v>100</v>
      </c>
      <c r="C12" s="33" t="s">
        <v>102</v>
      </c>
      <c r="D12" s="33" t="s">
        <v>103</v>
      </c>
      <c r="E12" s="33" t="s">
        <v>104</v>
      </c>
      <c r="F12" s="33" t="s">
        <v>108</v>
      </c>
      <c r="G12" s="34" t="s">
        <v>105</v>
      </c>
      <c r="H12" s="33" t="s">
        <v>114</v>
      </c>
      <c r="I12" s="33" t="s">
        <v>115</v>
      </c>
      <c r="J12" s="33" t="s">
        <v>106</v>
      </c>
      <c r="K12" s="33" t="s">
        <v>8</v>
      </c>
      <c r="L12" s="33" t="s">
        <v>22</v>
      </c>
      <c r="M12" s="33" t="s">
        <v>107</v>
      </c>
    </row>
    <row r="13" spans="2:119" s="75" customFormat="1" ht="33" x14ac:dyDescent="0.25">
      <c r="B13" s="72">
        <v>1</v>
      </c>
      <c r="C13" s="57" t="s">
        <v>154</v>
      </c>
      <c r="D13" s="59" t="s">
        <v>155</v>
      </c>
      <c r="E13" s="59" t="s">
        <v>156</v>
      </c>
      <c r="F13" s="76" t="s">
        <v>443</v>
      </c>
      <c r="G13" s="66">
        <v>1998</v>
      </c>
      <c r="H13" s="65">
        <v>15000</v>
      </c>
      <c r="I13" s="66">
        <v>1</v>
      </c>
      <c r="J13" s="74">
        <f t="shared" ref="J13:J44" si="0">I13*H13</f>
        <v>15000</v>
      </c>
      <c r="K13" s="74">
        <v>1425</v>
      </c>
      <c r="L13" s="66">
        <v>10</v>
      </c>
      <c r="M13" s="73"/>
    </row>
    <row r="14" spans="2:119" s="75" customFormat="1" ht="33" x14ac:dyDescent="0.25">
      <c r="B14" s="72">
        <v>2</v>
      </c>
      <c r="C14" s="57" t="s">
        <v>162</v>
      </c>
      <c r="D14" s="57" t="s">
        <v>130</v>
      </c>
      <c r="E14" s="57" t="s">
        <v>163</v>
      </c>
      <c r="F14" s="76" t="s">
        <v>443</v>
      </c>
      <c r="G14" s="66">
        <v>1998</v>
      </c>
      <c r="H14" s="65">
        <v>22300</v>
      </c>
      <c r="I14" s="66">
        <v>1</v>
      </c>
      <c r="J14" s="74">
        <f t="shared" si="0"/>
        <v>22300</v>
      </c>
      <c r="K14" s="74">
        <v>2118.5</v>
      </c>
      <c r="L14" s="66">
        <v>10</v>
      </c>
      <c r="M14" s="73"/>
    </row>
    <row r="15" spans="2:119" s="75" customFormat="1" x14ac:dyDescent="0.25">
      <c r="B15" s="72">
        <v>3</v>
      </c>
      <c r="C15" s="57" t="s">
        <v>173</v>
      </c>
      <c r="D15" s="57" t="s">
        <v>174</v>
      </c>
      <c r="E15" s="57" t="s">
        <v>175</v>
      </c>
      <c r="F15" s="76" t="s">
        <v>444</v>
      </c>
      <c r="G15" s="66">
        <v>1998</v>
      </c>
      <c r="H15" s="65">
        <v>10200</v>
      </c>
      <c r="I15" s="66">
        <v>1</v>
      </c>
      <c r="J15" s="74">
        <f t="shared" si="0"/>
        <v>10200</v>
      </c>
      <c r="K15" s="74">
        <v>969</v>
      </c>
      <c r="L15" s="66">
        <v>10</v>
      </c>
      <c r="M15" s="73"/>
    </row>
    <row r="16" spans="2:119" s="75" customFormat="1" x14ac:dyDescent="0.25">
      <c r="B16" s="72">
        <v>4</v>
      </c>
      <c r="C16" s="57" t="s">
        <v>170</v>
      </c>
      <c r="D16" s="57" t="s">
        <v>171</v>
      </c>
      <c r="E16" s="57" t="s">
        <v>176</v>
      </c>
      <c r="F16" s="76" t="s">
        <v>444</v>
      </c>
      <c r="G16" s="66">
        <v>1998</v>
      </c>
      <c r="H16" s="65">
        <v>12546.63</v>
      </c>
      <c r="I16" s="66">
        <v>1</v>
      </c>
      <c r="J16" s="74">
        <f t="shared" si="0"/>
        <v>12546.63</v>
      </c>
      <c r="K16" s="74">
        <v>1191.92985</v>
      </c>
      <c r="L16" s="66">
        <v>10</v>
      </c>
      <c r="M16" s="73"/>
    </row>
    <row r="17" spans="2:13" s="75" customFormat="1" ht="33" x14ac:dyDescent="0.25">
      <c r="B17" s="72">
        <v>5</v>
      </c>
      <c r="C17" s="57" t="s">
        <v>193</v>
      </c>
      <c r="D17" s="59" t="s">
        <v>174</v>
      </c>
      <c r="E17" s="59" t="s">
        <v>194</v>
      </c>
      <c r="F17" s="76" t="s">
        <v>448</v>
      </c>
      <c r="G17" s="66">
        <v>1998</v>
      </c>
      <c r="H17" s="65">
        <v>10200</v>
      </c>
      <c r="I17" s="66">
        <v>1</v>
      </c>
      <c r="J17" s="74">
        <f t="shared" si="0"/>
        <v>10200</v>
      </c>
      <c r="K17" s="74">
        <v>969</v>
      </c>
      <c r="L17" s="66">
        <v>10</v>
      </c>
      <c r="M17" s="73"/>
    </row>
    <row r="18" spans="2:13" s="75" customFormat="1" ht="33" x14ac:dyDescent="0.25">
      <c r="B18" s="72">
        <v>6</v>
      </c>
      <c r="C18" s="57" t="s">
        <v>228</v>
      </c>
      <c r="D18" s="57" t="s">
        <v>229</v>
      </c>
      <c r="E18" s="57" t="s">
        <v>230</v>
      </c>
      <c r="F18" s="76" t="s">
        <v>450</v>
      </c>
      <c r="G18" s="66">
        <v>1998</v>
      </c>
      <c r="H18" s="65">
        <v>11760</v>
      </c>
      <c r="I18" s="66">
        <v>4</v>
      </c>
      <c r="J18" s="74">
        <f t="shared" si="0"/>
        <v>47040</v>
      </c>
      <c r="K18" s="74">
        <v>1117.2</v>
      </c>
      <c r="L18" s="66">
        <v>10</v>
      </c>
      <c r="M18" s="73"/>
    </row>
    <row r="19" spans="2:13" s="75" customFormat="1" ht="33" x14ac:dyDescent="0.25">
      <c r="B19" s="72">
        <v>7</v>
      </c>
      <c r="C19" s="57" t="s">
        <v>254</v>
      </c>
      <c r="D19" s="57" t="s">
        <v>117</v>
      </c>
      <c r="E19" s="57" t="s">
        <v>255</v>
      </c>
      <c r="F19" s="76" t="s">
        <v>453</v>
      </c>
      <c r="G19" s="66">
        <v>1998</v>
      </c>
      <c r="H19" s="65">
        <v>14519</v>
      </c>
      <c r="I19" s="66">
        <v>1</v>
      </c>
      <c r="J19" s="74">
        <f t="shared" si="0"/>
        <v>14519</v>
      </c>
      <c r="K19" s="74">
        <v>1379.3049999999998</v>
      </c>
      <c r="L19" s="66">
        <v>10</v>
      </c>
      <c r="M19" s="73"/>
    </row>
    <row r="20" spans="2:13" s="75" customFormat="1" ht="33" x14ac:dyDescent="0.25">
      <c r="B20" s="72">
        <v>8</v>
      </c>
      <c r="C20" s="59" t="s">
        <v>262</v>
      </c>
      <c r="D20" s="59" t="s">
        <v>263</v>
      </c>
      <c r="E20" s="59" t="s">
        <v>264</v>
      </c>
      <c r="F20" s="76" t="s">
        <v>453</v>
      </c>
      <c r="G20" s="66">
        <v>1998</v>
      </c>
      <c r="H20" s="65">
        <v>11760</v>
      </c>
      <c r="I20" s="68">
        <v>4</v>
      </c>
      <c r="J20" s="74">
        <f t="shared" si="0"/>
        <v>47040</v>
      </c>
      <c r="K20" s="74">
        <v>1117.2</v>
      </c>
      <c r="L20" s="66">
        <v>10</v>
      </c>
      <c r="M20" s="73"/>
    </row>
    <row r="21" spans="2:13" s="75" customFormat="1" ht="33" x14ac:dyDescent="0.25">
      <c r="B21" s="72">
        <v>9</v>
      </c>
      <c r="C21" s="57" t="s">
        <v>294</v>
      </c>
      <c r="D21" s="59" t="s">
        <v>295</v>
      </c>
      <c r="E21" s="59" t="s">
        <v>296</v>
      </c>
      <c r="F21" s="76" t="s">
        <v>445</v>
      </c>
      <c r="G21" s="66">
        <v>1998</v>
      </c>
      <c r="H21" s="65">
        <v>10200</v>
      </c>
      <c r="I21" s="66">
        <v>1</v>
      </c>
      <c r="J21" s="74">
        <f t="shared" si="0"/>
        <v>10200</v>
      </c>
      <c r="K21" s="74">
        <v>969</v>
      </c>
      <c r="L21" s="66">
        <v>10</v>
      </c>
      <c r="M21" s="73"/>
    </row>
    <row r="22" spans="2:13" s="75" customFormat="1" ht="33" x14ac:dyDescent="0.25">
      <c r="B22" s="72">
        <v>10</v>
      </c>
      <c r="C22" s="57" t="s">
        <v>297</v>
      </c>
      <c r="D22" s="59" t="s">
        <v>298</v>
      </c>
      <c r="E22" s="59" t="s">
        <v>299</v>
      </c>
      <c r="F22" s="76" t="s">
        <v>445</v>
      </c>
      <c r="G22" s="66">
        <v>1998</v>
      </c>
      <c r="H22" s="65">
        <v>12500</v>
      </c>
      <c r="I22" s="66">
        <v>1</v>
      </c>
      <c r="J22" s="74">
        <f t="shared" si="0"/>
        <v>12500</v>
      </c>
      <c r="K22" s="74">
        <v>1187.5</v>
      </c>
      <c r="L22" s="66">
        <v>10</v>
      </c>
      <c r="M22" s="73"/>
    </row>
    <row r="23" spans="2:13" s="75" customFormat="1" ht="33" x14ac:dyDescent="0.25">
      <c r="B23" s="72">
        <v>11</v>
      </c>
      <c r="C23" s="57" t="s">
        <v>300</v>
      </c>
      <c r="D23" s="59" t="s">
        <v>158</v>
      </c>
      <c r="E23" s="59" t="s">
        <v>301</v>
      </c>
      <c r="F23" s="76" t="s">
        <v>445</v>
      </c>
      <c r="G23" s="66">
        <v>1998</v>
      </c>
      <c r="H23" s="65">
        <v>12546.63</v>
      </c>
      <c r="I23" s="66">
        <v>1</v>
      </c>
      <c r="J23" s="74">
        <f t="shared" si="0"/>
        <v>12546.63</v>
      </c>
      <c r="K23" s="74">
        <v>1191.92985</v>
      </c>
      <c r="L23" s="66">
        <v>10</v>
      </c>
      <c r="M23" s="73"/>
    </row>
    <row r="24" spans="2:13" s="75" customFormat="1" ht="33" x14ac:dyDescent="0.25">
      <c r="B24" s="72">
        <v>12</v>
      </c>
      <c r="C24" s="57" t="s">
        <v>316</v>
      </c>
      <c r="D24" s="57" t="s">
        <v>130</v>
      </c>
      <c r="E24" s="57" t="s">
        <v>317</v>
      </c>
      <c r="F24" s="76" t="s">
        <v>455</v>
      </c>
      <c r="G24" s="66">
        <v>1998</v>
      </c>
      <c r="H24" s="65">
        <v>11150</v>
      </c>
      <c r="I24" s="66">
        <v>1</v>
      </c>
      <c r="J24" s="74">
        <f t="shared" si="0"/>
        <v>11150</v>
      </c>
      <c r="K24" s="74">
        <v>1059.25</v>
      </c>
      <c r="L24" s="66">
        <v>10</v>
      </c>
      <c r="M24" s="73"/>
    </row>
    <row r="25" spans="2:13" s="75" customFormat="1" ht="33" x14ac:dyDescent="0.25">
      <c r="B25" s="72">
        <v>13</v>
      </c>
      <c r="C25" s="57" t="s">
        <v>343</v>
      </c>
      <c r="D25" s="57" t="s">
        <v>117</v>
      </c>
      <c r="E25" s="57" t="s">
        <v>344</v>
      </c>
      <c r="F25" s="76" t="s">
        <v>458</v>
      </c>
      <c r="G25" s="66">
        <v>1998</v>
      </c>
      <c r="H25" s="65">
        <v>21000</v>
      </c>
      <c r="I25" s="66">
        <v>1</v>
      </c>
      <c r="J25" s="74">
        <f t="shared" si="0"/>
        <v>21000</v>
      </c>
      <c r="K25" s="74">
        <v>1995</v>
      </c>
      <c r="L25" s="66">
        <v>10</v>
      </c>
      <c r="M25" s="73"/>
    </row>
    <row r="26" spans="2:13" s="75" customFormat="1" ht="33" x14ac:dyDescent="0.25">
      <c r="B26" s="72">
        <v>14</v>
      </c>
      <c r="C26" s="57" t="s">
        <v>345</v>
      </c>
      <c r="D26" s="57" t="s">
        <v>117</v>
      </c>
      <c r="E26" s="57" t="s">
        <v>346</v>
      </c>
      <c r="F26" s="76" t="s">
        <v>458</v>
      </c>
      <c r="G26" s="66">
        <v>1998</v>
      </c>
      <c r="H26" s="65">
        <v>24150</v>
      </c>
      <c r="I26" s="66">
        <v>1</v>
      </c>
      <c r="J26" s="74">
        <f t="shared" si="0"/>
        <v>24150</v>
      </c>
      <c r="K26" s="74">
        <v>2294.25</v>
      </c>
      <c r="L26" s="66">
        <v>10</v>
      </c>
      <c r="M26" s="73"/>
    </row>
    <row r="27" spans="2:13" s="75" customFormat="1" ht="33" x14ac:dyDescent="0.25">
      <c r="B27" s="72">
        <v>15</v>
      </c>
      <c r="C27" s="57" t="s">
        <v>347</v>
      </c>
      <c r="D27" s="59" t="s">
        <v>117</v>
      </c>
      <c r="E27" s="57" t="s">
        <v>348</v>
      </c>
      <c r="F27" s="76" t="s">
        <v>458</v>
      </c>
      <c r="G27" s="66">
        <v>1998</v>
      </c>
      <c r="H27" s="65">
        <v>20200</v>
      </c>
      <c r="I27" s="66">
        <v>1</v>
      </c>
      <c r="J27" s="74">
        <f t="shared" si="0"/>
        <v>20200</v>
      </c>
      <c r="K27" s="74">
        <v>1919</v>
      </c>
      <c r="L27" s="66">
        <v>10</v>
      </c>
      <c r="M27" s="73"/>
    </row>
    <row r="28" spans="2:13" s="75" customFormat="1" x14ac:dyDescent="0.25">
      <c r="B28" s="72">
        <v>16</v>
      </c>
      <c r="C28" s="57" t="s">
        <v>365</v>
      </c>
      <c r="D28" s="57" t="s">
        <v>366</v>
      </c>
      <c r="E28" s="57" t="s">
        <v>367</v>
      </c>
      <c r="F28" s="76" t="s">
        <v>444</v>
      </c>
      <c r="G28" s="66">
        <v>1998</v>
      </c>
      <c r="H28" s="65">
        <v>11760</v>
      </c>
      <c r="I28" s="66">
        <v>3</v>
      </c>
      <c r="J28" s="74">
        <f t="shared" si="0"/>
        <v>35280</v>
      </c>
      <c r="K28" s="74">
        <v>1117.2</v>
      </c>
      <c r="L28" s="66">
        <v>10</v>
      </c>
      <c r="M28" s="73"/>
    </row>
    <row r="29" spans="2:13" s="75" customFormat="1" ht="49.5" x14ac:dyDescent="0.25">
      <c r="B29" s="72">
        <v>17</v>
      </c>
      <c r="C29" s="57" t="s">
        <v>375</v>
      </c>
      <c r="D29" s="57" t="s">
        <v>117</v>
      </c>
      <c r="E29" s="57" t="s">
        <v>376</v>
      </c>
      <c r="F29" s="76" t="s">
        <v>441</v>
      </c>
      <c r="G29" s="66">
        <v>1998</v>
      </c>
      <c r="H29" s="65">
        <v>19916</v>
      </c>
      <c r="I29" s="66">
        <v>1</v>
      </c>
      <c r="J29" s="74">
        <f t="shared" si="0"/>
        <v>19916</v>
      </c>
      <c r="K29" s="74">
        <v>1892.02</v>
      </c>
      <c r="L29" s="66">
        <v>10</v>
      </c>
      <c r="M29" s="73"/>
    </row>
    <row r="30" spans="2:13" s="75" customFormat="1" x14ac:dyDescent="0.25">
      <c r="B30" s="72">
        <v>18</v>
      </c>
      <c r="C30" s="57" t="s">
        <v>423</v>
      </c>
      <c r="D30" s="57" t="s">
        <v>263</v>
      </c>
      <c r="E30" s="57"/>
      <c r="F30" s="76" t="s">
        <v>440</v>
      </c>
      <c r="G30" s="66">
        <v>1998</v>
      </c>
      <c r="H30" s="65">
        <v>11760</v>
      </c>
      <c r="I30" s="66">
        <v>3</v>
      </c>
      <c r="J30" s="74">
        <f t="shared" si="0"/>
        <v>35280</v>
      </c>
      <c r="K30" s="74">
        <v>1117.2</v>
      </c>
      <c r="L30" s="66">
        <v>10</v>
      </c>
      <c r="M30" s="73"/>
    </row>
    <row r="31" spans="2:13" s="75" customFormat="1" ht="33" x14ac:dyDescent="0.25">
      <c r="B31" s="72">
        <v>19</v>
      </c>
      <c r="C31" s="57" t="s">
        <v>431</v>
      </c>
      <c r="D31" s="57" t="s">
        <v>263</v>
      </c>
      <c r="E31" s="57"/>
      <c r="F31" s="76" t="s">
        <v>463</v>
      </c>
      <c r="G31" s="66">
        <v>1998</v>
      </c>
      <c r="H31" s="65">
        <v>11760</v>
      </c>
      <c r="I31" s="66">
        <v>1</v>
      </c>
      <c r="J31" s="74">
        <f t="shared" si="0"/>
        <v>11760</v>
      </c>
      <c r="K31" s="74">
        <v>1117.2</v>
      </c>
      <c r="L31" s="66">
        <v>10</v>
      </c>
      <c r="M31" s="73"/>
    </row>
    <row r="32" spans="2:13" s="75" customFormat="1" ht="33" x14ac:dyDescent="0.25">
      <c r="B32" s="72">
        <v>20</v>
      </c>
      <c r="C32" s="57" t="s">
        <v>126</v>
      </c>
      <c r="D32" s="57" t="s">
        <v>127</v>
      </c>
      <c r="E32" s="57" t="s">
        <v>128</v>
      </c>
      <c r="F32" s="76" t="s">
        <v>439</v>
      </c>
      <c r="G32" s="66">
        <v>2000</v>
      </c>
      <c r="H32" s="65">
        <v>15500</v>
      </c>
      <c r="I32" s="66">
        <v>1</v>
      </c>
      <c r="J32" s="74">
        <f t="shared" si="0"/>
        <v>15500</v>
      </c>
      <c r="K32" s="74">
        <v>1472.5</v>
      </c>
      <c r="L32" s="66">
        <v>10</v>
      </c>
      <c r="M32" s="73"/>
    </row>
    <row r="33" spans="2:13" s="75" customFormat="1" ht="33" x14ac:dyDescent="0.25">
      <c r="B33" s="72">
        <v>21</v>
      </c>
      <c r="C33" s="57" t="s">
        <v>150</v>
      </c>
      <c r="D33" s="59" t="s">
        <v>117</v>
      </c>
      <c r="E33" s="59" t="s">
        <v>151</v>
      </c>
      <c r="F33" s="76" t="s">
        <v>443</v>
      </c>
      <c r="G33" s="66">
        <v>2000</v>
      </c>
      <c r="H33" s="65">
        <v>14519</v>
      </c>
      <c r="I33" s="66">
        <v>1</v>
      </c>
      <c r="J33" s="74">
        <f t="shared" si="0"/>
        <v>14519</v>
      </c>
      <c r="K33" s="74">
        <v>1379.3049999999998</v>
      </c>
      <c r="L33" s="66">
        <v>10</v>
      </c>
      <c r="M33" s="73"/>
    </row>
    <row r="34" spans="2:13" s="75" customFormat="1" ht="33" x14ac:dyDescent="0.25">
      <c r="B34" s="72">
        <v>22</v>
      </c>
      <c r="C34" s="57" t="s">
        <v>185</v>
      </c>
      <c r="D34" s="57" t="s">
        <v>117</v>
      </c>
      <c r="E34" s="57" t="s">
        <v>186</v>
      </c>
      <c r="F34" s="76" t="s">
        <v>446</v>
      </c>
      <c r="G34" s="66">
        <v>2000</v>
      </c>
      <c r="H34" s="65">
        <v>20493</v>
      </c>
      <c r="I34" s="66">
        <v>1</v>
      </c>
      <c r="J34" s="74">
        <f t="shared" si="0"/>
        <v>20493</v>
      </c>
      <c r="K34" s="74">
        <v>1946.8349999999998</v>
      </c>
      <c r="L34" s="66">
        <v>10</v>
      </c>
      <c r="M34" s="73"/>
    </row>
    <row r="35" spans="2:13" s="75" customFormat="1" ht="33" x14ac:dyDescent="0.25">
      <c r="B35" s="72">
        <v>23</v>
      </c>
      <c r="C35" s="58" t="s">
        <v>201</v>
      </c>
      <c r="D35" s="57" t="s">
        <v>117</v>
      </c>
      <c r="E35" s="59" t="s">
        <v>202</v>
      </c>
      <c r="F35" s="76" t="s">
        <v>449</v>
      </c>
      <c r="G35" s="66">
        <v>2000</v>
      </c>
      <c r="H35" s="65">
        <v>21150</v>
      </c>
      <c r="I35" s="66">
        <v>3</v>
      </c>
      <c r="J35" s="74">
        <f t="shared" si="0"/>
        <v>63450</v>
      </c>
      <c r="K35" s="74">
        <v>2009.25</v>
      </c>
      <c r="L35" s="66">
        <v>10</v>
      </c>
      <c r="M35" s="73"/>
    </row>
    <row r="36" spans="2:13" s="75" customFormat="1" ht="33" x14ac:dyDescent="0.25">
      <c r="B36" s="72">
        <v>24</v>
      </c>
      <c r="C36" s="58" t="s">
        <v>203</v>
      </c>
      <c r="D36" s="57" t="s">
        <v>117</v>
      </c>
      <c r="E36" s="59" t="s">
        <v>204</v>
      </c>
      <c r="F36" s="76" t="s">
        <v>449</v>
      </c>
      <c r="G36" s="66">
        <v>2000</v>
      </c>
      <c r="H36" s="65">
        <v>54600</v>
      </c>
      <c r="I36" s="66">
        <v>3</v>
      </c>
      <c r="J36" s="74">
        <f t="shared" si="0"/>
        <v>163800</v>
      </c>
      <c r="K36" s="74">
        <v>5187</v>
      </c>
      <c r="L36" s="66">
        <v>10</v>
      </c>
      <c r="M36" s="73"/>
    </row>
    <row r="37" spans="2:13" s="75" customFormat="1" ht="33" x14ac:dyDescent="0.25">
      <c r="B37" s="72">
        <v>25</v>
      </c>
      <c r="C37" s="58" t="s">
        <v>205</v>
      </c>
      <c r="D37" s="57" t="s">
        <v>117</v>
      </c>
      <c r="E37" s="59" t="s">
        <v>206</v>
      </c>
      <c r="F37" s="76" t="s">
        <v>449</v>
      </c>
      <c r="G37" s="66">
        <v>2000</v>
      </c>
      <c r="H37" s="65">
        <v>21150</v>
      </c>
      <c r="I37" s="66">
        <v>2</v>
      </c>
      <c r="J37" s="74">
        <f t="shared" si="0"/>
        <v>42300</v>
      </c>
      <c r="K37" s="74">
        <v>2009.25</v>
      </c>
      <c r="L37" s="66">
        <v>10</v>
      </c>
      <c r="M37" s="73"/>
    </row>
    <row r="38" spans="2:13" s="75" customFormat="1" ht="33" x14ac:dyDescent="0.25">
      <c r="B38" s="72">
        <v>26</v>
      </c>
      <c r="C38" s="58" t="s">
        <v>207</v>
      </c>
      <c r="D38" s="57" t="s">
        <v>117</v>
      </c>
      <c r="E38" s="59" t="s">
        <v>208</v>
      </c>
      <c r="F38" s="76" t="s">
        <v>449</v>
      </c>
      <c r="G38" s="66">
        <v>2000</v>
      </c>
      <c r="H38" s="65">
        <v>19916</v>
      </c>
      <c r="I38" s="66">
        <v>2</v>
      </c>
      <c r="J38" s="74">
        <f t="shared" si="0"/>
        <v>39832</v>
      </c>
      <c r="K38" s="74">
        <v>1892.02</v>
      </c>
      <c r="L38" s="66">
        <v>10</v>
      </c>
      <c r="M38" s="73"/>
    </row>
    <row r="39" spans="2:13" s="75" customFormat="1" ht="33" x14ac:dyDescent="0.25">
      <c r="B39" s="72">
        <v>27</v>
      </c>
      <c r="C39" s="57" t="s">
        <v>284</v>
      </c>
      <c r="D39" s="59" t="s">
        <v>117</v>
      </c>
      <c r="E39" s="59" t="s">
        <v>285</v>
      </c>
      <c r="F39" s="76" t="s">
        <v>445</v>
      </c>
      <c r="G39" s="66">
        <v>2000</v>
      </c>
      <c r="H39" s="65">
        <v>20200</v>
      </c>
      <c r="I39" s="66">
        <v>1</v>
      </c>
      <c r="J39" s="74">
        <f t="shared" si="0"/>
        <v>20200</v>
      </c>
      <c r="K39" s="74">
        <v>1919</v>
      </c>
      <c r="L39" s="66">
        <v>10</v>
      </c>
      <c r="M39" s="73"/>
    </row>
    <row r="40" spans="2:13" s="75" customFormat="1" ht="33" x14ac:dyDescent="0.25">
      <c r="B40" s="72">
        <v>28</v>
      </c>
      <c r="C40" s="57" t="s">
        <v>310</v>
      </c>
      <c r="D40" s="57" t="s">
        <v>117</v>
      </c>
      <c r="E40" s="57" t="s">
        <v>311</v>
      </c>
      <c r="F40" s="76" t="s">
        <v>455</v>
      </c>
      <c r="G40" s="66">
        <v>2000</v>
      </c>
      <c r="H40" s="65">
        <v>20200</v>
      </c>
      <c r="I40" s="66">
        <v>1</v>
      </c>
      <c r="J40" s="74">
        <f t="shared" si="0"/>
        <v>20200</v>
      </c>
      <c r="K40" s="74">
        <v>1919</v>
      </c>
      <c r="L40" s="66">
        <v>10</v>
      </c>
      <c r="M40" s="73"/>
    </row>
    <row r="41" spans="2:13" s="75" customFormat="1" ht="33" x14ac:dyDescent="0.25">
      <c r="B41" s="72">
        <v>29</v>
      </c>
      <c r="C41" s="57" t="s">
        <v>318</v>
      </c>
      <c r="D41" s="57" t="s">
        <v>117</v>
      </c>
      <c r="E41" s="57" t="s">
        <v>319</v>
      </c>
      <c r="F41" s="76" t="s">
        <v>455</v>
      </c>
      <c r="G41" s="66">
        <v>2000</v>
      </c>
      <c r="H41" s="65">
        <v>19136</v>
      </c>
      <c r="I41" s="66">
        <v>1</v>
      </c>
      <c r="J41" s="74">
        <f t="shared" si="0"/>
        <v>19136</v>
      </c>
      <c r="K41" s="74">
        <v>1817.92</v>
      </c>
      <c r="L41" s="66">
        <v>10</v>
      </c>
      <c r="M41" s="73"/>
    </row>
    <row r="42" spans="2:13" s="75" customFormat="1" x14ac:dyDescent="0.25">
      <c r="B42" s="72">
        <v>30</v>
      </c>
      <c r="C42" s="57" t="s">
        <v>334</v>
      </c>
      <c r="D42" s="57" t="s">
        <v>130</v>
      </c>
      <c r="E42" s="57" t="s">
        <v>335</v>
      </c>
      <c r="F42" s="76" t="s">
        <v>457</v>
      </c>
      <c r="G42" s="66">
        <v>2000</v>
      </c>
      <c r="H42" s="65">
        <v>19916</v>
      </c>
      <c r="I42" s="66">
        <v>1</v>
      </c>
      <c r="J42" s="74">
        <f t="shared" si="0"/>
        <v>19916</v>
      </c>
      <c r="K42" s="74">
        <v>1892.02</v>
      </c>
      <c r="L42" s="66">
        <v>10</v>
      </c>
      <c r="M42" s="73"/>
    </row>
    <row r="43" spans="2:13" s="75" customFormat="1" ht="33" x14ac:dyDescent="0.25">
      <c r="B43" s="72">
        <v>31</v>
      </c>
      <c r="C43" s="57" t="s">
        <v>349</v>
      </c>
      <c r="D43" s="57" t="s">
        <v>117</v>
      </c>
      <c r="E43" s="57" t="s">
        <v>350</v>
      </c>
      <c r="F43" s="76" t="s">
        <v>458</v>
      </c>
      <c r="G43" s="66">
        <v>2000</v>
      </c>
      <c r="H43" s="65">
        <v>19916</v>
      </c>
      <c r="I43" s="66">
        <v>1</v>
      </c>
      <c r="J43" s="74">
        <f t="shared" si="0"/>
        <v>19916</v>
      </c>
      <c r="K43" s="74">
        <v>1892.02</v>
      </c>
      <c r="L43" s="66">
        <v>10</v>
      </c>
      <c r="M43" s="73"/>
    </row>
    <row r="44" spans="2:13" s="75" customFormat="1" ht="49.5" x14ac:dyDescent="0.25">
      <c r="B44" s="72">
        <v>32</v>
      </c>
      <c r="C44" s="57" t="s">
        <v>377</v>
      </c>
      <c r="D44" s="57" t="s">
        <v>130</v>
      </c>
      <c r="E44" s="57" t="s">
        <v>378</v>
      </c>
      <c r="F44" s="76" t="s">
        <v>441</v>
      </c>
      <c r="G44" s="66">
        <v>2000</v>
      </c>
      <c r="H44" s="65">
        <v>19916</v>
      </c>
      <c r="I44" s="66">
        <v>1</v>
      </c>
      <c r="J44" s="74">
        <f t="shared" si="0"/>
        <v>19916</v>
      </c>
      <c r="K44" s="74">
        <v>1892.02</v>
      </c>
      <c r="L44" s="66">
        <v>10</v>
      </c>
      <c r="M44" s="73"/>
    </row>
    <row r="45" spans="2:13" s="75" customFormat="1" x14ac:dyDescent="0.25">
      <c r="B45" s="72">
        <v>33</v>
      </c>
      <c r="C45" s="57" t="s">
        <v>379</v>
      </c>
      <c r="D45" s="57" t="s">
        <v>117</v>
      </c>
      <c r="E45" s="57" t="s">
        <v>380</v>
      </c>
      <c r="F45" s="76" t="s">
        <v>459</v>
      </c>
      <c r="G45" s="66">
        <v>2000</v>
      </c>
      <c r="H45" s="65">
        <v>16000</v>
      </c>
      <c r="I45" s="66">
        <v>1</v>
      </c>
      <c r="J45" s="74">
        <f t="shared" ref="J45:J76" si="1">I45*H45</f>
        <v>16000</v>
      </c>
      <c r="K45" s="74">
        <v>1520</v>
      </c>
      <c r="L45" s="66">
        <v>10</v>
      </c>
      <c r="M45" s="73"/>
    </row>
    <row r="46" spans="2:13" s="75" customFormat="1" ht="33" x14ac:dyDescent="0.25">
      <c r="B46" s="72">
        <v>34</v>
      </c>
      <c r="C46" s="57" t="s">
        <v>402</v>
      </c>
      <c r="D46" s="57" t="s">
        <v>117</v>
      </c>
      <c r="E46" s="57" t="s">
        <v>403</v>
      </c>
      <c r="F46" s="76" t="s">
        <v>461</v>
      </c>
      <c r="G46" s="66">
        <v>2000</v>
      </c>
      <c r="H46" s="65">
        <v>14656.79</v>
      </c>
      <c r="I46" s="66">
        <v>1</v>
      </c>
      <c r="J46" s="74">
        <f t="shared" si="1"/>
        <v>14656.79</v>
      </c>
      <c r="K46" s="74">
        <v>1392.3950500000001</v>
      </c>
      <c r="L46" s="66">
        <v>10</v>
      </c>
      <c r="M46" s="73"/>
    </row>
    <row r="47" spans="2:13" s="75" customFormat="1" ht="33" x14ac:dyDescent="0.25">
      <c r="B47" s="72">
        <v>35</v>
      </c>
      <c r="C47" s="57" t="s">
        <v>408</v>
      </c>
      <c r="D47" s="57" t="s">
        <v>117</v>
      </c>
      <c r="E47" s="57" t="s">
        <v>409</v>
      </c>
      <c r="F47" s="76" t="s">
        <v>460</v>
      </c>
      <c r="G47" s="66">
        <v>2000</v>
      </c>
      <c r="H47" s="65">
        <v>14659.75</v>
      </c>
      <c r="I47" s="66">
        <v>1</v>
      </c>
      <c r="J47" s="74">
        <f t="shared" si="1"/>
        <v>14659.75</v>
      </c>
      <c r="K47" s="74">
        <v>1392.67625</v>
      </c>
      <c r="L47" s="66">
        <v>10</v>
      </c>
      <c r="M47" s="73"/>
    </row>
    <row r="48" spans="2:13" s="75" customFormat="1" x14ac:dyDescent="0.25">
      <c r="B48" s="72">
        <v>36</v>
      </c>
      <c r="C48" s="57" t="s">
        <v>421</v>
      </c>
      <c r="D48" s="57" t="s">
        <v>117</v>
      </c>
      <c r="E48" s="57" t="s">
        <v>422</v>
      </c>
      <c r="F48" s="76" t="s">
        <v>440</v>
      </c>
      <c r="G48" s="66">
        <v>2000</v>
      </c>
      <c r="H48" s="65">
        <v>20548.3</v>
      </c>
      <c r="I48" s="66">
        <v>1</v>
      </c>
      <c r="J48" s="74">
        <f t="shared" si="1"/>
        <v>20548.3</v>
      </c>
      <c r="K48" s="74">
        <v>1952.0884999999998</v>
      </c>
      <c r="L48" s="66">
        <v>10</v>
      </c>
      <c r="M48" s="73"/>
    </row>
    <row r="49" spans="2:13" s="75" customFormat="1" ht="49.5" x14ac:dyDescent="0.25">
      <c r="B49" s="72">
        <v>37</v>
      </c>
      <c r="C49" s="57" t="s">
        <v>432</v>
      </c>
      <c r="D49" s="59" t="s">
        <v>117</v>
      </c>
      <c r="E49" s="59" t="s">
        <v>433</v>
      </c>
      <c r="F49" s="76" t="s">
        <v>441</v>
      </c>
      <c r="G49" s="66">
        <v>2000</v>
      </c>
      <c r="H49" s="65">
        <v>20548.02</v>
      </c>
      <c r="I49" s="66">
        <v>1</v>
      </c>
      <c r="J49" s="74">
        <f t="shared" si="1"/>
        <v>20548.02</v>
      </c>
      <c r="K49" s="74">
        <v>1952.0618999999999</v>
      </c>
      <c r="L49" s="66">
        <v>10</v>
      </c>
      <c r="M49" s="73"/>
    </row>
    <row r="50" spans="2:13" s="75" customFormat="1" ht="33" x14ac:dyDescent="0.25">
      <c r="B50" s="72">
        <v>38</v>
      </c>
      <c r="C50" s="57" t="s">
        <v>211</v>
      </c>
      <c r="D50" s="57" t="s">
        <v>117</v>
      </c>
      <c r="E50" s="57" t="s">
        <v>212</v>
      </c>
      <c r="F50" s="76" t="s">
        <v>450</v>
      </c>
      <c r="G50" s="66">
        <v>2002</v>
      </c>
      <c r="H50" s="65">
        <v>19136</v>
      </c>
      <c r="I50" s="66">
        <v>1</v>
      </c>
      <c r="J50" s="74">
        <f t="shared" si="1"/>
        <v>19136</v>
      </c>
      <c r="K50" s="74">
        <v>1817.92</v>
      </c>
      <c r="L50" s="66">
        <v>10</v>
      </c>
      <c r="M50" s="73"/>
    </row>
    <row r="51" spans="2:13" s="75" customFormat="1" ht="33" x14ac:dyDescent="0.25">
      <c r="B51" s="72">
        <v>39</v>
      </c>
      <c r="C51" s="57" t="s">
        <v>260</v>
      </c>
      <c r="D51" s="57" t="s">
        <v>117</v>
      </c>
      <c r="E51" s="57" t="s">
        <v>261</v>
      </c>
      <c r="F51" s="76" t="s">
        <v>453</v>
      </c>
      <c r="G51" s="66">
        <v>2002</v>
      </c>
      <c r="H51" s="65">
        <v>19136</v>
      </c>
      <c r="I51" s="66">
        <v>1</v>
      </c>
      <c r="J51" s="74">
        <f t="shared" si="1"/>
        <v>19136</v>
      </c>
      <c r="K51" s="74">
        <v>1817.92</v>
      </c>
      <c r="L51" s="66">
        <v>10</v>
      </c>
      <c r="M51" s="73"/>
    </row>
    <row r="52" spans="2:13" s="75" customFormat="1" ht="22.5" x14ac:dyDescent="0.25">
      <c r="B52" s="72">
        <v>40</v>
      </c>
      <c r="C52" s="57" t="s">
        <v>417</v>
      </c>
      <c r="D52" s="57" t="s">
        <v>117</v>
      </c>
      <c r="E52" s="57" t="s">
        <v>418</v>
      </c>
      <c r="F52" s="76" t="s">
        <v>440</v>
      </c>
      <c r="G52" s="66">
        <v>2002</v>
      </c>
      <c r="H52" s="65">
        <v>19916</v>
      </c>
      <c r="I52" s="66">
        <v>1</v>
      </c>
      <c r="J52" s="74">
        <f t="shared" si="1"/>
        <v>19916</v>
      </c>
      <c r="K52" s="74">
        <v>1892.02</v>
      </c>
      <c r="L52" s="66">
        <v>10</v>
      </c>
      <c r="M52" s="73"/>
    </row>
    <row r="53" spans="2:13" s="75" customFormat="1" ht="33.75" x14ac:dyDescent="0.25">
      <c r="B53" s="72">
        <v>41</v>
      </c>
      <c r="C53" s="57" t="s">
        <v>340</v>
      </c>
      <c r="D53" s="57" t="s">
        <v>117</v>
      </c>
      <c r="E53" s="57" t="s">
        <v>341</v>
      </c>
      <c r="F53" s="76" t="s">
        <v>457</v>
      </c>
      <c r="G53" s="66">
        <v>2003</v>
      </c>
      <c r="H53" s="65">
        <v>20714.830000000002</v>
      </c>
      <c r="I53" s="66">
        <v>1</v>
      </c>
      <c r="J53" s="74">
        <f t="shared" si="1"/>
        <v>20714.830000000002</v>
      </c>
      <c r="K53" s="74">
        <v>1967.9088500000003</v>
      </c>
      <c r="L53" s="66">
        <v>10</v>
      </c>
      <c r="M53" s="73"/>
    </row>
    <row r="54" spans="2:13" s="75" customFormat="1" ht="33" x14ac:dyDescent="0.25">
      <c r="B54" s="72">
        <v>42</v>
      </c>
      <c r="C54" s="57" t="s">
        <v>351</v>
      </c>
      <c r="D54" s="59" t="s">
        <v>117</v>
      </c>
      <c r="E54" s="57" t="s">
        <v>352</v>
      </c>
      <c r="F54" s="76" t="s">
        <v>458</v>
      </c>
      <c r="G54" s="66">
        <v>2003</v>
      </c>
      <c r="H54" s="65">
        <v>22999</v>
      </c>
      <c r="I54" s="66">
        <v>1</v>
      </c>
      <c r="J54" s="74">
        <f t="shared" si="1"/>
        <v>22999</v>
      </c>
      <c r="K54" s="74">
        <v>2184.9049999999997</v>
      </c>
      <c r="L54" s="66">
        <v>10</v>
      </c>
      <c r="M54" s="73"/>
    </row>
    <row r="55" spans="2:13" s="75" customFormat="1" x14ac:dyDescent="0.25">
      <c r="B55" s="72">
        <v>43</v>
      </c>
      <c r="C55" s="57" t="s">
        <v>189</v>
      </c>
      <c r="D55" s="59" t="s">
        <v>117</v>
      </c>
      <c r="E55" s="59" t="s">
        <v>190</v>
      </c>
      <c r="F55" s="76" t="s">
        <v>447</v>
      </c>
      <c r="G55" s="66">
        <v>2005</v>
      </c>
      <c r="H55" s="65">
        <v>21000</v>
      </c>
      <c r="I55" s="66">
        <v>1</v>
      </c>
      <c r="J55" s="74">
        <f t="shared" si="1"/>
        <v>21000</v>
      </c>
      <c r="K55" s="74">
        <v>1995</v>
      </c>
      <c r="L55" s="66">
        <v>10</v>
      </c>
      <c r="M55" s="73"/>
    </row>
    <row r="56" spans="2:13" s="75" customFormat="1" ht="33" x14ac:dyDescent="0.25">
      <c r="B56" s="72">
        <v>44</v>
      </c>
      <c r="C56" s="57" t="s">
        <v>213</v>
      </c>
      <c r="D56" s="57" t="s">
        <v>130</v>
      </c>
      <c r="E56" s="57" t="s">
        <v>214</v>
      </c>
      <c r="F56" s="76" t="s">
        <v>450</v>
      </c>
      <c r="G56" s="66">
        <v>2005</v>
      </c>
      <c r="H56" s="65">
        <v>20200</v>
      </c>
      <c r="I56" s="66">
        <v>4</v>
      </c>
      <c r="J56" s="74">
        <f t="shared" si="1"/>
        <v>80800</v>
      </c>
      <c r="K56" s="74">
        <v>1919</v>
      </c>
      <c r="L56" s="66">
        <v>10</v>
      </c>
      <c r="M56" s="73"/>
    </row>
    <row r="57" spans="2:13" s="75" customFormat="1" ht="33" x14ac:dyDescent="0.25">
      <c r="B57" s="72">
        <v>45</v>
      </c>
      <c r="C57" s="57" t="s">
        <v>312</v>
      </c>
      <c r="D57" s="57" t="s">
        <v>117</v>
      </c>
      <c r="E57" s="57" t="s">
        <v>313</v>
      </c>
      <c r="F57" s="76" t="s">
        <v>455</v>
      </c>
      <c r="G57" s="66">
        <v>2005</v>
      </c>
      <c r="H57" s="65">
        <v>20500</v>
      </c>
      <c r="I57" s="66">
        <v>1</v>
      </c>
      <c r="J57" s="74">
        <f t="shared" si="1"/>
        <v>20500</v>
      </c>
      <c r="K57" s="74">
        <v>1947.5</v>
      </c>
      <c r="L57" s="66">
        <v>10</v>
      </c>
      <c r="M57" s="73"/>
    </row>
    <row r="58" spans="2:13" s="75" customFormat="1" x14ac:dyDescent="0.25">
      <c r="B58" s="72">
        <v>46</v>
      </c>
      <c r="C58" s="58" t="s">
        <v>332</v>
      </c>
      <c r="D58" s="59" t="s">
        <v>117</v>
      </c>
      <c r="E58" s="59" t="s">
        <v>333</v>
      </c>
      <c r="F58" s="76" t="s">
        <v>457</v>
      </c>
      <c r="G58" s="66">
        <v>2005</v>
      </c>
      <c r="H58" s="65">
        <v>20714.830000000002</v>
      </c>
      <c r="I58" s="66">
        <v>1</v>
      </c>
      <c r="J58" s="74">
        <f t="shared" si="1"/>
        <v>20714.830000000002</v>
      </c>
      <c r="K58" s="74">
        <v>1967.9088500000003</v>
      </c>
      <c r="L58" s="66">
        <v>10</v>
      </c>
      <c r="M58" s="73"/>
    </row>
    <row r="59" spans="2:13" s="75" customFormat="1" x14ac:dyDescent="0.25">
      <c r="B59" s="72">
        <v>47</v>
      </c>
      <c r="C59" s="57" t="s">
        <v>383</v>
      </c>
      <c r="D59" s="57" t="s">
        <v>130</v>
      </c>
      <c r="E59" s="57" t="s">
        <v>384</v>
      </c>
      <c r="F59" s="76" t="s">
        <v>459</v>
      </c>
      <c r="G59" s="66">
        <v>2005</v>
      </c>
      <c r="H59" s="65">
        <v>14519</v>
      </c>
      <c r="I59" s="66">
        <v>1</v>
      </c>
      <c r="J59" s="74">
        <f t="shared" si="1"/>
        <v>14519</v>
      </c>
      <c r="K59" s="74">
        <v>1379.3049999999998</v>
      </c>
      <c r="L59" s="66">
        <v>10</v>
      </c>
      <c r="M59" s="73"/>
    </row>
    <row r="60" spans="2:13" s="75" customFormat="1" ht="22.5" x14ac:dyDescent="0.25">
      <c r="B60" s="72">
        <v>48</v>
      </c>
      <c r="C60" s="57" t="s">
        <v>381</v>
      </c>
      <c r="D60" s="57" t="s">
        <v>117</v>
      </c>
      <c r="E60" s="57" t="s">
        <v>382</v>
      </c>
      <c r="F60" s="76" t="s">
        <v>459</v>
      </c>
      <c r="G60" s="66">
        <v>2006</v>
      </c>
      <c r="H60" s="65">
        <v>22000</v>
      </c>
      <c r="I60" s="66">
        <v>1</v>
      </c>
      <c r="J60" s="74">
        <f t="shared" si="1"/>
        <v>22000</v>
      </c>
      <c r="K60" s="74">
        <v>2090</v>
      </c>
      <c r="L60" s="66">
        <v>10</v>
      </c>
      <c r="M60" s="73"/>
    </row>
    <row r="61" spans="2:13" s="75" customFormat="1" ht="33" x14ac:dyDescent="0.25">
      <c r="B61" s="72">
        <v>49</v>
      </c>
      <c r="C61" s="57" t="s">
        <v>141</v>
      </c>
      <c r="D61" s="57" t="s">
        <v>117</v>
      </c>
      <c r="E61" s="57" t="s">
        <v>142</v>
      </c>
      <c r="F61" s="76" t="s">
        <v>442</v>
      </c>
      <c r="G61" s="66">
        <v>2008</v>
      </c>
      <c r="H61" s="65">
        <v>21000</v>
      </c>
      <c r="I61" s="66">
        <v>1</v>
      </c>
      <c r="J61" s="74">
        <f t="shared" si="1"/>
        <v>21000</v>
      </c>
      <c r="K61" s="74">
        <v>1995</v>
      </c>
      <c r="L61" s="66">
        <v>10</v>
      </c>
      <c r="M61" s="73"/>
    </row>
    <row r="62" spans="2:13" s="75" customFormat="1" x14ac:dyDescent="0.25">
      <c r="B62" s="72">
        <v>50</v>
      </c>
      <c r="C62" s="57" t="s">
        <v>170</v>
      </c>
      <c r="D62" s="57" t="s">
        <v>171</v>
      </c>
      <c r="E62" s="57" t="s">
        <v>172</v>
      </c>
      <c r="F62" s="76" t="s">
        <v>444</v>
      </c>
      <c r="G62" s="66">
        <v>2008</v>
      </c>
      <c r="H62" s="65">
        <v>12536.63</v>
      </c>
      <c r="I62" s="66">
        <v>1</v>
      </c>
      <c r="J62" s="74">
        <f t="shared" si="1"/>
        <v>12536.63</v>
      </c>
      <c r="K62" s="74">
        <v>1190.9798499999999</v>
      </c>
      <c r="L62" s="66">
        <v>10</v>
      </c>
      <c r="M62" s="73"/>
    </row>
    <row r="63" spans="2:13" s="75" customFormat="1" ht="33" x14ac:dyDescent="0.25">
      <c r="B63" s="72">
        <v>51</v>
      </c>
      <c r="C63" s="57" t="s">
        <v>209</v>
      </c>
      <c r="D63" s="57" t="s">
        <v>117</v>
      </c>
      <c r="E63" s="57" t="s">
        <v>210</v>
      </c>
      <c r="F63" s="76" t="s">
        <v>449</v>
      </c>
      <c r="G63" s="66">
        <v>2008</v>
      </c>
      <c r="H63" s="65">
        <v>21000</v>
      </c>
      <c r="I63" s="66">
        <v>4</v>
      </c>
      <c r="J63" s="74">
        <f t="shared" si="1"/>
        <v>84000</v>
      </c>
      <c r="K63" s="74">
        <v>1995</v>
      </c>
      <c r="L63" s="66">
        <v>10</v>
      </c>
      <c r="M63" s="73"/>
    </row>
    <row r="64" spans="2:13" s="75" customFormat="1" ht="33" x14ac:dyDescent="0.25">
      <c r="B64" s="72">
        <v>52</v>
      </c>
      <c r="C64" s="57" t="s">
        <v>314</v>
      </c>
      <c r="D64" s="57" t="s">
        <v>117</v>
      </c>
      <c r="E64" s="57" t="s">
        <v>315</v>
      </c>
      <c r="F64" s="76" t="s">
        <v>455</v>
      </c>
      <c r="G64" s="66">
        <v>2008</v>
      </c>
      <c r="H64" s="65">
        <v>21000</v>
      </c>
      <c r="I64" s="66">
        <v>1</v>
      </c>
      <c r="J64" s="74">
        <f t="shared" si="1"/>
        <v>21000</v>
      </c>
      <c r="K64" s="74">
        <v>1995</v>
      </c>
      <c r="L64" s="66">
        <v>10</v>
      </c>
      <c r="M64" s="73"/>
    </row>
    <row r="65" spans="2:13" s="75" customFormat="1" ht="33" x14ac:dyDescent="0.25">
      <c r="B65" s="72">
        <v>53</v>
      </c>
      <c r="C65" s="57" t="s">
        <v>327</v>
      </c>
      <c r="D65" s="57" t="s">
        <v>117</v>
      </c>
      <c r="E65" s="57" t="s">
        <v>328</v>
      </c>
      <c r="F65" s="76" t="s">
        <v>456</v>
      </c>
      <c r="G65" s="66">
        <v>2008</v>
      </c>
      <c r="H65" s="65">
        <v>24800</v>
      </c>
      <c r="I65" s="66">
        <v>1</v>
      </c>
      <c r="J65" s="74">
        <f t="shared" si="1"/>
        <v>24800</v>
      </c>
      <c r="K65" s="74">
        <v>2356</v>
      </c>
      <c r="L65" s="66">
        <v>10</v>
      </c>
      <c r="M65" s="73"/>
    </row>
    <row r="66" spans="2:13" s="75" customFormat="1" ht="33" x14ac:dyDescent="0.25">
      <c r="B66" s="72">
        <v>54</v>
      </c>
      <c r="C66" s="57" t="s">
        <v>398</v>
      </c>
      <c r="D66" s="57" t="s">
        <v>117</v>
      </c>
      <c r="E66" s="57" t="s">
        <v>399</v>
      </c>
      <c r="F66" s="76" t="s">
        <v>461</v>
      </c>
      <c r="G66" s="66">
        <v>2008</v>
      </c>
      <c r="H66" s="65">
        <v>20200</v>
      </c>
      <c r="I66" s="66">
        <v>1</v>
      </c>
      <c r="J66" s="74">
        <f t="shared" si="1"/>
        <v>20200</v>
      </c>
      <c r="K66" s="74">
        <v>1919</v>
      </c>
      <c r="L66" s="66">
        <v>10</v>
      </c>
      <c r="M66" s="73"/>
    </row>
    <row r="67" spans="2:13" s="75" customFormat="1" ht="33" x14ac:dyDescent="0.25">
      <c r="B67" s="72">
        <v>55</v>
      </c>
      <c r="C67" s="57" t="s">
        <v>404</v>
      </c>
      <c r="D67" s="57" t="s">
        <v>117</v>
      </c>
      <c r="E67" s="57" t="s">
        <v>405</v>
      </c>
      <c r="F67" s="76" t="s">
        <v>460</v>
      </c>
      <c r="G67" s="66">
        <v>2008</v>
      </c>
      <c r="H67" s="65">
        <v>21150</v>
      </c>
      <c r="I67" s="66">
        <v>1</v>
      </c>
      <c r="J67" s="74">
        <f t="shared" si="1"/>
        <v>21150</v>
      </c>
      <c r="K67" s="74">
        <v>2009.25</v>
      </c>
      <c r="L67" s="66">
        <v>10</v>
      </c>
      <c r="M67" s="73"/>
    </row>
    <row r="68" spans="2:13" s="75" customFormat="1" ht="33" x14ac:dyDescent="0.25">
      <c r="B68" s="72">
        <v>56</v>
      </c>
      <c r="C68" s="57" t="s">
        <v>121</v>
      </c>
      <c r="D68" s="57" t="s">
        <v>117</v>
      </c>
      <c r="E68" s="57" t="s">
        <v>122</v>
      </c>
      <c r="F68" s="76" t="s">
        <v>439</v>
      </c>
      <c r="G68" s="66">
        <v>2009</v>
      </c>
      <c r="H68" s="65">
        <v>22200</v>
      </c>
      <c r="I68" s="66">
        <v>1</v>
      </c>
      <c r="J68" s="74">
        <f t="shared" si="1"/>
        <v>22200</v>
      </c>
      <c r="K68" s="74">
        <v>2109</v>
      </c>
      <c r="L68" s="66">
        <v>10</v>
      </c>
      <c r="M68" s="73"/>
    </row>
    <row r="69" spans="2:13" s="75" customFormat="1" ht="33" x14ac:dyDescent="0.25">
      <c r="B69" s="72">
        <v>57</v>
      </c>
      <c r="C69" s="57" t="s">
        <v>143</v>
      </c>
      <c r="D69" s="57" t="s">
        <v>130</v>
      </c>
      <c r="E69" s="57" t="s">
        <v>144</v>
      </c>
      <c r="F69" s="76" t="s">
        <v>442</v>
      </c>
      <c r="G69" s="66">
        <v>2009</v>
      </c>
      <c r="H69" s="65">
        <v>24150</v>
      </c>
      <c r="I69" s="66">
        <v>1</v>
      </c>
      <c r="J69" s="74">
        <f t="shared" si="1"/>
        <v>24150</v>
      </c>
      <c r="K69" s="74">
        <v>2294.25</v>
      </c>
      <c r="L69" s="66">
        <v>10</v>
      </c>
      <c r="M69" s="73"/>
    </row>
    <row r="70" spans="2:13" s="75" customFormat="1" ht="33" x14ac:dyDescent="0.25">
      <c r="B70" s="72">
        <v>58</v>
      </c>
      <c r="C70" s="57" t="s">
        <v>145</v>
      </c>
      <c r="D70" s="57" t="s">
        <v>117</v>
      </c>
      <c r="E70" s="57" t="s">
        <v>146</v>
      </c>
      <c r="F70" s="76" t="s">
        <v>439</v>
      </c>
      <c r="G70" s="66">
        <v>2009</v>
      </c>
      <c r="H70" s="65">
        <v>21000</v>
      </c>
      <c r="I70" s="66">
        <v>1</v>
      </c>
      <c r="J70" s="74">
        <f t="shared" si="1"/>
        <v>21000</v>
      </c>
      <c r="K70" s="74">
        <v>1995</v>
      </c>
      <c r="L70" s="66">
        <v>10</v>
      </c>
      <c r="M70" s="73"/>
    </row>
    <row r="71" spans="2:13" s="75" customFormat="1" ht="33" x14ac:dyDescent="0.25">
      <c r="B71" s="72">
        <v>59</v>
      </c>
      <c r="C71" s="57" t="s">
        <v>152</v>
      </c>
      <c r="D71" s="59" t="s">
        <v>130</v>
      </c>
      <c r="E71" s="59" t="s">
        <v>153</v>
      </c>
      <c r="F71" s="76" t="s">
        <v>443</v>
      </c>
      <c r="G71" s="66">
        <v>2009</v>
      </c>
      <c r="H71" s="65">
        <v>22300</v>
      </c>
      <c r="I71" s="66">
        <v>1</v>
      </c>
      <c r="J71" s="74">
        <f t="shared" si="1"/>
        <v>22300</v>
      </c>
      <c r="K71" s="74">
        <v>2118.5</v>
      </c>
      <c r="L71" s="66">
        <v>10</v>
      </c>
      <c r="M71" s="73"/>
    </row>
    <row r="72" spans="2:13" s="75" customFormat="1" ht="33" x14ac:dyDescent="0.25">
      <c r="B72" s="72">
        <v>60</v>
      </c>
      <c r="C72" s="57" t="s">
        <v>217</v>
      </c>
      <c r="D72" s="57" t="s">
        <v>117</v>
      </c>
      <c r="E72" s="57" t="s">
        <v>218</v>
      </c>
      <c r="F72" s="76" t="s">
        <v>450</v>
      </c>
      <c r="G72" s="66">
        <v>2009</v>
      </c>
      <c r="H72" s="65">
        <v>18000</v>
      </c>
      <c r="I72" s="66">
        <v>1</v>
      </c>
      <c r="J72" s="74">
        <f t="shared" si="1"/>
        <v>18000</v>
      </c>
      <c r="K72" s="74">
        <v>1710</v>
      </c>
      <c r="L72" s="66">
        <v>10</v>
      </c>
      <c r="M72" s="73"/>
    </row>
    <row r="73" spans="2:13" s="75" customFormat="1" ht="33" x14ac:dyDescent="0.25">
      <c r="B73" s="72">
        <v>61</v>
      </c>
      <c r="C73" s="57" t="s">
        <v>219</v>
      </c>
      <c r="D73" s="57" t="s">
        <v>117</v>
      </c>
      <c r="E73" s="57" t="s">
        <v>220</v>
      </c>
      <c r="F73" s="76" t="s">
        <v>450</v>
      </c>
      <c r="G73" s="66">
        <v>2009</v>
      </c>
      <c r="H73" s="65">
        <v>15150</v>
      </c>
      <c r="I73" s="66">
        <v>3</v>
      </c>
      <c r="J73" s="74">
        <f t="shared" si="1"/>
        <v>45450</v>
      </c>
      <c r="K73" s="74">
        <v>1439.25</v>
      </c>
      <c r="L73" s="66">
        <v>10</v>
      </c>
      <c r="M73" s="73"/>
    </row>
    <row r="74" spans="2:13" s="75" customFormat="1" ht="22.5" x14ac:dyDescent="0.25">
      <c r="B74" s="72">
        <v>62</v>
      </c>
      <c r="C74" s="57" t="s">
        <v>239</v>
      </c>
      <c r="D74" s="57" t="s">
        <v>117</v>
      </c>
      <c r="E74" s="57" t="s">
        <v>240</v>
      </c>
      <c r="F74" s="76" t="s">
        <v>444</v>
      </c>
      <c r="G74" s="66">
        <v>2009</v>
      </c>
      <c r="H74" s="65">
        <v>19500</v>
      </c>
      <c r="I74" s="66">
        <v>1</v>
      </c>
      <c r="J74" s="74">
        <f t="shared" si="1"/>
        <v>19500</v>
      </c>
      <c r="K74" s="74">
        <v>1852.5</v>
      </c>
      <c r="L74" s="66">
        <v>10</v>
      </c>
      <c r="M74" s="73"/>
    </row>
    <row r="75" spans="2:13" s="75" customFormat="1" ht="33" x14ac:dyDescent="0.25">
      <c r="B75" s="72">
        <v>63</v>
      </c>
      <c r="C75" s="57" t="s">
        <v>286</v>
      </c>
      <c r="D75" s="59" t="s">
        <v>117</v>
      </c>
      <c r="E75" s="57" t="s">
        <v>287</v>
      </c>
      <c r="F75" s="76" t="s">
        <v>445</v>
      </c>
      <c r="G75" s="66">
        <v>2009</v>
      </c>
      <c r="H75" s="65">
        <v>15150</v>
      </c>
      <c r="I75" s="66">
        <v>1</v>
      </c>
      <c r="J75" s="74">
        <f t="shared" si="1"/>
        <v>15150</v>
      </c>
      <c r="K75" s="74">
        <v>1439.25</v>
      </c>
      <c r="L75" s="66">
        <v>10</v>
      </c>
      <c r="M75" s="73"/>
    </row>
    <row r="76" spans="2:13" s="75" customFormat="1" ht="22.5" x14ac:dyDescent="0.25">
      <c r="B76" s="72">
        <v>64</v>
      </c>
      <c r="C76" s="57" t="s">
        <v>419</v>
      </c>
      <c r="D76" s="57" t="s">
        <v>117</v>
      </c>
      <c r="E76" s="57" t="s">
        <v>420</v>
      </c>
      <c r="F76" s="76" t="s">
        <v>440</v>
      </c>
      <c r="G76" s="66">
        <v>2009</v>
      </c>
      <c r="H76" s="65">
        <v>20714.830000000002</v>
      </c>
      <c r="I76" s="66">
        <v>2</v>
      </c>
      <c r="J76" s="74">
        <f t="shared" si="1"/>
        <v>41429.660000000003</v>
      </c>
      <c r="K76" s="74">
        <v>1967.9088500000003</v>
      </c>
      <c r="L76" s="66">
        <v>10</v>
      </c>
      <c r="M76" s="73"/>
    </row>
    <row r="77" spans="2:13" s="75" customFormat="1" ht="33" x14ac:dyDescent="0.25">
      <c r="B77" s="72">
        <v>65</v>
      </c>
      <c r="C77" s="58" t="s">
        <v>148</v>
      </c>
      <c r="D77" s="57" t="s">
        <v>117</v>
      </c>
      <c r="E77" s="59" t="s">
        <v>149</v>
      </c>
      <c r="F77" s="76" t="s">
        <v>443</v>
      </c>
      <c r="G77" s="66">
        <v>2010</v>
      </c>
      <c r="H77" s="65">
        <v>22300</v>
      </c>
      <c r="I77" s="66">
        <v>1</v>
      </c>
      <c r="J77" s="74">
        <f t="shared" ref="J77:J108" si="2">I77*H77</f>
        <v>22300</v>
      </c>
      <c r="K77" s="74">
        <v>2118.5</v>
      </c>
      <c r="L77" s="66">
        <v>10</v>
      </c>
      <c r="M77" s="73"/>
    </row>
    <row r="78" spans="2:13" s="75" customFormat="1" ht="33.75" x14ac:dyDescent="0.25">
      <c r="B78" s="72">
        <v>66</v>
      </c>
      <c r="C78" s="57" t="s">
        <v>235</v>
      </c>
      <c r="D78" s="57" t="s">
        <v>130</v>
      </c>
      <c r="E78" s="57" t="s">
        <v>236</v>
      </c>
      <c r="F78" s="76" t="s">
        <v>451</v>
      </c>
      <c r="G78" s="66">
        <v>2010</v>
      </c>
      <c r="H78" s="65">
        <v>22300</v>
      </c>
      <c r="I78" s="66">
        <v>1</v>
      </c>
      <c r="J78" s="74">
        <f t="shared" si="2"/>
        <v>22300</v>
      </c>
      <c r="K78" s="74">
        <v>2118.5</v>
      </c>
      <c r="L78" s="66">
        <v>10</v>
      </c>
      <c r="M78" s="73"/>
    </row>
    <row r="79" spans="2:13" s="75" customFormat="1" ht="22.5" x14ac:dyDescent="0.25">
      <c r="B79" s="72">
        <v>67</v>
      </c>
      <c r="C79" s="57" t="s">
        <v>336</v>
      </c>
      <c r="D79" s="57" t="s">
        <v>130</v>
      </c>
      <c r="E79" s="57" t="s">
        <v>337</v>
      </c>
      <c r="F79" s="76" t="s">
        <v>457</v>
      </c>
      <c r="G79" s="66">
        <v>2010</v>
      </c>
      <c r="H79" s="65">
        <v>22300</v>
      </c>
      <c r="I79" s="66">
        <v>1</v>
      </c>
      <c r="J79" s="74">
        <f t="shared" si="2"/>
        <v>22300</v>
      </c>
      <c r="K79" s="74">
        <v>2118.5</v>
      </c>
      <c r="L79" s="66">
        <v>10</v>
      </c>
      <c r="M79" s="73"/>
    </row>
    <row r="80" spans="2:13" s="75" customFormat="1" ht="33" x14ac:dyDescent="0.25">
      <c r="B80" s="72">
        <v>68</v>
      </c>
      <c r="C80" s="57" t="s">
        <v>359</v>
      </c>
      <c r="D80" s="59" t="s">
        <v>130</v>
      </c>
      <c r="E80" s="57" t="s">
        <v>360</v>
      </c>
      <c r="F80" s="76" t="s">
        <v>458</v>
      </c>
      <c r="G80" s="66">
        <v>2010</v>
      </c>
      <c r="H80" s="65">
        <v>22300</v>
      </c>
      <c r="I80" s="66">
        <v>1</v>
      </c>
      <c r="J80" s="74">
        <f t="shared" si="2"/>
        <v>22300</v>
      </c>
      <c r="K80" s="74">
        <v>2118.5</v>
      </c>
      <c r="L80" s="66">
        <v>10</v>
      </c>
      <c r="M80" s="73"/>
    </row>
    <row r="81" spans="2:13" s="75" customFormat="1" ht="33" x14ac:dyDescent="0.25">
      <c r="B81" s="72">
        <v>69</v>
      </c>
      <c r="C81" s="57" t="s">
        <v>400</v>
      </c>
      <c r="D81" s="57" t="s">
        <v>117</v>
      </c>
      <c r="E81" s="57" t="s">
        <v>401</v>
      </c>
      <c r="F81" s="76" t="s">
        <v>461</v>
      </c>
      <c r="G81" s="66">
        <v>2010</v>
      </c>
      <c r="H81" s="65">
        <v>15150</v>
      </c>
      <c r="I81" s="66">
        <v>1</v>
      </c>
      <c r="J81" s="74">
        <f t="shared" si="2"/>
        <v>15150</v>
      </c>
      <c r="K81" s="74">
        <v>1439.25</v>
      </c>
      <c r="L81" s="66">
        <v>10</v>
      </c>
      <c r="M81" s="73"/>
    </row>
    <row r="82" spans="2:13" s="75" customFormat="1" ht="49.5" x14ac:dyDescent="0.25">
      <c r="B82" s="72">
        <v>70</v>
      </c>
      <c r="C82" s="57" t="s">
        <v>132</v>
      </c>
      <c r="D82" s="57" t="s">
        <v>117</v>
      </c>
      <c r="E82" s="57" t="s">
        <v>133</v>
      </c>
      <c r="F82" s="76" t="s">
        <v>441</v>
      </c>
      <c r="G82" s="66">
        <v>2011</v>
      </c>
      <c r="H82" s="65">
        <v>23950</v>
      </c>
      <c r="I82" s="66">
        <v>1</v>
      </c>
      <c r="J82" s="74">
        <f t="shared" si="2"/>
        <v>23950</v>
      </c>
      <c r="K82" s="74">
        <v>2275.25</v>
      </c>
      <c r="L82" s="66">
        <v>10</v>
      </c>
      <c r="M82" s="73"/>
    </row>
    <row r="83" spans="2:13" s="75" customFormat="1" ht="49.5" x14ac:dyDescent="0.25">
      <c r="B83" s="72">
        <v>71</v>
      </c>
      <c r="C83" s="57" t="s">
        <v>134</v>
      </c>
      <c r="D83" s="57" t="s">
        <v>130</v>
      </c>
      <c r="E83" s="57" t="s">
        <v>135</v>
      </c>
      <c r="F83" s="76" t="s">
        <v>441</v>
      </c>
      <c r="G83" s="66">
        <v>2011</v>
      </c>
      <c r="H83" s="65">
        <v>23950</v>
      </c>
      <c r="I83" s="66">
        <v>1</v>
      </c>
      <c r="J83" s="74">
        <f t="shared" si="2"/>
        <v>23950</v>
      </c>
      <c r="K83" s="74">
        <v>2275.25</v>
      </c>
      <c r="L83" s="66">
        <v>10</v>
      </c>
      <c r="M83" s="73"/>
    </row>
    <row r="84" spans="2:13" s="75" customFormat="1" ht="33" x14ac:dyDescent="0.25">
      <c r="B84" s="72">
        <v>72</v>
      </c>
      <c r="C84" s="58" t="s">
        <v>179</v>
      </c>
      <c r="D84" s="59" t="s">
        <v>171</v>
      </c>
      <c r="E84" s="59" t="s">
        <v>180</v>
      </c>
      <c r="F84" s="76" t="s">
        <v>445</v>
      </c>
      <c r="G84" s="66">
        <v>2011</v>
      </c>
      <c r="H84" s="65">
        <v>14312.7</v>
      </c>
      <c r="I84" s="66">
        <v>1</v>
      </c>
      <c r="J84" s="74">
        <f t="shared" si="2"/>
        <v>14312.7</v>
      </c>
      <c r="K84" s="74">
        <v>1359.7065</v>
      </c>
      <c r="L84" s="66">
        <v>10</v>
      </c>
      <c r="M84" s="73"/>
    </row>
    <row r="85" spans="2:13" s="75" customFormat="1" ht="22.5" x14ac:dyDescent="0.25">
      <c r="B85" s="72">
        <v>73</v>
      </c>
      <c r="C85" s="57" t="s">
        <v>361</v>
      </c>
      <c r="D85" s="57" t="s">
        <v>117</v>
      </c>
      <c r="E85" s="57" t="s">
        <v>362</v>
      </c>
      <c r="F85" s="76" t="s">
        <v>444</v>
      </c>
      <c r="G85" s="66">
        <v>2011</v>
      </c>
      <c r="H85" s="65">
        <v>23950</v>
      </c>
      <c r="I85" s="66">
        <v>1</v>
      </c>
      <c r="J85" s="74">
        <f t="shared" si="2"/>
        <v>23950</v>
      </c>
      <c r="K85" s="74">
        <v>2275.25</v>
      </c>
      <c r="L85" s="66">
        <v>10</v>
      </c>
      <c r="M85" s="73"/>
    </row>
    <row r="86" spans="2:13" s="75" customFormat="1" ht="78.75" x14ac:dyDescent="0.25">
      <c r="B86" s="72">
        <v>74</v>
      </c>
      <c r="C86" s="57" t="s">
        <v>368</v>
      </c>
      <c r="D86" s="57" t="s">
        <v>117</v>
      </c>
      <c r="E86" s="57" t="s">
        <v>369</v>
      </c>
      <c r="F86" s="76" t="s">
        <v>441</v>
      </c>
      <c r="G86" s="66">
        <v>2011</v>
      </c>
      <c r="H86" s="65">
        <v>23950</v>
      </c>
      <c r="I86" s="66">
        <v>10</v>
      </c>
      <c r="J86" s="74">
        <f t="shared" si="2"/>
        <v>239500</v>
      </c>
      <c r="K86" s="74">
        <v>2275.25</v>
      </c>
      <c r="L86" s="66">
        <v>10</v>
      </c>
      <c r="M86" s="73"/>
    </row>
    <row r="87" spans="2:13" s="75" customFormat="1" ht="22.5" x14ac:dyDescent="0.25">
      <c r="B87" s="72">
        <v>75</v>
      </c>
      <c r="C87" s="57" t="s">
        <v>385</v>
      </c>
      <c r="D87" s="57" t="s">
        <v>130</v>
      </c>
      <c r="E87" s="57" t="s">
        <v>386</v>
      </c>
      <c r="F87" s="76" t="s">
        <v>459</v>
      </c>
      <c r="G87" s="66">
        <v>2011</v>
      </c>
      <c r="H87" s="65">
        <v>18600</v>
      </c>
      <c r="I87" s="66">
        <v>1</v>
      </c>
      <c r="J87" s="74">
        <f t="shared" si="2"/>
        <v>18600</v>
      </c>
      <c r="K87" s="74">
        <v>1767</v>
      </c>
      <c r="L87" s="66">
        <v>10</v>
      </c>
      <c r="M87" s="73"/>
    </row>
    <row r="88" spans="2:13" s="75" customFormat="1" ht="33" x14ac:dyDescent="0.25">
      <c r="B88" s="72">
        <v>76</v>
      </c>
      <c r="C88" s="57" t="s">
        <v>323</v>
      </c>
      <c r="D88" s="57" t="s">
        <v>117</v>
      </c>
      <c r="E88" s="57" t="s">
        <v>324</v>
      </c>
      <c r="F88" s="76" t="s">
        <v>456</v>
      </c>
      <c r="G88" s="66">
        <v>2012</v>
      </c>
      <c r="H88" s="65">
        <v>20714.830000000002</v>
      </c>
      <c r="I88" s="66">
        <v>1</v>
      </c>
      <c r="J88" s="74">
        <f t="shared" si="2"/>
        <v>20714.830000000002</v>
      </c>
      <c r="K88" s="74">
        <v>1967.9088500000003</v>
      </c>
      <c r="L88" s="66">
        <v>10</v>
      </c>
      <c r="M88" s="73"/>
    </row>
    <row r="89" spans="2:13" s="75" customFormat="1" ht="45" x14ac:dyDescent="0.25">
      <c r="B89" s="72">
        <v>77</v>
      </c>
      <c r="C89" s="57" t="s">
        <v>123</v>
      </c>
      <c r="D89" s="57" t="s">
        <v>124</v>
      </c>
      <c r="E89" s="57" t="s">
        <v>125</v>
      </c>
      <c r="F89" s="76" t="s">
        <v>439</v>
      </c>
      <c r="G89" s="66">
        <v>2013</v>
      </c>
      <c r="H89" s="65">
        <v>56945</v>
      </c>
      <c r="I89" s="66">
        <v>1</v>
      </c>
      <c r="J89" s="74">
        <f t="shared" si="2"/>
        <v>56945</v>
      </c>
      <c r="K89" s="74">
        <v>5409.7749999999996</v>
      </c>
      <c r="L89" s="66">
        <v>10</v>
      </c>
      <c r="M89" s="73"/>
    </row>
    <row r="90" spans="2:13" s="75" customFormat="1" ht="33" x14ac:dyDescent="0.25">
      <c r="B90" s="72">
        <v>78</v>
      </c>
      <c r="C90" s="57" t="s">
        <v>157</v>
      </c>
      <c r="D90" s="59" t="s">
        <v>158</v>
      </c>
      <c r="E90" s="59" t="s">
        <v>159</v>
      </c>
      <c r="F90" s="76" t="s">
        <v>443</v>
      </c>
      <c r="G90" s="66">
        <v>2013</v>
      </c>
      <c r="H90" s="65">
        <v>12546.63</v>
      </c>
      <c r="I90" s="66">
        <v>1</v>
      </c>
      <c r="J90" s="74">
        <f t="shared" si="2"/>
        <v>12546.63</v>
      </c>
      <c r="K90" s="74">
        <v>1191.92985</v>
      </c>
      <c r="L90" s="66">
        <v>10</v>
      </c>
      <c r="M90" s="73"/>
    </row>
    <row r="91" spans="2:13" s="75" customFormat="1" ht="33.75" x14ac:dyDescent="0.25">
      <c r="B91" s="72">
        <v>79</v>
      </c>
      <c r="C91" s="57" t="s">
        <v>160</v>
      </c>
      <c r="D91" s="57" t="s">
        <v>130</v>
      </c>
      <c r="E91" s="57" t="s">
        <v>161</v>
      </c>
      <c r="F91" s="76" t="s">
        <v>443</v>
      </c>
      <c r="G91" s="66">
        <v>2013</v>
      </c>
      <c r="H91" s="65">
        <v>22388</v>
      </c>
      <c r="I91" s="66">
        <v>1</v>
      </c>
      <c r="J91" s="74">
        <f t="shared" si="2"/>
        <v>22388</v>
      </c>
      <c r="K91" s="74">
        <v>2126.8599999999997</v>
      </c>
      <c r="L91" s="66">
        <v>10</v>
      </c>
      <c r="M91" s="73"/>
    </row>
    <row r="92" spans="2:13" s="75" customFormat="1" ht="33.75" x14ac:dyDescent="0.25">
      <c r="B92" s="72">
        <v>80</v>
      </c>
      <c r="C92" s="57" t="s">
        <v>168</v>
      </c>
      <c r="D92" s="57" t="s">
        <v>130</v>
      </c>
      <c r="E92" s="57" t="s">
        <v>169</v>
      </c>
      <c r="F92" s="76" t="s">
        <v>444</v>
      </c>
      <c r="G92" s="66">
        <v>2013</v>
      </c>
      <c r="H92" s="65">
        <v>56945</v>
      </c>
      <c r="I92" s="66">
        <v>1</v>
      </c>
      <c r="J92" s="74">
        <f t="shared" si="2"/>
        <v>56945</v>
      </c>
      <c r="K92" s="74">
        <v>5409.7749999999996</v>
      </c>
      <c r="L92" s="66">
        <v>10</v>
      </c>
      <c r="M92" s="73"/>
    </row>
    <row r="93" spans="2:13" s="75" customFormat="1" ht="33" x14ac:dyDescent="0.25">
      <c r="B93" s="72">
        <v>81</v>
      </c>
      <c r="C93" s="57" t="s">
        <v>191</v>
      </c>
      <c r="D93" s="57" t="s">
        <v>130</v>
      </c>
      <c r="E93" s="57" t="s">
        <v>192</v>
      </c>
      <c r="F93" s="76" t="s">
        <v>448</v>
      </c>
      <c r="G93" s="66">
        <v>2013</v>
      </c>
      <c r="H93" s="65">
        <v>18995</v>
      </c>
      <c r="I93" s="66">
        <v>1</v>
      </c>
      <c r="J93" s="74">
        <f t="shared" si="2"/>
        <v>18995</v>
      </c>
      <c r="K93" s="74">
        <v>1804.5250000000001</v>
      </c>
      <c r="L93" s="66">
        <v>10</v>
      </c>
      <c r="M93" s="73"/>
    </row>
    <row r="94" spans="2:13" s="75" customFormat="1" ht="33" x14ac:dyDescent="0.25">
      <c r="B94" s="72">
        <v>82</v>
      </c>
      <c r="C94" s="57" t="s">
        <v>221</v>
      </c>
      <c r="D94" s="57" t="s">
        <v>130</v>
      </c>
      <c r="E94" s="57" t="s">
        <v>222</v>
      </c>
      <c r="F94" s="76" t="s">
        <v>450</v>
      </c>
      <c r="G94" s="66">
        <v>2013</v>
      </c>
      <c r="H94" s="65">
        <v>22999</v>
      </c>
      <c r="I94" s="66">
        <v>2</v>
      </c>
      <c r="J94" s="74">
        <f t="shared" si="2"/>
        <v>45998</v>
      </c>
      <c r="K94" s="74">
        <v>2184.9049999999997</v>
      </c>
      <c r="L94" s="66">
        <v>10</v>
      </c>
      <c r="M94" s="73"/>
    </row>
    <row r="95" spans="2:13" s="75" customFormat="1" ht="33" x14ac:dyDescent="0.25">
      <c r="B95" s="72">
        <v>83</v>
      </c>
      <c r="C95" s="57" t="s">
        <v>223</v>
      </c>
      <c r="D95" s="57" t="s">
        <v>130</v>
      </c>
      <c r="E95" s="57" t="s">
        <v>224</v>
      </c>
      <c r="F95" s="76" t="s">
        <v>450</v>
      </c>
      <c r="G95" s="66">
        <v>2013</v>
      </c>
      <c r="H95" s="65">
        <v>18995</v>
      </c>
      <c r="I95" s="66">
        <v>1</v>
      </c>
      <c r="J95" s="74">
        <f t="shared" si="2"/>
        <v>18995</v>
      </c>
      <c r="K95" s="74">
        <v>1804.5250000000001</v>
      </c>
      <c r="L95" s="66">
        <v>10</v>
      </c>
      <c r="M95" s="73"/>
    </row>
    <row r="96" spans="2:13" s="75" customFormat="1" ht="33" x14ac:dyDescent="0.25">
      <c r="B96" s="72">
        <v>84</v>
      </c>
      <c r="C96" s="57" t="s">
        <v>225</v>
      </c>
      <c r="D96" s="57" t="s">
        <v>226</v>
      </c>
      <c r="E96" s="57" t="s">
        <v>227</v>
      </c>
      <c r="F96" s="76" t="s">
        <v>450</v>
      </c>
      <c r="G96" s="66">
        <v>2013</v>
      </c>
      <c r="H96" s="65">
        <v>12000</v>
      </c>
      <c r="I96" s="66">
        <v>1</v>
      </c>
      <c r="J96" s="74">
        <f t="shared" si="2"/>
        <v>12000</v>
      </c>
      <c r="K96" s="74">
        <v>1140</v>
      </c>
      <c r="L96" s="66">
        <v>10</v>
      </c>
      <c r="M96" s="73"/>
    </row>
    <row r="97" spans="2:13" s="75" customFormat="1" ht="45" x14ac:dyDescent="0.25">
      <c r="B97" s="72">
        <v>85</v>
      </c>
      <c r="C97" s="57" t="s">
        <v>237</v>
      </c>
      <c r="D97" s="57" t="s">
        <v>130</v>
      </c>
      <c r="E97" s="57" t="s">
        <v>238</v>
      </c>
      <c r="F97" s="76" t="s">
        <v>451</v>
      </c>
      <c r="G97" s="66">
        <v>2013</v>
      </c>
      <c r="H97" s="65">
        <v>56945</v>
      </c>
      <c r="I97" s="66">
        <v>1</v>
      </c>
      <c r="J97" s="74">
        <f t="shared" si="2"/>
        <v>56945</v>
      </c>
      <c r="K97" s="74">
        <v>5409.7749999999996</v>
      </c>
      <c r="L97" s="66">
        <v>10</v>
      </c>
      <c r="M97" s="73"/>
    </row>
    <row r="98" spans="2:13" s="75" customFormat="1" ht="33" x14ac:dyDescent="0.25">
      <c r="B98" s="72">
        <v>86</v>
      </c>
      <c r="C98" s="57" t="s">
        <v>282</v>
      </c>
      <c r="D98" s="57" t="s">
        <v>130</v>
      </c>
      <c r="E98" s="57" t="s">
        <v>283</v>
      </c>
      <c r="F98" s="76" t="s">
        <v>454</v>
      </c>
      <c r="G98" s="66">
        <v>2013</v>
      </c>
      <c r="H98" s="65">
        <v>17649</v>
      </c>
      <c r="I98" s="66">
        <v>1</v>
      </c>
      <c r="J98" s="74">
        <f t="shared" si="2"/>
        <v>17649</v>
      </c>
      <c r="K98" s="74">
        <v>1676.655</v>
      </c>
      <c r="L98" s="66">
        <v>10</v>
      </c>
      <c r="M98" s="73"/>
    </row>
    <row r="99" spans="2:13" s="75" customFormat="1" ht="33" x14ac:dyDescent="0.25">
      <c r="B99" s="72">
        <v>87</v>
      </c>
      <c r="C99" s="57" t="s">
        <v>288</v>
      </c>
      <c r="D99" s="59" t="s">
        <v>130</v>
      </c>
      <c r="E99" s="57" t="s">
        <v>289</v>
      </c>
      <c r="F99" s="76" t="s">
        <v>445</v>
      </c>
      <c r="G99" s="66">
        <v>2013</v>
      </c>
      <c r="H99" s="65">
        <v>22999</v>
      </c>
      <c r="I99" s="66">
        <v>1</v>
      </c>
      <c r="J99" s="74">
        <f t="shared" si="2"/>
        <v>22999</v>
      </c>
      <c r="K99" s="74">
        <v>2184.9049999999997</v>
      </c>
      <c r="L99" s="66">
        <v>10</v>
      </c>
      <c r="M99" s="73"/>
    </row>
    <row r="100" spans="2:13" s="75" customFormat="1" ht="45" x14ac:dyDescent="0.25">
      <c r="B100" s="72">
        <v>88</v>
      </c>
      <c r="C100" s="57" t="s">
        <v>290</v>
      </c>
      <c r="D100" s="57" t="s">
        <v>130</v>
      </c>
      <c r="E100" s="57" t="s">
        <v>291</v>
      </c>
      <c r="F100" s="76" t="s">
        <v>445</v>
      </c>
      <c r="G100" s="66">
        <v>2013</v>
      </c>
      <c r="H100" s="65">
        <v>56945</v>
      </c>
      <c r="I100" s="66">
        <v>1</v>
      </c>
      <c r="J100" s="74">
        <f t="shared" si="2"/>
        <v>56945</v>
      </c>
      <c r="K100" s="74">
        <v>5409.7749999999996</v>
      </c>
      <c r="L100" s="66">
        <v>10</v>
      </c>
      <c r="M100" s="73"/>
    </row>
    <row r="101" spans="2:13" s="75" customFormat="1" ht="33.75" x14ac:dyDescent="0.25">
      <c r="B101" s="72">
        <v>89</v>
      </c>
      <c r="C101" s="57" t="s">
        <v>325</v>
      </c>
      <c r="D101" s="57" t="s">
        <v>130</v>
      </c>
      <c r="E101" s="57" t="s">
        <v>326</v>
      </c>
      <c r="F101" s="76" t="s">
        <v>456</v>
      </c>
      <c r="G101" s="66">
        <v>2013</v>
      </c>
      <c r="H101" s="65">
        <v>56945</v>
      </c>
      <c r="I101" s="66">
        <v>1</v>
      </c>
      <c r="J101" s="74">
        <f t="shared" si="2"/>
        <v>56945</v>
      </c>
      <c r="K101" s="74">
        <v>5409.7749999999996</v>
      </c>
      <c r="L101" s="66">
        <v>10</v>
      </c>
      <c r="M101" s="73"/>
    </row>
    <row r="102" spans="2:13" s="75" customFormat="1" ht="33" x14ac:dyDescent="0.25">
      <c r="B102" s="72">
        <v>90</v>
      </c>
      <c r="C102" s="57" t="s">
        <v>329</v>
      </c>
      <c r="D102" s="57" t="s">
        <v>130</v>
      </c>
      <c r="E102" s="57" t="s">
        <v>330</v>
      </c>
      <c r="F102" s="76" t="s">
        <v>456</v>
      </c>
      <c r="G102" s="66">
        <v>2013</v>
      </c>
      <c r="H102" s="65">
        <v>16300</v>
      </c>
      <c r="I102" s="66">
        <v>1</v>
      </c>
      <c r="J102" s="74">
        <f t="shared" si="2"/>
        <v>16300</v>
      </c>
      <c r="K102" s="74">
        <v>1548.5</v>
      </c>
      <c r="L102" s="66">
        <v>10</v>
      </c>
      <c r="M102" s="73"/>
    </row>
    <row r="103" spans="2:13" s="75" customFormat="1" x14ac:dyDescent="0.25">
      <c r="B103" s="72">
        <v>91</v>
      </c>
      <c r="C103" s="57" t="s">
        <v>387</v>
      </c>
      <c r="D103" s="57" t="s">
        <v>130</v>
      </c>
      <c r="E103" s="57" t="s">
        <v>388</v>
      </c>
      <c r="F103" s="76" t="s">
        <v>459</v>
      </c>
      <c r="G103" s="66">
        <v>2013</v>
      </c>
      <c r="H103" s="65">
        <v>22388</v>
      </c>
      <c r="I103" s="66">
        <v>1</v>
      </c>
      <c r="J103" s="74">
        <f t="shared" si="2"/>
        <v>22388</v>
      </c>
      <c r="K103" s="74">
        <v>2126.8599999999997</v>
      </c>
      <c r="L103" s="66">
        <v>10</v>
      </c>
      <c r="M103" s="73"/>
    </row>
    <row r="104" spans="2:13" s="75" customFormat="1" x14ac:dyDescent="0.25">
      <c r="B104" s="72">
        <v>92</v>
      </c>
      <c r="C104" s="57" t="s">
        <v>389</v>
      </c>
      <c r="D104" s="57" t="s">
        <v>130</v>
      </c>
      <c r="E104" s="57" t="s">
        <v>390</v>
      </c>
      <c r="F104" s="76" t="s">
        <v>459</v>
      </c>
      <c r="G104" s="66">
        <v>2013</v>
      </c>
      <c r="H104" s="65">
        <v>18995</v>
      </c>
      <c r="I104" s="66">
        <v>1</v>
      </c>
      <c r="J104" s="74">
        <f t="shared" si="2"/>
        <v>18995</v>
      </c>
      <c r="K104" s="74">
        <v>1804.5250000000001</v>
      </c>
      <c r="L104" s="66">
        <v>10</v>
      </c>
      <c r="M104" s="73"/>
    </row>
    <row r="105" spans="2:13" s="75" customFormat="1" ht="33" x14ac:dyDescent="0.25">
      <c r="B105" s="72">
        <v>93</v>
      </c>
      <c r="C105" s="58" t="s">
        <v>392</v>
      </c>
      <c r="D105" s="59" t="s">
        <v>130</v>
      </c>
      <c r="E105" s="59" t="s">
        <v>393</v>
      </c>
      <c r="F105" s="76" t="s">
        <v>460</v>
      </c>
      <c r="G105" s="66">
        <v>2013</v>
      </c>
      <c r="H105" s="65">
        <v>18995</v>
      </c>
      <c r="I105" s="66">
        <v>1</v>
      </c>
      <c r="J105" s="74">
        <f t="shared" si="2"/>
        <v>18995</v>
      </c>
      <c r="K105" s="74">
        <v>1804.5250000000001</v>
      </c>
      <c r="L105" s="66">
        <v>10</v>
      </c>
      <c r="M105" s="73"/>
    </row>
    <row r="106" spans="2:13" s="75" customFormat="1" ht="33" x14ac:dyDescent="0.25">
      <c r="B106" s="72">
        <v>94</v>
      </c>
      <c r="C106" s="57" t="s">
        <v>406</v>
      </c>
      <c r="D106" s="57" t="s">
        <v>117</v>
      </c>
      <c r="E106" s="57" t="s">
        <v>407</v>
      </c>
      <c r="F106" s="76" t="s">
        <v>460</v>
      </c>
      <c r="G106" s="66">
        <v>2013</v>
      </c>
      <c r="H106" s="65">
        <v>18995</v>
      </c>
      <c r="I106" s="66">
        <v>1</v>
      </c>
      <c r="J106" s="74">
        <f t="shared" si="2"/>
        <v>18995</v>
      </c>
      <c r="K106" s="74">
        <v>1804.5250000000001</v>
      </c>
      <c r="L106" s="66">
        <v>10</v>
      </c>
      <c r="M106" s="73"/>
    </row>
    <row r="107" spans="2:13" s="75" customFormat="1" ht="49.5" x14ac:dyDescent="0.25">
      <c r="B107" s="72">
        <v>95</v>
      </c>
      <c r="C107" s="58" t="s">
        <v>412</v>
      </c>
      <c r="D107" s="59" t="s">
        <v>130</v>
      </c>
      <c r="E107" s="59" t="s">
        <v>413</v>
      </c>
      <c r="F107" s="76" t="s">
        <v>462</v>
      </c>
      <c r="G107" s="66">
        <v>2013</v>
      </c>
      <c r="H107" s="65">
        <v>24700</v>
      </c>
      <c r="I107" s="68">
        <v>2</v>
      </c>
      <c r="J107" s="74">
        <f t="shared" si="2"/>
        <v>49400</v>
      </c>
      <c r="K107" s="74">
        <v>2346.5</v>
      </c>
      <c r="L107" s="66">
        <v>10</v>
      </c>
      <c r="M107" s="73"/>
    </row>
    <row r="108" spans="2:13" s="75" customFormat="1" ht="49.5" x14ac:dyDescent="0.25">
      <c r="B108" s="72">
        <v>96</v>
      </c>
      <c r="C108" s="57" t="s">
        <v>414</v>
      </c>
      <c r="D108" s="57" t="s">
        <v>415</v>
      </c>
      <c r="E108" s="58" t="s">
        <v>416</v>
      </c>
      <c r="F108" s="76" t="s">
        <v>462</v>
      </c>
      <c r="G108" s="66">
        <v>2013</v>
      </c>
      <c r="H108" s="65">
        <v>11760</v>
      </c>
      <c r="I108" s="66">
        <v>2</v>
      </c>
      <c r="J108" s="74">
        <f t="shared" si="2"/>
        <v>23520</v>
      </c>
      <c r="K108" s="74">
        <v>1117.2</v>
      </c>
      <c r="L108" s="66">
        <v>10</v>
      </c>
      <c r="M108" s="73"/>
    </row>
    <row r="109" spans="2:13" s="75" customFormat="1" ht="22.5" x14ac:dyDescent="0.25">
      <c r="B109" s="72">
        <v>97</v>
      </c>
      <c r="C109" s="57" t="s">
        <v>434</v>
      </c>
      <c r="D109" s="59" t="s">
        <v>130</v>
      </c>
      <c r="E109" s="59" t="s">
        <v>435</v>
      </c>
      <c r="F109" s="76" t="s">
        <v>464</v>
      </c>
      <c r="G109" s="66">
        <v>2013</v>
      </c>
      <c r="H109" s="65">
        <v>23400</v>
      </c>
      <c r="I109" s="66">
        <v>1</v>
      </c>
      <c r="J109" s="74">
        <f t="shared" ref="J109:J140" si="3">I109*H109</f>
        <v>23400</v>
      </c>
      <c r="K109" s="74">
        <v>2223</v>
      </c>
      <c r="L109" s="66">
        <v>10</v>
      </c>
      <c r="M109" s="73"/>
    </row>
    <row r="110" spans="2:13" s="75" customFormat="1" ht="22.5" x14ac:dyDescent="0.25">
      <c r="B110" s="72">
        <v>98</v>
      </c>
      <c r="C110" s="57" t="s">
        <v>436</v>
      </c>
      <c r="D110" s="59" t="s">
        <v>226</v>
      </c>
      <c r="E110" s="59" t="s">
        <v>437</v>
      </c>
      <c r="F110" s="76" t="s">
        <v>464</v>
      </c>
      <c r="G110" s="66">
        <v>2013</v>
      </c>
      <c r="H110" s="65">
        <v>14000</v>
      </c>
      <c r="I110" s="66">
        <v>1</v>
      </c>
      <c r="J110" s="74">
        <f t="shared" si="3"/>
        <v>14000</v>
      </c>
      <c r="K110" s="74">
        <v>1330</v>
      </c>
      <c r="L110" s="66">
        <v>10</v>
      </c>
      <c r="M110" s="73"/>
    </row>
    <row r="111" spans="2:13" s="75" customFormat="1" ht="33.75" x14ac:dyDescent="0.25">
      <c r="B111" s="72">
        <v>99</v>
      </c>
      <c r="C111" s="57" t="s">
        <v>129</v>
      </c>
      <c r="D111" s="57" t="s">
        <v>130</v>
      </c>
      <c r="E111" s="57" t="s">
        <v>131</v>
      </c>
      <c r="F111" s="76" t="s">
        <v>440</v>
      </c>
      <c r="G111" s="66">
        <v>2014</v>
      </c>
      <c r="H111" s="65">
        <v>13475</v>
      </c>
      <c r="I111" s="68">
        <v>1</v>
      </c>
      <c r="J111" s="74">
        <f t="shared" si="3"/>
        <v>13475</v>
      </c>
      <c r="K111" s="74">
        <v>1280.125</v>
      </c>
      <c r="L111" s="66">
        <v>10</v>
      </c>
      <c r="M111" s="73"/>
    </row>
    <row r="112" spans="2:13" s="75" customFormat="1" ht="45" x14ac:dyDescent="0.25">
      <c r="B112" s="72">
        <v>100</v>
      </c>
      <c r="C112" s="58" t="s">
        <v>139</v>
      </c>
      <c r="D112" s="59" t="s">
        <v>117</v>
      </c>
      <c r="E112" s="59" t="s">
        <v>140</v>
      </c>
      <c r="F112" s="76" t="s">
        <v>440</v>
      </c>
      <c r="G112" s="66">
        <v>2014</v>
      </c>
      <c r="H112" s="65">
        <v>19950</v>
      </c>
      <c r="I112" s="68">
        <v>1</v>
      </c>
      <c r="J112" s="74">
        <f t="shared" si="3"/>
        <v>19950</v>
      </c>
      <c r="K112" s="74">
        <v>1895.25</v>
      </c>
      <c r="L112" s="66">
        <v>10</v>
      </c>
      <c r="M112" s="73"/>
    </row>
    <row r="113" spans="2:13" s="75" customFormat="1" ht="56.25" x14ac:dyDescent="0.25">
      <c r="B113" s="72">
        <v>101</v>
      </c>
      <c r="C113" s="57" t="s">
        <v>164</v>
      </c>
      <c r="D113" s="57" t="s">
        <v>130</v>
      </c>
      <c r="E113" s="57" t="s">
        <v>165</v>
      </c>
      <c r="F113" s="76" t="s">
        <v>442</v>
      </c>
      <c r="G113" s="66">
        <v>2014</v>
      </c>
      <c r="H113" s="65">
        <v>18000</v>
      </c>
      <c r="I113" s="68">
        <v>1</v>
      </c>
      <c r="J113" s="74">
        <f t="shared" si="3"/>
        <v>18000</v>
      </c>
      <c r="K113" s="74">
        <v>1710</v>
      </c>
      <c r="L113" s="66">
        <v>10</v>
      </c>
      <c r="M113" s="73"/>
    </row>
    <row r="114" spans="2:13" s="75" customFormat="1" ht="45" x14ac:dyDescent="0.25">
      <c r="B114" s="72">
        <v>102</v>
      </c>
      <c r="C114" s="57" t="s">
        <v>166</v>
      </c>
      <c r="D114" s="57" t="s">
        <v>130</v>
      </c>
      <c r="E114" s="57" t="s">
        <v>167</v>
      </c>
      <c r="F114" s="76" t="s">
        <v>444</v>
      </c>
      <c r="G114" s="66">
        <v>2014</v>
      </c>
      <c r="H114" s="65">
        <v>28000</v>
      </c>
      <c r="I114" s="68">
        <v>1</v>
      </c>
      <c r="J114" s="74">
        <f t="shared" si="3"/>
        <v>28000</v>
      </c>
      <c r="K114" s="74">
        <v>2660</v>
      </c>
      <c r="L114" s="66">
        <v>10</v>
      </c>
      <c r="M114" s="73"/>
    </row>
    <row r="115" spans="2:13" s="75" customFormat="1" ht="33.75" x14ac:dyDescent="0.25">
      <c r="B115" s="72">
        <v>103</v>
      </c>
      <c r="C115" s="57" t="s">
        <v>177</v>
      </c>
      <c r="D115" s="57" t="s">
        <v>130</v>
      </c>
      <c r="E115" s="57" t="s">
        <v>178</v>
      </c>
      <c r="F115" s="76" t="s">
        <v>442</v>
      </c>
      <c r="G115" s="66">
        <v>2014</v>
      </c>
      <c r="H115" s="65">
        <v>13475</v>
      </c>
      <c r="I115" s="68">
        <v>1</v>
      </c>
      <c r="J115" s="74">
        <f t="shared" si="3"/>
        <v>13475</v>
      </c>
      <c r="K115" s="74">
        <v>1280.125</v>
      </c>
      <c r="L115" s="66">
        <v>10</v>
      </c>
      <c r="M115" s="73"/>
    </row>
    <row r="116" spans="2:13" s="75" customFormat="1" ht="56.25" x14ac:dyDescent="0.25">
      <c r="B116" s="72">
        <v>104</v>
      </c>
      <c r="C116" s="57" t="s">
        <v>181</v>
      </c>
      <c r="D116" s="57" t="s">
        <v>130</v>
      </c>
      <c r="E116" s="57" t="s">
        <v>182</v>
      </c>
      <c r="F116" s="76" t="s">
        <v>445</v>
      </c>
      <c r="G116" s="66">
        <v>2014</v>
      </c>
      <c r="H116" s="65">
        <v>67500</v>
      </c>
      <c r="I116" s="66">
        <v>1</v>
      </c>
      <c r="J116" s="74">
        <f t="shared" si="3"/>
        <v>67500</v>
      </c>
      <c r="K116" s="74">
        <v>6412.5</v>
      </c>
      <c r="L116" s="66">
        <v>10</v>
      </c>
      <c r="M116" s="73"/>
    </row>
    <row r="117" spans="2:13" s="75" customFormat="1" ht="56.25" x14ac:dyDescent="0.25">
      <c r="B117" s="72">
        <v>105</v>
      </c>
      <c r="C117" s="57" t="s">
        <v>183</v>
      </c>
      <c r="D117" s="57" t="s">
        <v>130</v>
      </c>
      <c r="E117" s="57" t="s">
        <v>184</v>
      </c>
      <c r="F117" s="76" t="s">
        <v>445</v>
      </c>
      <c r="G117" s="66">
        <v>2014</v>
      </c>
      <c r="H117" s="65">
        <v>58375</v>
      </c>
      <c r="I117" s="66">
        <v>1</v>
      </c>
      <c r="J117" s="74">
        <f t="shared" si="3"/>
        <v>58375</v>
      </c>
      <c r="K117" s="74">
        <v>5545.625</v>
      </c>
      <c r="L117" s="66">
        <v>10</v>
      </c>
      <c r="M117" s="73"/>
    </row>
    <row r="118" spans="2:13" s="75" customFormat="1" ht="56.25" x14ac:dyDescent="0.25">
      <c r="B118" s="72">
        <v>106</v>
      </c>
      <c r="C118" s="57" t="s">
        <v>243</v>
      </c>
      <c r="D118" s="57" t="s">
        <v>130</v>
      </c>
      <c r="E118" s="57" t="s">
        <v>244</v>
      </c>
      <c r="F118" s="76" t="s">
        <v>444</v>
      </c>
      <c r="G118" s="66">
        <v>2014</v>
      </c>
      <c r="H118" s="65">
        <v>28000</v>
      </c>
      <c r="I118" s="68">
        <v>1</v>
      </c>
      <c r="J118" s="74">
        <f t="shared" si="3"/>
        <v>28000</v>
      </c>
      <c r="K118" s="74">
        <v>2660</v>
      </c>
      <c r="L118" s="66">
        <v>10</v>
      </c>
      <c r="M118" s="73"/>
    </row>
    <row r="119" spans="2:13" s="75" customFormat="1" ht="45" x14ac:dyDescent="0.25">
      <c r="B119" s="72">
        <v>107</v>
      </c>
      <c r="C119" s="57" t="s">
        <v>245</v>
      </c>
      <c r="D119" s="57" t="s">
        <v>117</v>
      </c>
      <c r="E119" s="57" t="s">
        <v>246</v>
      </c>
      <c r="F119" s="76" t="s">
        <v>444</v>
      </c>
      <c r="G119" s="66">
        <v>2014</v>
      </c>
      <c r="H119" s="65">
        <v>36500</v>
      </c>
      <c r="I119" s="66">
        <v>1</v>
      </c>
      <c r="J119" s="74">
        <f t="shared" si="3"/>
        <v>36500</v>
      </c>
      <c r="K119" s="74">
        <v>3467.5</v>
      </c>
      <c r="L119" s="66">
        <v>10</v>
      </c>
      <c r="M119" s="73"/>
    </row>
    <row r="120" spans="2:13" s="75" customFormat="1" ht="22.5" x14ac:dyDescent="0.25">
      <c r="B120" s="72">
        <v>108</v>
      </c>
      <c r="C120" s="57" t="s">
        <v>247</v>
      </c>
      <c r="D120" s="57" t="s">
        <v>248</v>
      </c>
      <c r="E120" s="57" t="s">
        <v>249</v>
      </c>
      <c r="F120" s="76" t="s">
        <v>444</v>
      </c>
      <c r="G120" s="66">
        <v>2014</v>
      </c>
      <c r="H120" s="65">
        <v>18510</v>
      </c>
      <c r="I120" s="66">
        <v>6</v>
      </c>
      <c r="J120" s="74">
        <f t="shared" si="3"/>
        <v>111060</v>
      </c>
      <c r="K120" s="74">
        <v>1758.45</v>
      </c>
      <c r="L120" s="66">
        <v>10</v>
      </c>
      <c r="M120" s="73"/>
    </row>
    <row r="121" spans="2:13" s="75" customFormat="1" ht="67.5" x14ac:dyDescent="0.25">
      <c r="B121" s="72">
        <v>109</v>
      </c>
      <c r="C121" s="57" t="s">
        <v>250</v>
      </c>
      <c r="D121" s="57" t="s">
        <v>130</v>
      </c>
      <c r="E121" s="57" t="s">
        <v>251</v>
      </c>
      <c r="F121" s="76" t="s">
        <v>452</v>
      </c>
      <c r="G121" s="66">
        <v>2014</v>
      </c>
      <c r="H121" s="65">
        <v>28000</v>
      </c>
      <c r="I121" s="68">
        <v>2</v>
      </c>
      <c r="J121" s="74">
        <f t="shared" si="3"/>
        <v>56000</v>
      </c>
      <c r="K121" s="74">
        <v>2660</v>
      </c>
      <c r="L121" s="66">
        <v>10</v>
      </c>
      <c r="M121" s="73"/>
    </row>
    <row r="122" spans="2:13" s="75" customFormat="1" ht="45" x14ac:dyDescent="0.25">
      <c r="B122" s="72">
        <v>110</v>
      </c>
      <c r="C122" s="57" t="s">
        <v>256</v>
      </c>
      <c r="D122" s="57" t="s">
        <v>130</v>
      </c>
      <c r="E122" s="57" t="s">
        <v>257</v>
      </c>
      <c r="F122" s="76" t="s">
        <v>453</v>
      </c>
      <c r="G122" s="66">
        <v>2014</v>
      </c>
      <c r="H122" s="65">
        <v>13475</v>
      </c>
      <c r="I122" s="68">
        <v>1</v>
      </c>
      <c r="J122" s="74">
        <f t="shared" si="3"/>
        <v>13475</v>
      </c>
      <c r="K122" s="74">
        <v>1280.125</v>
      </c>
      <c r="L122" s="66">
        <v>10</v>
      </c>
      <c r="M122" s="73"/>
    </row>
    <row r="123" spans="2:13" s="75" customFormat="1" ht="45" x14ac:dyDescent="0.25">
      <c r="B123" s="72">
        <v>111</v>
      </c>
      <c r="C123" s="57" t="s">
        <v>258</v>
      </c>
      <c r="D123" s="57" t="s">
        <v>130</v>
      </c>
      <c r="E123" s="57" t="s">
        <v>259</v>
      </c>
      <c r="F123" s="76" t="s">
        <v>453</v>
      </c>
      <c r="G123" s="66">
        <v>2014</v>
      </c>
      <c r="H123" s="65">
        <v>13475</v>
      </c>
      <c r="I123" s="68">
        <v>1</v>
      </c>
      <c r="J123" s="74">
        <f t="shared" si="3"/>
        <v>13475</v>
      </c>
      <c r="K123" s="74">
        <v>1280.125</v>
      </c>
      <c r="L123" s="66">
        <v>10</v>
      </c>
      <c r="M123" s="73"/>
    </row>
    <row r="124" spans="2:13" s="75" customFormat="1" ht="56.25" x14ac:dyDescent="0.25">
      <c r="B124" s="72">
        <v>112</v>
      </c>
      <c r="C124" s="57" t="s">
        <v>280</v>
      </c>
      <c r="D124" s="57" t="s">
        <v>130</v>
      </c>
      <c r="E124" s="57" t="s">
        <v>281</v>
      </c>
      <c r="F124" s="76" t="s">
        <v>453</v>
      </c>
      <c r="G124" s="66">
        <v>2014</v>
      </c>
      <c r="H124" s="65">
        <v>28000</v>
      </c>
      <c r="I124" s="68">
        <v>1</v>
      </c>
      <c r="J124" s="74">
        <f t="shared" si="3"/>
        <v>28000</v>
      </c>
      <c r="K124" s="74">
        <v>2660</v>
      </c>
      <c r="L124" s="66">
        <v>10</v>
      </c>
      <c r="M124" s="73"/>
    </row>
    <row r="125" spans="2:13" s="75" customFormat="1" ht="56.25" x14ac:dyDescent="0.25">
      <c r="B125" s="72">
        <v>113</v>
      </c>
      <c r="C125" s="57" t="s">
        <v>292</v>
      </c>
      <c r="D125" s="57" t="s">
        <v>130</v>
      </c>
      <c r="E125" s="57" t="s">
        <v>293</v>
      </c>
      <c r="F125" s="76" t="s">
        <v>445</v>
      </c>
      <c r="G125" s="66">
        <v>2014</v>
      </c>
      <c r="H125" s="65">
        <v>58375</v>
      </c>
      <c r="I125" s="66">
        <v>1</v>
      </c>
      <c r="J125" s="74">
        <f t="shared" si="3"/>
        <v>58375</v>
      </c>
      <c r="K125" s="74">
        <v>5545.625</v>
      </c>
      <c r="L125" s="66">
        <v>10</v>
      </c>
      <c r="M125" s="73"/>
    </row>
    <row r="126" spans="2:13" s="75" customFormat="1" ht="56.25" x14ac:dyDescent="0.25">
      <c r="B126" s="72">
        <v>114</v>
      </c>
      <c r="C126" s="57" t="s">
        <v>308</v>
      </c>
      <c r="D126" s="57" t="s">
        <v>130</v>
      </c>
      <c r="E126" s="57" t="s">
        <v>309</v>
      </c>
      <c r="F126" s="76" t="s">
        <v>445</v>
      </c>
      <c r="G126" s="66">
        <v>2014</v>
      </c>
      <c r="H126" s="65">
        <v>28000</v>
      </c>
      <c r="I126" s="68">
        <v>1</v>
      </c>
      <c r="J126" s="74">
        <f t="shared" si="3"/>
        <v>28000</v>
      </c>
      <c r="K126" s="74">
        <v>2660</v>
      </c>
      <c r="L126" s="66">
        <v>10</v>
      </c>
      <c r="M126" s="73"/>
    </row>
    <row r="127" spans="2:13" s="75" customFormat="1" ht="67.5" x14ac:dyDescent="0.25">
      <c r="B127" s="72">
        <v>115</v>
      </c>
      <c r="C127" s="57" t="s">
        <v>363</v>
      </c>
      <c r="D127" s="57" t="s">
        <v>117</v>
      </c>
      <c r="E127" s="57" t="s">
        <v>364</v>
      </c>
      <c r="F127" s="76" t="s">
        <v>444</v>
      </c>
      <c r="G127" s="66">
        <v>2014</v>
      </c>
      <c r="H127" s="65">
        <v>35740</v>
      </c>
      <c r="I127" s="66">
        <v>2</v>
      </c>
      <c r="J127" s="74">
        <f t="shared" si="3"/>
        <v>71480</v>
      </c>
      <c r="K127" s="74">
        <v>3395.3</v>
      </c>
      <c r="L127" s="66">
        <v>10</v>
      </c>
      <c r="M127" s="73"/>
    </row>
    <row r="128" spans="2:13" s="75" customFormat="1" ht="56.25" x14ac:dyDescent="0.25">
      <c r="B128" s="72">
        <v>116</v>
      </c>
      <c r="C128" s="57" t="s">
        <v>183</v>
      </c>
      <c r="D128" s="57" t="s">
        <v>130</v>
      </c>
      <c r="E128" s="57" t="s">
        <v>394</v>
      </c>
      <c r="F128" s="76" t="s">
        <v>460</v>
      </c>
      <c r="G128" s="66">
        <v>2014</v>
      </c>
      <c r="H128" s="65">
        <v>58375</v>
      </c>
      <c r="I128" s="66">
        <v>1</v>
      </c>
      <c r="J128" s="74">
        <f t="shared" si="3"/>
        <v>58375</v>
      </c>
      <c r="K128" s="74">
        <v>5545.625</v>
      </c>
      <c r="L128" s="66">
        <v>10</v>
      </c>
      <c r="M128" s="73"/>
    </row>
    <row r="129" spans="2:13" s="75" customFormat="1" ht="56.25" x14ac:dyDescent="0.25">
      <c r="B129" s="72">
        <v>117</v>
      </c>
      <c r="C129" s="57" t="s">
        <v>396</v>
      </c>
      <c r="D129" s="57" t="s">
        <v>130</v>
      </c>
      <c r="E129" s="57" t="s">
        <v>397</v>
      </c>
      <c r="F129" s="76" t="s">
        <v>461</v>
      </c>
      <c r="G129" s="66">
        <v>2014</v>
      </c>
      <c r="H129" s="65">
        <v>58375</v>
      </c>
      <c r="I129" s="66">
        <v>1</v>
      </c>
      <c r="J129" s="74">
        <f t="shared" si="3"/>
        <v>58375</v>
      </c>
      <c r="K129" s="74">
        <v>5545.625</v>
      </c>
      <c r="L129" s="66">
        <v>10</v>
      </c>
      <c r="M129" s="73"/>
    </row>
    <row r="130" spans="2:13" s="75" customFormat="1" ht="33.75" x14ac:dyDescent="0.25">
      <c r="B130" s="72">
        <v>118</v>
      </c>
      <c r="C130" s="57" t="s">
        <v>426</v>
      </c>
      <c r="D130" s="57" t="s">
        <v>130</v>
      </c>
      <c r="E130" s="57" t="s">
        <v>427</v>
      </c>
      <c r="F130" s="76" t="s">
        <v>463</v>
      </c>
      <c r="G130" s="66">
        <v>2014</v>
      </c>
      <c r="H130" s="65">
        <v>13475</v>
      </c>
      <c r="I130" s="68">
        <v>1</v>
      </c>
      <c r="J130" s="74">
        <f t="shared" si="3"/>
        <v>13475</v>
      </c>
      <c r="K130" s="74">
        <v>1280.125</v>
      </c>
      <c r="L130" s="66">
        <v>10</v>
      </c>
      <c r="M130" s="73"/>
    </row>
    <row r="131" spans="2:13" s="75" customFormat="1" ht="33" x14ac:dyDescent="0.25">
      <c r="B131" s="72">
        <v>119</v>
      </c>
      <c r="C131" s="57" t="s">
        <v>428</v>
      </c>
      <c r="D131" s="57" t="s">
        <v>429</v>
      </c>
      <c r="E131" s="57" t="s">
        <v>430</v>
      </c>
      <c r="F131" s="76" t="s">
        <v>463</v>
      </c>
      <c r="G131" s="66">
        <v>2014</v>
      </c>
      <c r="H131" s="65">
        <v>19000</v>
      </c>
      <c r="I131" s="68">
        <v>2</v>
      </c>
      <c r="J131" s="74">
        <f t="shared" si="3"/>
        <v>38000</v>
      </c>
      <c r="K131" s="74">
        <v>1805</v>
      </c>
      <c r="L131" s="66">
        <v>10</v>
      </c>
      <c r="M131" s="73"/>
    </row>
    <row r="132" spans="2:13" s="75" customFormat="1" ht="67.5" x14ac:dyDescent="0.25">
      <c r="B132" s="72">
        <v>120</v>
      </c>
      <c r="C132" s="58" t="s">
        <v>136</v>
      </c>
      <c r="D132" s="59" t="s">
        <v>137</v>
      </c>
      <c r="E132" s="59" t="s">
        <v>138</v>
      </c>
      <c r="F132" s="76" t="s">
        <v>441</v>
      </c>
      <c r="G132" s="66">
        <v>2015</v>
      </c>
      <c r="H132" s="65">
        <v>21000</v>
      </c>
      <c r="I132" s="68">
        <v>1</v>
      </c>
      <c r="J132" s="74">
        <f t="shared" si="3"/>
        <v>21000</v>
      </c>
      <c r="K132" s="74">
        <v>1995</v>
      </c>
      <c r="L132" s="66">
        <v>10</v>
      </c>
      <c r="M132" s="73"/>
    </row>
    <row r="133" spans="2:13" s="75" customFormat="1" ht="45" x14ac:dyDescent="0.25">
      <c r="B133" s="72">
        <v>121</v>
      </c>
      <c r="C133" s="57" t="s">
        <v>215</v>
      </c>
      <c r="D133" s="57" t="s">
        <v>130</v>
      </c>
      <c r="E133" s="57" t="s">
        <v>216</v>
      </c>
      <c r="F133" s="76" t="s">
        <v>450</v>
      </c>
      <c r="G133" s="66">
        <v>2015</v>
      </c>
      <c r="H133" s="65">
        <v>36000</v>
      </c>
      <c r="I133" s="66">
        <v>1</v>
      </c>
      <c r="J133" s="74">
        <f t="shared" si="3"/>
        <v>36000</v>
      </c>
      <c r="K133" s="74">
        <v>3420</v>
      </c>
      <c r="L133" s="66">
        <v>10</v>
      </c>
      <c r="M133" s="73"/>
    </row>
    <row r="134" spans="2:13" s="75" customFormat="1" ht="45" x14ac:dyDescent="0.25">
      <c r="B134" s="72">
        <v>122</v>
      </c>
      <c r="C134" s="57" t="s">
        <v>233</v>
      </c>
      <c r="D134" s="57" t="s">
        <v>130</v>
      </c>
      <c r="E134" s="57" t="s">
        <v>234</v>
      </c>
      <c r="F134" s="76" t="s">
        <v>440</v>
      </c>
      <c r="G134" s="66">
        <v>2015</v>
      </c>
      <c r="H134" s="65">
        <v>21500</v>
      </c>
      <c r="I134" s="66">
        <v>2</v>
      </c>
      <c r="J134" s="74">
        <f t="shared" si="3"/>
        <v>43000</v>
      </c>
      <c r="K134" s="74">
        <v>2042.5</v>
      </c>
      <c r="L134" s="66">
        <v>10</v>
      </c>
      <c r="M134" s="73"/>
    </row>
    <row r="135" spans="2:13" s="75" customFormat="1" ht="33" x14ac:dyDescent="0.25">
      <c r="B135" s="72">
        <v>123</v>
      </c>
      <c r="C135" s="57" t="s">
        <v>252</v>
      </c>
      <c r="D135" s="57" t="s">
        <v>117</v>
      </c>
      <c r="E135" s="57" t="s">
        <v>253</v>
      </c>
      <c r="F135" s="76" t="s">
        <v>452</v>
      </c>
      <c r="G135" s="66">
        <v>2015</v>
      </c>
      <c r="H135" s="65">
        <v>21460</v>
      </c>
      <c r="I135" s="68">
        <v>1</v>
      </c>
      <c r="J135" s="74">
        <f t="shared" si="3"/>
        <v>21460</v>
      </c>
      <c r="K135" s="74">
        <v>2038.7</v>
      </c>
      <c r="L135" s="66">
        <v>10</v>
      </c>
      <c r="M135" s="73"/>
    </row>
    <row r="136" spans="2:13" s="75" customFormat="1" ht="33.75" x14ac:dyDescent="0.25">
      <c r="B136" s="72">
        <v>124</v>
      </c>
      <c r="C136" s="57" t="s">
        <v>271</v>
      </c>
      <c r="D136" s="57" t="s">
        <v>130</v>
      </c>
      <c r="E136" s="57" t="s">
        <v>272</v>
      </c>
      <c r="F136" s="76" t="s">
        <v>453</v>
      </c>
      <c r="G136" s="66">
        <v>2015</v>
      </c>
      <c r="H136" s="65">
        <v>15000</v>
      </c>
      <c r="I136" s="66">
        <v>1</v>
      </c>
      <c r="J136" s="74">
        <f t="shared" si="3"/>
        <v>15000</v>
      </c>
      <c r="K136" s="74">
        <v>1425</v>
      </c>
      <c r="L136" s="66">
        <v>10</v>
      </c>
      <c r="M136" s="73"/>
    </row>
    <row r="137" spans="2:13" s="75" customFormat="1" ht="33.75" x14ac:dyDescent="0.25">
      <c r="B137" s="72">
        <v>125</v>
      </c>
      <c r="C137" s="57" t="s">
        <v>273</v>
      </c>
      <c r="D137" s="57" t="s">
        <v>130</v>
      </c>
      <c r="E137" s="57" t="s">
        <v>274</v>
      </c>
      <c r="F137" s="76" t="s">
        <v>453</v>
      </c>
      <c r="G137" s="66">
        <v>2015</v>
      </c>
      <c r="H137" s="65">
        <v>22395</v>
      </c>
      <c r="I137" s="66">
        <v>1</v>
      </c>
      <c r="J137" s="74">
        <f t="shared" si="3"/>
        <v>22395</v>
      </c>
      <c r="K137" s="74">
        <v>2127.5250000000001</v>
      </c>
      <c r="L137" s="66">
        <v>10</v>
      </c>
      <c r="M137" s="73"/>
    </row>
    <row r="138" spans="2:13" s="75" customFormat="1" ht="33.75" x14ac:dyDescent="0.25">
      <c r="B138" s="72">
        <v>126</v>
      </c>
      <c r="C138" s="57" t="s">
        <v>275</v>
      </c>
      <c r="D138" s="57" t="s">
        <v>130</v>
      </c>
      <c r="E138" s="57" t="s">
        <v>274</v>
      </c>
      <c r="F138" s="76" t="s">
        <v>453</v>
      </c>
      <c r="G138" s="66">
        <v>2015</v>
      </c>
      <c r="H138" s="65">
        <v>22395</v>
      </c>
      <c r="I138" s="66">
        <v>1</v>
      </c>
      <c r="J138" s="74">
        <f t="shared" si="3"/>
        <v>22395</v>
      </c>
      <c r="K138" s="74">
        <v>2127.5250000000001</v>
      </c>
      <c r="L138" s="66">
        <v>10</v>
      </c>
      <c r="M138" s="73"/>
    </row>
    <row r="139" spans="2:13" s="75" customFormat="1" ht="56.25" x14ac:dyDescent="0.25">
      <c r="B139" s="72">
        <v>127</v>
      </c>
      <c r="C139" s="57" t="s">
        <v>276</v>
      </c>
      <c r="D139" s="57" t="s">
        <v>130</v>
      </c>
      <c r="E139" s="57" t="s">
        <v>277</v>
      </c>
      <c r="F139" s="76" t="s">
        <v>453</v>
      </c>
      <c r="G139" s="66">
        <v>2015</v>
      </c>
      <c r="H139" s="65">
        <v>74500</v>
      </c>
      <c r="I139" s="66">
        <v>1</v>
      </c>
      <c r="J139" s="74">
        <f t="shared" si="3"/>
        <v>74500</v>
      </c>
      <c r="K139" s="74">
        <v>7077.5</v>
      </c>
      <c r="L139" s="66">
        <v>10</v>
      </c>
      <c r="M139" s="73"/>
    </row>
    <row r="140" spans="2:13" s="75" customFormat="1" ht="33.75" x14ac:dyDescent="0.25">
      <c r="B140" s="72">
        <v>128</v>
      </c>
      <c r="C140" s="57" t="s">
        <v>302</v>
      </c>
      <c r="D140" s="59" t="s">
        <v>130</v>
      </c>
      <c r="E140" s="59" t="s">
        <v>303</v>
      </c>
      <c r="F140" s="76" t="s">
        <v>445</v>
      </c>
      <c r="G140" s="66">
        <v>2015</v>
      </c>
      <c r="H140" s="65">
        <v>22395</v>
      </c>
      <c r="I140" s="66">
        <v>1</v>
      </c>
      <c r="J140" s="74">
        <f t="shared" si="3"/>
        <v>22395</v>
      </c>
      <c r="K140" s="74">
        <v>2127.5250000000001</v>
      </c>
      <c r="L140" s="66">
        <v>10</v>
      </c>
      <c r="M140" s="73"/>
    </row>
    <row r="141" spans="2:13" s="75" customFormat="1" ht="33.75" x14ac:dyDescent="0.25">
      <c r="B141" s="72">
        <v>129</v>
      </c>
      <c r="C141" s="57" t="s">
        <v>306</v>
      </c>
      <c r="D141" s="57" t="s">
        <v>130</v>
      </c>
      <c r="E141" s="57" t="s">
        <v>307</v>
      </c>
      <c r="F141" s="76" t="s">
        <v>445</v>
      </c>
      <c r="G141" s="66">
        <v>2015</v>
      </c>
      <c r="H141" s="65">
        <v>21500</v>
      </c>
      <c r="I141" s="66">
        <v>1</v>
      </c>
      <c r="J141" s="74">
        <f t="shared" ref="J141:J168" si="4">I141*H141</f>
        <v>21500</v>
      </c>
      <c r="K141" s="74">
        <v>2042.5</v>
      </c>
      <c r="L141" s="66">
        <v>10</v>
      </c>
      <c r="M141" s="73"/>
    </row>
    <row r="142" spans="2:13" s="75" customFormat="1" ht="33" x14ac:dyDescent="0.25">
      <c r="B142" s="72">
        <v>130</v>
      </c>
      <c r="C142" s="58" t="s">
        <v>320</v>
      </c>
      <c r="D142" s="59" t="s">
        <v>321</v>
      </c>
      <c r="E142" s="59" t="s">
        <v>322</v>
      </c>
      <c r="F142" s="76" t="s">
        <v>455</v>
      </c>
      <c r="G142" s="66">
        <v>2015</v>
      </c>
      <c r="H142" s="65">
        <v>19000</v>
      </c>
      <c r="I142" s="68">
        <v>2</v>
      </c>
      <c r="J142" s="74">
        <f t="shared" si="4"/>
        <v>38000</v>
      </c>
      <c r="K142" s="74">
        <v>1805</v>
      </c>
      <c r="L142" s="66">
        <v>10</v>
      </c>
      <c r="M142" s="73"/>
    </row>
    <row r="143" spans="2:13" s="75" customFormat="1" ht="22.5" x14ac:dyDescent="0.25">
      <c r="B143" s="72">
        <v>131</v>
      </c>
      <c r="C143" s="57" t="s">
        <v>338</v>
      </c>
      <c r="D143" s="57" t="s">
        <v>130</v>
      </c>
      <c r="E143" s="57" t="s">
        <v>339</v>
      </c>
      <c r="F143" s="76" t="s">
        <v>457</v>
      </c>
      <c r="G143" s="66">
        <v>2015</v>
      </c>
      <c r="H143" s="65">
        <v>22395</v>
      </c>
      <c r="I143" s="66">
        <v>3</v>
      </c>
      <c r="J143" s="74">
        <f t="shared" si="4"/>
        <v>67185</v>
      </c>
      <c r="K143" s="74">
        <v>2127.5250000000001</v>
      </c>
      <c r="L143" s="66">
        <v>10</v>
      </c>
      <c r="M143" s="73"/>
    </row>
    <row r="144" spans="2:13" s="75" customFormat="1" ht="33" x14ac:dyDescent="0.25">
      <c r="B144" s="72">
        <v>132</v>
      </c>
      <c r="C144" s="57" t="s">
        <v>353</v>
      </c>
      <c r="D144" s="59" t="s">
        <v>117</v>
      </c>
      <c r="E144" s="57" t="s">
        <v>354</v>
      </c>
      <c r="F144" s="76" t="s">
        <v>458</v>
      </c>
      <c r="G144" s="66">
        <v>2015</v>
      </c>
      <c r="H144" s="65">
        <v>21460</v>
      </c>
      <c r="I144" s="66">
        <v>1</v>
      </c>
      <c r="J144" s="74">
        <f t="shared" si="4"/>
        <v>21460</v>
      </c>
      <c r="K144" s="74">
        <v>2038.7</v>
      </c>
      <c r="L144" s="66">
        <v>10</v>
      </c>
      <c r="M144" s="73"/>
    </row>
    <row r="145" spans="2:13" s="75" customFormat="1" ht="33.75" x14ac:dyDescent="0.25">
      <c r="B145" s="72">
        <v>133</v>
      </c>
      <c r="C145" s="57" t="s">
        <v>355</v>
      </c>
      <c r="D145" s="59" t="s">
        <v>117</v>
      </c>
      <c r="E145" s="57" t="s">
        <v>356</v>
      </c>
      <c r="F145" s="76" t="s">
        <v>458</v>
      </c>
      <c r="G145" s="66">
        <v>2015</v>
      </c>
      <c r="H145" s="65">
        <v>22395</v>
      </c>
      <c r="I145" s="66">
        <v>1</v>
      </c>
      <c r="J145" s="74">
        <f t="shared" si="4"/>
        <v>22395</v>
      </c>
      <c r="K145" s="74">
        <v>2127.5250000000001</v>
      </c>
      <c r="L145" s="66">
        <v>10</v>
      </c>
      <c r="M145" s="73"/>
    </row>
    <row r="146" spans="2:13" s="75" customFormat="1" ht="49.5" x14ac:dyDescent="0.25">
      <c r="B146" s="72">
        <v>134</v>
      </c>
      <c r="C146" s="59" t="s">
        <v>372</v>
      </c>
      <c r="D146" s="59" t="s">
        <v>373</v>
      </c>
      <c r="E146" s="59" t="s">
        <v>374</v>
      </c>
      <c r="F146" s="76" t="s">
        <v>441</v>
      </c>
      <c r="G146" s="66">
        <v>2015</v>
      </c>
      <c r="H146" s="65">
        <v>21500</v>
      </c>
      <c r="I146" s="68">
        <v>1</v>
      </c>
      <c r="J146" s="74">
        <f t="shared" si="4"/>
        <v>21500</v>
      </c>
      <c r="K146" s="74">
        <v>2042.5</v>
      </c>
      <c r="L146" s="66">
        <v>10</v>
      </c>
      <c r="M146" s="73"/>
    </row>
    <row r="147" spans="2:13" s="75" customFormat="1" ht="22.5" x14ac:dyDescent="0.25">
      <c r="B147" s="72">
        <v>135</v>
      </c>
      <c r="C147" s="57" t="s">
        <v>391</v>
      </c>
      <c r="D147" s="57" t="s">
        <v>130</v>
      </c>
      <c r="E147" s="57" t="s">
        <v>339</v>
      </c>
      <c r="F147" s="76" t="s">
        <v>459</v>
      </c>
      <c r="G147" s="66">
        <v>2015</v>
      </c>
      <c r="H147" s="65">
        <v>22395</v>
      </c>
      <c r="I147" s="66">
        <v>2</v>
      </c>
      <c r="J147" s="74">
        <f t="shared" si="4"/>
        <v>44790</v>
      </c>
      <c r="K147" s="74">
        <v>2127.5250000000001</v>
      </c>
      <c r="L147" s="66">
        <v>10</v>
      </c>
      <c r="M147" s="73"/>
    </row>
    <row r="148" spans="2:13" s="75" customFormat="1" ht="49.5" x14ac:dyDescent="0.25">
      <c r="B148" s="72">
        <v>136</v>
      </c>
      <c r="C148" s="57" t="s">
        <v>410</v>
      </c>
      <c r="D148" s="59" t="s">
        <v>130</v>
      </c>
      <c r="E148" s="59" t="s">
        <v>411</v>
      </c>
      <c r="F148" s="76" t="s">
        <v>462</v>
      </c>
      <c r="G148" s="66">
        <v>2015</v>
      </c>
      <c r="H148" s="65">
        <v>23000</v>
      </c>
      <c r="I148" s="66">
        <v>2</v>
      </c>
      <c r="J148" s="74">
        <f t="shared" si="4"/>
        <v>46000</v>
      </c>
      <c r="K148" s="74">
        <v>2185</v>
      </c>
      <c r="L148" s="66">
        <v>10</v>
      </c>
      <c r="M148" s="73"/>
    </row>
    <row r="149" spans="2:13" s="75" customFormat="1" ht="67.5" x14ac:dyDescent="0.25">
      <c r="B149" s="72">
        <v>137</v>
      </c>
      <c r="C149" s="57" t="s">
        <v>187</v>
      </c>
      <c r="D149" s="57" t="s">
        <v>130</v>
      </c>
      <c r="E149" s="57" t="s">
        <v>188</v>
      </c>
      <c r="F149" s="76" t="s">
        <v>446</v>
      </c>
      <c r="G149" s="66">
        <v>2016</v>
      </c>
      <c r="H149" s="65">
        <v>27800</v>
      </c>
      <c r="I149" s="66">
        <v>1</v>
      </c>
      <c r="J149" s="74">
        <f t="shared" si="4"/>
        <v>27800</v>
      </c>
      <c r="K149" s="74">
        <v>2641</v>
      </c>
      <c r="L149" s="66">
        <v>10</v>
      </c>
      <c r="M149" s="73"/>
    </row>
    <row r="150" spans="2:13" s="75" customFormat="1" ht="33.75" x14ac:dyDescent="0.25">
      <c r="B150" s="72">
        <v>138</v>
      </c>
      <c r="C150" s="57" t="s">
        <v>195</v>
      </c>
      <c r="D150" s="57" t="s">
        <v>196</v>
      </c>
      <c r="E150" s="57" t="s">
        <v>197</v>
      </c>
      <c r="F150" s="76" t="s">
        <v>448</v>
      </c>
      <c r="G150" s="66">
        <v>2016</v>
      </c>
      <c r="H150" s="68">
        <v>22300</v>
      </c>
      <c r="I150" s="66">
        <v>1</v>
      </c>
      <c r="J150" s="74">
        <f t="shared" si="4"/>
        <v>22300</v>
      </c>
      <c r="K150" s="74">
        <v>2118.5</v>
      </c>
      <c r="L150" s="66">
        <v>10</v>
      </c>
      <c r="M150" s="73"/>
    </row>
    <row r="151" spans="2:13" s="75" customFormat="1" ht="56.25" x14ac:dyDescent="0.25">
      <c r="B151" s="72">
        <v>139</v>
      </c>
      <c r="C151" s="57" t="s">
        <v>241</v>
      </c>
      <c r="D151" s="57" t="s">
        <v>130</v>
      </c>
      <c r="E151" s="57" t="s">
        <v>242</v>
      </c>
      <c r="F151" s="76" t="s">
        <v>444</v>
      </c>
      <c r="G151" s="66">
        <v>2016</v>
      </c>
      <c r="H151" s="65">
        <v>18800</v>
      </c>
      <c r="I151" s="66">
        <v>1</v>
      </c>
      <c r="J151" s="74">
        <f t="shared" si="4"/>
        <v>18800</v>
      </c>
      <c r="K151" s="74">
        <v>1786</v>
      </c>
      <c r="L151" s="66">
        <v>10</v>
      </c>
      <c r="M151" s="73"/>
    </row>
    <row r="152" spans="2:13" s="75" customFormat="1" ht="33.75" x14ac:dyDescent="0.25">
      <c r="B152" s="72">
        <v>140</v>
      </c>
      <c r="C152" s="57" t="s">
        <v>265</v>
      </c>
      <c r="D152" s="57" t="s">
        <v>130</v>
      </c>
      <c r="E152" s="57" t="s">
        <v>266</v>
      </c>
      <c r="F152" s="76" t="s">
        <v>453</v>
      </c>
      <c r="G152" s="66">
        <v>2016</v>
      </c>
      <c r="H152" s="65">
        <v>25000</v>
      </c>
      <c r="I152" s="66">
        <v>1</v>
      </c>
      <c r="J152" s="74">
        <f t="shared" si="4"/>
        <v>25000</v>
      </c>
      <c r="K152" s="74">
        <v>2375</v>
      </c>
      <c r="L152" s="66">
        <v>10</v>
      </c>
      <c r="M152" s="73"/>
    </row>
    <row r="153" spans="2:13" s="75" customFormat="1" ht="33.75" x14ac:dyDescent="0.25">
      <c r="B153" s="72">
        <v>141</v>
      </c>
      <c r="C153" s="57" t="s">
        <v>267</v>
      </c>
      <c r="D153" s="57" t="s">
        <v>130</v>
      </c>
      <c r="E153" s="57" t="s">
        <v>268</v>
      </c>
      <c r="F153" s="76" t="s">
        <v>453</v>
      </c>
      <c r="G153" s="66">
        <v>2016</v>
      </c>
      <c r="H153" s="65">
        <v>18599</v>
      </c>
      <c r="I153" s="66">
        <v>1</v>
      </c>
      <c r="J153" s="74">
        <f t="shared" si="4"/>
        <v>18599</v>
      </c>
      <c r="K153" s="74">
        <v>1766.905</v>
      </c>
      <c r="L153" s="66">
        <v>10</v>
      </c>
      <c r="M153" s="73"/>
    </row>
    <row r="154" spans="2:13" s="75" customFormat="1" ht="33.75" x14ac:dyDescent="0.25">
      <c r="B154" s="72">
        <v>142</v>
      </c>
      <c r="C154" s="57" t="s">
        <v>269</v>
      </c>
      <c r="D154" s="57" t="s">
        <v>130</v>
      </c>
      <c r="E154" s="57" t="s">
        <v>270</v>
      </c>
      <c r="F154" s="76" t="s">
        <v>453</v>
      </c>
      <c r="G154" s="66">
        <v>2016</v>
      </c>
      <c r="H154" s="65">
        <v>18599</v>
      </c>
      <c r="I154" s="66">
        <v>1</v>
      </c>
      <c r="J154" s="74">
        <f t="shared" si="4"/>
        <v>18599</v>
      </c>
      <c r="K154" s="74">
        <v>1766.905</v>
      </c>
      <c r="L154" s="66">
        <v>10</v>
      </c>
      <c r="M154" s="73"/>
    </row>
    <row r="155" spans="2:13" s="75" customFormat="1" ht="67.5" x14ac:dyDescent="0.25">
      <c r="B155" s="72">
        <v>143</v>
      </c>
      <c r="C155" s="57" t="s">
        <v>357</v>
      </c>
      <c r="D155" s="57" t="s">
        <v>130</v>
      </c>
      <c r="E155" s="57" t="s">
        <v>358</v>
      </c>
      <c r="F155" s="76" t="s">
        <v>458</v>
      </c>
      <c r="G155" s="66">
        <v>2016</v>
      </c>
      <c r="H155" s="65">
        <v>23000</v>
      </c>
      <c r="I155" s="68">
        <v>2</v>
      </c>
      <c r="J155" s="74">
        <f t="shared" si="4"/>
        <v>46000</v>
      </c>
      <c r="K155" s="74">
        <v>2185</v>
      </c>
      <c r="L155" s="66">
        <v>10</v>
      </c>
      <c r="M155" s="73"/>
    </row>
    <row r="156" spans="2:13" s="75" customFormat="1" ht="67.5" x14ac:dyDescent="0.25">
      <c r="B156" s="72">
        <v>144</v>
      </c>
      <c r="C156" s="57" t="s">
        <v>370</v>
      </c>
      <c r="D156" s="57" t="s">
        <v>130</v>
      </c>
      <c r="E156" s="57" t="s">
        <v>371</v>
      </c>
      <c r="F156" s="76" t="s">
        <v>441</v>
      </c>
      <c r="G156" s="66">
        <v>2016</v>
      </c>
      <c r="H156" s="65">
        <v>23000</v>
      </c>
      <c r="I156" s="68">
        <v>3</v>
      </c>
      <c r="J156" s="74">
        <f t="shared" si="4"/>
        <v>69000</v>
      </c>
      <c r="K156" s="74">
        <v>2185</v>
      </c>
      <c r="L156" s="66">
        <v>10</v>
      </c>
      <c r="M156" s="73"/>
    </row>
    <row r="157" spans="2:13" s="75" customFormat="1" ht="56.25" x14ac:dyDescent="0.25">
      <c r="B157" s="72">
        <v>145</v>
      </c>
      <c r="C157" s="57" t="s">
        <v>395</v>
      </c>
      <c r="D157" s="57" t="s">
        <v>130</v>
      </c>
      <c r="E157" s="57" t="s">
        <v>277</v>
      </c>
      <c r="F157" s="76" t="s">
        <v>460</v>
      </c>
      <c r="G157" s="66">
        <v>2016</v>
      </c>
      <c r="H157" s="65">
        <v>74500</v>
      </c>
      <c r="I157" s="66">
        <v>1</v>
      </c>
      <c r="J157" s="74">
        <f t="shared" si="4"/>
        <v>74500</v>
      </c>
      <c r="K157" s="74">
        <v>7077.5</v>
      </c>
      <c r="L157" s="66">
        <v>10</v>
      </c>
      <c r="M157" s="73"/>
    </row>
    <row r="158" spans="2:13" s="75" customFormat="1" ht="56.25" x14ac:dyDescent="0.25">
      <c r="B158" s="72">
        <v>146</v>
      </c>
      <c r="C158" s="59" t="s">
        <v>424</v>
      </c>
      <c r="D158" s="59" t="s">
        <v>130</v>
      </c>
      <c r="E158" s="59" t="s">
        <v>425</v>
      </c>
      <c r="F158" s="76" t="s">
        <v>440</v>
      </c>
      <c r="G158" s="66">
        <v>2016</v>
      </c>
      <c r="H158" s="70">
        <v>74500</v>
      </c>
      <c r="I158" s="68">
        <v>1</v>
      </c>
      <c r="J158" s="74">
        <f t="shared" si="4"/>
        <v>74500</v>
      </c>
      <c r="K158" s="74">
        <v>7077.5</v>
      </c>
      <c r="L158" s="66">
        <v>10</v>
      </c>
      <c r="M158" s="73"/>
    </row>
    <row r="159" spans="2:13" s="75" customFormat="1" ht="67.5" x14ac:dyDescent="0.25">
      <c r="B159" s="72">
        <v>147</v>
      </c>
      <c r="C159" s="57" t="s">
        <v>116</v>
      </c>
      <c r="D159" s="57" t="s">
        <v>117</v>
      </c>
      <c r="E159" s="57" t="s">
        <v>118</v>
      </c>
      <c r="F159" s="76" t="s">
        <v>439</v>
      </c>
      <c r="G159" s="66">
        <v>2017</v>
      </c>
      <c r="H159" s="65">
        <v>63720</v>
      </c>
      <c r="I159" s="66">
        <v>1</v>
      </c>
      <c r="J159" s="74">
        <f t="shared" si="4"/>
        <v>63720</v>
      </c>
      <c r="K159" s="74">
        <v>6053.4</v>
      </c>
      <c r="L159" s="66">
        <v>10</v>
      </c>
      <c r="M159" s="73"/>
    </row>
    <row r="160" spans="2:13" s="75" customFormat="1" ht="33.75" x14ac:dyDescent="0.25">
      <c r="B160" s="72">
        <v>148</v>
      </c>
      <c r="C160" s="57" t="s">
        <v>119</v>
      </c>
      <c r="D160" s="57" t="s">
        <v>117</v>
      </c>
      <c r="E160" s="57" t="s">
        <v>120</v>
      </c>
      <c r="F160" s="76" t="s">
        <v>439</v>
      </c>
      <c r="G160" s="66">
        <v>2017</v>
      </c>
      <c r="H160" s="65">
        <v>22077</v>
      </c>
      <c r="I160" s="66">
        <v>1</v>
      </c>
      <c r="J160" s="74">
        <f t="shared" si="4"/>
        <v>22077</v>
      </c>
      <c r="K160" s="74">
        <v>2097.3149999999996</v>
      </c>
      <c r="L160" s="66">
        <v>10</v>
      </c>
      <c r="M160" s="73"/>
    </row>
    <row r="161" spans="2:13" s="75" customFormat="1" ht="67.5" x14ac:dyDescent="0.25">
      <c r="B161" s="72">
        <v>149</v>
      </c>
      <c r="C161" s="57" t="s">
        <v>147</v>
      </c>
      <c r="D161" s="57" t="s">
        <v>117</v>
      </c>
      <c r="E161" s="57" t="s">
        <v>118</v>
      </c>
      <c r="F161" s="76" t="s">
        <v>439</v>
      </c>
      <c r="G161" s="66">
        <v>2017</v>
      </c>
      <c r="H161" s="65">
        <v>63720</v>
      </c>
      <c r="I161" s="66">
        <v>1</v>
      </c>
      <c r="J161" s="74">
        <f t="shared" si="4"/>
        <v>63720</v>
      </c>
      <c r="K161" s="74">
        <v>6053.4</v>
      </c>
      <c r="L161" s="66">
        <v>10</v>
      </c>
      <c r="M161" s="73"/>
    </row>
    <row r="162" spans="2:13" s="75" customFormat="1" ht="78.75" x14ac:dyDescent="0.25">
      <c r="B162" s="72">
        <v>150</v>
      </c>
      <c r="C162" s="57" t="s">
        <v>198</v>
      </c>
      <c r="D162" s="57" t="s">
        <v>199</v>
      </c>
      <c r="E162" s="57" t="s">
        <v>200</v>
      </c>
      <c r="F162" s="76" t="s">
        <v>449</v>
      </c>
      <c r="G162" s="66">
        <v>2017</v>
      </c>
      <c r="H162" s="65">
        <v>63720</v>
      </c>
      <c r="I162" s="66">
        <v>1</v>
      </c>
      <c r="J162" s="74">
        <f t="shared" si="4"/>
        <v>63720</v>
      </c>
      <c r="K162" s="74">
        <v>6053.4</v>
      </c>
      <c r="L162" s="66">
        <v>10</v>
      </c>
      <c r="M162" s="73"/>
    </row>
    <row r="163" spans="2:13" s="75" customFormat="1" ht="78.75" x14ac:dyDescent="0.25">
      <c r="B163" s="72">
        <v>151</v>
      </c>
      <c r="C163" s="57" t="s">
        <v>231</v>
      </c>
      <c r="D163" s="57" t="s">
        <v>199</v>
      </c>
      <c r="E163" s="57" t="s">
        <v>232</v>
      </c>
      <c r="F163" s="76" t="s">
        <v>450</v>
      </c>
      <c r="G163" s="66">
        <v>2017</v>
      </c>
      <c r="H163" s="65">
        <v>63720</v>
      </c>
      <c r="I163" s="66">
        <v>4</v>
      </c>
      <c r="J163" s="74">
        <f t="shared" si="4"/>
        <v>254880</v>
      </c>
      <c r="K163" s="74">
        <v>6053.4</v>
      </c>
      <c r="L163" s="66">
        <v>10</v>
      </c>
      <c r="M163" s="73"/>
    </row>
    <row r="164" spans="2:13" s="75" customFormat="1" ht="78.75" x14ac:dyDescent="0.25">
      <c r="B164" s="72">
        <v>152</v>
      </c>
      <c r="C164" s="57" t="s">
        <v>278</v>
      </c>
      <c r="D164" s="57" t="s">
        <v>130</v>
      </c>
      <c r="E164" s="57" t="s">
        <v>279</v>
      </c>
      <c r="F164" s="76" t="s">
        <v>453</v>
      </c>
      <c r="G164" s="66">
        <v>2017</v>
      </c>
      <c r="H164" s="65">
        <v>63720</v>
      </c>
      <c r="I164" s="66">
        <v>2</v>
      </c>
      <c r="J164" s="74">
        <f t="shared" si="4"/>
        <v>127440</v>
      </c>
      <c r="K164" s="74">
        <v>6053.4</v>
      </c>
      <c r="L164" s="66">
        <v>10</v>
      </c>
      <c r="M164" s="73"/>
    </row>
    <row r="165" spans="2:13" s="75" customFormat="1" ht="78.75" x14ac:dyDescent="0.25">
      <c r="B165" s="72">
        <v>153</v>
      </c>
      <c r="C165" s="57" t="s">
        <v>304</v>
      </c>
      <c r="D165" s="57" t="s">
        <v>130</v>
      </c>
      <c r="E165" s="57" t="s">
        <v>305</v>
      </c>
      <c r="F165" s="76" t="s">
        <v>445</v>
      </c>
      <c r="G165" s="66">
        <v>2017</v>
      </c>
      <c r="H165" s="65">
        <v>37770.19</v>
      </c>
      <c r="I165" s="66">
        <v>1</v>
      </c>
      <c r="J165" s="74">
        <f t="shared" si="4"/>
        <v>37770.19</v>
      </c>
      <c r="K165" s="74">
        <v>3588.1680500000002</v>
      </c>
      <c r="L165" s="66">
        <v>10</v>
      </c>
      <c r="M165" s="73"/>
    </row>
    <row r="166" spans="2:13" s="75" customFormat="1" ht="78.75" x14ac:dyDescent="0.25">
      <c r="B166" s="72">
        <v>154</v>
      </c>
      <c r="C166" s="57" t="s">
        <v>331</v>
      </c>
      <c r="D166" s="57" t="s">
        <v>130</v>
      </c>
      <c r="E166" s="57" t="s">
        <v>305</v>
      </c>
      <c r="F166" s="76" t="s">
        <v>456</v>
      </c>
      <c r="G166" s="66">
        <v>2017</v>
      </c>
      <c r="H166" s="65">
        <v>37770.19</v>
      </c>
      <c r="I166" s="66">
        <v>1</v>
      </c>
      <c r="J166" s="74">
        <f t="shared" si="4"/>
        <v>37770.19</v>
      </c>
      <c r="K166" s="74">
        <v>3588.1680500000002</v>
      </c>
      <c r="L166" s="66">
        <v>10</v>
      </c>
      <c r="M166" s="73"/>
    </row>
    <row r="167" spans="2:13" s="75" customFormat="1" ht="78.75" x14ac:dyDescent="0.25">
      <c r="B167" s="72">
        <v>155</v>
      </c>
      <c r="C167" s="57" t="s">
        <v>342</v>
      </c>
      <c r="D167" s="57" t="s">
        <v>130</v>
      </c>
      <c r="E167" s="57" t="s">
        <v>279</v>
      </c>
      <c r="F167" s="76" t="s">
        <v>457</v>
      </c>
      <c r="G167" s="66">
        <v>2017</v>
      </c>
      <c r="H167" s="65">
        <v>63720</v>
      </c>
      <c r="I167" s="66">
        <v>2</v>
      </c>
      <c r="J167" s="74">
        <f t="shared" si="4"/>
        <v>127440</v>
      </c>
      <c r="K167" s="74">
        <v>6053.4</v>
      </c>
      <c r="L167" s="66">
        <v>10</v>
      </c>
      <c r="M167" s="73"/>
    </row>
    <row r="168" spans="2:13" s="75" customFormat="1" ht="56.25" x14ac:dyDescent="0.25">
      <c r="B168" s="72">
        <v>156</v>
      </c>
      <c r="C168" s="59" t="s">
        <v>2147</v>
      </c>
      <c r="D168" s="59" t="s">
        <v>2025</v>
      </c>
      <c r="E168" s="59" t="s">
        <v>2024</v>
      </c>
      <c r="F168" s="76" t="s">
        <v>443</v>
      </c>
      <c r="G168" s="66">
        <v>2017</v>
      </c>
      <c r="H168" s="74">
        <v>18000</v>
      </c>
      <c r="I168" s="66">
        <v>1</v>
      </c>
      <c r="J168" s="74">
        <f t="shared" si="4"/>
        <v>18000</v>
      </c>
      <c r="K168" s="74">
        <v>1710</v>
      </c>
      <c r="L168" s="66">
        <v>10</v>
      </c>
      <c r="M168" s="73"/>
    </row>
    <row r="169" spans="2:13" s="75" customFormat="1" ht="56.25" x14ac:dyDescent="0.25">
      <c r="B169" s="72">
        <v>157</v>
      </c>
      <c r="C169" s="59" t="s">
        <v>2146</v>
      </c>
      <c r="D169" s="59" t="s">
        <v>2025</v>
      </c>
      <c r="E169" s="59" t="s">
        <v>2024</v>
      </c>
      <c r="F169" s="76" t="s">
        <v>456</v>
      </c>
      <c r="G169" s="66">
        <v>2017</v>
      </c>
      <c r="H169" s="74">
        <v>18000</v>
      </c>
      <c r="I169" s="66">
        <v>1</v>
      </c>
      <c r="J169" s="74">
        <f t="shared" ref="J169:J171" si="5">I169*H169</f>
        <v>18000</v>
      </c>
      <c r="K169" s="74">
        <v>1710</v>
      </c>
      <c r="L169" s="66">
        <v>10</v>
      </c>
      <c r="M169" s="73"/>
    </row>
    <row r="170" spans="2:13" s="75" customFormat="1" ht="56.25" x14ac:dyDescent="0.25">
      <c r="B170" s="72">
        <v>158</v>
      </c>
      <c r="C170" s="59" t="s">
        <v>2148</v>
      </c>
      <c r="D170" s="59" t="s">
        <v>2025</v>
      </c>
      <c r="E170" s="59" t="s">
        <v>2024</v>
      </c>
      <c r="F170" s="76" t="s">
        <v>445</v>
      </c>
      <c r="G170" s="66">
        <v>2017</v>
      </c>
      <c r="H170" s="74">
        <v>18000</v>
      </c>
      <c r="I170" s="66">
        <v>1</v>
      </c>
      <c r="J170" s="74">
        <f t="shared" si="5"/>
        <v>18000</v>
      </c>
      <c r="K170" s="74">
        <v>1710</v>
      </c>
      <c r="L170" s="66">
        <v>10</v>
      </c>
      <c r="M170" s="73"/>
    </row>
    <row r="171" spans="2:13" s="75" customFormat="1" ht="33" x14ac:dyDescent="0.25">
      <c r="B171" s="72">
        <v>159</v>
      </c>
      <c r="C171" s="59"/>
      <c r="D171" s="59" t="s">
        <v>2027</v>
      </c>
      <c r="E171" s="59" t="s">
        <v>2026</v>
      </c>
      <c r="F171" s="76" t="s">
        <v>455</v>
      </c>
      <c r="G171" s="66">
        <v>2017</v>
      </c>
      <c r="H171" s="74">
        <v>18000</v>
      </c>
      <c r="I171" s="66">
        <v>1</v>
      </c>
      <c r="J171" s="74">
        <f t="shared" si="5"/>
        <v>18000</v>
      </c>
      <c r="K171" s="74">
        <v>1710</v>
      </c>
      <c r="L171" s="66">
        <v>10</v>
      </c>
      <c r="M171" s="73"/>
    </row>
    <row r="172" spans="2:13" s="75" customFormat="1" ht="33.75" x14ac:dyDescent="0.25">
      <c r="B172" s="72">
        <v>160</v>
      </c>
      <c r="C172" s="59"/>
      <c r="D172" s="59" t="s">
        <v>2027</v>
      </c>
      <c r="E172" s="59" t="s">
        <v>2028</v>
      </c>
      <c r="F172" s="76" t="s">
        <v>440</v>
      </c>
      <c r="G172" s="66">
        <v>2017</v>
      </c>
      <c r="H172" s="74">
        <v>25000</v>
      </c>
      <c r="I172" s="66">
        <v>1</v>
      </c>
      <c r="J172" s="74">
        <f t="shared" ref="J172" si="6">I172*H172</f>
        <v>25000</v>
      </c>
      <c r="K172" s="74">
        <v>2375</v>
      </c>
      <c r="L172" s="66">
        <v>10</v>
      </c>
      <c r="M172" s="73"/>
    </row>
    <row r="173" spans="2:13" s="75" customFormat="1" ht="67.5" x14ac:dyDescent="0.25">
      <c r="B173" s="72">
        <v>161</v>
      </c>
      <c r="C173" s="59"/>
      <c r="D173" s="59" t="s">
        <v>158</v>
      </c>
      <c r="E173" s="59" t="s">
        <v>2029</v>
      </c>
      <c r="F173" s="76" t="s">
        <v>440</v>
      </c>
      <c r="G173" s="66">
        <v>2017</v>
      </c>
      <c r="H173" s="74">
        <v>25000</v>
      </c>
      <c r="I173" s="66">
        <v>1</v>
      </c>
      <c r="J173" s="74">
        <f t="shared" ref="J173" si="7">I173*H173</f>
        <v>25000</v>
      </c>
      <c r="K173" s="74">
        <v>2375</v>
      </c>
      <c r="L173" s="66">
        <v>10</v>
      </c>
      <c r="M173" s="73"/>
    </row>
    <row r="174" spans="2:13" s="75" customFormat="1" ht="67.5" x14ac:dyDescent="0.25">
      <c r="B174" s="72">
        <v>162</v>
      </c>
      <c r="C174" s="59"/>
      <c r="D174" s="59" t="s">
        <v>2108</v>
      </c>
      <c r="E174" s="59" t="s">
        <v>2103</v>
      </c>
      <c r="F174" s="76" t="s">
        <v>440</v>
      </c>
      <c r="G174" s="66">
        <v>2017</v>
      </c>
      <c r="H174" s="74">
        <v>29995</v>
      </c>
      <c r="I174" s="66">
        <v>1</v>
      </c>
      <c r="J174" s="74">
        <f>I174*H174</f>
        <v>29995</v>
      </c>
      <c r="K174" s="74">
        <v>2849.5250000000001</v>
      </c>
      <c r="L174" s="66">
        <v>10</v>
      </c>
      <c r="M174" s="73"/>
    </row>
    <row r="175" spans="2:13" s="75" customFormat="1" ht="67.5" x14ac:dyDescent="0.25">
      <c r="B175" s="72">
        <v>163</v>
      </c>
      <c r="C175" s="59"/>
      <c r="D175" s="59" t="s">
        <v>2108</v>
      </c>
      <c r="E175" s="59" t="s">
        <v>2104</v>
      </c>
      <c r="F175" s="76" t="s">
        <v>440</v>
      </c>
      <c r="G175" s="66">
        <v>2017</v>
      </c>
      <c r="H175" s="74">
        <v>69990</v>
      </c>
      <c r="I175" s="66">
        <v>2</v>
      </c>
      <c r="J175" s="74">
        <f t="shared" ref="J175:J179" si="8">I175*H175</f>
        <v>139980</v>
      </c>
      <c r="K175" s="74">
        <v>6649.05</v>
      </c>
      <c r="L175" s="66">
        <v>10</v>
      </c>
      <c r="M175" s="73"/>
    </row>
    <row r="176" spans="2:13" s="75" customFormat="1" ht="56.25" x14ac:dyDescent="0.25">
      <c r="B176" s="72">
        <v>164</v>
      </c>
      <c r="C176" s="59"/>
      <c r="D176" s="59" t="s">
        <v>2108</v>
      </c>
      <c r="E176" s="59" t="s">
        <v>2105</v>
      </c>
      <c r="F176" s="76" t="s">
        <v>462</v>
      </c>
      <c r="G176" s="66">
        <v>2017</v>
      </c>
      <c r="H176" s="74">
        <v>69995</v>
      </c>
      <c r="I176" s="66">
        <v>1</v>
      </c>
      <c r="J176" s="74">
        <f t="shared" si="8"/>
        <v>69995</v>
      </c>
      <c r="K176" s="74">
        <v>6649.5249999999996</v>
      </c>
      <c r="L176" s="66">
        <v>10</v>
      </c>
      <c r="M176" s="73"/>
    </row>
    <row r="177" spans="2:13" s="75" customFormat="1" ht="56.25" x14ac:dyDescent="0.25">
      <c r="B177" s="72">
        <v>165</v>
      </c>
      <c r="C177" s="59"/>
      <c r="D177" s="59" t="s">
        <v>2109</v>
      </c>
      <c r="E177" s="59" t="s">
        <v>2106</v>
      </c>
      <c r="F177" s="76" t="s">
        <v>457</v>
      </c>
      <c r="G177" s="66">
        <v>2017</v>
      </c>
      <c r="H177" s="74">
        <v>15000</v>
      </c>
      <c r="I177" s="66">
        <v>2</v>
      </c>
      <c r="J177" s="74">
        <f t="shared" si="8"/>
        <v>30000</v>
      </c>
      <c r="K177" s="74">
        <v>1425</v>
      </c>
      <c r="L177" s="66">
        <v>10</v>
      </c>
      <c r="M177" s="73"/>
    </row>
    <row r="178" spans="2:13" s="75" customFormat="1" ht="33" x14ac:dyDescent="0.25">
      <c r="B178" s="72">
        <v>166</v>
      </c>
      <c r="C178" s="59"/>
      <c r="D178" s="59" t="s">
        <v>2108</v>
      </c>
      <c r="E178" s="59" t="s">
        <v>2107</v>
      </c>
      <c r="F178" s="76" t="s">
        <v>458</v>
      </c>
      <c r="G178" s="66">
        <v>2017</v>
      </c>
      <c r="H178" s="74">
        <v>24000</v>
      </c>
      <c r="I178" s="66">
        <v>5</v>
      </c>
      <c r="J178" s="74">
        <f t="shared" si="8"/>
        <v>120000</v>
      </c>
      <c r="K178" s="74">
        <v>2280</v>
      </c>
      <c r="L178" s="66">
        <v>10</v>
      </c>
      <c r="M178" s="73"/>
    </row>
    <row r="179" spans="2:13" s="75" customFormat="1" ht="67.5" x14ac:dyDescent="0.25">
      <c r="B179" s="72">
        <v>167</v>
      </c>
      <c r="C179" s="59"/>
      <c r="D179" s="59" t="s">
        <v>158</v>
      </c>
      <c r="E179" s="59" t="s">
        <v>2119</v>
      </c>
      <c r="F179" s="76" t="s">
        <v>459</v>
      </c>
      <c r="G179" s="66">
        <v>2018</v>
      </c>
      <c r="H179" s="74">
        <v>35000</v>
      </c>
      <c r="I179" s="66">
        <v>1</v>
      </c>
      <c r="J179" s="74">
        <f t="shared" si="8"/>
        <v>35000</v>
      </c>
      <c r="K179" s="74">
        <v>3325</v>
      </c>
      <c r="L179" s="66">
        <v>10</v>
      </c>
      <c r="M179" s="73"/>
    </row>
    <row r="180" spans="2:13" x14ac:dyDescent="0.3">
      <c r="C180" s="3"/>
      <c r="D180" s="3"/>
      <c r="E180" s="3"/>
      <c r="F180" s="77"/>
    </row>
    <row r="181" spans="2:13" x14ac:dyDescent="0.3">
      <c r="C181" s="3"/>
      <c r="D181" s="3"/>
      <c r="E181" s="3"/>
      <c r="F181" s="77"/>
    </row>
    <row r="182" spans="2:13" x14ac:dyDescent="0.3">
      <c r="C182" s="3"/>
      <c r="D182" s="3"/>
      <c r="E182" s="3"/>
      <c r="F182" s="77"/>
    </row>
    <row r="183" spans="2:13" x14ac:dyDescent="0.3">
      <c r="C183" s="3"/>
      <c r="D183" s="3"/>
      <c r="E183" s="3"/>
      <c r="F183" s="77"/>
    </row>
    <row r="184" spans="2:13" x14ac:dyDescent="0.3">
      <c r="C184" s="3"/>
      <c r="D184" s="3"/>
      <c r="E184" s="3"/>
      <c r="F184" s="77"/>
    </row>
    <row r="185" spans="2:13" x14ac:dyDescent="0.3">
      <c r="C185" s="3"/>
      <c r="D185" s="3"/>
      <c r="E185" s="3"/>
      <c r="F185" s="77"/>
    </row>
    <row r="186" spans="2:13" x14ac:dyDescent="0.3">
      <c r="C186" s="3"/>
      <c r="D186" s="3"/>
      <c r="E186" s="3"/>
      <c r="F186" s="77"/>
    </row>
    <row r="187" spans="2:13" x14ac:dyDescent="0.3">
      <c r="C187" s="3"/>
      <c r="D187" s="3"/>
      <c r="E187" s="3"/>
      <c r="F187" s="77"/>
    </row>
    <row r="188" spans="2:13" x14ac:dyDescent="0.3">
      <c r="C188" s="3"/>
      <c r="D188" s="3"/>
      <c r="E188" s="3"/>
      <c r="F188" s="77"/>
    </row>
    <row r="189" spans="2:13" x14ac:dyDescent="0.3">
      <c r="C189" s="3"/>
      <c r="D189" s="3"/>
      <c r="E189" s="3"/>
      <c r="F189" s="77"/>
    </row>
    <row r="190" spans="2:13" x14ac:dyDescent="0.3">
      <c r="C190" s="3"/>
      <c r="D190" s="3"/>
      <c r="E190" s="3"/>
      <c r="F190" s="77"/>
    </row>
    <row r="191" spans="2:13" x14ac:dyDescent="0.3">
      <c r="C191" s="3"/>
      <c r="D191" s="3"/>
      <c r="E191" s="3"/>
      <c r="F191" s="77"/>
    </row>
    <row r="192" spans="2:13" x14ac:dyDescent="0.3">
      <c r="C192" s="3"/>
      <c r="D192" s="3"/>
      <c r="E192" s="3"/>
      <c r="F192" s="77"/>
    </row>
    <row r="193" spans="3:6" x14ac:dyDescent="0.3">
      <c r="C193" s="3"/>
      <c r="D193" s="3"/>
      <c r="E193" s="3"/>
      <c r="F193" s="77"/>
    </row>
    <row r="194" spans="3:6" x14ac:dyDescent="0.3">
      <c r="C194" s="3"/>
      <c r="D194" s="3"/>
      <c r="E194" s="3"/>
      <c r="F194" s="77"/>
    </row>
    <row r="195" spans="3:6" x14ac:dyDescent="0.3">
      <c r="C195" s="3"/>
      <c r="D195" s="3"/>
      <c r="E195" s="3"/>
      <c r="F195" s="77"/>
    </row>
    <row r="196" spans="3:6" x14ac:dyDescent="0.3">
      <c r="C196" s="3"/>
      <c r="D196" s="3"/>
      <c r="E196" s="3"/>
      <c r="F196" s="77"/>
    </row>
    <row r="197" spans="3:6" x14ac:dyDescent="0.3">
      <c r="C197" s="3"/>
      <c r="D197" s="3"/>
      <c r="E197" s="3"/>
      <c r="F197" s="77"/>
    </row>
    <row r="198" spans="3:6" x14ac:dyDescent="0.3">
      <c r="C198" s="3"/>
      <c r="D198" s="3"/>
      <c r="E198" s="3"/>
      <c r="F198" s="77"/>
    </row>
    <row r="199" spans="3:6" x14ac:dyDescent="0.3">
      <c r="C199" s="3"/>
      <c r="D199" s="3"/>
      <c r="E199" s="3"/>
      <c r="F199" s="77"/>
    </row>
    <row r="200" spans="3:6" x14ac:dyDescent="0.3">
      <c r="C200" s="3"/>
      <c r="D200" s="3"/>
      <c r="E200" s="3"/>
      <c r="F200" s="77"/>
    </row>
    <row r="201" spans="3:6" x14ac:dyDescent="0.3">
      <c r="C201" s="3"/>
      <c r="D201" s="3"/>
      <c r="E201" s="3"/>
      <c r="F201" s="77"/>
    </row>
    <row r="202" spans="3:6" x14ac:dyDescent="0.3">
      <c r="C202" s="3"/>
      <c r="D202" s="3"/>
      <c r="E202" s="3"/>
      <c r="F202" s="77"/>
    </row>
    <row r="203" spans="3:6" x14ac:dyDescent="0.3">
      <c r="C203" s="3"/>
      <c r="D203" s="3"/>
      <c r="E203" s="3"/>
      <c r="F203" s="77"/>
    </row>
    <row r="204" spans="3:6" x14ac:dyDescent="0.3">
      <c r="C204" s="3"/>
      <c r="D204" s="3"/>
      <c r="E204" s="3"/>
      <c r="F204" s="77"/>
    </row>
    <row r="205" spans="3:6" x14ac:dyDescent="0.3">
      <c r="C205" s="3"/>
      <c r="D205" s="3"/>
      <c r="E205" s="3"/>
      <c r="F205" s="77"/>
    </row>
    <row r="206" spans="3:6" x14ac:dyDescent="0.3">
      <c r="C206" s="3"/>
      <c r="D206" s="3"/>
      <c r="E206" s="3"/>
      <c r="F206" s="77"/>
    </row>
    <row r="207" spans="3:6" x14ac:dyDescent="0.3">
      <c r="C207" s="3"/>
      <c r="D207" s="3"/>
      <c r="E207" s="3"/>
      <c r="F207" s="77"/>
    </row>
    <row r="208" spans="3:6" x14ac:dyDescent="0.3">
      <c r="C208" s="3"/>
      <c r="D208" s="3"/>
      <c r="E208" s="3"/>
      <c r="F208" s="77"/>
    </row>
    <row r="209" spans="3:6" x14ac:dyDescent="0.3">
      <c r="C209" s="3"/>
      <c r="D209" s="3"/>
      <c r="E209" s="3"/>
      <c r="F209" s="77"/>
    </row>
    <row r="210" spans="3:6" x14ac:dyDescent="0.3">
      <c r="C210" s="3"/>
      <c r="D210" s="3"/>
      <c r="E210" s="3"/>
      <c r="F210" s="77"/>
    </row>
    <row r="211" spans="3:6" x14ac:dyDescent="0.3">
      <c r="C211" s="3"/>
      <c r="D211" s="3"/>
      <c r="E211" s="3"/>
      <c r="F211" s="77"/>
    </row>
    <row r="212" spans="3:6" x14ac:dyDescent="0.3">
      <c r="C212" s="3"/>
      <c r="D212" s="3"/>
      <c r="E212" s="3"/>
      <c r="F212" s="77"/>
    </row>
    <row r="213" spans="3:6" x14ac:dyDescent="0.3">
      <c r="C213" s="3"/>
      <c r="D213" s="3"/>
      <c r="E213" s="3"/>
      <c r="F213" s="77"/>
    </row>
    <row r="214" spans="3:6" x14ac:dyDescent="0.3">
      <c r="C214" s="3"/>
      <c r="D214" s="3"/>
      <c r="E214" s="3"/>
      <c r="F214" s="77"/>
    </row>
    <row r="215" spans="3:6" x14ac:dyDescent="0.3">
      <c r="C215" s="3"/>
      <c r="D215" s="3"/>
      <c r="E215" s="3"/>
      <c r="F215" s="77"/>
    </row>
    <row r="216" spans="3:6" x14ac:dyDescent="0.3">
      <c r="C216" s="3"/>
      <c r="D216" s="3"/>
      <c r="E216" s="3"/>
      <c r="F216" s="77"/>
    </row>
    <row r="217" spans="3:6" x14ac:dyDescent="0.3">
      <c r="C217" s="3"/>
      <c r="D217" s="3"/>
      <c r="E217" s="3"/>
      <c r="F217" s="77"/>
    </row>
    <row r="218" spans="3:6" x14ac:dyDescent="0.3">
      <c r="C218" s="3"/>
      <c r="D218" s="3"/>
      <c r="E218" s="3"/>
      <c r="F218" s="77"/>
    </row>
    <row r="219" spans="3:6" x14ac:dyDescent="0.3">
      <c r="C219" s="3"/>
      <c r="D219" s="3"/>
      <c r="E219" s="3"/>
      <c r="F219" s="77"/>
    </row>
    <row r="220" spans="3:6" x14ac:dyDescent="0.3">
      <c r="C220" s="3"/>
      <c r="D220" s="3"/>
      <c r="E220" s="3"/>
      <c r="F220" s="77"/>
    </row>
    <row r="221" spans="3:6" x14ac:dyDescent="0.3">
      <c r="C221" s="3"/>
      <c r="D221" s="3"/>
      <c r="E221" s="3"/>
      <c r="F221" s="77"/>
    </row>
    <row r="222" spans="3:6" x14ac:dyDescent="0.3">
      <c r="C222" s="3"/>
      <c r="D222" s="3"/>
      <c r="E222" s="3"/>
      <c r="F222" s="77"/>
    </row>
    <row r="223" spans="3:6" x14ac:dyDescent="0.3">
      <c r="C223" s="3"/>
      <c r="D223" s="3"/>
      <c r="E223" s="3"/>
      <c r="F223" s="77"/>
    </row>
    <row r="224" spans="3:6" x14ac:dyDescent="0.3">
      <c r="C224" s="3"/>
      <c r="D224" s="3"/>
      <c r="E224" s="3"/>
      <c r="F224" s="77"/>
    </row>
    <row r="225" spans="3:6" x14ac:dyDescent="0.3">
      <c r="C225" s="3"/>
      <c r="D225" s="3"/>
      <c r="E225" s="3"/>
      <c r="F225" s="77"/>
    </row>
  </sheetData>
  <sheetProtection formatColumns="0" formatRows="0" sort="0" autoFilter="0"/>
  <sortState ref="B13:DR169">
    <sortCondition ref="G13:G169"/>
  </sortState>
  <dataValidations count="3">
    <dataValidation type="list" allowBlank="1" showInputMessage="1" showErrorMessage="1" sqref="C10">
      <formula1>"Level I, Level II and III"</formula1>
    </dataValidation>
    <dataValidation type="date" operator="greaterThan" allowBlank="1" showInputMessage="1" showErrorMessage="1" sqref="G13:G179">
      <formula1>1</formula1>
    </dataValidation>
    <dataValidation type="decimal" operator="greaterThanOrEqual" allowBlank="1" showInputMessage="1" showErrorMessage="1" sqref="H13:L179">
      <formula1>0</formula1>
    </dataValidation>
  </dataValidation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Furnies" altText="Add Drug / Medication / Supply">
                <anchor moveWithCells="1">
                  <from>
                    <xdr:col>1</xdr:col>
                    <xdr:colOff>85725</xdr:colOff>
                    <xdr:row>12</xdr:row>
                    <xdr:rowOff>19050</xdr:rowOff>
                  </from>
                  <to>
                    <xdr:col>2</xdr:col>
                    <xdr:colOff>276225</xdr:colOff>
                    <xdr:row>12</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Furnies" altText="Delete Drug / Medication / Supply">
                <anchor moveWithCells="1">
                  <from>
                    <xdr:col>2</xdr:col>
                    <xdr:colOff>9525</xdr:colOff>
                    <xdr:row>12</xdr:row>
                    <xdr:rowOff>19050</xdr:rowOff>
                  </from>
                  <to>
                    <xdr:col>2</xdr:col>
                    <xdr:colOff>733425</xdr:colOff>
                    <xdr:row>12</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F13:F179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D482"/>
  <sheetViews>
    <sheetView showGridLines="0" zoomScale="90" zoomScaleNormal="90" workbookViewId="0">
      <selection activeCell="G9" sqref="G9"/>
    </sheetView>
  </sheetViews>
  <sheetFormatPr defaultColWidth="8.7109375" defaultRowHeight="16.5" outlineLevelRow="1" x14ac:dyDescent="0.3"/>
  <cols>
    <col min="1" max="1" width="4.5703125" style="132" customWidth="1"/>
    <col min="2" max="2" width="14.5703125" style="132" customWidth="1"/>
    <col min="3" max="3" width="11.7109375" style="132" customWidth="1"/>
    <col min="4" max="4" width="17.5703125" style="132" bestFit="1" customWidth="1"/>
    <col min="5" max="5" width="34.5703125" style="132" customWidth="1"/>
    <col min="6" max="6" width="33.5703125" style="132" customWidth="1"/>
    <col min="7" max="7" width="16.5703125" style="136" customWidth="1"/>
    <col min="8" max="9" width="17.42578125" style="132" customWidth="1"/>
    <col min="10" max="10" width="11.7109375" style="132" customWidth="1"/>
    <col min="11" max="11" width="25.85546875" style="132" customWidth="1"/>
    <col min="12" max="12" width="8.7109375" style="132"/>
    <col min="13" max="13" width="33.140625" style="132" customWidth="1"/>
    <col min="14" max="16384" width="8.7109375" style="132"/>
  </cols>
  <sheetData>
    <row r="2" spans="2:108" s="134" customFormat="1" x14ac:dyDescent="0.3">
      <c r="B2" s="133" t="s">
        <v>18</v>
      </c>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row>
    <row r="3" spans="2:108" s="132" customFormat="1" x14ac:dyDescent="0.3">
      <c r="G3" s="136"/>
      <c r="H3" s="137"/>
      <c r="I3" s="137"/>
    </row>
    <row r="4" spans="2:108" s="132" customFormat="1" outlineLevel="1" x14ac:dyDescent="0.3">
      <c r="B4" s="132" t="s">
        <v>112</v>
      </c>
      <c r="C4" s="132">
        <v>429</v>
      </c>
      <c r="F4" s="136"/>
      <c r="H4" s="138"/>
      <c r="I4" s="138"/>
    </row>
    <row r="5" spans="2:108" s="132" customFormat="1" x14ac:dyDescent="0.3">
      <c r="B5" s="139" t="s">
        <v>13</v>
      </c>
      <c r="C5" s="140"/>
      <c r="D5" s="140"/>
      <c r="E5" s="140"/>
      <c r="F5" s="141" t="s">
        <v>1</v>
      </c>
      <c r="G5" s="136"/>
      <c r="H5" s="138"/>
      <c r="I5" s="138"/>
    </row>
    <row r="6" spans="2:108" s="132" customFormat="1" x14ac:dyDescent="0.3">
      <c r="B6" s="142" t="s">
        <v>9</v>
      </c>
      <c r="C6" s="143"/>
      <c r="D6" s="143"/>
      <c r="E6" s="143"/>
      <c r="F6" s="144" t="s">
        <v>6</v>
      </c>
      <c r="G6" s="136"/>
      <c r="H6" s="138"/>
      <c r="I6" s="138"/>
    </row>
    <row r="7" spans="2:108" s="132" customFormat="1" x14ac:dyDescent="0.3">
      <c r="B7" s="142" t="s">
        <v>11</v>
      </c>
      <c r="C7" s="143"/>
      <c r="D7" s="143"/>
      <c r="E7" s="143"/>
      <c r="F7" s="144"/>
      <c r="G7" s="136"/>
      <c r="H7" s="138"/>
      <c r="I7" s="138"/>
    </row>
    <row r="8" spans="2:108" s="132" customFormat="1" x14ac:dyDescent="0.3">
      <c r="B8" s="145" t="s">
        <v>14</v>
      </c>
      <c r="C8" s="146"/>
      <c r="D8" s="146"/>
      <c r="E8" s="146"/>
      <c r="F8" s="144"/>
      <c r="G8" s="136"/>
      <c r="H8" s="138"/>
      <c r="I8" s="138"/>
    </row>
    <row r="9" spans="2:108" s="150" customFormat="1" x14ac:dyDescent="0.25">
      <c r="B9" s="147" t="s">
        <v>20</v>
      </c>
      <c r="C9" s="148"/>
      <c r="D9" s="148"/>
      <c r="E9" s="148"/>
      <c r="F9" s="149"/>
    </row>
    <row r="10" spans="2:108" s="132" customFormat="1" x14ac:dyDescent="0.3">
      <c r="B10" s="151" t="s">
        <v>21</v>
      </c>
      <c r="C10" s="152"/>
      <c r="D10" s="152"/>
      <c r="E10" s="152"/>
      <c r="F10" s="153"/>
      <c r="G10" s="136"/>
      <c r="H10" s="138"/>
      <c r="I10" s="138"/>
    </row>
    <row r="12" spans="2:108" s="132" customFormat="1" ht="38.25" x14ac:dyDescent="0.3">
      <c r="B12" s="154" t="s">
        <v>100</v>
      </c>
      <c r="C12" s="154" t="s">
        <v>102</v>
      </c>
      <c r="D12" s="154" t="s">
        <v>103</v>
      </c>
      <c r="E12" s="154" t="s">
        <v>104</v>
      </c>
      <c r="F12" s="154" t="s">
        <v>108</v>
      </c>
      <c r="G12" s="155" t="s">
        <v>105</v>
      </c>
      <c r="H12" s="154" t="s">
        <v>114</v>
      </c>
      <c r="I12" s="154" t="s">
        <v>115</v>
      </c>
      <c r="J12" s="154" t="s">
        <v>106</v>
      </c>
      <c r="K12" s="154" t="s">
        <v>8</v>
      </c>
      <c r="L12" s="154" t="s">
        <v>22</v>
      </c>
      <c r="M12" s="154" t="s">
        <v>107</v>
      </c>
    </row>
    <row r="13" spans="2:108" s="132" customFormat="1" ht="33" x14ac:dyDescent="0.3">
      <c r="B13" s="127">
        <v>1</v>
      </c>
      <c r="C13" s="78" t="s">
        <v>1009</v>
      </c>
      <c r="D13" s="78" t="s">
        <v>1010</v>
      </c>
      <c r="E13" s="54" t="s">
        <v>1011</v>
      </c>
      <c r="F13" s="128" t="s">
        <v>440</v>
      </c>
      <c r="G13" s="66">
        <v>1990</v>
      </c>
      <c r="H13" s="86">
        <v>28570</v>
      </c>
      <c r="I13" s="66">
        <v>1</v>
      </c>
      <c r="J13" s="129">
        <f t="shared" ref="J13:J76" si="0">I13*H13</f>
        <v>28570</v>
      </c>
      <c r="K13" s="130">
        <v>2714.15</v>
      </c>
      <c r="L13" s="66">
        <v>10</v>
      </c>
      <c r="M13" s="131"/>
    </row>
    <row r="14" spans="2:108" s="132" customFormat="1" ht="33" x14ac:dyDescent="0.3">
      <c r="B14" s="127">
        <v>2</v>
      </c>
      <c r="C14" s="78" t="s">
        <v>1012</v>
      </c>
      <c r="D14" s="78" t="s">
        <v>1013</v>
      </c>
      <c r="E14" s="54" t="s">
        <v>1014</v>
      </c>
      <c r="F14" s="128" t="s">
        <v>440</v>
      </c>
      <c r="G14" s="66">
        <v>1990</v>
      </c>
      <c r="H14" s="86">
        <v>103800</v>
      </c>
      <c r="I14" s="66">
        <v>1</v>
      </c>
      <c r="J14" s="129">
        <f t="shared" si="0"/>
        <v>103800</v>
      </c>
      <c r="K14" s="130">
        <v>9861</v>
      </c>
      <c r="L14" s="66">
        <v>10</v>
      </c>
      <c r="M14" s="131"/>
    </row>
    <row r="15" spans="2:108" s="132" customFormat="1" ht="33" x14ac:dyDescent="0.3">
      <c r="B15" s="127">
        <v>3</v>
      </c>
      <c r="C15" s="78" t="s">
        <v>667</v>
      </c>
      <c r="D15" s="69" t="s">
        <v>668</v>
      </c>
      <c r="E15" s="56" t="s">
        <v>669</v>
      </c>
      <c r="F15" s="128" t="s">
        <v>453</v>
      </c>
      <c r="G15" s="66">
        <v>1993</v>
      </c>
      <c r="H15" s="86">
        <v>77764</v>
      </c>
      <c r="I15" s="66">
        <v>1</v>
      </c>
      <c r="J15" s="129">
        <f t="shared" si="0"/>
        <v>77764</v>
      </c>
      <c r="K15" s="130">
        <v>7387.58</v>
      </c>
      <c r="L15" s="66">
        <v>10</v>
      </c>
      <c r="M15" s="131"/>
    </row>
    <row r="16" spans="2:108" s="132" customFormat="1" ht="33" x14ac:dyDescent="0.3">
      <c r="B16" s="127">
        <v>4</v>
      </c>
      <c r="C16" s="78" t="s">
        <v>868</v>
      </c>
      <c r="D16" s="78" t="s">
        <v>869</v>
      </c>
      <c r="E16" s="54">
        <v>1993</v>
      </c>
      <c r="F16" s="128" t="s">
        <v>457</v>
      </c>
      <c r="G16" s="66">
        <v>1993</v>
      </c>
      <c r="H16" s="86">
        <v>75000</v>
      </c>
      <c r="I16" s="66">
        <v>1</v>
      </c>
      <c r="J16" s="129">
        <f t="shared" si="0"/>
        <v>75000</v>
      </c>
      <c r="K16" s="130">
        <v>7125</v>
      </c>
      <c r="L16" s="66">
        <v>10</v>
      </c>
      <c r="M16" s="131"/>
    </row>
    <row r="17" spans="2:13" s="132" customFormat="1" ht="33" x14ac:dyDescent="0.3">
      <c r="B17" s="127">
        <v>5</v>
      </c>
      <c r="C17" s="78" t="s">
        <v>670</v>
      </c>
      <c r="D17" s="69" t="s">
        <v>671</v>
      </c>
      <c r="E17" s="54" t="s">
        <v>672</v>
      </c>
      <c r="F17" s="128" t="s">
        <v>453</v>
      </c>
      <c r="G17" s="66">
        <v>1994</v>
      </c>
      <c r="H17" s="86">
        <v>15000</v>
      </c>
      <c r="I17" s="66">
        <v>1</v>
      </c>
      <c r="J17" s="129">
        <f t="shared" si="0"/>
        <v>15000</v>
      </c>
      <c r="K17" s="130">
        <v>1425</v>
      </c>
      <c r="L17" s="66">
        <v>10</v>
      </c>
      <c r="M17" s="131"/>
    </row>
    <row r="18" spans="2:13" s="132" customFormat="1" ht="33" x14ac:dyDescent="0.3">
      <c r="B18" s="127">
        <v>6</v>
      </c>
      <c r="C18" s="78" t="s">
        <v>673</v>
      </c>
      <c r="D18" s="69" t="s">
        <v>674</v>
      </c>
      <c r="E18" s="56" t="s">
        <v>675</v>
      </c>
      <c r="F18" s="128" t="s">
        <v>453</v>
      </c>
      <c r="G18" s="66">
        <v>1994</v>
      </c>
      <c r="H18" s="86">
        <v>680000</v>
      </c>
      <c r="I18" s="66">
        <v>1</v>
      </c>
      <c r="J18" s="129">
        <f t="shared" si="0"/>
        <v>680000</v>
      </c>
      <c r="K18" s="130">
        <v>64600</v>
      </c>
      <c r="L18" s="66">
        <v>10</v>
      </c>
      <c r="M18" s="131"/>
    </row>
    <row r="19" spans="2:13" s="132" customFormat="1" ht="33" x14ac:dyDescent="0.3">
      <c r="B19" s="127">
        <v>7</v>
      </c>
      <c r="C19" s="78" t="s">
        <v>676</v>
      </c>
      <c r="D19" s="78" t="s">
        <v>677</v>
      </c>
      <c r="E19" s="54" t="s">
        <v>678</v>
      </c>
      <c r="F19" s="128" t="s">
        <v>453</v>
      </c>
      <c r="G19" s="66">
        <v>1994</v>
      </c>
      <c r="H19" s="86">
        <v>30000</v>
      </c>
      <c r="I19" s="66">
        <v>1</v>
      </c>
      <c r="J19" s="129">
        <f t="shared" si="0"/>
        <v>30000</v>
      </c>
      <c r="K19" s="130">
        <v>2850</v>
      </c>
      <c r="L19" s="66">
        <v>10</v>
      </c>
      <c r="M19" s="131"/>
    </row>
    <row r="20" spans="2:13" s="132" customFormat="1" ht="33" x14ac:dyDescent="0.3">
      <c r="B20" s="127">
        <v>8</v>
      </c>
      <c r="C20" s="78" t="s">
        <v>985</v>
      </c>
      <c r="D20" s="78" t="s">
        <v>986</v>
      </c>
      <c r="E20" s="54">
        <v>1994</v>
      </c>
      <c r="F20" s="128" t="s">
        <v>458</v>
      </c>
      <c r="G20" s="66">
        <v>1994</v>
      </c>
      <c r="H20" s="86">
        <v>75000</v>
      </c>
      <c r="I20" s="66">
        <v>2</v>
      </c>
      <c r="J20" s="129">
        <f t="shared" si="0"/>
        <v>150000</v>
      </c>
      <c r="K20" s="130">
        <v>7125</v>
      </c>
      <c r="L20" s="66">
        <v>10</v>
      </c>
      <c r="M20" s="131"/>
    </row>
    <row r="21" spans="2:13" s="132" customFormat="1" ht="33" x14ac:dyDescent="0.3">
      <c r="B21" s="127">
        <v>9</v>
      </c>
      <c r="C21" s="78" t="s">
        <v>1015</v>
      </c>
      <c r="D21" s="78" t="s">
        <v>1016</v>
      </c>
      <c r="E21" s="54" t="s">
        <v>1017</v>
      </c>
      <c r="F21" s="128" t="s">
        <v>440</v>
      </c>
      <c r="G21" s="66">
        <v>1994</v>
      </c>
      <c r="H21" s="86">
        <v>330000</v>
      </c>
      <c r="I21" s="66">
        <v>1</v>
      </c>
      <c r="J21" s="129">
        <f t="shared" si="0"/>
        <v>330000</v>
      </c>
      <c r="K21" s="130">
        <v>31350</v>
      </c>
      <c r="L21" s="66">
        <v>10</v>
      </c>
      <c r="M21" s="131"/>
    </row>
    <row r="22" spans="2:13" s="132" customFormat="1" ht="33" x14ac:dyDescent="0.3">
      <c r="B22" s="127">
        <v>10</v>
      </c>
      <c r="C22" s="78" t="s">
        <v>1018</v>
      </c>
      <c r="D22" s="78" t="s">
        <v>1019</v>
      </c>
      <c r="E22" s="54" t="s">
        <v>1020</v>
      </c>
      <c r="F22" s="128" t="s">
        <v>440</v>
      </c>
      <c r="G22" s="66">
        <v>1994</v>
      </c>
      <c r="H22" s="86">
        <v>278570</v>
      </c>
      <c r="I22" s="66">
        <v>1</v>
      </c>
      <c r="J22" s="129">
        <f t="shared" si="0"/>
        <v>278570</v>
      </c>
      <c r="K22" s="130">
        <v>26464.15</v>
      </c>
      <c r="L22" s="66">
        <v>10</v>
      </c>
      <c r="M22" s="131"/>
    </row>
    <row r="23" spans="2:13" s="132" customFormat="1" ht="33" x14ac:dyDescent="0.3">
      <c r="B23" s="127">
        <v>11</v>
      </c>
      <c r="C23" s="78" t="s">
        <v>1021</v>
      </c>
      <c r="D23" s="78" t="s">
        <v>1022</v>
      </c>
      <c r="E23" s="54" t="s">
        <v>1023</v>
      </c>
      <c r="F23" s="128" t="s">
        <v>440</v>
      </c>
      <c r="G23" s="66">
        <v>1994</v>
      </c>
      <c r="H23" s="86">
        <v>785714</v>
      </c>
      <c r="I23" s="66">
        <v>1</v>
      </c>
      <c r="J23" s="129">
        <f t="shared" si="0"/>
        <v>785714</v>
      </c>
      <c r="K23" s="130">
        <v>74642.829999999987</v>
      </c>
      <c r="L23" s="66">
        <v>10</v>
      </c>
      <c r="M23" s="131"/>
    </row>
    <row r="24" spans="2:13" s="132" customFormat="1" ht="33" x14ac:dyDescent="0.3">
      <c r="B24" s="127">
        <v>12</v>
      </c>
      <c r="C24" s="78" t="s">
        <v>1024</v>
      </c>
      <c r="D24" s="78" t="s">
        <v>1025</v>
      </c>
      <c r="E24" s="82" t="s">
        <v>1026</v>
      </c>
      <c r="F24" s="128" t="s">
        <v>440</v>
      </c>
      <c r="G24" s="66">
        <v>1994</v>
      </c>
      <c r="H24" s="86">
        <v>78870</v>
      </c>
      <c r="I24" s="66">
        <v>1</v>
      </c>
      <c r="J24" s="129">
        <f t="shared" si="0"/>
        <v>78870</v>
      </c>
      <c r="K24" s="130">
        <v>7492.65</v>
      </c>
      <c r="L24" s="66">
        <v>10</v>
      </c>
      <c r="M24" s="131"/>
    </row>
    <row r="25" spans="2:13" s="132" customFormat="1" ht="33" x14ac:dyDescent="0.3">
      <c r="B25" s="127">
        <v>13</v>
      </c>
      <c r="C25" s="78" t="s">
        <v>1027</v>
      </c>
      <c r="D25" s="78" t="s">
        <v>1028</v>
      </c>
      <c r="E25" s="54" t="s">
        <v>1029</v>
      </c>
      <c r="F25" s="128" t="s">
        <v>440</v>
      </c>
      <c r="G25" s="66">
        <v>1994</v>
      </c>
      <c r="H25" s="86">
        <v>85000</v>
      </c>
      <c r="I25" s="66">
        <v>1</v>
      </c>
      <c r="J25" s="129">
        <f t="shared" si="0"/>
        <v>85000</v>
      </c>
      <c r="K25" s="130">
        <v>8075</v>
      </c>
      <c r="L25" s="66">
        <v>10</v>
      </c>
      <c r="M25" s="131"/>
    </row>
    <row r="26" spans="2:13" s="132" customFormat="1" ht="49.5" x14ac:dyDescent="0.3">
      <c r="B26" s="127">
        <v>14</v>
      </c>
      <c r="C26" s="78" t="s">
        <v>1097</v>
      </c>
      <c r="D26" s="78" t="s">
        <v>1098</v>
      </c>
      <c r="E26" s="54" t="s">
        <v>1099</v>
      </c>
      <c r="F26" s="128" t="s">
        <v>441</v>
      </c>
      <c r="G26" s="66">
        <v>1994</v>
      </c>
      <c r="H26" s="86">
        <v>146510</v>
      </c>
      <c r="I26" s="66">
        <v>1</v>
      </c>
      <c r="J26" s="129">
        <f t="shared" si="0"/>
        <v>146510</v>
      </c>
      <c r="K26" s="130">
        <v>13918.45</v>
      </c>
      <c r="L26" s="66">
        <v>10</v>
      </c>
      <c r="M26" s="131"/>
    </row>
    <row r="27" spans="2:13" s="132" customFormat="1" ht="33" x14ac:dyDescent="0.3">
      <c r="B27" s="127">
        <v>15</v>
      </c>
      <c r="C27" s="78" t="s">
        <v>527</v>
      </c>
      <c r="D27" s="78" t="s">
        <v>528</v>
      </c>
      <c r="E27" s="54" t="s">
        <v>529</v>
      </c>
      <c r="F27" s="128" t="s">
        <v>450</v>
      </c>
      <c r="G27" s="66">
        <v>1995</v>
      </c>
      <c r="H27" s="86">
        <v>29960</v>
      </c>
      <c r="I27" s="66">
        <v>4</v>
      </c>
      <c r="J27" s="129">
        <f t="shared" si="0"/>
        <v>119840</v>
      </c>
      <c r="K27" s="130">
        <v>2846.2</v>
      </c>
      <c r="L27" s="66">
        <v>10</v>
      </c>
      <c r="M27" s="131"/>
    </row>
    <row r="28" spans="2:13" s="132" customFormat="1" ht="33" x14ac:dyDescent="0.3">
      <c r="B28" s="127">
        <v>16</v>
      </c>
      <c r="C28" s="78" t="s">
        <v>679</v>
      </c>
      <c r="D28" s="78" t="s">
        <v>680</v>
      </c>
      <c r="E28" s="54" t="s">
        <v>681</v>
      </c>
      <c r="F28" s="128" t="s">
        <v>453</v>
      </c>
      <c r="G28" s="66">
        <v>1996</v>
      </c>
      <c r="H28" s="86">
        <v>680000</v>
      </c>
      <c r="I28" s="66">
        <v>1</v>
      </c>
      <c r="J28" s="129">
        <f t="shared" si="0"/>
        <v>680000</v>
      </c>
      <c r="K28" s="130">
        <v>64600</v>
      </c>
      <c r="L28" s="66">
        <v>10</v>
      </c>
      <c r="M28" s="131"/>
    </row>
    <row r="29" spans="2:13" s="132" customFormat="1" ht="24" x14ac:dyDescent="0.3">
      <c r="B29" s="127">
        <v>17</v>
      </c>
      <c r="C29" s="78" t="s">
        <v>402</v>
      </c>
      <c r="D29" s="78" t="s">
        <v>513</v>
      </c>
      <c r="E29" s="54" t="s">
        <v>514</v>
      </c>
      <c r="F29" s="128" t="s">
        <v>447</v>
      </c>
      <c r="G29" s="66">
        <v>1998</v>
      </c>
      <c r="H29" s="86">
        <v>88787</v>
      </c>
      <c r="I29" s="66">
        <v>1</v>
      </c>
      <c r="J29" s="129">
        <f t="shared" si="0"/>
        <v>88787</v>
      </c>
      <c r="K29" s="130">
        <v>8434.7649999999994</v>
      </c>
      <c r="L29" s="66">
        <v>10</v>
      </c>
      <c r="M29" s="131"/>
    </row>
    <row r="30" spans="2:13" s="132" customFormat="1" ht="33" x14ac:dyDescent="0.3">
      <c r="B30" s="127">
        <v>18</v>
      </c>
      <c r="C30" s="78" t="s">
        <v>530</v>
      </c>
      <c r="D30" s="78" t="s">
        <v>531</v>
      </c>
      <c r="E30" s="54" t="s">
        <v>532</v>
      </c>
      <c r="F30" s="128" t="s">
        <v>450</v>
      </c>
      <c r="G30" s="66">
        <v>1998</v>
      </c>
      <c r="H30" s="86">
        <v>57000</v>
      </c>
      <c r="I30" s="66">
        <v>1</v>
      </c>
      <c r="J30" s="129">
        <f t="shared" si="0"/>
        <v>57000</v>
      </c>
      <c r="K30" s="130">
        <v>5415</v>
      </c>
      <c r="L30" s="66">
        <v>10</v>
      </c>
      <c r="M30" s="131"/>
    </row>
    <row r="31" spans="2:13" s="132" customFormat="1" ht="33" x14ac:dyDescent="0.3">
      <c r="B31" s="127">
        <v>19</v>
      </c>
      <c r="C31" s="78" t="s">
        <v>533</v>
      </c>
      <c r="D31" s="78" t="s">
        <v>534</v>
      </c>
      <c r="E31" s="54" t="s">
        <v>535</v>
      </c>
      <c r="F31" s="128" t="s">
        <v>450</v>
      </c>
      <c r="G31" s="66">
        <v>1998</v>
      </c>
      <c r="H31" s="86">
        <v>312000</v>
      </c>
      <c r="I31" s="66">
        <v>1</v>
      </c>
      <c r="J31" s="129">
        <f t="shared" si="0"/>
        <v>312000</v>
      </c>
      <c r="K31" s="130">
        <v>29640</v>
      </c>
      <c r="L31" s="66">
        <v>10</v>
      </c>
      <c r="M31" s="131"/>
    </row>
    <row r="32" spans="2:13" s="132" customFormat="1" ht="33" x14ac:dyDescent="0.3">
      <c r="B32" s="127">
        <v>20</v>
      </c>
      <c r="C32" s="78" t="s">
        <v>536</v>
      </c>
      <c r="D32" s="78" t="s">
        <v>537</v>
      </c>
      <c r="E32" s="54" t="s">
        <v>538</v>
      </c>
      <c r="F32" s="128" t="s">
        <v>450</v>
      </c>
      <c r="G32" s="66">
        <v>1998</v>
      </c>
      <c r="H32" s="86">
        <v>103000</v>
      </c>
      <c r="I32" s="66">
        <v>1</v>
      </c>
      <c r="J32" s="129">
        <f t="shared" si="0"/>
        <v>103000</v>
      </c>
      <c r="K32" s="130">
        <v>9785</v>
      </c>
      <c r="L32" s="66">
        <v>10</v>
      </c>
      <c r="M32" s="131"/>
    </row>
    <row r="33" spans="2:13" s="132" customFormat="1" ht="33" x14ac:dyDescent="0.3">
      <c r="B33" s="127">
        <v>21</v>
      </c>
      <c r="C33" s="78" t="s">
        <v>682</v>
      </c>
      <c r="D33" s="78" t="s">
        <v>683</v>
      </c>
      <c r="E33" s="54" t="s">
        <v>684</v>
      </c>
      <c r="F33" s="128" t="s">
        <v>453</v>
      </c>
      <c r="G33" s="66">
        <v>1998</v>
      </c>
      <c r="H33" s="86">
        <v>35000</v>
      </c>
      <c r="I33" s="66">
        <v>1</v>
      </c>
      <c r="J33" s="129">
        <f t="shared" si="0"/>
        <v>35000</v>
      </c>
      <c r="K33" s="130">
        <v>3325</v>
      </c>
      <c r="L33" s="66">
        <v>10</v>
      </c>
      <c r="M33" s="131"/>
    </row>
    <row r="34" spans="2:13" s="132" customFormat="1" ht="33" x14ac:dyDescent="0.3">
      <c r="B34" s="127">
        <v>22</v>
      </c>
      <c r="C34" s="78" t="s">
        <v>685</v>
      </c>
      <c r="D34" s="78" t="s">
        <v>686</v>
      </c>
      <c r="E34" s="54" t="s">
        <v>687</v>
      </c>
      <c r="F34" s="128" t="s">
        <v>453</v>
      </c>
      <c r="G34" s="66">
        <v>1998</v>
      </c>
      <c r="H34" s="86">
        <v>25000</v>
      </c>
      <c r="I34" s="66">
        <v>1</v>
      </c>
      <c r="J34" s="129">
        <f t="shared" si="0"/>
        <v>25000</v>
      </c>
      <c r="K34" s="130">
        <v>2375</v>
      </c>
      <c r="L34" s="66">
        <v>10</v>
      </c>
      <c r="M34" s="131"/>
    </row>
    <row r="35" spans="2:13" s="132" customFormat="1" ht="36" x14ac:dyDescent="0.3">
      <c r="B35" s="127">
        <v>23</v>
      </c>
      <c r="C35" s="78" t="s">
        <v>688</v>
      </c>
      <c r="D35" s="69" t="s">
        <v>505</v>
      </c>
      <c r="E35" s="56" t="s">
        <v>689</v>
      </c>
      <c r="F35" s="128" t="s">
        <v>453</v>
      </c>
      <c r="G35" s="66">
        <v>1998</v>
      </c>
      <c r="H35" s="86">
        <v>48000</v>
      </c>
      <c r="I35" s="66">
        <v>1</v>
      </c>
      <c r="J35" s="129">
        <f t="shared" si="0"/>
        <v>48000</v>
      </c>
      <c r="K35" s="130">
        <v>4560</v>
      </c>
      <c r="L35" s="66">
        <v>10</v>
      </c>
      <c r="M35" s="131"/>
    </row>
    <row r="36" spans="2:13" s="132" customFormat="1" ht="33" x14ac:dyDescent="0.3">
      <c r="B36" s="127">
        <v>24</v>
      </c>
      <c r="C36" s="78" t="s">
        <v>690</v>
      </c>
      <c r="D36" s="69" t="s">
        <v>691</v>
      </c>
      <c r="E36" s="56" t="s">
        <v>692</v>
      </c>
      <c r="F36" s="128" t="s">
        <v>453</v>
      </c>
      <c r="G36" s="66">
        <v>1998</v>
      </c>
      <c r="H36" s="86">
        <v>43944</v>
      </c>
      <c r="I36" s="66">
        <v>1</v>
      </c>
      <c r="J36" s="129">
        <f t="shared" si="0"/>
        <v>43944</v>
      </c>
      <c r="K36" s="130">
        <v>4174.6799999999994</v>
      </c>
      <c r="L36" s="66">
        <v>10</v>
      </c>
      <c r="M36" s="131"/>
    </row>
    <row r="37" spans="2:13" s="132" customFormat="1" ht="33" x14ac:dyDescent="0.3">
      <c r="B37" s="127">
        <v>25</v>
      </c>
      <c r="C37" s="78" t="s">
        <v>790</v>
      </c>
      <c r="D37" s="69" t="s">
        <v>545</v>
      </c>
      <c r="E37" s="54" t="s">
        <v>791</v>
      </c>
      <c r="F37" s="128" t="s">
        <v>454</v>
      </c>
      <c r="G37" s="66">
        <v>1998</v>
      </c>
      <c r="H37" s="86">
        <v>16000</v>
      </c>
      <c r="I37" s="66">
        <v>1</v>
      </c>
      <c r="J37" s="129">
        <f t="shared" si="0"/>
        <v>16000</v>
      </c>
      <c r="K37" s="130">
        <v>1520</v>
      </c>
      <c r="L37" s="66">
        <v>10</v>
      </c>
      <c r="M37" s="131"/>
    </row>
    <row r="38" spans="2:13" s="132" customFormat="1" ht="33" x14ac:dyDescent="0.3">
      <c r="B38" s="127">
        <v>26</v>
      </c>
      <c r="C38" s="78" t="s">
        <v>793</v>
      </c>
      <c r="D38" s="78" t="s">
        <v>794</v>
      </c>
      <c r="E38" s="54" t="s">
        <v>795</v>
      </c>
      <c r="F38" s="128" t="s">
        <v>455</v>
      </c>
      <c r="G38" s="66">
        <v>1998</v>
      </c>
      <c r="H38" s="86">
        <v>190000</v>
      </c>
      <c r="I38" s="66">
        <v>1</v>
      </c>
      <c r="J38" s="129">
        <f t="shared" si="0"/>
        <v>190000</v>
      </c>
      <c r="K38" s="130">
        <v>18050</v>
      </c>
      <c r="L38" s="66">
        <v>10</v>
      </c>
      <c r="M38" s="131"/>
    </row>
    <row r="39" spans="2:13" s="132" customFormat="1" ht="48" x14ac:dyDescent="0.3">
      <c r="B39" s="127">
        <v>27</v>
      </c>
      <c r="C39" s="78" t="s">
        <v>796</v>
      </c>
      <c r="D39" s="78" t="s">
        <v>614</v>
      </c>
      <c r="E39" s="54" t="s">
        <v>797</v>
      </c>
      <c r="F39" s="128" t="s">
        <v>455</v>
      </c>
      <c r="G39" s="66">
        <v>1998</v>
      </c>
      <c r="H39" s="86">
        <v>60000</v>
      </c>
      <c r="I39" s="66">
        <v>1</v>
      </c>
      <c r="J39" s="129">
        <f t="shared" si="0"/>
        <v>60000</v>
      </c>
      <c r="K39" s="130">
        <v>5700</v>
      </c>
      <c r="L39" s="66">
        <v>10</v>
      </c>
      <c r="M39" s="131"/>
    </row>
    <row r="40" spans="2:13" s="132" customFormat="1" ht="33" x14ac:dyDescent="0.3">
      <c r="B40" s="127">
        <v>28</v>
      </c>
      <c r="C40" s="78" t="s">
        <v>798</v>
      </c>
      <c r="D40" s="78" t="s">
        <v>799</v>
      </c>
      <c r="E40" s="54" t="s">
        <v>800</v>
      </c>
      <c r="F40" s="128" t="s">
        <v>455</v>
      </c>
      <c r="G40" s="66">
        <v>1998</v>
      </c>
      <c r="H40" s="86">
        <v>71093</v>
      </c>
      <c r="I40" s="66">
        <v>2</v>
      </c>
      <c r="J40" s="129">
        <f t="shared" si="0"/>
        <v>142186</v>
      </c>
      <c r="K40" s="130">
        <v>6753.8349999999991</v>
      </c>
      <c r="L40" s="66">
        <v>10</v>
      </c>
      <c r="M40" s="131"/>
    </row>
    <row r="41" spans="2:13" s="132" customFormat="1" ht="48" x14ac:dyDescent="0.3">
      <c r="B41" s="127">
        <v>29</v>
      </c>
      <c r="C41" s="78" t="s">
        <v>801</v>
      </c>
      <c r="D41" s="78" t="s">
        <v>802</v>
      </c>
      <c r="E41" s="54" t="s">
        <v>803</v>
      </c>
      <c r="F41" s="128" t="s">
        <v>455</v>
      </c>
      <c r="G41" s="66">
        <v>1998</v>
      </c>
      <c r="H41" s="86">
        <v>43600</v>
      </c>
      <c r="I41" s="66">
        <v>2</v>
      </c>
      <c r="J41" s="129">
        <f t="shared" si="0"/>
        <v>87200</v>
      </c>
      <c r="K41" s="130">
        <v>4142</v>
      </c>
      <c r="L41" s="66">
        <v>10</v>
      </c>
      <c r="M41" s="131"/>
    </row>
    <row r="42" spans="2:13" s="132" customFormat="1" ht="33" x14ac:dyDescent="0.3">
      <c r="B42" s="127">
        <v>30</v>
      </c>
      <c r="C42" s="78" t="s">
        <v>804</v>
      </c>
      <c r="D42" s="78" t="s">
        <v>802</v>
      </c>
      <c r="E42" s="54" t="s">
        <v>805</v>
      </c>
      <c r="F42" s="128" t="s">
        <v>455</v>
      </c>
      <c r="G42" s="66">
        <v>1998</v>
      </c>
      <c r="H42" s="86">
        <v>23215</v>
      </c>
      <c r="I42" s="66">
        <v>1</v>
      </c>
      <c r="J42" s="129">
        <f t="shared" si="0"/>
        <v>23215</v>
      </c>
      <c r="K42" s="130">
        <v>2205.4250000000002</v>
      </c>
      <c r="L42" s="66">
        <v>10</v>
      </c>
      <c r="M42" s="131"/>
    </row>
    <row r="43" spans="2:13" s="132" customFormat="1" ht="33" x14ac:dyDescent="0.3">
      <c r="B43" s="127">
        <v>31</v>
      </c>
      <c r="C43" s="78" t="s">
        <v>807</v>
      </c>
      <c r="D43" s="78" t="s">
        <v>472</v>
      </c>
      <c r="E43" s="54" t="s">
        <v>808</v>
      </c>
      <c r="F43" s="128" t="s">
        <v>455</v>
      </c>
      <c r="G43" s="66">
        <v>1998</v>
      </c>
      <c r="H43" s="86">
        <v>59750</v>
      </c>
      <c r="I43" s="66">
        <v>1</v>
      </c>
      <c r="J43" s="129">
        <f t="shared" si="0"/>
        <v>59750</v>
      </c>
      <c r="K43" s="130">
        <v>5676.25</v>
      </c>
      <c r="L43" s="66">
        <v>10</v>
      </c>
      <c r="M43" s="131"/>
    </row>
    <row r="44" spans="2:13" s="132" customFormat="1" ht="33" x14ac:dyDescent="0.3">
      <c r="B44" s="127">
        <v>32</v>
      </c>
      <c r="C44" s="78" t="s">
        <v>870</v>
      </c>
      <c r="D44" s="78" t="s">
        <v>555</v>
      </c>
      <c r="E44" s="54" t="s">
        <v>871</v>
      </c>
      <c r="F44" s="128" t="s">
        <v>457</v>
      </c>
      <c r="G44" s="66">
        <v>1998</v>
      </c>
      <c r="H44" s="86">
        <v>23296</v>
      </c>
      <c r="I44" s="66">
        <v>1</v>
      </c>
      <c r="J44" s="129">
        <f t="shared" si="0"/>
        <v>23296</v>
      </c>
      <c r="K44" s="130">
        <v>2213.12</v>
      </c>
      <c r="L44" s="66">
        <v>10</v>
      </c>
      <c r="M44" s="131"/>
    </row>
    <row r="45" spans="2:13" s="132" customFormat="1" ht="33" x14ac:dyDescent="0.3">
      <c r="B45" s="127">
        <v>33</v>
      </c>
      <c r="C45" s="78" t="s">
        <v>872</v>
      </c>
      <c r="D45" s="78" t="s">
        <v>472</v>
      </c>
      <c r="E45" s="54" t="s">
        <v>873</v>
      </c>
      <c r="F45" s="128" t="s">
        <v>457</v>
      </c>
      <c r="G45" s="66">
        <v>1998</v>
      </c>
      <c r="H45" s="86">
        <v>35000</v>
      </c>
      <c r="I45" s="66">
        <v>1</v>
      </c>
      <c r="J45" s="129">
        <f t="shared" si="0"/>
        <v>35000</v>
      </c>
      <c r="K45" s="130">
        <v>3325</v>
      </c>
      <c r="L45" s="66">
        <v>10</v>
      </c>
      <c r="M45" s="131"/>
    </row>
    <row r="46" spans="2:13" s="132" customFormat="1" ht="33" x14ac:dyDescent="0.3">
      <c r="B46" s="127">
        <v>34</v>
      </c>
      <c r="C46" s="78"/>
      <c r="D46" s="78" t="s">
        <v>614</v>
      </c>
      <c r="E46" s="54" t="s">
        <v>987</v>
      </c>
      <c r="F46" s="128" t="s">
        <v>458</v>
      </c>
      <c r="G46" s="66">
        <v>1998</v>
      </c>
      <c r="H46" s="86">
        <v>56000</v>
      </c>
      <c r="I46" s="66">
        <v>1</v>
      </c>
      <c r="J46" s="129">
        <f t="shared" si="0"/>
        <v>56000</v>
      </c>
      <c r="K46" s="130">
        <v>5320</v>
      </c>
      <c r="L46" s="66">
        <v>10</v>
      </c>
      <c r="M46" s="131"/>
    </row>
    <row r="47" spans="2:13" s="132" customFormat="1" ht="33" x14ac:dyDescent="0.3">
      <c r="B47" s="127">
        <v>35</v>
      </c>
      <c r="C47" s="78" t="s">
        <v>1030</v>
      </c>
      <c r="D47" s="78" t="s">
        <v>466</v>
      </c>
      <c r="E47" s="54" t="s">
        <v>1031</v>
      </c>
      <c r="F47" s="128" t="s">
        <v>440</v>
      </c>
      <c r="G47" s="66">
        <v>1998</v>
      </c>
      <c r="H47" s="86">
        <v>75000</v>
      </c>
      <c r="I47" s="66">
        <v>1</v>
      </c>
      <c r="J47" s="129">
        <f t="shared" si="0"/>
        <v>75000</v>
      </c>
      <c r="K47" s="130">
        <v>7125</v>
      </c>
      <c r="L47" s="66">
        <v>10</v>
      </c>
      <c r="M47" s="131"/>
    </row>
    <row r="48" spans="2:13" s="132" customFormat="1" ht="36" x14ac:dyDescent="0.3">
      <c r="B48" s="127">
        <v>36</v>
      </c>
      <c r="C48" s="78" t="s">
        <v>1032</v>
      </c>
      <c r="D48" s="78" t="s">
        <v>1033</v>
      </c>
      <c r="E48" s="54" t="s">
        <v>1034</v>
      </c>
      <c r="F48" s="128" t="s">
        <v>440</v>
      </c>
      <c r="G48" s="66">
        <v>1998</v>
      </c>
      <c r="H48" s="86">
        <v>68000</v>
      </c>
      <c r="I48" s="66">
        <v>1</v>
      </c>
      <c r="J48" s="129">
        <f t="shared" si="0"/>
        <v>68000</v>
      </c>
      <c r="K48" s="130">
        <v>6460</v>
      </c>
      <c r="L48" s="66">
        <v>10</v>
      </c>
      <c r="M48" s="131"/>
    </row>
    <row r="49" spans="2:13" s="132" customFormat="1" ht="33" x14ac:dyDescent="0.3">
      <c r="B49" s="127">
        <v>37</v>
      </c>
      <c r="C49" s="78" t="s">
        <v>1035</v>
      </c>
      <c r="D49" s="78" t="s">
        <v>472</v>
      </c>
      <c r="E49" s="54" t="s">
        <v>1036</v>
      </c>
      <c r="F49" s="128" t="s">
        <v>440</v>
      </c>
      <c r="G49" s="66">
        <v>1998</v>
      </c>
      <c r="H49" s="86">
        <v>65000</v>
      </c>
      <c r="I49" s="66">
        <v>1</v>
      </c>
      <c r="J49" s="129">
        <f t="shared" si="0"/>
        <v>65000</v>
      </c>
      <c r="K49" s="130">
        <v>6175</v>
      </c>
      <c r="L49" s="66">
        <v>10</v>
      </c>
      <c r="M49" s="131"/>
    </row>
    <row r="50" spans="2:13" s="132" customFormat="1" ht="49.5" x14ac:dyDescent="0.3">
      <c r="B50" s="127">
        <v>38</v>
      </c>
      <c r="C50" s="78" t="s">
        <v>504</v>
      </c>
      <c r="D50" s="78" t="s">
        <v>505</v>
      </c>
      <c r="E50" s="54" t="s">
        <v>506</v>
      </c>
      <c r="F50" s="128" t="s">
        <v>445</v>
      </c>
      <c r="G50" s="66">
        <v>1999</v>
      </c>
      <c r="H50" s="86">
        <v>96683.49</v>
      </c>
      <c r="I50" s="66">
        <v>1</v>
      </c>
      <c r="J50" s="129">
        <f t="shared" si="0"/>
        <v>96683.49</v>
      </c>
      <c r="K50" s="130">
        <v>9184.9315499999993</v>
      </c>
      <c r="L50" s="66">
        <v>10</v>
      </c>
      <c r="M50" s="131"/>
    </row>
    <row r="51" spans="2:13" s="132" customFormat="1" ht="33" x14ac:dyDescent="0.3">
      <c r="B51" s="127">
        <v>39</v>
      </c>
      <c r="C51" s="78" t="s">
        <v>539</v>
      </c>
      <c r="D51" s="78" t="s">
        <v>540</v>
      </c>
      <c r="E51" s="56" t="s">
        <v>541</v>
      </c>
      <c r="F51" s="128" t="s">
        <v>450</v>
      </c>
      <c r="G51" s="66">
        <v>1999</v>
      </c>
      <c r="H51" s="86">
        <v>21000</v>
      </c>
      <c r="I51" s="66">
        <v>2</v>
      </c>
      <c r="J51" s="129">
        <f t="shared" si="0"/>
        <v>42000</v>
      </c>
      <c r="K51" s="130">
        <v>1995</v>
      </c>
      <c r="L51" s="66">
        <v>10</v>
      </c>
      <c r="M51" s="131"/>
    </row>
    <row r="52" spans="2:13" s="132" customFormat="1" ht="33" x14ac:dyDescent="0.3">
      <c r="B52" s="127">
        <v>40</v>
      </c>
      <c r="C52" s="78" t="s">
        <v>693</v>
      </c>
      <c r="D52" s="78" t="s">
        <v>694</v>
      </c>
      <c r="E52" s="54" t="s">
        <v>695</v>
      </c>
      <c r="F52" s="128" t="s">
        <v>453</v>
      </c>
      <c r="G52" s="66">
        <v>1999</v>
      </c>
      <c r="H52" s="86">
        <v>75000</v>
      </c>
      <c r="I52" s="66">
        <v>1</v>
      </c>
      <c r="J52" s="129">
        <f t="shared" si="0"/>
        <v>75000</v>
      </c>
      <c r="K52" s="130">
        <v>7125</v>
      </c>
      <c r="L52" s="66">
        <v>10</v>
      </c>
      <c r="M52" s="131"/>
    </row>
    <row r="53" spans="2:13" s="132" customFormat="1" ht="33" x14ac:dyDescent="0.3">
      <c r="B53" s="127">
        <v>41</v>
      </c>
      <c r="C53" s="78" t="s">
        <v>874</v>
      </c>
      <c r="D53" s="78" t="s">
        <v>543</v>
      </c>
      <c r="E53" s="54" t="s">
        <v>875</v>
      </c>
      <c r="F53" s="128" t="s">
        <v>457</v>
      </c>
      <c r="G53" s="66">
        <v>1999</v>
      </c>
      <c r="H53" s="86">
        <v>25000</v>
      </c>
      <c r="I53" s="66">
        <v>1</v>
      </c>
      <c r="J53" s="129">
        <f t="shared" si="0"/>
        <v>25000</v>
      </c>
      <c r="K53" s="130">
        <v>2375</v>
      </c>
      <c r="L53" s="66">
        <v>10</v>
      </c>
      <c r="M53" s="131"/>
    </row>
    <row r="54" spans="2:13" s="132" customFormat="1" ht="60" x14ac:dyDescent="0.3">
      <c r="B54" s="127">
        <v>42</v>
      </c>
      <c r="C54" s="78" t="s">
        <v>1100</v>
      </c>
      <c r="D54" s="78" t="s">
        <v>1101</v>
      </c>
      <c r="E54" s="54" t="s">
        <v>1102</v>
      </c>
      <c r="F54" s="128" t="s">
        <v>441</v>
      </c>
      <c r="G54" s="66">
        <v>1999</v>
      </c>
      <c r="H54" s="86">
        <v>690000</v>
      </c>
      <c r="I54" s="66">
        <v>1</v>
      </c>
      <c r="J54" s="129">
        <f t="shared" si="0"/>
        <v>690000</v>
      </c>
      <c r="K54" s="130">
        <v>65550</v>
      </c>
      <c r="L54" s="66">
        <v>10</v>
      </c>
      <c r="M54" s="131"/>
    </row>
    <row r="55" spans="2:13" s="132" customFormat="1" ht="49.5" x14ac:dyDescent="0.3">
      <c r="B55" s="127">
        <v>43</v>
      </c>
      <c r="C55" s="78" t="s">
        <v>465</v>
      </c>
      <c r="D55" s="78" t="s">
        <v>466</v>
      </c>
      <c r="E55" s="54" t="s">
        <v>467</v>
      </c>
      <c r="F55" s="128" t="s">
        <v>441</v>
      </c>
      <c r="G55" s="66">
        <v>2000</v>
      </c>
      <c r="H55" s="86">
        <v>509553.45</v>
      </c>
      <c r="I55" s="66">
        <v>1</v>
      </c>
      <c r="J55" s="129">
        <f t="shared" si="0"/>
        <v>509553.45</v>
      </c>
      <c r="K55" s="130">
        <v>48407.577749999997</v>
      </c>
      <c r="L55" s="66">
        <v>10</v>
      </c>
      <c r="M55" s="131"/>
    </row>
    <row r="56" spans="2:13" s="132" customFormat="1" ht="33" x14ac:dyDescent="0.3">
      <c r="B56" s="127">
        <v>44</v>
      </c>
      <c r="C56" s="69" t="s">
        <v>542</v>
      </c>
      <c r="D56" s="69" t="s">
        <v>543</v>
      </c>
      <c r="E56" s="56" t="s">
        <v>544</v>
      </c>
      <c r="F56" s="128" t="s">
        <v>450</v>
      </c>
      <c r="G56" s="66">
        <v>2000</v>
      </c>
      <c r="H56" s="86">
        <v>48150</v>
      </c>
      <c r="I56" s="66">
        <v>1</v>
      </c>
      <c r="J56" s="129">
        <f t="shared" si="0"/>
        <v>48150</v>
      </c>
      <c r="K56" s="130">
        <v>4574.25</v>
      </c>
      <c r="L56" s="66">
        <v>10</v>
      </c>
      <c r="M56" s="131"/>
    </row>
    <row r="57" spans="2:13" s="132" customFormat="1" ht="33" x14ac:dyDescent="0.3">
      <c r="B57" s="127">
        <v>45</v>
      </c>
      <c r="C57" s="78" t="s">
        <v>696</v>
      </c>
      <c r="D57" s="78" t="s">
        <v>697</v>
      </c>
      <c r="E57" s="54" t="s">
        <v>698</v>
      </c>
      <c r="F57" s="128" t="s">
        <v>453</v>
      </c>
      <c r="G57" s="66">
        <v>2000</v>
      </c>
      <c r="H57" s="86">
        <v>498000</v>
      </c>
      <c r="I57" s="66">
        <v>1</v>
      </c>
      <c r="J57" s="129">
        <f t="shared" si="0"/>
        <v>498000</v>
      </c>
      <c r="K57" s="130">
        <v>47310</v>
      </c>
      <c r="L57" s="66">
        <v>10</v>
      </c>
      <c r="M57" s="131"/>
    </row>
    <row r="58" spans="2:13" s="132" customFormat="1" ht="33" x14ac:dyDescent="0.3">
      <c r="B58" s="127">
        <v>46</v>
      </c>
      <c r="C58" s="78" t="s">
        <v>988</v>
      </c>
      <c r="D58" s="78" t="s">
        <v>512</v>
      </c>
      <c r="E58" s="54" t="s">
        <v>989</v>
      </c>
      <c r="F58" s="128" t="s">
        <v>458</v>
      </c>
      <c r="G58" s="66">
        <v>2000</v>
      </c>
      <c r="H58" s="86">
        <v>23296</v>
      </c>
      <c r="I58" s="66">
        <v>1</v>
      </c>
      <c r="J58" s="129">
        <f t="shared" si="0"/>
        <v>23296</v>
      </c>
      <c r="K58" s="130">
        <v>2213.12</v>
      </c>
      <c r="L58" s="66">
        <v>10</v>
      </c>
      <c r="M58" s="131"/>
    </row>
    <row r="59" spans="2:13" s="132" customFormat="1" ht="33" x14ac:dyDescent="0.3">
      <c r="B59" s="127">
        <v>47</v>
      </c>
      <c r="C59" s="78" t="s">
        <v>1037</v>
      </c>
      <c r="D59" s="78" t="s">
        <v>1038</v>
      </c>
      <c r="E59" s="54" t="s">
        <v>1039</v>
      </c>
      <c r="F59" s="128" t="s">
        <v>440</v>
      </c>
      <c r="G59" s="66">
        <v>2000</v>
      </c>
      <c r="H59" s="86">
        <v>278570</v>
      </c>
      <c r="I59" s="66">
        <v>1</v>
      </c>
      <c r="J59" s="129">
        <f t="shared" si="0"/>
        <v>278570</v>
      </c>
      <c r="K59" s="130">
        <v>26464.15</v>
      </c>
      <c r="L59" s="66">
        <v>10</v>
      </c>
      <c r="M59" s="131"/>
    </row>
    <row r="60" spans="2:13" s="132" customFormat="1" ht="33" x14ac:dyDescent="0.3">
      <c r="B60" s="127">
        <v>48</v>
      </c>
      <c r="C60" s="78" t="s">
        <v>1040</v>
      </c>
      <c r="D60" s="78" t="s">
        <v>1041</v>
      </c>
      <c r="E60" s="54" t="s">
        <v>1042</v>
      </c>
      <c r="F60" s="128" t="s">
        <v>440</v>
      </c>
      <c r="G60" s="66">
        <v>2000</v>
      </c>
      <c r="H60" s="86">
        <v>850000</v>
      </c>
      <c r="I60" s="66">
        <v>1</v>
      </c>
      <c r="J60" s="129">
        <f t="shared" si="0"/>
        <v>850000</v>
      </c>
      <c r="K60" s="130">
        <v>80750</v>
      </c>
      <c r="L60" s="66">
        <v>10</v>
      </c>
      <c r="M60" s="131"/>
    </row>
    <row r="61" spans="2:13" s="132" customFormat="1" ht="96" x14ac:dyDescent="0.3">
      <c r="B61" s="127">
        <v>49</v>
      </c>
      <c r="C61" s="78" t="s">
        <v>1103</v>
      </c>
      <c r="D61" s="78" t="s">
        <v>1104</v>
      </c>
      <c r="E61" s="54" t="s">
        <v>1105</v>
      </c>
      <c r="F61" s="128" t="s">
        <v>441</v>
      </c>
      <c r="G61" s="66">
        <v>2000</v>
      </c>
      <c r="H61" s="86">
        <v>574700</v>
      </c>
      <c r="I61" s="66">
        <v>1</v>
      </c>
      <c r="J61" s="129">
        <f t="shared" si="0"/>
        <v>574700</v>
      </c>
      <c r="K61" s="130">
        <v>54596.5</v>
      </c>
      <c r="L61" s="66">
        <v>10</v>
      </c>
      <c r="M61" s="131"/>
    </row>
    <row r="62" spans="2:13" s="132" customFormat="1" ht="49.5" x14ac:dyDescent="0.3">
      <c r="B62" s="127">
        <v>50</v>
      </c>
      <c r="C62" s="78" t="s">
        <v>1106</v>
      </c>
      <c r="D62" s="78" t="s">
        <v>986</v>
      </c>
      <c r="E62" s="54" t="s">
        <v>1107</v>
      </c>
      <c r="F62" s="128" t="s">
        <v>441</v>
      </c>
      <c r="G62" s="66">
        <v>2000</v>
      </c>
      <c r="H62" s="86">
        <v>690000</v>
      </c>
      <c r="I62" s="66">
        <v>1</v>
      </c>
      <c r="J62" s="129">
        <f t="shared" si="0"/>
        <v>690000</v>
      </c>
      <c r="K62" s="130">
        <v>65550</v>
      </c>
      <c r="L62" s="66">
        <v>10</v>
      </c>
      <c r="M62" s="131"/>
    </row>
    <row r="63" spans="2:13" s="132" customFormat="1" ht="49.5" x14ac:dyDescent="0.3">
      <c r="B63" s="127">
        <v>51</v>
      </c>
      <c r="C63" s="78" t="s">
        <v>1108</v>
      </c>
      <c r="D63" s="78" t="s">
        <v>1109</v>
      </c>
      <c r="E63" s="54" t="s">
        <v>1110</v>
      </c>
      <c r="F63" s="128" t="s">
        <v>441</v>
      </c>
      <c r="G63" s="66">
        <v>2000</v>
      </c>
      <c r="H63" s="86">
        <v>285000</v>
      </c>
      <c r="I63" s="66">
        <v>1</v>
      </c>
      <c r="J63" s="129">
        <f t="shared" si="0"/>
        <v>285000</v>
      </c>
      <c r="K63" s="130">
        <v>27075</v>
      </c>
      <c r="L63" s="66">
        <v>10</v>
      </c>
      <c r="M63" s="131"/>
    </row>
    <row r="64" spans="2:13" s="132" customFormat="1" ht="33" x14ac:dyDescent="0.3">
      <c r="B64" s="127">
        <v>52</v>
      </c>
      <c r="C64" s="78" t="s">
        <v>1228</v>
      </c>
      <c r="D64" s="78" t="s">
        <v>1229</v>
      </c>
      <c r="E64" s="54" t="s">
        <v>1230</v>
      </c>
      <c r="F64" s="128" t="s">
        <v>459</v>
      </c>
      <c r="G64" s="66">
        <v>2000</v>
      </c>
      <c r="H64" s="86">
        <v>480000</v>
      </c>
      <c r="I64" s="66">
        <v>1</v>
      </c>
      <c r="J64" s="129">
        <f t="shared" si="0"/>
        <v>480000</v>
      </c>
      <c r="K64" s="130">
        <v>45600</v>
      </c>
      <c r="L64" s="66">
        <v>10</v>
      </c>
      <c r="M64" s="131"/>
    </row>
    <row r="65" spans="2:13" s="132" customFormat="1" ht="33" x14ac:dyDescent="0.3">
      <c r="B65" s="127">
        <v>53</v>
      </c>
      <c r="C65" s="78" t="s">
        <v>1231</v>
      </c>
      <c r="D65" s="78" t="s">
        <v>1232</v>
      </c>
      <c r="E65" s="54" t="s">
        <v>1233</v>
      </c>
      <c r="F65" s="128" t="s">
        <v>459</v>
      </c>
      <c r="G65" s="66">
        <v>2000</v>
      </c>
      <c r="H65" s="86">
        <v>188800</v>
      </c>
      <c r="I65" s="66">
        <v>1</v>
      </c>
      <c r="J65" s="129">
        <f t="shared" si="0"/>
        <v>188800</v>
      </c>
      <c r="K65" s="130">
        <v>17936</v>
      </c>
      <c r="L65" s="66">
        <v>10</v>
      </c>
      <c r="M65" s="131"/>
    </row>
    <row r="66" spans="2:13" s="132" customFormat="1" ht="49.5" x14ac:dyDescent="0.3">
      <c r="B66" s="127">
        <v>54</v>
      </c>
      <c r="C66" s="69" t="s">
        <v>1357</v>
      </c>
      <c r="D66" s="69" t="s">
        <v>1358</v>
      </c>
      <c r="E66" s="56" t="s">
        <v>1359</v>
      </c>
      <c r="F66" s="128" t="s">
        <v>441</v>
      </c>
      <c r="G66" s="66">
        <v>2000</v>
      </c>
      <c r="H66" s="86">
        <v>103860</v>
      </c>
      <c r="I66" s="66">
        <v>1</v>
      </c>
      <c r="J66" s="129">
        <f t="shared" si="0"/>
        <v>103860</v>
      </c>
      <c r="K66" s="130">
        <v>9866.7000000000007</v>
      </c>
      <c r="L66" s="66">
        <v>10</v>
      </c>
      <c r="M66" s="131"/>
    </row>
    <row r="67" spans="2:13" s="132" customFormat="1" ht="49.5" x14ac:dyDescent="0.3">
      <c r="B67" s="127">
        <v>55</v>
      </c>
      <c r="C67" s="78" t="s">
        <v>1360</v>
      </c>
      <c r="D67" s="78" t="s">
        <v>853</v>
      </c>
      <c r="E67" s="54" t="s">
        <v>1361</v>
      </c>
      <c r="F67" s="128" t="s">
        <v>441</v>
      </c>
      <c r="G67" s="66">
        <v>2001</v>
      </c>
      <c r="H67" s="86">
        <v>19380</v>
      </c>
      <c r="I67" s="66">
        <v>5</v>
      </c>
      <c r="J67" s="129">
        <f t="shared" si="0"/>
        <v>96900</v>
      </c>
      <c r="K67" s="130">
        <v>1841.1</v>
      </c>
      <c r="L67" s="66">
        <v>10</v>
      </c>
      <c r="M67" s="131"/>
    </row>
    <row r="68" spans="2:13" s="132" customFormat="1" ht="96" x14ac:dyDescent="0.3">
      <c r="B68" s="127">
        <v>56</v>
      </c>
      <c r="C68" s="78" t="s">
        <v>507</v>
      </c>
      <c r="D68" s="78" t="s">
        <v>508</v>
      </c>
      <c r="E68" s="54" t="s">
        <v>509</v>
      </c>
      <c r="F68" s="128" t="s">
        <v>445</v>
      </c>
      <c r="G68" s="66">
        <v>2002</v>
      </c>
      <c r="H68" s="86">
        <v>225400</v>
      </c>
      <c r="I68" s="66">
        <v>1</v>
      </c>
      <c r="J68" s="129">
        <f t="shared" si="0"/>
        <v>225400</v>
      </c>
      <c r="K68" s="130">
        <v>21413</v>
      </c>
      <c r="L68" s="66">
        <v>10</v>
      </c>
      <c r="M68" s="131"/>
    </row>
    <row r="69" spans="2:13" s="132" customFormat="1" ht="33" x14ac:dyDescent="0.3">
      <c r="B69" s="127">
        <v>57</v>
      </c>
      <c r="C69" s="78" t="s">
        <v>699</v>
      </c>
      <c r="D69" s="78" t="s">
        <v>700</v>
      </c>
      <c r="E69" s="54" t="s">
        <v>701</v>
      </c>
      <c r="F69" s="128" t="s">
        <v>453</v>
      </c>
      <c r="G69" s="66">
        <v>2002</v>
      </c>
      <c r="H69" s="86">
        <v>70000</v>
      </c>
      <c r="I69" s="66">
        <v>1</v>
      </c>
      <c r="J69" s="129">
        <f t="shared" si="0"/>
        <v>70000</v>
      </c>
      <c r="K69" s="130">
        <v>6650</v>
      </c>
      <c r="L69" s="66">
        <v>10</v>
      </c>
      <c r="M69" s="131"/>
    </row>
    <row r="70" spans="2:13" s="132" customFormat="1" ht="36" x14ac:dyDescent="0.3">
      <c r="B70" s="127">
        <v>58</v>
      </c>
      <c r="C70" s="78" t="s">
        <v>876</v>
      </c>
      <c r="D70" s="78" t="s">
        <v>877</v>
      </c>
      <c r="E70" s="54" t="s">
        <v>878</v>
      </c>
      <c r="F70" s="128" t="s">
        <v>457</v>
      </c>
      <c r="G70" s="66">
        <v>2002</v>
      </c>
      <c r="H70" s="86">
        <v>1300000</v>
      </c>
      <c r="I70" s="66">
        <v>1</v>
      </c>
      <c r="J70" s="129">
        <f t="shared" si="0"/>
        <v>1300000</v>
      </c>
      <c r="K70" s="130">
        <v>123500</v>
      </c>
      <c r="L70" s="66">
        <v>10</v>
      </c>
      <c r="M70" s="131"/>
    </row>
    <row r="71" spans="2:13" s="132" customFormat="1" ht="48" x14ac:dyDescent="0.3">
      <c r="B71" s="127">
        <v>59</v>
      </c>
      <c r="C71" s="78" t="s">
        <v>1043</v>
      </c>
      <c r="D71" s="78" t="s">
        <v>1044</v>
      </c>
      <c r="E71" s="54" t="s">
        <v>1045</v>
      </c>
      <c r="F71" s="128" t="s">
        <v>440</v>
      </c>
      <c r="G71" s="66">
        <v>2002</v>
      </c>
      <c r="H71" s="86">
        <v>785714</v>
      </c>
      <c r="I71" s="66">
        <v>1</v>
      </c>
      <c r="J71" s="129">
        <f t="shared" si="0"/>
        <v>785714</v>
      </c>
      <c r="K71" s="130">
        <v>74642.829999999987</v>
      </c>
      <c r="L71" s="66">
        <v>10</v>
      </c>
      <c r="M71" s="131"/>
    </row>
    <row r="72" spans="2:13" s="132" customFormat="1" ht="48" x14ac:dyDescent="0.3">
      <c r="B72" s="127">
        <v>60</v>
      </c>
      <c r="C72" s="78" t="s">
        <v>1234</v>
      </c>
      <c r="D72" s="78" t="s">
        <v>472</v>
      </c>
      <c r="E72" s="54" t="s">
        <v>1235</v>
      </c>
      <c r="F72" s="128" t="s">
        <v>459</v>
      </c>
      <c r="G72" s="66">
        <v>2002</v>
      </c>
      <c r="H72" s="86">
        <v>75000</v>
      </c>
      <c r="I72" s="66">
        <v>1</v>
      </c>
      <c r="J72" s="129">
        <f t="shared" si="0"/>
        <v>75000</v>
      </c>
      <c r="K72" s="130">
        <v>7125</v>
      </c>
      <c r="L72" s="66">
        <v>10</v>
      </c>
      <c r="M72" s="131"/>
    </row>
    <row r="73" spans="2:13" s="132" customFormat="1" ht="49.5" x14ac:dyDescent="0.3">
      <c r="B73" s="127">
        <v>61</v>
      </c>
      <c r="C73" s="78"/>
      <c r="D73" s="78" t="s">
        <v>510</v>
      </c>
      <c r="E73" s="54" t="s">
        <v>511</v>
      </c>
      <c r="F73" s="128" t="s">
        <v>445</v>
      </c>
      <c r="G73" s="66">
        <v>2003</v>
      </c>
      <c r="H73" s="86">
        <v>60000</v>
      </c>
      <c r="I73" s="66">
        <v>1</v>
      </c>
      <c r="J73" s="129">
        <f t="shared" si="0"/>
        <v>60000</v>
      </c>
      <c r="K73" s="130">
        <v>5700</v>
      </c>
      <c r="L73" s="66">
        <v>10</v>
      </c>
      <c r="M73" s="131"/>
    </row>
    <row r="74" spans="2:13" s="132" customFormat="1" ht="33" x14ac:dyDescent="0.3">
      <c r="B74" s="127">
        <v>62</v>
      </c>
      <c r="C74" s="78" t="s">
        <v>546</v>
      </c>
      <c r="D74" s="78" t="s">
        <v>547</v>
      </c>
      <c r="E74" s="54" t="s">
        <v>548</v>
      </c>
      <c r="F74" s="128" t="s">
        <v>450</v>
      </c>
      <c r="G74" s="66">
        <v>2003</v>
      </c>
      <c r="H74" s="86">
        <v>26350</v>
      </c>
      <c r="I74" s="66">
        <v>8</v>
      </c>
      <c r="J74" s="129">
        <f t="shared" si="0"/>
        <v>210800</v>
      </c>
      <c r="K74" s="130">
        <v>2503.25</v>
      </c>
      <c r="L74" s="66">
        <v>10</v>
      </c>
      <c r="M74" s="131"/>
    </row>
    <row r="75" spans="2:13" s="132" customFormat="1" ht="33" x14ac:dyDescent="0.3">
      <c r="B75" s="127">
        <v>63</v>
      </c>
      <c r="C75" s="78" t="s">
        <v>702</v>
      </c>
      <c r="D75" s="78" t="s">
        <v>703</v>
      </c>
      <c r="E75" s="54" t="s">
        <v>704</v>
      </c>
      <c r="F75" s="128" t="s">
        <v>453</v>
      </c>
      <c r="G75" s="66">
        <v>2004</v>
      </c>
      <c r="H75" s="86">
        <v>707690</v>
      </c>
      <c r="I75" s="66">
        <v>1</v>
      </c>
      <c r="J75" s="129">
        <f t="shared" si="0"/>
        <v>707690</v>
      </c>
      <c r="K75" s="130">
        <v>67230.55</v>
      </c>
      <c r="L75" s="66">
        <v>10</v>
      </c>
      <c r="M75" s="131"/>
    </row>
    <row r="76" spans="2:13" s="132" customFormat="1" ht="49.5" x14ac:dyDescent="0.3">
      <c r="B76" s="127">
        <v>64</v>
      </c>
      <c r="C76" s="78" t="s">
        <v>1111</v>
      </c>
      <c r="D76" s="78" t="s">
        <v>1112</v>
      </c>
      <c r="E76" s="54" t="s">
        <v>1113</v>
      </c>
      <c r="F76" s="128" t="s">
        <v>441</v>
      </c>
      <c r="G76" s="66">
        <v>2004</v>
      </c>
      <c r="H76" s="86">
        <v>340000</v>
      </c>
      <c r="I76" s="66">
        <v>1</v>
      </c>
      <c r="J76" s="129">
        <f t="shared" si="0"/>
        <v>340000</v>
      </c>
      <c r="K76" s="130">
        <v>32300</v>
      </c>
      <c r="L76" s="66">
        <v>10</v>
      </c>
      <c r="M76" s="131"/>
    </row>
    <row r="77" spans="2:13" s="132" customFormat="1" ht="49.5" x14ac:dyDescent="0.3">
      <c r="B77" s="127">
        <v>65</v>
      </c>
      <c r="C77" s="78" t="s">
        <v>1114</v>
      </c>
      <c r="D77" s="78" t="s">
        <v>1115</v>
      </c>
      <c r="E77" s="54" t="s">
        <v>1116</v>
      </c>
      <c r="F77" s="128" t="s">
        <v>441</v>
      </c>
      <c r="G77" s="66">
        <v>2004</v>
      </c>
      <c r="H77" s="86">
        <v>850000</v>
      </c>
      <c r="I77" s="66">
        <v>1</v>
      </c>
      <c r="J77" s="129">
        <f t="shared" ref="J77:J140" si="1">I77*H77</f>
        <v>850000</v>
      </c>
      <c r="K77" s="130">
        <v>80750</v>
      </c>
      <c r="L77" s="66">
        <v>10</v>
      </c>
      <c r="M77" s="131"/>
    </row>
    <row r="78" spans="2:13" s="132" customFormat="1" ht="49.5" x14ac:dyDescent="0.3">
      <c r="B78" s="127">
        <v>66</v>
      </c>
      <c r="C78" s="78" t="s">
        <v>1117</v>
      </c>
      <c r="D78" s="78" t="s">
        <v>1118</v>
      </c>
      <c r="E78" s="54" t="s">
        <v>1119</v>
      </c>
      <c r="F78" s="128" t="s">
        <v>441</v>
      </c>
      <c r="G78" s="66">
        <v>2004</v>
      </c>
      <c r="H78" s="86">
        <v>683000</v>
      </c>
      <c r="I78" s="66">
        <v>1</v>
      </c>
      <c r="J78" s="129">
        <f t="shared" si="1"/>
        <v>683000</v>
      </c>
      <c r="K78" s="130">
        <v>64885</v>
      </c>
      <c r="L78" s="66">
        <v>10</v>
      </c>
      <c r="M78" s="131"/>
    </row>
    <row r="79" spans="2:13" s="132" customFormat="1" ht="96" x14ac:dyDescent="0.3">
      <c r="B79" s="127">
        <v>67</v>
      </c>
      <c r="C79" s="78" t="s">
        <v>1120</v>
      </c>
      <c r="D79" s="78" t="s">
        <v>1121</v>
      </c>
      <c r="E79" s="54" t="s">
        <v>1122</v>
      </c>
      <c r="F79" s="128" t="s">
        <v>441</v>
      </c>
      <c r="G79" s="66">
        <v>2004</v>
      </c>
      <c r="H79" s="86">
        <v>43073</v>
      </c>
      <c r="I79" s="66">
        <v>3</v>
      </c>
      <c r="J79" s="129">
        <f t="shared" si="1"/>
        <v>129219</v>
      </c>
      <c r="K79" s="130">
        <v>4091.9349999999999</v>
      </c>
      <c r="L79" s="66">
        <v>10</v>
      </c>
      <c r="M79" s="131"/>
    </row>
    <row r="80" spans="2:13" s="132" customFormat="1" ht="60" x14ac:dyDescent="0.3">
      <c r="B80" s="127">
        <v>68</v>
      </c>
      <c r="C80" s="78" t="s">
        <v>1123</v>
      </c>
      <c r="D80" s="78" t="s">
        <v>1124</v>
      </c>
      <c r="E80" s="54" t="s">
        <v>1125</v>
      </c>
      <c r="F80" s="128" t="s">
        <v>441</v>
      </c>
      <c r="G80" s="66">
        <v>2004</v>
      </c>
      <c r="H80" s="86">
        <v>39588.85</v>
      </c>
      <c r="I80" s="66">
        <v>4</v>
      </c>
      <c r="J80" s="129">
        <f t="shared" si="1"/>
        <v>158355.4</v>
      </c>
      <c r="K80" s="130">
        <v>3760.9407499999993</v>
      </c>
      <c r="L80" s="66">
        <v>10</v>
      </c>
      <c r="M80" s="131"/>
    </row>
    <row r="81" spans="2:13" s="132" customFormat="1" ht="49.5" x14ac:dyDescent="0.3">
      <c r="B81" s="127">
        <v>69</v>
      </c>
      <c r="C81" s="78" t="s">
        <v>1126</v>
      </c>
      <c r="D81" s="78" t="s">
        <v>1127</v>
      </c>
      <c r="E81" s="54" t="s">
        <v>1128</v>
      </c>
      <c r="F81" s="128" t="s">
        <v>441</v>
      </c>
      <c r="G81" s="66">
        <v>2004</v>
      </c>
      <c r="H81" s="86">
        <v>123455</v>
      </c>
      <c r="I81" s="66">
        <v>2</v>
      </c>
      <c r="J81" s="129">
        <f t="shared" si="1"/>
        <v>246910</v>
      </c>
      <c r="K81" s="130">
        <v>11728.225</v>
      </c>
      <c r="L81" s="66">
        <v>10</v>
      </c>
      <c r="M81" s="131"/>
    </row>
    <row r="82" spans="2:13" s="132" customFormat="1" ht="84" x14ac:dyDescent="0.3">
      <c r="B82" s="127">
        <v>70</v>
      </c>
      <c r="C82" s="78" t="s">
        <v>1362</v>
      </c>
      <c r="D82" s="78" t="s">
        <v>1363</v>
      </c>
      <c r="E82" s="54" t="s">
        <v>1364</v>
      </c>
      <c r="F82" s="128" t="s">
        <v>441</v>
      </c>
      <c r="G82" s="66">
        <v>2004</v>
      </c>
      <c r="H82" s="86">
        <v>149989</v>
      </c>
      <c r="I82" s="66">
        <v>1</v>
      </c>
      <c r="J82" s="129">
        <f t="shared" si="1"/>
        <v>149989</v>
      </c>
      <c r="K82" s="130">
        <v>14248.954999999998</v>
      </c>
      <c r="L82" s="66">
        <v>10</v>
      </c>
      <c r="M82" s="131"/>
    </row>
    <row r="83" spans="2:13" s="132" customFormat="1" ht="33" x14ac:dyDescent="0.3">
      <c r="B83" s="127">
        <v>71</v>
      </c>
      <c r="C83" s="78" t="s">
        <v>879</v>
      </c>
      <c r="D83" s="78" t="s">
        <v>543</v>
      </c>
      <c r="E83" s="54" t="s">
        <v>880</v>
      </c>
      <c r="F83" s="128" t="s">
        <v>457</v>
      </c>
      <c r="G83" s="66">
        <v>2005</v>
      </c>
      <c r="H83" s="86">
        <v>21429</v>
      </c>
      <c r="I83" s="66">
        <v>1</v>
      </c>
      <c r="J83" s="129">
        <f t="shared" si="1"/>
        <v>21429</v>
      </c>
      <c r="K83" s="130">
        <v>2035.7549999999999</v>
      </c>
      <c r="L83" s="66">
        <v>10</v>
      </c>
      <c r="M83" s="131"/>
    </row>
    <row r="84" spans="2:13" s="132" customFormat="1" ht="33" x14ac:dyDescent="0.3">
      <c r="B84" s="127">
        <v>72</v>
      </c>
      <c r="C84" s="78" t="s">
        <v>990</v>
      </c>
      <c r="D84" s="78" t="s">
        <v>545</v>
      </c>
      <c r="E84" s="83">
        <v>2011</v>
      </c>
      <c r="F84" s="128" t="s">
        <v>458</v>
      </c>
      <c r="G84" s="66">
        <v>2005</v>
      </c>
      <c r="H84" s="86">
        <v>16000</v>
      </c>
      <c r="I84" s="66">
        <v>4</v>
      </c>
      <c r="J84" s="129">
        <f t="shared" si="1"/>
        <v>64000</v>
      </c>
      <c r="K84" s="130">
        <v>1520</v>
      </c>
      <c r="L84" s="66">
        <v>10</v>
      </c>
      <c r="M84" s="131"/>
    </row>
    <row r="85" spans="2:13" s="132" customFormat="1" ht="60" x14ac:dyDescent="0.3">
      <c r="B85" s="127">
        <v>73</v>
      </c>
      <c r="C85" s="78" t="s">
        <v>1129</v>
      </c>
      <c r="D85" s="78" t="s">
        <v>1130</v>
      </c>
      <c r="E85" s="54" t="s">
        <v>1131</v>
      </c>
      <c r="F85" s="128" t="s">
        <v>441</v>
      </c>
      <c r="G85" s="66">
        <v>2005</v>
      </c>
      <c r="H85" s="86">
        <v>667950</v>
      </c>
      <c r="I85" s="66">
        <v>1</v>
      </c>
      <c r="J85" s="129">
        <f t="shared" si="1"/>
        <v>667950</v>
      </c>
      <c r="K85" s="130">
        <v>63455.25</v>
      </c>
      <c r="L85" s="66">
        <v>10</v>
      </c>
      <c r="M85" s="131"/>
    </row>
    <row r="86" spans="2:13" s="132" customFormat="1" ht="156" x14ac:dyDescent="0.3">
      <c r="B86" s="127">
        <v>74</v>
      </c>
      <c r="C86" s="78" t="s">
        <v>1132</v>
      </c>
      <c r="D86" s="78" t="s">
        <v>1133</v>
      </c>
      <c r="E86" s="54" t="s">
        <v>1134</v>
      </c>
      <c r="F86" s="128" t="s">
        <v>441</v>
      </c>
      <c r="G86" s="66">
        <v>2005</v>
      </c>
      <c r="H86" s="86">
        <v>77250</v>
      </c>
      <c r="I86" s="66">
        <v>1</v>
      </c>
      <c r="J86" s="129">
        <f t="shared" si="1"/>
        <v>77250</v>
      </c>
      <c r="K86" s="130">
        <v>7338.75</v>
      </c>
      <c r="L86" s="66">
        <v>10</v>
      </c>
      <c r="M86" s="131"/>
    </row>
    <row r="87" spans="2:13" s="132" customFormat="1" ht="108" x14ac:dyDescent="0.3">
      <c r="B87" s="127">
        <v>75</v>
      </c>
      <c r="C87" s="78" t="s">
        <v>1135</v>
      </c>
      <c r="D87" s="78" t="s">
        <v>1136</v>
      </c>
      <c r="E87" s="54" t="s">
        <v>1137</v>
      </c>
      <c r="F87" s="128" t="s">
        <v>441</v>
      </c>
      <c r="G87" s="66">
        <v>2005</v>
      </c>
      <c r="H87" s="86">
        <v>146650</v>
      </c>
      <c r="I87" s="66">
        <v>1</v>
      </c>
      <c r="J87" s="129">
        <f t="shared" si="1"/>
        <v>146650</v>
      </c>
      <c r="K87" s="130">
        <v>13931.75</v>
      </c>
      <c r="L87" s="66">
        <v>10</v>
      </c>
      <c r="M87" s="131"/>
    </row>
    <row r="88" spans="2:13" s="132" customFormat="1" ht="120" x14ac:dyDescent="0.3">
      <c r="B88" s="127">
        <v>76</v>
      </c>
      <c r="C88" s="78" t="s">
        <v>1138</v>
      </c>
      <c r="D88" s="78" t="s">
        <v>1136</v>
      </c>
      <c r="E88" s="54" t="s">
        <v>1139</v>
      </c>
      <c r="F88" s="128" t="s">
        <v>441</v>
      </c>
      <c r="G88" s="66">
        <v>2005</v>
      </c>
      <c r="H88" s="86">
        <v>58550</v>
      </c>
      <c r="I88" s="66">
        <v>1</v>
      </c>
      <c r="J88" s="129">
        <f t="shared" si="1"/>
        <v>58550</v>
      </c>
      <c r="K88" s="130">
        <v>5562.25</v>
      </c>
      <c r="L88" s="66">
        <v>10</v>
      </c>
      <c r="M88" s="131"/>
    </row>
    <row r="89" spans="2:13" s="132" customFormat="1" ht="49.5" x14ac:dyDescent="0.3">
      <c r="B89" s="127">
        <v>77</v>
      </c>
      <c r="C89" s="78" t="s">
        <v>1365</v>
      </c>
      <c r="D89" s="78" t="s">
        <v>543</v>
      </c>
      <c r="E89" s="54" t="s">
        <v>1366</v>
      </c>
      <c r="F89" s="128" t="s">
        <v>441</v>
      </c>
      <c r="G89" s="66">
        <v>2005</v>
      </c>
      <c r="H89" s="86">
        <v>21429</v>
      </c>
      <c r="I89" s="66">
        <v>2</v>
      </c>
      <c r="J89" s="129">
        <f t="shared" si="1"/>
        <v>42858</v>
      </c>
      <c r="K89" s="130">
        <v>2035.7549999999999</v>
      </c>
      <c r="L89" s="66">
        <v>10</v>
      </c>
      <c r="M89" s="131"/>
    </row>
    <row r="90" spans="2:13" s="132" customFormat="1" ht="60" x14ac:dyDescent="0.3">
      <c r="B90" s="127">
        <v>78</v>
      </c>
      <c r="C90" s="78" t="s">
        <v>468</v>
      </c>
      <c r="D90" s="78" t="s">
        <v>469</v>
      </c>
      <c r="E90" s="54" t="s">
        <v>470</v>
      </c>
      <c r="F90" s="128" t="s">
        <v>441</v>
      </c>
      <c r="G90" s="66">
        <v>2006</v>
      </c>
      <c r="H90" s="86">
        <v>60000</v>
      </c>
      <c r="I90" s="66">
        <v>1</v>
      </c>
      <c r="J90" s="129">
        <f t="shared" si="1"/>
        <v>60000</v>
      </c>
      <c r="K90" s="130">
        <v>5700</v>
      </c>
      <c r="L90" s="66">
        <v>10</v>
      </c>
      <c r="M90" s="131"/>
    </row>
    <row r="91" spans="2:13" s="132" customFormat="1" ht="60" x14ac:dyDescent="0.3">
      <c r="B91" s="127">
        <v>79</v>
      </c>
      <c r="C91" s="78" t="s">
        <v>471</v>
      </c>
      <c r="D91" s="78" t="s">
        <v>472</v>
      </c>
      <c r="E91" s="54" t="s">
        <v>473</v>
      </c>
      <c r="F91" s="128" t="s">
        <v>441</v>
      </c>
      <c r="G91" s="66">
        <v>2006</v>
      </c>
      <c r="H91" s="86">
        <v>18000</v>
      </c>
      <c r="I91" s="66">
        <v>2</v>
      </c>
      <c r="J91" s="129">
        <f t="shared" si="1"/>
        <v>36000</v>
      </c>
      <c r="K91" s="130">
        <v>1710</v>
      </c>
      <c r="L91" s="66">
        <v>10</v>
      </c>
      <c r="M91" s="131"/>
    </row>
    <row r="92" spans="2:13" s="132" customFormat="1" ht="72" x14ac:dyDescent="0.3">
      <c r="B92" s="127">
        <v>80</v>
      </c>
      <c r="C92" s="78" t="s">
        <v>474</v>
      </c>
      <c r="D92" s="78" t="s">
        <v>475</v>
      </c>
      <c r="E92" s="54" t="s">
        <v>476</v>
      </c>
      <c r="F92" s="128" t="s">
        <v>441</v>
      </c>
      <c r="G92" s="66">
        <v>2006</v>
      </c>
      <c r="H92" s="86">
        <v>59000</v>
      </c>
      <c r="I92" s="66">
        <v>1</v>
      </c>
      <c r="J92" s="129">
        <f t="shared" si="1"/>
        <v>59000</v>
      </c>
      <c r="K92" s="130">
        <v>5605</v>
      </c>
      <c r="L92" s="66">
        <v>10</v>
      </c>
      <c r="M92" s="131"/>
    </row>
    <row r="93" spans="2:13" s="132" customFormat="1" ht="48" x14ac:dyDescent="0.3">
      <c r="B93" s="127">
        <v>81</v>
      </c>
      <c r="C93" s="78" t="s">
        <v>705</v>
      </c>
      <c r="D93" s="78" t="s">
        <v>706</v>
      </c>
      <c r="E93" s="54" t="s">
        <v>707</v>
      </c>
      <c r="F93" s="128" t="s">
        <v>453</v>
      </c>
      <c r="G93" s="66">
        <v>2006</v>
      </c>
      <c r="H93" s="86">
        <v>20000</v>
      </c>
      <c r="I93" s="66">
        <v>1</v>
      </c>
      <c r="J93" s="129">
        <f t="shared" si="1"/>
        <v>20000</v>
      </c>
      <c r="K93" s="130">
        <v>1900</v>
      </c>
      <c r="L93" s="66">
        <v>10</v>
      </c>
      <c r="M93" s="131"/>
    </row>
    <row r="94" spans="2:13" s="132" customFormat="1" ht="132" x14ac:dyDescent="0.3">
      <c r="B94" s="127">
        <v>82</v>
      </c>
      <c r="C94" s="78" t="s">
        <v>809</v>
      </c>
      <c r="D94" s="78" t="s">
        <v>810</v>
      </c>
      <c r="E94" s="54" t="s">
        <v>811</v>
      </c>
      <c r="F94" s="128" t="s">
        <v>455</v>
      </c>
      <c r="G94" s="66">
        <v>2006</v>
      </c>
      <c r="H94" s="86">
        <v>790000</v>
      </c>
      <c r="I94" s="66">
        <v>2</v>
      </c>
      <c r="J94" s="129">
        <f t="shared" si="1"/>
        <v>1580000</v>
      </c>
      <c r="K94" s="130">
        <v>75050</v>
      </c>
      <c r="L94" s="66">
        <v>10</v>
      </c>
      <c r="M94" s="131"/>
    </row>
    <row r="95" spans="2:13" s="132" customFormat="1" ht="108" x14ac:dyDescent="0.3">
      <c r="B95" s="127">
        <v>83</v>
      </c>
      <c r="C95" s="78" t="s">
        <v>881</v>
      </c>
      <c r="D95" s="78" t="s">
        <v>882</v>
      </c>
      <c r="E95" s="54" t="s">
        <v>883</v>
      </c>
      <c r="F95" s="128" t="s">
        <v>457</v>
      </c>
      <c r="G95" s="66">
        <v>2006</v>
      </c>
      <c r="H95" s="86">
        <v>60000</v>
      </c>
      <c r="I95" s="66">
        <v>1</v>
      </c>
      <c r="J95" s="129">
        <f t="shared" si="1"/>
        <v>60000</v>
      </c>
      <c r="K95" s="130">
        <v>5700</v>
      </c>
      <c r="L95" s="66">
        <v>10</v>
      </c>
      <c r="M95" s="131"/>
    </row>
    <row r="96" spans="2:13" s="132" customFormat="1" ht="60" x14ac:dyDescent="0.3">
      <c r="B96" s="127">
        <v>84</v>
      </c>
      <c r="C96" s="78" t="s">
        <v>1046</v>
      </c>
      <c r="D96" s="78" t="s">
        <v>1022</v>
      </c>
      <c r="E96" s="54" t="s">
        <v>1047</v>
      </c>
      <c r="F96" s="128" t="s">
        <v>440</v>
      </c>
      <c r="G96" s="66">
        <v>2006</v>
      </c>
      <c r="H96" s="86">
        <v>840000</v>
      </c>
      <c r="I96" s="66">
        <v>1</v>
      </c>
      <c r="J96" s="129">
        <f t="shared" si="1"/>
        <v>840000</v>
      </c>
      <c r="K96" s="130">
        <v>79800</v>
      </c>
      <c r="L96" s="66">
        <v>10</v>
      </c>
      <c r="M96" s="131"/>
    </row>
    <row r="97" spans="2:13" s="132" customFormat="1" ht="60" x14ac:dyDescent="0.3">
      <c r="B97" s="127">
        <v>85</v>
      </c>
      <c r="C97" s="78" t="s">
        <v>1140</v>
      </c>
      <c r="D97" s="78" t="s">
        <v>472</v>
      </c>
      <c r="E97" s="54" t="s">
        <v>1141</v>
      </c>
      <c r="F97" s="128" t="s">
        <v>441</v>
      </c>
      <c r="G97" s="66">
        <v>2006</v>
      </c>
      <c r="H97" s="86">
        <v>74000</v>
      </c>
      <c r="I97" s="66">
        <v>1</v>
      </c>
      <c r="J97" s="129">
        <f t="shared" si="1"/>
        <v>74000</v>
      </c>
      <c r="K97" s="130">
        <v>7030</v>
      </c>
      <c r="L97" s="66">
        <v>10</v>
      </c>
      <c r="M97" s="131"/>
    </row>
    <row r="98" spans="2:13" s="132" customFormat="1" ht="60" x14ac:dyDescent="0.3">
      <c r="B98" s="127">
        <v>86</v>
      </c>
      <c r="C98" s="78" t="s">
        <v>1236</v>
      </c>
      <c r="D98" s="78" t="s">
        <v>475</v>
      </c>
      <c r="E98" s="54" t="s">
        <v>1237</v>
      </c>
      <c r="F98" s="128" t="s">
        <v>459</v>
      </c>
      <c r="G98" s="66">
        <v>2006</v>
      </c>
      <c r="H98" s="86">
        <v>59000</v>
      </c>
      <c r="I98" s="66">
        <v>1</v>
      </c>
      <c r="J98" s="129">
        <f t="shared" si="1"/>
        <v>59000</v>
      </c>
      <c r="K98" s="130">
        <v>5605</v>
      </c>
      <c r="L98" s="66">
        <v>10</v>
      </c>
      <c r="M98" s="131"/>
    </row>
    <row r="99" spans="2:13" s="132" customFormat="1" ht="48" x14ac:dyDescent="0.3">
      <c r="B99" s="127">
        <v>87</v>
      </c>
      <c r="C99" s="69" t="s">
        <v>549</v>
      </c>
      <c r="D99" s="69" t="s">
        <v>550</v>
      </c>
      <c r="E99" s="56" t="s">
        <v>551</v>
      </c>
      <c r="F99" s="128" t="s">
        <v>450</v>
      </c>
      <c r="G99" s="66">
        <v>2007</v>
      </c>
      <c r="H99" s="86">
        <v>300000</v>
      </c>
      <c r="I99" s="66">
        <v>1</v>
      </c>
      <c r="J99" s="129">
        <f t="shared" si="1"/>
        <v>300000</v>
      </c>
      <c r="K99" s="130">
        <v>28500</v>
      </c>
      <c r="L99" s="66">
        <v>10</v>
      </c>
      <c r="M99" s="131"/>
    </row>
    <row r="100" spans="2:13" s="132" customFormat="1" ht="48" x14ac:dyDescent="0.3">
      <c r="B100" s="127">
        <v>88</v>
      </c>
      <c r="C100" s="69" t="s">
        <v>552</v>
      </c>
      <c r="D100" s="69" t="s">
        <v>528</v>
      </c>
      <c r="E100" s="56" t="s">
        <v>553</v>
      </c>
      <c r="F100" s="128" t="s">
        <v>450</v>
      </c>
      <c r="G100" s="66">
        <v>2007</v>
      </c>
      <c r="H100" s="86">
        <v>29980</v>
      </c>
      <c r="I100" s="66">
        <v>6</v>
      </c>
      <c r="J100" s="129">
        <f t="shared" si="1"/>
        <v>179880</v>
      </c>
      <c r="K100" s="130">
        <v>2848.1</v>
      </c>
      <c r="L100" s="66">
        <v>10</v>
      </c>
      <c r="M100" s="131"/>
    </row>
    <row r="101" spans="2:13" s="132" customFormat="1" ht="96" x14ac:dyDescent="0.3">
      <c r="B101" s="127">
        <v>89</v>
      </c>
      <c r="C101" s="69" t="s">
        <v>884</v>
      </c>
      <c r="D101" s="69" t="s">
        <v>885</v>
      </c>
      <c r="E101" s="56" t="s">
        <v>886</v>
      </c>
      <c r="F101" s="128" t="s">
        <v>457</v>
      </c>
      <c r="G101" s="66">
        <v>2007</v>
      </c>
      <c r="H101" s="86">
        <v>600000</v>
      </c>
      <c r="I101" s="66">
        <v>1</v>
      </c>
      <c r="J101" s="129">
        <f t="shared" si="1"/>
        <v>600000</v>
      </c>
      <c r="K101" s="130">
        <v>57000</v>
      </c>
      <c r="L101" s="66">
        <v>10</v>
      </c>
      <c r="M101" s="131"/>
    </row>
    <row r="102" spans="2:13" s="132" customFormat="1" ht="36" x14ac:dyDescent="0.3">
      <c r="B102" s="127">
        <v>90</v>
      </c>
      <c r="C102" s="78" t="s">
        <v>1238</v>
      </c>
      <c r="D102" s="78" t="s">
        <v>1239</v>
      </c>
      <c r="E102" s="54" t="s">
        <v>1240</v>
      </c>
      <c r="F102" s="128" t="s">
        <v>459</v>
      </c>
      <c r="G102" s="66">
        <v>2007</v>
      </c>
      <c r="H102" s="86">
        <v>287640</v>
      </c>
      <c r="I102" s="66">
        <v>2</v>
      </c>
      <c r="J102" s="129">
        <f t="shared" si="1"/>
        <v>575280</v>
      </c>
      <c r="K102" s="130">
        <v>27325.8</v>
      </c>
      <c r="L102" s="66">
        <v>10</v>
      </c>
      <c r="M102" s="131"/>
    </row>
    <row r="103" spans="2:13" s="132" customFormat="1" ht="60" x14ac:dyDescent="0.3">
      <c r="B103" s="127">
        <v>91</v>
      </c>
      <c r="C103" s="78" t="s">
        <v>887</v>
      </c>
      <c r="D103" s="78" t="s">
        <v>888</v>
      </c>
      <c r="E103" s="54" t="s">
        <v>889</v>
      </c>
      <c r="F103" s="128" t="s">
        <v>457</v>
      </c>
      <c r="G103" s="66">
        <v>2008</v>
      </c>
      <c r="H103" s="86">
        <v>390000</v>
      </c>
      <c r="I103" s="66">
        <v>1</v>
      </c>
      <c r="J103" s="129">
        <f t="shared" si="1"/>
        <v>390000</v>
      </c>
      <c r="K103" s="130">
        <v>37050</v>
      </c>
      <c r="L103" s="66">
        <v>10</v>
      </c>
      <c r="M103" s="131"/>
    </row>
    <row r="104" spans="2:13" s="132" customFormat="1" ht="192" x14ac:dyDescent="0.3">
      <c r="B104" s="127">
        <v>92</v>
      </c>
      <c r="C104" s="78" t="s">
        <v>1142</v>
      </c>
      <c r="D104" s="78" t="s">
        <v>1143</v>
      </c>
      <c r="E104" s="54" t="s">
        <v>1144</v>
      </c>
      <c r="F104" s="128" t="s">
        <v>441</v>
      </c>
      <c r="G104" s="66">
        <v>2008</v>
      </c>
      <c r="H104" s="86">
        <v>5498000</v>
      </c>
      <c r="I104" s="66">
        <v>1</v>
      </c>
      <c r="J104" s="129">
        <f t="shared" si="1"/>
        <v>5498000</v>
      </c>
      <c r="K104" s="130">
        <v>522310</v>
      </c>
      <c r="L104" s="66">
        <v>10</v>
      </c>
      <c r="M104" s="131"/>
    </row>
    <row r="105" spans="2:13" s="132" customFormat="1" ht="33" x14ac:dyDescent="0.3">
      <c r="B105" s="127">
        <v>93</v>
      </c>
      <c r="C105" s="78" t="s">
        <v>1321</v>
      </c>
      <c r="D105" s="78" t="s">
        <v>1322</v>
      </c>
      <c r="E105" s="54" t="s">
        <v>1323</v>
      </c>
      <c r="F105" s="128" t="s">
        <v>460</v>
      </c>
      <c r="G105" s="66">
        <v>2008</v>
      </c>
      <c r="H105" s="86">
        <v>30000</v>
      </c>
      <c r="I105" s="66">
        <v>1</v>
      </c>
      <c r="J105" s="129">
        <f t="shared" si="1"/>
        <v>30000</v>
      </c>
      <c r="K105" s="130">
        <v>2850</v>
      </c>
      <c r="L105" s="66">
        <v>10</v>
      </c>
      <c r="M105" s="131"/>
    </row>
    <row r="106" spans="2:13" s="132" customFormat="1" ht="33" x14ac:dyDescent="0.3">
      <c r="B106" s="127">
        <v>94</v>
      </c>
      <c r="C106" s="79" t="s">
        <v>554</v>
      </c>
      <c r="D106" s="69" t="s">
        <v>555</v>
      </c>
      <c r="E106" s="56" t="s">
        <v>556</v>
      </c>
      <c r="F106" s="128" t="s">
        <v>450</v>
      </c>
      <c r="G106" s="66">
        <v>2009</v>
      </c>
      <c r="H106" s="86">
        <v>23296</v>
      </c>
      <c r="I106" s="68">
        <v>1</v>
      </c>
      <c r="J106" s="129">
        <f t="shared" si="1"/>
        <v>23296</v>
      </c>
      <c r="K106" s="130">
        <v>2213.12</v>
      </c>
      <c r="L106" s="66">
        <v>10</v>
      </c>
      <c r="M106" s="131"/>
    </row>
    <row r="107" spans="2:13" s="132" customFormat="1" ht="33" x14ac:dyDescent="0.3">
      <c r="B107" s="127">
        <v>95</v>
      </c>
      <c r="C107" s="78" t="s">
        <v>557</v>
      </c>
      <c r="D107" s="69" t="s">
        <v>558</v>
      </c>
      <c r="E107" s="56" t="s">
        <v>559</v>
      </c>
      <c r="F107" s="128" t="s">
        <v>450</v>
      </c>
      <c r="G107" s="66">
        <v>2009</v>
      </c>
      <c r="H107" s="86">
        <v>56000</v>
      </c>
      <c r="I107" s="66">
        <v>1</v>
      </c>
      <c r="J107" s="129">
        <f t="shared" si="1"/>
        <v>56000</v>
      </c>
      <c r="K107" s="130">
        <v>5320</v>
      </c>
      <c r="L107" s="66">
        <v>10</v>
      </c>
      <c r="M107" s="131"/>
    </row>
    <row r="108" spans="2:13" s="132" customFormat="1" ht="33" x14ac:dyDescent="0.3">
      <c r="B108" s="127">
        <v>96</v>
      </c>
      <c r="C108" s="69" t="s">
        <v>560</v>
      </c>
      <c r="D108" s="78" t="s">
        <v>561</v>
      </c>
      <c r="E108" s="54" t="s">
        <v>562</v>
      </c>
      <c r="F108" s="128" t="s">
        <v>450</v>
      </c>
      <c r="G108" s="66">
        <v>2009</v>
      </c>
      <c r="H108" s="86">
        <v>70000</v>
      </c>
      <c r="I108" s="66">
        <v>1</v>
      </c>
      <c r="J108" s="129">
        <f t="shared" si="1"/>
        <v>70000</v>
      </c>
      <c r="K108" s="130">
        <v>6650</v>
      </c>
      <c r="L108" s="66">
        <v>10</v>
      </c>
      <c r="M108" s="131"/>
    </row>
    <row r="109" spans="2:13" s="132" customFormat="1" ht="33" x14ac:dyDescent="0.3">
      <c r="B109" s="127">
        <v>97</v>
      </c>
      <c r="C109" s="78" t="s">
        <v>563</v>
      </c>
      <c r="D109" s="78" t="s">
        <v>472</v>
      </c>
      <c r="E109" s="54" t="s">
        <v>564</v>
      </c>
      <c r="F109" s="128" t="s">
        <v>450</v>
      </c>
      <c r="G109" s="66">
        <v>2009</v>
      </c>
      <c r="H109" s="86">
        <v>25000</v>
      </c>
      <c r="I109" s="66">
        <v>1</v>
      </c>
      <c r="J109" s="129">
        <f t="shared" si="1"/>
        <v>25000</v>
      </c>
      <c r="K109" s="130">
        <v>2375</v>
      </c>
      <c r="L109" s="66">
        <v>10</v>
      </c>
      <c r="M109" s="131"/>
    </row>
    <row r="110" spans="2:13" s="132" customFormat="1" ht="33" x14ac:dyDescent="0.3">
      <c r="B110" s="127">
        <v>98</v>
      </c>
      <c r="C110" s="78" t="s">
        <v>565</v>
      </c>
      <c r="D110" s="78" t="s">
        <v>566</v>
      </c>
      <c r="E110" s="54" t="s">
        <v>567</v>
      </c>
      <c r="F110" s="128" t="s">
        <v>450</v>
      </c>
      <c r="G110" s="66">
        <v>2009</v>
      </c>
      <c r="H110" s="86">
        <v>67000</v>
      </c>
      <c r="I110" s="66">
        <v>1</v>
      </c>
      <c r="J110" s="129">
        <f t="shared" si="1"/>
        <v>67000</v>
      </c>
      <c r="K110" s="130">
        <v>6365</v>
      </c>
      <c r="L110" s="66">
        <v>10</v>
      </c>
      <c r="M110" s="131"/>
    </row>
    <row r="111" spans="2:13" s="132" customFormat="1" ht="180" x14ac:dyDescent="0.3">
      <c r="B111" s="127">
        <v>99</v>
      </c>
      <c r="C111" s="78" t="s">
        <v>812</v>
      </c>
      <c r="D111" s="78" t="s">
        <v>813</v>
      </c>
      <c r="E111" s="54" t="s">
        <v>814</v>
      </c>
      <c r="F111" s="128" t="s">
        <v>455</v>
      </c>
      <c r="G111" s="66">
        <v>2009</v>
      </c>
      <c r="H111" s="86">
        <v>1200000</v>
      </c>
      <c r="I111" s="66">
        <v>1</v>
      </c>
      <c r="J111" s="129">
        <f t="shared" si="1"/>
        <v>1200000</v>
      </c>
      <c r="K111" s="130">
        <v>114000</v>
      </c>
      <c r="L111" s="66">
        <v>10</v>
      </c>
      <c r="M111" s="131"/>
    </row>
    <row r="112" spans="2:13" s="132" customFormat="1" ht="33" x14ac:dyDescent="0.3">
      <c r="B112" s="127">
        <v>100</v>
      </c>
      <c r="C112" s="78" t="s">
        <v>890</v>
      </c>
      <c r="D112" s="78" t="s">
        <v>891</v>
      </c>
      <c r="E112" s="54" t="s">
        <v>892</v>
      </c>
      <c r="F112" s="128" t="s">
        <v>457</v>
      </c>
      <c r="G112" s="66">
        <v>2009</v>
      </c>
      <c r="H112" s="86">
        <v>16720</v>
      </c>
      <c r="I112" s="66">
        <v>2</v>
      </c>
      <c r="J112" s="129">
        <f t="shared" si="1"/>
        <v>33440</v>
      </c>
      <c r="K112" s="130">
        <v>1588.4</v>
      </c>
      <c r="L112" s="66">
        <v>10</v>
      </c>
      <c r="M112" s="131"/>
    </row>
    <row r="113" spans="2:13" s="132" customFormat="1" ht="33" x14ac:dyDescent="0.3">
      <c r="B113" s="127">
        <v>101</v>
      </c>
      <c r="C113" s="78" t="s">
        <v>893</v>
      </c>
      <c r="D113" s="78" t="s">
        <v>561</v>
      </c>
      <c r="E113" s="54" t="s">
        <v>894</v>
      </c>
      <c r="F113" s="128" t="s">
        <v>457</v>
      </c>
      <c r="G113" s="66">
        <v>2009</v>
      </c>
      <c r="H113" s="86">
        <v>70000</v>
      </c>
      <c r="I113" s="66">
        <v>1</v>
      </c>
      <c r="J113" s="129">
        <f t="shared" si="1"/>
        <v>70000</v>
      </c>
      <c r="K113" s="130">
        <v>6650</v>
      </c>
      <c r="L113" s="66">
        <v>10</v>
      </c>
      <c r="M113" s="131"/>
    </row>
    <row r="114" spans="2:13" s="132" customFormat="1" ht="49.5" x14ac:dyDescent="0.3">
      <c r="B114" s="127">
        <v>102</v>
      </c>
      <c r="C114" s="78" t="s">
        <v>1367</v>
      </c>
      <c r="D114" s="78" t="s">
        <v>561</v>
      </c>
      <c r="E114" s="54" t="s">
        <v>1368</v>
      </c>
      <c r="F114" s="128" t="s">
        <v>441</v>
      </c>
      <c r="G114" s="66">
        <v>2009</v>
      </c>
      <c r="H114" s="86">
        <v>70000</v>
      </c>
      <c r="I114" s="66">
        <v>1</v>
      </c>
      <c r="J114" s="129">
        <f t="shared" si="1"/>
        <v>70000</v>
      </c>
      <c r="K114" s="130">
        <v>6650</v>
      </c>
      <c r="L114" s="66">
        <v>10</v>
      </c>
      <c r="M114" s="131"/>
    </row>
    <row r="115" spans="2:13" s="132" customFormat="1" ht="24" x14ac:dyDescent="0.3">
      <c r="B115" s="127">
        <v>103</v>
      </c>
      <c r="C115" s="78" t="s">
        <v>515</v>
      </c>
      <c r="D115" s="78" t="s">
        <v>516</v>
      </c>
      <c r="E115" s="54" t="s">
        <v>517</v>
      </c>
      <c r="F115" s="128" t="s">
        <v>447</v>
      </c>
      <c r="G115" s="66">
        <v>2010</v>
      </c>
      <c r="H115" s="86">
        <v>23296</v>
      </c>
      <c r="I115" s="66">
        <v>1</v>
      </c>
      <c r="J115" s="129">
        <f t="shared" si="1"/>
        <v>23296</v>
      </c>
      <c r="K115" s="130">
        <v>2213.12</v>
      </c>
      <c r="L115" s="66">
        <v>10</v>
      </c>
      <c r="M115" s="131"/>
    </row>
    <row r="116" spans="2:13" s="132" customFormat="1" ht="33" x14ac:dyDescent="0.3">
      <c r="B116" s="127">
        <v>104</v>
      </c>
      <c r="C116" s="79" t="s">
        <v>568</v>
      </c>
      <c r="D116" s="69" t="s">
        <v>555</v>
      </c>
      <c r="E116" s="56" t="s">
        <v>569</v>
      </c>
      <c r="F116" s="128" t="s">
        <v>450</v>
      </c>
      <c r="G116" s="66">
        <v>2010</v>
      </c>
      <c r="H116" s="86">
        <v>23296</v>
      </c>
      <c r="I116" s="68">
        <v>2</v>
      </c>
      <c r="J116" s="129">
        <f t="shared" si="1"/>
        <v>46592</v>
      </c>
      <c r="K116" s="130">
        <v>2213.12</v>
      </c>
      <c r="L116" s="66">
        <v>10</v>
      </c>
      <c r="M116" s="131"/>
    </row>
    <row r="117" spans="2:13" s="132" customFormat="1" ht="33" x14ac:dyDescent="0.3">
      <c r="B117" s="127">
        <v>105</v>
      </c>
      <c r="C117" s="79" t="s">
        <v>570</v>
      </c>
      <c r="D117" s="69" t="s">
        <v>571</v>
      </c>
      <c r="E117" s="80">
        <v>40529</v>
      </c>
      <c r="F117" s="128" t="s">
        <v>450</v>
      </c>
      <c r="G117" s="66">
        <v>2010</v>
      </c>
      <c r="H117" s="86">
        <v>60000</v>
      </c>
      <c r="I117" s="68">
        <v>1</v>
      </c>
      <c r="J117" s="129">
        <f t="shared" si="1"/>
        <v>60000</v>
      </c>
      <c r="K117" s="130">
        <v>5700</v>
      </c>
      <c r="L117" s="66">
        <v>10</v>
      </c>
      <c r="M117" s="131"/>
    </row>
    <row r="118" spans="2:13" s="132" customFormat="1" ht="33" x14ac:dyDescent="0.3">
      <c r="B118" s="127">
        <v>106</v>
      </c>
      <c r="C118" s="78" t="s">
        <v>572</v>
      </c>
      <c r="D118" s="78" t="s">
        <v>573</v>
      </c>
      <c r="E118" s="54" t="s">
        <v>574</v>
      </c>
      <c r="F118" s="128" t="s">
        <v>450</v>
      </c>
      <c r="G118" s="66">
        <v>2010</v>
      </c>
      <c r="H118" s="86">
        <v>15570</v>
      </c>
      <c r="I118" s="66">
        <v>1</v>
      </c>
      <c r="J118" s="129">
        <f t="shared" si="1"/>
        <v>15570</v>
      </c>
      <c r="K118" s="130">
        <v>1479.15</v>
      </c>
      <c r="L118" s="66">
        <v>10</v>
      </c>
      <c r="M118" s="131"/>
    </row>
    <row r="119" spans="2:13" s="132" customFormat="1" ht="36" x14ac:dyDescent="0.3">
      <c r="B119" s="127">
        <v>107</v>
      </c>
      <c r="C119" s="78" t="s">
        <v>708</v>
      </c>
      <c r="D119" s="78" t="s">
        <v>512</v>
      </c>
      <c r="E119" s="54" t="s">
        <v>709</v>
      </c>
      <c r="F119" s="128" t="s">
        <v>453</v>
      </c>
      <c r="G119" s="66">
        <v>2010</v>
      </c>
      <c r="H119" s="86">
        <v>23296</v>
      </c>
      <c r="I119" s="66">
        <v>1</v>
      </c>
      <c r="J119" s="129">
        <f t="shared" si="1"/>
        <v>23296</v>
      </c>
      <c r="K119" s="130">
        <v>2213.12</v>
      </c>
      <c r="L119" s="66">
        <v>10</v>
      </c>
      <c r="M119" s="131"/>
    </row>
    <row r="120" spans="2:13" s="132" customFormat="1" ht="33" x14ac:dyDescent="0.3">
      <c r="B120" s="127">
        <v>108</v>
      </c>
      <c r="C120" s="78" t="s">
        <v>895</v>
      </c>
      <c r="D120" s="78" t="s">
        <v>545</v>
      </c>
      <c r="E120" s="54">
        <v>2010</v>
      </c>
      <c r="F120" s="128" t="s">
        <v>457</v>
      </c>
      <c r="G120" s="66">
        <v>2010</v>
      </c>
      <c r="H120" s="86">
        <v>16000</v>
      </c>
      <c r="I120" s="66">
        <v>1</v>
      </c>
      <c r="J120" s="129">
        <f t="shared" si="1"/>
        <v>16000</v>
      </c>
      <c r="K120" s="130">
        <v>1520</v>
      </c>
      <c r="L120" s="66">
        <v>10</v>
      </c>
      <c r="M120" s="131"/>
    </row>
    <row r="121" spans="2:13" s="132" customFormat="1" ht="33" x14ac:dyDescent="0.3">
      <c r="B121" s="127">
        <v>109</v>
      </c>
      <c r="C121" s="78" t="s">
        <v>896</v>
      </c>
      <c r="D121" s="78" t="s">
        <v>555</v>
      </c>
      <c r="E121" s="54" t="s">
        <v>897</v>
      </c>
      <c r="F121" s="128" t="s">
        <v>457</v>
      </c>
      <c r="G121" s="66">
        <v>2010</v>
      </c>
      <c r="H121" s="86">
        <v>23296</v>
      </c>
      <c r="I121" s="66">
        <v>2</v>
      </c>
      <c r="J121" s="129">
        <f t="shared" si="1"/>
        <v>46592</v>
      </c>
      <c r="K121" s="130">
        <v>2213.12</v>
      </c>
      <c r="L121" s="66">
        <v>10</v>
      </c>
      <c r="M121" s="131"/>
    </row>
    <row r="122" spans="2:13" s="132" customFormat="1" ht="36" x14ac:dyDescent="0.3">
      <c r="B122" s="127">
        <v>110</v>
      </c>
      <c r="C122" s="78" t="s">
        <v>991</v>
      </c>
      <c r="D122" s="69" t="s">
        <v>992</v>
      </c>
      <c r="E122" s="54" t="s">
        <v>993</v>
      </c>
      <c r="F122" s="128" t="s">
        <v>458</v>
      </c>
      <c r="G122" s="66">
        <v>2010</v>
      </c>
      <c r="H122" s="86">
        <v>60000</v>
      </c>
      <c r="I122" s="66">
        <v>1</v>
      </c>
      <c r="J122" s="129">
        <f t="shared" si="1"/>
        <v>60000</v>
      </c>
      <c r="K122" s="130">
        <v>5700</v>
      </c>
      <c r="L122" s="66">
        <v>10</v>
      </c>
      <c r="M122" s="131"/>
    </row>
    <row r="123" spans="2:13" s="132" customFormat="1" ht="33" x14ac:dyDescent="0.3">
      <c r="B123" s="127">
        <v>111</v>
      </c>
      <c r="C123" s="78" t="s">
        <v>1048</v>
      </c>
      <c r="D123" s="78" t="s">
        <v>512</v>
      </c>
      <c r="E123" s="54" t="s">
        <v>1049</v>
      </c>
      <c r="F123" s="128" t="s">
        <v>440</v>
      </c>
      <c r="G123" s="66">
        <v>2010</v>
      </c>
      <c r="H123" s="86">
        <v>23296</v>
      </c>
      <c r="I123" s="66">
        <v>1</v>
      </c>
      <c r="J123" s="129">
        <f t="shared" si="1"/>
        <v>23296</v>
      </c>
      <c r="K123" s="130">
        <v>2213.12</v>
      </c>
      <c r="L123" s="66">
        <v>10</v>
      </c>
      <c r="M123" s="131"/>
    </row>
    <row r="124" spans="2:13" s="132" customFormat="1" ht="48" x14ac:dyDescent="0.3">
      <c r="B124" s="127">
        <v>112</v>
      </c>
      <c r="C124" s="78" t="s">
        <v>1050</v>
      </c>
      <c r="D124" s="78" t="s">
        <v>1051</v>
      </c>
      <c r="E124" s="54" t="s">
        <v>1052</v>
      </c>
      <c r="F124" s="128" t="s">
        <v>440</v>
      </c>
      <c r="G124" s="66">
        <v>2010</v>
      </c>
      <c r="H124" s="86">
        <v>49920</v>
      </c>
      <c r="I124" s="66">
        <v>1</v>
      </c>
      <c r="J124" s="129">
        <f t="shared" si="1"/>
        <v>49920</v>
      </c>
      <c r="K124" s="130">
        <v>4742.3999999999996</v>
      </c>
      <c r="L124" s="66">
        <v>10</v>
      </c>
      <c r="M124" s="131"/>
    </row>
    <row r="125" spans="2:13" s="132" customFormat="1" ht="49.5" x14ac:dyDescent="0.3">
      <c r="B125" s="127">
        <v>113</v>
      </c>
      <c r="C125" s="78" t="s">
        <v>1145</v>
      </c>
      <c r="D125" s="78" t="s">
        <v>999</v>
      </c>
      <c r="E125" s="54" t="s">
        <v>1146</v>
      </c>
      <c r="F125" s="128" t="s">
        <v>441</v>
      </c>
      <c r="G125" s="66">
        <v>2010</v>
      </c>
      <c r="H125" s="86">
        <v>855000</v>
      </c>
      <c r="I125" s="66">
        <v>2</v>
      </c>
      <c r="J125" s="129">
        <f t="shared" si="1"/>
        <v>1710000</v>
      </c>
      <c r="K125" s="130">
        <v>81225</v>
      </c>
      <c r="L125" s="66">
        <v>10</v>
      </c>
      <c r="M125" s="131"/>
    </row>
    <row r="126" spans="2:13" s="132" customFormat="1" ht="49.5" x14ac:dyDescent="0.3">
      <c r="B126" s="127">
        <v>114</v>
      </c>
      <c r="C126" s="78" t="s">
        <v>1147</v>
      </c>
      <c r="D126" s="78" t="s">
        <v>1148</v>
      </c>
      <c r="E126" s="54" t="s">
        <v>1149</v>
      </c>
      <c r="F126" s="128" t="s">
        <v>441</v>
      </c>
      <c r="G126" s="66">
        <v>2010</v>
      </c>
      <c r="H126" s="86">
        <v>980500</v>
      </c>
      <c r="I126" s="66">
        <v>1</v>
      </c>
      <c r="J126" s="129">
        <f t="shared" si="1"/>
        <v>980500</v>
      </c>
      <c r="K126" s="130">
        <v>93147.5</v>
      </c>
      <c r="L126" s="66">
        <v>10</v>
      </c>
      <c r="M126" s="131"/>
    </row>
    <row r="127" spans="2:13" s="132" customFormat="1" ht="48" x14ac:dyDescent="0.3">
      <c r="B127" s="127">
        <v>115</v>
      </c>
      <c r="C127" s="78" t="s">
        <v>1241</v>
      </c>
      <c r="D127" s="78" t="s">
        <v>1242</v>
      </c>
      <c r="E127" s="54" t="s">
        <v>1243</v>
      </c>
      <c r="F127" s="128" t="s">
        <v>459</v>
      </c>
      <c r="G127" s="66">
        <v>2010</v>
      </c>
      <c r="H127" s="86">
        <v>848000</v>
      </c>
      <c r="I127" s="66">
        <v>2</v>
      </c>
      <c r="J127" s="129">
        <f t="shared" si="1"/>
        <v>1696000</v>
      </c>
      <c r="K127" s="130">
        <v>80560</v>
      </c>
      <c r="L127" s="66">
        <v>10</v>
      </c>
      <c r="M127" s="131"/>
    </row>
    <row r="128" spans="2:13" s="132" customFormat="1" ht="84" x14ac:dyDescent="0.3">
      <c r="B128" s="127">
        <v>116</v>
      </c>
      <c r="C128" s="78" t="s">
        <v>1244</v>
      </c>
      <c r="D128" s="78" t="s">
        <v>799</v>
      </c>
      <c r="E128" s="54" t="s">
        <v>1245</v>
      </c>
      <c r="F128" s="128" t="s">
        <v>459</v>
      </c>
      <c r="G128" s="66">
        <v>2010</v>
      </c>
      <c r="H128" s="86">
        <v>57000</v>
      </c>
      <c r="I128" s="66">
        <v>1</v>
      </c>
      <c r="J128" s="129">
        <f t="shared" si="1"/>
        <v>57000</v>
      </c>
      <c r="K128" s="130">
        <v>5415</v>
      </c>
      <c r="L128" s="66">
        <v>10</v>
      </c>
      <c r="M128" s="131"/>
    </row>
    <row r="129" spans="2:13" s="132" customFormat="1" ht="33" x14ac:dyDescent="0.3">
      <c r="B129" s="127">
        <v>117</v>
      </c>
      <c r="C129" s="78" t="s">
        <v>1246</v>
      </c>
      <c r="D129" s="78" t="s">
        <v>540</v>
      </c>
      <c r="E129" s="54" t="s">
        <v>1247</v>
      </c>
      <c r="F129" s="128" t="s">
        <v>459</v>
      </c>
      <c r="G129" s="66">
        <v>2010</v>
      </c>
      <c r="H129" s="86">
        <v>15750</v>
      </c>
      <c r="I129" s="66">
        <v>1</v>
      </c>
      <c r="J129" s="129">
        <f t="shared" si="1"/>
        <v>15750</v>
      </c>
      <c r="K129" s="130">
        <v>1496.25</v>
      </c>
      <c r="L129" s="66">
        <v>10</v>
      </c>
      <c r="M129" s="131"/>
    </row>
    <row r="130" spans="2:13" s="132" customFormat="1" ht="48" x14ac:dyDescent="0.3">
      <c r="B130" s="127">
        <v>118</v>
      </c>
      <c r="C130" s="78" t="s">
        <v>1248</v>
      </c>
      <c r="D130" s="78" t="s">
        <v>1249</v>
      </c>
      <c r="E130" s="54" t="s">
        <v>1250</v>
      </c>
      <c r="F130" s="128" t="s">
        <v>459</v>
      </c>
      <c r="G130" s="66">
        <v>2010</v>
      </c>
      <c r="H130" s="86">
        <v>95000</v>
      </c>
      <c r="I130" s="66">
        <v>2</v>
      </c>
      <c r="J130" s="129">
        <f t="shared" si="1"/>
        <v>190000</v>
      </c>
      <c r="K130" s="130">
        <v>9025</v>
      </c>
      <c r="L130" s="66">
        <v>10</v>
      </c>
      <c r="M130" s="131"/>
    </row>
    <row r="131" spans="2:13" s="132" customFormat="1" ht="36" x14ac:dyDescent="0.3">
      <c r="B131" s="127">
        <v>119</v>
      </c>
      <c r="C131" s="78" t="s">
        <v>1429</v>
      </c>
      <c r="D131" s="78" t="s">
        <v>1430</v>
      </c>
      <c r="E131" s="54" t="s">
        <v>1431</v>
      </c>
      <c r="F131" s="128"/>
      <c r="G131" s="66">
        <v>2010</v>
      </c>
      <c r="H131" s="86">
        <v>23296</v>
      </c>
      <c r="I131" s="66">
        <v>1</v>
      </c>
      <c r="J131" s="129">
        <f t="shared" si="1"/>
        <v>23296</v>
      </c>
      <c r="K131" s="130">
        <v>2213.12</v>
      </c>
      <c r="L131" s="66">
        <v>10</v>
      </c>
      <c r="M131" s="131"/>
    </row>
    <row r="132" spans="2:13" s="132" customFormat="1" ht="96" x14ac:dyDescent="0.3">
      <c r="B132" s="127">
        <v>120</v>
      </c>
      <c r="C132" s="78" t="s">
        <v>477</v>
      </c>
      <c r="D132" s="78" t="s">
        <v>478</v>
      </c>
      <c r="E132" s="54" t="s">
        <v>479</v>
      </c>
      <c r="F132" s="128" t="s">
        <v>441</v>
      </c>
      <c r="G132" s="66">
        <v>2011</v>
      </c>
      <c r="H132" s="86">
        <v>1800000</v>
      </c>
      <c r="I132" s="66">
        <v>2</v>
      </c>
      <c r="J132" s="129">
        <f t="shared" si="1"/>
        <v>3600000</v>
      </c>
      <c r="K132" s="130">
        <v>171000</v>
      </c>
      <c r="L132" s="66">
        <v>10</v>
      </c>
      <c r="M132" s="131"/>
    </row>
    <row r="133" spans="2:13" s="132" customFormat="1" ht="33" x14ac:dyDescent="0.3">
      <c r="B133" s="127">
        <v>121</v>
      </c>
      <c r="C133" s="79" t="s">
        <v>575</v>
      </c>
      <c r="D133" s="69" t="s">
        <v>555</v>
      </c>
      <c r="E133" s="56" t="s">
        <v>576</v>
      </c>
      <c r="F133" s="128" t="s">
        <v>450</v>
      </c>
      <c r="G133" s="66">
        <v>2011</v>
      </c>
      <c r="H133" s="86">
        <v>23296</v>
      </c>
      <c r="I133" s="68">
        <v>2</v>
      </c>
      <c r="J133" s="129">
        <f t="shared" si="1"/>
        <v>46592</v>
      </c>
      <c r="K133" s="130">
        <v>2213.12</v>
      </c>
      <c r="L133" s="66">
        <v>10</v>
      </c>
      <c r="M133" s="131"/>
    </row>
    <row r="134" spans="2:13" s="132" customFormat="1" ht="36" x14ac:dyDescent="0.3">
      <c r="B134" s="127">
        <v>122</v>
      </c>
      <c r="C134" s="78" t="s">
        <v>710</v>
      </c>
      <c r="D134" s="78" t="s">
        <v>711</v>
      </c>
      <c r="E134" s="54" t="s">
        <v>712</v>
      </c>
      <c r="F134" s="128" t="s">
        <v>453</v>
      </c>
      <c r="G134" s="66">
        <v>2011</v>
      </c>
      <c r="H134" s="86">
        <v>49500</v>
      </c>
      <c r="I134" s="66">
        <v>1</v>
      </c>
      <c r="J134" s="129">
        <f t="shared" si="1"/>
        <v>49500</v>
      </c>
      <c r="K134" s="130">
        <v>4702.5</v>
      </c>
      <c r="L134" s="66">
        <v>10</v>
      </c>
      <c r="M134" s="131"/>
    </row>
    <row r="135" spans="2:13" s="132" customFormat="1" ht="60" x14ac:dyDescent="0.3">
      <c r="B135" s="127">
        <v>123</v>
      </c>
      <c r="C135" s="78" t="s">
        <v>815</v>
      </c>
      <c r="D135" s="78" t="s">
        <v>816</v>
      </c>
      <c r="E135" s="56" t="s">
        <v>817</v>
      </c>
      <c r="F135" s="128" t="s">
        <v>455</v>
      </c>
      <c r="G135" s="66">
        <v>2011</v>
      </c>
      <c r="H135" s="86">
        <v>19380</v>
      </c>
      <c r="I135" s="66">
        <v>25</v>
      </c>
      <c r="J135" s="129">
        <f t="shared" si="1"/>
        <v>484500</v>
      </c>
      <c r="K135" s="130">
        <v>1841.1</v>
      </c>
      <c r="L135" s="66">
        <v>10</v>
      </c>
      <c r="M135" s="131"/>
    </row>
    <row r="136" spans="2:13" s="132" customFormat="1" ht="60" x14ac:dyDescent="0.3">
      <c r="B136" s="127">
        <v>124</v>
      </c>
      <c r="C136" s="78" t="s">
        <v>898</v>
      </c>
      <c r="D136" s="78" t="s">
        <v>899</v>
      </c>
      <c r="E136" s="54" t="s">
        <v>900</v>
      </c>
      <c r="F136" s="128" t="s">
        <v>457</v>
      </c>
      <c r="G136" s="66">
        <v>2011</v>
      </c>
      <c r="H136" s="86">
        <v>209000</v>
      </c>
      <c r="I136" s="66">
        <v>1</v>
      </c>
      <c r="J136" s="129">
        <f t="shared" si="1"/>
        <v>209000</v>
      </c>
      <c r="K136" s="130">
        <v>19855</v>
      </c>
      <c r="L136" s="66">
        <v>10</v>
      </c>
      <c r="M136" s="131"/>
    </row>
    <row r="137" spans="2:13" s="132" customFormat="1" ht="48" x14ac:dyDescent="0.3">
      <c r="B137" s="127">
        <v>125</v>
      </c>
      <c r="C137" s="78" t="s">
        <v>901</v>
      </c>
      <c r="D137" s="78" t="s">
        <v>853</v>
      </c>
      <c r="E137" s="54" t="s">
        <v>902</v>
      </c>
      <c r="F137" s="128" t="s">
        <v>457</v>
      </c>
      <c r="G137" s="66">
        <v>2011</v>
      </c>
      <c r="H137" s="86">
        <v>19380</v>
      </c>
      <c r="I137" s="66">
        <v>18</v>
      </c>
      <c r="J137" s="129">
        <f t="shared" si="1"/>
        <v>348840</v>
      </c>
      <c r="K137" s="130">
        <v>1841.1</v>
      </c>
      <c r="L137" s="66">
        <v>10</v>
      </c>
      <c r="M137" s="131"/>
    </row>
    <row r="138" spans="2:13" s="132" customFormat="1" ht="60" x14ac:dyDescent="0.3">
      <c r="B138" s="127">
        <v>126</v>
      </c>
      <c r="C138" s="78" t="s">
        <v>1150</v>
      </c>
      <c r="D138" s="78" t="s">
        <v>1151</v>
      </c>
      <c r="E138" s="54" t="s">
        <v>1152</v>
      </c>
      <c r="F138" s="128" t="s">
        <v>441</v>
      </c>
      <c r="G138" s="66">
        <v>2011</v>
      </c>
      <c r="H138" s="86">
        <v>602000</v>
      </c>
      <c r="I138" s="66">
        <v>2</v>
      </c>
      <c r="J138" s="129">
        <f t="shared" si="1"/>
        <v>1204000</v>
      </c>
      <c r="K138" s="130">
        <v>57190</v>
      </c>
      <c r="L138" s="66">
        <v>10</v>
      </c>
      <c r="M138" s="131"/>
    </row>
    <row r="139" spans="2:13" s="132" customFormat="1" ht="156" x14ac:dyDescent="0.3">
      <c r="B139" s="127">
        <v>127</v>
      </c>
      <c r="C139" s="78" t="s">
        <v>1153</v>
      </c>
      <c r="D139" s="78" t="s">
        <v>1154</v>
      </c>
      <c r="E139" s="54" t="s">
        <v>1155</v>
      </c>
      <c r="F139" s="128" t="s">
        <v>441</v>
      </c>
      <c r="G139" s="66">
        <v>2011</v>
      </c>
      <c r="H139" s="86">
        <v>2685000</v>
      </c>
      <c r="I139" s="66">
        <v>1</v>
      </c>
      <c r="J139" s="129">
        <f t="shared" si="1"/>
        <v>2685000</v>
      </c>
      <c r="K139" s="130">
        <v>255075</v>
      </c>
      <c r="L139" s="66">
        <v>10</v>
      </c>
      <c r="M139" s="131"/>
    </row>
    <row r="140" spans="2:13" s="132" customFormat="1" ht="72" x14ac:dyDescent="0.3">
      <c r="B140" s="127">
        <v>128</v>
      </c>
      <c r="C140" s="78" t="s">
        <v>1156</v>
      </c>
      <c r="D140" s="78" t="s">
        <v>1157</v>
      </c>
      <c r="E140" s="54" t="s">
        <v>1158</v>
      </c>
      <c r="F140" s="128" t="s">
        <v>441</v>
      </c>
      <c r="G140" s="66">
        <v>2011</v>
      </c>
      <c r="H140" s="86">
        <v>1180000</v>
      </c>
      <c r="I140" s="66">
        <v>3</v>
      </c>
      <c r="J140" s="129">
        <f t="shared" si="1"/>
        <v>3540000</v>
      </c>
      <c r="K140" s="130">
        <v>112100</v>
      </c>
      <c r="L140" s="66">
        <v>10</v>
      </c>
      <c r="M140" s="131"/>
    </row>
    <row r="141" spans="2:13" s="132" customFormat="1" ht="49.5" x14ac:dyDescent="0.3">
      <c r="B141" s="127">
        <v>129</v>
      </c>
      <c r="C141" s="78" t="s">
        <v>1159</v>
      </c>
      <c r="D141" s="78" t="s">
        <v>1160</v>
      </c>
      <c r="E141" s="54" t="s">
        <v>1161</v>
      </c>
      <c r="F141" s="128" t="s">
        <v>441</v>
      </c>
      <c r="G141" s="66">
        <v>2011</v>
      </c>
      <c r="H141" s="86">
        <v>485000</v>
      </c>
      <c r="I141" s="66">
        <v>3</v>
      </c>
      <c r="J141" s="129">
        <f t="shared" ref="J141:J204" si="2">I141*H141</f>
        <v>1455000</v>
      </c>
      <c r="K141" s="130">
        <v>46075</v>
      </c>
      <c r="L141" s="66">
        <v>10</v>
      </c>
      <c r="M141" s="131"/>
    </row>
    <row r="142" spans="2:13" s="132" customFormat="1" ht="60" x14ac:dyDescent="0.3">
      <c r="B142" s="127">
        <v>130</v>
      </c>
      <c r="C142" s="78" t="s">
        <v>1162</v>
      </c>
      <c r="D142" s="78" t="s">
        <v>816</v>
      </c>
      <c r="E142" s="54" t="s">
        <v>1163</v>
      </c>
      <c r="F142" s="128" t="s">
        <v>441</v>
      </c>
      <c r="G142" s="66">
        <v>2011</v>
      </c>
      <c r="H142" s="86">
        <v>19380</v>
      </c>
      <c r="I142" s="66">
        <v>12</v>
      </c>
      <c r="J142" s="129">
        <f t="shared" si="2"/>
        <v>232560</v>
      </c>
      <c r="K142" s="130">
        <v>1841.1</v>
      </c>
      <c r="L142" s="66">
        <v>10</v>
      </c>
      <c r="M142" s="131"/>
    </row>
    <row r="143" spans="2:13" s="132" customFormat="1" ht="408" x14ac:dyDescent="0.3">
      <c r="B143" s="127">
        <v>131</v>
      </c>
      <c r="C143" s="78" t="s">
        <v>1164</v>
      </c>
      <c r="D143" s="78" t="s">
        <v>1165</v>
      </c>
      <c r="E143" s="54" t="s">
        <v>1166</v>
      </c>
      <c r="F143" s="128" t="s">
        <v>441</v>
      </c>
      <c r="G143" s="66">
        <v>2011</v>
      </c>
      <c r="H143" s="86">
        <v>48400</v>
      </c>
      <c r="I143" s="66">
        <v>3</v>
      </c>
      <c r="J143" s="129">
        <f t="shared" si="2"/>
        <v>145200</v>
      </c>
      <c r="K143" s="130">
        <v>4598</v>
      </c>
      <c r="L143" s="66">
        <v>10</v>
      </c>
      <c r="M143" s="131"/>
    </row>
    <row r="144" spans="2:13" s="132" customFormat="1" ht="49.5" x14ac:dyDescent="0.3">
      <c r="B144" s="127">
        <v>132</v>
      </c>
      <c r="C144" s="78" t="s">
        <v>1167</v>
      </c>
      <c r="D144" s="78" t="s">
        <v>1168</v>
      </c>
      <c r="E144" s="54" t="s">
        <v>1169</v>
      </c>
      <c r="F144" s="128" t="s">
        <v>441</v>
      </c>
      <c r="G144" s="66">
        <v>2011</v>
      </c>
      <c r="H144" s="86">
        <v>459200</v>
      </c>
      <c r="I144" s="66">
        <v>1</v>
      </c>
      <c r="J144" s="129">
        <f t="shared" si="2"/>
        <v>459200</v>
      </c>
      <c r="K144" s="130">
        <v>43624</v>
      </c>
      <c r="L144" s="66">
        <v>10</v>
      </c>
      <c r="M144" s="131"/>
    </row>
    <row r="145" spans="2:13" s="132" customFormat="1" ht="72" x14ac:dyDescent="0.3">
      <c r="B145" s="127">
        <v>133</v>
      </c>
      <c r="C145" s="78" t="s">
        <v>1369</v>
      </c>
      <c r="D145" s="78" t="s">
        <v>1370</v>
      </c>
      <c r="E145" s="54" t="s">
        <v>1371</v>
      </c>
      <c r="F145" s="128" t="s">
        <v>441</v>
      </c>
      <c r="G145" s="66">
        <v>2011</v>
      </c>
      <c r="H145" s="86">
        <v>19380</v>
      </c>
      <c r="I145" s="66">
        <v>125</v>
      </c>
      <c r="J145" s="129">
        <f t="shared" si="2"/>
        <v>2422500</v>
      </c>
      <c r="K145" s="130">
        <v>1841.1</v>
      </c>
      <c r="L145" s="66">
        <v>10</v>
      </c>
      <c r="M145" s="131"/>
    </row>
    <row r="146" spans="2:13" s="132" customFormat="1" ht="180" x14ac:dyDescent="0.3">
      <c r="B146" s="127">
        <v>134</v>
      </c>
      <c r="C146" s="78" t="s">
        <v>518</v>
      </c>
      <c r="D146" s="78" t="s">
        <v>519</v>
      </c>
      <c r="E146" s="54" t="s">
        <v>520</v>
      </c>
      <c r="F146" s="128" t="s">
        <v>447</v>
      </c>
      <c r="G146" s="66">
        <v>2012</v>
      </c>
      <c r="H146" s="86">
        <v>249000</v>
      </c>
      <c r="I146" s="66">
        <v>2</v>
      </c>
      <c r="J146" s="129">
        <f t="shared" si="2"/>
        <v>498000</v>
      </c>
      <c r="K146" s="130">
        <v>23655</v>
      </c>
      <c r="L146" s="66">
        <v>10</v>
      </c>
      <c r="M146" s="131"/>
    </row>
    <row r="147" spans="2:13" s="132" customFormat="1" ht="33" x14ac:dyDescent="0.3">
      <c r="B147" s="127">
        <v>135</v>
      </c>
      <c r="C147" s="78" t="s">
        <v>713</v>
      </c>
      <c r="D147" s="78" t="s">
        <v>714</v>
      </c>
      <c r="E147" s="54" t="s">
        <v>715</v>
      </c>
      <c r="F147" s="128" t="s">
        <v>453</v>
      </c>
      <c r="G147" s="66">
        <v>2012</v>
      </c>
      <c r="H147" s="86">
        <v>60000</v>
      </c>
      <c r="I147" s="66">
        <v>1</v>
      </c>
      <c r="J147" s="129">
        <f t="shared" si="2"/>
        <v>60000</v>
      </c>
      <c r="K147" s="130">
        <v>5700</v>
      </c>
      <c r="L147" s="66">
        <v>10</v>
      </c>
      <c r="M147" s="131"/>
    </row>
    <row r="148" spans="2:13" s="132" customFormat="1" ht="36" x14ac:dyDescent="0.3">
      <c r="B148" s="127">
        <v>136</v>
      </c>
      <c r="C148" s="78" t="s">
        <v>716</v>
      </c>
      <c r="D148" s="78" t="s">
        <v>680</v>
      </c>
      <c r="E148" s="54" t="s">
        <v>717</v>
      </c>
      <c r="F148" s="128" t="s">
        <v>453</v>
      </c>
      <c r="G148" s="66">
        <v>2012</v>
      </c>
      <c r="H148" s="86">
        <v>680000</v>
      </c>
      <c r="I148" s="66">
        <v>1</v>
      </c>
      <c r="J148" s="129">
        <f t="shared" si="2"/>
        <v>680000</v>
      </c>
      <c r="K148" s="130">
        <v>64600</v>
      </c>
      <c r="L148" s="66">
        <v>10</v>
      </c>
      <c r="M148" s="131"/>
    </row>
    <row r="149" spans="2:13" s="132" customFormat="1" ht="33" x14ac:dyDescent="0.3">
      <c r="B149" s="127">
        <v>137</v>
      </c>
      <c r="C149" s="79" t="s">
        <v>818</v>
      </c>
      <c r="D149" s="69" t="s">
        <v>512</v>
      </c>
      <c r="E149" s="56" t="s">
        <v>819</v>
      </c>
      <c r="F149" s="128" t="s">
        <v>455</v>
      </c>
      <c r="G149" s="66">
        <v>2012</v>
      </c>
      <c r="H149" s="86">
        <v>23296</v>
      </c>
      <c r="I149" s="66">
        <v>1</v>
      </c>
      <c r="J149" s="129">
        <f t="shared" si="2"/>
        <v>23296</v>
      </c>
      <c r="K149" s="130">
        <v>2213.12</v>
      </c>
      <c r="L149" s="66">
        <v>10</v>
      </c>
      <c r="M149" s="131"/>
    </row>
    <row r="150" spans="2:13" s="132" customFormat="1" ht="84" x14ac:dyDescent="0.3">
      <c r="B150" s="127">
        <v>138</v>
      </c>
      <c r="C150" s="78" t="s">
        <v>903</v>
      </c>
      <c r="D150" s="69" t="s">
        <v>904</v>
      </c>
      <c r="E150" s="56" t="s">
        <v>905</v>
      </c>
      <c r="F150" s="128" t="s">
        <v>457</v>
      </c>
      <c r="G150" s="64">
        <v>2012</v>
      </c>
      <c r="H150" s="86">
        <v>32900</v>
      </c>
      <c r="I150" s="66">
        <v>1</v>
      </c>
      <c r="J150" s="129">
        <f t="shared" si="2"/>
        <v>32900</v>
      </c>
      <c r="K150" s="130">
        <v>3125.5</v>
      </c>
      <c r="L150" s="66">
        <v>10</v>
      </c>
      <c r="M150" s="131"/>
    </row>
    <row r="151" spans="2:13" s="132" customFormat="1" ht="108" x14ac:dyDescent="0.3">
      <c r="B151" s="127">
        <v>139</v>
      </c>
      <c r="C151" s="78" t="s">
        <v>906</v>
      </c>
      <c r="D151" s="78" t="s">
        <v>907</v>
      </c>
      <c r="E151" s="54" t="s">
        <v>908</v>
      </c>
      <c r="F151" s="128" t="s">
        <v>457</v>
      </c>
      <c r="G151" s="66">
        <v>2012</v>
      </c>
      <c r="H151" s="86">
        <v>1700000</v>
      </c>
      <c r="I151" s="66">
        <v>1</v>
      </c>
      <c r="J151" s="129">
        <f t="shared" si="2"/>
        <v>1700000</v>
      </c>
      <c r="K151" s="130">
        <v>161500</v>
      </c>
      <c r="L151" s="66">
        <v>10</v>
      </c>
      <c r="M151" s="131"/>
    </row>
    <row r="152" spans="2:13" s="132" customFormat="1" ht="108" x14ac:dyDescent="0.3">
      <c r="B152" s="127">
        <v>140</v>
      </c>
      <c r="C152" s="78" t="s">
        <v>1053</v>
      </c>
      <c r="D152" s="78" t="s">
        <v>1054</v>
      </c>
      <c r="E152" s="54" t="s">
        <v>1055</v>
      </c>
      <c r="F152" s="128" t="s">
        <v>440</v>
      </c>
      <c r="G152" s="66">
        <v>2012</v>
      </c>
      <c r="H152" s="86">
        <v>1175000</v>
      </c>
      <c r="I152" s="66">
        <v>1</v>
      </c>
      <c r="J152" s="129">
        <f t="shared" si="2"/>
        <v>1175000</v>
      </c>
      <c r="K152" s="130">
        <v>111625</v>
      </c>
      <c r="L152" s="66">
        <v>10</v>
      </c>
      <c r="M152" s="131"/>
    </row>
    <row r="153" spans="2:13" s="132" customFormat="1" ht="60" x14ac:dyDescent="0.3">
      <c r="B153" s="127">
        <v>141</v>
      </c>
      <c r="C153" s="78" t="s">
        <v>1056</v>
      </c>
      <c r="D153" s="78" t="s">
        <v>1022</v>
      </c>
      <c r="E153" s="54" t="s">
        <v>1057</v>
      </c>
      <c r="F153" s="128" t="s">
        <v>440</v>
      </c>
      <c r="G153" s="66">
        <v>2012</v>
      </c>
      <c r="H153" s="86">
        <v>1085000</v>
      </c>
      <c r="I153" s="66">
        <v>1</v>
      </c>
      <c r="J153" s="129">
        <f t="shared" si="2"/>
        <v>1085000</v>
      </c>
      <c r="K153" s="130">
        <v>103075</v>
      </c>
      <c r="L153" s="66">
        <v>10</v>
      </c>
      <c r="M153" s="131"/>
    </row>
    <row r="154" spans="2:13" s="132" customFormat="1" ht="156" x14ac:dyDescent="0.3">
      <c r="B154" s="127">
        <v>142</v>
      </c>
      <c r="C154" s="78" t="s">
        <v>1170</v>
      </c>
      <c r="D154" s="78" t="s">
        <v>1171</v>
      </c>
      <c r="E154" s="54" t="s">
        <v>1172</v>
      </c>
      <c r="F154" s="128" t="s">
        <v>441</v>
      </c>
      <c r="G154" s="66">
        <v>2012</v>
      </c>
      <c r="H154" s="86">
        <v>34850</v>
      </c>
      <c r="I154" s="66">
        <v>2</v>
      </c>
      <c r="J154" s="129">
        <f t="shared" si="2"/>
        <v>69700</v>
      </c>
      <c r="K154" s="130">
        <v>3310.75</v>
      </c>
      <c r="L154" s="66">
        <v>10</v>
      </c>
      <c r="M154" s="131"/>
    </row>
    <row r="155" spans="2:13" s="132" customFormat="1" ht="108" x14ac:dyDescent="0.3">
      <c r="B155" s="127">
        <v>143</v>
      </c>
      <c r="C155" s="78" t="s">
        <v>710</v>
      </c>
      <c r="D155" s="78" t="s">
        <v>1173</v>
      </c>
      <c r="E155" s="54" t="s">
        <v>1174</v>
      </c>
      <c r="F155" s="128" t="s">
        <v>441</v>
      </c>
      <c r="G155" s="66">
        <v>2012</v>
      </c>
      <c r="H155" s="86">
        <v>8585000</v>
      </c>
      <c r="I155" s="66">
        <v>1</v>
      </c>
      <c r="J155" s="129">
        <f t="shared" si="2"/>
        <v>8585000</v>
      </c>
      <c r="K155" s="130">
        <v>815575</v>
      </c>
      <c r="L155" s="66">
        <v>10</v>
      </c>
      <c r="M155" s="131"/>
    </row>
    <row r="156" spans="2:13" s="132" customFormat="1" ht="84" x14ac:dyDescent="0.3">
      <c r="B156" s="127">
        <v>144</v>
      </c>
      <c r="C156" s="78" t="s">
        <v>1175</v>
      </c>
      <c r="D156" s="78" t="s">
        <v>1176</v>
      </c>
      <c r="E156" s="54" t="s">
        <v>1177</v>
      </c>
      <c r="F156" s="128" t="s">
        <v>441</v>
      </c>
      <c r="G156" s="66">
        <v>2012</v>
      </c>
      <c r="H156" s="86">
        <v>2050000</v>
      </c>
      <c r="I156" s="66">
        <v>1</v>
      </c>
      <c r="J156" s="129">
        <f t="shared" si="2"/>
        <v>2050000</v>
      </c>
      <c r="K156" s="130">
        <v>194750</v>
      </c>
      <c r="L156" s="66">
        <v>10</v>
      </c>
      <c r="M156" s="131"/>
    </row>
    <row r="157" spans="2:13" s="132" customFormat="1" ht="60" x14ac:dyDescent="0.3">
      <c r="B157" s="127">
        <v>145</v>
      </c>
      <c r="C157" s="78" t="s">
        <v>1178</v>
      </c>
      <c r="D157" s="78" t="s">
        <v>747</v>
      </c>
      <c r="E157" s="54" t="s">
        <v>1179</v>
      </c>
      <c r="F157" s="128" t="s">
        <v>441</v>
      </c>
      <c r="G157" s="66">
        <v>2012</v>
      </c>
      <c r="H157" s="86">
        <v>380000</v>
      </c>
      <c r="I157" s="66">
        <v>1</v>
      </c>
      <c r="J157" s="129">
        <f t="shared" si="2"/>
        <v>380000</v>
      </c>
      <c r="K157" s="130">
        <v>36100</v>
      </c>
      <c r="L157" s="66">
        <v>10</v>
      </c>
      <c r="M157" s="131"/>
    </row>
    <row r="158" spans="2:13" s="132" customFormat="1" ht="60" x14ac:dyDescent="0.3">
      <c r="B158" s="127">
        <v>146</v>
      </c>
      <c r="C158" s="78" t="s">
        <v>1180</v>
      </c>
      <c r="D158" s="78" t="s">
        <v>1181</v>
      </c>
      <c r="E158" s="54" t="s">
        <v>1182</v>
      </c>
      <c r="F158" s="128" t="s">
        <v>441</v>
      </c>
      <c r="G158" s="66">
        <v>2012</v>
      </c>
      <c r="H158" s="86">
        <v>1180000</v>
      </c>
      <c r="I158" s="66">
        <v>1</v>
      </c>
      <c r="J158" s="129">
        <f t="shared" si="2"/>
        <v>1180000</v>
      </c>
      <c r="K158" s="130">
        <v>112100</v>
      </c>
      <c r="L158" s="66">
        <v>10</v>
      </c>
      <c r="M158" s="131"/>
    </row>
    <row r="159" spans="2:13" s="132" customFormat="1" ht="72" x14ac:dyDescent="0.3">
      <c r="B159" s="127">
        <v>147</v>
      </c>
      <c r="C159" s="78" t="s">
        <v>1183</v>
      </c>
      <c r="D159" s="78" t="s">
        <v>1184</v>
      </c>
      <c r="E159" s="54" t="s">
        <v>1185</v>
      </c>
      <c r="F159" s="128" t="s">
        <v>441</v>
      </c>
      <c r="G159" s="66">
        <v>2012</v>
      </c>
      <c r="H159" s="86">
        <v>2474000</v>
      </c>
      <c r="I159" s="66">
        <v>1</v>
      </c>
      <c r="J159" s="129">
        <f t="shared" si="2"/>
        <v>2474000</v>
      </c>
      <c r="K159" s="130">
        <v>235030</v>
      </c>
      <c r="L159" s="66">
        <v>10</v>
      </c>
      <c r="M159" s="131"/>
    </row>
    <row r="160" spans="2:13" s="132" customFormat="1" ht="156" x14ac:dyDescent="0.3">
      <c r="B160" s="127">
        <v>148</v>
      </c>
      <c r="C160" s="78" t="s">
        <v>1186</v>
      </c>
      <c r="D160" s="78" t="s">
        <v>1187</v>
      </c>
      <c r="E160" s="54" t="s">
        <v>1188</v>
      </c>
      <c r="F160" s="128" t="s">
        <v>441</v>
      </c>
      <c r="G160" s="66">
        <v>2012</v>
      </c>
      <c r="H160" s="86">
        <v>33600</v>
      </c>
      <c r="I160" s="66">
        <v>3</v>
      </c>
      <c r="J160" s="129">
        <f t="shared" si="2"/>
        <v>100800</v>
      </c>
      <c r="K160" s="130">
        <v>3192</v>
      </c>
      <c r="L160" s="66">
        <v>10</v>
      </c>
      <c r="M160" s="131"/>
    </row>
    <row r="161" spans="2:13" s="132" customFormat="1" ht="66" x14ac:dyDescent="0.3">
      <c r="B161" s="127">
        <v>149</v>
      </c>
      <c r="C161" s="78" t="s">
        <v>1330</v>
      </c>
      <c r="D161" s="78" t="s">
        <v>1331</v>
      </c>
      <c r="E161" s="54" t="s">
        <v>1332</v>
      </c>
      <c r="F161" s="128" t="s">
        <v>462</v>
      </c>
      <c r="G161" s="66">
        <v>2012</v>
      </c>
      <c r="H161" s="86">
        <v>18123789</v>
      </c>
      <c r="I161" s="66">
        <v>1</v>
      </c>
      <c r="J161" s="129">
        <f t="shared" si="2"/>
        <v>18123789</v>
      </c>
      <c r="K161" s="130">
        <v>1721759.9550000001</v>
      </c>
      <c r="L161" s="66">
        <v>10</v>
      </c>
      <c r="M161" s="131"/>
    </row>
    <row r="162" spans="2:13" s="132" customFormat="1" ht="66" x14ac:dyDescent="0.3">
      <c r="B162" s="127">
        <v>150</v>
      </c>
      <c r="C162" s="78" t="s">
        <v>1333</v>
      </c>
      <c r="D162" s="78" t="s">
        <v>1334</v>
      </c>
      <c r="E162" s="54" t="s">
        <v>1335</v>
      </c>
      <c r="F162" s="128" t="s">
        <v>462</v>
      </c>
      <c r="G162" s="66">
        <v>2012</v>
      </c>
      <c r="H162" s="86">
        <v>49500</v>
      </c>
      <c r="I162" s="66">
        <v>1</v>
      </c>
      <c r="J162" s="129">
        <f t="shared" si="2"/>
        <v>49500</v>
      </c>
      <c r="K162" s="130">
        <v>4702.5</v>
      </c>
      <c r="L162" s="66">
        <v>10</v>
      </c>
      <c r="M162" s="131"/>
    </row>
    <row r="163" spans="2:13" s="132" customFormat="1" ht="66" x14ac:dyDescent="0.3">
      <c r="B163" s="127">
        <v>151</v>
      </c>
      <c r="C163" s="78" t="s">
        <v>1336</v>
      </c>
      <c r="D163" s="78" t="s">
        <v>1337</v>
      </c>
      <c r="E163" s="54" t="s">
        <v>1338</v>
      </c>
      <c r="F163" s="128" t="s">
        <v>462</v>
      </c>
      <c r="G163" s="66">
        <v>2012</v>
      </c>
      <c r="H163" s="86">
        <v>39440</v>
      </c>
      <c r="I163" s="66">
        <v>1</v>
      </c>
      <c r="J163" s="129">
        <f t="shared" si="2"/>
        <v>39440</v>
      </c>
      <c r="K163" s="130">
        <v>3746.8</v>
      </c>
      <c r="L163" s="66">
        <v>10</v>
      </c>
      <c r="M163" s="131"/>
    </row>
    <row r="164" spans="2:13" s="132" customFormat="1" ht="144" x14ac:dyDescent="0.3">
      <c r="B164" s="127">
        <v>152</v>
      </c>
      <c r="C164" s="69" t="s">
        <v>1339</v>
      </c>
      <c r="D164" s="69" t="s">
        <v>1340</v>
      </c>
      <c r="E164" s="56" t="s">
        <v>1341</v>
      </c>
      <c r="F164" s="128" t="s">
        <v>462</v>
      </c>
      <c r="G164" s="66">
        <v>2012</v>
      </c>
      <c r="H164" s="86">
        <v>7970000</v>
      </c>
      <c r="I164" s="66">
        <v>1</v>
      </c>
      <c r="J164" s="129">
        <f t="shared" si="2"/>
        <v>7970000</v>
      </c>
      <c r="K164" s="130">
        <v>757150</v>
      </c>
      <c r="L164" s="66">
        <v>10</v>
      </c>
      <c r="M164" s="131"/>
    </row>
    <row r="165" spans="2:13" s="132" customFormat="1" ht="48" x14ac:dyDescent="0.3">
      <c r="B165" s="127">
        <v>153</v>
      </c>
      <c r="C165" s="78" t="s">
        <v>577</v>
      </c>
      <c r="D165" s="78" t="s">
        <v>578</v>
      </c>
      <c r="E165" s="54" t="s">
        <v>579</v>
      </c>
      <c r="F165" s="128" t="s">
        <v>450</v>
      </c>
      <c r="G165" s="66">
        <v>2013</v>
      </c>
      <c r="H165" s="86">
        <v>29989.9</v>
      </c>
      <c r="I165" s="66">
        <v>15</v>
      </c>
      <c r="J165" s="129">
        <f t="shared" si="2"/>
        <v>449848.5</v>
      </c>
      <c r="K165" s="130">
        <v>2849.0405000000001</v>
      </c>
      <c r="L165" s="66">
        <v>10</v>
      </c>
      <c r="M165" s="131"/>
    </row>
    <row r="166" spans="2:13" s="132" customFormat="1" ht="48" x14ac:dyDescent="0.3">
      <c r="B166" s="127">
        <v>154</v>
      </c>
      <c r="C166" s="78" t="s">
        <v>580</v>
      </c>
      <c r="D166" s="78" t="s">
        <v>581</v>
      </c>
      <c r="E166" s="54" t="s">
        <v>582</v>
      </c>
      <c r="F166" s="128" t="s">
        <v>450</v>
      </c>
      <c r="G166" s="66">
        <v>2013</v>
      </c>
      <c r="H166" s="86">
        <v>26888</v>
      </c>
      <c r="I166" s="66">
        <v>2</v>
      </c>
      <c r="J166" s="129">
        <f t="shared" si="2"/>
        <v>53776</v>
      </c>
      <c r="K166" s="130">
        <v>2554.3599999999997</v>
      </c>
      <c r="L166" s="66">
        <v>10</v>
      </c>
      <c r="M166" s="131"/>
    </row>
    <row r="167" spans="2:13" s="132" customFormat="1" ht="33" x14ac:dyDescent="0.3">
      <c r="B167" s="127">
        <v>155</v>
      </c>
      <c r="C167" s="78" t="s">
        <v>646</v>
      </c>
      <c r="D167" s="78" t="s">
        <v>555</v>
      </c>
      <c r="E167" s="54" t="s">
        <v>647</v>
      </c>
      <c r="F167" s="128" t="s">
        <v>440</v>
      </c>
      <c r="G167" s="66">
        <v>2013</v>
      </c>
      <c r="H167" s="86">
        <v>16700</v>
      </c>
      <c r="I167" s="66">
        <v>1</v>
      </c>
      <c r="J167" s="129">
        <f t="shared" si="2"/>
        <v>16700</v>
      </c>
      <c r="K167" s="130">
        <v>1586.5</v>
      </c>
      <c r="L167" s="66">
        <v>10</v>
      </c>
      <c r="M167" s="131"/>
    </row>
    <row r="168" spans="2:13" s="132" customFormat="1" ht="60" x14ac:dyDescent="0.3">
      <c r="B168" s="127">
        <v>156</v>
      </c>
      <c r="C168" s="78" t="s">
        <v>718</v>
      </c>
      <c r="D168" s="78" t="s">
        <v>719</v>
      </c>
      <c r="E168" s="54" t="s">
        <v>720</v>
      </c>
      <c r="F168" s="128" t="s">
        <v>453</v>
      </c>
      <c r="G168" s="66">
        <v>2013</v>
      </c>
      <c r="H168" s="86">
        <v>58500</v>
      </c>
      <c r="I168" s="66">
        <v>1</v>
      </c>
      <c r="J168" s="129">
        <f t="shared" si="2"/>
        <v>58500</v>
      </c>
      <c r="K168" s="130">
        <v>5557.5</v>
      </c>
      <c r="L168" s="66">
        <v>10</v>
      </c>
      <c r="M168" s="131"/>
    </row>
    <row r="169" spans="2:13" s="132" customFormat="1" ht="33" x14ac:dyDescent="0.3">
      <c r="B169" s="127">
        <v>157</v>
      </c>
      <c r="C169" s="78" t="s">
        <v>721</v>
      </c>
      <c r="D169" s="78" t="s">
        <v>722</v>
      </c>
      <c r="E169" s="54" t="s">
        <v>723</v>
      </c>
      <c r="F169" s="128" t="s">
        <v>453</v>
      </c>
      <c r="G169" s="66">
        <v>2013</v>
      </c>
      <c r="H169" s="86">
        <v>112147</v>
      </c>
      <c r="I169" s="66">
        <v>1</v>
      </c>
      <c r="J169" s="129">
        <f t="shared" si="2"/>
        <v>112147</v>
      </c>
      <c r="K169" s="130">
        <v>10653.965</v>
      </c>
      <c r="L169" s="66">
        <v>10</v>
      </c>
      <c r="M169" s="131"/>
    </row>
    <row r="170" spans="2:13" s="132" customFormat="1" ht="33" x14ac:dyDescent="0.3">
      <c r="B170" s="127">
        <v>158</v>
      </c>
      <c r="C170" s="78" t="s">
        <v>724</v>
      </c>
      <c r="D170" s="78" t="s">
        <v>505</v>
      </c>
      <c r="E170" s="54" t="s">
        <v>725</v>
      </c>
      <c r="F170" s="128" t="s">
        <v>453</v>
      </c>
      <c r="G170" s="66">
        <v>2013</v>
      </c>
      <c r="H170" s="86">
        <v>38500</v>
      </c>
      <c r="I170" s="66">
        <v>1</v>
      </c>
      <c r="J170" s="129">
        <f t="shared" si="2"/>
        <v>38500</v>
      </c>
      <c r="K170" s="130">
        <v>3657.5</v>
      </c>
      <c r="L170" s="66">
        <v>10</v>
      </c>
      <c r="M170" s="131"/>
    </row>
    <row r="171" spans="2:13" s="132" customFormat="1" ht="48" x14ac:dyDescent="0.3">
      <c r="B171" s="127">
        <v>159</v>
      </c>
      <c r="C171" s="78" t="s">
        <v>726</v>
      </c>
      <c r="D171" s="78" t="s">
        <v>722</v>
      </c>
      <c r="E171" s="54" t="s">
        <v>727</v>
      </c>
      <c r="F171" s="128" t="s">
        <v>453</v>
      </c>
      <c r="G171" s="66">
        <v>2013</v>
      </c>
      <c r="H171" s="86">
        <v>221392.86</v>
      </c>
      <c r="I171" s="66">
        <v>1</v>
      </c>
      <c r="J171" s="129">
        <f t="shared" si="2"/>
        <v>221392.86</v>
      </c>
      <c r="K171" s="130">
        <v>21032.321699999997</v>
      </c>
      <c r="L171" s="66">
        <v>10</v>
      </c>
      <c r="M171" s="131"/>
    </row>
    <row r="172" spans="2:13" s="132" customFormat="1" ht="60" x14ac:dyDescent="0.3">
      <c r="B172" s="127">
        <v>160</v>
      </c>
      <c r="C172" s="78" t="s">
        <v>728</v>
      </c>
      <c r="D172" s="78" t="s">
        <v>719</v>
      </c>
      <c r="E172" s="54" t="s">
        <v>729</v>
      </c>
      <c r="F172" s="128" t="s">
        <v>453</v>
      </c>
      <c r="G172" s="66">
        <v>2013</v>
      </c>
      <c r="H172" s="86">
        <v>58500</v>
      </c>
      <c r="I172" s="66">
        <v>1</v>
      </c>
      <c r="J172" s="129">
        <f t="shared" si="2"/>
        <v>58500</v>
      </c>
      <c r="K172" s="130">
        <v>5557.5</v>
      </c>
      <c r="L172" s="66">
        <v>10</v>
      </c>
      <c r="M172" s="131"/>
    </row>
    <row r="173" spans="2:13" s="132" customFormat="1" ht="96" x14ac:dyDescent="0.3">
      <c r="B173" s="127">
        <v>161</v>
      </c>
      <c r="C173" s="78" t="s">
        <v>820</v>
      </c>
      <c r="D173" s="69" t="s">
        <v>821</v>
      </c>
      <c r="E173" s="56" t="s">
        <v>822</v>
      </c>
      <c r="F173" s="128" t="s">
        <v>455</v>
      </c>
      <c r="G173" s="66">
        <v>2013</v>
      </c>
      <c r="H173" s="86">
        <v>3488000</v>
      </c>
      <c r="I173" s="66">
        <v>1</v>
      </c>
      <c r="J173" s="129">
        <f t="shared" si="2"/>
        <v>3488000</v>
      </c>
      <c r="K173" s="130">
        <v>331360</v>
      </c>
      <c r="L173" s="66">
        <v>10</v>
      </c>
      <c r="M173" s="131"/>
    </row>
    <row r="174" spans="2:13" s="132" customFormat="1" ht="48" x14ac:dyDescent="0.3">
      <c r="B174" s="127">
        <v>162</v>
      </c>
      <c r="C174" s="78" t="s">
        <v>823</v>
      </c>
      <c r="D174" s="78" t="s">
        <v>578</v>
      </c>
      <c r="E174" s="54" t="s">
        <v>579</v>
      </c>
      <c r="F174" s="128" t="s">
        <v>455</v>
      </c>
      <c r="G174" s="66">
        <v>2013</v>
      </c>
      <c r="H174" s="86">
        <v>29989</v>
      </c>
      <c r="I174" s="66">
        <v>45</v>
      </c>
      <c r="J174" s="129">
        <f t="shared" si="2"/>
        <v>1349505</v>
      </c>
      <c r="K174" s="130">
        <v>2848.9549999999999</v>
      </c>
      <c r="L174" s="66">
        <v>10</v>
      </c>
      <c r="M174" s="131"/>
    </row>
    <row r="175" spans="2:13" s="132" customFormat="1" ht="33" x14ac:dyDescent="0.3">
      <c r="B175" s="127">
        <v>163</v>
      </c>
      <c r="C175" s="78" t="s">
        <v>909</v>
      </c>
      <c r="D175" s="78" t="s">
        <v>910</v>
      </c>
      <c r="E175" s="54" t="s">
        <v>911</v>
      </c>
      <c r="F175" s="128" t="s">
        <v>457</v>
      </c>
      <c r="G175" s="66">
        <v>2013</v>
      </c>
      <c r="H175" s="86">
        <v>33538.5</v>
      </c>
      <c r="I175" s="66">
        <v>1</v>
      </c>
      <c r="J175" s="129">
        <f t="shared" si="2"/>
        <v>33538.5</v>
      </c>
      <c r="K175" s="130">
        <v>3186.1574999999998</v>
      </c>
      <c r="L175" s="66">
        <v>10</v>
      </c>
      <c r="M175" s="131"/>
    </row>
    <row r="176" spans="2:13" s="132" customFormat="1" ht="36" x14ac:dyDescent="0.3">
      <c r="B176" s="127">
        <v>164</v>
      </c>
      <c r="C176" s="78" t="s">
        <v>912</v>
      </c>
      <c r="D176" s="78" t="s">
        <v>472</v>
      </c>
      <c r="E176" s="54" t="s">
        <v>913</v>
      </c>
      <c r="F176" s="128" t="s">
        <v>457</v>
      </c>
      <c r="G176" s="66">
        <v>2013</v>
      </c>
      <c r="H176" s="86">
        <v>26888</v>
      </c>
      <c r="I176" s="66">
        <v>1</v>
      </c>
      <c r="J176" s="129">
        <f t="shared" si="2"/>
        <v>26888</v>
      </c>
      <c r="K176" s="130">
        <v>2554.3599999999997</v>
      </c>
      <c r="L176" s="66">
        <v>10</v>
      </c>
      <c r="M176" s="131"/>
    </row>
    <row r="177" spans="2:13" s="132" customFormat="1" ht="48" x14ac:dyDescent="0.3">
      <c r="B177" s="127">
        <v>165</v>
      </c>
      <c r="C177" s="78" t="s">
        <v>914</v>
      </c>
      <c r="D177" s="78" t="s">
        <v>578</v>
      </c>
      <c r="E177" s="54" t="s">
        <v>579</v>
      </c>
      <c r="F177" s="128" t="s">
        <v>457</v>
      </c>
      <c r="G177" s="66">
        <v>2013</v>
      </c>
      <c r="H177" s="86">
        <v>29989.9</v>
      </c>
      <c r="I177" s="66">
        <v>50</v>
      </c>
      <c r="J177" s="129">
        <f t="shared" si="2"/>
        <v>1499495</v>
      </c>
      <c r="K177" s="130">
        <v>2849.0405000000001</v>
      </c>
      <c r="L177" s="66">
        <v>10</v>
      </c>
      <c r="M177" s="131"/>
    </row>
    <row r="178" spans="2:13" s="132" customFormat="1" ht="36" x14ac:dyDescent="0.3">
      <c r="B178" s="127">
        <v>166</v>
      </c>
      <c r="C178" s="78" t="s">
        <v>1058</v>
      </c>
      <c r="D178" s="78" t="s">
        <v>1028</v>
      </c>
      <c r="E178" s="54" t="s">
        <v>1059</v>
      </c>
      <c r="F178" s="128" t="s">
        <v>440</v>
      </c>
      <c r="G178" s="66">
        <v>2013</v>
      </c>
      <c r="H178" s="86">
        <v>325000</v>
      </c>
      <c r="I178" s="66">
        <v>1</v>
      </c>
      <c r="J178" s="129">
        <f t="shared" si="2"/>
        <v>325000</v>
      </c>
      <c r="K178" s="130">
        <v>30875</v>
      </c>
      <c r="L178" s="66">
        <v>10</v>
      </c>
      <c r="M178" s="131"/>
    </row>
    <row r="179" spans="2:13" s="132" customFormat="1" ht="36" x14ac:dyDescent="0.3">
      <c r="B179" s="127">
        <v>167</v>
      </c>
      <c r="C179" s="78" t="s">
        <v>1060</v>
      </c>
      <c r="D179" s="78" t="s">
        <v>1061</v>
      </c>
      <c r="E179" s="54" t="s">
        <v>1062</v>
      </c>
      <c r="F179" s="128" t="s">
        <v>440</v>
      </c>
      <c r="G179" s="66">
        <v>2013</v>
      </c>
      <c r="H179" s="86">
        <v>6000000</v>
      </c>
      <c r="I179" s="66">
        <v>1</v>
      </c>
      <c r="J179" s="129">
        <f t="shared" si="2"/>
        <v>6000000</v>
      </c>
      <c r="K179" s="130">
        <v>570000</v>
      </c>
      <c r="L179" s="66">
        <v>10</v>
      </c>
      <c r="M179" s="131"/>
    </row>
    <row r="180" spans="2:13" s="132" customFormat="1" ht="49.5" x14ac:dyDescent="0.3">
      <c r="B180" s="127">
        <v>168</v>
      </c>
      <c r="C180" s="78" t="s">
        <v>1189</v>
      </c>
      <c r="D180" s="78" t="s">
        <v>581</v>
      </c>
      <c r="E180" s="54" t="s">
        <v>1190</v>
      </c>
      <c r="F180" s="128" t="s">
        <v>441</v>
      </c>
      <c r="G180" s="66">
        <v>2013</v>
      </c>
      <c r="H180" s="86">
        <v>26888</v>
      </c>
      <c r="I180" s="66">
        <v>1</v>
      </c>
      <c r="J180" s="129">
        <f t="shared" si="2"/>
        <v>26888</v>
      </c>
      <c r="K180" s="130">
        <v>2554.3599999999997</v>
      </c>
      <c r="L180" s="66">
        <v>10</v>
      </c>
      <c r="M180" s="131"/>
    </row>
    <row r="181" spans="2:13" s="132" customFormat="1" ht="49.5" x14ac:dyDescent="0.3">
      <c r="B181" s="127">
        <v>169</v>
      </c>
      <c r="C181" s="78" t="s">
        <v>1191</v>
      </c>
      <c r="D181" s="78" t="s">
        <v>1192</v>
      </c>
      <c r="E181" s="54" t="s">
        <v>1193</v>
      </c>
      <c r="F181" s="128" t="s">
        <v>441</v>
      </c>
      <c r="G181" s="66">
        <v>2013</v>
      </c>
      <c r="H181" s="86">
        <v>55000</v>
      </c>
      <c r="I181" s="66">
        <v>3</v>
      </c>
      <c r="J181" s="129">
        <f t="shared" si="2"/>
        <v>165000</v>
      </c>
      <c r="K181" s="130">
        <v>5225</v>
      </c>
      <c r="L181" s="66">
        <v>10</v>
      </c>
      <c r="M181" s="131"/>
    </row>
    <row r="182" spans="2:13" s="132" customFormat="1" ht="60" x14ac:dyDescent="0.3">
      <c r="B182" s="127">
        <v>170</v>
      </c>
      <c r="C182" s="78" t="s">
        <v>1194</v>
      </c>
      <c r="D182" s="78" t="s">
        <v>1195</v>
      </c>
      <c r="E182" s="54" t="s">
        <v>1196</v>
      </c>
      <c r="F182" s="128" t="s">
        <v>441</v>
      </c>
      <c r="G182" s="66">
        <v>2013</v>
      </c>
      <c r="H182" s="86">
        <v>480000</v>
      </c>
      <c r="I182" s="66">
        <v>1</v>
      </c>
      <c r="J182" s="129">
        <f t="shared" si="2"/>
        <v>480000</v>
      </c>
      <c r="K182" s="130">
        <v>45600</v>
      </c>
      <c r="L182" s="66">
        <v>10</v>
      </c>
      <c r="M182" s="131"/>
    </row>
    <row r="183" spans="2:13" s="132" customFormat="1" ht="49.5" x14ac:dyDescent="0.3">
      <c r="B183" s="127">
        <v>171</v>
      </c>
      <c r="C183" s="78" t="s">
        <v>1197</v>
      </c>
      <c r="D183" s="78" t="s">
        <v>1198</v>
      </c>
      <c r="E183" s="54" t="s">
        <v>1199</v>
      </c>
      <c r="F183" s="128" t="s">
        <v>441</v>
      </c>
      <c r="G183" s="66">
        <v>2013</v>
      </c>
      <c r="H183" s="86">
        <v>308500</v>
      </c>
      <c r="I183" s="66">
        <v>1</v>
      </c>
      <c r="J183" s="129">
        <f t="shared" si="2"/>
        <v>308500</v>
      </c>
      <c r="K183" s="130">
        <v>29307.5</v>
      </c>
      <c r="L183" s="66">
        <v>10</v>
      </c>
      <c r="M183" s="131"/>
    </row>
    <row r="184" spans="2:13" s="132" customFormat="1" ht="48" x14ac:dyDescent="0.3">
      <c r="B184" s="127">
        <v>172</v>
      </c>
      <c r="C184" s="78" t="s">
        <v>648</v>
      </c>
      <c r="D184" s="78" t="s">
        <v>649</v>
      </c>
      <c r="E184" s="54" t="s">
        <v>650</v>
      </c>
      <c r="F184" s="128" t="s">
        <v>440</v>
      </c>
      <c r="G184" s="66">
        <v>2014</v>
      </c>
      <c r="H184" s="86">
        <v>43494</v>
      </c>
      <c r="I184" s="66">
        <v>1</v>
      </c>
      <c r="J184" s="129">
        <f t="shared" si="2"/>
        <v>43494</v>
      </c>
      <c r="K184" s="130">
        <v>4131.9299999999994</v>
      </c>
      <c r="L184" s="66">
        <v>10</v>
      </c>
      <c r="M184" s="131"/>
    </row>
    <row r="185" spans="2:13" s="132" customFormat="1" ht="36" x14ac:dyDescent="0.3">
      <c r="B185" s="127">
        <v>173</v>
      </c>
      <c r="C185" s="78" t="s">
        <v>651</v>
      </c>
      <c r="D185" s="78" t="s">
        <v>652</v>
      </c>
      <c r="E185" s="54" t="s">
        <v>653</v>
      </c>
      <c r="F185" s="128" t="s">
        <v>440</v>
      </c>
      <c r="G185" s="66">
        <v>2014</v>
      </c>
      <c r="H185" s="86">
        <v>19779</v>
      </c>
      <c r="I185" s="66">
        <v>2</v>
      </c>
      <c r="J185" s="129">
        <f t="shared" si="2"/>
        <v>39558</v>
      </c>
      <c r="K185" s="130">
        <v>1879.0049999999999</v>
      </c>
      <c r="L185" s="66">
        <v>10</v>
      </c>
      <c r="M185" s="131"/>
    </row>
    <row r="186" spans="2:13" s="132" customFormat="1" ht="132" x14ac:dyDescent="0.3">
      <c r="B186" s="127">
        <v>174</v>
      </c>
      <c r="C186" s="78" t="s">
        <v>730</v>
      </c>
      <c r="D186" s="78" t="s">
        <v>706</v>
      </c>
      <c r="E186" s="54" t="s">
        <v>731</v>
      </c>
      <c r="F186" s="128" t="s">
        <v>453</v>
      </c>
      <c r="G186" s="66">
        <v>2014</v>
      </c>
      <c r="H186" s="86">
        <v>30000</v>
      </c>
      <c r="I186" s="66">
        <v>1</v>
      </c>
      <c r="J186" s="129">
        <f t="shared" si="2"/>
        <v>30000</v>
      </c>
      <c r="K186" s="130">
        <v>2850</v>
      </c>
      <c r="L186" s="66">
        <v>10</v>
      </c>
      <c r="M186" s="131"/>
    </row>
    <row r="187" spans="2:13" s="132" customFormat="1" ht="33" x14ac:dyDescent="0.3">
      <c r="B187" s="127">
        <v>175</v>
      </c>
      <c r="C187" s="78" t="s">
        <v>732</v>
      </c>
      <c r="D187" s="78" t="s">
        <v>733</v>
      </c>
      <c r="E187" s="54" t="s">
        <v>734</v>
      </c>
      <c r="F187" s="128" t="s">
        <v>453</v>
      </c>
      <c r="G187" s="66">
        <v>2014</v>
      </c>
      <c r="H187" s="86">
        <v>2767857.15</v>
      </c>
      <c r="I187" s="66">
        <v>1</v>
      </c>
      <c r="J187" s="129">
        <f t="shared" si="2"/>
        <v>2767857.15</v>
      </c>
      <c r="K187" s="130">
        <v>262946.42924999999</v>
      </c>
      <c r="L187" s="66">
        <v>10</v>
      </c>
      <c r="M187" s="131"/>
    </row>
    <row r="188" spans="2:13" s="132" customFormat="1" ht="36" x14ac:dyDescent="0.3">
      <c r="B188" s="127">
        <v>176</v>
      </c>
      <c r="C188" s="78" t="s">
        <v>824</v>
      </c>
      <c r="D188" s="78" t="s">
        <v>652</v>
      </c>
      <c r="E188" s="54" t="s">
        <v>825</v>
      </c>
      <c r="F188" s="128" t="s">
        <v>455</v>
      </c>
      <c r="G188" s="66">
        <v>2014</v>
      </c>
      <c r="H188" s="86">
        <v>19779</v>
      </c>
      <c r="I188" s="66">
        <v>5</v>
      </c>
      <c r="J188" s="129">
        <f t="shared" si="2"/>
        <v>98895</v>
      </c>
      <c r="K188" s="130">
        <v>1879.0049999999999</v>
      </c>
      <c r="L188" s="66">
        <v>10</v>
      </c>
      <c r="M188" s="131"/>
    </row>
    <row r="189" spans="2:13" s="132" customFormat="1" ht="60" x14ac:dyDescent="0.3">
      <c r="B189" s="127">
        <v>177</v>
      </c>
      <c r="C189" s="78" t="s">
        <v>826</v>
      </c>
      <c r="D189" s="78" t="s">
        <v>555</v>
      </c>
      <c r="E189" s="54" t="s">
        <v>827</v>
      </c>
      <c r="F189" s="128" t="s">
        <v>455</v>
      </c>
      <c r="G189" s="66">
        <v>2014</v>
      </c>
      <c r="H189" s="86">
        <v>16000</v>
      </c>
      <c r="I189" s="66">
        <v>3</v>
      </c>
      <c r="J189" s="129">
        <f t="shared" si="2"/>
        <v>48000</v>
      </c>
      <c r="K189" s="130">
        <v>1520</v>
      </c>
      <c r="L189" s="66">
        <v>10</v>
      </c>
      <c r="M189" s="131"/>
    </row>
    <row r="190" spans="2:13" s="132" customFormat="1" ht="33" x14ac:dyDescent="0.3">
      <c r="B190" s="127">
        <v>178</v>
      </c>
      <c r="C190" s="78"/>
      <c r="D190" s="78" t="s">
        <v>802</v>
      </c>
      <c r="E190" s="54" t="s">
        <v>828</v>
      </c>
      <c r="F190" s="128" t="s">
        <v>455</v>
      </c>
      <c r="G190" s="66">
        <v>2014</v>
      </c>
      <c r="H190" s="86">
        <v>16000</v>
      </c>
      <c r="I190" s="66">
        <v>1</v>
      </c>
      <c r="J190" s="129">
        <f t="shared" si="2"/>
        <v>16000</v>
      </c>
      <c r="K190" s="130">
        <v>1520</v>
      </c>
      <c r="L190" s="66">
        <v>10</v>
      </c>
      <c r="M190" s="131"/>
    </row>
    <row r="191" spans="2:13" s="132" customFormat="1" ht="48" x14ac:dyDescent="0.3">
      <c r="B191" s="127">
        <v>179</v>
      </c>
      <c r="C191" s="79" t="s">
        <v>829</v>
      </c>
      <c r="D191" s="69" t="s">
        <v>830</v>
      </c>
      <c r="E191" s="56" t="s">
        <v>831</v>
      </c>
      <c r="F191" s="128" t="s">
        <v>455</v>
      </c>
      <c r="G191" s="66">
        <v>2014</v>
      </c>
      <c r="H191" s="86">
        <v>200000</v>
      </c>
      <c r="I191" s="66">
        <v>1</v>
      </c>
      <c r="J191" s="129">
        <f t="shared" si="2"/>
        <v>200000</v>
      </c>
      <c r="K191" s="130">
        <v>19000</v>
      </c>
      <c r="L191" s="66">
        <v>10</v>
      </c>
      <c r="M191" s="131"/>
    </row>
    <row r="192" spans="2:13" s="132" customFormat="1" ht="48" x14ac:dyDescent="0.3">
      <c r="B192" s="127">
        <v>180</v>
      </c>
      <c r="C192" s="79" t="s">
        <v>832</v>
      </c>
      <c r="D192" s="69" t="s">
        <v>830</v>
      </c>
      <c r="E192" s="56" t="s">
        <v>833</v>
      </c>
      <c r="F192" s="128" t="s">
        <v>455</v>
      </c>
      <c r="G192" s="66">
        <v>2014</v>
      </c>
      <c r="H192" s="86">
        <v>200000</v>
      </c>
      <c r="I192" s="66">
        <v>1</v>
      </c>
      <c r="J192" s="129">
        <f t="shared" si="2"/>
        <v>200000</v>
      </c>
      <c r="K192" s="130">
        <v>19000</v>
      </c>
      <c r="L192" s="66">
        <v>10</v>
      </c>
      <c r="M192" s="131"/>
    </row>
    <row r="193" spans="2:13" s="132" customFormat="1" ht="48" x14ac:dyDescent="0.3">
      <c r="B193" s="127">
        <v>181</v>
      </c>
      <c r="C193" s="79" t="s">
        <v>834</v>
      </c>
      <c r="D193" s="69" t="s">
        <v>830</v>
      </c>
      <c r="E193" s="56" t="s">
        <v>835</v>
      </c>
      <c r="F193" s="128" t="s">
        <v>455</v>
      </c>
      <c r="G193" s="66">
        <v>2014</v>
      </c>
      <c r="H193" s="86">
        <v>200000</v>
      </c>
      <c r="I193" s="66">
        <v>1</v>
      </c>
      <c r="J193" s="129">
        <f t="shared" si="2"/>
        <v>200000</v>
      </c>
      <c r="K193" s="130">
        <v>19000</v>
      </c>
      <c r="L193" s="66">
        <v>10</v>
      </c>
      <c r="M193" s="131"/>
    </row>
    <row r="194" spans="2:13" s="132" customFormat="1" ht="48" x14ac:dyDescent="0.3">
      <c r="B194" s="127">
        <v>182</v>
      </c>
      <c r="C194" s="79" t="s">
        <v>836</v>
      </c>
      <c r="D194" s="69" t="s">
        <v>830</v>
      </c>
      <c r="E194" s="56" t="s">
        <v>837</v>
      </c>
      <c r="F194" s="128" t="s">
        <v>455</v>
      </c>
      <c r="G194" s="66">
        <v>2014</v>
      </c>
      <c r="H194" s="86">
        <v>200000</v>
      </c>
      <c r="I194" s="66">
        <v>1</v>
      </c>
      <c r="J194" s="129">
        <f t="shared" si="2"/>
        <v>200000</v>
      </c>
      <c r="K194" s="130">
        <v>19000</v>
      </c>
      <c r="L194" s="66">
        <v>10</v>
      </c>
      <c r="M194" s="131"/>
    </row>
    <row r="195" spans="2:13" s="132" customFormat="1" ht="108" x14ac:dyDescent="0.3">
      <c r="B195" s="127">
        <v>183</v>
      </c>
      <c r="C195" s="79" t="s">
        <v>838</v>
      </c>
      <c r="D195" s="69" t="s">
        <v>839</v>
      </c>
      <c r="E195" s="56" t="s">
        <v>840</v>
      </c>
      <c r="F195" s="128" t="s">
        <v>455</v>
      </c>
      <c r="G195" s="66">
        <v>2014</v>
      </c>
      <c r="H195" s="86">
        <v>2899000</v>
      </c>
      <c r="I195" s="66">
        <v>1</v>
      </c>
      <c r="J195" s="129">
        <f t="shared" si="2"/>
        <v>2899000</v>
      </c>
      <c r="K195" s="130">
        <v>275405</v>
      </c>
      <c r="L195" s="66">
        <v>10</v>
      </c>
      <c r="M195" s="131"/>
    </row>
    <row r="196" spans="2:13" s="132" customFormat="1" ht="72" x14ac:dyDescent="0.3">
      <c r="B196" s="127">
        <v>184</v>
      </c>
      <c r="C196" s="79" t="s">
        <v>841</v>
      </c>
      <c r="D196" s="69" t="s">
        <v>842</v>
      </c>
      <c r="E196" s="56" t="s">
        <v>843</v>
      </c>
      <c r="F196" s="128" t="s">
        <v>455</v>
      </c>
      <c r="G196" s="66">
        <v>2014</v>
      </c>
      <c r="H196" s="86">
        <v>1444444</v>
      </c>
      <c r="I196" s="66">
        <v>1</v>
      </c>
      <c r="J196" s="129">
        <f t="shared" si="2"/>
        <v>1444444</v>
      </c>
      <c r="K196" s="130">
        <v>137222.18</v>
      </c>
      <c r="L196" s="66">
        <v>10</v>
      </c>
      <c r="M196" s="131"/>
    </row>
    <row r="197" spans="2:13" s="132" customFormat="1" ht="60" x14ac:dyDescent="0.3">
      <c r="B197" s="127">
        <v>185</v>
      </c>
      <c r="C197" s="78" t="s">
        <v>915</v>
      </c>
      <c r="D197" s="78" t="s">
        <v>555</v>
      </c>
      <c r="E197" s="54" t="s">
        <v>916</v>
      </c>
      <c r="F197" s="128" t="s">
        <v>457</v>
      </c>
      <c r="G197" s="66">
        <v>2014</v>
      </c>
      <c r="H197" s="86">
        <v>16000</v>
      </c>
      <c r="I197" s="66">
        <v>3</v>
      </c>
      <c r="J197" s="129">
        <f t="shared" si="2"/>
        <v>48000</v>
      </c>
      <c r="K197" s="130">
        <v>1520</v>
      </c>
      <c r="L197" s="66">
        <v>10</v>
      </c>
      <c r="M197" s="131"/>
    </row>
    <row r="198" spans="2:13" s="132" customFormat="1" ht="36" x14ac:dyDescent="0.3">
      <c r="B198" s="127">
        <v>186</v>
      </c>
      <c r="C198" s="78" t="s">
        <v>917</v>
      </c>
      <c r="D198" s="78" t="s">
        <v>853</v>
      </c>
      <c r="E198" s="54" t="s">
        <v>918</v>
      </c>
      <c r="F198" s="128" t="s">
        <v>457</v>
      </c>
      <c r="G198" s="66">
        <v>2014</v>
      </c>
      <c r="H198" s="86">
        <v>19779</v>
      </c>
      <c r="I198" s="66">
        <v>25</v>
      </c>
      <c r="J198" s="129">
        <f t="shared" si="2"/>
        <v>494475</v>
      </c>
      <c r="K198" s="130">
        <v>1879.0049999999999</v>
      </c>
      <c r="L198" s="66">
        <v>10</v>
      </c>
      <c r="M198" s="131"/>
    </row>
    <row r="199" spans="2:13" s="132" customFormat="1" ht="48" x14ac:dyDescent="0.3">
      <c r="B199" s="127">
        <v>187</v>
      </c>
      <c r="C199" s="78" t="s">
        <v>919</v>
      </c>
      <c r="D199" s="78" t="s">
        <v>649</v>
      </c>
      <c r="E199" s="54" t="s">
        <v>650</v>
      </c>
      <c r="F199" s="128" t="s">
        <v>457</v>
      </c>
      <c r="G199" s="66">
        <v>2014</v>
      </c>
      <c r="H199" s="86">
        <v>43494</v>
      </c>
      <c r="I199" s="66">
        <v>2</v>
      </c>
      <c r="J199" s="129">
        <f t="shared" si="2"/>
        <v>86988</v>
      </c>
      <c r="K199" s="130">
        <v>4131.9299999999994</v>
      </c>
      <c r="L199" s="66">
        <v>10</v>
      </c>
      <c r="M199" s="131"/>
    </row>
    <row r="200" spans="2:13" s="132" customFormat="1" ht="84" x14ac:dyDescent="0.3">
      <c r="B200" s="127">
        <v>188</v>
      </c>
      <c r="C200" s="78" t="s">
        <v>994</v>
      </c>
      <c r="D200" s="78" t="s">
        <v>614</v>
      </c>
      <c r="E200" s="82" t="s">
        <v>995</v>
      </c>
      <c r="F200" s="128" t="s">
        <v>458</v>
      </c>
      <c r="G200" s="66">
        <v>2014</v>
      </c>
      <c r="H200" s="86">
        <v>35000</v>
      </c>
      <c r="I200" s="66">
        <v>1</v>
      </c>
      <c r="J200" s="129">
        <f t="shared" si="2"/>
        <v>35000</v>
      </c>
      <c r="K200" s="130">
        <v>3325</v>
      </c>
      <c r="L200" s="66">
        <v>10</v>
      </c>
      <c r="M200" s="131"/>
    </row>
    <row r="201" spans="2:13" s="132" customFormat="1" ht="48" x14ac:dyDescent="0.3">
      <c r="B201" s="127">
        <v>189</v>
      </c>
      <c r="C201" s="78" t="s">
        <v>996</v>
      </c>
      <c r="D201" s="78" t="s">
        <v>649</v>
      </c>
      <c r="E201" s="54" t="s">
        <v>650</v>
      </c>
      <c r="F201" s="128" t="s">
        <v>458</v>
      </c>
      <c r="G201" s="66">
        <v>2014</v>
      </c>
      <c r="H201" s="86">
        <v>43494</v>
      </c>
      <c r="I201" s="66">
        <v>1</v>
      </c>
      <c r="J201" s="129">
        <f t="shared" si="2"/>
        <v>43494</v>
      </c>
      <c r="K201" s="130">
        <v>4131.9299999999994</v>
      </c>
      <c r="L201" s="66">
        <v>10</v>
      </c>
      <c r="M201" s="131"/>
    </row>
    <row r="202" spans="2:13" s="132" customFormat="1" ht="36" x14ac:dyDescent="0.3">
      <c r="B202" s="127">
        <v>190</v>
      </c>
      <c r="C202" s="78" t="s">
        <v>1063</v>
      </c>
      <c r="D202" s="78" t="s">
        <v>1064</v>
      </c>
      <c r="E202" s="54" t="s">
        <v>1065</v>
      </c>
      <c r="F202" s="128" t="s">
        <v>440</v>
      </c>
      <c r="G202" s="66">
        <v>2014</v>
      </c>
      <c r="H202" s="86">
        <v>200000</v>
      </c>
      <c r="I202" s="66">
        <v>1</v>
      </c>
      <c r="J202" s="129">
        <f t="shared" si="2"/>
        <v>200000</v>
      </c>
      <c r="K202" s="130">
        <v>19000</v>
      </c>
      <c r="L202" s="66">
        <v>10</v>
      </c>
      <c r="M202" s="131"/>
    </row>
    <row r="203" spans="2:13" s="132" customFormat="1" ht="72" x14ac:dyDescent="0.3">
      <c r="B203" s="127">
        <v>191</v>
      </c>
      <c r="C203" s="78" t="s">
        <v>1066</v>
      </c>
      <c r="D203" s="78" t="s">
        <v>1067</v>
      </c>
      <c r="E203" s="54" t="s">
        <v>1068</v>
      </c>
      <c r="F203" s="128" t="s">
        <v>440</v>
      </c>
      <c r="G203" s="66">
        <v>2014</v>
      </c>
      <c r="H203" s="86">
        <v>500000</v>
      </c>
      <c r="I203" s="66">
        <v>1</v>
      </c>
      <c r="J203" s="129">
        <f t="shared" si="2"/>
        <v>500000</v>
      </c>
      <c r="K203" s="130">
        <v>47500</v>
      </c>
      <c r="L203" s="66">
        <v>10</v>
      </c>
      <c r="M203" s="131"/>
    </row>
    <row r="204" spans="2:13" s="132" customFormat="1" ht="36" x14ac:dyDescent="0.3">
      <c r="B204" s="127">
        <v>192</v>
      </c>
      <c r="C204" s="78" t="s">
        <v>1069</v>
      </c>
      <c r="D204" s="78" t="s">
        <v>1070</v>
      </c>
      <c r="E204" s="54" t="s">
        <v>1071</v>
      </c>
      <c r="F204" s="128" t="s">
        <v>440</v>
      </c>
      <c r="G204" s="66">
        <v>2014</v>
      </c>
      <c r="H204" s="86">
        <v>1360000</v>
      </c>
      <c r="I204" s="66">
        <v>1</v>
      </c>
      <c r="J204" s="129">
        <f t="shared" si="2"/>
        <v>1360000</v>
      </c>
      <c r="K204" s="130">
        <v>129200</v>
      </c>
      <c r="L204" s="66">
        <v>10</v>
      </c>
      <c r="M204" s="131"/>
    </row>
    <row r="205" spans="2:13" s="132" customFormat="1" ht="144" x14ac:dyDescent="0.3">
      <c r="B205" s="127">
        <v>193</v>
      </c>
      <c r="C205" s="78" t="s">
        <v>1072</v>
      </c>
      <c r="D205" s="78" t="s">
        <v>1073</v>
      </c>
      <c r="E205" s="54" t="s">
        <v>1074</v>
      </c>
      <c r="F205" s="128" t="s">
        <v>440</v>
      </c>
      <c r="G205" s="66">
        <v>2014</v>
      </c>
      <c r="H205" s="86">
        <v>3280000</v>
      </c>
      <c r="I205" s="66">
        <v>1</v>
      </c>
      <c r="J205" s="129">
        <f t="shared" ref="J205:J268" si="3">I205*H205</f>
        <v>3280000</v>
      </c>
      <c r="K205" s="130">
        <v>311600</v>
      </c>
      <c r="L205" s="66">
        <v>10</v>
      </c>
      <c r="M205" s="131"/>
    </row>
    <row r="206" spans="2:13" s="132" customFormat="1" ht="168" x14ac:dyDescent="0.3">
      <c r="B206" s="127">
        <v>194</v>
      </c>
      <c r="C206" s="78" t="s">
        <v>1075</v>
      </c>
      <c r="D206" s="78" t="s">
        <v>1076</v>
      </c>
      <c r="E206" s="54" t="s">
        <v>1077</v>
      </c>
      <c r="F206" s="128" t="s">
        <v>440</v>
      </c>
      <c r="G206" s="66">
        <v>2014</v>
      </c>
      <c r="H206" s="86">
        <v>2525000</v>
      </c>
      <c r="I206" s="66">
        <v>1</v>
      </c>
      <c r="J206" s="129">
        <f t="shared" si="3"/>
        <v>2525000</v>
      </c>
      <c r="K206" s="130">
        <v>239875</v>
      </c>
      <c r="L206" s="66">
        <v>10</v>
      </c>
      <c r="M206" s="131"/>
    </row>
    <row r="207" spans="2:13" s="132" customFormat="1" ht="49.5" x14ac:dyDescent="0.3">
      <c r="B207" s="127">
        <v>195</v>
      </c>
      <c r="C207" s="78" t="s">
        <v>1200</v>
      </c>
      <c r="D207" s="78" t="s">
        <v>555</v>
      </c>
      <c r="E207" s="54" t="s">
        <v>1201</v>
      </c>
      <c r="F207" s="128" t="s">
        <v>441</v>
      </c>
      <c r="G207" s="66">
        <v>2014</v>
      </c>
      <c r="H207" s="86">
        <v>16000</v>
      </c>
      <c r="I207" s="66">
        <v>2</v>
      </c>
      <c r="J207" s="129">
        <f t="shared" si="3"/>
        <v>32000</v>
      </c>
      <c r="K207" s="130">
        <v>1520</v>
      </c>
      <c r="L207" s="66">
        <v>10</v>
      </c>
      <c r="M207" s="131"/>
    </row>
    <row r="208" spans="2:13" s="132" customFormat="1" ht="180" x14ac:dyDescent="0.3">
      <c r="B208" s="127">
        <v>196</v>
      </c>
      <c r="C208" s="78" t="s">
        <v>1202</v>
      </c>
      <c r="D208" s="78" t="s">
        <v>1203</v>
      </c>
      <c r="E208" s="54" t="s">
        <v>1204</v>
      </c>
      <c r="F208" s="128" t="s">
        <v>441</v>
      </c>
      <c r="G208" s="66">
        <v>2014</v>
      </c>
      <c r="H208" s="86">
        <v>4880000</v>
      </c>
      <c r="I208" s="66">
        <v>1</v>
      </c>
      <c r="J208" s="129">
        <f t="shared" si="3"/>
        <v>4880000</v>
      </c>
      <c r="K208" s="130">
        <v>463600</v>
      </c>
      <c r="L208" s="66">
        <v>10</v>
      </c>
      <c r="M208" s="131"/>
    </row>
    <row r="209" spans="2:13" s="132" customFormat="1" ht="49.5" x14ac:dyDescent="0.3">
      <c r="B209" s="127">
        <v>197</v>
      </c>
      <c r="C209" s="79" t="s">
        <v>1205</v>
      </c>
      <c r="D209" s="69" t="s">
        <v>830</v>
      </c>
      <c r="E209" s="56" t="s">
        <v>1206</v>
      </c>
      <c r="F209" s="128" t="s">
        <v>441</v>
      </c>
      <c r="G209" s="66">
        <v>2014</v>
      </c>
      <c r="H209" s="86">
        <v>200000</v>
      </c>
      <c r="I209" s="66">
        <v>1</v>
      </c>
      <c r="J209" s="129">
        <f t="shared" si="3"/>
        <v>200000</v>
      </c>
      <c r="K209" s="130">
        <v>19000</v>
      </c>
      <c r="L209" s="66">
        <v>10</v>
      </c>
      <c r="M209" s="131"/>
    </row>
    <row r="210" spans="2:13" s="132" customFormat="1" ht="60" x14ac:dyDescent="0.3">
      <c r="B210" s="127">
        <v>198</v>
      </c>
      <c r="C210" s="78" t="s">
        <v>1207</v>
      </c>
      <c r="D210" s="78" t="s">
        <v>555</v>
      </c>
      <c r="E210" s="54" t="s">
        <v>1208</v>
      </c>
      <c r="F210" s="128" t="s">
        <v>441</v>
      </c>
      <c r="G210" s="66">
        <v>2014</v>
      </c>
      <c r="H210" s="86">
        <v>16000</v>
      </c>
      <c r="I210" s="66">
        <v>3</v>
      </c>
      <c r="J210" s="129">
        <f t="shared" si="3"/>
        <v>48000</v>
      </c>
      <c r="K210" s="130">
        <v>1520</v>
      </c>
      <c r="L210" s="66">
        <v>10</v>
      </c>
      <c r="M210" s="131"/>
    </row>
    <row r="211" spans="2:13" s="132" customFormat="1" ht="36" x14ac:dyDescent="0.3">
      <c r="B211" s="127">
        <v>199</v>
      </c>
      <c r="C211" s="78" t="s">
        <v>1251</v>
      </c>
      <c r="D211" s="78" t="s">
        <v>1242</v>
      </c>
      <c r="E211" s="54" t="s">
        <v>1252</v>
      </c>
      <c r="F211" s="128" t="s">
        <v>459</v>
      </c>
      <c r="G211" s="66">
        <v>2014</v>
      </c>
      <c r="H211" s="86">
        <v>289188</v>
      </c>
      <c r="I211" s="66">
        <v>1</v>
      </c>
      <c r="J211" s="129">
        <f t="shared" si="3"/>
        <v>289188</v>
      </c>
      <c r="K211" s="130">
        <v>27472.859999999997</v>
      </c>
      <c r="L211" s="66">
        <v>10</v>
      </c>
      <c r="M211" s="131"/>
    </row>
    <row r="212" spans="2:13" s="132" customFormat="1" ht="36" x14ac:dyDescent="0.3">
      <c r="B212" s="127">
        <v>200</v>
      </c>
      <c r="C212" s="78" t="s">
        <v>1253</v>
      </c>
      <c r="D212" s="78" t="s">
        <v>652</v>
      </c>
      <c r="E212" s="54" t="s">
        <v>1254</v>
      </c>
      <c r="F212" s="128" t="s">
        <v>459</v>
      </c>
      <c r="G212" s="66">
        <v>2014</v>
      </c>
      <c r="H212" s="86">
        <v>19779</v>
      </c>
      <c r="I212" s="66">
        <v>14</v>
      </c>
      <c r="J212" s="129">
        <f t="shared" si="3"/>
        <v>276906</v>
      </c>
      <c r="K212" s="130">
        <v>1879.0049999999999</v>
      </c>
      <c r="L212" s="66">
        <v>10</v>
      </c>
      <c r="M212" s="131"/>
    </row>
    <row r="213" spans="2:13" s="132" customFormat="1" ht="96" x14ac:dyDescent="0.3">
      <c r="B213" s="127">
        <v>201</v>
      </c>
      <c r="C213" s="78" t="s">
        <v>1324</v>
      </c>
      <c r="D213" s="78" t="s">
        <v>1325</v>
      </c>
      <c r="E213" s="54" t="s">
        <v>1326</v>
      </c>
      <c r="F213" s="128" t="s">
        <v>1432</v>
      </c>
      <c r="G213" s="66">
        <v>2014</v>
      </c>
      <c r="H213" s="86">
        <v>225000</v>
      </c>
      <c r="I213" s="66">
        <v>1</v>
      </c>
      <c r="J213" s="129">
        <f t="shared" si="3"/>
        <v>225000</v>
      </c>
      <c r="K213" s="130">
        <v>21375</v>
      </c>
      <c r="L213" s="66">
        <v>10</v>
      </c>
      <c r="M213" s="131"/>
    </row>
    <row r="214" spans="2:13" s="132" customFormat="1" ht="66" x14ac:dyDescent="0.3">
      <c r="B214" s="127">
        <v>202</v>
      </c>
      <c r="C214" s="78" t="s">
        <v>1342</v>
      </c>
      <c r="D214" s="78" t="s">
        <v>1343</v>
      </c>
      <c r="E214" s="54" t="s">
        <v>1344</v>
      </c>
      <c r="F214" s="128" t="s">
        <v>462</v>
      </c>
      <c r="G214" s="66">
        <v>2014</v>
      </c>
      <c r="H214" s="86">
        <v>4912320</v>
      </c>
      <c r="I214" s="66">
        <v>1</v>
      </c>
      <c r="J214" s="129">
        <f t="shared" si="3"/>
        <v>4912320</v>
      </c>
      <c r="K214" s="130">
        <v>466670.4</v>
      </c>
      <c r="L214" s="66">
        <v>10</v>
      </c>
      <c r="M214" s="131"/>
    </row>
    <row r="215" spans="2:13" s="132" customFormat="1" ht="49.5" x14ac:dyDescent="0.3">
      <c r="B215" s="127">
        <v>203</v>
      </c>
      <c r="C215" s="78" t="s">
        <v>1372</v>
      </c>
      <c r="D215" s="78" t="s">
        <v>1373</v>
      </c>
      <c r="E215" s="54" t="s">
        <v>1374</v>
      </c>
      <c r="F215" s="128" t="s">
        <v>441</v>
      </c>
      <c r="G215" s="66">
        <v>2014</v>
      </c>
      <c r="H215" s="86">
        <v>1161283.78</v>
      </c>
      <c r="I215" s="66">
        <v>1</v>
      </c>
      <c r="J215" s="129">
        <f t="shared" si="3"/>
        <v>1161283.78</v>
      </c>
      <c r="K215" s="130">
        <v>110321.95910000001</v>
      </c>
      <c r="L215" s="66">
        <v>10</v>
      </c>
      <c r="M215" s="131"/>
    </row>
    <row r="216" spans="2:13" s="132" customFormat="1" ht="60" x14ac:dyDescent="0.3">
      <c r="B216" s="127">
        <v>204</v>
      </c>
      <c r="C216" s="78" t="s">
        <v>1375</v>
      </c>
      <c r="D216" s="78" t="s">
        <v>555</v>
      </c>
      <c r="E216" s="54" t="s">
        <v>1376</v>
      </c>
      <c r="F216" s="128" t="s">
        <v>441</v>
      </c>
      <c r="G216" s="66">
        <v>2014</v>
      </c>
      <c r="H216" s="86">
        <v>16000</v>
      </c>
      <c r="I216" s="66">
        <v>1</v>
      </c>
      <c r="J216" s="129">
        <f t="shared" si="3"/>
        <v>16000</v>
      </c>
      <c r="K216" s="130">
        <v>1520</v>
      </c>
      <c r="L216" s="66">
        <v>10</v>
      </c>
      <c r="M216" s="131"/>
    </row>
    <row r="217" spans="2:13" s="132" customFormat="1" ht="60" x14ac:dyDescent="0.3">
      <c r="B217" s="127">
        <v>205</v>
      </c>
      <c r="C217" s="78" t="s">
        <v>1377</v>
      </c>
      <c r="D217" s="78" t="s">
        <v>555</v>
      </c>
      <c r="E217" s="54" t="s">
        <v>1378</v>
      </c>
      <c r="F217" s="128" t="s">
        <v>441</v>
      </c>
      <c r="G217" s="66">
        <v>2014</v>
      </c>
      <c r="H217" s="86">
        <v>16000</v>
      </c>
      <c r="I217" s="66">
        <v>1</v>
      </c>
      <c r="J217" s="129">
        <f t="shared" si="3"/>
        <v>16000</v>
      </c>
      <c r="K217" s="130">
        <v>1520</v>
      </c>
      <c r="L217" s="66">
        <v>10</v>
      </c>
      <c r="M217" s="131"/>
    </row>
    <row r="218" spans="2:13" s="132" customFormat="1" ht="60" x14ac:dyDescent="0.3">
      <c r="B218" s="127">
        <v>206</v>
      </c>
      <c r="C218" s="78" t="s">
        <v>1379</v>
      </c>
      <c r="D218" s="78" t="s">
        <v>555</v>
      </c>
      <c r="E218" s="54" t="s">
        <v>1380</v>
      </c>
      <c r="F218" s="128" t="s">
        <v>441</v>
      </c>
      <c r="G218" s="66">
        <v>2014</v>
      </c>
      <c r="H218" s="86">
        <v>16000</v>
      </c>
      <c r="I218" s="66">
        <v>1</v>
      </c>
      <c r="J218" s="129">
        <f t="shared" si="3"/>
        <v>16000</v>
      </c>
      <c r="K218" s="130">
        <v>1520</v>
      </c>
      <c r="L218" s="66">
        <v>10</v>
      </c>
      <c r="M218" s="131"/>
    </row>
    <row r="219" spans="2:13" s="132" customFormat="1" ht="49.5" x14ac:dyDescent="0.3">
      <c r="B219" s="127">
        <v>207</v>
      </c>
      <c r="C219" s="78" t="s">
        <v>1381</v>
      </c>
      <c r="D219" s="78" t="s">
        <v>649</v>
      </c>
      <c r="E219" s="54" t="s">
        <v>650</v>
      </c>
      <c r="F219" s="128" t="s">
        <v>441</v>
      </c>
      <c r="G219" s="66">
        <v>2014</v>
      </c>
      <c r="H219" s="86">
        <v>43494</v>
      </c>
      <c r="I219" s="66">
        <v>2</v>
      </c>
      <c r="J219" s="129">
        <f t="shared" si="3"/>
        <v>86988</v>
      </c>
      <c r="K219" s="130">
        <v>4131.9299999999994</v>
      </c>
      <c r="L219" s="66">
        <v>10</v>
      </c>
      <c r="M219" s="131"/>
    </row>
    <row r="220" spans="2:13" s="132" customFormat="1" ht="180" x14ac:dyDescent="0.3">
      <c r="B220" s="127">
        <v>208</v>
      </c>
      <c r="C220" s="69" t="s">
        <v>480</v>
      </c>
      <c r="D220" s="69" t="s">
        <v>481</v>
      </c>
      <c r="E220" s="56" t="s">
        <v>482</v>
      </c>
      <c r="F220" s="128" t="s">
        <v>441</v>
      </c>
      <c r="G220" s="66">
        <v>2015</v>
      </c>
      <c r="H220" s="87">
        <v>229000</v>
      </c>
      <c r="I220" s="68">
        <v>1</v>
      </c>
      <c r="J220" s="129">
        <f t="shared" si="3"/>
        <v>229000</v>
      </c>
      <c r="K220" s="130">
        <v>21755</v>
      </c>
      <c r="L220" s="66">
        <v>10</v>
      </c>
      <c r="M220" s="131"/>
    </row>
    <row r="221" spans="2:13" s="132" customFormat="1" ht="180" x14ac:dyDescent="0.3">
      <c r="B221" s="127">
        <v>209</v>
      </c>
      <c r="C221" s="78" t="s">
        <v>483</v>
      </c>
      <c r="D221" s="78" t="s">
        <v>484</v>
      </c>
      <c r="E221" s="54" t="s">
        <v>485</v>
      </c>
      <c r="F221" s="128" t="s">
        <v>441</v>
      </c>
      <c r="G221" s="66">
        <v>2015</v>
      </c>
      <c r="H221" s="86">
        <v>2150000</v>
      </c>
      <c r="I221" s="66">
        <v>2</v>
      </c>
      <c r="J221" s="129">
        <f t="shared" si="3"/>
        <v>4300000</v>
      </c>
      <c r="K221" s="130">
        <v>204250</v>
      </c>
      <c r="L221" s="66">
        <v>10</v>
      </c>
      <c r="M221" s="131"/>
    </row>
    <row r="222" spans="2:13" s="132" customFormat="1" ht="120" x14ac:dyDescent="0.3">
      <c r="B222" s="127">
        <v>210</v>
      </c>
      <c r="C222" s="78" t="s">
        <v>486</v>
      </c>
      <c r="D222" s="78" t="s">
        <v>487</v>
      </c>
      <c r="E222" s="54" t="s">
        <v>488</v>
      </c>
      <c r="F222" s="128" t="s">
        <v>441</v>
      </c>
      <c r="G222" s="66">
        <v>2015</v>
      </c>
      <c r="H222" s="86">
        <v>4450000</v>
      </c>
      <c r="I222" s="66">
        <v>1</v>
      </c>
      <c r="J222" s="129">
        <f t="shared" si="3"/>
        <v>4450000</v>
      </c>
      <c r="K222" s="130">
        <v>422750</v>
      </c>
      <c r="L222" s="66">
        <v>10</v>
      </c>
      <c r="M222" s="131"/>
    </row>
    <row r="223" spans="2:13" s="132" customFormat="1" ht="60" x14ac:dyDescent="0.3">
      <c r="B223" s="127">
        <v>211</v>
      </c>
      <c r="C223" s="78" t="s">
        <v>501</v>
      </c>
      <c r="D223" s="69" t="s">
        <v>502</v>
      </c>
      <c r="E223" s="56" t="s">
        <v>503</v>
      </c>
      <c r="F223" s="128" t="s">
        <v>440</v>
      </c>
      <c r="G223" s="64">
        <v>2015</v>
      </c>
      <c r="H223" s="86">
        <v>43494</v>
      </c>
      <c r="I223" s="68">
        <v>2</v>
      </c>
      <c r="J223" s="129">
        <f t="shared" si="3"/>
        <v>86988</v>
      </c>
      <c r="K223" s="130">
        <v>4131.9299999999994</v>
      </c>
      <c r="L223" s="64">
        <v>10</v>
      </c>
      <c r="M223" s="131"/>
    </row>
    <row r="224" spans="2:13" s="132" customFormat="1" ht="409.5" x14ac:dyDescent="0.3">
      <c r="B224" s="127">
        <v>212</v>
      </c>
      <c r="C224" s="78" t="s">
        <v>583</v>
      </c>
      <c r="D224" s="78" t="s">
        <v>584</v>
      </c>
      <c r="E224" s="54" t="s">
        <v>585</v>
      </c>
      <c r="F224" s="128" t="s">
        <v>450</v>
      </c>
      <c r="G224" s="66">
        <v>2015</v>
      </c>
      <c r="H224" s="86">
        <v>289500</v>
      </c>
      <c r="I224" s="66">
        <v>1</v>
      </c>
      <c r="J224" s="129">
        <f t="shared" si="3"/>
        <v>289500</v>
      </c>
      <c r="K224" s="130">
        <v>27502.5</v>
      </c>
      <c r="L224" s="66">
        <v>10</v>
      </c>
      <c r="M224" s="131"/>
    </row>
    <row r="225" spans="2:13" s="132" customFormat="1" ht="192" x14ac:dyDescent="0.3">
      <c r="B225" s="127">
        <v>213</v>
      </c>
      <c r="C225" s="78" t="s">
        <v>586</v>
      </c>
      <c r="D225" s="69" t="s">
        <v>587</v>
      </c>
      <c r="E225" s="56" t="s">
        <v>588</v>
      </c>
      <c r="F225" s="128" t="s">
        <v>450</v>
      </c>
      <c r="G225" s="64">
        <v>2015</v>
      </c>
      <c r="H225" s="86">
        <v>454700</v>
      </c>
      <c r="I225" s="66">
        <v>1</v>
      </c>
      <c r="J225" s="129">
        <f t="shared" si="3"/>
        <v>454700</v>
      </c>
      <c r="K225" s="130">
        <v>43196.5</v>
      </c>
      <c r="L225" s="66">
        <v>10</v>
      </c>
      <c r="M225" s="131"/>
    </row>
    <row r="226" spans="2:13" s="132" customFormat="1" ht="120" x14ac:dyDescent="0.3">
      <c r="B226" s="127">
        <v>214</v>
      </c>
      <c r="C226" s="78" t="s">
        <v>589</v>
      </c>
      <c r="D226" s="69" t="s">
        <v>590</v>
      </c>
      <c r="E226" s="56" t="s">
        <v>591</v>
      </c>
      <c r="F226" s="128" t="s">
        <v>450</v>
      </c>
      <c r="G226" s="64">
        <v>2015</v>
      </c>
      <c r="H226" s="86">
        <v>95000</v>
      </c>
      <c r="I226" s="66">
        <v>1</v>
      </c>
      <c r="J226" s="129">
        <f t="shared" si="3"/>
        <v>95000</v>
      </c>
      <c r="K226" s="130">
        <v>9025</v>
      </c>
      <c r="L226" s="66">
        <v>10</v>
      </c>
      <c r="M226" s="131"/>
    </row>
    <row r="227" spans="2:13" s="132" customFormat="1" ht="132" x14ac:dyDescent="0.3">
      <c r="B227" s="127">
        <v>215</v>
      </c>
      <c r="C227" s="78" t="s">
        <v>592</v>
      </c>
      <c r="D227" s="69" t="s">
        <v>593</v>
      </c>
      <c r="E227" s="56" t="s">
        <v>594</v>
      </c>
      <c r="F227" s="128" t="s">
        <v>450</v>
      </c>
      <c r="G227" s="64">
        <v>2015</v>
      </c>
      <c r="H227" s="86">
        <v>45000</v>
      </c>
      <c r="I227" s="66">
        <v>2</v>
      </c>
      <c r="J227" s="129">
        <f t="shared" si="3"/>
        <v>90000</v>
      </c>
      <c r="K227" s="130">
        <v>4275</v>
      </c>
      <c r="L227" s="66">
        <v>10</v>
      </c>
      <c r="M227" s="131"/>
    </row>
    <row r="228" spans="2:13" s="132" customFormat="1" ht="240" x14ac:dyDescent="0.3">
      <c r="B228" s="127">
        <v>216</v>
      </c>
      <c r="C228" s="78" t="s">
        <v>595</v>
      </c>
      <c r="D228" s="69" t="s">
        <v>596</v>
      </c>
      <c r="E228" s="56" t="s">
        <v>597</v>
      </c>
      <c r="F228" s="128" t="s">
        <v>450</v>
      </c>
      <c r="G228" s="64">
        <v>2015</v>
      </c>
      <c r="H228" s="86">
        <v>1400000</v>
      </c>
      <c r="I228" s="66">
        <v>1</v>
      </c>
      <c r="J228" s="129">
        <f t="shared" si="3"/>
        <v>1400000</v>
      </c>
      <c r="K228" s="130">
        <v>133000</v>
      </c>
      <c r="L228" s="66">
        <v>10</v>
      </c>
      <c r="M228" s="131"/>
    </row>
    <row r="229" spans="2:13" s="132" customFormat="1" ht="72" x14ac:dyDescent="0.3">
      <c r="B229" s="127">
        <v>217</v>
      </c>
      <c r="C229" s="78" t="s">
        <v>598</v>
      </c>
      <c r="D229" s="78" t="s">
        <v>599</v>
      </c>
      <c r="E229" s="54" t="s">
        <v>600</v>
      </c>
      <c r="F229" s="128" t="s">
        <v>450</v>
      </c>
      <c r="G229" s="66">
        <v>2015</v>
      </c>
      <c r="H229" s="86"/>
      <c r="I229" s="66">
        <v>2</v>
      </c>
      <c r="J229" s="129">
        <f t="shared" si="3"/>
        <v>0</v>
      </c>
      <c r="K229" s="130">
        <v>0</v>
      </c>
      <c r="L229" s="66">
        <v>10</v>
      </c>
      <c r="M229" s="131"/>
    </row>
    <row r="230" spans="2:13" s="132" customFormat="1" ht="33" x14ac:dyDescent="0.3">
      <c r="B230" s="127">
        <v>218</v>
      </c>
      <c r="C230" s="78" t="s">
        <v>601</v>
      </c>
      <c r="D230" s="78" t="s">
        <v>602</v>
      </c>
      <c r="E230" s="54" t="s">
        <v>603</v>
      </c>
      <c r="F230" s="128" t="s">
        <v>450</v>
      </c>
      <c r="G230" s="66">
        <v>2015</v>
      </c>
      <c r="H230" s="86"/>
      <c r="I230" s="66">
        <v>2</v>
      </c>
      <c r="J230" s="129">
        <f t="shared" si="3"/>
        <v>0</v>
      </c>
      <c r="K230" s="130">
        <v>0</v>
      </c>
      <c r="L230" s="66">
        <v>10</v>
      </c>
      <c r="M230" s="131"/>
    </row>
    <row r="231" spans="2:13" s="132" customFormat="1" ht="180" x14ac:dyDescent="0.3">
      <c r="B231" s="127">
        <v>219</v>
      </c>
      <c r="C231" s="78" t="s">
        <v>604</v>
      </c>
      <c r="D231" s="78" t="s">
        <v>605</v>
      </c>
      <c r="E231" s="54" t="s">
        <v>606</v>
      </c>
      <c r="F231" s="128" t="s">
        <v>450</v>
      </c>
      <c r="G231" s="66">
        <v>2015</v>
      </c>
      <c r="H231" s="86"/>
      <c r="I231" s="66">
        <v>2</v>
      </c>
      <c r="J231" s="129">
        <f t="shared" si="3"/>
        <v>0</v>
      </c>
      <c r="K231" s="130">
        <v>0</v>
      </c>
      <c r="L231" s="66">
        <v>10</v>
      </c>
      <c r="M231" s="131"/>
    </row>
    <row r="232" spans="2:13" s="132" customFormat="1" ht="36" x14ac:dyDescent="0.3">
      <c r="B232" s="127">
        <v>220</v>
      </c>
      <c r="C232" s="78" t="s">
        <v>607</v>
      </c>
      <c r="D232" s="78" t="s">
        <v>608</v>
      </c>
      <c r="E232" s="54" t="s">
        <v>609</v>
      </c>
      <c r="F232" s="128" t="s">
        <v>450</v>
      </c>
      <c r="G232" s="64">
        <v>2015</v>
      </c>
      <c r="H232" s="86"/>
      <c r="I232" s="66">
        <v>4</v>
      </c>
      <c r="J232" s="129">
        <f t="shared" si="3"/>
        <v>0</v>
      </c>
      <c r="K232" s="130">
        <v>0</v>
      </c>
      <c r="L232" s="66">
        <v>10</v>
      </c>
      <c r="M232" s="131"/>
    </row>
    <row r="233" spans="2:13" s="132" customFormat="1" ht="36" x14ac:dyDescent="0.3">
      <c r="B233" s="127">
        <v>221</v>
      </c>
      <c r="C233" s="78" t="s">
        <v>610</v>
      </c>
      <c r="D233" s="78" t="s">
        <v>611</v>
      </c>
      <c r="E233" s="54" t="s">
        <v>612</v>
      </c>
      <c r="F233" s="128" t="s">
        <v>450</v>
      </c>
      <c r="G233" s="64">
        <v>2015</v>
      </c>
      <c r="H233" s="86">
        <v>44000</v>
      </c>
      <c r="I233" s="66">
        <v>1</v>
      </c>
      <c r="J233" s="129">
        <f t="shared" si="3"/>
        <v>44000</v>
      </c>
      <c r="K233" s="130">
        <v>4180</v>
      </c>
      <c r="L233" s="66">
        <v>10</v>
      </c>
      <c r="M233" s="131"/>
    </row>
    <row r="234" spans="2:13" s="132" customFormat="1" ht="36" x14ac:dyDescent="0.3">
      <c r="B234" s="127">
        <v>222</v>
      </c>
      <c r="C234" s="78" t="s">
        <v>613</v>
      </c>
      <c r="D234" s="78" t="s">
        <v>614</v>
      </c>
      <c r="E234" s="54" t="s">
        <v>615</v>
      </c>
      <c r="F234" s="128" t="s">
        <v>450</v>
      </c>
      <c r="G234" s="64">
        <v>2015</v>
      </c>
      <c r="H234" s="86">
        <v>47250</v>
      </c>
      <c r="I234" s="66">
        <v>1</v>
      </c>
      <c r="J234" s="129">
        <f t="shared" si="3"/>
        <v>47250</v>
      </c>
      <c r="K234" s="130">
        <v>4488.75</v>
      </c>
      <c r="L234" s="66">
        <v>10</v>
      </c>
      <c r="M234" s="131"/>
    </row>
    <row r="235" spans="2:13" s="132" customFormat="1" ht="96" x14ac:dyDescent="0.3">
      <c r="B235" s="127">
        <v>223</v>
      </c>
      <c r="C235" s="78" t="s">
        <v>654</v>
      </c>
      <c r="D235" s="78" t="s">
        <v>540</v>
      </c>
      <c r="E235" s="54" t="s">
        <v>655</v>
      </c>
      <c r="F235" s="128" t="s">
        <v>440</v>
      </c>
      <c r="G235" s="66">
        <v>2015</v>
      </c>
      <c r="H235" s="86">
        <v>16000</v>
      </c>
      <c r="I235" s="66">
        <v>1</v>
      </c>
      <c r="J235" s="129">
        <f t="shared" si="3"/>
        <v>16000</v>
      </c>
      <c r="K235" s="130">
        <v>1520</v>
      </c>
      <c r="L235" s="66">
        <v>10</v>
      </c>
      <c r="M235" s="131"/>
    </row>
    <row r="236" spans="2:13" s="132" customFormat="1" ht="48" x14ac:dyDescent="0.3">
      <c r="B236" s="127">
        <v>224</v>
      </c>
      <c r="C236" s="78" t="s">
        <v>735</v>
      </c>
      <c r="D236" s="78" t="s">
        <v>736</v>
      </c>
      <c r="E236" s="54" t="s">
        <v>737</v>
      </c>
      <c r="F236" s="128" t="s">
        <v>453</v>
      </c>
      <c r="G236" s="66">
        <v>2015</v>
      </c>
      <c r="H236" s="86">
        <v>1000000</v>
      </c>
      <c r="I236" s="66">
        <v>1</v>
      </c>
      <c r="J236" s="129">
        <f t="shared" si="3"/>
        <v>1000000</v>
      </c>
      <c r="K236" s="130">
        <v>95000</v>
      </c>
      <c r="L236" s="66">
        <v>10</v>
      </c>
      <c r="M236" s="131"/>
    </row>
    <row r="237" spans="2:13" s="132" customFormat="1" ht="108" x14ac:dyDescent="0.3">
      <c r="B237" s="127">
        <v>225</v>
      </c>
      <c r="C237" s="78" t="s">
        <v>738</v>
      </c>
      <c r="D237" s="78" t="s">
        <v>706</v>
      </c>
      <c r="E237" s="54" t="s">
        <v>739</v>
      </c>
      <c r="F237" s="128" t="s">
        <v>453</v>
      </c>
      <c r="G237" s="66">
        <v>2015</v>
      </c>
      <c r="H237" s="86">
        <v>15000</v>
      </c>
      <c r="I237" s="66">
        <v>1</v>
      </c>
      <c r="J237" s="129">
        <f t="shared" si="3"/>
        <v>15000</v>
      </c>
      <c r="K237" s="130">
        <v>1425</v>
      </c>
      <c r="L237" s="66">
        <v>10</v>
      </c>
      <c r="M237" s="131"/>
    </row>
    <row r="238" spans="2:13" s="132" customFormat="1" ht="84" x14ac:dyDescent="0.3">
      <c r="B238" s="127">
        <v>226</v>
      </c>
      <c r="C238" s="78" t="s">
        <v>740</v>
      </c>
      <c r="D238" s="69" t="s">
        <v>741</v>
      </c>
      <c r="E238" s="56" t="s">
        <v>742</v>
      </c>
      <c r="F238" s="128" t="s">
        <v>453</v>
      </c>
      <c r="G238" s="66">
        <v>2015</v>
      </c>
      <c r="H238" s="86">
        <v>1304000</v>
      </c>
      <c r="I238" s="66">
        <v>1</v>
      </c>
      <c r="J238" s="129">
        <f t="shared" si="3"/>
        <v>1304000</v>
      </c>
      <c r="K238" s="130">
        <v>123880</v>
      </c>
      <c r="L238" s="66">
        <v>10</v>
      </c>
      <c r="M238" s="131"/>
    </row>
    <row r="239" spans="2:13" s="132" customFormat="1" ht="48" x14ac:dyDescent="0.3">
      <c r="B239" s="127">
        <v>227</v>
      </c>
      <c r="C239" s="78" t="s">
        <v>844</v>
      </c>
      <c r="D239" s="69" t="s">
        <v>845</v>
      </c>
      <c r="E239" s="56" t="s">
        <v>846</v>
      </c>
      <c r="F239" s="128" t="s">
        <v>455</v>
      </c>
      <c r="G239" s="66">
        <v>2015</v>
      </c>
      <c r="H239" s="86">
        <v>105188</v>
      </c>
      <c r="I239" s="66">
        <v>5</v>
      </c>
      <c r="J239" s="129">
        <f t="shared" si="3"/>
        <v>525940</v>
      </c>
      <c r="K239" s="130">
        <v>9992.8599999999988</v>
      </c>
      <c r="L239" s="66">
        <v>10</v>
      </c>
      <c r="M239" s="131"/>
    </row>
    <row r="240" spans="2:13" s="132" customFormat="1" ht="36" x14ac:dyDescent="0.3">
      <c r="B240" s="127">
        <v>228</v>
      </c>
      <c r="C240" s="78" t="s">
        <v>847</v>
      </c>
      <c r="D240" s="69" t="s">
        <v>830</v>
      </c>
      <c r="E240" s="56" t="s">
        <v>848</v>
      </c>
      <c r="F240" s="128" t="s">
        <v>455</v>
      </c>
      <c r="G240" s="66">
        <v>2015</v>
      </c>
      <c r="H240" s="86">
        <v>72110</v>
      </c>
      <c r="I240" s="66">
        <v>5</v>
      </c>
      <c r="J240" s="129">
        <f t="shared" si="3"/>
        <v>360550</v>
      </c>
      <c r="K240" s="130">
        <v>6850.45</v>
      </c>
      <c r="L240" s="66">
        <v>10</v>
      </c>
      <c r="M240" s="131"/>
    </row>
    <row r="241" spans="2:13" s="132" customFormat="1" ht="60" x14ac:dyDescent="0.3">
      <c r="B241" s="127">
        <v>229</v>
      </c>
      <c r="C241" s="78" t="s">
        <v>849</v>
      </c>
      <c r="D241" s="78" t="s">
        <v>850</v>
      </c>
      <c r="E241" s="54" t="s">
        <v>851</v>
      </c>
      <c r="F241" s="128" t="s">
        <v>455</v>
      </c>
      <c r="G241" s="66">
        <v>2015</v>
      </c>
      <c r="H241" s="86">
        <v>42150</v>
      </c>
      <c r="I241" s="66">
        <v>2</v>
      </c>
      <c r="J241" s="129">
        <f t="shared" si="3"/>
        <v>84300</v>
      </c>
      <c r="K241" s="130">
        <v>4004.25</v>
      </c>
      <c r="L241" s="66">
        <v>10</v>
      </c>
      <c r="M241" s="131"/>
    </row>
    <row r="242" spans="2:13" s="132" customFormat="1" ht="33" x14ac:dyDescent="0.3">
      <c r="B242" s="127">
        <v>230</v>
      </c>
      <c r="C242" s="79" t="s">
        <v>852</v>
      </c>
      <c r="D242" s="69" t="s">
        <v>853</v>
      </c>
      <c r="E242" s="56" t="s">
        <v>854</v>
      </c>
      <c r="F242" s="128" t="s">
        <v>455</v>
      </c>
      <c r="G242" s="66">
        <v>2015</v>
      </c>
      <c r="H242" s="86">
        <v>19779</v>
      </c>
      <c r="I242" s="66">
        <v>4</v>
      </c>
      <c r="J242" s="129">
        <f t="shared" si="3"/>
        <v>79116</v>
      </c>
      <c r="K242" s="130">
        <v>1879.0049999999999</v>
      </c>
      <c r="L242" s="66">
        <v>10</v>
      </c>
      <c r="M242" s="131"/>
    </row>
    <row r="243" spans="2:13" s="132" customFormat="1" ht="96" x14ac:dyDescent="0.3">
      <c r="B243" s="127">
        <v>231</v>
      </c>
      <c r="C243" s="78" t="s">
        <v>855</v>
      </c>
      <c r="D243" s="78" t="s">
        <v>540</v>
      </c>
      <c r="E243" s="54" t="s">
        <v>856</v>
      </c>
      <c r="F243" s="128" t="s">
        <v>455</v>
      </c>
      <c r="G243" s="66">
        <v>2015</v>
      </c>
      <c r="H243" s="86">
        <v>16000</v>
      </c>
      <c r="I243" s="66">
        <v>1</v>
      </c>
      <c r="J243" s="129">
        <f t="shared" si="3"/>
        <v>16000</v>
      </c>
      <c r="K243" s="130">
        <v>1520</v>
      </c>
      <c r="L243" s="66">
        <v>10</v>
      </c>
      <c r="M243" s="131"/>
    </row>
    <row r="244" spans="2:13" s="132" customFormat="1" ht="132" x14ac:dyDescent="0.3">
      <c r="B244" s="127">
        <v>232</v>
      </c>
      <c r="C244" s="79" t="s">
        <v>857</v>
      </c>
      <c r="D244" s="69" t="s">
        <v>584</v>
      </c>
      <c r="E244" s="56" t="s">
        <v>858</v>
      </c>
      <c r="F244" s="128" t="s">
        <v>455</v>
      </c>
      <c r="G244" s="66">
        <v>2015</v>
      </c>
      <c r="H244" s="86">
        <v>289500</v>
      </c>
      <c r="I244" s="66">
        <v>1</v>
      </c>
      <c r="J244" s="129">
        <f t="shared" si="3"/>
        <v>289500</v>
      </c>
      <c r="K244" s="130">
        <v>27502.5</v>
      </c>
      <c r="L244" s="66">
        <v>10</v>
      </c>
      <c r="M244" s="131"/>
    </row>
    <row r="245" spans="2:13" s="132" customFormat="1" ht="156" x14ac:dyDescent="0.3">
      <c r="B245" s="127">
        <v>233</v>
      </c>
      <c r="C245" s="78" t="s">
        <v>920</v>
      </c>
      <c r="D245" s="78" t="s">
        <v>921</v>
      </c>
      <c r="E245" s="54" t="s">
        <v>922</v>
      </c>
      <c r="F245" s="128" t="s">
        <v>457</v>
      </c>
      <c r="G245" s="66">
        <v>2015</v>
      </c>
      <c r="H245" s="86">
        <v>294000</v>
      </c>
      <c r="I245" s="66">
        <v>1</v>
      </c>
      <c r="J245" s="129">
        <f t="shared" si="3"/>
        <v>294000</v>
      </c>
      <c r="K245" s="130">
        <v>27930</v>
      </c>
      <c r="L245" s="66">
        <v>10</v>
      </c>
      <c r="M245" s="131"/>
    </row>
    <row r="246" spans="2:13" s="132" customFormat="1" ht="96" x14ac:dyDescent="0.3">
      <c r="B246" s="127">
        <v>234</v>
      </c>
      <c r="C246" s="78" t="s">
        <v>923</v>
      </c>
      <c r="D246" s="78" t="s">
        <v>614</v>
      </c>
      <c r="E246" s="54" t="s">
        <v>924</v>
      </c>
      <c r="F246" s="128" t="s">
        <v>457</v>
      </c>
      <c r="G246" s="64">
        <v>2015</v>
      </c>
      <c r="H246" s="86">
        <v>47250</v>
      </c>
      <c r="I246" s="66">
        <v>1</v>
      </c>
      <c r="J246" s="129">
        <f t="shared" si="3"/>
        <v>47250</v>
      </c>
      <c r="K246" s="130">
        <v>4488.75</v>
      </c>
      <c r="L246" s="66">
        <v>10</v>
      </c>
      <c r="M246" s="131"/>
    </row>
    <row r="247" spans="2:13" s="132" customFormat="1" ht="156" x14ac:dyDescent="0.3">
      <c r="B247" s="127">
        <v>235</v>
      </c>
      <c r="C247" s="78" t="s">
        <v>925</v>
      </c>
      <c r="D247" s="78" t="s">
        <v>799</v>
      </c>
      <c r="E247" s="54" t="s">
        <v>926</v>
      </c>
      <c r="F247" s="128" t="s">
        <v>457</v>
      </c>
      <c r="G247" s="64">
        <v>2015</v>
      </c>
      <c r="H247" s="86">
        <v>43000</v>
      </c>
      <c r="I247" s="66">
        <v>2</v>
      </c>
      <c r="J247" s="129">
        <f t="shared" si="3"/>
        <v>86000</v>
      </c>
      <c r="K247" s="130">
        <v>4085</v>
      </c>
      <c r="L247" s="66">
        <v>10</v>
      </c>
      <c r="M247" s="131"/>
    </row>
    <row r="248" spans="2:13" s="132" customFormat="1" ht="84" x14ac:dyDescent="0.3">
      <c r="B248" s="127">
        <v>236</v>
      </c>
      <c r="C248" s="78" t="s">
        <v>927</v>
      </c>
      <c r="D248" s="69" t="s">
        <v>928</v>
      </c>
      <c r="E248" s="56" t="s">
        <v>929</v>
      </c>
      <c r="F248" s="128" t="s">
        <v>457</v>
      </c>
      <c r="G248" s="64">
        <v>2015</v>
      </c>
      <c r="H248" s="86">
        <v>32000</v>
      </c>
      <c r="I248" s="66">
        <v>2</v>
      </c>
      <c r="J248" s="129">
        <f t="shared" si="3"/>
        <v>64000</v>
      </c>
      <c r="K248" s="130">
        <v>3040</v>
      </c>
      <c r="L248" s="66">
        <v>10</v>
      </c>
      <c r="M248" s="131"/>
    </row>
    <row r="249" spans="2:13" s="132" customFormat="1" ht="132" x14ac:dyDescent="0.3">
      <c r="B249" s="127">
        <v>237</v>
      </c>
      <c r="C249" s="78" t="s">
        <v>930</v>
      </c>
      <c r="D249" s="78" t="s">
        <v>931</v>
      </c>
      <c r="E249" s="54" t="s">
        <v>932</v>
      </c>
      <c r="F249" s="128" t="s">
        <v>457</v>
      </c>
      <c r="G249" s="64">
        <v>2015</v>
      </c>
      <c r="H249" s="86">
        <v>1450000</v>
      </c>
      <c r="I249" s="66">
        <v>1</v>
      </c>
      <c r="J249" s="129">
        <f t="shared" si="3"/>
        <v>1450000</v>
      </c>
      <c r="K249" s="130">
        <v>137750</v>
      </c>
      <c r="L249" s="66">
        <v>10</v>
      </c>
      <c r="M249" s="131"/>
    </row>
    <row r="250" spans="2:13" s="132" customFormat="1" ht="36" x14ac:dyDescent="0.3">
      <c r="B250" s="127">
        <v>238</v>
      </c>
      <c r="C250" s="78" t="s">
        <v>933</v>
      </c>
      <c r="D250" s="78" t="s">
        <v>934</v>
      </c>
      <c r="E250" s="54" t="s">
        <v>935</v>
      </c>
      <c r="F250" s="128" t="s">
        <v>457</v>
      </c>
      <c r="G250" s="64">
        <v>2015</v>
      </c>
      <c r="H250" s="86">
        <v>45000</v>
      </c>
      <c r="I250" s="66">
        <v>2</v>
      </c>
      <c r="J250" s="129">
        <f t="shared" si="3"/>
        <v>90000</v>
      </c>
      <c r="K250" s="130">
        <v>4275</v>
      </c>
      <c r="L250" s="66">
        <v>10</v>
      </c>
      <c r="M250" s="131"/>
    </row>
    <row r="251" spans="2:13" s="132" customFormat="1" ht="144" x14ac:dyDescent="0.3">
      <c r="B251" s="127">
        <v>239</v>
      </c>
      <c r="C251" s="78" t="s">
        <v>936</v>
      </c>
      <c r="D251" s="69" t="s">
        <v>590</v>
      </c>
      <c r="E251" s="56" t="s">
        <v>937</v>
      </c>
      <c r="F251" s="128" t="s">
        <v>457</v>
      </c>
      <c r="G251" s="64">
        <v>2015</v>
      </c>
      <c r="H251" s="86">
        <v>95000</v>
      </c>
      <c r="I251" s="66">
        <v>2</v>
      </c>
      <c r="J251" s="129">
        <f t="shared" si="3"/>
        <v>190000</v>
      </c>
      <c r="K251" s="130">
        <v>9025</v>
      </c>
      <c r="L251" s="66">
        <v>10</v>
      </c>
      <c r="M251" s="131"/>
    </row>
    <row r="252" spans="2:13" s="132" customFormat="1" ht="36" x14ac:dyDescent="0.3">
      <c r="B252" s="127">
        <v>240</v>
      </c>
      <c r="C252" s="78" t="s">
        <v>938</v>
      </c>
      <c r="D252" s="69" t="s">
        <v>939</v>
      </c>
      <c r="E252" s="56" t="s">
        <v>940</v>
      </c>
      <c r="F252" s="128" t="s">
        <v>457</v>
      </c>
      <c r="G252" s="64">
        <v>2015</v>
      </c>
      <c r="H252" s="86">
        <v>33538.5</v>
      </c>
      <c r="I252" s="66">
        <v>2</v>
      </c>
      <c r="J252" s="129">
        <f t="shared" si="3"/>
        <v>67077</v>
      </c>
      <c r="K252" s="130">
        <v>3186.1574999999998</v>
      </c>
      <c r="L252" s="66">
        <v>10</v>
      </c>
      <c r="M252" s="131"/>
    </row>
    <row r="253" spans="2:13" s="132" customFormat="1" ht="192" x14ac:dyDescent="0.3">
      <c r="B253" s="127">
        <v>241</v>
      </c>
      <c r="C253" s="78" t="s">
        <v>997</v>
      </c>
      <c r="D253" s="69" t="s">
        <v>587</v>
      </c>
      <c r="E253" s="56" t="s">
        <v>588</v>
      </c>
      <c r="F253" s="128" t="s">
        <v>458</v>
      </c>
      <c r="G253" s="64">
        <v>2015</v>
      </c>
      <c r="H253" s="86">
        <v>454700</v>
      </c>
      <c r="I253" s="66">
        <v>1</v>
      </c>
      <c r="J253" s="129">
        <f t="shared" si="3"/>
        <v>454700</v>
      </c>
      <c r="K253" s="130">
        <v>43196.5</v>
      </c>
      <c r="L253" s="66">
        <v>10</v>
      </c>
      <c r="M253" s="131"/>
    </row>
    <row r="254" spans="2:13" s="132" customFormat="1" ht="204" x14ac:dyDescent="0.3">
      <c r="B254" s="127">
        <v>242</v>
      </c>
      <c r="C254" s="78" t="s">
        <v>998</v>
      </c>
      <c r="D254" s="78" t="s">
        <v>999</v>
      </c>
      <c r="E254" s="54" t="s">
        <v>1000</v>
      </c>
      <c r="F254" s="128" t="s">
        <v>458</v>
      </c>
      <c r="G254" s="64">
        <v>2015</v>
      </c>
      <c r="H254" s="86">
        <v>205000</v>
      </c>
      <c r="I254" s="66">
        <v>1</v>
      </c>
      <c r="J254" s="129">
        <f t="shared" si="3"/>
        <v>205000</v>
      </c>
      <c r="K254" s="130">
        <v>19475</v>
      </c>
      <c r="L254" s="66">
        <v>10</v>
      </c>
      <c r="M254" s="131"/>
    </row>
    <row r="255" spans="2:13" s="132" customFormat="1" ht="84" x14ac:dyDescent="0.3">
      <c r="B255" s="127">
        <v>243</v>
      </c>
      <c r="C255" s="78" t="s">
        <v>1001</v>
      </c>
      <c r="D255" s="78" t="s">
        <v>1002</v>
      </c>
      <c r="E255" s="54" t="s">
        <v>1003</v>
      </c>
      <c r="F255" s="128" t="s">
        <v>458</v>
      </c>
      <c r="G255" s="64">
        <v>2015</v>
      </c>
      <c r="H255" s="86">
        <v>66000</v>
      </c>
      <c r="I255" s="66">
        <v>1</v>
      </c>
      <c r="J255" s="129">
        <f t="shared" si="3"/>
        <v>66000</v>
      </c>
      <c r="K255" s="130">
        <v>6270</v>
      </c>
      <c r="L255" s="66">
        <v>10</v>
      </c>
      <c r="M255" s="131"/>
    </row>
    <row r="256" spans="2:13" s="132" customFormat="1" ht="84" x14ac:dyDescent="0.3">
      <c r="B256" s="127">
        <v>244</v>
      </c>
      <c r="C256" s="78" t="s">
        <v>1078</v>
      </c>
      <c r="D256" s="78" t="s">
        <v>1079</v>
      </c>
      <c r="E256" s="54" t="s">
        <v>1080</v>
      </c>
      <c r="F256" s="128" t="s">
        <v>440</v>
      </c>
      <c r="G256" s="66">
        <v>2015</v>
      </c>
      <c r="H256" s="86">
        <v>250000</v>
      </c>
      <c r="I256" s="66">
        <v>1</v>
      </c>
      <c r="J256" s="129">
        <f t="shared" si="3"/>
        <v>250000</v>
      </c>
      <c r="K256" s="130">
        <v>23750</v>
      </c>
      <c r="L256" s="66">
        <v>10</v>
      </c>
      <c r="M256" s="131"/>
    </row>
    <row r="257" spans="2:13" s="132" customFormat="1" ht="409.5" x14ac:dyDescent="0.3">
      <c r="B257" s="127">
        <v>245</v>
      </c>
      <c r="C257" s="78" t="s">
        <v>1081</v>
      </c>
      <c r="D257" s="78" t="s">
        <v>1082</v>
      </c>
      <c r="E257" s="54" t="s">
        <v>1083</v>
      </c>
      <c r="F257" s="128" t="s">
        <v>440</v>
      </c>
      <c r="G257" s="66">
        <v>2015</v>
      </c>
      <c r="H257" s="86">
        <v>4300000</v>
      </c>
      <c r="I257" s="66">
        <v>1</v>
      </c>
      <c r="J257" s="129">
        <f t="shared" si="3"/>
        <v>4300000</v>
      </c>
      <c r="K257" s="130">
        <v>408500</v>
      </c>
      <c r="L257" s="66">
        <v>10</v>
      </c>
      <c r="M257" s="131"/>
    </row>
    <row r="258" spans="2:13" s="132" customFormat="1" ht="409.5" x14ac:dyDescent="0.3">
      <c r="B258" s="127">
        <v>246</v>
      </c>
      <c r="C258" s="78" t="s">
        <v>1084</v>
      </c>
      <c r="D258" s="78" t="s">
        <v>1085</v>
      </c>
      <c r="E258" s="54" t="s">
        <v>1086</v>
      </c>
      <c r="F258" s="128" t="s">
        <v>440</v>
      </c>
      <c r="G258" s="66">
        <v>2015</v>
      </c>
      <c r="H258" s="86">
        <v>5900000</v>
      </c>
      <c r="I258" s="66">
        <v>1</v>
      </c>
      <c r="J258" s="129">
        <f t="shared" si="3"/>
        <v>5900000</v>
      </c>
      <c r="K258" s="130">
        <v>560500</v>
      </c>
      <c r="L258" s="66">
        <v>10</v>
      </c>
      <c r="M258" s="131"/>
    </row>
    <row r="259" spans="2:13" s="132" customFormat="1" ht="49.5" x14ac:dyDescent="0.3">
      <c r="B259" s="127">
        <v>247</v>
      </c>
      <c r="C259" s="78" t="s">
        <v>1209</v>
      </c>
      <c r="D259" s="78" t="s">
        <v>1210</v>
      </c>
      <c r="E259" s="54" t="s">
        <v>1211</v>
      </c>
      <c r="F259" s="128" t="s">
        <v>441</v>
      </c>
      <c r="G259" s="64">
        <v>2015</v>
      </c>
      <c r="H259" s="86">
        <v>205000</v>
      </c>
      <c r="I259" s="66">
        <v>1</v>
      </c>
      <c r="J259" s="129">
        <f t="shared" si="3"/>
        <v>205000</v>
      </c>
      <c r="K259" s="130">
        <v>19475</v>
      </c>
      <c r="L259" s="66">
        <v>10</v>
      </c>
      <c r="M259" s="131"/>
    </row>
    <row r="260" spans="2:13" s="132" customFormat="1" ht="204" x14ac:dyDescent="0.3">
      <c r="B260" s="127">
        <v>248</v>
      </c>
      <c r="C260" s="78" t="s">
        <v>1212</v>
      </c>
      <c r="D260" s="78" t="s">
        <v>999</v>
      </c>
      <c r="E260" s="54" t="s">
        <v>1000</v>
      </c>
      <c r="F260" s="128" t="s">
        <v>441</v>
      </c>
      <c r="G260" s="64">
        <v>2015</v>
      </c>
      <c r="H260" s="86">
        <v>205000</v>
      </c>
      <c r="I260" s="66">
        <v>1</v>
      </c>
      <c r="J260" s="129">
        <f t="shared" si="3"/>
        <v>205000</v>
      </c>
      <c r="K260" s="130">
        <v>19475</v>
      </c>
      <c r="L260" s="66">
        <v>10</v>
      </c>
      <c r="M260" s="131"/>
    </row>
    <row r="261" spans="2:13" s="132" customFormat="1" ht="96" x14ac:dyDescent="0.3">
      <c r="B261" s="127">
        <v>249</v>
      </c>
      <c r="C261" s="78" t="s">
        <v>1213</v>
      </c>
      <c r="D261" s="78" t="s">
        <v>614</v>
      </c>
      <c r="E261" s="54" t="s">
        <v>924</v>
      </c>
      <c r="F261" s="128" t="s">
        <v>441</v>
      </c>
      <c r="G261" s="66">
        <v>2015</v>
      </c>
      <c r="H261" s="86">
        <v>47250</v>
      </c>
      <c r="I261" s="66">
        <v>1</v>
      </c>
      <c r="J261" s="129">
        <f t="shared" si="3"/>
        <v>47250</v>
      </c>
      <c r="K261" s="130">
        <v>4488.75</v>
      </c>
      <c r="L261" s="66">
        <v>10</v>
      </c>
      <c r="M261" s="131"/>
    </row>
    <row r="262" spans="2:13" s="132" customFormat="1" ht="144" x14ac:dyDescent="0.3">
      <c r="B262" s="127">
        <v>250</v>
      </c>
      <c r="C262" s="78" t="s">
        <v>1214</v>
      </c>
      <c r="D262" s="78" t="s">
        <v>1215</v>
      </c>
      <c r="E262" s="54" t="s">
        <v>1216</v>
      </c>
      <c r="F262" s="128" t="s">
        <v>441</v>
      </c>
      <c r="G262" s="66">
        <v>2015</v>
      </c>
      <c r="H262" s="86">
        <v>2460000</v>
      </c>
      <c r="I262" s="66">
        <v>1</v>
      </c>
      <c r="J262" s="129">
        <f t="shared" si="3"/>
        <v>2460000</v>
      </c>
      <c r="K262" s="130">
        <v>233700</v>
      </c>
      <c r="L262" s="66">
        <v>10</v>
      </c>
      <c r="M262" s="131"/>
    </row>
    <row r="263" spans="2:13" s="132" customFormat="1" ht="144" x14ac:dyDescent="0.3">
      <c r="B263" s="127">
        <v>251</v>
      </c>
      <c r="C263" s="78" t="s">
        <v>1217</v>
      </c>
      <c r="D263" s="78" t="s">
        <v>934</v>
      </c>
      <c r="E263" s="54" t="s">
        <v>1218</v>
      </c>
      <c r="F263" s="128" t="s">
        <v>441</v>
      </c>
      <c r="G263" s="66">
        <v>2015</v>
      </c>
      <c r="H263" s="86">
        <v>45000</v>
      </c>
      <c r="I263" s="66">
        <v>4</v>
      </c>
      <c r="J263" s="129">
        <f t="shared" si="3"/>
        <v>180000</v>
      </c>
      <c r="K263" s="130">
        <v>4275</v>
      </c>
      <c r="L263" s="66">
        <v>10</v>
      </c>
      <c r="M263" s="131"/>
    </row>
    <row r="264" spans="2:13" s="132" customFormat="1" ht="288" x14ac:dyDescent="0.3">
      <c r="B264" s="127">
        <v>252</v>
      </c>
      <c r="C264" s="78" t="s">
        <v>1219</v>
      </c>
      <c r="D264" s="78" t="s">
        <v>1220</v>
      </c>
      <c r="E264" s="54" t="s">
        <v>1221</v>
      </c>
      <c r="F264" s="128" t="s">
        <v>441</v>
      </c>
      <c r="G264" s="66">
        <v>2015</v>
      </c>
      <c r="H264" s="86">
        <v>3298998</v>
      </c>
      <c r="I264" s="66">
        <v>1</v>
      </c>
      <c r="J264" s="129">
        <f t="shared" si="3"/>
        <v>3298998</v>
      </c>
      <c r="K264" s="130">
        <v>313404.80999999994</v>
      </c>
      <c r="L264" s="66">
        <v>10</v>
      </c>
      <c r="M264" s="131"/>
    </row>
    <row r="265" spans="2:13" s="132" customFormat="1" ht="72" x14ac:dyDescent="0.3">
      <c r="B265" s="127">
        <v>253</v>
      </c>
      <c r="C265" s="78" t="s">
        <v>1255</v>
      </c>
      <c r="D265" s="78" t="s">
        <v>1256</v>
      </c>
      <c r="E265" s="54" t="s">
        <v>1257</v>
      </c>
      <c r="F265" s="128" t="s">
        <v>459</v>
      </c>
      <c r="G265" s="66">
        <v>2015</v>
      </c>
      <c r="H265" s="86">
        <v>98000</v>
      </c>
      <c r="I265" s="66">
        <v>1</v>
      </c>
      <c r="J265" s="129">
        <f t="shared" si="3"/>
        <v>98000</v>
      </c>
      <c r="K265" s="130">
        <v>9310</v>
      </c>
      <c r="L265" s="66">
        <v>10</v>
      </c>
      <c r="M265" s="131"/>
    </row>
    <row r="266" spans="2:13" s="132" customFormat="1" ht="132" x14ac:dyDescent="0.3">
      <c r="B266" s="127">
        <v>254</v>
      </c>
      <c r="C266" s="78" t="s">
        <v>1258</v>
      </c>
      <c r="D266" s="78" t="s">
        <v>1259</v>
      </c>
      <c r="E266" s="54" t="s">
        <v>1260</v>
      </c>
      <c r="F266" s="128" t="s">
        <v>459</v>
      </c>
      <c r="G266" s="66">
        <v>2015</v>
      </c>
      <c r="H266" s="86">
        <v>343000</v>
      </c>
      <c r="I266" s="66">
        <v>1</v>
      </c>
      <c r="J266" s="129">
        <f t="shared" si="3"/>
        <v>343000</v>
      </c>
      <c r="K266" s="130">
        <v>32585</v>
      </c>
      <c r="L266" s="66">
        <v>10</v>
      </c>
      <c r="M266" s="131"/>
    </row>
    <row r="267" spans="2:13" s="132" customFormat="1" ht="168" x14ac:dyDescent="0.3">
      <c r="B267" s="127">
        <v>255</v>
      </c>
      <c r="C267" s="78" t="s">
        <v>1261</v>
      </c>
      <c r="D267" s="78" t="s">
        <v>799</v>
      </c>
      <c r="E267" s="54" t="s">
        <v>1262</v>
      </c>
      <c r="F267" s="128" t="s">
        <v>459</v>
      </c>
      <c r="G267" s="66">
        <v>2015</v>
      </c>
      <c r="H267" s="86">
        <v>43000</v>
      </c>
      <c r="I267" s="66">
        <v>2</v>
      </c>
      <c r="J267" s="129">
        <f t="shared" si="3"/>
        <v>86000</v>
      </c>
      <c r="K267" s="130">
        <v>4085</v>
      </c>
      <c r="L267" s="66">
        <v>10</v>
      </c>
      <c r="M267" s="131"/>
    </row>
    <row r="268" spans="2:13" s="132" customFormat="1" ht="60" x14ac:dyDescent="0.3">
      <c r="B268" s="127">
        <v>256</v>
      </c>
      <c r="C268" s="78" t="s">
        <v>1263</v>
      </c>
      <c r="D268" s="78" t="s">
        <v>475</v>
      </c>
      <c r="E268" s="54" t="s">
        <v>1264</v>
      </c>
      <c r="F268" s="128" t="s">
        <v>459</v>
      </c>
      <c r="G268" s="66">
        <v>2015</v>
      </c>
      <c r="H268" s="86">
        <v>47000</v>
      </c>
      <c r="I268" s="66">
        <v>2</v>
      </c>
      <c r="J268" s="129">
        <f t="shared" si="3"/>
        <v>94000</v>
      </c>
      <c r="K268" s="130">
        <v>4465</v>
      </c>
      <c r="L268" s="66">
        <v>10</v>
      </c>
      <c r="M268" s="131"/>
    </row>
    <row r="269" spans="2:13" s="132" customFormat="1" ht="48" x14ac:dyDescent="0.3">
      <c r="B269" s="127">
        <v>257</v>
      </c>
      <c r="C269" s="78" t="s">
        <v>1265</v>
      </c>
      <c r="D269" s="78" t="s">
        <v>1266</v>
      </c>
      <c r="E269" s="54" t="s">
        <v>1267</v>
      </c>
      <c r="F269" s="128" t="s">
        <v>459</v>
      </c>
      <c r="G269" s="64">
        <v>2015</v>
      </c>
      <c r="H269" s="86">
        <v>32000</v>
      </c>
      <c r="I269" s="66">
        <v>2</v>
      </c>
      <c r="J269" s="129">
        <f t="shared" ref="J269:J332" si="4">I269*H269</f>
        <v>64000</v>
      </c>
      <c r="K269" s="130">
        <v>3040</v>
      </c>
      <c r="L269" s="66">
        <v>10</v>
      </c>
      <c r="M269" s="131"/>
    </row>
    <row r="270" spans="2:13" s="132" customFormat="1" ht="36" x14ac:dyDescent="0.3">
      <c r="B270" s="127">
        <v>258</v>
      </c>
      <c r="C270" s="78" t="s">
        <v>1268</v>
      </c>
      <c r="D270" s="78" t="s">
        <v>1269</v>
      </c>
      <c r="E270" s="54" t="s">
        <v>1270</v>
      </c>
      <c r="F270" s="128" t="s">
        <v>459</v>
      </c>
      <c r="G270" s="64">
        <v>2015</v>
      </c>
      <c r="H270" s="86">
        <v>189850</v>
      </c>
      <c r="I270" s="66">
        <v>1</v>
      </c>
      <c r="J270" s="129">
        <f t="shared" si="4"/>
        <v>189850</v>
      </c>
      <c r="K270" s="130">
        <v>18035.75</v>
      </c>
      <c r="L270" s="66">
        <v>10</v>
      </c>
      <c r="M270" s="131"/>
    </row>
    <row r="271" spans="2:13" s="132" customFormat="1" ht="144" x14ac:dyDescent="0.3">
      <c r="B271" s="127">
        <v>259</v>
      </c>
      <c r="C271" s="78" t="s">
        <v>1271</v>
      </c>
      <c r="D271" s="78" t="s">
        <v>934</v>
      </c>
      <c r="E271" s="54" t="s">
        <v>1272</v>
      </c>
      <c r="F271" s="128" t="s">
        <v>459</v>
      </c>
      <c r="G271" s="66">
        <v>2015</v>
      </c>
      <c r="H271" s="86">
        <v>28800</v>
      </c>
      <c r="I271" s="66">
        <v>2</v>
      </c>
      <c r="J271" s="129">
        <f t="shared" si="4"/>
        <v>57600</v>
      </c>
      <c r="K271" s="130">
        <v>2736</v>
      </c>
      <c r="L271" s="66">
        <v>10</v>
      </c>
      <c r="M271" s="131"/>
    </row>
    <row r="272" spans="2:13" s="132" customFormat="1" ht="96" x14ac:dyDescent="0.3">
      <c r="B272" s="127">
        <v>260</v>
      </c>
      <c r="C272" s="78" t="s">
        <v>1327</v>
      </c>
      <c r="D272" s="78" t="s">
        <v>1328</v>
      </c>
      <c r="E272" s="54" t="s">
        <v>1329</v>
      </c>
      <c r="F272" s="128" t="s">
        <v>1432</v>
      </c>
      <c r="G272" s="66">
        <v>2015</v>
      </c>
      <c r="H272" s="86">
        <v>133000</v>
      </c>
      <c r="I272" s="66">
        <v>1</v>
      </c>
      <c r="J272" s="129">
        <f t="shared" si="4"/>
        <v>133000</v>
      </c>
      <c r="K272" s="130">
        <v>12635</v>
      </c>
      <c r="L272" s="66">
        <v>10</v>
      </c>
      <c r="M272" s="131"/>
    </row>
    <row r="273" spans="2:13" s="132" customFormat="1" ht="60" x14ac:dyDescent="0.3">
      <c r="B273" s="127">
        <v>261</v>
      </c>
      <c r="C273" s="78" t="s">
        <v>1382</v>
      </c>
      <c r="D273" s="78" t="s">
        <v>1383</v>
      </c>
      <c r="E273" s="54" t="s">
        <v>1384</v>
      </c>
      <c r="F273" s="128" t="s">
        <v>441</v>
      </c>
      <c r="G273" s="66">
        <v>2015</v>
      </c>
      <c r="H273" s="86">
        <v>70950</v>
      </c>
      <c r="I273" s="66">
        <v>1</v>
      </c>
      <c r="J273" s="129">
        <f t="shared" si="4"/>
        <v>70950</v>
      </c>
      <c r="K273" s="130">
        <v>6740.25</v>
      </c>
      <c r="L273" s="66">
        <v>10</v>
      </c>
      <c r="M273" s="131"/>
    </row>
    <row r="274" spans="2:13" s="132" customFormat="1" ht="49.5" x14ac:dyDescent="0.3">
      <c r="B274" s="127">
        <v>262</v>
      </c>
      <c r="C274" s="78" t="s">
        <v>1385</v>
      </c>
      <c r="D274" s="78" t="s">
        <v>1383</v>
      </c>
      <c r="E274" s="54" t="s">
        <v>1386</v>
      </c>
      <c r="F274" s="128" t="s">
        <v>441</v>
      </c>
      <c r="G274" s="66">
        <v>2015</v>
      </c>
      <c r="H274" s="86">
        <v>74950</v>
      </c>
      <c r="I274" s="66">
        <v>1</v>
      </c>
      <c r="J274" s="129">
        <f t="shared" si="4"/>
        <v>74950</v>
      </c>
      <c r="K274" s="130">
        <v>7120.25</v>
      </c>
      <c r="L274" s="66">
        <v>10</v>
      </c>
      <c r="M274" s="131"/>
    </row>
    <row r="275" spans="2:13" s="132" customFormat="1" ht="49.5" x14ac:dyDescent="0.3">
      <c r="B275" s="127">
        <v>263</v>
      </c>
      <c r="C275" s="78" t="s">
        <v>1387</v>
      </c>
      <c r="D275" s="78" t="s">
        <v>1388</v>
      </c>
      <c r="E275" s="54" t="s">
        <v>1389</v>
      </c>
      <c r="F275" s="128" t="s">
        <v>441</v>
      </c>
      <c r="G275" s="66">
        <v>2015</v>
      </c>
      <c r="H275" s="86">
        <v>70950</v>
      </c>
      <c r="I275" s="66">
        <v>1</v>
      </c>
      <c r="J275" s="129">
        <f t="shared" si="4"/>
        <v>70950</v>
      </c>
      <c r="K275" s="130">
        <v>6740.25</v>
      </c>
      <c r="L275" s="66">
        <v>10</v>
      </c>
      <c r="M275" s="131"/>
    </row>
    <row r="276" spans="2:13" s="132" customFormat="1" ht="49.5" x14ac:dyDescent="0.3">
      <c r="B276" s="127">
        <v>264</v>
      </c>
      <c r="C276" s="78" t="s">
        <v>1390</v>
      </c>
      <c r="D276" s="78" t="s">
        <v>1391</v>
      </c>
      <c r="E276" s="54" t="s">
        <v>1392</v>
      </c>
      <c r="F276" s="128" t="s">
        <v>441</v>
      </c>
      <c r="G276" s="66">
        <v>2015</v>
      </c>
      <c r="H276" s="86">
        <v>70950</v>
      </c>
      <c r="I276" s="66">
        <v>1</v>
      </c>
      <c r="J276" s="129">
        <f t="shared" si="4"/>
        <v>70950</v>
      </c>
      <c r="K276" s="130">
        <v>6740.25</v>
      </c>
      <c r="L276" s="66">
        <v>10</v>
      </c>
      <c r="M276" s="131"/>
    </row>
    <row r="277" spans="2:13" s="132" customFormat="1" ht="49.5" x14ac:dyDescent="0.3">
      <c r="B277" s="127">
        <v>265</v>
      </c>
      <c r="C277" s="78" t="s">
        <v>1393</v>
      </c>
      <c r="D277" s="78" t="s">
        <v>1394</v>
      </c>
      <c r="E277" s="54" t="s">
        <v>1395</v>
      </c>
      <c r="F277" s="128" t="s">
        <v>441</v>
      </c>
      <c r="G277" s="66">
        <v>2015</v>
      </c>
      <c r="H277" s="86">
        <v>83950</v>
      </c>
      <c r="I277" s="66">
        <v>1</v>
      </c>
      <c r="J277" s="129">
        <f t="shared" si="4"/>
        <v>83950</v>
      </c>
      <c r="K277" s="130">
        <v>7975.25</v>
      </c>
      <c r="L277" s="66">
        <v>10</v>
      </c>
      <c r="M277" s="131"/>
    </row>
    <row r="278" spans="2:13" s="132" customFormat="1" ht="49.5" x14ac:dyDescent="0.3">
      <c r="B278" s="127">
        <v>266</v>
      </c>
      <c r="C278" s="78" t="s">
        <v>1396</v>
      </c>
      <c r="D278" s="78" t="s">
        <v>1397</v>
      </c>
      <c r="E278" s="54" t="s">
        <v>1398</v>
      </c>
      <c r="F278" s="128" t="s">
        <v>441</v>
      </c>
      <c r="G278" s="66">
        <v>2015</v>
      </c>
      <c r="H278" s="86">
        <v>88950</v>
      </c>
      <c r="I278" s="66">
        <v>1</v>
      </c>
      <c r="J278" s="129">
        <f t="shared" si="4"/>
        <v>88950</v>
      </c>
      <c r="K278" s="130">
        <v>8450.25</v>
      </c>
      <c r="L278" s="66">
        <v>10</v>
      </c>
      <c r="M278" s="131"/>
    </row>
    <row r="279" spans="2:13" s="132" customFormat="1" ht="96" x14ac:dyDescent="0.3">
      <c r="B279" s="127">
        <v>267</v>
      </c>
      <c r="C279" s="78" t="s">
        <v>1399</v>
      </c>
      <c r="D279" s="78" t="s">
        <v>614</v>
      </c>
      <c r="E279" s="54" t="s">
        <v>1400</v>
      </c>
      <c r="F279" s="128" t="s">
        <v>441</v>
      </c>
      <c r="G279" s="66">
        <v>2015</v>
      </c>
      <c r="H279" s="86">
        <v>47250</v>
      </c>
      <c r="I279" s="66">
        <v>1</v>
      </c>
      <c r="J279" s="129">
        <f t="shared" si="4"/>
        <v>47250</v>
      </c>
      <c r="K279" s="130">
        <v>4488.75</v>
      </c>
      <c r="L279" s="66">
        <v>10</v>
      </c>
      <c r="M279" s="131"/>
    </row>
    <row r="280" spans="2:13" s="132" customFormat="1" ht="156" x14ac:dyDescent="0.3">
      <c r="B280" s="127">
        <v>268</v>
      </c>
      <c r="C280" s="78" t="s">
        <v>1401</v>
      </c>
      <c r="D280" s="78" t="s">
        <v>799</v>
      </c>
      <c r="E280" s="54" t="s">
        <v>926</v>
      </c>
      <c r="F280" s="128" t="s">
        <v>441</v>
      </c>
      <c r="G280" s="66">
        <v>2015</v>
      </c>
      <c r="H280" s="86">
        <v>43000</v>
      </c>
      <c r="I280" s="66">
        <v>1</v>
      </c>
      <c r="J280" s="129">
        <f t="shared" si="4"/>
        <v>43000</v>
      </c>
      <c r="K280" s="130">
        <v>4085</v>
      </c>
      <c r="L280" s="66">
        <v>10</v>
      </c>
      <c r="M280" s="131"/>
    </row>
    <row r="281" spans="2:13" s="132" customFormat="1" ht="120" x14ac:dyDescent="0.3">
      <c r="B281" s="127">
        <v>269</v>
      </c>
      <c r="C281" s="78" t="s">
        <v>1402</v>
      </c>
      <c r="D281" s="69" t="s">
        <v>590</v>
      </c>
      <c r="E281" s="56" t="s">
        <v>591</v>
      </c>
      <c r="F281" s="128" t="s">
        <v>441</v>
      </c>
      <c r="G281" s="66">
        <v>2015</v>
      </c>
      <c r="H281" s="86">
        <v>95000</v>
      </c>
      <c r="I281" s="66">
        <v>1</v>
      </c>
      <c r="J281" s="129">
        <f t="shared" si="4"/>
        <v>95000</v>
      </c>
      <c r="K281" s="130">
        <v>9025</v>
      </c>
      <c r="L281" s="66">
        <v>10</v>
      </c>
      <c r="M281" s="131"/>
    </row>
    <row r="282" spans="2:13" s="132" customFormat="1" ht="144" x14ac:dyDescent="0.3">
      <c r="B282" s="127">
        <v>270</v>
      </c>
      <c r="C282" s="78" t="s">
        <v>1403</v>
      </c>
      <c r="D282" s="78" t="s">
        <v>593</v>
      </c>
      <c r="E282" s="54" t="s">
        <v>1404</v>
      </c>
      <c r="F282" s="128" t="s">
        <v>441</v>
      </c>
      <c r="G282" s="66">
        <v>2015</v>
      </c>
      <c r="H282" s="86">
        <v>45000</v>
      </c>
      <c r="I282" s="66">
        <v>2</v>
      </c>
      <c r="J282" s="129">
        <f t="shared" si="4"/>
        <v>90000</v>
      </c>
      <c r="K282" s="130">
        <v>4275</v>
      </c>
      <c r="L282" s="66">
        <v>10</v>
      </c>
      <c r="M282" s="131"/>
    </row>
    <row r="283" spans="2:13" s="132" customFormat="1" ht="108" x14ac:dyDescent="0.3">
      <c r="B283" s="127">
        <v>271</v>
      </c>
      <c r="C283" s="78" t="s">
        <v>1405</v>
      </c>
      <c r="D283" s="78" t="s">
        <v>1406</v>
      </c>
      <c r="E283" s="54" t="s">
        <v>1407</v>
      </c>
      <c r="F283" s="128" t="s">
        <v>441</v>
      </c>
      <c r="G283" s="66">
        <v>2015</v>
      </c>
      <c r="H283" s="86">
        <v>3384740</v>
      </c>
      <c r="I283" s="66">
        <v>1</v>
      </c>
      <c r="J283" s="129">
        <f t="shared" si="4"/>
        <v>3384740</v>
      </c>
      <c r="K283" s="130">
        <v>321550.3</v>
      </c>
      <c r="L283" s="66">
        <v>10</v>
      </c>
      <c r="M283" s="131"/>
    </row>
    <row r="284" spans="2:13" s="132" customFormat="1" ht="312" x14ac:dyDescent="0.3">
      <c r="B284" s="127">
        <v>272</v>
      </c>
      <c r="C284" s="78" t="s">
        <v>489</v>
      </c>
      <c r="D284" s="78" t="s">
        <v>490</v>
      </c>
      <c r="E284" s="54" t="s">
        <v>491</v>
      </c>
      <c r="F284" s="128" t="s">
        <v>441</v>
      </c>
      <c r="G284" s="66">
        <v>2016</v>
      </c>
      <c r="H284" s="86">
        <v>1567899</v>
      </c>
      <c r="I284" s="68">
        <v>1</v>
      </c>
      <c r="J284" s="129">
        <f t="shared" si="4"/>
        <v>1567899</v>
      </c>
      <c r="K284" s="130">
        <v>148950.405</v>
      </c>
      <c r="L284" s="66">
        <v>10</v>
      </c>
      <c r="M284" s="131"/>
    </row>
    <row r="285" spans="2:13" s="132" customFormat="1" ht="409.5" x14ac:dyDescent="0.3">
      <c r="B285" s="127">
        <v>273</v>
      </c>
      <c r="C285" s="78" t="s">
        <v>492</v>
      </c>
      <c r="D285" s="78" t="s">
        <v>493</v>
      </c>
      <c r="E285" s="54" t="s">
        <v>494</v>
      </c>
      <c r="F285" s="128" t="s">
        <v>441</v>
      </c>
      <c r="G285" s="66">
        <v>2016</v>
      </c>
      <c r="H285" s="86">
        <v>575000</v>
      </c>
      <c r="I285" s="68">
        <v>1</v>
      </c>
      <c r="J285" s="129">
        <f t="shared" si="4"/>
        <v>575000</v>
      </c>
      <c r="K285" s="130">
        <v>54625</v>
      </c>
      <c r="L285" s="66">
        <v>10</v>
      </c>
      <c r="M285" s="131"/>
    </row>
    <row r="286" spans="2:13" s="132" customFormat="1" ht="409.5" x14ac:dyDescent="0.3">
      <c r="B286" s="127">
        <v>274</v>
      </c>
      <c r="C286" s="78" t="s">
        <v>495</v>
      </c>
      <c r="D286" s="78" t="s">
        <v>496</v>
      </c>
      <c r="E286" s="54" t="s">
        <v>497</v>
      </c>
      <c r="F286" s="128" t="s">
        <v>441</v>
      </c>
      <c r="G286" s="66">
        <v>2016</v>
      </c>
      <c r="H286" s="86">
        <v>278899</v>
      </c>
      <c r="I286" s="66">
        <v>1</v>
      </c>
      <c r="J286" s="129">
        <f t="shared" si="4"/>
        <v>278899</v>
      </c>
      <c r="K286" s="130">
        <v>26495.404999999999</v>
      </c>
      <c r="L286" s="66">
        <v>10</v>
      </c>
      <c r="M286" s="131"/>
    </row>
    <row r="287" spans="2:13" s="132" customFormat="1" ht="60" x14ac:dyDescent="0.3">
      <c r="B287" s="127">
        <v>275</v>
      </c>
      <c r="C287" s="78" t="s">
        <v>498</v>
      </c>
      <c r="D287" s="78" t="s">
        <v>499</v>
      </c>
      <c r="E287" s="54" t="s">
        <v>500</v>
      </c>
      <c r="F287" s="128" t="s">
        <v>441</v>
      </c>
      <c r="G287" s="66">
        <v>2016</v>
      </c>
      <c r="H287" s="86">
        <v>4000000</v>
      </c>
      <c r="I287" s="66">
        <v>1</v>
      </c>
      <c r="J287" s="129">
        <f t="shared" si="4"/>
        <v>4000000</v>
      </c>
      <c r="K287" s="130">
        <v>380000</v>
      </c>
      <c r="L287" s="66">
        <v>10</v>
      </c>
      <c r="M287" s="131"/>
    </row>
    <row r="288" spans="2:13" s="132" customFormat="1" ht="180" x14ac:dyDescent="0.3">
      <c r="B288" s="127">
        <v>276</v>
      </c>
      <c r="C288" s="78" t="s">
        <v>521</v>
      </c>
      <c r="D288" s="78" t="s">
        <v>522</v>
      </c>
      <c r="E288" s="54" t="s">
        <v>523</v>
      </c>
      <c r="F288" s="128" t="s">
        <v>447</v>
      </c>
      <c r="G288" s="66">
        <v>2016</v>
      </c>
      <c r="H288" s="86"/>
      <c r="I288" s="68">
        <v>1</v>
      </c>
      <c r="J288" s="129">
        <f t="shared" si="4"/>
        <v>0</v>
      </c>
      <c r="K288" s="130">
        <v>0</v>
      </c>
      <c r="L288" s="66">
        <v>10</v>
      </c>
      <c r="M288" s="131"/>
    </row>
    <row r="289" spans="2:13" s="132" customFormat="1" ht="33" x14ac:dyDescent="0.3">
      <c r="B289" s="127">
        <v>277</v>
      </c>
      <c r="C289" s="69" t="s">
        <v>616</v>
      </c>
      <c r="D289" s="69" t="s">
        <v>528</v>
      </c>
      <c r="E289" s="56" t="s">
        <v>617</v>
      </c>
      <c r="F289" s="128" t="s">
        <v>450</v>
      </c>
      <c r="G289" s="66">
        <v>2016</v>
      </c>
      <c r="H289" s="88">
        <v>23360</v>
      </c>
      <c r="I289" s="68">
        <v>1</v>
      </c>
      <c r="J289" s="129">
        <f t="shared" si="4"/>
        <v>23360</v>
      </c>
      <c r="K289" s="130">
        <v>2219.1999999999998</v>
      </c>
      <c r="L289" s="66">
        <v>10</v>
      </c>
      <c r="M289" s="131"/>
    </row>
    <row r="290" spans="2:13" s="132" customFormat="1" ht="33" x14ac:dyDescent="0.3">
      <c r="B290" s="127">
        <v>278</v>
      </c>
      <c r="C290" s="69" t="s">
        <v>618</v>
      </c>
      <c r="D290" s="69" t="s">
        <v>619</v>
      </c>
      <c r="E290" s="56" t="s">
        <v>620</v>
      </c>
      <c r="F290" s="128" t="s">
        <v>450</v>
      </c>
      <c r="G290" s="66">
        <v>2016</v>
      </c>
      <c r="H290" s="88">
        <v>19779</v>
      </c>
      <c r="I290" s="68">
        <v>7</v>
      </c>
      <c r="J290" s="129">
        <f t="shared" si="4"/>
        <v>138453</v>
      </c>
      <c r="K290" s="130">
        <v>1879.0049999999999</v>
      </c>
      <c r="L290" s="66">
        <v>10</v>
      </c>
      <c r="M290" s="131"/>
    </row>
    <row r="291" spans="2:13" s="132" customFormat="1" ht="409.5" x14ac:dyDescent="0.3">
      <c r="B291" s="127">
        <v>279</v>
      </c>
      <c r="C291" s="78" t="s">
        <v>621</v>
      </c>
      <c r="D291" s="78" t="s">
        <v>493</v>
      </c>
      <c r="E291" s="54" t="s">
        <v>494</v>
      </c>
      <c r="F291" s="128" t="s">
        <v>450</v>
      </c>
      <c r="G291" s="66">
        <v>2016</v>
      </c>
      <c r="H291" s="86">
        <v>575000</v>
      </c>
      <c r="I291" s="68">
        <v>1</v>
      </c>
      <c r="J291" s="129">
        <f t="shared" si="4"/>
        <v>575000</v>
      </c>
      <c r="K291" s="130">
        <v>54625</v>
      </c>
      <c r="L291" s="66">
        <v>10</v>
      </c>
      <c r="M291" s="131"/>
    </row>
    <row r="292" spans="2:13" s="132" customFormat="1" ht="336" x14ac:dyDescent="0.3">
      <c r="B292" s="127">
        <v>280</v>
      </c>
      <c r="C292" s="78" t="s">
        <v>643</v>
      </c>
      <c r="D292" s="69" t="s">
        <v>644</v>
      </c>
      <c r="E292" s="56" t="s">
        <v>645</v>
      </c>
      <c r="F292" s="128" t="s">
        <v>440</v>
      </c>
      <c r="G292" s="66">
        <v>2016</v>
      </c>
      <c r="H292" s="86">
        <v>464840</v>
      </c>
      <c r="I292" s="66">
        <v>1</v>
      </c>
      <c r="J292" s="129">
        <f t="shared" si="4"/>
        <v>464840</v>
      </c>
      <c r="K292" s="130">
        <v>44159.8</v>
      </c>
      <c r="L292" s="66">
        <v>10</v>
      </c>
      <c r="M292" s="131"/>
    </row>
    <row r="293" spans="2:13" s="132" customFormat="1" ht="144" x14ac:dyDescent="0.3">
      <c r="B293" s="127">
        <v>281</v>
      </c>
      <c r="C293" s="78" t="s">
        <v>743</v>
      </c>
      <c r="D293" s="69" t="s">
        <v>744</v>
      </c>
      <c r="E293" s="56" t="s">
        <v>745</v>
      </c>
      <c r="F293" s="128" t="s">
        <v>453</v>
      </c>
      <c r="G293" s="66">
        <v>2016</v>
      </c>
      <c r="H293" s="86">
        <v>818888</v>
      </c>
      <c r="I293" s="66">
        <v>1</v>
      </c>
      <c r="J293" s="129">
        <f t="shared" si="4"/>
        <v>818888</v>
      </c>
      <c r="K293" s="130">
        <v>77794.36</v>
      </c>
      <c r="L293" s="66">
        <v>10</v>
      </c>
      <c r="M293" s="131"/>
    </row>
    <row r="294" spans="2:13" s="132" customFormat="1" ht="348" x14ac:dyDescent="0.3">
      <c r="B294" s="127">
        <v>282</v>
      </c>
      <c r="C294" s="78" t="s">
        <v>746</v>
      </c>
      <c r="D294" s="78" t="s">
        <v>747</v>
      </c>
      <c r="E294" s="54" t="s">
        <v>748</v>
      </c>
      <c r="F294" s="128" t="s">
        <v>453</v>
      </c>
      <c r="G294" s="66">
        <v>2016</v>
      </c>
      <c r="H294" s="86">
        <v>380000</v>
      </c>
      <c r="I294" s="66">
        <v>1</v>
      </c>
      <c r="J294" s="129">
        <f t="shared" si="4"/>
        <v>380000</v>
      </c>
      <c r="K294" s="130">
        <v>36100</v>
      </c>
      <c r="L294" s="66">
        <v>10</v>
      </c>
      <c r="M294" s="131"/>
    </row>
    <row r="295" spans="2:13" s="132" customFormat="1" ht="336" x14ac:dyDescent="0.3">
      <c r="B295" s="127">
        <v>283</v>
      </c>
      <c r="C295" s="78" t="s">
        <v>749</v>
      </c>
      <c r="D295" s="78" t="s">
        <v>750</v>
      </c>
      <c r="E295" s="54" t="s">
        <v>751</v>
      </c>
      <c r="F295" s="128" t="s">
        <v>453</v>
      </c>
      <c r="G295" s="66">
        <v>2016</v>
      </c>
      <c r="H295" s="86">
        <v>422100</v>
      </c>
      <c r="I295" s="66">
        <v>1</v>
      </c>
      <c r="J295" s="129">
        <f t="shared" si="4"/>
        <v>422100</v>
      </c>
      <c r="K295" s="130">
        <v>40099.5</v>
      </c>
      <c r="L295" s="66">
        <v>10</v>
      </c>
      <c r="M295" s="131"/>
    </row>
    <row r="296" spans="2:13" s="132" customFormat="1" ht="300" x14ac:dyDescent="0.3">
      <c r="B296" s="127">
        <v>284</v>
      </c>
      <c r="C296" s="78" t="s">
        <v>752</v>
      </c>
      <c r="D296" s="78" t="s">
        <v>753</v>
      </c>
      <c r="E296" s="54" t="s">
        <v>754</v>
      </c>
      <c r="F296" s="128" t="s">
        <v>453</v>
      </c>
      <c r="G296" s="66">
        <v>2016</v>
      </c>
      <c r="H296" s="86">
        <v>459000</v>
      </c>
      <c r="I296" s="66">
        <v>1</v>
      </c>
      <c r="J296" s="129">
        <f t="shared" si="4"/>
        <v>459000</v>
      </c>
      <c r="K296" s="130">
        <v>43605</v>
      </c>
      <c r="L296" s="66">
        <v>10</v>
      </c>
      <c r="M296" s="131"/>
    </row>
    <row r="297" spans="2:13" s="132" customFormat="1" ht="60" x14ac:dyDescent="0.3">
      <c r="B297" s="127">
        <v>285</v>
      </c>
      <c r="C297" s="78" t="s">
        <v>755</v>
      </c>
      <c r="D297" s="78" t="s">
        <v>706</v>
      </c>
      <c r="E297" s="54" t="s">
        <v>756</v>
      </c>
      <c r="F297" s="128" t="s">
        <v>453</v>
      </c>
      <c r="G297" s="66">
        <v>2016</v>
      </c>
      <c r="H297" s="86">
        <v>58300</v>
      </c>
      <c r="I297" s="66">
        <v>1</v>
      </c>
      <c r="J297" s="129">
        <f t="shared" si="4"/>
        <v>58300</v>
      </c>
      <c r="K297" s="130">
        <v>5538.5</v>
      </c>
      <c r="L297" s="66">
        <v>10</v>
      </c>
      <c r="M297" s="131"/>
    </row>
    <row r="298" spans="2:13" s="132" customFormat="1" ht="192" x14ac:dyDescent="0.3">
      <c r="B298" s="127">
        <v>286</v>
      </c>
      <c r="C298" s="69" t="s">
        <v>859</v>
      </c>
      <c r="D298" s="69" t="s">
        <v>860</v>
      </c>
      <c r="E298" s="56" t="s">
        <v>861</v>
      </c>
      <c r="F298" s="128" t="s">
        <v>455</v>
      </c>
      <c r="G298" s="66">
        <v>2016</v>
      </c>
      <c r="H298" s="88">
        <v>199999</v>
      </c>
      <c r="I298" s="68">
        <v>1</v>
      </c>
      <c r="J298" s="129">
        <f t="shared" si="4"/>
        <v>199999</v>
      </c>
      <c r="K298" s="130">
        <v>18999.904999999999</v>
      </c>
      <c r="L298" s="66">
        <v>10</v>
      </c>
      <c r="M298" s="131"/>
    </row>
    <row r="299" spans="2:13" s="132" customFormat="1" ht="409.5" x14ac:dyDescent="0.3">
      <c r="B299" s="127">
        <v>287</v>
      </c>
      <c r="C299" s="78" t="s">
        <v>862</v>
      </c>
      <c r="D299" s="78" t="s">
        <v>496</v>
      </c>
      <c r="E299" s="54" t="s">
        <v>497</v>
      </c>
      <c r="F299" s="128" t="s">
        <v>455</v>
      </c>
      <c r="G299" s="66">
        <v>2016</v>
      </c>
      <c r="H299" s="86">
        <v>278899</v>
      </c>
      <c r="I299" s="66">
        <v>1</v>
      </c>
      <c r="J299" s="129">
        <f t="shared" si="4"/>
        <v>278899</v>
      </c>
      <c r="K299" s="130">
        <v>26495.404999999999</v>
      </c>
      <c r="L299" s="66">
        <v>10</v>
      </c>
      <c r="M299" s="131"/>
    </row>
    <row r="300" spans="2:13" s="132" customFormat="1" ht="108" x14ac:dyDescent="0.3">
      <c r="B300" s="127">
        <v>288</v>
      </c>
      <c r="C300" s="78" t="s">
        <v>941</v>
      </c>
      <c r="D300" s="78" t="s">
        <v>942</v>
      </c>
      <c r="E300" s="54" t="s">
        <v>943</v>
      </c>
      <c r="F300" s="128" t="s">
        <v>457</v>
      </c>
      <c r="G300" s="66">
        <v>2016</v>
      </c>
      <c r="H300" s="86">
        <v>15425</v>
      </c>
      <c r="I300" s="66">
        <v>70</v>
      </c>
      <c r="J300" s="129">
        <f t="shared" si="4"/>
        <v>1079750</v>
      </c>
      <c r="K300" s="130">
        <v>1465.375</v>
      </c>
      <c r="L300" s="66">
        <v>10</v>
      </c>
      <c r="M300" s="131"/>
    </row>
    <row r="301" spans="2:13" s="132" customFormat="1" ht="120" x14ac:dyDescent="0.3">
      <c r="B301" s="127">
        <v>289</v>
      </c>
      <c r="C301" s="78" t="s">
        <v>944</v>
      </c>
      <c r="D301" s="78" t="s">
        <v>945</v>
      </c>
      <c r="E301" s="54" t="s">
        <v>946</v>
      </c>
      <c r="F301" s="128" t="s">
        <v>457</v>
      </c>
      <c r="G301" s="66">
        <v>2016</v>
      </c>
      <c r="H301" s="86">
        <v>13900000</v>
      </c>
      <c r="I301" s="66">
        <v>1</v>
      </c>
      <c r="J301" s="129">
        <f t="shared" si="4"/>
        <v>13900000</v>
      </c>
      <c r="K301" s="130">
        <v>1320500</v>
      </c>
      <c r="L301" s="66">
        <v>10</v>
      </c>
      <c r="M301" s="131"/>
    </row>
    <row r="302" spans="2:13" s="132" customFormat="1" ht="84" x14ac:dyDescent="0.3">
      <c r="B302" s="127">
        <v>290</v>
      </c>
      <c r="C302" s="78" t="s">
        <v>1087</v>
      </c>
      <c r="D302" s="78" t="s">
        <v>1088</v>
      </c>
      <c r="E302" s="54" t="s">
        <v>1089</v>
      </c>
      <c r="F302" s="128" t="s">
        <v>440</v>
      </c>
      <c r="G302" s="66">
        <v>2016</v>
      </c>
      <c r="H302" s="86">
        <v>29000</v>
      </c>
      <c r="I302" s="68">
        <v>2</v>
      </c>
      <c r="J302" s="129">
        <f t="shared" si="4"/>
        <v>58000</v>
      </c>
      <c r="K302" s="130">
        <v>2755</v>
      </c>
      <c r="L302" s="66">
        <v>10</v>
      </c>
      <c r="M302" s="131"/>
    </row>
    <row r="303" spans="2:13" s="132" customFormat="1" ht="156" x14ac:dyDescent="0.3">
      <c r="B303" s="127">
        <v>291</v>
      </c>
      <c r="C303" s="78" t="s">
        <v>1273</v>
      </c>
      <c r="D303" s="78" t="s">
        <v>1274</v>
      </c>
      <c r="E303" s="54" t="s">
        <v>1275</v>
      </c>
      <c r="F303" s="128" t="s">
        <v>459</v>
      </c>
      <c r="G303" s="66">
        <v>2016</v>
      </c>
      <c r="H303" s="86">
        <v>243000</v>
      </c>
      <c r="I303" s="68">
        <v>1</v>
      </c>
      <c r="J303" s="129">
        <f t="shared" si="4"/>
        <v>243000</v>
      </c>
      <c r="K303" s="130">
        <v>23085</v>
      </c>
      <c r="L303" s="66">
        <v>10</v>
      </c>
      <c r="M303" s="131"/>
    </row>
    <row r="304" spans="2:13" s="132" customFormat="1" ht="409.5" x14ac:dyDescent="0.3">
      <c r="B304" s="127">
        <v>292</v>
      </c>
      <c r="C304" s="78" t="s">
        <v>1276</v>
      </c>
      <c r="D304" s="78" t="s">
        <v>493</v>
      </c>
      <c r="E304" s="54" t="s">
        <v>494</v>
      </c>
      <c r="F304" s="128" t="s">
        <v>459</v>
      </c>
      <c r="G304" s="66">
        <v>2016</v>
      </c>
      <c r="H304" s="86">
        <v>575000</v>
      </c>
      <c r="I304" s="68">
        <v>1</v>
      </c>
      <c r="J304" s="129">
        <f t="shared" si="4"/>
        <v>575000</v>
      </c>
      <c r="K304" s="130">
        <v>54625</v>
      </c>
      <c r="L304" s="66">
        <v>10</v>
      </c>
      <c r="M304" s="131"/>
    </row>
    <row r="305" spans="2:13" s="132" customFormat="1" ht="33" x14ac:dyDescent="0.3">
      <c r="B305" s="127">
        <v>293</v>
      </c>
      <c r="C305" s="69" t="s">
        <v>1277</v>
      </c>
      <c r="D305" s="69" t="s">
        <v>1278</v>
      </c>
      <c r="E305" s="56" t="s">
        <v>1279</v>
      </c>
      <c r="F305" s="128" t="s">
        <v>459</v>
      </c>
      <c r="G305" s="66">
        <v>2016</v>
      </c>
      <c r="H305" s="88"/>
      <c r="I305" s="68">
        <v>1</v>
      </c>
      <c r="J305" s="129">
        <f t="shared" si="4"/>
        <v>0</v>
      </c>
      <c r="K305" s="130">
        <v>0</v>
      </c>
      <c r="L305" s="66">
        <v>10</v>
      </c>
      <c r="M305" s="131"/>
    </row>
    <row r="306" spans="2:13" s="132" customFormat="1" ht="33" x14ac:dyDescent="0.3">
      <c r="B306" s="127">
        <v>294</v>
      </c>
      <c r="C306" s="69" t="s">
        <v>1280</v>
      </c>
      <c r="D306" s="69" t="s">
        <v>1281</v>
      </c>
      <c r="E306" s="56" t="s">
        <v>1279</v>
      </c>
      <c r="F306" s="128" t="s">
        <v>459</v>
      </c>
      <c r="G306" s="66">
        <v>2016</v>
      </c>
      <c r="H306" s="88"/>
      <c r="I306" s="68">
        <v>1</v>
      </c>
      <c r="J306" s="129">
        <f t="shared" si="4"/>
        <v>0</v>
      </c>
      <c r="K306" s="130">
        <v>0</v>
      </c>
      <c r="L306" s="66">
        <v>10</v>
      </c>
      <c r="M306" s="131"/>
    </row>
    <row r="307" spans="2:13" s="132" customFormat="1" ht="33" x14ac:dyDescent="0.3">
      <c r="B307" s="127">
        <v>295</v>
      </c>
      <c r="C307" s="69" t="s">
        <v>1282</v>
      </c>
      <c r="D307" s="69" t="s">
        <v>1283</v>
      </c>
      <c r="E307" s="56" t="s">
        <v>1279</v>
      </c>
      <c r="F307" s="128" t="s">
        <v>459</v>
      </c>
      <c r="G307" s="66">
        <v>2016</v>
      </c>
      <c r="H307" s="88"/>
      <c r="I307" s="68">
        <v>1</v>
      </c>
      <c r="J307" s="129">
        <f t="shared" si="4"/>
        <v>0</v>
      </c>
      <c r="K307" s="130">
        <v>0</v>
      </c>
      <c r="L307" s="66">
        <v>10</v>
      </c>
      <c r="M307" s="131"/>
    </row>
    <row r="308" spans="2:13" s="132" customFormat="1" ht="409.5" x14ac:dyDescent="0.3">
      <c r="B308" s="127">
        <v>296</v>
      </c>
      <c r="C308" s="78" t="s">
        <v>1284</v>
      </c>
      <c r="D308" s="78" t="s">
        <v>496</v>
      </c>
      <c r="E308" s="54" t="s">
        <v>497</v>
      </c>
      <c r="F308" s="128" t="s">
        <v>459</v>
      </c>
      <c r="G308" s="66">
        <v>2016</v>
      </c>
      <c r="H308" s="86">
        <v>278899</v>
      </c>
      <c r="I308" s="66">
        <v>1</v>
      </c>
      <c r="J308" s="129">
        <f t="shared" si="4"/>
        <v>278899</v>
      </c>
      <c r="K308" s="130">
        <v>26495.404999999999</v>
      </c>
      <c r="L308" s="66">
        <v>10</v>
      </c>
      <c r="M308" s="131"/>
    </row>
    <row r="309" spans="2:13" s="132" customFormat="1" ht="204" x14ac:dyDescent="0.3">
      <c r="B309" s="127">
        <v>297</v>
      </c>
      <c r="C309" s="78" t="s">
        <v>1345</v>
      </c>
      <c r="D309" s="78" t="s">
        <v>1346</v>
      </c>
      <c r="E309" s="54" t="s">
        <v>1347</v>
      </c>
      <c r="F309" s="128" t="s">
        <v>462</v>
      </c>
      <c r="G309" s="66">
        <v>2016</v>
      </c>
      <c r="H309" s="86">
        <v>1850000</v>
      </c>
      <c r="I309" s="66">
        <v>1</v>
      </c>
      <c r="J309" s="129">
        <f t="shared" si="4"/>
        <v>1850000</v>
      </c>
      <c r="K309" s="130">
        <v>175750</v>
      </c>
      <c r="L309" s="66">
        <v>10</v>
      </c>
      <c r="M309" s="131"/>
    </row>
    <row r="310" spans="2:13" s="132" customFormat="1" ht="144" x14ac:dyDescent="0.3">
      <c r="B310" s="127">
        <v>298</v>
      </c>
      <c r="C310" s="78" t="s">
        <v>1348</v>
      </c>
      <c r="D310" s="78" t="s">
        <v>1349</v>
      </c>
      <c r="E310" s="54" t="s">
        <v>1350</v>
      </c>
      <c r="F310" s="128" t="s">
        <v>462</v>
      </c>
      <c r="G310" s="66">
        <v>2016</v>
      </c>
      <c r="H310" s="86">
        <v>3177000</v>
      </c>
      <c r="I310" s="66">
        <v>1</v>
      </c>
      <c r="J310" s="129">
        <f t="shared" si="4"/>
        <v>3177000</v>
      </c>
      <c r="K310" s="130">
        <v>301815</v>
      </c>
      <c r="L310" s="66">
        <v>10</v>
      </c>
      <c r="M310" s="131"/>
    </row>
    <row r="311" spans="2:13" s="132" customFormat="1" ht="60" x14ac:dyDescent="0.3">
      <c r="B311" s="127">
        <v>299</v>
      </c>
      <c r="C311" s="78" t="s">
        <v>1408</v>
      </c>
      <c r="D311" s="78" t="s">
        <v>1409</v>
      </c>
      <c r="E311" s="54" t="s">
        <v>1410</v>
      </c>
      <c r="F311" s="128" t="s">
        <v>441</v>
      </c>
      <c r="G311" s="66">
        <v>2016</v>
      </c>
      <c r="H311" s="86">
        <v>2000000</v>
      </c>
      <c r="I311" s="68">
        <v>1</v>
      </c>
      <c r="J311" s="129">
        <f t="shared" si="4"/>
        <v>2000000</v>
      </c>
      <c r="K311" s="130">
        <v>190000</v>
      </c>
      <c r="L311" s="66">
        <v>10</v>
      </c>
      <c r="M311" s="131"/>
    </row>
    <row r="312" spans="2:13" s="132" customFormat="1" ht="60" x14ac:dyDescent="0.3">
      <c r="B312" s="127">
        <v>300</v>
      </c>
      <c r="C312" s="78" t="s">
        <v>1411</v>
      </c>
      <c r="D312" s="78" t="s">
        <v>1412</v>
      </c>
      <c r="E312" s="54" t="s">
        <v>1413</v>
      </c>
      <c r="F312" s="128" t="s">
        <v>441</v>
      </c>
      <c r="G312" s="66">
        <v>2016</v>
      </c>
      <c r="H312" s="86">
        <v>1300000</v>
      </c>
      <c r="I312" s="68">
        <v>1</v>
      </c>
      <c r="J312" s="129">
        <f t="shared" si="4"/>
        <v>1300000</v>
      </c>
      <c r="K312" s="130">
        <v>123500</v>
      </c>
      <c r="L312" s="66">
        <v>10</v>
      </c>
      <c r="M312" s="131"/>
    </row>
    <row r="313" spans="2:13" s="132" customFormat="1" ht="409.5" x14ac:dyDescent="0.3">
      <c r="B313" s="127">
        <v>301</v>
      </c>
      <c r="C313" s="78" t="s">
        <v>1414</v>
      </c>
      <c r="D313" s="78" t="s">
        <v>496</v>
      </c>
      <c r="E313" s="54" t="s">
        <v>497</v>
      </c>
      <c r="F313" s="128" t="s">
        <v>441</v>
      </c>
      <c r="G313" s="66">
        <v>2016</v>
      </c>
      <c r="H313" s="86">
        <v>278899</v>
      </c>
      <c r="I313" s="66">
        <v>1</v>
      </c>
      <c r="J313" s="129">
        <f t="shared" si="4"/>
        <v>278899</v>
      </c>
      <c r="K313" s="130">
        <v>26495.404999999999</v>
      </c>
      <c r="L313" s="66">
        <v>10</v>
      </c>
      <c r="M313" s="131"/>
    </row>
    <row r="314" spans="2:13" s="132" customFormat="1" ht="48" x14ac:dyDescent="0.3">
      <c r="B314" s="127">
        <v>302</v>
      </c>
      <c r="C314" s="78" t="s">
        <v>524</v>
      </c>
      <c r="D314" s="78" t="s">
        <v>525</v>
      </c>
      <c r="E314" s="54" t="s">
        <v>526</v>
      </c>
      <c r="F314" s="128" t="s">
        <v>440</v>
      </c>
      <c r="G314" s="66">
        <v>2017</v>
      </c>
      <c r="H314" s="86">
        <v>38000</v>
      </c>
      <c r="I314" s="68">
        <v>1</v>
      </c>
      <c r="J314" s="129">
        <f t="shared" si="4"/>
        <v>38000</v>
      </c>
      <c r="K314" s="130">
        <v>3610</v>
      </c>
      <c r="L314" s="66">
        <v>10</v>
      </c>
      <c r="M314" s="131"/>
    </row>
    <row r="315" spans="2:13" s="132" customFormat="1" ht="48" x14ac:dyDescent="0.3">
      <c r="B315" s="127">
        <v>303</v>
      </c>
      <c r="C315" s="78" t="s">
        <v>622</v>
      </c>
      <c r="D315" s="69" t="s">
        <v>623</v>
      </c>
      <c r="E315" s="56" t="s">
        <v>624</v>
      </c>
      <c r="F315" s="128" t="s">
        <v>450</v>
      </c>
      <c r="G315" s="64">
        <v>2017</v>
      </c>
      <c r="H315" s="86">
        <v>1150000</v>
      </c>
      <c r="I315" s="66">
        <v>1</v>
      </c>
      <c r="J315" s="129">
        <f t="shared" si="4"/>
        <v>1150000</v>
      </c>
      <c r="K315" s="130">
        <v>109250</v>
      </c>
      <c r="L315" s="66">
        <v>10</v>
      </c>
      <c r="M315" s="131"/>
    </row>
    <row r="316" spans="2:13" s="132" customFormat="1" ht="132" x14ac:dyDescent="0.3">
      <c r="B316" s="127">
        <v>304</v>
      </c>
      <c r="C316" s="78" t="s">
        <v>625</v>
      </c>
      <c r="D316" s="69" t="s">
        <v>626</v>
      </c>
      <c r="E316" s="56" t="s">
        <v>627</v>
      </c>
      <c r="F316" s="128" t="s">
        <v>450</v>
      </c>
      <c r="G316" s="64">
        <v>2017</v>
      </c>
      <c r="H316" s="86">
        <v>1150000</v>
      </c>
      <c r="I316" s="66">
        <v>2</v>
      </c>
      <c r="J316" s="129">
        <f t="shared" si="4"/>
        <v>2300000</v>
      </c>
      <c r="K316" s="130">
        <v>109250</v>
      </c>
      <c r="L316" s="66">
        <v>10</v>
      </c>
      <c r="M316" s="131"/>
    </row>
    <row r="317" spans="2:13" s="132" customFormat="1" ht="36" x14ac:dyDescent="0.3">
      <c r="B317" s="127">
        <v>305</v>
      </c>
      <c r="C317" s="78" t="s">
        <v>628</v>
      </c>
      <c r="D317" s="78" t="s">
        <v>629</v>
      </c>
      <c r="E317" s="54" t="s">
        <v>630</v>
      </c>
      <c r="F317" s="128" t="s">
        <v>450</v>
      </c>
      <c r="G317" s="66">
        <v>2017</v>
      </c>
      <c r="H317" s="86">
        <v>570000</v>
      </c>
      <c r="I317" s="68">
        <v>1</v>
      </c>
      <c r="J317" s="129">
        <f t="shared" si="4"/>
        <v>570000</v>
      </c>
      <c r="K317" s="130">
        <v>54150</v>
      </c>
      <c r="L317" s="66">
        <v>10</v>
      </c>
      <c r="M317" s="131"/>
    </row>
    <row r="318" spans="2:13" s="132" customFormat="1" ht="48" x14ac:dyDescent="0.3">
      <c r="B318" s="127">
        <v>306</v>
      </c>
      <c r="C318" s="78" t="s">
        <v>631</v>
      </c>
      <c r="D318" s="78" t="s">
        <v>632</v>
      </c>
      <c r="E318" s="54" t="s">
        <v>633</v>
      </c>
      <c r="F318" s="128" t="s">
        <v>450</v>
      </c>
      <c r="G318" s="66">
        <v>2017</v>
      </c>
      <c r="H318" s="86">
        <v>1150000</v>
      </c>
      <c r="I318" s="68">
        <v>1</v>
      </c>
      <c r="J318" s="129">
        <f t="shared" si="4"/>
        <v>1150000</v>
      </c>
      <c r="K318" s="130">
        <v>109250</v>
      </c>
      <c r="L318" s="66">
        <v>10</v>
      </c>
      <c r="M318" s="131"/>
    </row>
    <row r="319" spans="2:13" s="132" customFormat="1" ht="168" x14ac:dyDescent="0.3">
      <c r="B319" s="127">
        <v>307</v>
      </c>
      <c r="C319" s="78" t="s">
        <v>634</v>
      </c>
      <c r="D319" s="78" t="s">
        <v>635</v>
      </c>
      <c r="E319" s="54" t="s">
        <v>636</v>
      </c>
      <c r="F319" s="128" t="s">
        <v>450</v>
      </c>
      <c r="G319" s="66">
        <v>2017</v>
      </c>
      <c r="H319" s="86">
        <v>325000</v>
      </c>
      <c r="I319" s="68">
        <v>1</v>
      </c>
      <c r="J319" s="129">
        <f t="shared" si="4"/>
        <v>325000</v>
      </c>
      <c r="K319" s="130">
        <v>30875</v>
      </c>
      <c r="L319" s="66">
        <v>10</v>
      </c>
      <c r="M319" s="131"/>
    </row>
    <row r="320" spans="2:13" s="132" customFormat="1" ht="48" x14ac:dyDescent="0.3">
      <c r="B320" s="127">
        <v>308</v>
      </c>
      <c r="C320" s="78" t="s">
        <v>637</v>
      </c>
      <c r="D320" s="78" t="s">
        <v>638</v>
      </c>
      <c r="E320" s="54" t="s">
        <v>639</v>
      </c>
      <c r="F320" s="128" t="s">
        <v>450</v>
      </c>
      <c r="G320" s="66">
        <v>2017</v>
      </c>
      <c r="H320" s="86">
        <v>41888</v>
      </c>
      <c r="I320" s="68">
        <v>1</v>
      </c>
      <c r="J320" s="129">
        <f t="shared" si="4"/>
        <v>41888</v>
      </c>
      <c r="K320" s="130">
        <v>3979.3599999999997</v>
      </c>
      <c r="L320" s="66">
        <v>10</v>
      </c>
      <c r="M320" s="131"/>
    </row>
    <row r="321" spans="2:13" s="132" customFormat="1" ht="36" x14ac:dyDescent="0.3">
      <c r="B321" s="127">
        <v>309</v>
      </c>
      <c r="C321" s="78" t="s">
        <v>640</v>
      </c>
      <c r="D321" s="78" t="s">
        <v>641</v>
      </c>
      <c r="E321" s="54" t="s">
        <v>642</v>
      </c>
      <c r="F321" s="128" t="s">
        <v>440</v>
      </c>
      <c r="G321" s="66">
        <v>2017</v>
      </c>
      <c r="H321" s="86">
        <v>60000</v>
      </c>
      <c r="I321" s="68">
        <v>1</v>
      </c>
      <c r="J321" s="129">
        <f t="shared" si="4"/>
        <v>60000</v>
      </c>
      <c r="K321" s="130">
        <v>5700</v>
      </c>
      <c r="L321" s="66">
        <v>10</v>
      </c>
      <c r="M321" s="131"/>
    </row>
    <row r="322" spans="2:13" s="132" customFormat="1" ht="48" x14ac:dyDescent="0.3">
      <c r="B322" s="127">
        <v>310</v>
      </c>
      <c r="C322" s="78" t="s">
        <v>656</v>
      </c>
      <c r="D322" s="78" t="s">
        <v>657</v>
      </c>
      <c r="E322" s="54" t="s">
        <v>658</v>
      </c>
      <c r="F322" s="128" t="s">
        <v>455</v>
      </c>
      <c r="G322" s="66">
        <v>2017</v>
      </c>
      <c r="H322" s="86">
        <v>73500</v>
      </c>
      <c r="I322" s="66">
        <v>3</v>
      </c>
      <c r="J322" s="129">
        <f t="shared" si="4"/>
        <v>220500</v>
      </c>
      <c r="K322" s="130">
        <v>6982.5</v>
      </c>
      <c r="L322" s="66">
        <v>10</v>
      </c>
      <c r="M322" s="131"/>
    </row>
    <row r="323" spans="2:13" s="132" customFormat="1" ht="84" x14ac:dyDescent="0.3">
      <c r="B323" s="127">
        <v>311</v>
      </c>
      <c r="C323" s="78" t="s">
        <v>659</v>
      </c>
      <c r="D323" s="78" t="s">
        <v>660</v>
      </c>
      <c r="E323" s="54" t="s">
        <v>661</v>
      </c>
      <c r="F323" s="128" t="s">
        <v>455</v>
      </c>
      <c r="G323" s="66">
        <v>2017</v>
      </c>
      <c r="H323" s="86">
        <v>154900</v>
      </c>
      <c r="I323" s="66">
        <v>5</v>
      </c>
      <c r="J323" s="129">
        <f t="shared" si="4"/>
        <v>774500</v>
      </c>
      <c r="K323" s="130">
        <v>14715.5</v>
      </c>
      <c r="L323" s="66">
        <v>10</v>
      </c>
      <c r="M323" s="131"/>
    </row>
    <row r="324" spans="2:13" s="132" customFormat="1" ht="84" x14ac:dyDescent="0.3">
      <c r="B324" s="127">
        <v>312</v>
      </c>
      <c r="C324" s="78" t="s">
        <v>662</v>
      </c>
      <c r="D324" s="78" t="s">
        <v>663</v>
      </c>
      <c r="E324" s="54" t="s">
        <v>664</v>
      </c>
      <c r="F324" s="128" t="s">
        <v>455</v>
      </c>
      <c r="G324" s="66">
        <v>2017</v>
      </c>
      <c r="H324" s="86">
        <v>154900</v>
      </c>
      <c r="I324" s="66">
        <v>5</v>
      </c>
      <c r="J324" s="129">
        <f t="shared" si="4"/>
        <v>774500</v>
      </c>
      <c r="K324" s="130">
        <v>14715.5</v>
      </c>
      <c r="L324" s="66">
        <v>10</v>
      </c>
      <c r="M324" s="131"/>
    </row>
    <row r="325" spans="2:13" s="132" customFormat="1" ht="84" x14ac:dyDescent="0.3">
      <c r="B325" s="127">
        <v>313</v>
      </c>
      <c r="C325" s="78" t="s">
        <v>665</v>
      </c>
      <c r="D325" s="78" t="s">
        <v>657</v>
      </c>
      <c r="E325" s="54" t="s">
        <v>666</v>
      </c>
      <c r="F325" s="128" t="s">
        <v>455</v>
      </c>
      <c r="G325" s="66">
        <v>2017</v>
      </c>
      <c r="H325" s="86">
        <v>70775</v>
      </c>
      <c r="I325" s="66">
        <v>5</v>
      </c>
      <c r="J325" s="129">
        <f t="shared" si="4"/>
        <v>353875</v>
      </c>
      <c r="K325" s="130">
        <v>6723.625</v>
      </c>
      <c r="L325" s="66">
        <v>10</v>
      </c>
      <c r="M325" s="131"/>
    </row>
    <row r="326" spans="2:13" s="132" customFormat="1" ht="60" x14ac:dyDescent="0.3">
      <c r="B326" s="127">
        <v>314</v>
      </c>
      <c r="C326" s="78" t="s">
        <v>757</v>
      </c>
      <c r="D326" s="69" t="s">
        <v>758</v>
      </c>
      <c r="E326" s="56" t="s">
        <v>759</v>
      </c>
      <c r="F326" s="128" t="s">
        <v>453</v>
      </c>
      <c r="G326" s="66">
        <v>2017</v>
      </c>
      <c r="H326" s="86">
        <v>130000</v>
      </c>
      <c r="I326" s="66">
        <v>1</v>
      </c>
      <c r="J326" s="129">
        <f t="shared" si="4"/>
        <v>130000</v>
      </c>
      <c r="K326" s="130">
        <v>12350</v>
      </c>
      <c r="L326" s="66">
        <v>10</v>
      </c>
      <c r="M326" s="131"/>
    </row>
    <row r="327" spans="2:13" s="132" customFormat="1" ht="60" x14ac:dyDescent="0.3">
      <c r="B327" s="127">
        <v>315</v>
      </c>
      <c r="C327" s="78" t="s">
        <v>760</v>
      </c>
      <c r="D327" s="69" t="s">
        <v>761</v>
      </c>
      <c r="E327" s="56" t="s">
        <v>762</v>
      </c>
      <c r="F327" s="128" t="s">
        <v>453</v>
      </c>
      <c r="G327" s="66">
        <v>2017</v>
      </c>
      <c r="H327" s="86">
        <v>58300</v>
      </c>
      <c r="I327" s="66">
        <v>1</v>
      </c>
      <c r="J327" s="129">
        <f t="shared" si="4"/>
        <v>58300</v>
      </c>
      <c r="K327" s="130">
        <v>5538.5</v>
      </c>
      <c r="L327" s="66">
        <v>10</v>
      </c>
      <c r="M327" s="131"/>
    </row>
    <row r="328" spans="2:13" s="132" customFormat="1" ht="60" x14ac:dyDescent="0.3">
      <c r="B328" s="127">
        <v>316</v>
      </c>
      <c r="C328" s="78" t="s">
        <v>763</v>
      </c>
      <c r="D328" s="69" t="s">
        <v>758</v>
      </c>
      <c r="E328" s="56" t="s">
        <v>759</v>
      </c>
      <c r="F328" s="128" t="s">
        <v>453</v>
      </c>
      <c r="G328" s="66">
        <v>2017</v>
      </c>
      <c r="H328" s="86">
        <v>130000</v>
      </c>
      <c r="I328" s="66">
        <v>1</v>
      </c>
      <c r="J328" s="129">
        <f t="shared" si="4"/>
        <v>130000</v>
      </c>
      <c r="K328" s="130">
        <v>12350</v>
      </c>
      <c r="L328" s="66">
        <v>10</v>
      </c>
      <c r="M328" s="131"/>
    </row>
    <row r="329" spans="2:13" s="132" customFormat="1" ht="60" x14ac:dyDescent="0.3">
      <c r="B329" s="127">
        <v>317</v>
      </c>
      <c r="C329" s="78" t="s">
        <v>764</v>
      </c>
      <c r="D329" s="69" t="s">
        <v>758</v>
      </c>
      <c r="E329" s="56" t="s">
        <v>759</v>
      </c>
      <c r="F329" s="128" t="s">
        <v>453</v>
      </c>
      <c r="G329" s="66">
        <v>2017</v>
      </c>
      <c r="H329" s="86">
        <v>130000</v>
      </c>
      <c r="I329" s="66">
        <v>1</v>
      </c>
      <c r="J329" s="129">
        <f t="shared" si="4"/>
        <v>130000</v>
      </c>
      <c r="K329" s="130">
        <v>12350</v>
      </c>
      <c r="L329" s="66">
        <v>10</v>
      </c>
      <c r="M329" s="131"/>
    </row>
    <row r="330" spans="2:13" s="132" customFormat="1" ht="60" x14ac:dyDescent="0.3">
      <c r="B330" s="127">
        <v>318</v>
      </c>
      <c r="C330" s="78" t="s">
        <v>765</v>
      </c>
      <c r="D330" s="69" t="s">
        <v>758</v>
      </c>
      <c r="E330" s="56" t="s">
        <v>759</v>
      </c>
      <c r="F330" s="128" t="s">
        <v>453</v>
      </c>
      <c r="G330" s="66">
        <v>2017</v>
      </c>
      <c r="H330" s="86">
        <v>130000</v>
      </c>
      <c r="I330" s="66">
        <v>1</v>
      </c>
      <c r="J330" s="129">
        <f t="shared" si="4"/>
        <v>130000</v>
      </c>
      <c r="K330" s="130">
        <v>12350</v>
      </c>
      <c r="L330" s="66">
        <v>10</v>
      </c>
      <c r="M330" s="131"/>
    </row>
    <row r="331" spans="2:13" s="132" customFormat="1" ht="48" x14ac:dyDescent="0.3">
      <c r="B331" s="127">
        <v>319</v>
      </c>
      <c r="C331" s="78" t="s">
        <v>766</v>
      </c>
      <c r="D331" s="78" t="s">
        <v>767</v>
      </c>
      <c r="E331" s="54" t="s">
        <v>768</v>
      </c>
      <c r="F331" s="128" t="s">
        <v>453</v>
      </c>
      <c r="G331" s="66">
        <v>2017</v>
      </c>
      <c r="H331" s="86">
        <v>90000</v>
      </c>
      <c r="I331" s="66">
        <v>1</v>
      </c>
      <c r="J331" s="129">
        <f t="shared" si="4"/>
        <v>90000</v>
      </c>
      <c r="K331" s="130">
        <v>8550</v>
      </c>
      <c r="L331" s="66">
        <v>10</v>
      </c>
      <c r="M331" s="131"/>
    </row>
    <row r="332" spans="2:13" s="132" customFormat="1" ht="48" x14ac:dyDescent="0.3">
      <c r="B332" s="127">
        <v>320</v>
      </c>
      <c r="C332" s="78" t="s">
        <v>769</v>
      </c>
      <c r="D332" s="78" t="s">
        <v>770</v>
      </c>
      <c r="E332" s="54" t="s">
        <v>771</v>
      </c>
      <c r="F332" s="128" t="s">
        <v>453</v>
      </c>
      <c r="G332" s="66">
        <v>2017</v>
      </c>
      <c r="H332" s="86">
        <v>2000000</v>
      </c>
      <c r="I332" s="66">
        <v>1</v>
      </c>
      <c r="J332" s="129">
        <f t="shared" si="4"/>
        <v>2000000</v>
      </c>
      <c r="K332" s="130">
        <v>190000</v>
      </c>
      <c r="L332" s="66">
        <v>10</v>
      </c>
      <c r="M332" s="131"/>
    </row>
    <row r="333" spans="2:13" s="132" customFormat="1" ht="33" x14ac:dyDescent="0.3">
      <c r="B333" s="127">
        <v>321</v>
      </c>
      <c r="C333" s="78" t="s">
        <v>772</v>
      </c>
      <c r="D333" s="78" t="s">
        <v>773</v>
      </c>
      <c r="E333" s="54" t="s">
        <v>774</v>
      </c>
      <c r="F333" s="128" t="s">
        <v>453</v>
      </c>
      <c r="G333" s="66">
        <v>2017</v>
      </c>
      <c r="H333" s="86">
        <v>185000</v>
      </c>
      <c r="I333" s="66">
        <v>1</v>
      </c>
      <c r="J333" s="129">
        <f t="shared" ref="J333:J385" si="5">I333*H333</f>
        <v>185000</v>
      </c>
      <c r="K333" s="130">
        <v>17575</v>
      </c>
      <c r="L333" s="66">
        <v>10</v>
      </c>
      <c r="M333" s="131"/>
    </row>
    <row r="334" spans="2:13" s="132" customFormat="1" ht="60" x14ac:dyDescent="0.3">
      <c r="B334" s="127">
        <v>322</v>
      </c>
      <c r="C334" s="78" t="s">
        <v>775</v>
      </c>
      <c r="D334" s="78" t="s">
        <v>776</v>
      </c>
      <c r="E334" s="54" t="s">
        <v>777</v>
      </c>
      <c r="F334" s="128" t="s">
        <v>453</v>
      </c>
      <c r="G334" s="66">
        <v>2017</v>
      </c>
      <c r="H334" s="86">
        <v>2088988</v>
      </c>
      <c r="I334" s="66">
        <v>1</v>
      </c>
      <c r="J334" s="129">
        <f t="shared" si="5"/>
        <v>2088988</v>
      </c>
      <c r="K334" s="130">
        <v>198453.86</v>
      </c>
      <c r="L334" s="66">
        <v>10</v>
      </c>
      <c r="M334" s="131"/>
    </row>
    <row r="335" spans="2:13" s="132" customFormat="1" ht="60" x14ac:dyDescent="0.3">
      <c r="B335" s="127">
        <v>323</v>
      </c>
      <c r="C335" s="78" t="s">
        <v>778</v>
      </c>
      <c r="D335" s="78" t="s">
        <v>779</v>
      </c>
      <c r="E335" s="54" t="s">
        <v>780</v>
      </c>
      <c r="F335" s="128" t="s">
        <v>453</v>
      </c>
      <c r="G335" s="66">
        <v>2017</v>
      </c>
      <c r="H335" s="86">
        <v>105000</v>
      </c>
      <c r="I335" s="66">
        <v>1</v>
      </c>
      <c r="J335" s="129">
        <f t="shared" si="5"/>
        <v>105000</v>
      </c>
      <c r="K335" s="130">
        <v>9975</v>
      </c>
      <c r="L335" s="66">
        <v>10</v>
      </c>
      <c r="M335" s="131"/>
    </row>
    <row r="336" spans="2:13" s="132" customFormat="1" ht="48" x14ac:dyDescent="0.3">
      <c r="B336" s="127">
        <v>324</v>
      </c>
      <c r="C336" s="78" t="s">
        <v>781</v>
      </c>
      <c r="D336" s="78" t="s">
        <v>782</v>
      </c>
      <c r="E336" s="54" t="s">
        <v>783</v>
      </c>
      <c r="F336" s="128" t="s">
        <v>453</v>
      </c>
      <c r="G336" s="66">
        <v>2017</v>
      </c>
      <c r="H336" s="86">
        <v>400000</v>
      </c>
      <c r="I336" s="66">
        <v>1</v>
      </c>
      <c r="J336" s="129">
        <f t="shared" si="5"/>
        <v>400000</v>
      </c>
      <c r="K336" s="130">
        <v>38000</v>
      </c>
      <c r="L336" s="66">
        <v>10</v>
      </c>
      <c r="M336" s="131"/>
    </row>
    <row r="337" spans="2:13" s="132" customFormat="1" ht="60" x14ac:dyDescent="0.3">
      <c r="B337" s="127">
        <v>325</v>
      </c>
      <c r="C337" s="78" t="s">
        <v>784</v>
      </c>
      <c r="D337" s="78" t="s">
        <v>785</v>
      </c>
      <c r="E337" s="54" t="s">
        <v>786</v>
      </c>
      <c r="F337" s="128" t="s">
        <v>453</v>
      </c>
      <c r="G337" s="66">
        <v>2017</v>
      </c>
      <c r="H337" s="86">
        <v>115000</v>
      </c>
      <c r="I337" s="66">
        <v>1</v>
      </c>
      <c r="J337" s="129">
        <f t="shared" si="5"/>
        <v>115000</v>
      </c>
      <c r="K337" s="130">
        <v>10925</v>
      </c>
      <c r="L337" s="66">
        <v>10</v>
      </c>
      <c r="M337" s="131"/>
    </row>
    <row r="338" spans="2:13" s="132" customFormat="1" ht="60" x14ac:dyDescent="0.3">
      <c r="B338" s="127">
        <v>326</v>
      </c>
      <c r="C338" s="78" t="s">
        <v>787</v>
      </c>
      <c r="D338" s="78" t="s">
        <v>788</v>
      </c>
      <c r="E338" s="54" t="s">
        <v>789</v>
      </c>
      <c r="F338" s="128" t="s">
        <v>453</v>
      </c>
      <c r="G338" s="66">
        <v>2017</v>
      </c>
      <c r="H338" s="86">
        <v>700000</v>
      </c>
      <c r="I338" s="66">
        <v>1</v>
      </c>
      <c r="J338" s="129">
        <f t="shared" si="5"/>
        <v>700000</v>
      </c>
      <c r="K338" s="130">
        <v>66500</v>
      </c>
      <c r="L338" s="66">
        <v>10</v>
      </c>
      <c r="M338" s="131"/>
    </row>
    <row r="339" spans="2:13" s="132" customFormat="1" ht="60" x14ac:dyDescent="0.3">
      <c r="B339" s="127">
        <v>327</v>
      </c>
      <c r="C339" s="78" t="s">
        <v>863</v>
      </c>
      <c r="D339" s="78" t="s">
        <v>864</v>
      </c>
      <c r="E339" s="54" t="s">
        <v>865</v>
      </c>
      <c r="F339" s="128" t="s">
        <v>455</v>
      </c>
      <c r="G339" s="66">
        <v>2017</v>
      </c>
      <c r="H339" s="86">
        <v>27000</v>
      </c>
      <c r="I339" s="68">
        <v>1</v>
      </c>
      <c r="J339" s="129">
        <f t="shared" si="5"/>
        <v>27000</v>
      </c>
      <c r="K339" s="130">
        <v>2565</v>
      </c>
      <c r="L339" s="66">
        <v>10</v>
      </c>
      <c r="M339" s="131"/>
    </row>
    <row r="340" spans="2:13" s="132" customFormat="1" ht="36" x14ac:dyDescent="0.3">
      <c r="B340" s="127">
        <v>328</v>
      </c>
      <c r="C340" s="69" t="s">
        <v>866</v>
      </c>
      <c r="D340" s="69" t="s">
        <v>641</v>
      </c>
      <c r="E340" s="56" t="s">
        <v>642</v>
      </c>
      <c r="F340" s="128" t="s">
        <v>455</v>
      </c>
      <c r="G340" s="66">
        <v>2017</v>
      </c>
      <c r="H340" s="88">
        <v>60000</v>
      </c>
      <c r="I340" s="68">
        <v>1</v>
      </c>
      <c r="J340" s="129">
        <f t="shared" si="5"/>
        <v>60000</v>
      </c>
      <c r="K340" s="130">
        <v>5700</v>
      </c>
      <c r="L340" s="66">
        <v>10</v>
      </c>
      <c r="M340" s="131"/>
    </row>
    <row r="341" spans="2:13" s="132" customFormat="1" ht="48" x14ac:dyDescent="0.3">
      <c r="B341" s="127">
        <v>329</v>
      </c>
      <c r="C341" s="78" t="s">
        <v>867</v>
      </c>
      <c r="D341" s="78" t="s">
        <v>638</v>
      </c>
      <c r="E341" s="54" t="s">
        <v>639</v>
      </c>
      <c r="F341" s="128" t="s">
        <v>455</v>
      </c>
      <c r="G341" s="66">
        <v>2017</v>
      </c>
      <c r="H341" s="86">
        <v>41888</v>
      </c>
      <c r="I341" s="68">
        <v>3</v>
      </c>
      <c r="J341" s="129">
        <f t="shared" si="5"/>
        <v>125664</v>
      </c>
      <c r="K341" s="130">
        <v>3979.3599999999997</v>
      </c>
      <c r="L341" s="66">
        <v>10</v>
      </c>
      <c r="M341" s="131"/>
    </row>
    <row r="342" spans="2:13" s="132" customFormat="1" ht="60" x14ac:dyDescent="0.3">
      <c r="B342" s="127">
        <v>330</v>
      </c>
      <c r="C342" s="78" t="s">
        <v>947</v>
      </c>
      <c r="D342" s="78" t="s">
        <v>948</v>
      </c>
      <c r="E342" s="54" t="s">
        <v>949</v>
      </c>
      <c r="F342" s="128" t="s">
        <v>457</v>
      </c>
      <c r="G342" s="66">
        <v>2017</v>
      </c>
      <c r="H342" s="86">
        <v>508000</v>
      </c>
      <c r="I342" s="66">
        <v>1</v>
      </c>
      <c r="J342" s="129">
        <f t="shared" si="5"/>
        <v>508000</v>
      </c>
      <c r="K342" s="130">
        <v>48260</v>
      </c>
      <c r="L342" s="66">
        <v>10</v>
      </c>
      <c r="M342" s="131"/>
    </row>
    <row r="343" spans="2:13" s="132" customFormat="1" ht="36" x14ac:dyDescent="0.3">
      <c r="B343" s="127">
        <v>331</v>
      </c>
      <c r="C343" s="78" t="s">
        <v>950</v>
      </c>
      <c r="D343" s="78" t="s">
        <v>951</v>
      </c>
      <c r="E343" s="54" t="s">
        <v>952</v>
      </c>
      <c r="F343" s="128" t="s">
        <v>457</v>
      </c>
      <c r="G343" s="66">
        <v>2017</v>
      </c>
      <c r="H343" s="86">
        <v>0</v>
      </c>
      <c r="I343" s="66">
        <v>1</v>
      </c>
      <c r="J343" s="129">
        <f t="shared" si="5"/>
        <v>0</v>
      </c>
      <c r="K343" s="130">
        <v>0</v>
      </c>
      <c r="L343" s="66">
        <v>10</v>
      </c>
      <c r="M343" s="131"/>
    </row>
    <row r="344" spans="2:13" s="132" customFormat="1" ht="36" x14ac:dyDescent="0.3">
      <c r="B344" s="127">
        <v>332</v>
      </c>
      <c r="C344" s="78" t="s">
        <v>953</v>
      </c>
      <c r="D344" s="78" t="s">
        <v>954</v>
      </c>
      <c r="E344" s="54" t="s">
        <v>955</v>
      </c>
      <c r="F344" s="128" t="s">
        <v>457</v>
      </c>
      <c r="G344" s="66">
        <v>2017</v>
      </c>
      <c r="H344" s="86">
        <v>0</v>
      </c>
      <c r="I344" s="66">
        <v>1</v>
      </c>
      <c r="J344" s="129">
        <f t="shared" si="5"/>
        <v>0</v>
      </c>
      <c r="K344" s="130">
        <v>0</v>
      </c>
      <c r="L344" s="66">
        <v>10</v>
      </c>
      <c r="M344" s="131"/>
    </row>
    <row r="345" spans="2:13" s="132" customFormat="1" ht="36" x14ac:dyDescent="0.3">
      <c r="B345" s="127">
        <v>333</v>
      </c>
      <c r="C345" s="78" t="s">
        <v>956</v>
      </c>
      <c r="D345" s="78" t="s">
        <v>957</v>
      </c>
      <c r="E345" s="54" t="s">
        <v>958</v>
      </c>
      <c r="F345" s="128" t="s">
        <v>457</v>
      </c>
      <c r="G345" s="66">
        <v>2017</v>
      </c>
      <c r="H345" s="86">
        <v>0</v>
      </c>
      <c r="I345" s="66">
        <v>1</v>
      </c>
      <c r="J345" s="129">
        <f t="shared" si="5"/>
        <v>0</v>
      </c>
      <c r="K345" s="130">
        <v>0</v>
      </c>
      <c r="L345" s="66">
        <v>10</v>
      </c>
      <c r="M345" s="131"/>
    </row>
    <row r="346" spans="2:13" s="132" customFormat="1" ht="48" x14ac:dyDescent="0.3">
      <c r="B346" s="127">
        <v>334</v>
      </c>
      <c r="C346" s="78" t="s">
        <v>959</v>
      </c>
      <c r="D346" s="81" t="s">
        <v>960</v>
      </c>
      <c r="E346" s="82" t="s">
        <v>961</v>
      </c>
      <c r="F346" s="128" t="s">
        <v>457</v>
      </c>
      <c r="G346" s="66">
        <v>2017</v>
      </c>
      <c r="H346" s="86">
        <v>25000</v>
      </c>
      <c r="I346" s="66">
        <v>2</v>
      </c>
      <c r="J346" s="129">
        <f t="shared" si="5"/>
        <v>50000</v>
      </c>
      <c r="K346" s="130">
        <v>2375</v>
      </c>
      <c r="L346" s="66">
        <v>10</v>
      </c>
      <c r="M346" s="131"/>
    </row>
    <row r="347" spans="2:13" s="132" customFormat="1" ht="48" x14ac:dyDescent="0.3">
      <c r="B347" s="127">
        <v>335</v>
      </c>
      <c r="C347" s="78" t="s">
        <v>962</v>
      </c>
      <c r="D347" s="78" t="s">
        <v>963</v>
      </c>
      <c r="E347" s="54" t="s">
        <v>964</v>
      </c>
      <c r="F347" s="128" t="s">
        <v>457</v>
      </c>
      <c r="G347" s="66">
        <v>2017</v>
      </c>
      <c r="H347" s="86">
        <v>2300000</v>
      </c>
      <c r="I347" s="66">
        <v>1</v>
      </c>
      <c r="J347" s="129">
        <f t="shared" si="5"/>
        <v>2300000</v>
      </c>
      <c r="K347" s="130">
        <v>218500</v>
      </c>
      <c r="L347" s="66">
        <v>10</v>
      </c>
      <c r="M347" s="131"/>
    </row>
    <row r="348" spans="2:13" s="132" customFormat="1" ht="48" x14ac:dyDescent="0.3">
      <c r="B348" s="127">
        <v>336</v>
      </c>
      <c r="C348" s="78" t="s">
        <v>965</v>
      </c>
      <c r="D348" s="78" t="s">
        <v>966</v>
      </c>
      <c r="E348" s="54" t="s">
        <v>967</v>
      </c>
      <c r="F348" s="128" t="s">
        <v>457</v>
      </c>
      <c r="G348" s="66">
        <v>2017</v>
      </c>
      <c r="H348" s="86">
        <v>47777</v>
      </c>
      <c r="I348" s="66">
        <v>10</v>
      </c>
      <c r="J348" s="129">
        <f t="shared" si="5"/>
        <v>477770</v>
      </c>
      <c r="K348" s="130">
        <v>4538.8150000000005</v>
      </c>
      <c r="L348" s="66">
        <v>10</v>
      </c>
      <c r="M348" s="131"/>
    </row>
    <row r="349" spans="2:13" s="132" customFormat="1" ht="84" x14ac:dyDescent="0.3">
      <c r="B349" s="127">
        <v>337</v>
      </c>
      <c r="C349" s="78" t="s">
        <v>968</v>
      </c>
      <c r="D349" s="78" t="s">
        <v>638</v>
      </c>
      <c r="E349" s="54" t="s">
        <v>639</v>
      </c>
      <c r="F349" s="128" t="s">
        <v>457</v>
      </c>
      <c r="G349" s="66">
        <v>2017</v>
      </c>
      <c r="H349" s="86">
        <v>41888</v>
      </c>
      <c r="I349" s="68">
        <v>5</v>
      </c>
      <c r="J349" s="129">
        <f t="shared" si="5"/>
        <v>209440</v>
      </c>
      <c r="K349" s="130">
        <v>3979.3599999999997</v>
      </c>
      <c r="L349" s="66">
        <v>10</v>
      </c>
      <c r="M349" s="131"/>
    </row>
    <row r="350" spans="2:13" s="132" customFormat="1" ht="60" x14ac:dyDescent="0.3">
      <c r="B350" s="127">
        <v>338</v>
      </c>
      <c r="C350" s="78" t="s">
        <v>969</v>
      </c>
      <c r="D350" s="78" t="s">
        <v>970</v>
      </c>
      <c r="E350" s="54" t="s">
        <v>971</v>
      </c>
      <c r="F350" s="128" t="s">
        <v>457</v>
      </c>
      <c r="G350" s="66">
        <v>2017</v>
      </c>
      <c r="H350" s="86">
        <v>83330</v>
      </c>
      <c r="I350" s="66">
        <v>2</v>
      </c>
      <c r="J350" s="129">
        <f t="shared" si="5"/>
        <v>166660</v>
      </c>
      <c r="K350" s="130">
        <v>7916.35</v>
      </c>
      <c r="L350" s="66">
        <v>10</v>
      </c>
      <c r="M350" s="131"/>
    </row>
    <row r="351" spans="2:13" s="132" customFormat="1" ht="72" x14ac:dyDescent="0.3">
      <c r="B351" s="127">
        <v>339</v>
      </c>
      <c r="C351" s="78" t="s">
        <v>972</v>
      </c>
      <c r="D351" s="78" t="s">
        <v>973</v>
      </c>
      <c r="E351" s="54" t="s">
        <v>974</v>
      </c>
      <c r="F351" s="128" t="s">
        <v>457</v>
      </c>
      <c r="G351" s="66">
        <v>2017</v>
      </c>
      <c r="H351" s="86">
        <v>165500</v>
      </c>
      <c r="I351" s="66">
        <v>4</v>
      </c>
      <c r="J351" s="129">
        <f t="shared" si="5"/>
        <v>662000</v>
      </c>
      <c r="K351" s="130">
        <v>15722.5</v>
      </c>
      <c r="L351" s="66">
        <v>10</v>
      </c>
      <c r="M351" s="131"/>
    </row>
    <row r="352" spans="2:13" s="132" customFormat="1" ht="48" x14ac:dyDescent="0.3">
      <c r="B352" s="127">
        <v>340</v>
      </c>
      <c r="C352" s="78" t="s">
        <v>962</v>
      </c>
      <c r="D352" s="78" t="s">
        <v>963</v>
      </c>
      <c r="E352" s="54" t="s">
        <v>975</v>
      </c>
      <c r="F352" s="128" t="s">
        <v>457</v>
      </c>
      <c r="G352" s="66">
        <v>2017</v>
      </c>
      <c r="H352" s="86">
        <v>2300000</v>
      </c>
      <c r="I352" s="66">
        <v>1</v>
      </c>
      <c r="J352" s="129">
        <f t="shared" si="5"/>
        <v>2300000</v>
      </c>
      <c r="K352" s="130">
        <v>218500</v>
      </c>
      <c r="L352" s="66">
        <v>10</v>
      </c>
      <c r="M352" s="131"/>
    </row>
    <row r="353" spans="2:13" s="132" customFormat="1" ht="60" x14ac:dyDescent="0.3">
      <c r="B353" s="127">
        <v>341</v>
      </c>
      <c r="C353" s="78" t="s">
        <v>976</v>
      </c>
      <c r="D353" s="78" t="s">
        <v>977</v>
      </c>
      <c r="E353" s="54" t="s">
        <v>978</v>
      </c>
      <c r="F353" s="128" t="s">
        <v>457</v>
      </c>
      <c r="G353" s="66">
        <v>2017</v>
      </c>
      <c r="H353" s="86">
        <v>1944000</v>
      </c>
      <c r="I353" s="66">
        <v>2</v>
      </c>
      <c r="J353" s="129">
        <f t="shared" si="5"/>
        <v>3888000</v>
      </c>
      <c r="K353" s="130">
        <v>184680</v>
      </c>
      <c r="L353" s="66">
        <v>10</v>
      </c>
      <c r="M353" s="131"/>
    </row>
    <row r="354" spans="2:13" s="132" customFormat="1" ht="60" x14ac:dyDescent="0.3">
      <c r="B354" s="127">
        <v>342</v>
      </c>
      <c r="C354" s="78" t="s">
        <v>979</v>
      </c>
      <c r="D354" s="78" t="s">
        <v>980</v>
      </c>
      <c r="E354" s="54" t="s">
        <v>981</v>
      </c>
      <c r="F354" s="128" t="s">
        <v>457</v>
      </c>
      <c r="G354" s="66">
        <v>2017</v>
      </c>
      <c r="H354" s="86">
        <v>896000</v>
      </c>
      <c r="I354" s="66">
        <v>2</v>
      </c>
      <c r="J354" s="129">
        <f t="shared" si="5"/>
        <v>1792000</v>
      </c>
      <c r="K354" s="130">
        <v>85120</v>
      </c>
      <c r="L354" s="66">
        <v>10</v>
      </c>
      <c r="M354" s="131"/>
    </row>
    <row r="355" spans="2:13" s="132" customFormat="1" ht="48" x14ac:dyDescent="0.3">
      <c r="B355" s="127">
        <v>343</v>
      </c>
      <c r="C355" s="78" t="s">
        <v>1004</v>
      </c>
      <c r="D355" s="78" t="s">
        <v>638</v>
      </c>
      <c r="E355" s="54" t="s">
        <v>639</v>
      </c>
      <c r="F355" s="128" t="s">
        <v>458</v>
      </c>
      <c r="G355" s="66">
        <v>2017</v>
      </c>
      <c r="H355" s="86">
        <v>41888</v>
      </c>
      <c r="I355" s="68">
        <v>1</v>
      </c>
      <c r="J355" s="129">
        <f t="shared" si="5"/>
        <v>41888</v>
      </c>
      <c r="K355" s="130">
        <v>3979.3599999999997</v>
      </c>
      <c r="L355" s="66">
        <v>10</v>
      </c>
      <c r="M355" s="131"/>
    </row>
    <row r="356" spans="2:13" s="132" customFormat="1" ht="48" x14ac:dyDescent="0.3">
      <c r="B356" s="127">
        <v>344</v>
      </c>
      <c r="C356" s="78" t="s">
        <v>1005</v>
      </c>
      <c r="D356" s="78" t="s">
        <v>638</v>
      </c>
      <c r="E356" s="54" t="s">
        <v>639</v>
      </c>
      <c r="F356" s="128" t="s">
        <v>458</v>
      </c>
      <c r="G356" s="66">
        <v>2017</v>
      </c>
      <c r="H356" s="86">
        <v>41888</v>
      </c>
      <c r="I356" s="68">
        <v>1</v>
      </c>
      <c r="J356" s="129">
        <f t="shared" si="5"/>
        <v>41888</v>
      </c>
      <c r="K356" s="130">
        <v>3979.3599999999997</v>
      </c>
      <c r="L356" s="66">
        <v>10</v>
      </c>
      <c r="M356" s="131"/>
    </row>
    <row r="357" spans="2:13" s="132" customFormat="1" ht="60" x14ac:dyDescent="0.3">
      <c r="B357" s="127">
        <v>345</v>
      </c>
      <c r="C357" s="78" t="s">
        <v>1006</v>
      </c>
      <c r="D357" s="78" t="s">
        <v>864</v>
      </c>
      <c r="E357" s="54" t="s">
        <v>865</v>
      </c>
      <c r="F357" s="128" t="s">
        <v>458</v>
      </c>
      <c r="G357" s="66">
        <v>2017</v>
      </c>
      <c r="H357" s="86">
        <v>27000</v>
      </c>
      <c r="I357" s="68">
        <v>1</v>
      </c>
      <c r="J357" s="129">
        <f t="shared" si="5"/>
        <v>27000</v>
      </c>
      <c r="K357" s="130">
        <v>2565</v>
      </c>
      <c r="L357" s="66">
        <v>10</v>
      </c>
      <c r="M357" s="131"/>
    </row>
    <row r="358" spans="2:13" s="132" customFormat="1" ht="36" x14ac:dyDescent="0.3">
      <c r="B358" s="127">
        <v>346</v>
      </c>
      <c r="C358" s="78" t="s">
        <v>1007</v>
      </c>
      <c r="D358" s="78" t="s">
        <v>641</v>
      </c>
      <c r="E358" s="54" t="s">
        <v>1008</v>
      </c>
      <c r="F358" s="128" t="s">
        <v>458</v>
      </c>
      <c r="G358" s="66">
        <v>2017</v>
      </c>
      <c r="H358" s="86">
        <v>60000</v>
      </c>
      <c r="I358" s="68">
        <v>1</v>
      </c>
      <c r="J358" s="129">
        <f t="shared" si="5"/>
        <v>60000</v>
      </c>
      <c r="K358" s="130">
        <v>5700</v>
      </c>
      <c r="L358" s="66">
        <v>10</v>
      </c>
      <c r="M358" s="131"/>
    </row>
    <row r="359" spans="2:13" s="132" customFormat="1" ht="48" x14ac:dyDescent="0.3">
      <c r="B359" s="127">
        <v>347</v>
      </c>
      <c r="C359" s="78" t="s">
        <v>1090</v>
      </c>
      <c r="D359" s="78" t="s">
        <v>1091</v>
      </c>
      <c r="E359" s="54" t="s">
        <v>1092</v>
      </c>
      <c r="F359" s="128" t="s">
        <v>440</v>
      </c>
      <c r="G359" s="66">
        <v>2017</v>
      </c>
      <c r="H359" s="86">
        <v>495000</v>
      </c>
      <c r="I359" s="66">
        <v>1</v>
      </c>
      <c r="J359" s="129">
        <f t="shared" si="5"/>
        <v>495000</v>
      </c>
      <c r="K359" s="130">
        <v>47025</v>
      </c>
      <c r="L359" s="66">
        <v>10</v>
      </c>
      <c r="M359" s="131"/>
    </row>
    <row r="360" spans="2:13" s="132" customFormat="1" ht="108" x14ac:dyDescent="0.3">
      <c r="B360" s="127">
        <v>348</v>
      </c>
      <c r="C360" s="78" t="s">
        <v>1093</v>
      </c>
      <c r="D360" s="78" t="s">
        <v>1094</v>
      </c>
      <c r="E360" s="54" t="s">
        <v>1095</v>
      </c>
      <c r="F360" s="128" t="s">
        <v>440</v>
      </c>
      <c r="G360" s="66">
        <v>2017</v>
      </c>
      <c r="H360" s="86">
        <v>488650</v>
      </c>
      <c r="I360" s="68">
        <v>1</v>
      </c>
      <c r="J360" s="129">
        <f t="shared" si="5"/>
        <v>488650</v>
      </c>
      <c r="K360" s="130">
        <v>46421.75</v>
      </c>
      <c r="L360" s="66">
        <v>10</v>
      </c>
      <c r="M360" s="131"/>
    </row>
    <row r="361" spans="2:13" s="132" customFormat="1" ht="48" x14ac:dyDescent="0.3">
      <c r="B361" s="127">
        <v>349</v>
      </c>
      <c r="C361" s="78" t="s">
        <v>1096</v>
      </c>
      <c r="D361" s="78" t="s">
        <v>638</v>
      </c>
      <c r="E361" s="54" t="s">
        <v>639</v>
      </c>
      <c r="F361" s="128" t="s">
        <v>440</v>
      </c>
      <c r="G361" s="66">
        <v>2017</v>
      </c>
      <c r="H361" s="86">
        <v>41888</v>
      </c>
      <c r="I361" s="68">
        <v>1</v>
      </c>
      <c r="J361" s="129">
        <f t="shared" si="5"/>
        <v>41888</v>
      </c>
      <c r="K361" s="130">
        <v>3979.3599999999997</v>
      </c>
      <c r="L361" s="66">
        <v>10</v>
      </c>
      <c r="M361" s="131"/>
    </row>
    <row r="362" spans="2:13" s="132" customFormat="1" ht="49.5" x14ac:dyDescent="0.3">
      <c r="B362" s="127">
        <v>350</v>
      </c>
      <c r="C362" s="78" t="s">
        <v>1222</v>
      </c>
      <c r="D362" s="78" t="s">
        <v>1223</v>
      </c>
      <c r="E362" s="54" t="s">
        <v>1224</v>
      </c>
      <c r="F362" s="128" t="s">
        <v>441</v>
      </c>
      <c r="G362" s="66">
        <v>2017</v>
      </c>
      <c r="H362" s="86">
        <v>594000</v>
      </c>
      <c r="I362" s="68">
        <v>2</v>
      </c>
      <c r="J362" s="129">
        <f t="shared" si="5"/>
        <v>1188000</v>
      </c>
      <c r="K362" s="130">
        <v>56430</v>
      </c>
      <c r="L362" s="66">
        <v>10</v>
      </c>
      <c r="M362" s="131"/>
    </row>
    <row r="363" spans="2:13" s="132" customFormat="1" ht="60" x14ac:dyDescent="0.3">
      <c r="B363" s="127">
        <v>351</v>
      </c>
      <c r="C363" s="78" t="s">
        <v>1225</v>
      </c>
      <c r="D363" s="78" t="s">
        <v>1226</v>
      </c>
      <c r="E363" s="54" t="s">
        <v>1227</v>
      </c>
      <c r="F363" s="128" t="s">
        <v>441</v>
      </c>
      <c r="G363" s="66">
        <v>2017</v>
      </c>
      <c r="H363" s="86">
        <v>1744000</v>
      </c>
      <c r="I363" s="68">
        <v>1</v>
      </c>
      <c r="J363" s="129">
        <f t="shared" si="5"/>
        <v>1744000</v>
      </c>
      <c r="K363" s="130">
        <v>165680</v>
      </c>
      <c r="L363" s="66">
        <v>10</v>
      </c>
      <c r="M363" s="131"/>
    </row>
    <row r="364" spans="2:13" s="132" customFormat="1" ht="36" x14ac:dyDescent="0.3">
      <c r="B364" s="127">
        <v>352</v>
      </c>
      <c r="C364" s="78" t="s">
        <v>1285</v>
      </c>
      <c r="D364" s="78" t="s">
        <v>1286</v>
      </c>
      <c r="E364" s="54" t="s">
        <v>1287</v>
      </c>
      <c r="F364" s="128" t="s">
        <v>459</v>
      </c>
      <c r="G364" s="66">
        <v>2017</v>
      </c>
      <c r="H364" s="86">
        <v>118000</v>
      </c>
      <c r="I364" s="66">
        <v>1</v>
      </c>
      <c r="J364" s="129">
        <f t="shared" si="5"/>
        <v>118000</v>
      </c>
      <c r="K364" s="130">
        <v>11210</v>
      </c>
      <c r="L364" s="66">
        <v>10</v>
      </c>
      <c r="M364" s="131"/>
    </row>
    <row r="365" spans="2:13" s="132" customFormat="1" ht="96" x14ac:dyDescent="0.3">
      <c r="B365" s="127">
        <v>353</v>
      </c>
      <c r="C365" s="78" t="s">
        <v>1288</v>
      </c>
      <c r="D365" s="78" t="s">
        <v>1289</v>
      </c>
      <c r="E365" s="54" t="s">
        <v>1290</v>
      </c>
      <c r="F365" s="128" t="s">
        <v>459</v>
      </c>
      <c r="G365" s="66">
        <v>2017</v>
      </c>
      <c r="H365" s="86">
        <v>20498</v>
      </c>
      <c r="I365" s="66">
        <v>2</v>
      </c>
      <c r="J365" s="129">
        <f t="shared" si="5"/>
        <v>40996</v>
      </c>
      <c r="K365" s="130">
        <v>1947.31</v>
      </c>
      <c r="L365" s="66">
        <v>10</v>
      </c>
      <c r="M365" s="131"/>
    </row>
    <row r="366" spans="2:13" s="132" customFormat="1" ht="72" x14ac:dyDescent="0.3">
      <c r="B366" s="127">
        <v>354</v>
      </c>
      <c r="C366" s="78" t="s">
        <v>1291</v>
      </c>
      <c r="D366" s="78" t="s">
        <v>1292</v>
      </c>
      <c r="E366" s="54" t="s">
        <v>1293</v>
      </c>
      <c r="F366" s="128" t="s">
        <v>459</v>
      </c>
      <c r="G366" s="66">
        <v>2017</v>
      </c>
      <c r="H366" s="86">
        <v>38000</v>
      </c>
      <c r="I366" s="66">
        <v>4</v>
      </c>
      <c r="J366" s="129">
        <f t="shared" si="5"/>
        <v>152000</v>
      </c>
      <c r="K366" s="130">
        <v>3610</v>
      </c>
      <c r="L366" s="66">
        <v>10</v>
      </c>
      <c r="M366" s="131"/>
    </row>
    <row r="367" spans="2:13" s="132" customFormat="1" ht="84" x14ac:dyDescent="0.3">
      <c r="B367" s="127">
        <v>355</v>
      </c>
      <c r="C367" s="78" t="s">
        <v>1294</v>
      </c>
      <c r="D367" s="78" t="s">
        <v>657</v>
      </c>
      <c r="E367" s="54" t="s">
        <v>666</v>
      </c>
      <c r="F367" s="128" t="s">
        <v>459</v>
      </c>
      <c r="G367" s="66">
        <v>2017</v>
      </c>
      <c r="H367" s="86">
        <v>70775</v>
      </c>
      <c r="I367" s="66">
        <v>5</v>
      </c>
      <c r="J367" s="129">
        <f t="shared" si="5"/>
        <v>353875</v>
      </c>
      <c r="K367" s="130">
        <v>6723.625</v>
      </c>
      <c r="L367" s="66">
        <v>10</v>
      </c>
      <c r="M367" s="131"/>
    </row>
    <row r="368" spans="2:13" s="132" customFormat="1" ht="72" x14ac:dyDescent="0.3">
      <c r="B368" s="127">
        <v>356</v>
      </c>
      <c r="C368" s="78" t="s">
        <v>1295</v>
      </c>
      <c r="D368" s="78" t="s">
        <v>1296</v>
      </c>
      <c r="E368" s="54" t="s">
        <v>1297</v>
      </c>
      <c r="F368" s="128" t="s">
        <v>459</v>
      </c>
      <c r="G368" s="66">
        <v>2017</v>
      </c>
      <c r="H368" s="86">
        <v>85250</v>
      </c>
      <c r="I368" s="66">
        <v>4</v>
      </c>
      <c r="J368" s="129">
        <f t="shared" si="5"/>
        <v>341000</v>
      </c>
      <c r="K368" s="130">
        <v>8098.75</v>
      </c>
      <c r="L368" s="66">
        <v>10</v>
      </c>
      <c r="M368" s="131"/>
    </row>
    <row r="369" spans="2:13" s="132" customFormat="1" ht="108" x14ac:dyDescent="0.3">
      <c r="B369" s="127">
        <v>357</v>
      </c>
      <c r="C369" s="78" t="s">
        <v>1298</v>
      </c>
      <c r="D369" s="78" t="s">
        <v>1094</v>
      </c>
      <c r="E369" s="54" t="s">
        <v>1095</v>
      </c>
      <c r="F369" s="128" t="s">
        <v>459</v>
      </c>
      <c r="G369" s="66">
        <v>2017</v>
      </c>
      <c r="H369" s="86">
        <v>488650</v>
      </c>
      <c r="I369" s="68">
        <v>1</v>
      </c>
      <c r="J369" s="129">
        <f t="shared" si="5"/>
        <v>488650</v>
      </c>
      <c r="K369" s="130">
        <v>46421.75</v>
      </c>
      <c r="L369" s="66">
        <v>10</v>
      </c>
      <c r="M369" s="131"/>
    </row>
    <row r="370" spans="2:13" s="132" customFormat="1" ht="48" x14ac:dyDescent="0.3">
      <c r="B370" s="127">
        <v>358</v>
      </c>
      <c r="C370" s="78" t="s">
        <v>1299</v>
      </c>
      <c r="D370" s="78" t="s">
        <v>657</v>
      </c>
      <c r="E370" s="54" t="s">
        <v>1300</v>
      </c>
      <c r="F370" s="128" t="s">
        <v>459</v>
      </c>
      <c r="G370" s="66">
        <v>2017</v>
      </c>
      <c r="H370" s="86">
        <v>73500</v>
      </c>
      <c r="I370" s="68">
        <v>2</v>
      </c>
      <c r="J370" s="129">
        <f t="shared" si="5"/>
        <v>147000</v>
      </c>
      <c r="K370" s="130">
        <v>6982.5</v>
      </c>
      <c r="L370" s="66">
        <v>10</v>
      </c>
      <c r="M370" s="131"/>
    </row>
    <row r="371" spans="2:13" s="132" customFormat="1" ht="60" x14ac:dyDescent="0.3">
      <c r="B371" s="127">
        <v>359</v>
      </c>
      <c r="C371" s="78" t="s">
        <v>1301</v>
      </c>
      <c r="D371" s="78" t="s">
        <v>1302</v>
      </c>
      <c r="E371" s="54" t="s">
        <v>1303</v>
      </c>
      <c r="F371" s="128" t="s">
        <v>459</v>
      </c>
      <c r="G371" s="66">
        <v>2017</v>
      </c>
      <c r="H371" s="86">
        <v>164000</v>
      </c>
      <c r="I371" s="68">
        <v>2</v>
      </c>
      <c r="J371" s="129">
        <f t="shared" si="5"/>
        <v>328000</v>
      </c>
      <c r="K371" s="130">
        <v>15580</v>
      </c>
      <c r="L371" s="66">
        <v>10</v>
      </c>
      <c r="M371" s="131"/>
    </row>
    <row r="372" spans="2:13" s="132" customFormat="1" ht="108" x14ac:dyDescent="0.3">
      <c r="B372" s="127">
        <v>360</v>
      </c>
      <c r="C372" s="78" t="s">
        <v>1304</v>
      </c>
      <c r="D372" s="78" t="s">
        <v>1305</v>
      </c>
      <c r="E372" s="54" t="s">
        <v>1306</v>
      </c>
      <c r="F372" s="128" t="s">
        <v>459</v>
      </c>
      <c r="G372" s="66">
        <v>2017</v>
      </c>
      <c r="H372" s="86">
        <v>318390</v>
      </c>
      <c r="I372" s="68">
        <v>7</v>
      </c>
      <c r="J372" s="129">
        <f t="shared" si="5"/>
        <v>2228730</v>
      </c>
      <c r="K372" s="130">
        <v>30247.05</v>
      </c>
      <c r="L372" s="66">
        <v>10</v>
      </c>
      <c r="M372" s="131"/>
    </row>
    <row r="373" spans="2:13" s="132" customFormat="1" ht="36" x14ac:dyDescent="0.3">
      <c r="B373" s="127">
        <v>361</v>
      </c>
      <c r="C373" s="78" t="s">
        <v>1307</v>
      </c>
      <c r="D373" s="78" t="s">
        <v>1308</v>
      </c>
      <c r="E373" s="54" t="s">
        <v>1309</v>
      </c>
      <c r="F373" s="128" t="s">
        <v>459</v>
      </c>
      <c r="G373" s="66">
        <v>2017</v>
      </c>
      <c r="H373" s="65">
        <v>287640</v>
      </c>
      <c r="I373" s="68">
        <v>2</v>
      </c>
      <c r="J373" s="129">
        <f t="shared" si="5"/>
        <v>575280</v>
      </c>
      <c r="K373" s="130">
        <v>0</v>
      </c>
      <c r="L373" s="66">
        <v>10</v>
      </c>
      <c r="M373" s="131"/>
    </row>
    <row r="374" spans="2:13" s="132" customFormat="1" ht="36" x14ac:dyDescent="0.3">
      <c r="B374" s="127">
        <v>362</v>
      </c>
      <c r="C374" s="78" t="s">
        <v>1310</v>
      </c>
      <c r="D374" s="78" t="s">
        <v>1311</v>
      </c>
      <c r="E374" s="54" t="s">
        <v>1312</v>
      </c>
      <c r="F374" s="128" t="s">
        <v>459</v>
      </c>
      <c r="G374" s="66">
        <v>2017</v>
      </c>
      <c r="H374" s="65">
        <v>200000</v>
      </c>
      <c r="I374" s="68">
        <v>2</v>
      </c>
      <c r="J374" s="129">
        <f t="shared" si="5"/>
        <v>400000</v>
      </c>
      <c r="K374" s="130">
        <v>0</v>
      </c>
      <c r="L374" s="66">
        <v>10</v>
      </c>
      <c r="M374" s="131"/>
    </row>
    <row r="375" spans="2:13" s="132" customFormat="1" ht="36" x14ac:dyDescent="0.3">
      <c r="B375" s="127">
        <v>363</v>
      </c>
      <c r="C375" s="78" t="s">
        <v>1313</v>
      </c>
      <c r="D375" s="78" t="s">
        <v>1314</v>
      </c>
      <c r="E375" s="54" t="s">
        <v>1315</v>
      </c>
      <c r="F375" s="128" t="s">
        <v>459</v>
      </c>
      <c r="G375" s="66">
        <v>2017</v>
      </c>
      <c r="H375" s="65">
        <v>85250</v>
      </c>
      <c r="I375" s="68">
        <v>1</v>
      </c>
      <c r="J375" s="129">
        <f t="shared" si="5"/>
        <v>85250</v>
      </c>
      <c r="K375" s="130">
        <v>0</v>
      </c>
      <c r="L375" s="66">
        <v>10</v>
      </c>
      <c r="M375" s="131"/>
    </row>
    <row r="376" spans="2:13" s="132" customFormat="1" ht="36" x14ac:dyDescent="0.3">
      <c r="B376" s="127">
        <v>364</v>
      </c>
      <c r="C376" s="78" t="s">
        <v>1316</v>
      </c>
      <c r="D376" s="78" t="s">
        <v>657</v>
      </c>
      <c r="E376" s="54" t="s">
        <v>1317</v>
      </c>
      <c r="F376" s="128" t="s">
        <v>459</v>
      </c>
      <c r="G376" s="66">
        <v>2017</v>
      </c>
      <c r="H376" s="65">
        <v>70775</v>
      </c>
      <c r="I376" s="68">
        <v>2</v>
      </c>
      <c r="J376" s="129">
        <f t="shared" si="5"/>
        <v>141550</v>
      </c>
      <c r="K376" s="130">
        <v>0</v>
      </c>
      <c r="L376" s="66">
        <v>10</v>
      </c>
      <c r="M376" s="131"/>
    </row>
    <row r="377" spans="2:13" s="132" customFormat="1" ht="36" x14ac:dyDescent="0.3">
      <c r="B377" s="127">
        <v>365</v>
      </c>
      <c r="C377" s="78" t="s">
        <v>1318</v>
      </c>
      <c r="D377" s="78" t="s">
        <v>1319</v>
      </c>
      <c r="E377" s="54" t="s">
        <v>1320</v>
      </c>
      <c r="F377" s="128" t="s">
        <v>459</v>
      </c>
      <c r="G377" s="66">
        <v>2017</v>
      </c>
      <c r="H377" s="65">
        <v>58000</v>
      </c>
      <c r="I377" s="68">
        <v>2</v>
      </c>
      <c r="J377" s="129">
        <f t="shared" si="5"/>
        <v>116000</v>
      </c>
      <c r="K377" s="130">
        <v>0</v>
      </c>
      <c r="L377" s="66">
        <v>10</v>
      </c>
      <c r="M377" s="131"/>
    </row>
    <row r="378" spans="2:13" s="132" customFormat="1" ht="66" x14ac:dyDescent="0.3">
      <c r="B378" s="127">
        <v>366</v>
      </c>
      <c r="C378" s="78" t="s">
        <v>1351</v>
      </c>
      <c r="D378" s="78" t="s">
        <v>1352</v>
      </c>
      <c r="E378" s="54" t="s">
        <v>1353</v>
      </c>
      <c r="F378" s="128" t="s">
        <v>462</v>
      </c>
      <c r="G378" s="66">
        <v>2017</v>
      </c>
      <c r="H378" s="86">
        <v>1794500</v>
      </c>
      <c r="I378" s="66">
        <v>1</v>
      </c>
      <c r="J378" s="129">
        <f t="shared" si="5"/>
        <v>1794500</v>
      </c>
      <c r="K378" s="130">
        <v>170477.5</v>
      </c>
      <c r="L378" s="66">
        <v>10</v>
      </c>
      <c r="M378" s="131"/>
    </row>
    <row r="379" spans="2:13" s="132" customFormat="1" ht="72" x14ac:dyDescent="0.3">
      <c r="B379" s="127">
        <v>367</v>
      </c>
      <c r="C379" s="78" t="s">
        <v>1354</v>
      </c>
      <c r="D379" s="78" t="s">
        <v>1355</v>
      </c>
      <c r="E379" s="54" t="s">
        <v>1356</v>
      </c>
      <c r="F379" s="128" t="s">
        <v>462</v>
      </c>
      <c r="G379" s="66">
        <v>2017</v>
      </c>
      <c r="H379" s="86">
        <v>1182000</v>
      </c>
      <c r="I379" s="66">
        <v>1</v>
      </c>
      <c r="J379" s="129">
        <f t="shared" si="5"/>
        <v>1182000</v>
      </c>
      <c r="K379" s="130">
        <v>112290</v>
      </c>
      <c r="L379" s="66">
        <v>10</v>
      </c>
      <c r="M379" s="131"/>
    </row>
    <row r="380" spans="2:13" s="132" customFormat="1" ht="49.5" x14ac:dyDescent="0.3">
      <c r="B380" s="127">
        <v>368</v>
      </c>
      <c r="C380" s="78" t="s">
        <v>1415</v>
      </c>
      <c r="D380" s="78" t="s">
        <v>1416</v>
      </c>
      <c r="E380" s="54" t="s">
        <v>1417</v>
      </c>
      <c r="F380" s="128" t="s">
        <v>441</v>
      </c>
      <c r="G380" s="66">
        <v>2017</v>
      </c>
      <c r="H380" s="86">
        <v>240000</v>
      </c>
      <c r="I380" s="68">
        <v>1</v>
      </c>
      <c r="J380" s="129">
        <f t="shared" si="5"/>
        <v>240000</v>
      </c>
      <c r="K380" s="130">
        <v>22800</v>
      </c>
      <c r="L380" s="66">
        <v>10</v>
      </c>
      <c r="M380" s="131"/>
    </row>
    <row r="381" spans="2:13" s="132" customFormat="1" ht="60" x14ac:dyDescent="0.3">
      <c r="B381" s="127">
        <v>369</v>
      </c>
      <c r="C381" s="78" t="s">
        <v>1418</v>
      </c>
      <c r="D381" s="78" t="s">
        <v>1419</v>
      </c>
      <c r="E381" s="54" t="s">
        <v>1420</v>
      </c>
      <c r="F381" s="128" t="s">
        <v>441</v>
      </c>
      <c r="G381" s="66">
        <v>2017</v>
      </c>
      <c r="H381" s="86">
        <v>154900</v>
      </c>
      <c r="I381" s="66">
        <v>2</v>
      </c>
      <c r="J381" s="129">
        <f t="shared" si="5"/>
        <v>309800</v>
      </c>
      <c r="K381" s="130">
        <v>14715.5</v>
      </c>
      <c r="L381" s="66">
        <v>10</v>
      </c>
      <c r="M381" s="131"/>
    </row>
    <row r="382" spans="2:13" s="132" customFormat="1" ht="49.5" x14ac:dyDescent="0.3">
      <c r="B382" s="127">
        <v>370</v>
      </c>
      <c r="C382" s="78" t="s">
        <v>1421</v>
      </c>
      <c r="D382" s="78" t="s">
        <v>1422</v>
      </c>
      <c r="E382" s="54" t="s">
        <v>1423</v>
      </c>
      <c r="F382" s="128" t="s">
        <v>441</v>
      </c>
      <c r="G382" s="66">
        <v>2017</v>
      </c>
      <c r="H382" s="86">
        <v>75000</v>
      </c>
      <c r="I382" s="66">
        <v>2</v>
      </c>
      <c r="J382" s="129">
        <f t="shared" si="5"/>
        <v>150000</v>
      </c>
      <c r="K382" s="130">
        <v>7125</v>
      </c>
      <c r="L382" s="66">
        <v>10</v>
      </c>
      <c r="M382" s="131"/>
    </row>
    <row r="383" spans="2:13" s="132" customFormat="1" ht="49.5" x14ac:dyDescent="0.3">
      <c r="B383" s="127">
        <v>371</v>
      </c>
      <c r="C383" s="78" t="s">
        <v>1424</v>
      </c>
      <c r="D383" s="78" t="s">
        <v>641</v>
      </c>
      <c r="E383" s="54" t="s">
        <v>1425</v>
      </c>
      <c r="F383" s="128" t="s">
        <v>441</v>
      </c>
      <c r="G383" s="66">
        <v>2017</v>
      </c>
      <c r="H383" s="86">
        <v>60000</v>
      </c>
      <c r="I383" s="66">
        <v>2</v>
      </c>
      <c r="J383" s="129">
        <f t="shared" si="5"/>
        <v>120000</v>
      </c>
      <c r="K383" s="130">
        <v>5700</v>
      </c>
      <c r="L383" s="66">
        <v>10</v>
      </c>
      <c r="M383" s="131"/>
    </row>
    <row r="384" spans="2:13" s="132" customFormat="1" ht="49.5" x14ac:dyDescent="0.3">
      <c r="B384" s="127">
        <v>372</v>
      </c>
      <c r="C384" s="78" t="s">
        <v>1426</v>
      </c>
      <c r="D384" s="78" t="s">
        <v>1427</v>
      </c>
      <c r="E384" s="54" t="s">
        <v>1428</v>
      </c>
      <c r="F384" s="128" t="s">
        <v>441</v>
      </c>
      <c r="G384" s="66">
        <v>2017</v>
      </c>
      <c r="H384" s="86">
        <v>21500</v>
      </c>
      <c r="I384" s="66">
        <v>1</v>
      </c>
      <c r="J384" s="129">
        <f t="shared" si="5"/>
        <v>21500</v>
      </c>
      <c r="K384" s="130">
        <v>2042.5</v>
      </c>
      <c r="L384" s="66">
        <v>10</v>
      </c>
      <c r="M384" s="131"/>
    </row>
    <row r="385" spans="2:13" s="132" customFormat="1" ht="60" x14ac:dyDescent="0.3">
      <c r="B385" s="127">
        <v>373</v>
      </c>
      <c r="C385" s="78" t="s">
        <v>982</v>
      </c>
      <c r="D385" s="78" t="s">
        <v>983</v>
      </c>
      <c r="E385" s="54" t="s">
        <v>984</v>
      </c>
      <c r="F385" s="128" t="s">
        <v>457</v>
      </c>
      <c r="G385" s="66">
        <v>2017</v>
      </c>
      <c r="H385" s="86">
        <v>540000</v>
      </c>
      <c r="I385" s="66">
        <v>2</v>
      </c>
      <c r="J385" s="129">
        <f t="shared" si="5"/>
        <v>1080000</v>
      </c>
      <c r="K385" s="130">
        <v>51300</v>
      </c>
      <c r="L385" s="66">
        <v>10</v>
      </c>
      <c r="M385" s="131"/>
    </row>
    <row r="386" spans="2:13" s="132" customFormat="1" ht="60" x14ac:dyDescent="0.3">
      <c r="B386" s="127">
        <v>374</v>
      </c>
      <c r="C386" s="78"/>
      <c r="D386" s="78" t="s">
        <v>864</v>
      </c>
      <c r="E386" s="54" t="s">
        <v>865</v>
      </c>
      <c r="F386" s="128" t="s">
        <v>441</v>
      </c>
      <c r="G386" s="66">
        <v>2017</v>
      </c>
      <c r="H386" s="86">
        <v>27000</v>
      </c>
      <c r="I386" s="68">
        <v>1</v>
      </c>
      <c r="J386" s="129">
        <f t="shared" ref="J386:J387" si="6">I386*H386</f>
        <v>27000</v>
      </c>
      <c r="K386" s="130">
        <v>2565</v>
      </c>
      <c r="L386" s="66">
        <v>10</v>
      </c>
      <c r="M386" s="131"/>
    </row>
    <row r="387" spans="2:13" s="132" customFormat="1" ht="33" x14ac:dyDescent="0.3">
      <c r="B387" s="127">
        <v>375</v>
      </c>
      <c r="C387" s="78"/>
      <c r="D387" s="78" t="s">
        <v>1979</v>
      </c>
      <c r="E387" s="54" t="s">
        <v>1978</v>
      </c>
      <c r="F387" s="128" t="s">
        <v>453</v>
      </c>
      <c r="G387" s="66">
        <v>2017</v>
      </c>
      <c r="H387" s="86">
        <v>17800</v>
      </c>
      <c r="I387" s="68">
        <v>2</v>
      </c>
      <c r="J387" s="129">
        <f t="shared" si="6"/>
        <v>35600</v>
      </c>
      <c r="K387" s="130">
        <v>1691</v>
      </c>
      <c r="L387" s="66">
        <v>10</v>
      </c>
      <c r="M387" s="131"/>
    </row>
    <row r="388" spans="2:13" s="132" customFormat="1" ht="33" x14ac:dyDescent="0.3">
      <c r="B388" s="127">
        <v>376</v>
      </c>
      <c r="C388" s="78"/>
      <c r="D388" s="78" t="s">
        <v>1981</v>
      </c>
      <c r="E388" s="54" t="s">
        <v>1980</v>
      </c>
      <c r="F388" s="128" t="s">
        <v>453</v>
      </c>
      <c r="G388" s="66">
        <v>2017</v>
      </c>
      <c r="H388" s="86">
        <v>21980</v>
      </c>
      <c r="I388" s="68">
        <v>2</v>
      </c>
      <c r="J388" s="129">
        <f t="shared" ref="J388" si="7">I388*H388</f>
        <v>43960</v>
      </c>
      <c r="K388" s="130">
        <v>2088.1</v>
      </c>
      <c r="L388" s="66">
        <v>10</v>
      </c>
      <c r="M388" s="131"/>
    </row>
    <row r="389" spans="2:13" s="132" customFormat="1" ht="33" x14ac:dyDescent="0.3">
      <c r="B389" s="127">
        <v>378</v>
      </c>
      <c r="C389" s="78"/>
      <c r="D389" s="78" t="s">
        <v>1838</v>
      </c>
      <c r="E389" s="54" t="s">
        <v>1982</v>
      </c>
      <c r="F389" s="128" t="s">
        <v>1983</v>
      </c>
      <c r="G389" s="66">
        <v>2017</v>
      </c>
      <c r="H389" s="86">
        <v>1289000</v>
      </c>
      <c r="I389" s="68">
        <v>1</v>
      </c>
      <c r="J389" s="129">
        <f t="shared" ref="J389:J390" si="8">I389*H389</f>
        <v>1289000</v>
      </c>
      <c r="K389" s="130">
        <v>122455</v>
      </c>
      <c r="L389" s="66">
        <v>10</v>
      </c>
      <c r="M389" s="131"/>
    </row>
    <row r="390" spans="2:13" s="132" customFormat="1" ht="49.5" x14ac:dyDescent="0.3">
      <c r="B390" s="127">
        <v>379</v>
      </c>
      <c r="C390" s="78"/>
      <c r="D390" s="78" t="s">
        <v>1984</v>
      </c>
      <c r="E390" s="54" t="s">
        <v>1984</v>
      </c>
      <c r="F390" s="128" t="s">
        <v>441</v>
      </c>
      <c r="G390" s="66">
        <v>2017</v>
      </c>
      <c r="H390" s="129">
        <v>834000</v>
      </c>
      <c r="I390" s="68">
        <v>3</v>
      </c>
      <c r="J390" s="129">
        <f t="shared" si="8"/>
        <v>2502000</v>
      </c>
      <c r="K390" s="130">
        <v>79230</v>
      </c>
      <c r="L390" s="66">
        <v>10</v>
      </c>
      <c r="M390" s="131"/>
    </row>
    <row r="391" spans="2:13" s="132" customFormat="1" ht="33" x14ac:dyDescent="0.3">
      <c r="B391" s="127">
        <v>380</v>
      </c>
      <c r="C391" s="78"/>
      <c r="D391" s="78" t="s">
        <v>1986</v>
      </c>
      <c r="E391" s="54" t="s">
        <v>1985</v>
      </c>
      <c r="F391" s="128" t="s">
        <v>453</v>
      </c>
      <c r="G391" s="66">
        <v>2017</v>
      </c>
      <c r="H391" s="129">
        <v>350000</v>
      </c>
      <c r="I391" s="68">
        <v>1</v>
      </c>
      <c r="J391" s="129">
        <f t="shared" ref="J391" si="9">I391*H391</f>
        <v>350000</v>
      </c>
      <c r="K391" s="130">
        <v>33250</v>
      </c>
      <c r="L391" s="66">
        <v>10</v>
      </c>
      <c r="M391" s="131"/>
    </row>
    <row r="392" spans="2:13" s="132" customFormat="1" ht="49.5" x14ac:dyDescent="0.3">
      <c r="B392" s="127">
        <v>381</v>
      </c>
      <c r="C392" s="78"/>
      <c r="D392" s="78" t="s">
        <v>1346</v>
      </c>
      <c r="E392" s="54" t="s">
        <v>1987</v>
      </c>
      <c r="F392" s="128" t="s">
        <v>441</v>
      </c>
      <c r="G392" s="66">
        <v>2017</v>
      </c>
      <c r="H392" s="129">
        <v>780000</v>
      </c>
      <c r="I392" s="68">
        <v>1</v>
      </c>
      <c r="J392" s="129">
        <f t="shared" ref="J392" si="10">I392*H392</f>
        <v>780000</v>
      </c>
      <c r="K392" s="130">
        <v>74100</v>
      </c>
      <c r="L392" s="66">
        <v>10</v>
      </c>
      <c r="M392" s="131"/>
    </row>
    <row r="393" spans="2:13" s="132" customFormat="1" ht="33" x14ac:dyDescent="0.3">
      <c r="B393" s="127">
        <v>382</v>
      </c>
      <c r="C393" s="78"/>
      <c r="D393" s="78" t="s">
        <v>1346</v>
      </c>
      <c r="E393" s="54" t="s">
        <v>1987</v>
      </c>
      <c r="F393" s="128" t="s">
        <v>450</v>
      </c>
      <c r="G393" s="66">
        <v>2017</v>
      </c>
      <c r="H393" s="129">
        <v>780000</v>
      </c>
      <c r="I393" s="68">
        <v>1</v>
      </c>
      <c r="J393" s="129">
        <f t="shared" ref="J393" si="11">I393*H393</f>
        <v>780000</v>
      </c>
      <c r="K393" s="130">
        <v>74100</v>
      </c>
      <c r="L393" s="66">
        <v>10</v>
      </c>
      <c r="M393" s="131"/>
    </row>
    <row r="394" spans="2:13" s="132" customFormat="1" ht="49.5" x14ac:dyDescent="0.3">
      <c r="B394" s="127">
        <v>383</v>
      </c>
      <c r="C394" s="78"/>
      <c r="D394" s="54" t="s">
        <v>1988</v>
      </c>
      <c r="E394" s="54" t="s">
        <v>1988</v>
      </c>
      <c r="F394" s="128" t="s">
        <v>441</v>
      </c>
      <c r="G394" s="66">
        <v>2017</v>
      </c>
      <c r="H394" s="129">
        <v>373000</v>
      </c>
      <c r="I394" s="68">
        <v>3</v>
      </c>
      <c r="J394" s="129">
        <f t="shared" ref="J394" si="12">I394*H394</f>
        <v>1119000</v>
      </c>
      <c r="K394" s="130">
        <v>35435</v>
      </c>
      <c r="L394" s="66">
        <v>10</v>
      </c>
      <c r="M394" s="131"/>
    </row>
    <row r="395" spans="2:13" s="132" customFormat="1" ht="33" x14ac:dyDescent="0.3">
      <c r="B395" s="127">
        <v>384</v>
      </c>
      <c r="C395" s="78"/>
      <c r="D395" s="54" t="s">
        <v>1990</v>
      </c>
      <c r="E395" s="54" t="s">
        <v>1989</v>
      </c>
      <c r="F395" s="128" t="s">
        <v>1432</v>
      </c>
      <c r="G395" s="66">
        <v>2017</v>
      </c>
      <c r="H395" s="129">
        <v>245000</v>
      </c>
      <c r="I395" s="68">
        <v>2</v>
      </c>
      <c r="J395" s="129">
        <f t="shared" ref="J395:J396" si="13">I395*H395</f>
        <v>490000</v>
      </c>
      <c r="K395" s="130">
        <v>23275</v>
      </c>
      <c r="L395" s="66">
        <v>10</v>
      </c>
      <c r="M395" s="131"/>
    </row>
    <row r="396" spans="2:13" s="132" customFormat="1" ht="33" x14ac:dyDescent="0.3">
      <c r="B396" s="127">
        <v>385</v>
      </c>
      <c r="C396" s="78"/>
      <c r="D396" s="54" t="s">
        <v>1992</v>
      </c>
      <c r="E396" s="54" t="s">
        <v>1991</v>
      </c>
      <c r="F396" s="128" t="s">
        <v>1432</v>
      </c>
      <c r="G396" s="66">
        <v>2017</v>
      </c>
      <c r="H396" s="129">
        <v>38000</v>
      </c>
      <c r="I396" s="68">
        <v>8</v>
      </c>
      <c r="J396" s="129">
        <f t="shared" si="13"/>
        <v>304000</v>
      </c>
      <c r="K396" s="130">
        <v>3610</v>
      </c>
      <c r="L396" s="66">
        <v>10</v>
      </c>
      <c r="M396" s="131"/>
    </row>
    <row r="397" spans="2:13" s="132" customFormat="1" ht="33" x14ac:dyDescent="0.3">
      <c r="B397" s="127">
        <v>386</v>
      </c>
      <c r="C397" s="78"/>
      <c r="D397" s="54" t="s">
        <v>1993</v>
      </c>
      <c r="E397" s="54" t="s">
        <v>1993</v>
      </c>
      <c r="F397" s="128" t="s">
        <v>1432</v>
      </c>
      <c r="G397" s="66">
        <v>2017</v>
      </c>
      <c r="H397" s="129">
        <v>260000</v>
      </c>
      <c r="I397" s="68">
        <v>1</v>
      </c>
      <c r="J397" s="129">
        <f t="shared" ref="J397" si="14">I397*H397</f>
        <v>260000</v>
      </c>
      <c r="K397" s="130">
        <v>24700</v>
      </c>
      <c r="L397" s="66">
        <v>10</v>
      </c>
      <c r="M397" s="131"/>
    </row>
    <row r="398" spans="2:13" s="132" customFormat="1" ht="49.5" x14ac:dyDescent="0.3">
      <c r="B398" s="127">
        <v>387</v>
      </c>
      <c r="C398" s="78"/>
      <c r="D398" s="54" t="s">
        <v>1998</v>
      </c>
      <c r="E398" s="54" t="s">
        <v>1995</v>
      </c>
      <c r="F398" s="128" t="s">
        <v>441</v>
      </c>
      <c r="G398" s="66">
        <v>2017</v>
      </c>
      <c r="H398" s="129">
        <v>163000</v>
      </c>
      <c r="I398" s="68">
        <v>1</v>
      </c>
      <c r="J398" s="129">
        <f>I398*H398</f>
        <v>163000</v>
      </c>
      <c r="K398" s="130">
        <v>15485</v>
      </c>
      <c r="L398" s="66">
        <v>10</v>
      </c>
      <c r="M398" s="131"/>
    </row>
    <row r="399" spans="2:13" s="132" customFormat="1" ht="49.5" x14ac:dyDescent="0.3">
      <c r="B399" s="127">
        <v>388</v>
      </c>
      <c r="C399" s="78"/>
      <c r="D399" s="54" t="s">
        <v>1998</v>
      </c>
      <c r="E399" s="54" t="s">
        <v>1996</v>
      </c>
      <c r="F399" s="128" t="s">
        <v>441</v>
      </c>
      <c r="G399" s="66">
        <v>2017</v>
      </c>
      <c r="H399" s="129">
        <v>163000</v>
      </c>
      <c r="I399" s="68">
        <v>1</v>
      </c>
      <c r="J399" s="129">
        <f t="shared" ref="J399:J401" si="15">I399*H399</f>
        <v>163000</v>
      </c>
      <c r="K399" s="130">
        <v>15485</v>
      </c>
      <c r="L399" s="66">
        <v>10</v>
      </c>
      <c r="M399" s="131"/>
    </row>
    <row r="400" spans="2:13" s="132" customFormat="1" ht="49.5" x14ac:dyDescent="0.3">
      <c r="B400" s="127">
        <v>389</v>
      </c>
      <c r="C400" s="78"/>
      <c r="D400" s="54" t="s">
        <v>1998</v>
      </c>
      <c r="E400" s="54" t="s">
        <v>1997</v>
      </c>
      <c r="F400" s="128" t="s">
        <v>441</v>
      </c>
      <c r="G400" s="66">
        <v>2017</v>
      </c>
      <c r="H400" s="129">
        <v>163000</v>
      </c>
      <c r="I400" s="68">
        <v>1</v>
      </c>
      <c r="J400" s="129">
        <f t="shared" si="15"/>
        <v>163000</v>
      </c>
      <c r="K400" s="130">
        <v>15485</v>
      </c>
      <c r="L400" s="66">
        <v>10</v>
      </c>
      <c r="M400" s="131"/>
    </row>
    <row r="401" spans="2:13" s="132" customFormat="1" ht="33" x14ac:dyDescent="0.3">
      <c r="B401" s="127">
        <v>390</v>
      </c>
      <c r="C401" s="78"/>
      <c r="D401" s="54" t="s">
        <v>2000</v>
      </c>
      <c r="E401" s="54" t="s">
        <v>1999</v>
      </c>
      <c r="F401" s="128" t="s">
        <v>459</v>
      </c>
      <c r="G401" s="66">
        <v>2017</v>
      </c>
      <c r="H401" s="129">
        <v>200000</v>
      </c>
      <c r="I401" s="68">
        <v>1</v>
      </c>
      <c r="J401" s="129">
        <f t="shared" si="15"/>
        <v>200000</v>
      </c>
      <c r="K401" s="130">
        <v>19000</v>
      </c>
      <c r="L401" s="66">
        <v>10</v>
      </c>
      <c r="M401" s="131"/>
    </row>
    <row r="402" spans="2:13" s="132" customFormat="1" ht="33" x14ac:dyDescent="0.3">
      <c r="B402" s="127">
        <v>391</v>
      </c>
      <c r="C402" s="78"/>
      <c r="D402" s="54" t="s">
        <v>1349</v>
      </c>
      <c r="E402" s="54" t="s">
        <v>2001</v>
      </c>
      <c r="F402" s="128" t="s">
        <v>2002</v>
      </c>
      <c r="G402" s="66">
        <v>2017</v>
      </c>
      <c r="H402" s="129">
        <v>2456000</v>
      </c>
      <c r="I402" s="68">
        <v>1</v>
      </c>
      <c r="J402" s="129">
        <f t="shared" ref="J402:J409" si="16">I402*H402</f>
        <v>2456000</v>
      </c>
      <c r="K402" s="130">
        <v>233320</v>
      </c>
      <c r="L402" s="66">
        <v>10</v>
      </c>
      <c r="M402" s="131"/>
    </row>
    <row r="403" spans="2:13" s="132" customFormat="1" ht="84" x14ac:dyDescent="0.3">
      <c r="B403" s="127">
        <v>392</v>
      </c>
      <c r="C403" s="78"/>
      <c r="D403" s="54" t="s">
        <v>2003</v>
      </c>
      <c r="E403" s="54" t="s">
        <v>2003</v>
      </c>
      <c r="F403" s="128" t="s">
        <v>444</v>
      </c>
      <c r="G403" s="66">
        <v>2017</v>
      </c>
      <c r="H403" s="129">
        <v>196000</v>
      </c>
      <c r="I403" s="68">
        <v>1</v>
      </c>
      <c r="J403" s="129">
        <f t="shared" si="16"/>
        <v>196000</v>
      </c>
      <c r="K403" s="130">
        <v>18620</v>
      </c>
      <c r="L403" s="66">
        <v>10</v>
      </c>
      <c r="M403" s="131"/>
    </row>
    <row r="404" spans="2:13" s="132" customFormat="1" ht="33" x14ac:dyDescent="0.3">
      <c r="B404" s="127">
        <v>393</v>
      </c>
      <c r="C404" s="78"/>
      <c r="D404" s="54" t="s">
        <v>2004</v>
      </c>
      <c r="E404" s="54" t="s">
        <v>2004</v>
      </c>
      <c r="F404" s="128" t="s">
        <v>444</v>
      </c>
      <c r="G404" s="66">
        <v>2017</v>
      </c>
      <c r="H404" s="129">
        <v>103500</v>
      </c>
      <c r="I404" s="68">
        <v>1</v>
      </c>
      <c r="J404" s="129">
        <f t="shared" si="16"/>
        <v>103500</v>
      </c>
      <c r="K404" s="130">
        <v>9832.5</v>
      </c>
      <c r="L404" s="66">
        <v>10</v>
      </c>
      <c r="M404" s="131"/>
    </row>
    <row r="405" spans="2:13" s="132" customFormat="1" ht="36" x14ac:dyDescent="0.3">
      <c r="B405" s="127">
        <v>394</v>
      </c>
      <c r="C405" s="78"/>
      <c r="D405" s="54" t="s">
        <v>2005</v>
      </c>
      <c r="E405" s="54" t="s">
        <v>2005</v>
      </c>
      <c r="F405" s="128" t="s">
        <v>444</v>
      </c>
      <c r="G405" s="66">
        <v>2017</v>
      </c>
      <c r="H405" s="129">
        <v>103500</v>
      </c>
      <c r="I405" s="68">
        <v>1</v>
      </c>
      <c r="J405" s="129">
        <f t="shared" si="16"/>
        <v>103500</v>
      </c>
      <c r="K405" s="130">
        <v>9832.5</v>
      </c>
      <c r="L405" s="66">
        <v>10</v>
      </c>
      <c r="M405" s="131"/>
    </row>
    <row r="406" spans="2:13" s="132" customFormat="1" ht="36" x14ac:dyDescent="0.3">
      <c r="B406" s="127">
        <v>395</v>
      </c>
      <c r="C406" s="78"/>
      <c r="D406" s="54" t="s">
        <v>2006</v>
      </c>
      <c r="E406" s="54" t="s">
        <v>2006</v>
      </c>
      <c r="F406" s="128" t="s">
        <v>444</v>
      </c>
      <c r="G406" s="66">
        <v>2017</v>
      </c>
      <c r="H406" s="129">
        <v>103500</v>
      </c>
      <c r="I406" s="68">
        <v>1</v>
      </c>
      <c r="J406" s="129">
        <f t="shared" si="16"/>
        <v>103500</v>
      </c>
      <c r="K406" s="130">
        <v>9832.5</v>
      </c>
      <c r="L406" s="66">
        <v>10</v>
      </c>
      <c r="M406" s="131"/>
    </row>
    <row r="407" spans="2:13" s="132" customFormat="1" ht="156" x14ac:dyDescent="0.3">
      <c r="B407" s="127">
        <v>396</v>
      </c>
      <c r="C407" s="78"/>
      <c r="D407" s="54" t="s">
        <v>2007</v>
      </c>
      <c r="E407" s="54" t="s">
        <v>2007</v>
      </c>
      <c r="F407" s="128" t="s">
        <v>444</v>
      </c>
      <c r="G407" s="66">
        <v>2017</v>
      </c>
      <c r="H407" s="129">
        <v>179800</v>
      </c>
      <c r="I407" s="68">
        <v>1</v>
      </c>
      <c r="J407" s="129">
        <f t="shared" si="16"/>
        <v>179800</v>
      </c>
      <c r="K407" s="130">
        <v>17081</v>
      </c>
      <c r="L407" s="66">
        <v>10</v>
      </c>
      <c r="M407" s="131"/>
    </row>
    <row r="408" spans="2:13" s="132" customFormat="1" ht="96" x14ac:dyDescent="0.3">
      <c r="B408" s="127">
        <v>397</v>
      </c>
      <c r="C408" s="78"/>
      <c r="D408" s="54" t="s">
        <v>2008</v>
      </c>
      <c r="E408" s="54" t="s">
        <v>2008</v>
      </c>
      <c r="F408" s="128" t="s">
        <v>444</v>
      </c>
      <c r="G408" s="66">
        <v>2017</v>
      </c>
      <c r="H408" s="129">
        <v>179800</v>
      </c>
      <c r="I408" s="68">
        <v>1</v>
      </c>
      <c r="J408" s="129">
        <f t="shared" si="16"/>
        <v>179800</v>
      </c>
      <c r="K408" s="130">
        <v>17081</v>
      </c>
      <c r="L408" s="66">
        <v>10</v>
      </c>
      <c r="M408" s="131"/>
    </row>
    <row r="409" spans="2:13" s="132" customFormat="1" ht="108" x14ac:dyDescent="0.3">
      <c r="B409" s="127">
        <v>398</v>
      </c>
      <c r="C409" s="78"/>
      <c r="D409" s="54" t="s">
        <v>2009</v>
      </c>
      <c r="E409" s="54" t="s">
        <v>2009</v>
      </c>
      <c r="F409" s="128" t="s">
        <v>444</v>
      </c>
      <c r="G409" s="66">
        <v>2017</v>
      </c>
      <c r="H409" s="129">
        <v>99280</v>
      </c>
      <c r="I409" s="68">
        <v>1</v>
      </c>
      <c r="J409" s="129">
        <f t="shared" si="16"/>
        <v>99280</v>
      </c>
      <c r="K409" s="130">
        <v>9431.6</v>
      </c>
      <c r="L409" s="66">
        <v>10</v>
      </c>
      <c r="M409" s="131"/>
    </row>
    <row r="410" spans="2:13" s="132" customFormat="1" ht="49.5" x14ac:dyDescent="0.3">
      <c r="B410" s="127">
        <v>399</v>
      </c>
      <c r="C410" s="78"/>
      <c r="D410" s="54" t="s">
        <v>970</v>
      </c>
      <c r="E410" s="54" t="s">
        <v>970</v>
      </c>
      <c r="F410" s="128" t="s">
        <v>441</v>
      </c>
      <c r="G410" s="66">
        <v>2017</v>
      </c>
      <c r="H410" s="129">
        <v>86330</v>
      </c>
      <c r="I410" s="68">
        <v>1</v>
      </c>
      <c r="J410" s="129">
        <f t="shared" ref="J410" si="17">I410*H410</f>
        <v>86330</v>
      </c>
      <c r="K410" s="130">
        <v>8201.35</v>
      </c>
      <c r="L410" s="66">
        <v>10</v>
      </c>
      <c r="M410" s="131"/>
    </row>
    <row r="411" spans="2:13" s="132" customFormat="1" ht="49.5" x14ac:dyDescent="0.3">
      <c r="B411" s="127">
        <v>400</v>
      </c>
      <c r="C411" s="78"/>
      <c r="D411" s="54" t="s">
        <v>2010</v>
      </c>
      <c r="E411" s="54" t="s">
        <v>2010</v>
      </c>
      <c r="F411" s="128" t="s">
        <v>441</v>
      </c>
      <c r="G411" s="66">
        <v>2017</v>
      </c>
      <c r="H411" s="129">
        <v>20860</v>
      </c>
      <c r="I411" s="68">
        <v>2</v>
      </c>
      <c r="J411" s="129">
        <f t="shared" ref="J411" si="18">I411*H411</f>
        <v>41720</v>
      </c>
      <c r="K411" s="130">
        <v>1981.7</v>
      </c>
      <c r="L411" s="66">
        <v>10</v>
      </c>
      <c r="M411" s="131"/>
    </row>
    <row r="412" spans="2:13" s="132" customFormat="1" ht="48" x14ac:dyDescent="0.3">
      <c r="B412" s="127">
        <v>401</v>
      </c>
      <c r="C412" s="78"/>
      <c r="D412" s="54" t="s">
        <v>2011</v>
      </c>
      <c r="E412" s="54" t="s">
        <v>2011</v>
      </c>
      <c r="F412" s="128" t="s">
        <v>1432</v>
      </c>
      <c r="G412" s="66">
        <v>2017</v>
      </c>
      <c r="H412" s="129">
        <v>44115</v>
      </c>
      <c r="I412" s="68">
        <v>1</v>
      </c>
      <c r="J412" s="129">
        <f t="shared" ref="J412:J430" si="19">I412*H412</f>
        <v>44115</v>
      </c>
      <c r="K412" s="130">
        <v>4190.92</v>
      </c>
      <c r="L412" s="66">
        <v>10</v>
      </c>
      <c r="M412" s="131"/>
    </row>
    <row r="413" spans="2:13" s="132" customFormat="1" ht="36" x14ac:dyDescent="0.3">
      <c r="B413" s="127">
        <v>402</v>
      </c>
      <c r="C413" s="78"/>
      <c r="D413" s="54" t="s">
        <v>2014</v>
      </c>
      <c r="E413" s="54" t="s">
        <v>2012</v>
      </c>
      <c r="F413" s="128" t="s">
        <v>2002</v>
      </c>
      <c r="G413" s="66">
        <v>2017</v>
      </c>
      <c r="H413" s="129">
        <v>215512</v>
      </c>
      <c r="I413" s="68">
        <v>10</v>
      </c>
      <c r="J413" s="129">
        <f t="shared" si="19"/>
        <v>2155120</v>
      </c>
      <c r="K413" s="130">
        <v>20473.64</v>
      </c>
      <c r="L413" s="66">
        <v>10</v>
      </c>
      <c r="M413" s="131"/>
    </row>
    <row r="414" spans="2:13" s="132" customFormat="1" ht="36" x14ac:dyDescent="0.3">
      <c r="B414" s="127">
        <v>403</v>
      </c>
      <c r="C414" s="78"/>
      <c r="D414" s="54" t="s">
        <v>2014</v>
      </c>
      <c r="E414" s="54" t="s">
        <v>2013</v>
      </c>
      <c r="F414" s="128" t="s">
        <v>2002</v>
      </c>
      <c r="G414" s="66">
        <v>2017</v>
      </c>
      <c r="H414" s="129">
        <v>139850</v>
      </c>
      <c r="I414" s="68">
        <v>10</v>
      </c>
      <c r="J414" s="129">
        <f t="shared" si="19"/>
        <v>1398500</v>
      </c>
      <c r="K414" s="130">
        <v>13285.75</v>
      </c>
      <c r="L414" s="66">
        <v>10</v>
      </c>
      <c r="M414" s="131"/>
    </row>
    <row r="415" spans="2:13" s="132" customFormat="1" ht="33" x14ac:dyDescent="0.3">
      <c r="B415" s="127">
        <v>404</v>
      </c>
      <c r="C415" s="78"/>
      <c r="D415" s="54" t="s">
        <v>2015</v>
      </c>
      <c r="E415" s="54" t="s">
        <v>2015</v>
      </c>
      <c r="F415" s="128" t="s">
        <v>2002</v>
      </c>
      <c r="G415" s="66">
        <v>2017</v>
      </c>
      <c r="H415" s="129">
        <v>495000</v>
      </c>
      <c r="I415" s="68">
        <v>1</v>
      </c>
      <c r="J415" s="129">
        <f t="shared" si="19"/>
        <v>495000</v>
      </c>
      <c r="K415" s="130">
        <v>47025</v>
      </c>
      <c r="L415" s="66">
        <v>10</v>
      </c>
      <c r="M415" s="131"/>
    </row>
    <row r="416" spans="2:13" s="132" customFormat="1" ht="33" x14ac:dyDescent="0.3">
      <c r="B416" s="127">
        <v>405</v>
      </c>
      <c r="C416" s="78"/>
      <c r="D416" s="54" t="s">
        <v>2016</v>
      </c>
      <c r="E416" s="54" t="s">
        <v>2016</v>
      </c>
      <c r="F416" s="128" t="s">
        <v>2002</v>
      </c>
      <c r="G416" s="66">
        <v>2017</v>
      </c>
      <c r="H416" s="129">
        <v>494300</v>
      </c>
      <c r="I416" s="68">
        <v>1</v>
      </c>
      <c r="J416" s="129">
        <f t="shared" si="19"/>
        <v>494300</v>
      </c>
      <c r="K416" s="130">
        <v>46958.5</v>
      </c>
      <c r="L416" s="66">
        <v>10</v>
      </c>
      <c r="M416" s="131"/>
    </row>
    <row r="417" spans="2:13" s="132" customFormat="1" ht="60" x14ac:dyDescent="0.3">
      <c r="B417" s="127">
        <v>406</v>
      </c>
      <c r="C417" s="78"/>
      <c r="D417" s="54" t="s">
        <v>2017</v>
      </c>
      <c r="E417" s="54" t="s">
        <v>2017</v>
      </c>
      <c r="F417" s="128" t="s">
        <v>2002</v>
      </c>
      <c r="G417" s="66">
        <v>2017</v>
      </c>
      <c r="H417" s="129">
        <v>105000</v>
      </c>
      <c r="I417" s="68">
        <v>3</v>
      </c>
      <c r="J417" s="129">
        <f t="shared" si="19"/>
        <v>315000</v>
      </c>
      <c r="K417" s="130">
        <v>9975</v>
      </c>
      <c r="L417" s="66">
        <v>10</v>
      </c>
      <c r="M417" s="131"/>
    </row>
    <row r="418" spans="2:13" s="132" customFormat="1" ht="72" x14ac:dyDescent="0.3">
      <c r="B418" s="127">
        <v>407</v>
      </c>
      <c r="C418" s="78"/>
      <c r="D418" s="54" t="s">
        <v>2018</v>
      </c>
      <c r="E418" s="54" t="s">
        <v>2018</v>
      </c>
      <c r="F418" s="128" t="s">
        <v>2002</v>
      </c>
      <c r="G418" s="66">
        <v>2017</v>
      </c>
      <c r="H418" s="129">
        <v>115000</v>
      </c>
      <c r="I418" s="68">
        <v>1</v>
      </c>
      <c r="J418" s="129">
        <f t="shared" si="19"/>
        <v>115000</v>
      </c>
      <c r="K418" s="130">
        <v>10925</v>
      </c>
      <c r="L418" s="66">
        <v>10</v>
      </c>
      <c r="M418" s="131"/>
    </row>
    <row r="419" spans="2:13" s="132" customFormat="1" ht="60" x14ac:dyDescent="0.3">
      <c r="B419" s="127">
        <v>408</v>
      </c>
      <c r="C419" s="78"/>
      <c r="D419" s="54" t="s">
        <v>2019</v>
      </c>
      <c r="E419" s="54" t="s">
        <v>2019</v>
      </c>
      <c r="F419" s="128" t="s">
        <v>2002</v>
      </c>
      <c r="G419" s="66">
        <v>2017</v>
      </c>
      <c r="H419" s="129">
        <v>20500</v>
      </c>
      <c r="I419" s="68">
        <v>2</v>
      </c>
      <c r="J419" s="129">
        <f t="shared" si="19"/>
        <v>41000</v>
      </c>
      <c r="K419" s="130">
        <v>1947.5</v>
      </c>
      <c r="L419" s="66">
        <v>10</v>
      </c>
      <c r="M419" s="131"/>
    </row>
    <row r="420" spans="2:13" s="132" customFormat="1" ht="48" x14ac:dyDescent="0.3">
      <c r="B420" s="127">
        <v>409</v>
      </c>
      <c r="C420" s="78"/>
      <c r="D420" s="54" t="s">
        <v>2022</v>
      </c>
      <c r="E420" s="54" t="s">
        <v>2020</v>
      </c>
      <c r="F420" s="128" t="s">
        <v>2002</v>
      </c>
      <c r="G420" s="66">
        <v>2017</v>
      </c>
      <c r="H420" s="129">
        <v>93333.333400000003</v>
      </c>
      <c r="I420" s="68">
        <v>3</v>
      </c>
      <c r="J420" s="129">
        <f t="shared" si="19"/>
        <v>280000.00020000001</v>
      </c>
      <c r="K420" s="130">
        <v>8866.6669999999995</v>
      </c>
      <c r="L420" s="66">
        <v>10</v>
      </c>
      <c r="M420" s="131"/>
    </row>
    <row r="421" spans="2:13" s="132" customFormat="1" ht="84" x14ac:dyDescent="0.3">
      <c r="B421" s="127">
        <v>410</v>
      </c>
      <c r="C421" s="78"/>
      <c r="D421" s="54" t="s">
        <v>2023</v>
      </c>
      <c r="E421" s="54" t="s">
        <v>2021</v>
      </c>
      <c r="F421" s="128" t="s">
        <v>2002</v>
      </c>
      <c r="G421" s="66">
        <v>2017</v>
      </c>
      <c r="H421" s="129">
        <v>38000</v>
      </c>
      <c r="I421" s="68">
        <v>3</v>
      </c>
      <c r="J421" s="129">
        <f t="shared" si="19"/>
        <v>114000</v>
      </c>
      <c r="K421" s="130">
        <v>3610</v>
      </c>
      <c r="L421" s="66">
        <v>10</v>
      </c>
      <c r="M421" s="131"/>
    </row>
    <row r="422" spans="2:13" s="132" customFormat="1" ht="33" x14ac:dyDescent="0.3">
      <c r="B422" s="127">
        <v>411</v>
      </c>
      <c r="C422" s="78"/>
      <c r="D422" s="54" t="s">
        <v>2037</v>
      </c>
      <c r="E422" s="54" t="s">
        <v>2030</v>
      </c>
      <c r="F422" s="128" t="s">
        <v>453</v>
      </c>
      <c r="G422" s="66">
        <v>2017</v>
      </c>
      <c r="H422" s="129">
        <v>218000</v>
      </c>
      <c r="I422" s="68">
        <v>1</v>
      </c>
      <c r="J422" s="129">
        <f t="shared" si="19"/>
        <v>218000</v>
      </c>
      <c r="K422" s="130">
        <v>20710</v>
      </c>
      <c r="L422" s="66">
        <v>10</v>
      </c>
      <c r="M422" s="131"/>
    </row>
    <row r="423" spans="2:13" s="132" customFormat="1" ht="36" x14ac:dyDescent="0.3">
      <c r="B423" s="127">
        <v>412</v>
      </c>
      <c r="C423" s="78"/>
      <c r="D423" s="54" t="s">
        <v>2041</v>
      </c>
      <c r="E423" s="54" t="s">
        <v>2031</v>
      </c>
      <c r="F423" s="128" t="s">
        <v>450</v>
      </c>
      <c r="G423" s="66">
        <v>2017</v>
      </c>
      <c r="H423" s="129">
        <v>77360</v>
      </c>
      <c r="I423" s="68">
        <v>1</v>
      </c>
      <c r="J423" s="129">
        <f t="shared" si="19"/>
        <v>77360</v>
      </c>
      <c r="K423" s="130">
        <v>7349.2</v>
      </c>
      <c r="L423" s="66">
        <v>10</v>
      </c>
      <c r="M423" s="131"/>
    </row>
    <row r="424" spans="2:13" s="132" customFormat="1" ht="33" x14ac:dyDescent="0.3">
      <c r="B424" s="127">
        <v>413</v>
      </c>
      <c r="C424" s="78"/>
      <c r="D424" s="54" t="s">
        <v>657</v>
      </c>
      <c r="E424" s="54" t="s">
        <v>2032</v>
      </c>
      <c r="F424" s="128" t="s">
        <v>455</v>
      </c>
      <c r="G424" s="66">
        <v>2017</v>
      </c>
      <c r="H424" s="129">
        <v>59780</v>
      </c>
      <c r="I424" s="68">
        <v>12</v>
      </c>
      <c r="J424" s="129">
        <f t="shared" si="19"/>
        <v>717360</v>
      </c>
      <c r="K424" s="130">
        <v>5679.1</v>
      </c>
      <c r="L424" s="66">
        <v>10</v>
      </c>
      <c r="M424" s="131"/>
    </row>
    <row r="425" spans="2:13" s="132" customFormat="1" ht="36" x14ac:dyDescent="0.3">
      <c r="B425" s="127">
        <v>414</v>
      </c>
      <c r="C425" s="78"/>
      <c r="D425" s="54" t="s">
        <v>2042</v>
      </c>
      <c r="E425" s="54" t="s">
        <v>2033</v>
      </c>
      <c r="F425" s="128" t="s">
        <v>2002</v>
      </c>
      <c r="G425" s="66">
        <v>2017</v>
      </c>
      <c r="H425" s="129">
        <v>16485</v>
      </c>
      <c r="I425" s="68">
        <v>100</v>
      </c>
      <c r="J425" s="129">
        <f t="shared" si="19"/>
        <v>1648500</v>
      </c>
      <c r="K425" s="130">
        <v>1566.075</v>
      </c>
      <c r="L425" s="66">
        <v>10</v>
      </c>
      <c r="M425" s="131"/>
    </row>
    <row r="426" spans="2:13" s="132" customFormat="1" ht="33" x14ac:dyDescent="0.3">
      <c r="B426" s="127">
        <v>416</v>
      </c>
      <c r="C426" s="78"/>
      <c r="D426" s="54" t="s">
        <v>2038</v>
      </c>
      <c r="E426" s="54" t="s">
        <v>2034</v>
      </c>
      <c r="F426" s="128" t="s">
        <v>453</v>
      </c>
      <c r="G426" s="66">
        <v>2017</v>
      </c>
      <c r="H426" s="129">
        <v>96000</v>
      </c>
      <c r="I426" s="68">
        <v>1</v>
      </c>
      <c r="J426" s="129">
        <f t="shared" si="19"/>
        <v>96000</v>
      </c>
      <c r="K426" s="130">
        <v>9120</v>
      </c>
      <c r="L426" s="66">
        <v>10</v>
      </c>
      <c r="M426" s="131"/>
    </row>
    <row r="427" spans="2:13" s="132" customFormat="1" ht="33" x14ac:dyDescent="0.3">
      <c r="B427" s="127">
        <v>417</v>
      </c>
      <c r="C427" s="78"/>
      <c r="D427" s="54" t="s">
        <v>2039</v>
      </c>
      <c r="E427" s="54" t="s">
        <v>2035</v>
      </c>
      <c r="F427" s="128" t="s">
        <v>453</v>
      </c>
      <c r="G427" s="66">
        <v>2017</v>
      </c>
      <c r="H427" s="129">
        <v>98000</v>
      </c>
      <c r="I427" s="68">
        <v>1</v>
      </c>
      <c r="J427" s="129">
        <f t="shared" si="19"/>
        <v>98000</v>
      </c>
      <c r="K427" s="130">
        <v>9310</v>
      </c>
      <c r="L427" s="66">
        <v>10</v>
      </c>
      <c r="M427" s="131"/>
    </row>
    <row r="428" spans="2:13" s="132" customFormat="1" ht="33" x14ac:dyDescent="0.3">
      <c r="B428" s="127">
        <v>418</v>
      </c>
      <c r="C428" s="78"/>
      <c r="D428" s="54" t="s">
        <v>2040</v>
      </c>
      <c r="E428" s="54" t="s">
        <v>2036</v>
      </c>
      <c r="F428" s="128" t="s">
        <v>2002</v>
      </c>
      <c r="G428" s="66">
        <v>2017</v>
      </c>
      <c r="H428" s="129">
        <v>8999500</v>
      </c>
      <c r="I428" s="68">
        <v>1</v>
      </c>
      <c r="J428" s="129">
        <f t="shared" si="19"/>
        <v>8999500</v>
      </c>
      <c r="K428" s="130">
        <v>854952.5</v>
      </c>
      <c r="L428" s="66">
        <v>10</v>
      </c>
      <c r="M428" s="131"/>
    </row>
    <row r="429" spans="2:13" s="132" customFormat="1" ht="36" x14ac:dyDescent="0.3">
      <c r="B429" s="127">
        <v>419</v>
      </c>
      <c r="C429" s="78"/>
      <c r="D429" s="54" t="s">
        <v>505</v>
      </c>
      <c r="E429" s="54" t="s">
        <v>2043</v>
      </c>
      <c r="F429" s="128" t="s">
        <v>453</v>
      </c>
      <c r="G429" s="66">
        <v>2017</v>
      </c>
      <c r="H429" s="129">
        <v>987000</v>
      </c>
      <c r="I429" s="68">
        <v>1</v>
      </c>
      <c r="J429" s="129">
        <f t="shared" si="19"/>
        <v>987000</v>
      </c>
      <c r="K429" s="130">
        <v>93765</v>
      </c>
      <c r="L429" s="66">
        <v>10</v>
      </c>
      <c r="M429" s="131"/>
    </row>
    <row r="430" spans="2:13" s="132" customFormat="1" ht="36" x14ac:dyDescent="0.3">
      <c r="B430" s="127">
        <v>420</v>
      </c>
      <c r="C430" s="78"/>
      <c r="D430" s="54" t="s">
        <v>1210</v>
      </c>
      <c r="E430" s="54" t="s">
        <v>2044</v>
      </c>
      <c r="F430" s="128" t="s">
        <v>450</v>
      </c>
      <c r="G430" s="66">
        <v>2018</v>
      </c>
      <c r="H430" s="129">
        <v>250000</v>
      </c>
      <c r="I430" s="68">
        <v>1</v>
      </c>
      <c r="J430" s="129">
        <f t="shared" si="19"/>
        <v>250000</v>
      </c>
      <c r="K430" s="130">
        <v>23750</v>
      </c>
      <c r="L430" s="66">
        <v>10</v>
      </c>
      <c r="M430" s="131"/>
    </row>
    <row r="431" spans="2:13" s="132" customFormat="1" ht="33" x14ac:dyDescent="0.3">
      <c r="B431" s="127">
        <v>421</v>
      </c>
      <c r="C431" s="78"/>
      <c r="D431" s="54" t="s">
        <v>2059</v>
      </c>
      <c r="E431" s="54" t="s">
        <v>2045</v>
      </c>
      <c r="F431" s="128" t="s">
        <v>440</v>
      </c>
      <c r="G431" s="66">
        <v>2017</v>
      </c>
      <c r="H431" s="129">
        <v>735000</v>
      </c>
      <c r="I431" s="68">
        <v>1</v>
      </c>
      <c r="J431" s="129">
        <f>I431*H431</f>
        <v>735000</v>
      </c>
      <c r="K431" s="130">
        <v>69825</v>
      </c>
      <c r="L431" s="66">
        <v>10</v>
      </c>
      <c r="M431" s="131"/>
    </row>
    <row r="432" spans="2:13" s="132" customFormat="1" ht="33" x14ac:dyDescent="0.3">
      <c r="B432" s="127">
        <v>422</v>
      </c>
      <c r="C432" s="78"/>
      <c r="D432" s="54" t="s">
        <v>2060</v>
      </c>
      <c r="E432" s="54" t="s">
        <v>2046</v>
      </c>
      <c r="F432" s="128" t="s">
        <v>440</v>
      </c>
      <c r="G432" s="66">
        <v>2017</v>
      </c>
      <c r="H432" s="129">
        <v>490000</v>
      </c>
      <c r="I432" s="68">
        <v>2</v>
      </c>
      <c r="J432" s="129">
        <f t="shared" ref="J432:J445" si="20">I432*H432</f>
        <v>980000</v>
      </c>
      <c r="K432" s="130">
        <v>46550</v>
      </c>
      <c r="L432" s="66">
        <v>10</v>
      </c>
      <c r="M432" s="131"/>
    </row>
    <row r="433" spans="2:13" s="132" customFormat="1" ht="36" x14ac:dyDescent="0.3">
      <c r="B433" s="127">
        <v>423</v>
      </c>
      <c r="C433" s="78"/>
      <c r="D433" s="54" t="s">
        <v>2061</v>
      </c>
      <c r="E433" s="54" t="s">
        <v>2047</v>
      </c>
      <c r="F433" s="128" t="s">
        <v>440</v>
      </c>
      <c r="G433" s="66">
        <v>2017</v>
      </c>
      <c r="H433" s="129">
        <v>688000</v>
      </c>
      <c r="I433" s="68">
        <v>1</v>
      </c>
      <c r="J433" s="129">
        <f t="shared" si="20"/>
        <v>688000</v>
      </c>
      <c r="K433" s="130">
        <v>65360</v>
      </c>
      <c r="L433" s="66">
        <v>10</v>
      </c>
      <c r="M433" s="131"/>
    </row>
    <row r="434" spans="2:13" s="132" customFormat="1" ht="36" x14ac:dyDescent="0.3">
      <c r="B434" s="127">
        <v>424</v>
      </c>
      <c r="C434" s="78"/>
      <c r="D434" s="54" t="s">
        <v>2062</v>
      </c>
      <c r="E434" s="54" t="s">
        <v>2048</v>
      </c>
      <c r="F434" s="128" t="s">
        <v>440</v>
      </c>
      <c r="G434" s="66">
        <v>2018</v>
      </c>
      <c r="H434" s="129">
        <v>1840000</v>
      </c>
      <c r="I434" s="68">
        <v>1</v>
      </c>
      <c r="J434" s="129">
        <f t="shared" si="20"/>
        <v>1840000</v>
      </c>
      <c r="K434" s="130">
        <v>174800</v>
      </c>
      <c r="L434" s="66">
        <v>10</v>
      </c>
      <c r="M434" s="131"/>
    </row>
    <row r="435" spans="2:13" s="132" customFormat="1" ht="49.5" x14ac:dyDescent="0.3">
      <c r="B435" s="127">
        <v>425</v>
      </c>
      <c r="C435" s="78"/>
      <c r="D435" s="54" t="s">
        <v>2063</v>
      </c>
      <c r="E435" s="54" t="s">
        <v>2049</v>
      </c>
      <c r="F435" s="128" t="s">
        <v>441</v>
      </c>
      <c r="G435" s="66">
        <v>2018</v>
      </c>
      <c r="H435" s="129">
        <v>1840000</v>
      </c>
      <c r="I435" s="68">
        <v>1</v>
      </c>
      <c r="J435" s="129">
        <f t="shared" si="20"/>
        <v>1840000</v>
      </c>
      <c r="K435" s="130">
        <v>174800</v>
      </c>
      <c r="L435" s="66">
        <v>10</v>
      </c>
      <c r="M435" s="131"/>
    </row>
    <row r="436" spans="2:13" s="132" customFormat="1" ht="33" x14ac:dyDescent="0.3">
      <c r="B436" s="127">
        <v>426</v>
      </c>
      <c r="C436" s="78"/>
      <c r="D436" s="54" t="s">
        <v>2064</v>
      </c>
      <c r="E436" s="54" t="s">
        <v>2050</v>
      </c>
      <c r="F436" s="128" t="s">
        <v>453</v>
      </c>
      <c r="G436" s="66">
        <v>2017</v>
      </c>
      <c r="H436" s="129">
        <v>921000</v>
      </c>
      <c r="I436" s="68">
        <v>1</v>
      </c>
      <c r="J436" s="129">
        <f t="shared" si="20"/>
        <v>921000</v>
      </c>
      <c r="K436" s="130">
        <v>87495</v>
      </c>
      <c r="L436" s="66">
        <v>10</v>
      </c>
      <c r="M436" s="131"/>
    </row>
    <row r="437" spans="2:13" s="132" customFormat="1" ht="33" x14ac:dyDescent="0.3">
      <c r="B437" s="127">
        <v>427</v>
      </c>
      <c r="C437" s="78"/>
      <c r="D437" s="54" t="s">
        <v>44</v>
      </c>
      <c r="E437" s="54" t="s">
        <v>722</v>
      </c>
      <c r="F437" s="128" t="s">
        <v>453</v>
      </c>
      <c r="G437" s="66">
        <v>2018</v>
      </c>
      <c r="H437" s="129">
        <v>1097000</v>
      </c>
      <c r="I437" s="68">
        <v>1</v>
      </c>
      <c r="J437" s="129">
        <f t="shared" si="20"/>
        <v>1097000</v>
      </c>
      <c r="K437" s="130">
        <v>104215</v>
      </c>
      <c r="L437" s="66">
        <v>10</v>
      </c>
      <c r="M437" s="131"/>
    </row>
    <row r="438" spans="2:13" s="132" customFormat="1" ht="33" x14ac:dyDescent="0.3">
      <c r="B438" s="127">
        <v>428</v>
      </c>
      <c r="C438" s="78"/>
      <c r="D438" s="54" t="s">
        <v>593</v>
      </c>
      <c r="E438" s="54" t="s">
        <v>2051</v>
      </c>
      <c r="F438" s="128" t="s">
        <v>455</v>
      </c>
      <c r="G438" s="66">
        <v>2018</v>
      </c>
      <c r="H438" s="129">
        <v>28000</v>
      </c>
      <c r="I438" s="68">
        <v>12</v>
      </c>
      <c r="J438" s="129">
        <f t="shared" si="20"/>
        <v>336000</v>
      </c>
      <c r="K438" s="130">
        <v>2660</v>
      </c>
      <c r="L438" s="66">
        <v>10</v>
      </c>
      <c r="M438" s="131"/>
    </row>
    <row r="439" spans="2:13" s="132" customFormat="1" ht="33" x14ac:dyDescent="0.3">
      <c r="B439" s="127">
        <v>429</v>
      </c>
      <c r="C439" s="78"/>
      <c r="D439" s="54" t="s">
        <v>641</v>
      </c>
      <c r="E439" s="54" t="s">
        <v>2052</v>
      </c>
      <c r="F439" s="128" t="s">
        <v>450</v>
      </c>
      <c r="G439" s="66">
        <v>2018</v>
      </c>
      <c r="H439" s="129">
        <v>40000</v>
      </c>
      <c r="I439" s="68">
        <v>9</v>
      </c>
      <c r="J439" s="129">
        <f t="shared" si="20"/>
        <v>360000</v>
      </c>
      <c r="K439" s="130">
        <v>3800</v>
      </c>
      <c r="L439" s="66">
        <v>10</v>
      </c>
      <c r="M439" s="131"/>
    </row>
    <row r="440" spans="2:13" s="132" customFormat="1" ht="33" x14ac:dyDescent="0.3">
      <c r="B440" s="127">
        <v>430</v>
      </c>
      <c r="C440" s="78"/>
      <c r="D440" s="54" t="s">
        <v>2065</v>
      </c>
      <c r="E440" s="54" t="s">
        <v>2053</v>
      </c>
      <c r="F440" s="128" t="s">
        <v>458</v>
      </c>
      <c r="G440" s="66">
        <v>2018</v>
      </c>
      <c r="H440" s="129">
        <v>1400000</v>
      </c>
      <c r="I440" s="68">
        <v>1</v>
      </c>
      <c r="J440" s="129">
        <f t="shared" si="20"/>
        <v>1400000</v>
      </c>
      <c r="K440" s="130">
        <v>133000</v>
      </c>
      <c r="L440" s="66">
        <v>10</v>
      </c>
      <c r="M440" s="131"/>
    </row>
    <row r="441" spans="2:13" s="132" customFormat="1" ht="36" x14ac:dyDescent="0.3">
      <c r="B441" s="127">
        <v>431</v>
      </c>
      <c r="C441" s="78"/>
      <c r="D441" s="54" t="s">
        <v>2066</v>
      </c>
      <c r="E441" s="54" t="s">
        <v>2054</v>
      </c>
      <c r="F441" s="128" t="s">
        <v>453</v>
      </c>
      <c r="G441" s="66">
        <v>2018</v>
      </c>
      <c r="H441" s="129">
        <v>172000</v>
      </c>
      <c r="I441" s="68">
        <v>4</v>
      </c>
      <c r="J441" s="129">
        <f t="shared" si="20"/>
        <v>688000</v>
      </c>
      <c r="K441" s="130">
        <v>16340</v>
      </c>
      <c r="L441" s="66">
        <v>10</v>
      </c>
      <c r="M441" s="131"/>
    </row>
    <row r="442" spans="2:13" s="132" customFormat="1" ht="36" x14ac:dyDescent="0.3">
      <c r="B442" s="127">
        <v>432</v>
      </c>
      <c r="C442" s="78"/>
      <c r="D442" s="54" t="s">
        <v>2067</v>
      </c>
      <c r="E442" s="54" t="s">
        <v>2055</v>
      </c>
      <c r="F442" s="128" t="s">
        <v>453</v>
      </c>
      <c r="G442" s="66">
        <v>2017</v>
      </c>
      <c r="H442" s="129">
        <v>998000</v>
      </c>
      <c r="I442" s="68">
        <v>1</v>
      </c>
      <c r="J442" s="129">
        <f t="shared" si="20"/>
        <v>998000</v>
      </c>
      <c r="K442" s="130">
        <v>94810</v>
      </c>
      <c r="L442" s="66">
        <v>10</v>
      </c>
      <c r="M442" s="131"/>
    </row>
    <row r="443" spans="2:13" s="132" customFormat="1" ht="36" x14ac:dyDescent="0.3">
      <c r="B443" s="127">
        <v>433</v>
      </c>
      <c r="C443" s="78"/>
      <c r="D443" s="54" t="s">
        <v>2068</v>
      </c>
      <c r="E443" s="54" t="s">
        <v>2056</v>
      </c>
      <c r="F443" s="128" t="s">
        <v>453</v>
      </c>
      <c r="G443" s="66">
        <v>2017</v>
      </c>
      <c r="H443" s="129">
        <v>155000</v>
      </c>
      <c r="I443" s="68">
        <v>8</v>
      </c>
      <c r="J443" s="129">
        <f t="shared" si="20"/>
        <v>1240000</v>
      </c>
      <c r="K443" s="130">
        <v>14725</v>
      </c>
      <c r="L443" s="66">
        <v>10</v>
      </c>
      <c r="M443" s="131"/>
    </row>
    <row r="444" spans="2:13" s="132" customFormat="1" ht="36" x14ac:dyDescent="0.3">
      <c r="B444" s="127">
        <v>434</v>
      </c>
      <c r="C444" s="78"/>
      <c r="D444" s="54" t="s">
        <v>2069</v>
      </c>
      <c r="E444" s="54" t="s">
        <v>2057</v>
      </c>
      <c r="F444" s="128" t="s">
        <v>453</v>
      </c>
      <c r="G444" s="66">
        <v>2017</v>
      </c>
      <c r="H444" s="129">
        <v>1850000</v>
      </c>
      <c r="I444" s="68">
        <v>1</v>
      </c>
      <c r="J444" s="129">
        <f t="shared" si="20"/>
        <v>1850000</v>
      </c>
      <c r="K444" s="130">
        <v>175750</v>
      </c>
      <c r="L444" s="66">
        <v>10</v>
      </c>
      <c r="M444" s="131"/>
    </row>
    <row r="445" spans="2:13" s="132" customFormat="1" ht="33" x14ac:dyDescent="0.3">
      <c r="B445" s="127">
        <v>435</v>
      </c>
      <c r="C445" s="78"/>
      <c r="D445" s="54" t="s">
        <v>2070</v>
      </c>
      <c r="E445" s="54" t="s">
        <v>2058</v>
      </c>
      <c r="F445" s="128" t="s">
        <v>457</v>
      </c>
      <c r="G445" s="66">
        <v>2018</v>
      </c>
      <c r="H445" s="129">
        <v>600000</v>
      </c>
      <c r="I445" s="68">
        <v>2</v>
      </c>
      <c r="J445" s="129">
        <f t="shared" si="20"/>
        <v>1200000</v>
      </c>
      <c r="K445" s="130">
        <v>57000</v>
      </c>
      <c r="L445" s="66">
        <v>10</v>
      </c>
      <c r="M445" s="131"/>
    </row>
    <row r="446" spans="2:13" s="132" customFormat="1" ht="33" x14ac:dyDescent="0.3">
      <c r="B446" s="127">
        <v>436</v>
      </c>
      <c r="C446" s="78"/>
      <c r="D446" s="54" t="s">
        <v>2080</v>
      </c>
      <c r="E446" s="54" t="s">
        <v>2071</v>
      </c>
      <c r="F446" s="128" t="s">
        <v>440</v>
      </c>
      <c r="G446" s="66">
        <v>2017</v>
      </c>
      <c r="H446" s="129">
        <v>2583000</v>
      </c>
      <c r="I446" s="68">
        <v>1</v>
      </c>
      <c r="J446" s="129">
        <f>I446*H446</f>
        <v>2583000</v>
      </c>
      <c r="K446" s="130">
        <v>245385</v>
      </c>
      <c r="L446" s="66">
        <v>10</v>
      </c>
      <c r="M446" s="131"/>
    </row>
    <row r="447" spans="2:13" s="132" customFormat="1" ht="33" x14ac:dyDescent="0.3">
      <c r="B447" s="127">
        <v>437</v>
      </c>
      <c r="C447" s="78"/>
      <c r="D447" s="54" t="s">
        <v>1091</v>
      </c>
      <c r="E447" s="54" t="s">
        <v>2072</v>
      </c>
      <c r="F447" s="128" t="s">
        <v>440</v>
      </c>
      <c r="G447" s="66">
        <v>2017</v>
      </c>
      <c r="H447" s="129">
        <v>550000</v>
      </c>
      <c r="I447" s="68">
        <v>1</v>
      </c>
      <c r="J447" s="129">
        <f t="shared" ref="J447:J454" si="21">I447*H447</f>
        <v>550000</v>
      </c>
      <c r="K447" s="130">
        <v>52250</v>
      </c>
      <c r="L447" s="66">
        <v>10</v>
      </c>
      <c r="M447" s="131"/>
    </row>
    <row r="448" spans="2:13" s="132" customFormat="1" ht="33" x14ac:dyDescent="0.3">
      <c r="B448" s="127">
        <v>438</v>
      </c>
      <c r="C448" s="78"/>
      <c r="D448" s="54" t="s">
        <v>2081</v>
      </c>
      <c r="E448" s="54" t="s">
        <v>2073</v>
      </c>
      <c r="F448" s="128" t="s">
        <v>440</v>
      </c>
      <c r="G448" s="66">
        <v>2017</v>
      </c>
      <c r="H448" s="129">
        <v>225000</v>
      </c>
      <c r="I448" s="68">
        <v>2</v>
      </c>
      <c r="J448" s="129">
        <f t="shared" si="21"/>
        <v>450000</v>
      </c>
      <c r="K448" s="130">
        <v>42750</v>
      </c>
      <c r="L448" s="66">
        <v>10</v>
      </c>
      <c r="M448" s="131"/>
    </row>
    <row r="449" spans="2:13" s="132" customFormat="1" ht="33" x14ac:dyDescent="0.3">
      <c r="B449" s="127">
        <v>439</v>
      </c>
      <c r="C449" s="78"/>
      <c r="D449" s="54" t="s">
        <v>2082</v>
      </c>
      <c r="E449" s="54" t="s">
        <v>2074</v>
      </c>
      <c r="F449" s="128" t="s">
        <v>440</v>
      </c>
      <c r="G449" s="66">
        <v>2017</v>
      </c>
      <c r="H449" s="129">
        <v>64998</v>
      </c>
      <c r="I449" s="68">
        <v>4</v>
      </c>
      <c r="J449" s="129">
        <f t="shared" si="21"/>
        <v>259992</v>
      </c>
      <c r="K449" s="130">
        <v>24699.239999999998</v>
      </c>
      <c r="L449" s="66">
        <v>10</v>
      </c>
      <c r="M449" s="131"/>
    </row>
    <row r="450" spans="2:13" s="132" customFormat="1" ht="33" x14ac:dyDescent="0.3">
      <c r="B450" s="127">
        <v>440</v>
      </c>
      <c r="C450" s="78"/>
      <c r="D450" s="54" t="s">
        <v>2083</v>
      </c>
      <c r="E450" s="54" t="s">
        <v>2075</v>
      </c>
      <c r="F450" s="128" t="s">
        <v>440</v>
      </c>
      <c r="G450" s="66">
        <v>2017</v>
      </c>
      <c r="H450" s="129">
        <v>338000</v>
      </c>
      <c r="I450" s="68">
        <v>1</v>
      </c>
      <c r="J450" s="129">
        <f t="shared" si="21"/>
        <v>338000</v>
      </c>
      <c r="K450" s="130">
        <v>32110</v>
      </c>
      <c r="L450" s="66">
        <v>10</v>
      </c>
      <c r="M450" s="131"/>
    </row>
    <row r="451" spans="2:13" s="132" customFormat="1" ht="33" x14ac:dyDescent="0.3">
      <c r="B451" s="127">
        <v>441</v>
      </c>
      <c r="C451" s="78"/>
      <c r="D451" s="54" t="s">
        <v>2084</v>
      </c>
      <c r="E451" s="54" t="s">
        <v>2076</v>
      </c>
      <c r="F451" s="128" t="s">
        <v>455</v>
      </c>
      <c r="G451" s="66">
        <v>2018</v>
      </c>
      <c r="H451" s="129">
        <v>438000</v>
      </c>
      <c r="I451" s="68">
        <v>2</v>
      </c>
      <c r="J451" s="129">
        <f t="shared" si="21"/>
        <v>876000</v>
      </c>
      <c r="K451" s="130">
        <v>83220</v>
      </c>
      <c r="L451" s="66">
        <v>10</v>
      </c>
      <c r="M451" s="131"/>
    </row>
    <row r="452" spans="2:13" s="132" customFormat="1" ht="33" x14ac:dyDescent="0.3">
      <c r="B452" s="127">
        <v>442</v>
      </c>
      <c r="C452" s="78"/>
      <c r="D452" s="54" t="s">
        <v>2085</v>
      </c>
      <c r="E452" s="54" t="s">
        <v>2077</v>
      </c>
      <c r="F452" s="128" t="s">
        <v>455</v>
      </c>
      <c r="G452" s="66">
        <v>2018</v>
      </c>
      <c r="H452" s="129">
        <v>119800</v>
      </c>
      <c r="I452" s="68">
        <v>5</v>
      </c>
      <c r="J452" s="129">
        <f t="shared" si="21"/>
        <v>599000</v>
      </c>
      <c r="K452" s="130">
        <v>56905</v>
      </c>
      <c r="L452" s="66">
        <v>10</v>
      </c>
      <c r="M452" s="131"/>
    </row>
    <row r="453" spans="2:13" s="132" customFormat="1" ht="49.5" x14ac:dyDescent="0.3">
      <c r="B453" s="127">
        <v>443</v>
      </c>
      <c r="C453" s="78"/>
      <c r="D453" s="54" t="s">
        <v>2086</v>
      </c>
      <c r="E453" s="54" t="s">
        <v>2078</v>
      </c>
      <c r="F453" s="128" t="s">
        <v>441</v>
      </c>
      <c r="G453" s="66">
        <v>2018</v>
      </c>
      <c r="H453" s="129">
        <v>1055000</v>
      </c>
      <c r="I453" s="68">
        <v>1</v>
      </c>
      <c r="J453" s="129">
        <f t="shared" si="21"/>
        <v>1055000</v>
      </c>
      <c r="K453" s="130">
        <v>100225</v>
      </c>
      <c r="L453" s="66">
        <v>10</v>
      </c>
      <c r="M453" s="131"/>
    </row>
    <row r="454" spans="2:13" s="132" customFormat="1" ht="33" x14ac:dyDescent="0.3">
      <c r="B454" s="127">
        <v>444</v>
      </c>
      <c r="C454" s="78"/>
      <c r="D454" s="54" t="s">
        <v>2087</v>
      </c>
      <c r="E454" s="54" t="s">
        <v>2079</v>
      </c>
      <c r="F454" s="128" t="s">
        <v>459</v>
      </c>
      <c r="G454" s="66">
        <v>2017</v>
      </c>
      <c r="H454" s="129">
        <v>1380000</v>
      </c>
      <c r="I454" s="68">
        <v>3</v>
      </c>
      <c r="J454" s="129">
        <f t="shared" si="21"/>
        <v>4140000</v>
      </c>
      <c r="K454" s="130">
        <v>393300</v>
      </c>
      <c r="L454" s="66">
        <v>10</v>
      </c>
      <c r="M454" s="131"/>
    </row>
    <row r="455" spans="2:13" s="132" customFormat="1" ht="33" x14ac:dyDescent="0.3">
      <c r="B455" s="127">
        <v>445</v>
      </c>
      <c r="C455" s="78"/>
      <c r="D455" s="54" t="s">
        <v>2097</v>
      </c>
      <c r="E455" s="54" t="s">
        <v>2088</v>
      </c>
      <c r="F455" s="128" t="s">
        <v>450</v>
      </c>
      <c r="G455" s="66">
        <v>2018</v>
      </c>
      <c r="H455" s="129">
        <v>60000</v>
      </c>
      <c r="I455" s="68">
        <v>1</v>
      </c>
      <c r="J455" s="129">
        <f>I455*H455</f>
        <v>60000</v>
      </c>
      <c r="K455" s="130">
        <v>5700</v>
      </c>
      <c r="L455" s="66">
        <v>10</v>
      </c>
      <c r="M455" s="131"/>
    </row>
    <row r="456" spans="2:13" s="132" customFormat="1" ht="33" x14ac:dyDescent="0.3">
      <c r="B456" s="127">
        <v>446</v>
      </c>
      <c r="C456" s="78"/>
      <c r="D456" s="54" t="s">
        <v>2098</v>
      </c>
      <c r="E456" s="54" t="s">
        <v>2089</v>
      </c>
      <c r="F456" s="128" t="s">
        <v>455</v>
      </c>
      <c r="G456" s="66">
        <v>2018</v>
      </c>
      <c r="H456" s="129">
        <v>30000</v>
      </c>
      <c r="I456" s="68">
        <v>2</v>
      </c>
      <c r="J456" s="129">
        <f t="shared" ref="J456:J463" si="22">I456*H456</f>
        <v>60000</v>
      </c>
      <c r="K456" s="130">
        <v>2850</v>
      </c>
      <c r="L456" s="66">
        <v>10</v>
      </c>
      <c r="M456" s="131"/>
    </row>
    <row r="457" spans="2:13" s="132" customFormat="1" ht="36" x14ac:dyDescent="0.3">
      <c r="B457" s="127">
        <v>447</v>
      </c>
      <c r="C457" s="78"/>
      <c r="D457" s="54" t="s">
        <v>2099</v>
      </c>
      <c r="E457" s="54" t="s">
        <v>2090</v>
      </c>
      <c r="F457" s="128" t="s">
        <v>440</v>
      </c>
      <c r="G457" s="66">
        <v>2018</v>
      </c>
      <c r="H457" s="129">
        <v>190000</v>
      </c>
      <c r="I457" s="68">
        <v>1</v>
      </c>
      <c r="J457" s="129">
        <f t="shared" si="22"/>
        <v>190000</v>
      </c>
      <c r="K457" s="130">
        <v>18050</v>
      </c>
      <c r="L457" s="66">
        <v>10</v>
      </c>
      <c r="M457" s="131"/>
    </row>
    <row r="458" spans="2:13" s="132" customFormat="1" ht="36" x14ac:dyDescent="0.3">
      <c r="B458" s="127">
        <v>448</v>
      </c>
      <c r="C458" s="78"/>
      <c r="D458" s="54" t="s">
        <v>2100</v>
      </c>
      <c r="E458" s="54" t="s">
        <v>2091</v>
      </c>
      <c r="F458" s="128" t="s">
        <v>440</v>
      </c>
      <c r="G458" s="66">
        <v>2018</v>
      </c>
      <c r="H458" s="129">
        <v>300000</v>
      </c>
      <c r="I458" s="68">
        <v>1</v>
      </c>
      <c r="J458" s="129">
        <f t="shared" si="22"/>
        <v>300000</v>
      </c>
      <c r="K458" s="130">
        <v>28500</v>
      </c>
      <c r="L458" s="66">
        <v>10</v>
      </c>
      <c r="M458" s="131"/>
    </row>
    <row r="459" spans="2:13" s="132" customFormat="1" ht="33" x14ac:dyDescent="0.3">
      <c r="B459" s="127">
        <v>449</v>
      </c>
      <c r="C459" s="78"/>
      <c r="D459" s="54" t="s">
        <v>2101</v>
      </c>
      <c r="E459" s="54" t="s">
        <v>2092</v>
      </c>
      <c r="F459" s="128" t="s">
        <v>440</v>
      </c>
      <c r="G459" s="66">
        <v>2017</v>
      </c>
      <c r="H459" s="129">
        <v>580000</v>
      </c>
      <c r="I459" s="68">
        <v>1</v>
      </c>
      <c r="J459" s="129">
        <f t="shared" si="22"/>
        <v>580000</v>
      </c>
      <c r="K459" s="130">
        <v>55100</v>
      </c>
      <c r="L459" s="66">
        <v>10</v>
      </c>
      <c r="M459" s="131"/>
    </row>
    <row r="460" spans="2:13" s="132" customFormat="1" ht="33" x14ac:dyDescent="0.3">
      <c r="B460" s="127">
        <v>450</v>
      </c>
      <c r="C460" s="78"/>
      <c r="D460" s="54" t="s">
        <v>505</v>
      </c>
      <c r="E460" s="54" t="s">
        <v>2093</v>
      </c>
      <c r="F460" s="128" t="s">
        <v>440</v>
      </c>
      <c r="G460" s="66">
        <v>2017</v>
      </c>
      <c r="H460" s="129">
        <v>3800000</v>
      </c>
      <c r="I460" s="68">
        <v>1</v>
      </c>
      <c r="J460" s="129">
        <f t="shared" si="22"/>
        <v>3800000</v>
      </c>
      <c r="K460" s="130">
        <v>361000</v>
      </c>
      <c r="L460" s="66">
        <v>10</v>
      </c>
      <c r="M460" s="131"/>
    </row>
    <row r="461" spans="2:13" s="132" customFormat="1" ht="33" x14ac:dyDescent="0.3">
      <c r="B461" s="127">
        <v>451</v>
      </c>
      <c r="C461" s="78"/>
      <c r="D461" s="54" t="s">
        <v>1025</v>
      </c>
      <c r="E461" s="54" t="s">
        <v>2094</v>
      </c>
      <c r="F461" s="128" t="s">
        <v>440</v>
      </c>
      <c r="G461" s="66">
        <v>2017</v>
      </c>
      <c r="H461" s="129">
        <v>228000</v>
      </c>
      <c r="I461" s="68">
        <v>1</v>
      </c>
      <c r="J461" s="129">
        <f t="shared" si="22"/>
        <v>228000</v>
      </c>
      <c r="K461" s="130">
        <v>21660</v>
      </c>
      <c r="L461" s="66">
        <v>10</v>
      </c>
      <c r="M461" s="131"/>
    </row>
    <row r="462" spans="2:13" s="132" customFormat="1" ht="33" x14ac:dyDescent="0.3">
      <c r="B462" s="127">
        <v>452</v>
      </c>
      <c r="C462" s="78"/>
      <c r="D462" s="54" t="s">
        <v>2102</v>
      </c>
      <c r="E462" s="54" t="s">
        <v>2095</v>
      </c>
      <c r="F462" s="128" t="s">
        <v>440</v>
      </c>
      <c r="G462" s="66">
        <v>2017</v>
      </c>
      <c r="H462" s="129">
        <v>678000</v>
      </c>
      <c r="I462" s="68">
        <v>1</v>
      </c>
      <c r="J462" s="129">
        <f t="shared" si="22"/>
        <v>678000</v>
      </c>
      <c r="K462" s="130">
        <v>64410</v>
      </c>
      <c r="L462" s="66">
        <v>10</v>
      </c>
      <c r="M462" s="131"/>
    </row>
    <row r="463" spans="2:13" s="132" customFormat="1" ht="33" x14ac:dyDescent="0.3">
      <c r="B463" s="127">
        <v>453</v>
      </c>
      <c r="C463" s="78"/>
      <c r="D463" s="54" t="s">
        <v>2102</v>
      </c>
      <c r="E463" s="54" t="s">
        <v>2096</v>
      </c>
      <c r="F463" s="128" t="s">
        <v>440</v>
      </c>
      <c r="G463" s="66">
        <v>2017</v>
      </c>
      <c r="H463" s="129">
        <v>448000</v>
      </c>
      <c r="I463" s="68">
        <v>1</v>
      </c>
      <c r="J463" s="129">
        <f t="shared" si="22"/>
        <v>448000</v>
      </c>
      <c r="K463" s="130">
        <v>42560</v>
      </c>
      <c r="L463" s="66">
        <v>10</v>
      </c>
      <c r="M463" s="131"/>
    </row>
    <row r="464" spans="2:13" s="132" customFormat="1" ht="48" x14ac:dyDescent="0.3">
      <c r="B464" s="127">
        <v>454</v>
      </c>
      <c r="C464" s="78"/>
      <c r="D464" s="54" t="s">
        <v>2115</v>
      </c>
      <c r="E464" s="54" t="s">
        <v>2110</v>
      </c>
      <c r="F464" s="128" t="s">
        <v>457</v>
      </c>
      <c r="G464" s="66">
        <v>2017</v>
      </c>
      <c r="H464" s="129">
        <v>1995000</v>
      </c>
      <c r="I464" s="68">
        <v>1</v>
      </c>
      <c r="J464" s="129">
        <f>I464*H464</f>
        <v>1995000</v>
      </c>
      <c r="K464" s="130">
        <v>189525</v>
      </c>
      <c r="L464" s="66">
        <v>10</v>
      </c>
      <c r="M464" s="131"/>
    </row>
    <row r="465" spans="2:13" s="132" customFormat="1" ht="33" x14ac:dyDescent="0.3">
      <c r="B465" s="127">
        <v>455</v>
      </c>
      <c r="C465" s="78"/>
      <c r="D465" s="54" t="s">
        <v>2116</v>
      </c>
      <c r="E465" s="54" t="s">
        <v>2111</v>
      </c>
      <c r="F465" s="128" t="s">
        <v>453</v>
      </c>
      <c r="G465" s="66">
        <v>2018</v>
      </c>
      <c r="H465" s="129">
        <v>66000</v>
      </c>
      <c r="I465" s="68">
        <v>4</v>
      </c>
      <c r="J465" s="129">
        <f t="shared" ref="J465:J468" si="23">I465*H465</f>
        <v>264000</v>
      </c>
      <c r="K465" s="130">
        <v>6270</v>
      </c>
      <c r="L465" s="66">
        <v>10</v>
      </c>
      <c r="M465" s="131"/>
    </row>
    <row r="466" spans="2:13" s="132" customFormat="1" x14ac:dyDescent="0.3">
      <c r="B466" s="127">
        <v>456</v>
      </c>
      <c r="C466" s="78"/>
      <c r="D466" s="54" t="s">
        <v>2117</v>
      </c>
      <c r="E466" s="54" t="s">
        <v>2112</v>
      </c>
      <c r="F466" s="128" t="s">
        <v>447</v>
      </c>
      <c r="G466" s="66">
        <v>2018</v>
      </c>
      <c r="H466" s="129">
        <v>497280</v>
      </c>
      <c r="I466" s="68">
        <v>1</v>
      </c>
      <c r="J466" s="129">
        <f t="shared" si="23"/>
        <v>497280</v>
      </c>
      <c r="K466" s="130">
        <v>47241.599999999999</v>
      </c>
      <c r="L466" s="66">
        <v>10</v>
      </c>
      <c r="M466" s="131"/>
    </row>
    <row r="467" spans="2:13" s="132" customFormat="1" ht="33" x14ac:dyDescent="0.3">
      <c r="B467" s="127">
        <v>457</v>
      </c>
      <c r="C467" s="78"/>
      <c r="D467" s="54" t="s">
        <v>2118</v>
      </c>
      <c r="E467" s="54" t="s">
        <v>2113</v>
      </c>
      <c r="F467" s="128" t="s">
        <v>457</v>
      </c>
      <c r="G467" s="66">
        <v>2018</v>
      </c>
      <c r="H467" s="129">
        <v>544000</v>
      </c>
      <c r="I467" s="68">
        <v>2</v>
      </c>
      <c r="J467" s="129">
        <f t="shared" si="23"/>
        <v>1088000</v>
      </c>
      <c r="K467" s="130">
        <v>51680</v>
      </c>
      <c r="L467" s="66">
        <v>10</v>
      </c>
      <c r="M467" s="131"/>
    </row>
    <row r="468" spans="2:13" s="132" customFormat="1" ht="49.5" x14ac:dyDescent="0.3">
      <c r="B468" s="127">
        <v>458</v>
      </c>
      <c r="C468" s="78"/>
      <c r="D468" s="54" t="s">
        <v>632</v>
      </c>
      <c r="E468" s="54" t="s">
        <v>2114</v>
      </c>
      <c r="F468" s="128" t="s">
        <v>441</v>
      </c>
      <c r="G468" s="66">
        <v>2018</v>
      </c>
      <c r="H468" s="129">
        <v>1370000</v>
      </c>
      <c r="I468" s="68">
        <v>4</v>
      </c>
      <c r="J468" s="129">
        <f t="shared" si="23"/>
        <v>5480000</v>
      </c>
      <c r="K468" s="130">
        <v>130150</v>
      </c>
      <c r="L468" s="66">
        <v>10</v>
      </c>
      <c r="M468" s="131"/>
    </row>
    <row r="469" spans="2:13" s="132" customFormat="1" ht="49.5" x14ac:dyDescent="0.3">
      <c r="B469" s="127">
        <v>459</v>
      </c>
      <c r="C469" s="78"/>
      <c r="D469" s="54" t="s">
        <v>2129</v>
      </c>
      <c r="E469" s="54" t="s">
        <v>2120</v>
      </c>
      <c r="F469" s="128" t="s">
        <v>441</v>
      </c>
      <c r="G469" s="66">
        <v>2018</v>
      </c>
      <c r="H469" s="129">
        <v>21145.599999999999</v>
      </c>
      <c r="I469" s="68">
        <v>1</v>
      </c>
      <c r="J469" s="129">
        <f>I469*H469</f>
        <v>21145.599999999999</v>
      </c>
      <c r="K469" s="130">
        <v>2008.8319999999997</v>
      </c>
      <c r="L469" s="66">
        <v>10</v>
      </c>
      <c r="M469" s="131"/>
    </row>
    <row r="470" spans="2:13" s="132" customFormat="1" ht="49.5" x14ac:dyDescent="0.3">
      <c r="B470" s="127">
        <v>460</v>
      </c>
      <c r="C470" s="78"/>
      <c r="D470" s="54" t="s">
        <v>2130</v>
      </c>
      <c r="E470" s="54" t="s">
        <v>2121</v>
      </c>
      <c r="F470" s="128" t="s">
        <v>441</v>
      </c>
      <c r="G470" s="66">
        <v>2018</v>
      </c>
      <c r="H470" s="129">
        <v>21145.599999999999</v>
      </c>
      <c r="I470" s="68">
        <v>1</v>
      </c>
      <c r="J470" s="129">
        <f t="shared" ref="J470:J477" si="24">I470*H470</f>
        <v>21145.599999999999</v>
      </c>
      <c r="K470" s="130">
        <v>2008.8319999999997</v>
      </c>
      <c r="L470" s="66">
        <v>10</v>
      </c>
      <c r="M470" s="131"/>
    </row>
    <row r="471" spans="2:13" s="132" customFormat="1" ht="49.5" x14ac:dyDescent="0.3">
      <c r="B471" s="127">
        <v>461</v>
      </c>
      <c r="C471" s="78"/>
      <c r="D471" s="54" t="s">
        <v>2131</v>
      </c>
      <c r="E471" s="54" t="s">
        <v>2122</v>
      </c>
      <c r="F471" s="128" t="s">
        <v>441</v>
      </c>
      <c r="G471" s="66">
        <v>2018</v>
      </c>
      <c r="H471" s="129">
        <v>21145.599999999999</v>
      </c>
      <c r="I471" s="68">
        <v>1</v>
      </c>
      <c r="J471" s="129">
        <f t="shared" si="24"/>
        <v>21145.599999999999</v>
      </c>
      <c r="K471" s="130">
        <v>2008.8319999999997</v>
      </c>
      <c r="L471" s="66">
        <v>10</v>
      </c>
      <c r="M471" s="131"/>
    </row>
    <row r="472" spans="2:13" s="132" customFormat="1" ht="49.5" x14ac:dyDescent="0.3">
      <c r="B472" s="127">
        <v>462</v>
      </c>
      <c r="C472" s="78"/>
      <c r="D472" s="54" t="s">
        <v>2132</v>
      </c>
      <c r="E472" s="54" t="s">
        <v>2123</v>
      </c>
      <c r="F472" s="128" t="s">
        <v>441</v>
      </c>
      <c r="G472" s="66">
        <v>2018</v>
      </c>
      <c r="H472" s="129">
        <v>93980.44</v>
      </c>
      <c r="I472" s="68">
        <v>1</v>
      </c>
      <c r="J472" s="129">
        <f t="shared" si="24"/>
        <v>93980.44</v>
      </c>
      <c r="K472" s="130">
        <v>8928.1418000000012</v>
      </c>
      <c r="L472" s="66">
        <v>10</v>
      </c>
      <c r="M472" s="131"/>
    </row>
    <row r="473" spans="2:13" s="132" customFormat="1" ht="49.5" x14ac:dyDescent="0.3">
      <c r="B473" s="127">
        <v>463</v>
      </c>
      <c r="C473" s="78"/>
      <c r="D473" s="54" t="s">
        <v>2133</v>
      </c>
      <c r="E473" s="54" t="s">
        <v>2124</v>
      </c>
      <c r="F473" s="128" t="s">
        <v>441</v>
      </c>
      <c r="G473" s="66">
        <v>2018</v>
      </c>
      <c r="H473" s="129">
        <v>117475.56</v>
      </c>
      <c r="I473" s="68">
        <v>1</v>
      </c>
      <c r="J473" s="129">
        <f t="shared" si="24"/>
        <v>117475.56</v>
      </c>
      <c r="K473" s="130">
        <v>11160.178199999998</v>
      </c>
      <c r="L473" s="66">
        <v>10</v>
      </c>
      <c r="M473" s="131"/>
    </row>
    <row r="474" spans="2:13" s="132" customFormat="1" ht="49.5" x14ac:dyDescent="0.3">
      <c r="B474" s="127">
        <v>464</v>
      </c>
      <c r="C474" s="78"/>
      <c r="D474" s="54" t="s">
        <v>2134</v>
      </c>
      <c r="E474" s="54" t="s">
        <v>2125</v>
      </c>
      <c r="F474" s="128" t="s">
        <v>441</v>
      </c>
      <c r="G474" s="66">
        <v>2018</v>
      </c>
      <c r="H474" s="129">
        <v>159766.76</v>
      </c>
      <c r="I474" s="68">
        <v>2</v>
      </c>
      <c r="J474" s="129">
        <f t="shared" si="24"/>
        <v>319533.52</v>
      </c>
      <c r="K474" s="130">
        <v>15177.842199999999</v>
      </c>
      <c r="L474" s="66">
        <v>10</v>
      </c>
      <c r="M474" s="131"/>
    </row>
    <row r="475" spans="2:13" s="132" customFormat="1" ht="49.5" x14ac:dyDescent="0.3">
      <c r="B475" s="127">
        <v>465</v>
      </c>
      <c r="C475" s="78"/>
      <c r="D475" s="54" t="s">
        <v>2135</v>
      </c>
      <c r="E475" s="54" t="s">
        <v>2126</v>
      </c>
      <c r="F475" s="128" t="s">
        <v>441</v>
      </c>
      <c r="G475" s="66">
        <v>2018</v>
      </c>
      <c r="H475" s="129">
        <v>195009.42</v>
      </c>
      <c r="I475" s="68">
        <v>1</v>
      </c>
      <c r="J475" s="129">
        <f t="shared" si="24"/>
        <v>195009.42</v>
      </c>
      <c r="K475" s="130">
        <v>18525.894899999999</v>
      </c>
      <c r="L475" s="66">
        <v>10</v>
      </c>
      <c r="M475" s="131"/>
    </row>
    <row r="476" spans="2:13" s="132" customFormat="1" ht="49.5" x14ac:dyDescent="0.3">
      <c r="B476" s="127">
        <v>466</v>
      </c>
      <c r="C476" s="78"/>
      <c r="D476" s="54" t="s">
        <v>2136</v>
      </c>
      <c r="E476" s="54" t="s">
        <v>2127</v>
      </c>
      <c r="F476" s="128" t="s">
        <v>441</v>
      </c>
      <c r="G476" s="66">
        <v>2018</v>
      </c>
      <c r="H476" s="129">
        <v>195009.42</v>
      </c>
      <c r="I476" s="68">
        <v>1</v>
      </c>
      <c r="J476" s="129">
        <f t="shared" si="24"/>
        <v>195009.42</v>
      </c>
      <c r="K476" s="130">
        <v>18525.894899999999</v>
      </c>
      <c r="L476" s="66">
        <v>10</v>
      </c>
      <c r="M476" s="131"/>
    </row>
    <row r="477" spans="2:13" s="132" customFormat="1" ht="33" x14ac:dyDescent="0.3">
      <c r="B477" s="127">
        <v>467</v>
      </c>
      <c r="C477" s="78"/>
      <c r="D477" s="54" t="s">
        <v>2128</v>
      </c>
      <c r="E477" s="54" t="s">
        <v>2128</v>
      </c>
      <c r="F477" s="128" t="s">
        <v>440</v>
      </c>
      <c r="G477" s="66">
        <v>2018</v>
      </c>
      <c r="H477" s="129">
        <v>15000</v>
      </c>
      <c r="I477" s="68">
        <v>1</v>
      </c>
      <c r="J477" s="129">
        <f t="shared" si="24"/>
        <v>15000</v>
      </c>
      <c r="K477" s="130">
        <v>1425</v>
      </c>
      <c r="L477" s="66">
        <v>10</v>
      </c>
      <c r="M477" s="131"/>
    </row>
    <row r="478" spans="2:13" s="132" customFormat="1" ht="132" x14ac:dyDescent="0.3">
      <c r="B478" s="127">
        <v>468</v>
      </c>
      <c r="C478" s="78"/>
      <c r="D478" s="54" t="s">
        <v>528</v>
      </c>
      <c r="E478" s="54" t="s">
        <v>2137</v>
      </c>
      <c r="F478" s="128" t="s">
        <v>450</v>
      </c>
      <c r="G478" s="66">
        <v>2018</v>
      </c>
      <c r="H478" s="129">
        <v>41447</v>
      </c>
      <c r="I478" s="68">
        <v>1</v>
      </c>
      <c r="J478" s="129">
        <f t="shared" ref="J478:J482" si="25">I478*H478</f>
        <v>41447</v>
      </c>
      <c r="K478" s="130">
        <v>3937.4650000000001</v>
      </c>
      <c r="L478" s="66">
        <v>10</v>
      </c>
      <c r="M478" s="131"/>
    </row>
    <row r="479" spans="2:13" s="132" customFormat="1" ht="49.5" x14ac:dyDescent="0.3">
      <c r="B479" s="127">
        <v>469</v>
      </c>
      <c r="C479" s="78"/>
      <c r="D479" s="54" t="s">
        <v>2139</v>
      </c>
      <c r="E479" s="54" t="s">
        <v>2138</v>
      </c>
      <c r="F479" s="128" t="s">
        <v>441</v>
      </c>
      <c r="G479" s="66">
        <v>2018</v>
      </c>
      <c r="H479" s="129">
        <v>770000</v>
      </c>
      <c r="I479" s="68">
        <v>1</v>
      </c>
      <c r="J479" s="129">
        <f t="shared" si="25"/>
        <v>770000</v>
      </c>
      <c r="K479" s="130">
        <v>73150</v>
      </c>
      <c r="L479" s="66">
        <v>10</v>
      </c>
      <c r="M479" s="131"/>
    </row>
    <row r="480" spans="2:13" s="132" customFormat="1" ht="33" x14ac:dyDescent="0.3">
      <c r="B480" s="127">
        <v>470</v>
      </c>
      <c r="C480" s="78"/>
      <c r="D480" s="54" t="s">
        <v>540</v>
      </c>
      <c r="E480" s="54" t="s">
        <v>2140</v>
      </c>
      <c r="F480" s="128" t="s">
        <v>459</v>
      </c>
      <c r="G480" s="66">
        <v>2018</v>
      </c>
      <c r="H480" s="129">
        <v>20000</v>
      </c>
      <c r="I480" s="68">
        <v>1</v>
      </c>
      <c r="J480" s="129">
        <f t="shared" si="25"/>
        <v>20000</v>
      </c>
      <c r="K480" s="130">
        <v>1900</v>
      </c>
      <c r="L480" s="66">
        <v>10</v>
      </c>
      <c r="M480" s="131"/>
    </row>
    <row r="481" spans="2:13" s="132" customFormat="1" ht="156" x14ac:dyDescent="0.3">
      <c r="B481" s="127">
        <v>471</v>
      </c>
      <c r="C481" s="78"/>
      <c r="D481" s="54" t="s">
        <v>2042</v>
      </c>
      <c r="E481" s="54" t="s">
        <v>2143</v>
      </c>
      <c r="F481" s="128" t="s">
        <v>455</v>
      </c>
      <c r="G481" s="66">
        <v>2018</v>
      </c>
      <c r="H481" s="129">
        <v>16485</v>
      </c>
      <c r="I481" s="68">
        <v>25</v>
      </c>
      <c r="J481" s="129">
        <f t="shared" si="25"/>
        <v>412125</v>
      </c>
      <c r="K481" s="130">
        <v>1566.075</v>
      </c>
      <c r="L481" s="66">
        <v>10</v>
      </c>
      <c r="M481" s="131"/>
    </row>
    <row r="482" spans="2:13" s="132" customFormat="1" ht="48" x14ac:dyDescent="0.3">
      <c r="B482" s="127">
        <v>472</v>
      </c>
      <c r="C482" s="78"/>
      <c r="D482" s="54" t="s">
        <v>2145</v>
      </c>
      <c r="E482" s="54" t="s">
        <v>2144</v>
      </c>
      <c r="F482" s="128" t="s">
        <v>449</v>
      </c>
      <c r="G482" s="66">
        <v>2018</v>
      </c>
      <c r="H482" s="129">
        <v>25000</v>
      </c>
      <c r="I482" s="68">
        <v>1</v>
      </c>
      <c r="J482" s="129">
        <f t="shared" si="25"/>
        <v>25000</v>
      </c>
      <c r="K482" s="130">
        <v>2375</v>
      </c>
      <c r="L482" s="66">
        <v>10</v>
      </c>
      <c r="M482" s="131"/>
    </row>
  </sheetData>
  <sheetProtection formatColumns="0" formatRows="0" sort="0" autoFilter="0"/>
  <sortState ref="B13:DR441">
    <sortCondition ref="G13:G441"/>
  </sortState>
  <mergeCells count="2">
    <mergeCell ref="B9:E9"/>
    <mergeCell ref="B8:E8"/>
  </mergeCells>
  <dataValidations count="2">
    <dataValidation type="decimal" operator="greaterThanOrEqual" allowBlank="1" showInputMessage="1" showErrorMessage="1" sqref="H13:L482">
      <formula1>0</formula1>
    </dataValidation>
    <dataValidation type="date" operator="greaterThan" allowBlank="1" showInputMessage="1" showErrorMessage="1" sqref="G13:G482">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Eqpt" altText="Add Drug / Medication / Supply">
                <anchor moveWithCells="1">
                  <from>
                    <xdr:col>1</xdr:col>
                    <xdr:colOff>85725</xdr:colOff>
                    <xdr:row>12</xdr:row>
                    <xdr:rowOff>19050</xdr:rowOff>
                  </from>
                  <to>
                    <xdr:col>1</xdr:col>
                    <xdr:colOff>819150</xdr:colOff>
                    <xdr:row>12</xdr:row>
                    <xdr:rowOff>171450</xdr:rowOff>
                  </to>
                </anchor>
              </controlPr>
            </control>
          </mc:Choice>
        </mc:AlternateContent>
        <mc:AlternateContent xmlns:mc="http://schemas.openxmlformats.org/markup-compatibility/2006">
          <mc:Choice Requires="x14">
            <control shapeId="2050" r:id="rId4" name="Button 2">
              <controlPr defaultSize="0" print="0" autoFill="0" autoPict="0" macro="[0]!Delete_Eqpt" altText="Delete Drug / Medication / Supply">
                <anchor moveWithCells="1">
                  <from>
                    <xdr:col>1</xdr:col>
                    <xdr:colOff>847725</xdr:colOff>
                    <xdr:row>12</xdr:row>
                    <xdr:rowOff>19050</xdr:rowOff>
                  </from>
                  <to>
                    <xdr:col>2</xdr:col>
                    <xdr:colOff>600075</xdr:colOff>
                    <xdr:row>12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F13:F482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2:DQ277"/>
  <sheetViews>
    <sheetView showGridLines="0" zoomScale="90" zoomScaleNormal="90" workbookViewId="0"/>
  </sheetViews>
  <sheetFormatPr defaultColWidth="8.7109375" defaultRowHeight="16.5" outlineLevelRow="1" x14ac:dyDescent="0.25"/>
  <cols>
    <col min="1" max="1" width="4.5703125" style="108" customWidth="1"/>
    <col min="2" max="2" width="15.7109375" style="108" customWidth="1"/>
    <col min="3" max="3" width="11.7109375" style="108" customWidth="1"/>
    <col min="4" max="5" width="34.5703125" style="108" customWidth="1"/>
    <col min="6" max="6" width="36.85546875" style="109" customWidth="1"/>
    <col min="7" max="7" width="12.28515625" style="108" customWidth="1"/>
    <col min="8" max="8" width="13.85546875" style="108" customWidth="1"/>
    <col min="9" max="9" width="7.42578125" style="108" customWidth="1"/>
    <col min="10" max="10" width="13" style="108" customWidth="1"/>
    <col min="11" max="11" width="17.42578125" style="108" customWidth="1"/>
    <col min="12" max="13" width="8.7109375" style="108" customWidth="1"/>
    <col min="14" max="16384" width="8.7109375" style="108"/>
  </cols>
  <sheetData>
    <row r="2" spans="2:121" s="107" customFormat="1" x14ac:dyDescent="0.25">
      <c r="B2" s="103" t="s">
        <v>0</v>
      </c>
      <c r="C2" s="104"/>
      <c r="D2" s="104"/>
      <c r="E2" s="105"/>
      <c r="F2" s="106"/>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5"/>
      <c r="CO2" s="105"/>
      <c r="CP2" s="105"/>
      <c r="CQ2" s="105"/>
      <c r="CR2" s="105"/>
      <c r="CS2" s="105"/>
      <c r="CT2" s="105"/>
      <c r="CU2" s="105"/>
      <c r="CV2" s="105"/>
      <c r="CW2" s="105"/>
      <c r="CX2" s="105"/>
      <c r="CY2" s="105"/>
      <c r="CZ2" s="105"/>
      <c r="DA2" s="105"/>
      <c r="DB2" s="105"/>
      <c r="DC2" s="105"/>
      <c r="DD2" s="105"/>
      <c r="DE2" s="105"/>
      <c r="DF2" s="105"/>
      <c r="DG2" s="105"/>
      <c r="DH2" s="105"/>
      <c r="DI2" s="105"/>
      <c r="DJ2" s="105"/>
      <c r="DK2" s="105"/>
      <c r="DL2" s="105"/>
      <c r="DM2" s="105"/>
      <c r="DN2" s="105"/>
      <c r="DO2" s="105"/>
      <c r="DP2" s="105"/>
      <c r="DQ2" s="105"/>
    </row>
    <row r="4" spans="2:121" hidden="1" outlineLevel="1" x14ac:dyDescent="0.25">
      <c r="B4" s="108" t="s">
        <v>111</v>
      </c>
      <c r="C4" s="108">
        <v>259</v>
      </c>
    </row>
    <row r="5" spans="2:121" collapsed="1" x14ac:dyDescent="0.25">
      <c r="B5" s="110" t="s">
        <v>15</v>
      </c>
      <c r="C5" s="111"/>
      <c r="D5" s="111"/>
      <c r="E5" s="112" t="s">
        <v>1</v>
      </c>
    </row>
    <row r="6" spans="2:121" x14ac:dyDescent="0.25">
      <c r="B6" s="113" t="s">
        <v>9</v>
      </c>
      <c r="C6" s="114"/>
      <c r="D6" s="114"/>
      <c r="E6" s="115" t="s">
        <v>2</v>
      </c>
    </row>
    <row r="7" spans="2:121" x14ac:dyDescent="0.25">
      <c r="B7" s="113" t="s">
        <v>11</v>
      </c>
      <c r="C7" s="114"/>
      <c r="D7" s="114"/>
      <c r="E7" s="115" t="s">
        <v>4</v>
      </c>
    </row>
    <row r="8" spans="2:121" x14ac:dyDescent="0.25">
      <c r="B8" s="113" t="s">
        <v>16</v>
      </c>
      <c r="C8" s="114"/>
      <c r="D8" s="114"/>
      <c r="E8" s="115" t="s">
        <v>5</v>
      </c>
    </row>
    <row r="9" spans="2:121" x14ac:dyDescent="0.25">
      <c r="B9" s="113"/>
      <c r="C9" s="114"/>
      <c r="D9" s="114"/>
      <c r="E9" s="115" t="s">
        <v>7</v>
      </c>
    </row>
    <row r="10" spans="2:121" x14ac:dyDescent="0.25">
      <c r="B10" s="113"/>
      <c r="C10" s="114"/>
      <c r="D10" s="114"/>
      <c r="E10" s="115" t="s">
        <v>17</v>
      </c>
      <c r="F10" s="85"/>
    </row>
    <row r="11" spans="2:121" x14ac:dyDescent="0.25">
      <c r="B11" s="116"/>
      <c r="C11" s="117"/>
      <c r="D11" s="117"/>
      <c r="E11" s="118" t="s">
        <v>3</v>
      </c>
      <c r="F11" s="85"/>
    </row>
    <row r="13" spans="2:121" ht="38.25" x14ac:dyDescent="0.25">
      <c r="B13" s="33" t="s">
        <v>100</v>
      </c>
      <c r="C13" s="33" t="s">
        <v>102</v>
      </c>
      <c r="D13" s="33" t="s">
        <v>103</v>
      </c>
      <c r="E13" s="33" t="s">
        <v>104</v>
      </c>
      <c r="F13" s="33" t="s">
        <v>108</v>
      </c>
      <c r="G13" s="34" t="s">
        <v>105</v>
      </c>
      <c r="H13" s="33" t="s">
        <v>114</v>
      </c>
      <c r="I13" s="33" t="s">
        <v>115</v>
      </c>
      <c r="J13" s="33" t="s">
        <v>106</v>
      </c>
      <c r="K13" s="33" t="s">
        <v>8</v>
      </c>
      <c r="L13" s="33" t="s">
        <v>22</v>
      </c>
      <c r="M13" s="33" t="s">
        <v>107</v>
      </c>
    </row>
    <row r="14" spans="2:121" ht="33" x14ac:dyDescent="0.25">
      <c r="B14" s="119">
        <v>1</v>
      </c>
      <c r="C14" s="54"/>
      <c r="D14" s="54" t="s">
        <v>1607</v>
      </c>
      <c r="E14" s="54" t="s">
        <v>1616</v>
      </c>
      <c r="F14" s="84" t="s">
        <v>449</v>
      </c>
      <c r="G14" s="97">
        <v>1997</v>
      </c>
      <c r="H14" s="67">
        <v>569000</v>
      </c>
      <c r="I14" s="68">
        <v>1</v>
      </c>
      <c r="J14" s="71">
        <f>I14*H14</f>
        <v>569000</v>
      </c>
      <c r="K14" s="71">
        <v>77221.428571428565</v>
      </c>
      <c r="L14" s="97">
        <v>7</v>
      </c>
      <c r="M14" s="120"/>
    </row>
    <row r="15" spans="2:121" ht="49.5" x14ac:dyDescent="0.25">
      <c r="B15" s="119">
        <v>2</v>
      </c>
      <c r="C15" s="60" t="s">
        <v>1462</v>
      </c>
      <c r="D15" s="60" t="s">
        <v>1463</v>
      </c>
      <c r="E15" s="90" t="s">
        <v>1464</v>
      </c>
      <c r="F15" s="84" t="s">
        <v>441</v>
      </c>
      <c r="G15" s="64">
        <v>1998</v>
      </c>
      <c r="H15" s="96">
        <v>10500</v>
      </c>
      <c r="I15" s="94">
        <v>1</v>
      </c>
      <c r="J15" s="96">
        <v>10500</v>
      </c>
      <c r="K15" s="92">
        <v>997.5</v>
      </c>
      <c r="L15" s="97">
        <v>10</v>
      </c>
      <c r="M15" s="120"/>
    </row>
    <row r="16" spans="2:121" ht="33" x14ac:dyDescent="0.25">
      <c r="B16" s="119">
        <v>3</v>
      </c>
      <c r="C16" s="60" t="s">
        <v>1589</v>
      </c>
      <c r="D16" s="60" t="s">
        <v>1590</v>
      </c>
      <c r="E16" s="90" t="s">
        <v>806</v>
      </c>
      <c r="F16" s="84" t="s">
        <v>449</v>
      </c>
      <c r="G16" s="64">
        <v>1998</v>
      </c>
      <c r="H16" s="96">
        <v>10800</v>
      </c>
      <c r="I16" s="64">
        <v>1</v>
      </c>
      <c r="J16" s="96">
        <v>10800</v>
      </c>
      <c r="K16" s="92">
        <v>1026</v>
      </c>
      <c r="L16" s="97">
        <v>10</v>
      </c>
      <c r="M16" s="120"/>
    </row>
    <row r="17" spans="2:13" ht="33" x14ac:dyDescent="0.25">
      <c r="B17" s="119">
        <v>4</v>
      </c>
      <c r="C17" s="54" t="s">
        <v>1799</v>
      </c>
      <c r="D17" s="56" t="s">
        <v>1800</v>
      </c>
      <c r="E17" s="56" t="s">
        <v>1801</v>
      </c>
      <c r="F17" s="84" t="s">
        <v>454</v>
      </c>
      <c r="G17" s="64">
        <v>1998</v>
      </c>
      <c r="H17" s="86">
        <v>65000</v>
      </c>
      <c r="I17" s="66">
        <v>1</v>
      </c>
      <c r="J17" s="92">
        <f>H17*I17</f>
        <v>65000</v>
      </c>
      <c r="K17" s="92">
        <v>12350</v>
      </c>
      <c r="L17" s="64">
        <v>5</v>
      </c>
      <c r="M17" s="120"/>
    </row>
    <row r="18" spans="2:13" ht="33" x14ac:dyDescent="0.25">
      <c r="B18" s="119">
        <v>5</v>
      </c>
      <c r="C18" s="60" t="s">
        <v>1820</v>
      </c>
      <c r="D18" s="60" t="s">
        <v>1463</v>
      </c>
      <c r="E18" s="90" t="s">
        <v>1821</v>
      </c>
      <c r="F18" s="84" t="s">
        <v>1977</v>
      </c>
      <c r="G18" s="64">
        <v>1998</v>
      </c>
      <c r="H18" s="96">
        <v>12000</v>
      </c>
      <c r="I18" s="64">
        <v>1</v>
      </c>
      <c r="J18" s="96">
        <v>12000</v>
      </c>
      <c r="K18" s="92">
        <v>1140</v>
      </c>
      <c r="L18" s="97">
        <v>10</v>
      </c>
      <c r="M18" s="120"/>
    </row>
    <row r="19" spans="2:13" ht="33" x14ac:dyDescent="0.25">
      <c r="B19" s="119">
        <v>6</v>
      </c>
      <c r="C19" s="60" t="s">
        <v>1897</v>
      </c>
      <c r="D19" s="60" t="s">
        <v>1463</v>
      </c>
      <c r="E19" s="90" t="s">
        <v>1898</v>
      </c>
      <c r="F19" s="84" t="s">
        <v>460</v>
      </c>
      <c r="G19" s="64">
        <v>1998</v>
      </c>
      <c r="H19" s="96">
        <v>10350</v>
      </c>
      <c r="I19" s="64">
        <v>1</v>
      </c>
      <c r="J19" s="96">
        <v>10350</v>
      </c>
      <c r="K19" s="92">
        <v>983.25</v>
      </c>
      <c r="L19" s="97">
        <v>10</v>
      </c>
      <c r="M19" s="120"/>
    </row>
    <row r="20" spans="2:13" ht="36" x14ac:dyDescent="0.25">
      <c r="B20" s="119">
        <v>7</v>
      </c>
      <c r="C20" s="54" t="s">
        <v>1612</v>
      </c>
      <c r="D20" s="54" t="s">
        <v>1613</v>
      </c>
      <c r="E20" s="54" t="s">
        <v>1614</v>
      </c>
      <c r="F20" s="84" t="s">
        <v>449</v>
      </c>
      <c r="G20" s="97">
        <v>1999</v>
      </c>
      <c r="H20" s="67">
        <v>894000</v>
      </c>
      <c r="I20" s="68">
        <v>1</v>
      </c>
      <c r="J20" s="71">
        <f>I20*H20</f>
        <v>894000</v>
      </c>
      <c r="K20" s="71">
        <v>121328.57142857143</v>
      </c>
      <c r="L20" s="97">
        <v>7</v>
      </c>
      <c r="M20" s="120"/>
    </row>
    <row r="21" spans="2:13" ht="33" x14ac:dyDescent="0.25">
      <c r="B21" s="119">
        <v>8</v>
      </c>
      <c r="C21" s="54" t="s">
        <v>1465</v>
      </c>
      <c r="D21" s="54" t="s">
        <v>1466</v>
      </c>
      <c r="E21" s="54" t="s">
        <v>1467</v>
      </c>
      <c r="F21" s="84" t="s">
        <v>442</v>
      </c>
      <c r="G21" s="64">
        <v>2000</v>
      </c>
      <c r="H21" s="86">
        <v>15525</v>
      </c>
      <c r="I21" s="66">
        <v>1</v>
      </c>
      <c r="J21" s="92">
        <f>H21*I21</f>
        <v>15525</v>
      </c>
      <c r="K21" s="92">
        <v>2949.75</v>
      </c>
      <c r="L21" s="64">
        <v>5</v>
      </c>
      <c r="M21" s="120"/>
    </row>
    <row r="22" spans="2:13" ht="33" x14ac:dyDescent="0.25">
      <c r="B22" s="119">
        <v>9</v>
      </c>
      <c r="C22" s="54" t="s">
        <v>1468</v>
      </c>
      <c r="D22" s="54" t="s">
        <v>1469</v>
      </c>
      <c r="E22" s="54" t="s">
        <v>1470</v>
      </c>
      <c r="F22" s="84" t="s">
        <v>442</v>
      </c>
      <c r="G22" s="64">
        <v>2000</v>
      </c>
      <c r="H22" s="86">
        <v>60000</v>
      </c>
      <c r="I22" s="66">
        <v>1</v>
      </c>
      <c r="J22" s="92">
        <f>H22*I22</f>
        <v>60000</v>
      </c>
      <c r="K22" s="92">
        <v>11400</v>
      </c>
      <c r="L22" s="64">
        <v>5</v>
      </c>
      <c r="M22" s="120"/>
    </row>
    <row r="23" spans="2:13" ht="36" x14ac:dyDescent="0.25">
      <c r="B23" s="119">
        <v>10</v>
      </c>
      <c r="C23" s="54" t="s">
        <v>1471</v>
      </c>
      <c r="D23" s="54" t="s">
        <v>1472</v>
      </c>
      <c r="E23" s="54" t="s">
        <v>1473</v>
      </c>
      <c r="F23" s="84" t="s">
        <v>442</v>
      </c>
      <c r="G23" s="64">
        <v>2000</v>
      </c>
      <c r="H23" s="86">
        <v>85760</v>
      </c>
      <c r="I23" s="66">
        <v>1</v>
      </c>
      <c r="J23" s="92">
        <f>H23*I23</f>
        <v>85760</v>
      </c>
      <c r="K23" s="92">
        <v>16294.4</v>
      </c>
      <c r="L23" s="64">
        <v>5</v>
      </c>
      <c r="M23" s="120"/>
    </row>
    <row r="24" spans="2:13" ht="33" x14ac:dyDescent="0.25">
      <c r="B24" s="119">
        <v>11</v>
      </c>
      <c r="C24" s="54" t="s">
        <v>1487</v>
      </c>
      <c r="D24" s="54" t="s">
        <v>1488</v>
      </c>
      <c r="E24" s="54" t="s">
        <v>1489</v>
      </c>
      <c r="F24" s="84" t="s">
        <v>442</v>
      </c>
      <c r="G24" s="64">
        <v>2000</v>
      </c>
      <c r="H24" s="93">
        <v>29000</v>
      </c>
      <c r="I24" s="64">
        <v>1</v>
      </c>
      <c r="J24" s="92">
        <f>I24*H24</f>
        <v>29000</v>
      </c>
      <c r="K24" s="92">
        <v>5510</v>
      </c>
      <c r="L24" s="64">
        <v>5</v>
      </c>
      <c r="M24" s="120"/>
    </row>
    <row r="25" spans="2:13" ht="33" x14ac:dyDescent="0.25">
      <c r="B25" s="119">
        <v>12</v>
      </c>
      <c r="C25" s="54" t="s">
        <v>1500</v>
      </c>
      <c r="D25" s="54" t="s">
        <v>1439</v>
      </c>
      <c r="E25" s="54" t="s">
        <v>1501</v>
      </c>
      <c r="F25" s="84" t="s">
        <v>439</v>
      </c>
      <c r="G25" s="64">
        <v>2000</v>
      </c>
      <c r="H25" s="93">
        <v>13800</v>
      </c>
      <c r="I25" s="64">
        <v>1</v>
      </c>
      <c r="J25" s="92">
        <f>I25*H25</f>
        <v>13800</v>
      </c>
      <c r="K25" s="92">
        <v>2622</v>
      </c>
      <c r="L25" s="64">
        <v>5</v>
      </c>
      <c r="M25" s="120"/>
    </row>
    <row r="26" spans="2:13" ht="33" x14ac:dyDescent="0.25">
      <c r="B26" s="119">
        <v>13</v>
      </c>
      <c r="C26" s="54" t="s">
        <v>1505</v>
      </c>
      <c r="D26" s="54" t="s">
        <v>1466</v>
      </c>
      <c r="E26" s="54" t="s">
        <v>1506</v>
      </c>
      <c r="F26" s="84" t="s">
        <v>443</v>
      </c>
      <c r="G26" s="64">
        <v>2000</v>
      </c>
      <c r="H26" s="86">
        <v>11800</v>
      </c>
      <c r="I26" s="66">
        <v>1</v>
      </c>
      <c r="J26" s="92">
        <f>H26*I26</f>
        <v>11800</v>
      </c>
      <c r="K26" s="92">
        <v>2242</v>
      </c>
      <c r="L26" s="64">
        <v>5</v>
      </c>
      <c r="M26" s="120"/>
    </row>
    <row r="27" spans="2:13" ht="33" x14ac:dyDescent="0.25">
      <c r="B27" s="119">
        <v>14</v>
      </c>
      <c r="C27" s="54" t="s">
        <v>1518</v>
      </c>
      <c r="D27" s="56" t="s">
        <v>1439</v>
      </c>
      <c r="E27" s="56" t="s">
        <v>1519</v>
      </c>
      <c r="F27" s="84" t="s">
        <v>443</v>
      </c>
      <c r="G27" s="64">
        <v>2000</v>
      </c>
      <c r="H27" s="93">
        <v>19500</v>
      </c>
      <c r="I27" s="64">
        <v>1</v>
      </c>
      <c r="J27" s="92">
        <f>I27*H27</f>
        <v>19500</v>
      </c>
      <c r="K27" s="92">
        <v>3705</v>
      </c>
      <c r="L27" s="64">
        <v>5</v>
      </c>
      <c r="M27" s="120"/>
    </row>
    <row r="28" spans="2:13" ht="33" x14ac:dyDescent="0.25">
      <c r="B28" s="119">
        <v>15</v>
      </c>
      <c r="C28" s="60" t="s">
        <v>1523</v>
      </c>
      <c r="D28" s="60" t="s">
        <v>1524</v>
      </c>
      <c r="E28" s="90" t="s">
        <v>1525</v>
      </c>
      <c r="F28" s="84" t="s">
        <v>443</v>
      </c>
      <c r="G28" s="64">
        <v>2000</v>
      </c>
      <c r="H28" s="96">
        <v>20000</v>
      </c>
      <c r="I28" s="64">
        <v>1</v>
      </c>
      <c r="J28" s="96">
        <v>20000</v>
      </c>
      <c r="K28" s="92">
        <v>1900</v>
      </c>
      <c r="L28" s="97">
        <v>10</v>
      </c>
      <c r="M28" s="120"/>
    </row>
    <row r="29" spans="2:13" ht="33" x14ac:dyDescent="0.25">
      <c r="B29" s="119">
        <v>16</v>
      </c>
      <c r="C29" s="60" t="s">
        <v>1597</v>
      </c>
      <c r="D29" s="60" t="s">
        <v>1598</v>
      </c>
      <c r="E29" s="90" t="s">
        <v>1599</v>
      </c>
      <c r="F29" s="84" t="s">
        <v>449</v>
      </c>
      <c r="G29" s="64">
        <v>2000</v>
      </c>
      <c r="H29" s="96">
        <v>500000</v>
      </c>
      <c r="I29" s="64">
        <v>1</v>
      </c>
      <c r="J29" s="96">
        <v>500000</v>
      </c>
      <c r="K29" s="92">
        <v>47500</v>
      </c>
      <c r="L29" s="97">
        <v>10</v>
      </c>
      <c r="M29" s="120"/>
    </row>
    <row r="30" spans="2:13" ht="33" x14ac:dyDescent="0.25">
      <c r="B30" s="119">
        <v>17</v>
      </c>
      <c r="C30" s="60" t="s">
        <v>1600</v>
      </c>
      <c r="D30" s="60" t="s">
        <v>1601</v>
      </c>
      <c r="E30" s="90" t="s">
        <v>1602</v>
      </c>
      <c r="F30" s="84" t="s">
        <v>449</v>
      </c>
      <c r="G30" s="66">
        <v>2000</v>
      </c>
      <c r="H30" s="98">
        <v>24000</v>
      </c>
      <c r="I30" s="66">
        <v>1</v>
      </c>
      <c r="J30" s="98">
        <v>24000</v>
      </c>
      <c r="K30" s="92">
        <v>2280</v>
      </c>
      <c r="L30" s="97">
        <v>10</v>
      </c>
      <c r="M30" s="120"/>
    </row>
    <row r="31" spans="2:13" ht="33" x14ac:dyDescent="0.25">
      <c r="B31" s="119">
        <v>18</v>
      </c>
      <c r="C31" s="60" t="s">
        <v>1603</v>
      </c>
      <c r="D31" s="60" t="s">
        <v>1604</v>
      </c>
      <c r="E31" s="90" t="s">
        <v>1605</v>
      </c>
      <c r="F31" s="84" t="s">
        <v>449</v>
      </c>
      <c r="G31" s="66">
        <v>2000</v>
      </c>
      <c r="H31" s="98">
        <v>15300</v>
      </c>
      <c r="I31" s="66">
        <v>1</v>
      </c>
      <c r="J31" s="98">
        <v>15300</v>
      </c>
      <c r="K31" s="92">
        <v>1453.5</v>
      </c>
      <c r="L31" s="97">
        <v>10</v>
      </c>
      <c r="M31" s="120"/>
    </row>
    <row r="32" spans="2:13" ht="60" x14ac:dyDescent="0.25">
      <c r="B32" s="119">
        <v>19</v>
      </c>
      <c r="C32" s="54" t="s">
        <v>1671</v>
      </c>
      <c r="D32" s="54" t="s">
        <v>1439</v>
      </c>
      <c r="E32" s="54" t="s">
        <v>1672</v>
      </c>
      <c r="F32" s="84" t="s">
        <v>451</v>
      </c>
      <c r="G32" s="64">
        <v>2000</v>
      </c>
      <c r="H32" s="93">
        <v>19000</v>
      </c>
      <c r="I32" s="64">
        <v>1</v>
      </c>
      <c r="J32" s="92">
        <f>I32*H32</f>
        <v>19000</v>
      </c>
      <c r="K32" s="92">
        <v>3610</v>
      </c>
      <c r="L32" s="64">
        <v>5</v>
      </c>
      <c r="M32" s="120"/>
    </row>
    <row r="33" spans="2:13" ht="24" x14ac:dyDescent="0.25">
      <c r="B33" s="119">
        <v>20</v>
      </c>
      <c r="C33" s="60" t="s">
        <v>1713</v>
      </c>
      <c r="D33" s="60" t="s">
        <v>1628</v>
      </c>
      <c r="E33" s="90" t="s">
        <v>1714</v>
      </c>
      <c r="F33" s="84" t="s">
        <v>440</v>
      </c>
      <c r="G33" s="64">
        <v>2000</v>
      </c>
      <c r="H33" s="96">
        <v>18600</v>
      </c>
      <c r="I33" s="64">
        <v>1</v>
      </c>
      <c r="J33" s="96">
        <v>18600</v>
      </c>
      <c r="K33" s="92">
        <v>1767</v>
      </c>
      <c r="L33" s="97">
        <v>10</v>
      </c>
      <c r="M33" s="120"/>
    </row>
    <row r="34" spans="2:13" ht="33" x14ac:dyDescent="0.25">
      <c r="B34" s="119">
        <v>21</v>
      </c>
      <c r="C34" s="60" t="s">
        <v>1762</v>
      </c>
      <c r="D34" s="60" t="s">
        <v>1763</v>
      </c>
      <c r="E34" s="90" t="s">
        <v>1764</v>
      </c>
      <c r="F34" s="84" t="s">
        <v>453</v>
      </c>
      <c r="G34" s="64">
        <v>2000</v>
      </c>
      <c r="H34" s="96">
        <v>60000</v>
      </c>
      <c r="I34" s="64">
        <v>1</v>
      </c>
      <c r="J34" s="96">
        <v>60000</v>
      </c>
      <c r="K34" s="92">
        <v>5700</v>
      </c>
      <c r="L34" s="97">
        <v>10</v>
      </c>
      <c r="M34" s="120"/>
    </row>
    <row r="35" spans="2:13" ht="33" x14ac:dyDescent="0.25">
      <c r="B35" s="119">
        <v>22</v>
      </c>
      <c r="C35" s="60" t="s">
        <v>1771</v>
      </c>
      <c r="D35" s="60" t="s">
        <v>1463</v>
      </c>
      <c r="E35" s="90" t="s">
        <v>1772</v>
      </c>
      <c r="F35" s="84" t="s">
        <v>453</v>
      </c>
      <c r="G35" s="64">
        <v>2000</v>
      </c>
      <c r="H35" s="96">
        <v>11410</v>
      </c>
      <c r="I35" s="64">
        <v>1</v>
      </c>
      <c r="J35" s="96">
        <v>11410</v>
      </c>
      <c r="K35" s="92">
        <v>1083.95</v>
      </c>
      <c r="L35" s="97">
        <v>10</v>
      </c>
      <c r="M35" s="120"/>
    </row>
    <row r="36" spans="2:13" ht="33" x14ac:dyDescent="0.25">
      <c r="B36" s="119">
        <v>23</v>
      </c>
      <c r="C36" s="60" t="s">
        <v>1778</v>
      </c>
      <c r="D36" s="60" t="s">
        <v>1779</v>
      </c>
      <c r="E36" s="90" t="s">
        <v>1780</v>
      </c>
      <c r="F36" s="84" t="s">
        <v>454</v>
      </c>
      <c r="G36" s="64">
        <v>2000</v>
      </c>
      <c r="H36" s="96">
        <v>24130</v>
      </c>
      <c r="I36" s="64">
        <v>2</v>
      </c>
      <c r="J36" s="96">
        <v>24130</v>
      </c>
      <c r="K36" s="92">
        <v>2292.35</v>
      </c>
      <c r="L36" s="97">
        <v>10</v>
      </c>
      <c r="M36" s="120"/>
    </row>
    <row r="37" spans="2:13" ht="33" x14ac:dyDescent="0.25">
      <c r="B37" s="119">
        <v>24</v>
      </c>
      <c r="C37" s="60" t="s">
        <v>1790</v>
      </c>
      <c r="D37" s="60" t="s">
        <v>1788</v>
      </c>
      <c r="E37" s="90" t="s">
        <v>1791</v>
      </c>
      <c r="F37" s="84" t="s">
        <v>454</v>
      </c>
      <c r="G37" s="64">
        <v>2000</v>
      </c>
      <c r="H37" s="96">
        <v>500000</v>
      </c>
      <c r="I37" s="64">
        <v>1</v>
      </c>
      <c r="J37" s="96">
        <v>500000</v>
      </c>
      <c r="K37" s="92">
        <v>47500</v>
      </c>
      <c r="L37" s="97">
        <v>10</v>
      </c>
      <c r="M37" s="120"/>
    </row>
    <row r="38" spans="2:13" ht="33" x14ac:dyDescent="0.25">
      <c r="B38" s="119">
        <v>25</v>
      </c>
      <c r="C38" s="54" t="s">
        <v>1827</v>
      </c>
      <c r="D38" s="54" t="s">
        <v>1466</v>
      </c>
      <c r="E38" s="56" t="s">
        <v>1828</v>
      </c>
      <c r="F38" s="84" t="s">
        <v>445</v>
      </c>
      <c r="G38" s="64">
        <v>2000</v>
      </c>
      <c r="H38" s="86">
        <v>21950</v>
      </c>
      <c r="I38" s="66">
        <v>1</v>
      </c>
      <c r="J38" s="92">
        <f>H38*I38</f>
        <v>21950</v>
      </c>
      <c r="K38" s="92">
        <v>4170.5</v>
      </c>
      <c r="L38" s="64">
        <v>5</v>
      </c>
      <c r="M38" s="120"/>
    </row>
    <row r="39" spans="2:13" ht="33" x14ac:dyDescent="0.25">
      <c r="B39" s="119">
        <v>26</v>
      </c>
      <c r="C39" s="60" t="s">
        <v>1840</v>
      </c>
      <c r="D39" s="60" t="s">
        <v>1841</v>
      </c>
      <c r="E39" s="90" t="s">
        <v>1842</v>
      </c>
      <c r="F39" s="84" t="s">
        <v>445</v>
      </c>
      <c r="G39" s="64">
        <v>2000</v>
      </c>
      <c r="H39" s="96">
        <v>64000</v>
      </c>
      <c r="I39" s="64">
        <v>1</v>
      </c>
      <c r="J39" s="96">
        <v>64000</v>
      </c>
      <c r="K39" s="92">
        <v>6080</v>
      </c>
      <c r="L39" s="97">
        <v>10</v>
      </c>
      <c r="M39" s="120"/>
    </row>
    <row r="40" spans="2:13" ht="33" x14ac:dyDescent="0.25">
      <c r="B40" s="119">
        <v>27</v>
      </c>
      <c r="C40" s="60" t="s">
        <v>1843</v>
      </c>
      <c r="D40" s="60" t="s">
        <v>1463</v>
      </c>
      <c r="E40" s="90" t="s">
        <v>1844</v>
      </c>
      <c r="F40" s="84" t="s">
        <v>445</v>
      </c>
      <c r="G40" s="64">
        <v>2000</v>
      </c>
      <c r="H40" s="96">
        <v>12250</v>
      </c>
      <c r="I40" s="64">
        <v>1</v>
      </c>
      <c r="J40" s="96">
        <v>12250</v>
      </c>
      <c r="K40" s="92">
        <v>1163.75</v>
      </c>
      <c r="L40" s="97">
        <v>10</v>
      </c>
      <c r="M40" s="120"/>
    </row>
    <row r="41" spans="2:13" ht="33" x14ac:dyDescent="0.25">
      <c r="B41" s="119">
        <v>28</v>
      </c>
      <c r="C41" s="54" t="s">
        <v>1877</v>
      </c>
      <c r="D41" s="54" t="s">
        <v>1466</v>
      </c>
      <c r="E41" s="54" t="s">
        <v>1878</v>
      </c>
      <c r="F41" s="84" t="s">
        <v>460</v>
      </c>
      <c r="G41" s="64">
        <v>2000</v>
      </c>
      <c r="H41" s="86">
        <v>21950</v>
      </c>
      <c r="I41" s="66">
        <v>1</v>
      </c>
      <c r="J41" s="92">
        <f>H41*I41</f>
        <v>21950</v>
      </c>
      <c r="K41" s="92">
        <v>4170.5</v>
      </c>
      <c r="L41" s="64">
        <v>5</v>
      </c>
      <c r="M41" s="120"/>
    </row>
    <row r="42" spans="2:13" ht="36" x14ac:dyDescent="0.25">
      <c r="B42" s="119">
        <v>29</v>
      </c>
      <c r="C42" s="54" t="s">
        <v>1443</v>
      </c>
      <c r="D42" s="54" t="s">
        <v>1439</v>
      </c>
      <c r="E42" s="54" t="s">
        <v>1444</v>
      </c>
      <c r="F42" s="84" t="s">
        <v>439</v>
      </c>
      <c r="G42" s="64">
        <v>2001</v>
      </c>
      <c r="H42" s="93">
        <v>13800</v>
      </c>
      <c r="I42" s="64">
        <v>1</v>
      </c>
      <c r="J42" s="92">
        <f>I42*H42</f>
        <v>13800</v>
      </c>
      <c r="K42" s="92">
        <v>2622</v>
      </c>
      <c r="L42" s="64">
        <v>5</v>
      </c>
      <c r="M42" s="120"/>
    </row>
    <row r="43" spans="2:13" ht="60" x14ac:dyDescent="0.25">
      <c r="B43" s="119">
        <v>30</v>
      </c>
      <c r="C43" s="54" t="s">
        <v>1621</v>
      </c>
      <c r="D43" s="54" t="s">
        <v>1622</v>
      </c>
      <c r="E43" s="54" t="s">
        <v>1623</v>
      </c>
      <c r="F43" s="84" t="s">
        <v>450</v>
      </c>
      <c r="G43" s="64">
        <v>2001</v>
      </c>
      <c r="H43" s="86">
        <v>29995</v>
      </c>
      <c r="I43" s="66">
        <v>1</v>
      </c>
      <c r="J43" s="92">
        <f>H43*I43</f>
        <v>29995</v>
      </c>
      <c r="K43" s="92">
        <v>5699.05</v>
      </c>
      <c r="L43" s="64">
        <v>5</v>
      </c>
      <c r="M43" s="120"/>
    </row>
    <row r="44" spans="2:13" ht="33" x14ac:dyDescent="0.25">
      <c r="B44" s="119">
        <v>31</v>
      </c>
      <c r="C44" s="54" t="s">
        <v>1718</v>
      </c>
      <c r="D44" s="54" t="s">
        <v>1719</v>
      </c>
      <c r="E44" s="54" t="s">
        <v>1720</v>
      </c>
      <c r="F44" s="84" t="s">
        <v>452</v>
      </c>
      <c r="G44" s="64">
        <v>2001</v>
      </c>
      <c r="H44" s="86">
        <v>19000</v>
      </c>
      <c r="I44" s="66">
        <v>1</v>
      </c>
      <c r="J44" s="92">
        <f>H44*I44</f>
        <v>19000</v>
      </c>
      <c r="K44" s="92">
        <v>3610</v>
      </c>
      <c r="L44" s="64">
        <v>5</v>
      </c>
      <c r="M44" s="120"/>
    </row>
    <row r="45" spans="2:13" ht="24" x14ac:dyDescent="0.25">
      <c r="B45" s="119">
        <v>32</v>
      </c>
      <c r="C45" s="54" t="s">
        <v>1940</v>
      </c>
      <c r="D45" s="54" t="s">
        <v>1466</v>
      </c>
      <c r="E45" s="54" t="s">
        <v>1941</v>
      </c>
      <c r="F45" s="84" t="s">
        <v>440</v>
      </c>
      <c r="G45" s="64">
        <v>2001</v>
      </c>
      <c r="H45" s="86">
        <v>21950</v>
      </c>
      <c r="I45" s="66">
        <v>1</v>
      </c>
      <c r="J45" s="92">
        <f>H45*I45</f>
        <v>21950</v>
      </c>
      <c r="K45" s="92">
        <v>4170.5</v>
      </c>
      <c r="L45" s="64">
        <v>5</v>
      </c>
      <c r="M45" s="120"/>
    </row>
    <row r="46" spans="2:13" ht="33" x14ac:dyDescent="0.25">
      <c r="B46" s="119">
        <v>33</v>
      </c>
      <c r="C46" s="60" t="s">
        <v>1643</v>
      </c>
      <c r="D46" s="60" t="s">
        <v>1644</v>
      </c>
      <c r="E46" s="90" t="s">
        <v>1645</v>
      </c>
      <c r="F46" s="84" t="s">
        <v>450</v>
      </c>
      <c r="G46" s="64">
        <v>2002</v>
      </c>
      <c r="H46" s="96">
        <v>15000</v>
      </c>
      <c r="I46" s="64">
        <v>1</v>
      </c>
      <c r="J46" s="96">
        <v>15000</v>
      </c>
      <c r="K46" s="92">
        <v>1425</v>
      </c>
      <c r="L46" s="97">
        <v>10</v>
      </c>
      <c r="M46" s="120"/>
    </row>
    <row r="47" spans="2:13" ht="33" x14ac:dyDescent="0.25">
      <c r="B47" s="119">
        <v>34</v>
      </c>
      <c r="C47" s="60" t="s">
        <v>1760</v>
      </c>
      <c r="D47" s="60" t="s">
        <v>1463</v>
      </c>
      <c r="E47" s="90" t="s">
        <v>1761</v>
      </c>
      <c r="F47" s="84" t="s">
        <v>453</v>
      </c>
      <c r="G47" s="64">
        <v>2003</v>
      </c>
      <c r="H47" s="96">
        <v>12250</v>
      </c>
      <c r="I47" s="64">
        <v>1</v>
      </c>
      <c r="J47" s="96">
        <v>12250</v>
      </c>
      <c r="K47" s="92">
        <v>1163.75</v>
      </c>
      <c r="L47" s="97">
        <v>10</v>
      </c>
      <c r="M47" s="120"/>
    </row>
    <row r="48" spans="2:13" ht="33" x14ac:dyDescent="0.25">
      <c r="B48" s="119">
        <v>35</v>
      </c>
      <c r="C48" s="54" t="s">
        <v>1910</v>
      </c>
      <c r="D48" s="54" t="s">
        <v>1534</v>
      </c>
      <c r="E48" s="54" t="s">
        <v>1911</v>
      </c>
      <c r="F48" s="84" t="s">
        <v>461</v>
      </c>
      <c r="G48" s="64">
        <v>2003</v>
      </c>
      <c r="H48" s="86">
        <v>13000</v>
      </c>
      <c r="I48" s="66">
        <v>1</v>
      </c>
      <c r="J48" s="92">
        <f>H48*I48</f>
        <v>13000</v>
      </c>
      <c r="K48" s="92">
        <v>2470</v>
      </c>
      <c r="L48" s="64">
        <v>5</v>
      </c>
      <c r="M48" s="120"/>
    </row>
    <row r="49" spans="2:13" ht="33" x14ac:dyDescent="0.25">
      <c r="B49" s="119">
        <v>36</v>
      </c>
      <c r="C49" s="54" t="s">
        <v>1912</v>
      </c>
      <c r="D49" s="54" t="s">
        <v>1466</v>
      </c>
      <c r="E49" s="54" t="s">
        <v>1913</v>
      </c>
      <c r="F49" s="84" t="s">
        <v>461</v>
      </c>
      <c r="G49" s="64">
        <v>2003</v>
      </c>
      <c r="H49" s="86">
        <v>21000</v>
      </c>
      <c r="I49" s="66">
        <v>1</v>
      </c>
      <c r="J49" s="92">
        <f>H49*I49</f>
        <v>21000</v>
      </c>
      <c r="K49" s="92">
        <v>3990</v>
      </c>
      <c r="L49" s="64">
        <v>5</v>
      </c>
      <c r="M49" s="120"/>
    </row>
    <row r="50" spans="2:13" ht="24" x14ac:dyDescent="0.25">
      <c r="B50" s="119">
        <v>37</v>
      </c>
      <c r="C50" s="54" t="s">
        <v>1536</v>
      </c>
      <c r="D50" s="54" t="s">
        <v>1439</v>
      </c>
      <c r="E50" s="54" t="s">
        <v>1537</v>
      </c>
      <c r="F50" s="84" t="s">
        <v>444</v>
      </c>
      <c r="G50" s="64">
        <v>2005</v>
      </c>
      <c r="H50" s="93">
        <v>16700</v>
      </c>
      <c r="I50" s="64">
        <v>1</v>
      </c>
      <c r="J50" s="92">
        <f t="shared" ref="J50:J60" si="0">I50*H50</f>
        <v>16700</v>
      </c>
      <c r="K50" s="92">
        <v>3173</v>
      </c>
      <c r="L50" s="64">
        <v>5</v>
      </c>
      <c r="M50" s="120"/>
    </row>
    <row r="51" spans="2:13" ht="33" x14ac:dyDescent="0.25">
      <c r="B51" s="119">
        <v>38</v>
      </c>
      <c r="C51" s="54" t="s">
        <v>1606</v>
      </c>
      <c r="D51" s="54" t="s">
        <v>1607</v>
      </c>
      <c r="E51" s="54" t="s">
        <v>1608</v>
      </c>
      <c r="F51" s="84" t="s">
        <v>449</v>
      </c>
      <c r="G51" s="97">
        <v>2005</v>
      </c>
      <c r="H51" s="67">
        <v>950000</v>
      </c>
      <c r="I51" s="68">
        <v>1</v>
      </c>
      <c r="J51" s="71">
        <f t="shared" si="0"/>
        <v>950000</v>
      </c>
      <c r="K51" s="71">
        <v>128928.57142857143</v>
      </c>
      <c r="L51" s="97">
        <v>7</v>
      </c>
      <c r="M51" s="120"/>
    </row>
    <row r="52" spans="2:13" ht="33" x14ac:dyDescent="0.25">
      <c r="B52" s="119">
        <v>39</v>
      </c>
      <c r="C52" s="54" t="s">
        <v>1805</v>
      </c>
      <c r="D52" s="54" t="s">
        <v>1439</v>
      </c>
      <c r="E52" s="54" t="s">
        <v>1806</v>
      </c>
      <c r="F52" s="84" t="s">
        <v>454</v>
      </c>
      <c r="G52" s="64">
        <v>2005</v>
      </c>
      <c r="H52" s="93">
        <v>19800</v>
      </c>
      <c r="I52" s="64">
        <v>1</v>
      </c>
      <c r="J52" s="92">
        <f t="shared" si="0"/>
        <v>19800</v>
      </c>
      <c r="K52" s="92">
        <v>3762</v>
      </c>
      <c r="L52" s="64">
        <v>5</v>
      </c>
      <c r="M52" s="120"/>
    </row>
    <row r="53" spans="2:13" ht="36" x14ac:dyDescent="0.25">
      <c r="B53" s="119">
        <v>40</v>
      </c>
      <c r="C53" s="54" t="s">
        <v>1945</v>
      </c>
      <c r="D53" s="54" t="s">
        <v>1439</v>
      </c>
      <c r="E53" s="54" t="s">
        <v>1946</v>
      </c>
      <c r="F53" s="84" t="s">
        <v>440</v>
      </c>
      <c r="G53" s="64">
        <v>2005</v>
      </c>
      <c r="H53" s="93">
        <v>16700</v>
      </c>
      <c r="I53" s="64">
        <v>1</v>
      </c>
      <c r="J53" s="92">
        <f t="shared" si="0"/>
        <v>16700</v>
      </c>
      <c r="K53" s="92">
        <v>3173</v>
      </c>
      <c r="L53" s="64">
        <v>5</v>
      </c>
      <c r="M53" s="120"/>
    </row>
    <row r="54" spans="2:13" ht="33" x14ac:dyDescent="0.25">
      <c r="B54" s="119">
        <v>41</v>
      </c>
      <c r="C54" s="54" t="s">
        <v>1516</v>
      </c>
      <c r="D54" s="54" t="s">
        <v>1439</v>
      </c>
      <c r="E54" s="54" t="s">
        <v>1517</v>
      </c>
      <c r="F54" s="84" t="s">
        <v>443</v>
      </c>
      <c r="G54" s="64">
        <v>2006</v>
      </c>
      <c r="H54" s="93">
        <v>16700</v>
      </c>
      <c r="I54" s="64">
        <v>1</v>
      </c>
      <c r="J54" s="92">
        <f t="shared" si="0"/>
        <v>16700</v>
      </c>
      <c r="K54" s="92">
        <v>3173</v>
      </c>
      <c r="L54" s="64">
        <v>5</v>
      </c>
      <c r="M54" s="120"/>
    </row>
    <row r="55" spans="2:13" ht="33" x14ac:dyDescent="0.25">
      <c r="B55" s="119">
        <v>42</v>
      </c>
      <c r="C55" s="54" t="s">
        <v>1528</v>
      </c>
      <c r="D55" s="54" t="s">
        <v>1439</v>
      </c>
      <c r="E55" s="54" t="s">
        <v>1529</v>
      </c>
      <c r="F55" s="84" t="s">
        <v>442</v>
      </c>
      <c r="G55" s="64">
        <v>2006</v>
      </c>
      <c r="H55" s="93">
        <v>19000</v>
      </c>
      <c r="I55" s="64">
        <v>1</v>
      </c>
      <c r="J55" s="92">
        <f t="shared" si="0"/>
        <v>19000</v>
      </c>
      <c r="K55" s="92">
        <v>3610</v>
      </c>
      <c r="L55" s="64">
        <v>5</v>
      </c>
      <c r="M55" s="120"/>
    </row>
    <row r="56" spans="2:13" ht="60" x14ac:dyDescent="0.25">
      <c r="B56" s="119">
        <v>43</v>
      </c>
      <c r="C56" s="54" t="s">
        <v>1883</v>
      </c>
      <c r="D56" s="54" t="s">
        <v>1439</v>
      </c>
      <c r="E56" s="54" t="s">
        <v>1884</v>
      </c>
      <c r="F56" s="84" t="s">
        <v>460</v>
      </c>
      <c r="G56" s="64">
        <v>2006</v>
      </c>
      <c r="H56" s="93">
        <v>29000</v>
      </c>
      <c r="I56" s="64">
        <v>1</v>
      </c>
      <c r="J56" s="92">
        <f t="shared" si="0"/>
        <v>29000</v>
      </c>
      <c r="K56" s="92">
        <v>5510</v>
      </c>
      <c r="L56" s="64">
        <v>5</v>
      </c>
      <c r="M56" s="120"/>
    </row>
    <row r="57" spans="2:13" ht="24" x14ac:dyDescent="0.25">
      <c r="B57" s="119">
        <v>44</v>
      </c>
      <c r="C57" s="54" t="s">
        <v>1538</v>
      </c>
      <c r="D57" s="54" t="s">
        <v>1439</v>
      </c>
      <c r="E57" s="54" t="s">
        <v>1539</v>
      </c>
      <c r="F57" s="84" t="s">
        <v>444</v>
      </c>
      <c r="G57" s="64">
        <v>2007</v>
      </c>
      <c r="H57" s="93">
        <v>13800</v>
      </c>
      <c r="I57" s="64">
        <v>1</v>
      </c>
      <c r="J57" s="92">
        <f t="shared" si="0"/>
        <v>13800</v>
      </c>
      <c r="K57" s="92">
        <v>2622</v>
      </c>
      <c r="L57" s="64">
        <v>5</v>
      </c>
      <c r="M57" s="120"/>
    </row>
    <row r="58" spans="2:13" ht="48" x14ac:dyDescent="0.25">
      <c r="B58" s="119">
        <v>45</v>
      </c>
      <c r="C58" s="54" t="s">
        <v>1669</v>
      </c>
      <c r="D58" s="54" t="s">
        <v>1439</v>
      </c>
      <c r="E58" s="54" t="s">
        <v>1670</v>
      </c>
      <c r="F58" s="84" t="s">
        <v>451</v>
      </c>
      <c r="G58" s="64">
        <v>2007</v>
      </c>
      <c r="H58" s="93">
        <v>29000</v>
      </c>
      <c r="I58" s="64">
        <v>1</v>
      </c>
      <c r="J58" s="92">
        <f t="shared" si="0"/>
        <v>29000</v>
      </c>
      <c r="K58" s="92">
        <v>5510</v>
      </c>
      <c r="L58" s="64">
        <v>5</v>
      </c>
      <c r="M58" s="120"/>
    </row>
    <row r="59" spans="2:13" ht="48" x14ac:dyDescent="0.25">
      <c r="B59" s="119">
        <v>46</v>
      </c>
      <c r="C59" s="54" t="s">
        <v>1947</v>
      </c>
      <c r="D59" s="54" t="s">
        <v>1757</v>
      </c>
      <c r="E59" s="54" t="s">
        <v>1948</v>
      </c>
      <c r="F59" s="84" t="s">
        <v>440</v>
      </c>
      <c r="G59" s="64">
        <v>2007</v>
      </c>
      <c r="H59" s="93">
        <v>13800</v>
      </c>
      <c r="I59" s="64">
        <v>1</v>
      </c>
      <c r="J59" s="92">
        <f t="shared" si="0"/>
        <v>13800</v>
      </c>
      <c r="K59" s="92">
        <v>2622</v>
      </c>
      <c r="L59" s="64">
        <v>5</v>
      </c>
      <c r="M59" s="120"/>
    </row>
    <row r="60" spans="2:13" ht="36" x14ac:dyDescent="0.25">
      <c r="B60" s="119">
        <v>47</v>
      </c>
      <c r="C60" s="54" t="s">
        <v>1476</v>
      </c>
      <c r="D60" s="54" t="s">
        <v>1439</v>
      </c>
      <c r="E60" s="54" t="s">
        <v>1477</v>
      </c>
      <c r="F60" s="84" t="s">
        <v>442</v>
      </c>
      <c r="G60" s="64">
        <v>2008</v>
      </c>
      <c r="H60" s="93">
        <v>39500</v>
      </c>
      <c r="I60" s="64">
        <v>1</v>
      </c>
      <c r="J60" s="92">
        <f t="shared" si="0"/>
        <v>39500</v>
      </c>
      <c r="K60" s="92">
        <v>7505</v>
      </c>
      <c r="L60" s="64">
        <v>5</v>
      </c>
      <c r="M60" s="120"/>
    </row>
    <row r="61" spans="2:13" x14ac:dyDescent="0.25">
      <c r="B61" s="119">
        <v>48</v>
      </c>
      <c r="C61" s="54" t="s">
        <v>1533</v>
      </c>
      <c r="D61" s="54" t="s">
        <v>1534</v>
      </c>
      <c r="E61" s="54" t="s">
        <v>1535</v>
      </c>
      <c r="F61" s="84" t="s">
        <v>444</v>
      </c>
      <c r="G61" s="64">
        <v>2008</v>
      </c>
      <c r="H61" s="86">
        <v>13300</v>
      </c>
      <c r="I61" s="66">
        <v>1</v>
      </c>
      <c r="J61" s="92">
        <f>H61*I61</f>
        <v>13300</v>
      </c>
      <c r="K61" s="92">
        <v>2527</v>
      </c>
      <c r="L61" s="64">
        <v>5</v>
      </c>
      <c r="M61" s="120"/>
    </row>
    <row r="62" spans="2:13" ht="33" x14ac:dyDescent="0.25">
      <c r="B62" s="119">
        <v>49</v>
      </c>
      <c r="C62" s="54"/>
      <c r="D62" s="54" t="s">
        <v>1607</v>
      </c>
      <c r="E62" s="54" t="s">
        <v>1609</v>
      </c>
      <c r="F62" s="84" t="s">
        <v>449</v>
      </c>
      <c r="G62" s="97">
        <v>2008</v>
      </c>
      <c r="H62" s="67">
        <v>1212000</v>
      </c>
      <c r="I62" s="68">
        <v>1</v>
      </c>
      <c r="J62" s="71">
        <f>I62*H62</f>
        <v>1212000</v>
      </c>
      <c r="K62" s="71">
        <v>164485.71428571429</v>
      </c>
      <c r="L62" s="97">
        <v>7</v>
      </c>
      <c r="M62" s="120"/>
    </row>
    <row r="63" spans="2:13" ht="33" x14ac:dyDescent="0.25">
      <c r="B63" s="119">
        <v>50</v>
      </c>
      <c r="C63" s="54"/>
      <c r="D63" s="54" t="s">
        <v>1613</v>
      </c>
      <c r="E63" s="54" t="s">
        <v>1615</v>
      </c>
      <c r="F63" s="84" t="s">
        <v>449</v>
      </c>
      <c r="G63" s="97">
        <v>2008</v>
      </c>
      <c r="H63" s="67">
        <v>1242900</v>
      </c>
      <c r="I63" s="68">
        <v>1</v>
      </c>
      <c r="J63" s="71">
        <f>I63*H63</f>
        <v>1242900</v>
      </c>
      <c r="K63" s="71">
        <v>168679.28571428571</v>
      </c>
      <c r="L63" s="97">
        <v>7</v>
      </c>
      <c r="M63" s="120"/>
    </row>
    <row r="64" spans="2:13" ht="60" x14ac:dyDescent="0.25">
      <c r="B64" s="119">
        <v>51</v>
      </c>
      <c r="C64" s="54" t="s">
        <v>1667</v>
      </c>
      <c r="D64" s="54" t="s">
        <v>1439</v>
      </c>
      <c r="E64" s="54" t="s">
        <v>1668</v>
      </c>
      <c r="F64" s="84" t="s">
        <v>451</v>
      </c>
      <c r="G64" s="64">
        <v>2008</v>
      </c>
      <c r="H64" s="93">
        <v>19800</v>
      </c>
      <c r="I64" s="64">
        <v>1</v>
      </c>
      <c r="J64" s="92">
        <f>I64*H64</f>
        <v>19800</v>
      </c>
      <c r="K64" s="92">
        <v>3762</v>
      </c>
      <c r="L64" s="64">
        <v>5</v>
      </c>
      <c r="M64" s="120"/>
    </row>
    <row r="65" spans="2:13" ht="36" x14ac:dyDescent="0.25">
      <c r="B65" s="119">
        <v>52</v>
      </c>
      <c r="C65" s="60" t="s">
        <v>1739</v>
      </c>
      <c r="D65" s="60" t="s">
        <v>1740</v>
      </c>
      <c r="E65" s="90" t="s">
        <v>1741</v>
      </c>
      <c r="F65" s="84" t="s">
        <v>452</v>
      </c>
      <c r="G65" s="64">
        <v>2008</v>
      </c>
      <c r="H65" s="96">
        <v>25950</v>
      </c>
      <c r="I65" s="64">
        <v>1</v>
      </c>
      <c r="J65" s="96">
        <v>25950</v>
      </c>
      <c r="K65" s="92">
        <v>2465.25</v>
      </c>
      <c r="L65" s="97">
        <v>10</v>
      </c>
      <c r="M65" s="120"/>
    </row>
    <row r="66" spans="2:13" ht="36" x14ac:dyDescent="0.25">
      <c r="B66" s="119">
        <v>53</v>
      </c>
      <c r="C66" s="60" t="s">
        <v>1742</v>
      </c>
      <c r="D66" s="60" t="s">
        <v>1743</v>
      </c>
      <c r="E66" s="90" t="s">
        <v>1744</v>
      </c>
      <c r="F66" s="84" t="s">
        <v>452</v>
      </c>
      <c r="G66" s="64">
        <v>2008</v>
      </c>
      <c r="H66" s="96">
        <v>27950</v>
      </c>
      <c r="I66" s="64">
        <v>1</v>
      </c>
      <c r="J66" s="96">
        <v>27950</v>
      </c>
      <c r="K66" s="92">
        <v>2655.25</v>
      </c>
      <c r="L66" s="97">
        <v>10</v>
      </c>
      <c r="M66" s="120"/>
    </row>
    <row r="67" spans="2:13" ht="33" x14ac:dyDescent="0.25">
      <c r="B67" s="119">
        <v>54</v>
      </c>
      <c r="C67" s="60" t="s">
        <v>1781</v>
      </c>
      <c r="D67" s="60" t="s">
        <v>1782</v>
      </c>
      <c r="E67" s="90" t="s">
        <v>1783</v>
      </c>
      <c r="F67" s="84" t="s">
        <v>454</v>
      </c>
      <c r="G67" s="64">
        <v>2008</v>
      </c>
      <c r="H67" s="96">
        <v>28000</v>
      </c>
      <c r="I67" s="64">
        <v>1</v>
      </c>
      <c r="J67" s="96">
        <v>28000</v>
      </c>
      <c r="K67" s="92">
        <v>2660</v>
      </c>
      <c r="L67" s="97">
        <v>10</v>
      </c>
      <c r="M67" s="120"/>
    </row>
    <row r="68" spans="2:13" ht="33" x14ac:dyDescent="0.25">
      <c r="B68" s="119">
        <v>55</v>
      </c>
      <c r="C68" s="54" t="s">
        <v>1802</v>
      </c>
      <c r="D68" s="54" t="s">
        <v>1803</v>
      </c>
      <c r="E68" s="54" t="s">
        <v>1804</v>
      </c>
      <c r="F68" s="84" t="s">
        <v>454</v>
      </c>
      <c r="G68" s="64">
        <v>2008</v>
      </c>
      <c r="H68" s="86">
        <v>35000</v>
      </c>
      <c r="I68" s="66">
        <v>1</v>
      </c>
      <c r="J68" s="92">
        <f>H68*I68</f>
        <v>35000</v>
      </c>
      <c r="K68" s="92">
        <v>6650</v>
      </c>
      <c r="L68" s="64">
        <v>5</v>
      </c>
      <c r="M68" s="120"/>
    </row>
    <row r="69" spans="2:13" ht="33" x14ac:dyDescent="0.25">
      <c r="B69" s="119">
        <v>56</v>
      </c>
      <c r="C69" s="54" t="s">
        <v>1921</v>
      </c>
      <c r="D69" s="54" t="s">
        <v>1531</v>
      </c>
      <c r="E69" s="54" t="s">
        <v>1922</v>
      </c>
      <c r="F69" s="84" t="s">
        <v>461</v>
      </c>
      <c r="G69" s="64">
        <v>2008</v>
      </c>
      <c r="H69" s="93">
        <v>41535.58</v>
      </c>
      <c r="I69" s="64">
        <v>1</v>
      </c>
      <c r="J69" s="92">
        <f>I69*H69</f>
        <v>41535.58</v>
      </c>
      <c r="K69" s="92">
        <v>7891.7601999999997</v>
      </c>
      <c r="L69" s="64">
        <v>5</v>
      </c>
      <c r="M69" s="120"/>
    </row>
    <row r="70" spans="2:13" x14ac:dyDescent="0.25">
      <c r="B70" s="119">
        <v>57</v>
      </c>
      <c r="C70" s="54" t="s">
        <v>1942</v>
      </c>
      <c r="D70" s="54" t="s">
        <v>1466</v>
      </c>
      <c r="E70" s="54" t="s">
        <v>1943</v>
      </c>
      <c r="F70" s="84" t="s">
        <v>440</v>
      </c>
      <c r="G70" s="64">
        <v>2008</v>
      </c>
      <c r="H70" s="86">
        <v>19201</v>
      </c>
      <c r="I70" s="66">
        <v>1</v>
      </c>
      <c r="J70" s="92">
        <f>H70*I70</f>
        <v>19201</v>
      </c>
      <c r="K70" s="92">
        <v>3648.19</v>
      </c>
      <c r="L70" s="64">
        <v>5</v>
      </c>
      <c r="M70" s="120"/>
    </row>
    <row r="71" spans="2:13" ht="33" x14ac:dyDescent="0.25">
      <c r="B71" s="119">
        <v>58</v>
      </c>
      <c r="C71" s="55" t="s">
        <v>1433</v>
      </c>
      <c r="D71" s="56" t="s">
        <v>155</v>
      </c>
      <c r="E71" s="56" t="s">
        <v>1434</v>
      </c>
      <c r="F71" s="84" t="s">
        <v>439</v>
      </c>
      <c r="G71" s="64">
        <v>2009</v>
      </c>
      <c r="H71" s="86">
        <v>10200</v>
      </c>
      <c r="I71" s="66">
        <v>1</v>
      </c>
      <c r="J71" s="92">
        <f>H71*I71</f>
        <v>10200</v>
      </c>
      <c r="K71" s="92">
        <v>1938</v>
      </c>
      <c r="L71" s="64">
        <v>5</v>
      </c>
      <c r="M71" s="120"/>
    </row>
    <row r="72" spans="2:13" ht="36" x14ac:dyDescent="0.25">
      <c r="B72" s="119">
        <v>59</v>
      </c>
      <c r="C72" s="54" t="s">
        <v>1445</v>
      </c>
      <c r="D72" s="54" t="s">
        <v>1439</v>
      </c>
      <c r="E72" s="54" t="s">
        <v>1446</v>
      </c>
      <c r="F72" s="84" t="s">
        <v>439</v>
      </c>
      <c r="G72" s="64">
        <v>2009</v>
      </c>
      <c r="H72" s="93">
        <v>19000</v>
      </c>
      <c r="I72" s="64">
        <v>1</v>
      </c>
      <c r="J72" s="92">
        <f>I72*H72</f>
        <v>19000</v>
      </c>
      <c r="K72" s="92">
        <v>3610</v>
      </c>
      <c r="L72" s="64">
        <v>5</v>
      </c>
      <c r="M72" s="120"/>
    </row>
    <row r="73" spans="2:13" ht="33" x14ac:dyDescent="0.25">
      <c r="B73" s="119">
        <v>60</v>
      </c>
      <c r="C73" s="54" t="s">
        <v>1514</v>
      </c>
      <c r="D73" s="54" t="s">
        <v>1439</v>
      </c>
      <c r="E73" s="54" t="s">
        <v>1515</v>
      </c>
      <c r="F73" s="84" t="s">
        <v>443</v>
      </c>
      <c r="G73" s="64">
        <v>2009</v>
      </c>
      <c r="H73" s="93">
        <v>13800</v>
      </c>
      <c r="I73" s="64">
        <v>1</v>
      </c>
      <c r="J73" s="92">
        <f>I73*H73</f>
        <v>13800</v>
      </c>
      <c r="K73" s="92">
        <v>2622</v>
      </c>
      <c r="L73" s="64">
        <v>5</v>
      </c>
      <c r="M73" s="120"/>
    </row>
    <row r="74" spans="2:13" ht="33" x14ac:dyDescent="0.25">
      <c r="B74" s="119">
        <v>61</v>
      </c>
      <c r="C74" s="54" t="s">
        <v>1610</v>
      </c>
      <c r="D74" s="54" t="s">
        <v>1607</v>
      </c>
      <c r="E74" s="54" t="s">
        <v>1611</v>
      </c>
      <c r="F74" s="84" t="s">
        <v>449</v>
      </c>
      <c r="G74" s="97">
        <v>2009</v>
      </c>
      <c r="H74" s="67">
        <v>950000</v>
      </c>
      <c r="I74" s="68">
        <v>1</v>
      </c>
      <c r="J74" s="71">
        <f>I74*H74</f>
        <v>950000</v>
      </c>
      <c r="K74" s="71">
        <v>128928.57142857143</v>
      </c>
      <c r="L74" s="97">
        <v>7</v>
      </c>
      <c r="M74" s="120"/>
    </row>
    <row r="75" spans="2:13" ht="33" x14ac:dyDescent="0.25">
      <c r="B75" s="119">
        <v>62</v>
      </c>
      <c r="C75" s="54" t="s">
        <v>1632</v>
      </c>
      <c r="D75" s="54" t="s">
        <v>1439</v>
      </c>
      <c r="E75" s="54" t="s">
        <v>1633</v>
      </c>
      <c r="F75" s="84" t="s">
        <v>450</v>
      </c>
      <c r="G75" s="64">
        <v>2009</v>
      </c>
      <c r="H75" s="93">
        <v>58912</v>
      </c>
      <c r="I75" s="64">
        <v>1</v>
      </c>
      <c r="J75" s="92">
        <f>I75*H75</f>
        <v>58912</v>
      </c>
      <c r="K75" s="92">
        <v>11193.279999999999</v>
      </c>
      <c r="L75" s="64">
        <v>5</v>
      </c>
      <c r="M75" s="120"/>
    </row>
    <row r="76" spans="2:13" ht="36" x14ac:dyDescent="0.25">
      <c r="B76" s="119">
        <v>63</v>
      </c>
      <c r="C76" s="54" t="s">
        <v>1637</v>
      </c>
      <c r="D76" s="54" t="s">
        <v>1638</v>
      </c>
      <c r="E76" s="54" t="s">
        <v>1639</v>
      </c>
      <c r="F76" s="84" t="s">
        <v>450</v>
      </c>
      <c r="G76" s="64">
        <v>2009</v>
      </c>
      <c r="H76" s="93">
        <v>41500</v>
      </c>
      <c r="I76" s="64">
        <v>1</v>
      </c>
      <c r="J76" s="92">
        <f>I76*H76</f>
        <v>41500</v>
      </c>
      <c r="K76" s="92">
        <v>7885</v>
      </c>
      <c r="L76" s="64">
        <v>5</v>
      </c>
      <c r="M76" s="120"/>
    </row>
    <row r="77" spans="2:13" ht="33" x14ac:dyDescent="0.25">
      <c r="B77" s="119">
        <v>64</v>
      </c>
      <c r="C77" s="60" t="s">
        <v>1646</v>
      </c>
      <c r="D77" s="60" t="s">
        <v>1647</v>
      </c>
      <c r="E77" s="90" t="s">
        <v>1648</v>
      </c>
      <c r="F77" s="84" t="s">
        <v>450</v>
      </c>
      <c r="G77" s="64">
        <v>2009</v>
      </c>
      <c r="H77" s="96">
        <v>14980</v>
      </c>
      <c r="I77" s="64">
        <v>1</v>
      </c>
      <c r="J77" s="96">
        <v>14980</v>
      </c>
      <c r="K77" s="92">
        <v>1423.1</v>
      </c>
      <c r="L77" s="97">
        <v>10</v>
      </c>
      <c r="M77" s="120"/>
    </row>
    <row r="78" spans="2:13" ht="33" x14ac:dyDescent="0.25">
      <c r="B78" s="119">
        <v>65</v>
      </c>
      <c r="C78" s="60" t="s">
        <v>1649</v>
      </c>
      <c r="D78" s="60" t="s">
        <v>1650</v>
      </c>
      <c r="E78" s="90" t="s">
        <v>1651</v>
      </c>
      <c r="F78" s="84" t="s">
        <v>450</v>
      </c>
      <c r="G78" s="64">
        <v>2009</v>
      </c>
      <c r="H78" s="96">
        <v>32900</v>
      </c>
      <c r="I78" s="64">
        <v>1</v>
      </c>
      <c r="J78" s="96">
        <v>32900</v>
      </c>
      <c r="K78" s="92">
        <v>3125.5</v>
      </c>
      <c r="L78" s="97">
        <v>10</v>
      </c>
      <c r="M78" s="120"/>
    </row>
    <row r="79" spans="2:13" ht="33" x14ac:dyDescent="0.25">
      <c r="B79" s="119">
        <v>66</v>
      </c>
      <c r="C79" s="60" t="s">
        <v>1652</v>
      </c>
      <c r="D79" s="60" t="s">
        <v>1463</v>
      </c>
      <c r="E79" s="90" t="s">
        <v>1653</v>
      </c>
      <c r="F79" s="84" t="s">
        <v>450</v>
      </c>
      <c r="G79" s="64">
        <v>2009</v>
      </c>
      <c r="H79" s="96">
        <v>16599</v>
      </c>
      <c r="I79" s="64">
        <v>1</v>
      </c>
      <c r="J79" s="96">
        <v>16599</v>
      </c>
      <c r="K79" s="92">
        <v>1576.905</v>
      </c>
      <c r="L79" s="97">
        <v>10</v>
      </c>
      <c r="M79" s="120"/>
    </row>
    <row r="80" spans="2:13" ht="60" x14ac:dyDescent="0.25">
      <c r="B80" s="119">
        <v>67</v>
      </c>
      <c r="C80" s="54" t="s">
        <v>1702</v>
      </c>
      <c r="D80" s="54" t="s">
        <v>1439</v>
      </c>
      <c r="E80" s="54" t="s">
        <v>1703</v>
      </c>
      <c r="F80" s="84" t="s">
        <v>440</v>
      </c>
      <c r="G80" s="64">
        <v>2009</v>
      </c>
      <c r="H80" s="93">
        <v>57134</v>
      </c>
      <c r="I80" s="64">
        <v>1</v>
      </c>
      <c r="J80" s="92">
        <f>I80*H80</f>
        <v>57134</v>
      </c>
      <c r="K80" s="92">
        <v>10855.46</v>
      </c>
      <c r="L80" s="64">
        <v>5</v>
      </c>
      <c r="M80" s="120"/>
    </row>
    <row r="81" spans="2:13" ht="36" x14ac:dyDescent="0.25">
      <c r="B81" s="119">
        <v>68</v>
      </c>
      <c r="C81" s="54" t="s">
        <v>1484</v>
      </c>
      <c r="D81" s="54" t="s">
        <v>1485</v>
      </c>
      <c r="E81" s="54" t="s">
        <v>1486</v>
      </c>
      <c r="F81" s="84" t="s">
        <v>442</v>
      </c>
      <c r="G81" s="64">
        <v>2010</v>
      </c>
      <c r="H81" s="93">
        <v>19800</v>
      </c>
      <c r="I81" s="64">
        <v>1</v>
      </c>
      <c r="J81" s="92">
        <f>I81*H81</f>
        <v>19800</v>
      </c>
      <c r="K81" s="92">
        <v>3762</v>
      </c>
      <c r="L81" s="64">
        <v>5</v>
      </c>
      <c r="M81" s="120"/>
    </row>
    <row r="82" spans="2:13" ht="33" x14ac:dyDescent="0.25">
      <c r="B82" s="119">
        <v>69</v>
      </c>
      <c r="C82" s="54" t="s">
        <v>1569</v>
      </c>
      <c r="D82" s="56" t="s">
        <v>1466</v>
      </c>
      <c r="E82" s="56" t="s">
        <v>1570</v>
      </c>
      <c r="F82" s="84" t="s">
        <v>449</v>
      </c>
      <c r="G82" s="64">
        <v>2010</v>
      </c>
      <c r="H82" s="86">
        <v>21950</v>
      </c>
      <c r="I82" s="66">
        <v>1</v>
      </c>
      <c r="J82" s="92">
        <f>H82*I82</f>
        <v>21950</v>
      </c>
      <c r="K82" s="92">
        <v>4170.5</v>
      </c>
      <c r="L82" s="64">
        <v>5</v>
      </c>
      <c r="M82" s="120"/>
    </row>
    <row r="83" spans="2:13" ht="33" x14ac:dyDescent="0.25">
      <c r="B83" s="119">
        <v>70</v>
      </c>
      <c r="C83" s="60" t="s">
        <v>1654</v>
      </c>
      <c r="D83" s="60" t="s">
        <v>1655</v>
      </c>
      <c r="E83" s="90" t="s">
        <v>1656</v>
      </c>
      <c r="F83" s="84" t="s">
        <v>450</v>
      </c>
      <c r="G83" s="64">
        <v>2010</v>
      </c>
      <c r="H83" s="96">
        <v>14980</v>
      </c>
      <c r="I83" s="64">
        <v>1</v>
      </c>
      <c r="J83" s="96">
        <v>14980</v>
      </c>
      <c r="K83" s="92">
        <v>1423.1</v>
      </c>
      <c r="L83" s="97">
        <v>10</v>
      </c>
      <c r="M83" s="120"/>
    </row>
    <row r="84" spans="2:13" ht="33" x14ac:dyDescent="0.25">
      <c r="B84" s="119">
        <v>71</v>
      </c>
      <c r="C84" s="60" t="s">
        <v>1646</v>
      </c>
      <c r="D84" s="60" t="s">
        <v>1655</v>
      </c>
      <c r="E84" s="90" t="s">
        <v>1657</v>
      </c>
      <c r="F84" s="84" t="s">
        <v>450</v>
      </c>
      <c r="G84" s="64">
        <v>2010</v>
      </c>
      <c r="H84" s="96">
        <v>14980</v>
      </c>
      <c r="I84" s="64">
        <v>1</v>
      </c>
      <c r="J84" s="96">
        <v>14980</v>
      </c>
      <c r="K84" s="92">
        <v>1423.1</v>
      </c>
      <c r="L84" s="97">
        <v>10</v>
      </c>
      <c r="M84" s="120"/>
    </row>
    <row r="85" spans="2:13" ht="60" x14ac:dyDescent="0.25">
      <c r="B85" s="119">
        <v>72</v>
      </c>
      <c r="C85" s="54" t="s">
        <v>1735</v>
      </c>
      <c r="D85" s="54" t="s">
        <v>1638</v>
      </c>
      <c r="E85" s="54" t="s">
        <v>1736</v>
      </c>
      <c r="F85" s="84" t="s">
        <v>452</v>
      </c>
      <c r="G85" s="64">
        <v>2010</v>
      </c>
      <c r="H85" s="93">
        <v>41500</v>
      </c>
      <c r="I85" s="64">
        <v>1</v>
      </c>
      <c r="J85" s="92">
        <f>I85*H85</f>
        <v>41500</v>
      </c>
      <c r="K85" s="92">
        <v>7885</v>
      </c>
      <c r="L85" s="64">
        <v>5</v>
      </c>
      <c r="M85" s="120"/>
    </row>
    <row r="86" spans="2:13" ht="72" x14ac:dyDescent="0.25">
      <c r="B86" s="119">
        <v>73</v>
      </c>
      <c r="C86" s="54" t="s">
        <v>1832</v>
      </c>
      <c r="D86" s="54" t="s">
        <v>1439</v>
      </c>
      <c r="E86" s="54" t="s">
        <v>1833</v>
      </c>
      <c r="F86" s="84" t="s">
        <v>445</v>
      </c>
      <c r="G86" s="64">
        <v>2010</v>
      </c>
      <c r="H86" s="93">
        <v>19800</v>
      </c>
      <c r="I86" s="64">
        <v>1</v>
      </c>
      <c r="J86" s="92">
        <f>I86*H86</f>
        <v>19800</v>
      </c>
      <c r="K86" s="92">
        <v>3762</v>
      </c>
      <c r="L86" s="64">
        <v>5</v>
      </c>
      <c r="M86" s="120"/>
    </row>
    <row r="87" spans="2:13" ht="33" x14ac:dyDescent="0.25">
      <c r="B87" s="119">
        <v>74</v>
      </c>
      <c r="C87" s="56" t="s">
        <v>1484</v>
      </c>
      <c r="D87" s="56" t="s">
        <v>1439</v>
      </c>
      <c r="E87" s="56" t="s">
        <v>1834</v>
      </c>
      <c r="F87" s="84" t="s">
        <v>445</v>
      </c>
      <c r="G87" s="64">
        <v>2010</v>
      </c>
      <c r="H87" s="93">
        <v>17495</v>
      </c>
      <c r="I87" s="94">
        <v>1</v>
      </c>
      <c r="J87" s="92">
        <f>I87*H87</f>
        <v>17495</v>
      </c>
      <c r="K87" s="92">
        <v>3324.05</v>
      </c>
      <c r="L87" s="64">
        <v>5</v>
      </c>
      <c r="M87" s="120"/>
    </row>
    <row r="88" spans="2:13" ht="48" x14ac:dyDescent="0.25">
      <c r="B88" s="119">
        <v>75</v>
      </c>
      <c r="C88" s="54" t="s">
        <v>1881</v>
      </c>
      <c r="D88" s="54" t="s">
        <v>1439</v>
      </c>
      <c r="E88" s="54" t="s">
        <v>1882</v>
      </c>
      <c r="F88" s="84" t="s">
        <v>460</v>
      </c>
      <c r="G88" s="64">
        <v>2010</v>
      </c>
      <c r="H88" s="93">
        <v>13800</v>
      </c>
      <c r="I88" s="64">
        <v>1</v>
      </c>
      <c r="J88" s="92">
        <f>I88*H88</f>
        <v>13800</v>
      </c>
      <c r="K88" s="92">
        <v>2622</v>
      </c>
      <c r="L88" s="64">
        <v>5</v>
      </c>
      <c r="M88" s="120"/>
    </row>
    <row r="89" spans="2:13" ht="60" x14ac:dyDescent="0.25">
      <c r="B89" s="119">
        <v>76</v>
      </c>
      <c r="C89" s="60" t="s">
        <v>1894</v>
      </c>
      <c r="D89" s="60" t="s">
        <v>1763</v>
      </c>
      <c r="E89" s="90" t="s">
        <v>1895</v>
      </c>
      <c r="F89" s="84" t="s">
        <v>460</v>
      </c>
      <c r="G89" s="66">
        <v>2010</v>
      </c>
      <c r="H89" s="98">
        <v>265000</v>
      </c>
      <c r="I89" s="66">
        <v>1</v>
      </c>
      <c r="J89" s="98">
        <v>265000</v>
      </c>
      <c r="K89" s="92">
        <v>25175</v>
      </c>
      <c r="L89" s="97">
        <v>10</v>
      </c>
      <c r="M89" s="120"/>
    </row>
    <row r="90" spans="2:13" ht="72" x14ac:dyDescent="0.25">
      <c r="B90" s="119">
        <v>77</v>
      </c>
      <c r="C90" s="54" t="s">
        <v>1917</v>
      </c>
      <c r="D90" s="54" t="s">
        <v>1455</v>
      </c>
      <c r="E90" s="54" t="s">
        <v>1918</v>
      </c>
      <c r="F90" s="84" t="s">
        <v>461</v>
      </c>
      <c r="G90" s="64">
        <v>2010</v>
      </c>
      <c r="H90" s="93">
        <v>41500</v>
      </c>
      <c r="I90" s="64">
        <v>1</v>
      </c>
      <c r="J90" s="92">
        <f>I90*H90</f>
        <v>41500</v>
      </c>
      <c r="K90" s="92">
        <v>7885</v>
      </c>
      <c r="L90" s="64">
        <v>5</v>
      </c>
      <c r="M90" s="120"/>
    </row>
    <row r="91" spans="2:13" ht="36" x14ac:dyDescent="0.25">
      <c r="B91" s="119">
        <v>78</v>
      </c>
      <c r="C91" s="56" t="s">
        <v>1457</v>
      </c>
      <c r="D91" s="56" t="s">
        <v>1439</v>
      </c>
      <c r="E91" s="56" t="s">
        <v>1458</v>
      </c>
      <c r="F91" s="84" t="s">
        <v>440</v>
      </c>
      <c r="G91" s="64">
        <v>2011</v>
      </c>
      <c r="H91" s="95">
        <v>13500</v>
      </c>
      <c r="I91" s="94">
        <v>1</v>
      </c>
      <c r="J91" s="92">
        <f>I91*H91</f>
        <v>13500</v>
      </c>
      <c r="K91" s="92">
        <v>2565</v>
      </c>
      <c r="L91" s="64">
        <v>5</v>
      </c>
      <c r="M91" s="120"/>
    </row>
    <row r="92" spans="2:13" ht="33" x14ac:dyDescent="0.25">
      <c r="B92" s="119">
        <v>79</v>
      </c>
      <c r="C92" s="54" t="s">
        <v>1547</v>
      </c>
      <c r="D92" s="54" t="s">
        <v>1548</v>
      </c>
      <c r="E92" s="54" t="s">
        <v>1549</v>
      </c>
      <c r="F92" s="84" t="s">
        <v>442</v>
      </c>
      <c r="G92" s="64">
        <v>2011</v>
      </c>
      <c r="H92" s="93">
        <v>10500</v>
      </c>
      <c r="I92" s="94">
        <v>1</v>
      </c>
      <c r="J92" s="92">
        <f>I92*H92</f>
        <v>10500</v>
      </c>
      <c r="K92" s="92">
        <v>1995</v>
      </c>
      <c r="L92" s="64">
        <v>5</v>
      </c>
      <c r="M92" s="120"/>
    </row>
    <row r="93" spans="2:13" ht="33" x14ac:dyDescent="0.25">
      <c r="B93" s="119">
        <v>80</v>
      </c>
      <c r="C93" s="54" t="s">
        <v>1452</v>
      </c>
      <c r="D93" s="54" t="s">
        <v>1439</v>
      </c>
      <c r="E93" s="54" t="s">
        <v>1453</v>
      </c>
      <c r="F93" s="84" t="s">
        <v>439</v>
      </c>
      <c r="G93" s="64">
        <v>2012</v>
      </c>
      <c r="H93" s="93">
        <v>13800</v>
      </c>
      <c r="I93" s="64">
        <v>1</v>
      </c>
      <c r="J93" s="92">
        <f>I93*H93</f>
        <v>13800</v>
      </c>
      <c r="K93" s="92">
        <v>2622</v>
      </c>
      <c r="L93" s="64">
        <v>5</v>
      </c>
      <c r="M93" s="120"/>
    </row>
    <row r="94" spans="2:13" ht="33" x14ac:dyDescent="0.25">
      <c r="B94" s="119">
        <v>81</v>
      </c>
      <c r="C94" s="54" t="s">
        <v>1496</v>
      </c>
      <c r="D94" s="54" t="s">
        <v>1439</v>
      </c>
      <c r="E94" s="54" t="s">
        <v>1497</v>
      </c>
      <c r="F94" s="84" t="s">
        <v>439</v>
      </c>
      <c r="G94" s="64">
        <v>2012</v>
      </c>
      <c r="H94" s="93">
        <v>13800</v>
      </c>
      <c r="I94" s="64">
        <v>1</v>
      </c>
      <c r="J94" s="92">
        <f>I94*H94</f>
        <v>13800</v>
      </c>
      <c r="K94" s="92">
        <v>2622</v>
      </c>
      <c r="L94" s="64">
        <v>5</v>
      </c>
      <c r="M94" s="120"/>
    </row>
    <row r="95" spans="2:13" ht="33" x14ac:dyDescent="0.25">
      <c r="B95" s="119">
        <v>82</v>
      </c>
      <c r="C95" s="60" t="s">
        <v>1591</v>
      </c>
      <c r="D95" s="60" t="s">
        <v>1592</v>
      </c>
      <c r="E95" s="90" t="s">
        <v>1593</v>
      </c>
      <c r="F95" s="84" t="s">
        <v>449</v>
      </c>
      <c r="G95" s="64">
        <v>2012</v>
      </c>
      <c r="H95" s="96">
        <v>19700</v>
      </c>
      <c r="I95" s="64">
        <v>1</v>
      </c>
      <c r="J95" s="96">
        <v>19700</v>
      </c>
      <c r="K95" s="92">
        <v>1871.5</v>
      </c>
      <c r="L95" s="97">
        <v>10</v>
      </c>
      <c r="M95" s="120"/>
    </row>
    <row r="96" spans="2:13" ht="33" x14ac:dyDescent="0.25">
      <c r="B96" s="119">
        <v>83</v>
      </c>
      <c r="C96" s="60" t="s">
        <v>1594</v>
      </c>
      <c r="D96" s="60" t="s">
        <v>1595</v>
      </c>
      <c r="E96" s="90" t="s">
        <v>1596</v>
      </c>
      <c r="F96" s="84" t="s">
        <v>449</v>
      </c>
      <c r="G96" s="64">
        <v>2012</v>
      </c>
      <c r="H96" s="96">
        <v>46500</v>
      </c>
      <c r="I96" s="64">
        <v>1</v>
      </c>
      <c r="J96" s="96">
        <v>46500</v>
      </c>
      <c r="K96" s="92">
        <v>4417.5</v>
      </c>
      <c r="L96" s="97">
        <v>10</v>
      </c>
      <c r="M96" s="120"/>
    </row>
    <row r="97" spans="2:13" ht="48" x14ac:dyDescent="0.25">
      <c r="B97" s="119">
        <v>84</v>
      </c>
      <c r="C97" s="54" t="s">
        <v>1684</v>
      </c>
      <c r="D97" s="54" t="s">
        <v>1439</v>
      </c>
      <c r="E97" s="54" t="s">
        <v>1685</v>
      </c>
      <c r="F97" s="84" t="s">
        <v>451</v>
      </c>
      <c r="G97" s="64">
        <v>2012</v>
      </c>
      <c r="H97" s="93">
        <v>13800</v>
      </c>
      <c r="I97" s="64">
        <v>1</v>
      </c>
      <c r="J97" s="92">
        <f>I97*H97</f>
        <v>13800</v>
      </c>
      <c r="K97" s="92">
        <v>2622</v>
      </c>
      <c r="L97" s="64">
        <v>5</v>
      </c>
      <c r="M97" s="120"/>
    </row>
    <row r="98" spans="2:13" ht="48" x14ac:dyDescent="0.25">
      <c r="B98" s="119">
        <v>85</v>
      </c>
      <c r="C98" s="54" t="s">
        <v>1686</v>
      </c>
      <c r="D98" s="54" t="s">
        <v>1687</v>
      </c>
      <c r="E98" s="54" t="s">
        <v>1688</v>
      </c>
      <c r="F98" s="84" t="s">
        <v>451</v>
      </c>
      <c r="G98" s="64">
        <v>2012</v>
      </c>
      <c r="H98" s="93">
        <v>38000</v>
      </c>
      <c r="I98" s="64">
        <v>1</v>
      </c>
      <c r="J98" s="92">
        <f>I98*H98</f>
        <v>38000</v>
      </c>
      <c r="K98" s="92">
        <v>7220</v>
      </c>
      <c r="L98" s="64">
        <v>5</v>
      </c>
      <c r="M98" s="120"/>
    </row>
    <row r="99" spans="2:13" ht="72" x14ac:dyDescent="0.25">
      <c r="B99" s="119">
        <v>86</v>
      </c>
      <c r="C99" s="54" t="s">
        <v>1756</v>
      </c>
      <c r="D99" s="54" t="s">
        <v>1757</v>
      </c>
      <c r="E99" s="54" t="s">
        <v>1758</v>
      </c>
      <c r="F99" s="84" t="s">
        <v>453</v>
      </c>
      <c r="G99" s="64">
        <v>2012</v>
      </c>
      <c r="H99" s="93">
        <v>65750</v>
      </c>
      <c r="I99" s="64">
        <v>1</v>
      </c>
      <c r="J99" s="92">
        <f>I99*H99</f>
        <v>65750</v>
      </c>
      <c r="K99" s="92">
        <v>12492.5</v>
      </c>
      <c r="L99" s="64">
        <v>5</v>
      </c>
      <c r="M99" s="120"/>
    </row>
    <row r="100" spans="2:13" ht="36" x14ac:dyDescent="0.25">
      <c r="B100" s="119">
        <v>87</v>
      </c>
      <c r="C100" s="60" t="s">
        <v>1773</v>
      </c>
      <c r="D100" s="60" t="s">
        <v>1463</v>
      </c>
      <c r="E100" s="90" t="s">
        <v>1774</v>
      </c>
      <c r="F100" s="84" t="s">
        <v>453</v>
      </c>
      <c r="G100" s="64">
        <v>2012</v>
      </c>
      <c r="H100" s="96">
        <v>15465</v>
      </c>
      <c r="I100" s="64">
        <v>1</v>
      </c>
      <c r="J100" s="96">
        <v>15465</v>
      </c>
      <c r="K100" s="92">
        <v>1469.175</v>
      </c>
      <c r="L100" s="97">
        <v>10</v>
      </c>
      <c r="M100" s="120"/>
    </row>
    <row r="101" spans="2:13" x14ac:dyDescent="0.25">
      <c r="B101" s="119">
        <v>88</v>
      </c>
      <c r="C101" s="54" t="s">
        <v>1874</v>
      </c>
      <c r="D101" s="54" t="s">
        <v>1439</v>
      </c>
      <c r="E101" s="54" t="s">
        <v>1875</v>
      </c>
      <c r="F101" s="84" t="s">
        <v>459</v>
      </c>
      <c r="G101" s="64">
        <v>2012</v>
      </c>
      <c r="H101" s="93">
        <v>18900</v>
      </c>
      <c r="I101" s="64">
        <v>1</v>
      </c>
      <c r="J101" s="92">
        <f t="shared" ref="J101:J113" si="1">I101*H101</f>
        <v>18900</v>
      </c>
      <c r="K101" s="92">
        <v>3591</v>
      </c>
      <c r="L101" s="64">
        <v>5</v>
      </c>
      <c r="M101" s="120"/>
    </row>
    <row r="102" spans="2:13" ht="33" x14ac:dyDescent="0.25">
      <c r="B102" s="119">
        <v>89</v>
      </c>
      <c r="C102" s="54" t="s">
        <v>1914</v>
      </c>
      <c r="D102" s="54" t="s">
        <v>1439</v>
      </c>
      <c r="E102" s="54" t="s">
        <v>1915</v>
      </c>
      <c r="F102" s="84" t="s">
        <v>461</v>
      </c>
      <c r="G102" s="64">
        <v>2012</v>
      </c>
      <c r="H102" s="93">
        <v>19800</v>
      </c>
      <c r="I102" s="64">
        <v>1</v>
      </c>
      <c r="J102" s="92">
        <f t="shared" si="1"/>
        <v>19800</v>
      </c>
      <c r="K102" s="92">
        <v>3762</v>
      </c>
      <c r="L102" s="64">
        <v>5</v>
      </c>
      <c r="M102" s="120"/>
    </row>
    <row r="103" spans="2:13" ht="60" x14ac:dyDescent="0.25">
      <c r="B103" s="119">
        <v>90</v>
      </c>
      <c r="C103" s="54" t="s">
        <v>1441</v>
      </c>
      <c r="D103" s="54" t="s">
        <v>1439</v>
      </c>
      <c r="E103" s="54" t="s">
        <v>1442</v>
      </c>
      <c r="F103" s="84" t="s">
        <v>439</v>
      </c>
      <c r="G103" s="64">
        <v>2013</v>
      </c>
      <c r="H103" s="93">
        <v>10200</v>
      </c>
      <c r="I103" s="64">
        <v>1</v>
      </c>
      <c r="J103" s="92">
        <f t="shared" si="1"/>
        <v>10200</v>
      </c>
      <c r="K103" s="92">
        <v>1938</v>
      </c>
      <c r="L103" s="64">
        <v>5</v>
      </c>
      <c r="M103" s="120"/>
    </row>
    <row r="104" spans="2:13" ht="72" x14ac:dyDescent="0.25">
      <c r="B104" s="119">
        <v>91</v>
      </c>
      <c r="C104" s="54" t="s">
        <v>1447</v>
      </c>
      <c r="D104" s="54" t="s">
        <v>1439</v>
      </c>
      <c r="E104" s="54" t="s">
        <v>1448</v>
      </c>
      <c r="F104" s="84" t="s">
        <v>439</v>
      </c>
      <c r="G104" s="64">
        <v>2013</v>
      </c>
      <c r="H104" s="93">
        <v>17495</v>
      </c>
      <c r="I104" s="64">
        <v>1</v>
      </c>
      <c r="J104" s="92">
        <f t="shared" si="1"/>
        <v>17495</v>
      </c>
      <c r="K104" s="92">
        <v>3324.05</v>
      </c>
      <c r="L104" s="64">
        <v>5</v>
      </c>
      <c r="M104" s="120"/>
    </row>
    <row r="105" spans="2:13" ht="36" x14ac:dyDescent="0.25">
      <c r="B105" s="119">
        <v>92</v>
      </c>
      <c r="C105" s="54" t="s">
        <v>1449</v>
      </c>
      <c r="D105" s="54" t="s">
        <v>1450</v>
      </c>
      <c r="E105" s="54" t="s">
        <v>1451</v>
      </c>
      <c r="F105" s="84" t="s">
        <v>439</v>
      </c>
      <c r="G105" s="64">
        <v>2013</v>
      </c>
      <c r="H105" s="93">
        <v>53500</v>
      </c>
      <c r="I105" s="64">
        <v>1</v>
      </c>
      <c r="J105" s="92">
        <f t="shared" si="1"/>
        <v>53500</v>
      </c>
      <c r="K105" s="92">
        <v>10165</v>
      </c>
      <c r="L105" s="64">
        <v>5</v>
      </c>
      <c r="M105" s="120"/>
    </row>
    <row r="106" spans="2:13" ht="48" x14ac:dyDescent="0.25">
      <c r="B106" s="119">
        <v>93</v>
      </c>
      <c r="C106" s="54" t="s">
        <v>1459</v>
      </c>
      <c r="D106" s="54" t="s">
        <v>1460</v>
      </c>
      <c r="E106" s="54" t="s">
        <v>1461</v>
      </c>
      <c r="F106" s="84" t="s">
        <v>440</v>
      </c>
      <c r="G106" s="64">
        <v>2013</v>
      </c>
      <c r="H106" s="93">
        <v>41535.379999999997</v>
      </c>
      <c r="I106" s="64">
        <v>1</v>
      </c>
      <c r="J106" s="92">
        <f t="shared" si="1"/>
        <v>41535.379999999997</v>
      </c>
      <c r="K106" s="92">
        <v>7891.7221999999992</v>
      </c>
      <c r="L106" s="64">
        <v>5</v>
      </c>
      <c r="M106" s="120"/>
    </row>
    <row r="107" spans="2:13" ht="48" x14ac:dyDescent="0.25">
      <c r="B107" s="119">
        <v>94</v>
      </c>
      <c r="C107" s="54" t="s">
        <v>1478</v>
      </c>
      <c r="D107" s="54" t="s">
        <v>1460</v>
      </c>
      <c r="E107" s="54" t="s">
        <v>1479</v>
      </c>
      <c r="F107" s="84" t="s">
        <v>442</v>
      </c>
      <c r="G107" s="64">
        <v>2013</v>
      </c>
      <c r="H107" s="93">
        <v>41535.379999999997</v>
      </c>
      <c r="I107" s="64">
        <v>1</v>
      </c>
      <c r="J107" s="92">
        <f t="shared" si="1"/>
        <v>41535.379999999997</v>
      </c>
      <c r="K107" s="92">
        <v>7891.7221999999992</v>
      </c>
      <c r="L107" s="64">
        <v>5</v>
      </c>
      <c r="M107" s="120"/>
    </row>
    <row r="108" spans="2:13" ht="48" x14ac:dyDescent="0.25">
      <c r="B108" s="119">
        <v>95</v>
      </c>
      <c r="C108" s="54" t="s">
        <v>1480</v>
      </c>
      <c r="D108" s="54" t="s">
        <v>1460</v>
      </c>
      <c r="E108" s="54" t="s">
        <v>1481</v>
      </c>
      <c r="F108" s="84" t="s">
        <v>442</v>
      </c>
      <c r="G108" s="64">
        <v>2013</v>
      </c>
      <c r="H108" s="93">
        <v>41535.379999999997</v>
      </c>
      <c r="I108" s="64">
        <v>1</v>
      </c>
      <c r="J108" s="92">
        <f t="shared" si="1"/>
        <v>41535.379999999997</v>
      </c>
      <c r="K108" s="92">
        <v>7891.7221999999992</v>
      </c>
      <c r="L108" s="64">
        <v>5</v>
      </c>
      <c r="M108" s="120"/>
    </row>
    <row r="109" spans="2:13" ht="48" x14ac:dyDescent="0.25">
      <c r="B109" s="119">
        <v>96</v>
      </c>
      <c r="C109" s="54" t="s">
        <v>1482</v>
      </c>
      <c r="D109" s="54" t="s">
        <v>1460</v>
      </c>
      <c r="E109" s="54" t="s">
        <v>1483</v>
      </c>
      <c r="F109" s="84" t="s">
        <v>442</v>
      </c>
      <c r="G109" s="64">
        <v>2013</v>
      </c>
      <c r="H109" s="93">
        <v>41535.379999999997</v>
      </c>
      <c r="I109" s="64">
        <v>1</v>
      </c>
      <c r="J109" s="92">
        <f t="shared" si="1"/>
        <v>41535.379999999997</v>
      </c>
      <c r="K109" s="92">
        <v>7891.7221999999992</v>
      </c>
      <c r="L109" s="64">
        <v>5</v>
      </c>
      <c r="M109" s="120"/>
    </row>
    <row r="110" spans="2:13" ht="72" x14ac:dyDescent="0.25">
      <c r="B110" s="119">
        <v>97</v>
      </c>
      <c r="C110" s="54" t="s">
        <v>1490</v>
      </c>
      <c r="D110" s="54" t="s">
        <v>1439</v>
      </c>
      <c r="E110" s="54" t="s">
        <v>1448</v>
      </c>
      <c r="F110" s="84" t="s">
        <v>442</v>
      </c>
      <c r="G110" s="64">
        <v>2013</v>
      </c>
      <c r="H110" s="93">
        <v>17495</v>
      </c>
      <c r="I110" s="64">
        <v>1</v>
      </c>
      <c r="J110" s="92">
        <f t="shared" si="1"/>
        <v>17495</v>
      </c>
      <c r="K110" s="92">
        <v>3324.05</v>
      </c>
      <c r="L110" s="64">
        <v>5</v>
      </c>
      <c r="M110" s="120"/>
    </row>
    <row r="111" spans="2:13" ht="72" x14ac:dyDescent="0.25">
      <c r="B111" s="119">
        <v>98</v>
      </c>
      <c r="C111" s="54" t="s">
        <v>1491</v>
      </c>
      <c r="D111" s="54" t="s">
        <v>1439</v>
      </c>
      <c r="E111" s="54" t="s">
        <v>1448</v>
      </c>
      <c r="F111" s="84" t="s">
        <v>442</v>
      </c>
      <c r="G111" s="64">
        <v>2013</v>
      </c>
      <c r="H111" s="93">
        <v>17495</v>
      </c>
      <c r="I111" s="64">
        <v>1</v>
      </c>
      <c r="J111" s="92">
        <f t="shared" si="1"/>
        <v>17495</v>
      </c>
      <c r="K111" s="92">
        <v>3324.05</v>
      </c>
      <c r="L111" s="64">
        <v>5</v>
      </c>
      <c r="M111" s="120"/>
    </row>
    <row r="112" spans="2:13" ht="48" x14ac:dyDescent="0.25">
      <c r="B112" s="119">
        <v>99</v>
      </c>
      <c r="C112" s="54" t="s">
        <v>1492</v>
      </c>
      <c r="D112" s="54" t="s">
        <v>1493</v>
      </c>
      <c r="E112" s="54" t="s">
        <v>1494</v>
      </c>
      <c r="F112" s="84" t="s">
        <v>442</v>
      </c>
      <c r="G112" s="64">
        <v>2013</v>
      </c>
      <c r="H112" s="93">
        <v>10200</v>
      </c>
      <c r="I112" s="64">
        <v>1</v>
      </c>
      <c r="J112" s="92">
        <f t="shared" si="1"/>
        <v>10200</v>
      </c>
      <c r="K112" s="92">
        <v>1938</v>
      </c>
      <c r="L112" s="64">
        <v>5</v>
      </c>
      <c r="M112" s="120"/>
    </row>
    <row r="113" spans="2:13" ht="72" x14ac:dyDescent="0.25">
      <c r="B113" s="119">
        <v>100</v>
      </c>
      <c r="C113" s="54" t="s">
        <v>1495</v>
      </c>
      <c r="D113" s="54" t="s">
        <v>1439</v>
      </c>
      <c r="E113" s="54" t="s">
        <v>1448</v>
      </c>
      <c r="F113" s="84" t="s">
        <v>442</v>
      </c>
      <c r="G113" s="64">
        <v>2013</v>
      </c>
      <c r="H113" s="93">
        <v>17495</v>
      </c>
      <c r="I113" s="64">
        <v>1</v>
      </c>
      <c r="J113" s="92">
        <f t="shared" si="1"/>
        <v>17495</v>
      </c>
      <c r="K113" s="92">
        <v>3324.05</v>
      </c>
      <c r="L113" s="64">
        <v>5</v>
      </c>
      <c r="M113" s="120"/>
    </row>
    <row r="114" spans="2:13" ht="36" x14ac:dyDescent="0.25">
      <c r="B114" s="119">
        <v>101</v>
      </c>
      <c r="C114" s="54" t="s">
        <v>1507</v>
      </c>
      <c r="D114" s="54" t="s">
        <v>1472</v>
      </c>
      <c r="E114" s="54" t="s">
        <v>1473</v>
      </c>
      <c r="F114" s="84" t="s">
        <v>443</v>
      </c>
      <c r="G114" s="64">
        <v>2013</v>
      </c>
      <c r="H114" s="86">
        <v>85760</v>
      </c>
      <c r="I114" s="66">
        <v>1</v>
      </c>
      <c r="J114" s="92">
        <f>H114*I114</f>
        <v>85760</v>
      </c>
      <c r="K114" s="92">
        <v>16294.4</v>
      </c>
      <c r="L114" s="64">
        <v>5</v>
      </c>
      <c r="M114" s="120"/>
    </row>
    <row r="115" spans="2:13" ht="72" x14ac:dyDescent="0.25">
      <c r="B115" s="119">
        <v>102</v>
      </c>
      <c r="C115" s="54" t="s">
        <v>1540</v>
      </c>
      <c r="D115" s="54" t="s">
        <v>1439</v>
      </c>
      <c r="E115" s="54" t="s">
        <v>1448</v>
      </c>
      <c r="F115" s="84" t="s">
        <v>444</v>
      </c>
      <c r="G115" s="64">
        <v>2013</v>
      </c>
      <c r="H115" s="93">
        <v>17495</v>
      </c>
      <c r="I115" s="64">
        <v>2</v>
      </c>
      <c r="J115" s="92">
        <f t="shared" ref="J115:J124" si="2">I115*H115</f>
        <v>34990</v>
      </c>
      <c r="K115" s="92">
        <v>3324.05</v>
      </c>
      <c r="L115" s="64">
        <v>5</v>
      </c>
      <c r="M115" s="120"/>
    </row>
    <row r="116" spans="2:13" ht="72" x14ac:dyDescent="0.25">
      <c r="B116" s="119">
        <v>103</v>
      </c>
      <c r="C116" s="54" t="s">
        <v>1563</v>
      </c>
      <c r="D116" s="54" t="s">
        <v>1439</v>
      </c>
      <c r="E116" s="54" t="s">
        <v>1448</v>
      </c>
      <c r="F116" s="84" t="s">
        <v>446</v>
      </c>
      <c r="G116" s="64">
        <v>2013</v>
      </c>
      <c r="H116" s="93">
        <v>17495</v>
      </c>
      <c r="I116" s="64">
        <v>1</v>
      </c>
      <c r="J116" s="92">
        <f t="shared" si="2"/>
        <v>17495</v>
      </c>
      <c r="K116" s="92">
        <v>3324.05</v>
      </c>
      <c r="L116" s="64">
        <v>5</v>
      </c>
      <c r="M116" s="120"/>
    </row>
    <row r="117" spans="2:13" ht="48" x14ac:dyDescent="0.25">
      <c r="B117" s="119">
        <v>104</v>
      </c>
      <c r="C117" s="54" t="s">
        <v>1567</v>
      </c>
      <c r="D117" s="54" t="s">
        <v>1493</v>
      </c>
      <c r="E117" s="54" t="s">
        <v>1568</v>
      </c>
      <c r="F117" s="84" t="s">
        <v>448</v>
      </c>
      <c r="G117" s="64">
        <v>2013</v>
      </c>
      <c r="H117" s="93">
        <v>10200</v>
      </c>
      <c r="I117" s="64">
        <v>1</v>
      </c>
      <c r="J117" s="92">
        <f t="shared" si="2"/>
        <v>10200</v>
      </c>
      <c r="K117" s="92">
        <v>1938</v>
      </c>
      <c r="L117" s="64">
        <v>5</v>
      </c>
      <c r="M117" s="120"/>
    </row>
    <row r="118" spans="2:13" ht="72" x14ac:dyDescent="0.25">
      <c r="B118" s="119">
        <v>105</v>
      </c>
      <c r="C118" s="54" t="s">
        <v>1581</v>
      </c>
      <c r="D118" s="54" t="s">
        <v>1439</v>
      </c>
      <c r="E118" s="54" t="s">
        <v>1448</v>
      </c>
      <c r="F118" s="84" t="s">
        <v>449</v>
      </c>
      <c r="G118" s="64">
        <v>2013</v>
      </c>
      <c r="H118" s="93">
        <v>17495</v>
      </c>
      <c r="I118" s="64">
        <v>1</v>
      </c>
      <c r="J118" s="92">
        <f t="shared" si="2"/>
        <v>17495</v>
      </c>
      <c r="K118" s="92">
        <v>3324.05</v>
      </c>
      <c r="L118" s="64">
        <v>5</v>
      </c>
      <c r="M118" s="120"/>
    </row>
    <row r="119" spans="2:13" ht="48" x14ac:dyDescent="0.25">
      <c r="B119" s="119">
        <v>106</v>
      </c>
      <c r="C119" s="54" t="s">
        <v>1582</v>
      </c>
      <c r="D119" s="54" t="s">
        <v>1439</v>
      </c>
      <c r="E119" s="54" t="s">
        <v>1583</v>
      </c>
      <c r="F119" s="84" t="s">
        <v>449</v>
      </c>
      <c r="G119" s="64">
        <v>2013</v>
      </c>
      <c r="H119" s="93">
        <v>26950</v>
      </c>
      <c r="I119" s="64">
        <v>1</v>
      </c>
      <c r="J119" s="92">
        <f t="shared" si="2"/>
        <v>26950</v>
      </c>
      <c r="K119" s="92">
        <v>5120.5</v>
      </c>
      <c r="L119" s="64">
        <v>5</v>
      </c>
      <c r="M119" s="120"/>
    </row>
    <row r="120" spans="2:13" ht="72" x14ac:dyDescent="0.25">
      <c r="B120" s="119">
        <v>107</v>
      </c>
      <c r="C120" s="54" t="s">
        <v>1640</v>
      </c>
      <c r="D120" s="54" t="s">
        <v>1439</v>
      </c>
      <c r="E120" s="54" t="s">
        <v>1448</v>
      </c>
      <c r="F120" s="84" t="s">
        <v>450</v>
      </c>
      <c r="G120" s="64">
        <v>2013</v>
      </c>
      <c r="H120" s="93">
        <v>17495</v>
      </c>
      <c r="I120" s="64">
        <v>1</v>
      </c>
      <c r="J120" s="92">
        <f t="shared" si="2"/>
        <v>17495</v>
      </c>
      <c r="K120" s="92">
        <v>3324.05</v>
      </c>
      <c r="L120" s="64">
        <v>5</v>
      </c>
      <c r="M120" s="120"/>
    </row>
    <row r="121" spans="2:13" ht="72" x14ac:dyDescent="0.25">
      <c r="B121" s="119">
        <v>108</v>
      </c>
      <c r="C121" s="54" t="s">
        <v>1673</v>
      </c>
      <c r="D121" s="54" t="s">
        <v>1439</v>
      </c>
      <c r="E121" s="54" t="s">
        <v>1448</v>
      </c>
      <c r="F121" s="84" t="s">
        <v>451</v>
      </c>
      <c r="G121" s="64">
        <v>2013</v>
      </c>
      <c r="H121" s="93">
        <v>17495</v>
      </c>
      <c r="I121" s="64">
        <v>1</v>
      </c>
      <c r="J121" s="92">
        <f t="shared" si="2"/>
        <v>17495</v>
      </c>
      <c r="K121" s="92">
        <v>3324.05</v>
      </c>
      <c r="L121" s="64">
        <v>5</v>
      </c>
      <c r="M121" s="120"/>
    </row>
    <row r="122" spans="2:13" ht="180" x14ac:dyDescent="0.25">
      <c r="B122" s="119">
        <v>109</v>
      </c>
      <c r="C122" s="54" t="s">
        <v>1674</v>
      </c>
      <c r="D122" s="56" t="s">
        <v>1675</v>
      </c>
      <c r="E122" s="56" t="s">
        <v>1676</v>
      </c>
      <c r="F122" s="84" t="s">
        <v>451</v>
      </c>
      <c r="G122" s="64">
        <v>2013</v>
      </c>
      <c r="H122" s="93">
        <v>124000</v>
      </c>
      <c r="I122" s="94">
        <v>2</v>
      </c>
      <c r="J122" s="92">
        <f t="shared" si="2"/>
        <v>248000</v>
      </c>
      <c r="K122" s="92">
        <v>23560</v>
      </c>
      <c r="L122" s="64">
        <v>5</v>
      </c>
      <c r="M122" s="120"/>
    </row>
    <row r="123" spans="2:13" ht="84" x14ac:dyDescent="0.25">
      <c r="B123" s="119">
        <v>110</v>
      </c>
      <c r="C123" s="54" t="s">
        <v>1682</v>
      </c>
      <c r="D123" s="54" t="s">
        <v>1439</v>
      </c>
      <c r="E123" s="54" t="s">
        <v>1683</v>
      </c>
      <c r="F123" s="84" t="s">
        <v>451</v>
      </c>
      <c r="G123" s="64">
        <v>2013</v>
      </c>
      <c r="H123" s="93">
        <v>17495</v>
      </c>
      <c r="I123" s="64">
        <v>1</v>
      </c>
      <c r="J123" s="92">
        <f t="shared" si="2"/>
        <v>17495</v>
      </c>
      <c r="K123" s="92">
        <v>3324.05</v>
      </c>
      <c r="L123" s="64">
        <v>5</v>
      </c>
      <c r="M123" s="120"/>
    </row>
    <row r="124" spans="2:13" ht="60" x14ac:dyDescent="0.25">
      <c r="B124" s="119">
        <v>111</v>
      </c>
      <c r="C124" s="54" t="s">
        <v>1689</v>
      </c>
      <c r="D124" s="54" t="s">
        <v>1439</v>
      </c>
      <c r="E124" s="54" t="s">
        <v>1690</v>
      </c>
      <c r="F124" s="84" t="s">
        <v>451</v>
      </c>
      <c r="G124" s="64">
        <v>2013</v>
      </c>
      <c r="H124" s="93">
        <v>10200</v>
      </c>
      <c r="I124" s="64">
        <v>1</v>
      </c>
      <c r="J124" s="92">
        <f t="shared" si="2"/>
        <v>10200</v>
      </c>
      <c r="K124" s="92">
        <v>1938</v>
      </c>
      <c r="L124" s="64">
        <v>5</v>
      </c>
      <c r="M124" s="120"/>
    </row>
    <row r="125" spans="2:13" ht="60" x14ac:dyDescent="0.25">
      <c r="B125" s="119">
        <v>112</v>
      </c>
      <c r="C125" s="60" t="s">
        <v>1697</v>
      </c>
      <c r="D125" s="60" t="s">
        <v>1698</v>
      </c>
      <c r="E125" s="90" t="s">
        <v>1699</v>
      </c>
      <c r="F125" s="84" t="s">
        <v>451</v>
      </c>
      <c r="G125" s="64">
        <v>2013</v>
      </c>
      <c r="H125" s="96">
        <v>32000</v>
      </c>
      <c r="I125" s="64">
        <v>1</v>
      </c>
      <c r="J125" s="96">
        <v>32000</v>
      </c>
      <c r="K125" s="92">
        <v>3040</v>
      </c>
      <c r="L125" s="97">
        <v>10</v>
      </c>
      <c r="M125" s="120"/>
    </row>
    <row r="126" spans="2:13" ht="33" x14ac:dyDescent="0.25">
      <c r="B126" s="119">
        <v>113</v>
      </c>
      <c r="C126" s="54" t="s">
        <v>1716</v>
      </c>
      <c r="D126" s="54" t="s">
        <v>1622</v>
      </c>
      <c r="E126" s="54" t="s">
        <v>1717</v>
      </c>
      <c r="F126" s="84" t="s">
        <v>452</v>
      </c>
      <c r="G126" s="64">
        <v>2013</v>
      </c>
      <c r="H126" s="86">
        <v>29995</v>
      </c>
      <c r="I126" s="66">
        <v>1</v>
      </c>
      <c r="J126" s="92">
        <f>H126*I126</f>
        <v>29995</v>
      </c>
      <c r="K126" s="92">
        <v>5699.05</v>
      </c>
      <c r="L126" s="64">
        <v>5</v>
      </c>
      <c r="M126" s="120"/>
    </row>
    <row r="127" spans="2:13" ht="33" x14ac:dyDescent="0.25">
      <c r="B127" s="119">
        <v>114</v>
      </c>
      <c r="C127" s="54" t="s">
        <v>1723</v>
      </c>
      <c r="D127" s="54" t="s">
        <v>1724</v>
      </c>
      <c r="E127" s="54" t="s">
        <v>1725</v>
      </c>
      <c r="F127" s="84" t="s">
        <v>452</v>
      </c>
      <c r="G127" s="64">
        <v>2013</v>
      </c>
      <c r="H127" s="93">
        <v>540638.39</v>
      </c>
      <c r="I127" s="64">
        <v>1</v>
      </c>
      <c r="J127" s="92">
        <f>I127*H127</f>
        <v>540638.39</v>
      </c>
      <c r="K127" s="92">
        <v>102721.2941</v>
      </c>
      <c r="L127" s="64">
        <v>5</v>
      </c>
      <c r="M127" s="120"/>
    </row>
    <row r="128" spans="2:13" ht="33" x14ac:dyDescent="0.25">
      <c r="B128" s="119">
        <v>115</v>
      </c>
      <c r="C128" s="54" t="s">
        <v>1726</v>
      </c>
      <c r="D128" s="54" t="s">
        <v>1439</v>
      </c>
      <c r="E128" s="54" t="s">
        <v>1727</v>
      </c>
      <c r="F128" s="84" t="s">
        <v>452</v>
      </c>
      <c r="G128" s="64">
        <v>2013</v>
      </c>
      <c r="H128" s="93">
        <v>41535.379999999997</v>
      </c>
      <c r="I128" s="64">
        <v>3</v>
      </c>
      <c r="J128" s="92">
        <f>I128*H128</f>
        <v>124606.13999999998</v>
      </c>
      <c r="K128" s="92">
        <v>7891.7221999999992</v>
      </c>
      <c r="L128" s="64">
        <v>5</v>
      </c>
      <c r="M128" s="120"/>
    </row>
    <row r="129" spans="2:13" ht="33" x14ac:dyDescent="0.25">
      <c r="B129" s="119">
        <v>116</v>
      </c>
      <c r="C129" s="60" t="s">
        <v>1765</v>
      </c>
      <c r="D129" s="60" t="s">
        <v>1766</v>
      </c>
      <c r="E129" s="90" t="s">
        <v>1767</v>
      </c>
      <c r="F129" s="84" t="s">
        <v>453</v>
      </c>
      <c r="G129" s="64">
        <v>2013</v>
      </c>
      <c r="H129" s="96">
        <v>10977.3</v>
      </c>
      <c r="I129" s="64">
        <v>1</v>
      </c>
      <c r="J129" s="96">
        <v>10977.3</v>
      </c>
      <c r="K129" s="92">
        <v>1042.8434999999999</v>
      </c>
      <c r="L129" s="97">
        <v>10</v>
      </c>
      <c r="M129" s="120"/>
    </row>
    <row r="130" spans="2:13" ht="48" x14ac:dyDescent="0.25">
      <c r="B130" s="119">
        <v>117</v>
      </c>
      <c r="C130" s="60" t="s">
        <v>1775</v>
      </c>
      <c r="D130" s="60" t="s">
        <v>1463</v>
      </c>
      <c r="E130" s="90" t="s">
        <v>1776</v>
      </c>
      <c r="F130" s="84" t="s">
        <v>453</v>
      </c>
      <c r="G130" s="64">
        <v>2013</v>
      </c>
      <c r="H130" s="96">
        <v>25000</v>
      </c>
      <c r="I130" s="64">
        <v>1</v>
      </c>
      <c r="J130" s="96">
        <v>25000</v>
      </c>
      <c r="K130" s="92">
        <v>2375</v>
      </c>
      <c r="L130" s="97">
        <v>10</v>
      </c>
      <c r="M130" s="120"/>
    </row>
    <row r="131" spans="2:13" ht="36" x14ac:dyDescent="0.25">
      <c r="B131" s="119">
        <v>118</v>
      </c>
      <c r="C131" s="54" t="s">
        <v>1807</v>
      </c>
      <c r="D131" s="54" t="s">
        <v>1439</v>
      </c>
      <c r="E131" s="54" t="s">
        <v>1808</v>
      </c>
      <c r="F131" s="84" t="s">
        <v>454</v>
      </c>
      <c r="G131" s="64">
        <v>2013</v>
      </c>
      <c r="H131" s="93">
        <v>17495</v>
      </c>
      <c r="I131" s="64">
        <v>1</v>
      </c>
      <c r="J131" s="92">
        <f>I131*H131</f>
        <v>17495</v>
      </c>
      <c r="K131" s="92">
        <v>3324.05</v>
      </c>
      <c r="L131" s="64">
        <v>5</v>
      </c>
      <c r="M131" s="120"/>
    </row>
    <row r="132" spans="2:13" ht="36" x14ac:dyDescent="0.25">
      <c r="B132" s="119">
        <v>119</v>
      </c>
      <c r="C132" s="54" t="s">
        <v>1824</v>
      </c>
      <c r="D132" s="54" t="s">
        <v>1472</v>
      </c>
      <c r="E132" s="54" t="s">
        <v>1473</v>
      </c>
      <c r="F132" s="84" t="s">
        <v>445</v>
      </c>
      <c r="G132" s="64">
        <v>2013</v>
      </c>
      <c r="H132" s="86">
        <v>85760</v>
      </c>
      <c r="I132" s="66">
        <v>1</v>
      </c>
      <c r="J132" s="92">
        <f>H132*I132</f>
        <v>85760</v>
      </c>
      <c r="K132" s="92">
        <v>16294.4</v>
      </c>
      <c r="L132" s="64">
        <v>5</v>
      </c>
      <c r="M132" s="120"/>
    </row>
    <row r="133" spans="2:13" ht="33" x14ac:dyDescent="0.25">
      <c r="B133" s="119">
        <v>120</v>
      </c>
      <c r="C133" s="54" t="s">
        <v>1825</v>
      </c>
      <c r="D133" s="54" t="s">
        <v>1534</v>
      </c>
      <c r="E133" s="56" t="s">
        <v>1826</v>
      </c>
      <c r="F133" s="84" t="s">
        <v>445</v>
      </c>
      <c r="G133" s="64">
        <v>2013</v>
      </c>
      <c r="H133" s="86">
        <v>13300</v>
      </c>
      <c r="I133" s="66">
        <v>1</v>
      </c>
      <c r="J133" s="92">
        <f>H133*I133</f>
        <v>13300</v>
      </c>
      <c r="K133" s="92">
        <v>2527</v>
      </c>
      <c r="L133" s="64">
        <v>5</v>
      </c>
      <c r="M133" s="120"/>
    </row>
    <row r="134" spans="2:13" ht="72" x14ac:dyDescent="0.25">
      <c r="B134" s="119">
        <v>121</v>
      </c>
      <c r="C134" s="54" t="s">
        <v>1851</v>
      </c>
      <c r="D134" s="54" t="s">
        <v>1439</v>
      </c>
      <c r="E134" s="54" t="s">
        <v>1448</v>
      </c>
      <c r="F134" s="84" t="s">
        <v>456</v>
      </c>
      <c r="G134" s="64">
        <v>2013</v>
      </c>
      <c r="H134" s="93">
        <v>17495</v>
      </c>
      <c r="I134" s="64">
        <v>1</v>
      </c>
      <c r="J134" s="92">
        <f>I134*H134</f>
        <v>17495</v>
      </c>
      <c r="K134" s="92">
        <v>3324.05</v>
      </c>
      <c r="L134" s="64">
        <v>5</v>
      </c>
      <c r="M134" s="120"/>
    </row>
    <row r="135" spans="2:13" ht="36" x14ac:dyDescent="0.25">
      <c r="B135" s="119">
        <v>122</v>
      </c>
      <c r="C135" s="60" t="s">
        <v>1863</v>
      </c>
      <c r="D135" s="60" t="s">
        <v>1864</v>
      </c>
      <c r="E135" s="90" t="s">
        <v>1865</v>
      </c>
      <c r="F135" s="84" t="s">
        <v>458</v>
      </c>
      <c r="G135" s="66">
        <v>2013</v>
      </c>
      <c r="H135" s="98">
        <v>21250</v>
      </c>
      <c r="I135" s="66">
        <v>1</v>
      </c>
      <c r="J135" s="98">
        <v>21250</v>
      </c>
      <c r="K135" s="92">
        <v>2018.75</v>
      </c>
      <c r="L135" s="97">
        <v>10</v>
      </c>
      <c r="M135" s="120"/>
    </row>
    <row r="136" spans="2:13" ht="36" x14ac:dyDescent="0.25">
      <c r="B136" s="119">
        <v>123</v>
      </c>
      <c r="C136" s="54" t="s">
        <v>1885</v>
      </c>
      <c r="D136" s="54" t="s">
        <v>1439</v>
      </c>
      <c r="E136" s="54" t="s">
        <v>1808</v>
      </c>
      <c r="F136" s="84" t="s">
        <v>460</v>
      </c>
      <c r="G136" s="64">
        <v>2013</v>
      </c>
      <c r="H136" s="93">
        <v>17495</v>
      </c>
      <c r="I136" s="64">
        <v>1</v>
      </c>
      <c r="J136" s="92">
        <f>I136*H136</f>
        <v>17495</v>
      </c>
      <c r="K136" s="92">
        <v>3324.05</v>
      </c>
      <c r="L136" s="64">
        <v>5</v>
      </c>
      <c r="M136" s="120"/>
    </row>
    <row r="137" spans="2:13" ht="33" x14ac:dyDescent="0.25">
      <c r="B137" s="119">
        <v>124</v>
      </c>
      <c r="C137" s="54" t="s">
        <v>1886</v>
      </c>
      <c r="D137" s="54" t="s">
        <v>1531</v>
      </c>
      <c r="E137" s="54" t="s">
        <v>1887</v>
      </c>
      <c r="F137" s="84" t="s">
        <v>460</v>
      </c>
      <c r="G137" s="64">
        <v>2013</v>
      </c>
      <c r="H137" s="93">
        <v>41535.58</v>
      </c>
      <c r="I137" s="64">
        <v>1</v>
      </c>
      <c r="J137" s="92">
        <f>I137*H137</f>
        <v>41535.58</v>
      </c>
      <c r="K137" s="92">
        <v>7891.7601999999997</v>
      </c>
      <c r="L137" s="64">
        <v>5</v>
      </c>
      <c r="M137" s="120"/>
    </row>
    <row r="138" spans="2:13" ht="36" x14ac:dyDescent="0.25">
      <c r="B138" s="119">
        <v>125</v>
      </c>
      <c r="C138" s="60" t="s">
        <v>1891</v>
      </c>
      <c r="D138" s="60" t="s">
        <v>1892</v>
      </c>
      <c r="E138" s="90" t="s">
        <v>1893</v>
      </c>
      <c r="F138" s="84" t="s">
        <v>460</v>
      </c>
      <c r="G138" s="64">
        <v>2013</v>
      </c>
      <c r="H138" s="96">
        <v>23500</v>
      </c>
      <c r="I138" s="64">
        <v>2</v>
      </c>
      <c r="J138" s="96">
        <v>23500</v>
      </c>
      <c r="K138" s="92">
        <v>2232.5</v>
      </c>
      <c r="L138" s="97">
        <v>10</v>
      </c>
      <c r="M138" s="120"/>
    </row>
    <row r="139" spans="2:13" ht="36" x14ac:dyDescent="0.25">
      <c r="B139" s="119">
        <v>126</v>
      </c>
      <c r="C139" s="60" t="s">
        <v>1896</v>
      </c>
      <c r="D139" s="60" t="s">
        <v>1864</v>
      </c>
      <c r="E139" s="90" t="s">
        <v>1865</v>
      </c>
      <c r="F139" s="84" t="s">
        <v>460</v>
      </c>
      <c r="G139" s="66">
        <v>2013</v>
      </c>
      <c r="H139" s="98">
        <v>21250</v>
      </c>
      <c r="I139" s="66">
        <v>1</v>
      </c>
      <c r="J139" s="98">
        <v>21250</v>
      </c>
      <c r="K139" s="92">
        <v>2018.75</v>
      </c>
      <c r="L139" s="97">
        <v>10</v>
      </c>
      <c r="M139" s="120"/>
    </row>
    <row r="140" spans="2:13" ht="33" x14ac:dyDescent="0.25">
      <c r="B140" s="119">
        <v>127</v>
      </c>
      <c r="C140" s="54" t="s">
        <v>1908</v>
      </c>
      <c r="D140" s="56" t="s">
        <v>1466</v>
      </c>
      <c r="E140" s="56" t="s">
        <v>1909</v>
      </c>
      <c r="F140" s="84" t="s">
        <v>461</v>
      </c>
      <c r="G140" s="64">
        <v>2013</v>
      </c>
      <c r="H140" s="86">
        <v>14900</v>
      </c>
      <c r="I140" s="66">
        <v>1</v>
      </c>
      <c r="J140" s="92">
        <f>H140*I140</f>
        <v>14900</v>
      </c>
      <c r="K140" s="92">
        <v>2831</v>
      </c>
      <c r="L140" s="64">
        <v>5</v>
      </c>
      <c r="M140" s="120"/>
    </row>
    <row r="141" spans="2:13" ht="72" x14ac:dyDescent="0.25">
      <c r="B141" s="119">
        <v>128</v>
      </c>
      <c r="C141" s="54" t="s">
        <v>1916</v>
      </c>
      <c r="D141" s="54" t="s">
        <v>1439</v>
      </c>
      <c r="E141" s="54" t="s">
        <v>1448</v>
      </c>
      <c r="F141" s="84" t="s">
        <v>461</v>
      </c>
      <c r="G141" s="64">
        <v>2013</v>
      </c>
      <c r="H141" s="93">
        <v>17495</v>
      </c>
      <c r="I141" s="64">
        <v>1</v>
      </c>
      <c r="J141" s="92">
        <f t="shared" ref="J141:J151" si="3">I141*H141</f>
        <v>17495</v>
      </c>
      <c r="K141" s="92">
        <v>3324.05</v>
      </c>
      <c r="L141" s="64">
        <v>5</v>
      </c>
      <c r="M141" s="120"/>
    </row>
    <row r="142" spans="2:13" ht="156" x14ac:dyDescent="0.25">
      <c r="B142" s="119">
        <v>129</v>
      </c>
      <c r="C142" s="54" t="s">
        <v>1919</v>
      </c>
      <c r="D142" s="56" t="s">
        <v>1436</v>
      </c>
      <c r="E142" s="56" t="s">
        <v>1920</v>
      </c>
      <c r="F142" s="84" t="s">
        <v>461</v>
      </c>
      <c r="G142" s="64">
        <v>2013</v>
      </c>
      <c r="H142" s="93">
        <v>23317</v>
      </c>
      <c r="I142" s="94">
        <v>1</v>
      </c>
      <c r="J142" s="92">
        <f t="shared" si="3"/>
        <v>23317</v>
      </c>
      <c r="K142" s="92">
        <v>4430.2299999999996</v>
      </c>
      <c r="L142" s="64">
        <v>5</v>
      </c>
      <c r="M142" s="120"/>
    </row>
    <row r="143" spans="2:13" ht="33" x14ac:dyDescent="0.25">
      <c r="B143" s="119">
        <v>130</v>
      </c>
      <c r="C143" s="54" t="s">
        <v>1923</v>
      </c>
      <c r="D143" s="54" t="s">
        <v>1439</v>
      </c>
      <c r="E143" s="54" t="s">
        <v>1924</v>
      </c>
      <c r="F143" s="84" t="s">
        <v>461</v>
      </c>
      <c r="G143" s="64">
        <v>2013</v>
      </c>
      <c r="H143" s="93">
        <v>19000</v>
      </c>
      <c r="I143" s="64">
        <v>1</v>
      </c>
      <c r="J143" s="92">
        <f t="shared" si="3"/>
        <v>19000</v>
      </c>
      <c r="K143" s="92">
        <v>3610</v>
      </c>
      <c r="L143" s="64">
        <v>5</v>
      </c>
      <c r="M143" s="120"/>
    </row>
    <row r="144" spans="2:13" ht="60" x14ac:dyDescent="0.25">
      <c r="B144" s="119">
        <v>131</v>
      </c>
      <c r="C144" s="54" t="s">
        <v>1925</v>
      </c>
      <c r="D144" s="54" t="s">
        <v>1439</v>
      </c>
      <c r="E144" s="54" t="s">
        <v>1926</v>
      </c>
      <c r="F144" s="84" t="s">
        <v>461</v>
      </c>
      <c r="G144" s="64">
        <v>2013</v>
      </c>
      <c r="H144" s="93">
        <v>10200</v>
      </c>
      <c r="I144" s="64">
        <v>1</v>
      </c>
      <c r="J144" s="92">
        <f t="shared" si="3"/>
        <v>10200</v>
      </c>
      <c r="K144" s="92">
        <v>1938</v>
      </c>
      <c r="L144" s="64">
        <v>5</v>
      </c>
      <c r="M144" s="120"/>
    </row>
    <row r="145" spans="2:13" ht="84" x14ac:dyDescent="0.25">
      <c r="B145" s="119">
        <v>132</v>
      </c>
      <c r="C145" s="54" t="s">
        <v>1927</v>
      </c>
      <c r="D145" s="54" t="s">
        <v>1439</v>
      </c>
      <c r="E145" s="54" t="s">
        <v>1928</v>
      </c>
      <c r="F145" s="84" t="s">
        <v>461</v>
      </c>
      <c r="G145" s="64">
        <v>2013</v>
      </c>
      <c r="H145" s="93">
        <v>17495</v>
      </c>
      <c r="I145" s="64">
        <v>1</v>
      </c>
      <c r="J145" s="92">
        <f t="shared" si="3"/>
        <v>17495</v>
      </c>
      <c r="K145" s="92">
        <v>3324.05</v>
      </c>
      <c r="L145" s="64">
        <v>5</v>
      </c>
      <c r="M145" s="120"/>
    </row>
    <row r="146" spans="2:13" ht="72" x14ac:dyDescent="0.25">
      <c r="B146" s="119">
        <v>133</v>
      </c>
      <c r="C146" s="54" t="s">
        <v>1932</v>
      </c>
      <c r="D146" s="54" t="s">
        <v>1439</v>
      </c>
      <c r="E146" s="54" t="s">
        <v>1448</v>
      </c>
      <c r="F146" s="84" t="s">
        <v>462</v>
      </c>
      <c r="G146" s="64">
        <v>2013</v>
      </c>
      <c r="H146" s="93">
        <v>17495</v>
      </c>
      <c r="I146" s="64">
        <v>1</v>
      </c>
      <c r="J146" s="92">
        <f t="shared" si="3"/>
        <v>17495</v>
      </c>
      <c r="K146" s="92">
        <v>3324.05</v>
      </c>
      <c r="L146" s="64">
        <v>5</v>
      </c>
      <c r="M146" s="120"/>
    </row>
    <row r="147" spans="2:13" ht="72" x14ac:dyDescent="0.25">
      <c r="B147" s="119">
        <v>134</v>
      </c>
      <c r="C147" s="54" t="s">
        <v>1944</v>
      </c>
      <c r="D147" s="54" t="s">
        <v>1439</v>
      </c>
      <c r="E147" s="54" t="s">
        <v>1448</v>
      </c>
      <c r="F147" s="84" t="s">
        <v>440</v>
      </c>
      <c r="G147" s="64">
        <v>2013</v>
      </c>
      <c r="H147" s="93">
        <v>17495</v>
      </c>
      <c r="I147" s="64">
        <v>2</v>
      </c>
      <c r="J147" s="92">
        <f t="shared" si="3"/>
        <v>34990</v>
      </c>
      <c r="K147" s="92">
        <v>3324.05</v>
      </c>
      <c r="L147" s="64">
        <v>5</v>
      </c>
      <c r="M147" s="120"/>
    </row>
    <row r="148" spans="2:13" ht="72" x14ac:dyDescent="0.25">
      <c r="B148" s="119">
        <v>135</v>
      </c>
      <c r="C148" s="89" t="s">
        <v>1950</v>
      </c>
      <c r="D148" s="54" t="s">
        <v>1436</v>
      </c>
      <c r="E148" s="54" t="s">
        <v>1437</v>
      </c>
      <c r="F148" s="84" t="s">
        <v>440</v>
      </c>
      <c r="G148" s="64">
        <v>2013</v>
      </c>
      <c r="H148" s="93">
        <v>28470</v>
      </c>
      <c r="I148" s="94">
        <v>1</v>
      </c>
      <c r="J148" s="92">
        <f t="shared" si="3"/>
        <v>28470</v>
      </c>
      <c r="K148" s="92">
        <v>5409.3</v>
      </c>
      <c r="L148" s="64">
        <v>5</v>
      </c>
      <c r="M148" s="120"/>
    </row>
    <row r="149" spans="2:13" ht="36" x14ac:dyDescent="0.25">
      <c r="B149" s="119">
        <v>136</v>
      </c>
      <c r="C149" s="54" t="s">
        <v>1951</v>
      </c>
      <c r="D149" s="54" t="s">
        <v>1439</v>
      </c>
      <c r="E149" s="54" t="s">
        <v>1952</v>
      </c>
      <c r="F149" s="84" t="s">
        <v>463</v>
      </c>
      <c r="G149" s="64">
        <v>2013</v>
      </c>
      <c r="H149" s="93">
        <v>40000</v>
      </c>
      <c r="I149" s="64">
        <v>1</v>
      </c>
      <c r="J149" s="92">
        <f t="shared" si="3"/>
        <v>40000</v>
      </c>
      <c r="K149" s="92">
        <v>7600</v>
      </c>
      <c r="L149" s="64">
        <v>5</v>
      </c>
      <c r="M149" s="120"/>
    </row>
    <row r="150" spans="2:13" ht="33" x14ac:dyDescent="0.25">
      <c r="B150" s="119">
        <v>137</v>
      </c>
      <c r="C150" s="54" t="s">
        <v>1953</v>
      </c>
      <c r="D150" s="54"/>
      <c r="E150" s="54" t="s">
        <v>1954</v>
      </c>
      <c r="F150" s="84" t="s">
        <v>463</v>
      </c>
      <c r="G150" s="64">
        <v>2013</v>
      </c>
      <c r="H150" s="93">
        <v>0</v>
      </c>
      <c r="I150" s="64">
        <v>0</v>
      </c>
      <c r="J150" s="92">
        <f t="shared" si="3"/>
        <v>0</v>
      </c>
      <c r="K150" s="92">
        <v>0</v>
      </c>
      <c r="L150" s="64">
        <v>5</v>
      </c>
      <c r="M150" s="120"/>
    </row>
    <row r="151" spans="2:13" ht="48" x14ac:dyDescent="0.25">
      <c r="B151" s="119">
        <v>138</v>
      </c>
      <c r="C151" s="54" t="s">
        <v>1964</v>
      </c>
      <c r="D151" s="54" t="s">
        <v>1439</v>
      </c>
      <c r="E151" s="54" t="s">
        <v>1965</v>
      </c>
      <c r="F151" s="84" t="s">
        <v>464</v>
      </c>
      <c r="G151" s="64">
        <v>2013</v>
      </c>
      <c r="H151" s="93">
        <v>22490</v>
      </c>
      <c r="I151" s="94">
        <v>1</v>
      </c>
      <c r="J151" s="92">
        <f t="shared" si="3"/>
        <v>22490</v>
      </c>
      <c r="K151" s="92">
        <v>4273.1000000000004</v>
      </c>
      <c r="L151" s="64">
        <v>5</v>
      </c>
      <c r="M151" s="120"/>
    </row>
    <row r="152" spans="2:13" ht="24" x14ac:dyDescent="0.25">
      <c r="B152" s="119">
        <v>139</v>
      </c>
      <c r="C152" s="60" t="s">
        <v>1966</v>
      </c>
      <c r="D152" s="60" t="s">
        <v>1818</v>
      </c>
      <c r="E152" s="90" t="s">
        <v>1967</v>
      </c>
      <c r="F152" s="84" t="s">
        <v>464</v>
      </c>
      <c r="G152" s="64">
        <v>2013</v>
      </c>
      <c r="H152" s="96">
        <v>24450</v>
      </c>
      <c r="I152" s="64">
        <v>1</v>
      </c>
      <c r="J152" s="96">
        <v>24450</v>
      </c>
      <c r="K152" s="92">
        <v>2322.75</v>
      </c>
      <c r="L152" s="97">
        <v>10</v>
      </c>
      <c r="M152" s="120"/>
    </row>
    <row r="153" spans="2:13" ht="60" x14ac:dyDescent="0.25">
      <c r="B153" s="119">
        <v>140</v>
      </c>
      <c r="C153" s="54" t="s">
        <v>1454</v>
      </c>
      <c r="D153" s="54" t="s">
        <v>1455</v>
      </c>
      <c r="E153" s="54" t="s">
        <v>1456</v>
      </c>
      <c r="F153" s="84" t="s">
        <v>439</v>
      </c>
      <c r="G153" s="64">
        <v>2014</v>
      </c>
      <c r="H153" s="93">
        <v>36990</v>
      </c>
      <c r="I153" s="64">
        <v>1</v>
      </c>
      <c r="J153" s="92">
        <f>I153*H153</f>
        <v>36990</v>
      </c>
      <c r="K153" s="92">
        <v>7028.1</v>
      </c>
      <c r="L153" s="64">
        <v>5</v>
      </c>
      <c r="M153" s="120"/>
    </row>
    <row r="154" spans="2:13" ht="84" x14ac:dyDescent="0.25">
      <c r="B154" s="119">
        <v>141</v>
      </c>
      <c r="C154" s="54" t="s">
        <v>1498</v>
      </c>
      <c r="D154" s="54" t="s">
        <v>1455</v>
      </c>
      <c r="E154" s="54" t="s">
        <v>1499</v>
      </c>
      <c r="F154" s="84" t="s">
        <v>439</v>
      </c>
      <c r="G154" s="64">
        <v>2014</v>
      </c>
      <c r="H154" s="93">
        <v>36990</v>
      </c>
      <c r="I154" s="64">
        <v>1</v>
      </c>
      <c r="J154" s="92">
        <f>I154*H154</f>
        <v>36990</v>
      </c>
      <c r="K154" s="92">
        <v>7028.1</v>
      </c>
      <c r="L154" s="64">
        <v>5</v>
      </c>
      <c r="M154" s="120"/>
    </row>
    <row r="155" spans="2:13" ht="36" x14ac:dyDescent="0.25">
      <c r="B155" s="119">
        <v>142</v>
      </c>
      <c r="C155" s="54" t="s">
        <v>1508</v>
      </c>
      <c r="D155" s="54" t="s">
        <v>1509</v>
      </c>
      <c r="E155" s="54" t="s">
        <v>1510</v>
      </c>
      <c r="F155" s="84" t="s">
        <v>443</v>
      </c>
      <c r="G155" s="64">
        <v>2014</v>
      </c>
      <c r="H155" s="86">
        <v>198000</v>
      </c>
      <c r="I155" s="66">
        <v>2</v>
      </c>
      <c r="J155" s="92">
        <f>H155*I155</f>
        <v>396000</v>
      </c>
      <c r="K155" s="92">
        <v>37620</v>
      </c>
      <c r="L155" s="64">
        <v>5</v>
      </c>
      <c r="M155" s="120"/>
    </row>
    <row r="156" spans="2:13" ht="60" x14ac:dyDescent="0.25">
      <c r="B156" s="119">
        <v>143</v>
      </c>
      <c r="C156" s="54" t="s">
        <v>1520</v>
      </c>
      <c r="D156" s="54" t="s">
        <v>1455</v>
      </c>
      <c r="E156" s="54" t="s">
        <v>1456</v>
      </c>
      <c r="F156" s="84" t="s">
        <v>443</v>
      </c>
      <c r="G156" s="64">
        <v>2014</v>
      </c>
      <c r="H156" s="93">
        <v>36990</v>
      </c>
      <c r="I156" s="64">
        <v>1</v>
      </c>
      <c r="J156" s="92">
        <f>I156*H156</f>
        <v>36990</v>
      </c>
      <c r="K156" s="92">
        <v>7028.1</v>
      </c>
      <c r="L156" s="64">
        <v>5</v>
      </c>
      <c r="M156" s="120"/>
    </row>
    <row r="157" spans="2:13" ht="33" x14ac:dyDescent="0.25">
      <c r="B157" s="119">
        <v>144</v>
      </c>
      <c r="C157" s="54" t="s">
        <v>1526</v>
      </c>
      <c r="D157" s="54" t="s">
        <v>1466</v>
      </c>
      <c r="E157" s="54" t="s">
        <v>1527</v>
      </c>
      <c r="F157" s="84" t="s">
        <v>442</v>
      </c>
      <c r="G157" s="64">
        <v>2014</v>
      </c>
      <c r="H157" s="86">
        <v>19201</v>
      </c>
      <c r="I157" s="66">
        <v>1</v>
      </c>
      <c r="J157" s="92">
        <f>H157*I157</f>
        <v>19201</v>
      </c>
      <c r="K157" s="92">
        <v>3648.19</v>
      </c>
      <c r="L157" s="64">
        <v>5</v>
      </c>
      <c r="M157" s="120"/>
    </row>
    <row r="158" spans="2:13" ht="33" x14ac:dyDescent="0.25">
      <c r="B158" s="119">
        <v>145</v>
      </c>
      <c r="C158" s="54" t="s">
        <v>1559</v>
      </c>
      <c r="D158" s="54" t="s">
        <v>1560</v>
      </c>
      <c r="E158" s="54" t="s">
        <v>1561</v>
      </c>
      <c r="F158" s="84" t="s">
        <v>445</v>
      </c>
      <c r="G158" s="64">
        <v>2014</v>
      </c>
      <c r="H158" s="93">
        <v>45000</v>
      </c>
      <c r="I158" s="64">
        <v>1</v>
      </c>
      <c r="J158" s="92">
        <f>I158*H158</f>
        <v>45000</v>
      </c>
      <c r="K158" s="92">
        <v>8550</v>
      </c>
      <c r="L158" s="64">
        <v>5</v>
      </c>
      <c r="M158" s="120"/>
    </row>
    <row r="159" spans="2:13" ht="60" x14ac:dyDescent="0.25">
      <c r="B159" s="119">
        <v>146</v>
      </c>
      <c r="C159" s="54" t="s">
        <v>1562</v>
      </c>
      <c r="D159" s="54" t="s">
        <v>1455</v>
      </c>
      <c r="E159" s="54" t="s">
        <v>1456</v>
      </c>
      <c r="F159" s="84" t="s">
        <v>445</v>
      </c>
      <c r="G159" s="64">
        <v>2014</v>
      </c>
      <c r="H159" s="93">
        <v>36990</v>
      </c>
      <c r="I159" s="64">
        <v>1</v>
      </c>
      <c r="J159" s="92">
        <f>I159*H159</f>
        <v>36990</v>
      </c>
      <c r="K159" s="92">
        <v>7028.1</v>
      </c>
      <c r="L159" s="64">
        <v>5</v>
      </c>
      <c r="M159" s="120"/>
    </row>
    <row r="160" spans="2:13" ht="144" x14ac:dyDescent="0.25">
      <c r="B160" s="119">
        <v>147</v>
      </c>
      <c r="C160" s="54" t="s">
        <v>1577</v>
      </c>
      <c r="D160" s="54" t="s">
        <v>1531</v>
      </c>
      <c r="E160" s="54" t="s">
        <v>1578</v>
      </c>
      <c r="F160" s="84" t="s">
        <v>449</v>
      </c>
      <c r="G160" s="64">
        <v>2014</v>
      </c>
      <c r="H160" s="93">
        <v>38400</v>
      </c>
      <c r="I160" s="64">
        <v>1</v>
      </c>
      <c r="J160" s="92">
        <f>I160*H160</f>
        <v>38400</v>
      </c>
      <c r="K160" s="92">
        <v>7296</v>
      </c>
      <c r="L160" s="64">
        <v>5</v>
      </c>
      <c r="M160" s="120"/>
    </row>
    <row r="161" spans="2:13" ht="132" x14ac:dyDescent="0.25">
      <c r="B161" s="119">
        <v>148</v>
      </c>
      <c r="C161" s="54" t="s">
        <v>1584</v>
      </c>
      <c r="D161" s="56" t="s">
        <v>1436</v>
      </c>
      <c r="E161" s="56" t="s">
        <v>1585</v>
      </c>
      <c r="F161" s="84" t="s">
        <v>449</v>
      </c>
      <c r="G161" s="64">
        <v>2014</v>
      </c>
      <c r="H161" s="93">
        <v>23317</v>
      </c>
      <c r="I161" s="94">
        <v>1</v>
      </c>
      <c r="J161" s="92">
        <f>I161*H161</f>
        <v>23317</v>
      </c>
      <c r="K161" s="92">
        <v>4430.2299999999996</v>
      </c>
      <c r="L161" s="64">
        <v>5</v>
      </c>
      <c r="M161" s="120"/>
    </row>
    <row r="162" spans="2:13" ht="36" x14ac:dyDescent="0.25">
      <c r="B162" s="119">
        <v>149</v>
      </c>
      <c r="C162" s="60" t="s">
        <v>1586</v>
      </c>
      <c r="D162" s="60" t="s">
        <v>1587</v>
      </c>
      <c r="E162" s="90" t="s">
        <v>1588</v>
      </c>
      <c r="F162" s="84" t="s">
        <v>449</v>
      </c>
      <c r="G162" s="66">
        <v>2014</v>
      </c>
      <c r="H162" s="98">
        <v>7804000</v>
      </c>
      <c r="I162" s="66">
        <v>1</v>
      </c>
      <c r="J162" s="98">
        <v>7804000</v>
      </c>
      <c r="K162" s="92">
        <v>741380</v>
      </c>
      <c r="L162" s="97">
        <v>10</v>
      </c>
      <c r="M162" s="120"/>
    </row>
    <row r="163" spans="2:13" ht="24" x14ac:dyDescent="0.25">
      <c r="B163" s="119">
        <v>150</v>
      </c>
      <c r="C163" s="60" t="s">
        <v>1710</v>
      </c>
      <c r="D163" s="60" t="s">
        <v>1463</v>
      </c>
      <c r="E163" s="90" t="s">
        <v>1711</v>
      </c>
      <c r="F163" s="84" t="s">
        <v>440</v>
      </c>
      <c r="G163" s="64">
        <v>2014</v>
      </c>
      <c r="H163" s="96">
        <v>12299</v>
      </c>
      <c r="I163" s="64">
        <v>1</v>
      </c>
      <c r="J163" s="96">
        <v>12299</v>
      </c>
      <c r="K163" s="92">
        <v>1168.405</v>
      </c>
      <c r="L163" s="97">
        <v>10</v>
      </c>
      <c r="M163" s="120"/>
    </row>
    <row r="164" spans="2:13" ht="144" x14ac:dyDescent="0.25">
      <c r="B164" s="119">
        <v>151</v>
      </c>
      <c r="C164" s="54" t="s">
        <v>1728</v>
      </c>
      <c r="D164" s="54" t="s">
        <v>1531</v>
      </c>
      <c r="E164" s="54" t="s">
        <v>1729</v>
      </c>
      <c r="F164" s="84" t="s">
        <v>452</v>
      </c>
      <c r="G164" s="64">
        <v>2014</v>
      </c>
      <c r="H164" s="93">
        <v>38400</v>
      </c>
      <c r="I164" s="64">
        <v>1</v>
      </c>
      <c r="J164" s="92">
        <f>I164*H164</f>
        <v>38400</v>
      </c>
      <c r="K164" s="92">
        <v>7296</v>
      </c>
      <c r="L164" s="64">
        <v>5</v>
      </c>
      <c r="M164" s="120"/>
    </row>
    <row r="165" spans="2:13" ht="60" x14ac:dyDescent="0.25">
      <c r="B165" s="119">
        <v>152</v>
      </c>
      <c r="C165" s="54" t="s">
        <v>1734</v>
      </c>
      <c r="D165" s="54" t="s">
        <v>1455</v>
      </c>
      <c r="E165" s="54" t="s">
        <v>1456</v>
      </c>
      <c r="F165" s="84" t="s">
        <v>452</v>
      </c>
      <c r="G165" s="64">
        <v>2014</v>
      </c>
      <c r="H165" s="93">
        <v>36990</v>
      </c>
      <c r="I165" s="64">
        <v>1</v>
      </c>
      <c r="J165" s="92">
        <f>I165*H165</f>
        <v>36990</v>
      </c>
      <c r="K165" s="92">
        <v>7028.1</v>
      </c>
      <c r="L165" s="64">
        <v>5</v>
      </c>
      <c r="M165" s="120"/>
    </row>
    <row r="166" spans="2:13" ht="132" x14ac:dyDescent="0.25">
      <c r="B166" s="119">
        <v>153</v>
      </c>
      <c r="C166" s="54" t="s">
        <v>1759</v>
      </c>
      <c r="D166" s="56" t="s">
        <v>1436</v>
      </c>
      <c r="E166" s="56" t="s">
        <v>1585</v>
      </c>
      <c r="F166" s="84" t="s">
        <v>453</v>
      </c>
      <c r="G166" s="64">
        <v>2014</v>
      </c>
      <c r="H166" s="93">
        <v>23317</v>
      </c>
      <c r="I166" s="94">
        <v>1</v>
      </c>
      <c r="J166" s="92">
        <f>I166*H166</f>
        <v>23317</v>
      </c>
      <c r="K166" s="92">
        <v>4430.2299999999996</v>
      </c>
      <c r="L166" s="64">
        <v>5</v>
      </c>
      <c r="M166" s="120"/>
    </row>
    <row r="167" spans="2:13" ht="36" x14ac:dyDescent="0.25">
      <c r="B167" s="119">
        <v>154</v>
      </c>
      <c r="C167" s="60" t="s">
        <v>1784</v>
      </c>
      <c r="D167" s="60" t="s">
        <v>1785</v>
      </c>
      <c r="E167" s="90" t="s">
        <v>1786</v>
      </c>
      <c r="F167" s="84" t="s">
        <v>454</v>
      </c>
      <c r="G167" s="64">
        <v>2014</v>
      </c>
      <c r="H167" s="96">
        <v>33595</v>
      </c>
      <c r="I167" s="64">
        <v>1</v>
      </c>
      <c r="J167" s="96">
        <v>33595</v>
      </c>
      <c r="K167" s="92">
        <v>3191.5250000000001</v>
      </c>
      <c r="L167" s="97">
        <v>10</v>
      </c>
      <c r="M167" s="120"/>
    </row>
    <row r="168" spans="2:13" ht="36" x14ac:dyDescent="0.25">
      <c r="B168" s="119">
        <v>155</v>
      </c>
      <c r="C168" s="60" t="s">
        <v>1787</v>
      </c>
      <c r="D168" s="60" t="s">
        <v>1788</v>
      </c>
      <c r="E168" s="90" t="s">
        <v>1789</v>
      </c>
      <c r="F168" s="84" t="s">
        <v>454</v>
      </c>
      <c r="G168" s="64">
        <v>2014</v>
      </c>
      <c r="H168" s="96">
        <v>38395</v>
      </c>
      <c r="I168" s="64">
        <v>1</v>
      </c>
      <c r="J168" s="96">
        <v>38395</v>
      </c>
      <c r="K168" s="92">
        <v>3647.5250000000001</v>
      </c>
      <c r="L168" s="97">
        <v>10</v>
      </c>
      <c r="M168" s="120"/>
    </row>
    <row r="169" spans="2:13" ht="33" x14ac:dyDescent="0.25">
      <c r="B169" s="119">
        <v>156</v>
      </c>
      <c r="C169" s="60" t="s">
        <v>1718</v>
      </c>
      <c r="D169" s="60" t="s">
        <v>1812</v>
      </c>
      <c r="E169" s="90" t="s">
        <v>1813</v>
      </c>
      <c r="F169" s="84" t="s">
        <v>454</v>
      </c>
      <c r="G169" s="64">
        <v>2014</v>
      </c>
      <c r="H169" s="96">
        <v>40000</v>
      </c>
      <c r="I169" s="64">
        <v>1</v>
      </c>
      <c r="J169" s="96">
        <v>40000</v>
      </c>
      <c r="K169" s="92">
        <v>3800</v>
      </c>
      <c r="L169" s="97">
        <v>10</v>
      </c>
      <c r="M169" s="120"/>
    </row>
    <row r="170" spans="2:13" ht="132" x14ac:dyDescent="0.25">
      <c r="B170" s="119">
        <v>157</v>
      </c>
      <c r="C170" s="54" t="s">
        <v>1852</v>
      </c>
      <c r="D170" s="56" t="s">
        <v>1436</v>
      </c>
      <c r="E170" s="56" t="s">
        <v>1853</v>
      </c>
      <c r="F170" s="84" t="s">
        <v>456</v>
      </c>
      <c r="G170" s="64">
        <v>2014</v>
      </c>
      <c r="H170" s="93">
        <v>23317</v>
      </c>
      <c r="I170" s="94">
        <v>1</v>
      </c>
      <c r="J170" s="92">
        <f>I170*H170</f>
        <v>23317</v>
      </c>
      <c r="K170" s="92">
        <v>4430.2299999999996</v>
      </c>
      <c r="L170" s="64">
        <v>5</v>
      </c>
      <c r="M170" s="120"/>
    </row>
    <row r="171" spans="2:13" ht="60" x14ac:dyDescent="0.25">
      <c r="B171" s="119">
        <v>158</v>
      </c>
      <c r="C171" s="54" t="s">
        <v>1855</v>
      </c>
      <c r="D171" s="54" t="s">
        <v>1455</v>
      </c>
      <c r="E171" s="54" t="s">
        <v>1456</v>
      </c>
      <c r="F171" s="84" t="s">
        <v>456</v>
      </c>
      <c r="G171" s="64">
        <v>2014</v>
      </c>
      <c r="H171" s="93">
        <v>36990</v>
      </c>
      <c r="I171" s="64">
        <v>1</v>
      </c>
      <c r="J171" s="92">
        <f>I171*H171</f>
        <v>36990</v>
      </c>
      <c r="K171" s="92">
        <v>7028.1</v>
      </c>
      <c r="L171" s="64">
        <v>5</v>
      </c>
      <c r="M171" s="120"/>
    </row>
    <row r="172" spans="2:13" ht="36" x14ac:dyDescent="0.25">
      <c r="B172" s="119">
        <v>159</v>
      </c>
      <c r="C172" s="60" t="s">
        <v>1857</v>
      </c>
      <c r="D172" s="60" t="s">
        <v>792</v>
      </c>
      <c r="E172" s="90" t="s">
        <v>1858</v>
      </c>
      <c r="F172" s="84" t="s">
        <v>457</v>
      </c>
      <c r="G172" s="66">
        <v>2014</v>
      </c>
      <c r="H172" s="98">
        <v>19779</v>
      </c>
      <c r="I172" s="66">
        <v>45</v>
      </c>
      <c r="J172" s="98">
        <v>19779</v>
      </c>
      <c r="K172" s="92">
        <v>1879.0049999999999</v>
      </c>
      <c r="L172" s="97">
        <v>10</v>
      </c>
      <c r="M172" s="120"/>
    </row>
    <row r="173" spans="2:13" ht="132" x14ac:dyDescent="0.25">
      <c r="B173" s="119">
        <v>160</v>
      </c>
      <c r="C173" s="54" t="s">
        <v>1860</v>
      </c>
      <c r="D173" s="56" t="s">
        <v>1436</v>
      </c>
      <c r="E173" s="56" t="s">
        <v>1585</v>
      </c>
      <c r="F173" s="84" t="s">
        <v>458</v>
      </c>
      <c r="G173" s="64">
        <v>2014</v>
      </c>
      <c r="H173" s="93">
        <v>23317</v>
      </c>
      <c r="I173" s="94">
        <v>1</v>
      </c>
      <c r="J173" s="92">
        <f t="shared" ref="J173:J181" si="4">I173*H173</f>
        <v>23317</v>
      </c>
      <c r="K173" s="92">
        <v>4430.2299999999996</v>
      </c>
      <c r="L173" s="64">
        <v>5</v>
      </c>
      <c r="M173" s="120"/>
    </row>
    <row r="174" spans="2:13" ht="132" x14ac:dyDescent="0.25">
      <c r="B174" s="119">
        <v>161</v>
      </c>
      <c r="C174" s="54" t="s">
        <v>1862</v>
      </c>
      <c r="D174" s="56" t="s">
        <v>1436</v>
      </c>
      <c r="E174" s="56" t="s">
        <v>1585</v>
      </c>
      <c r="F174" s="84" t="s">
        <v>458</v>
      </c>
      <c r="G174" s="64">
        <v>2014</v>
      </c>
      <c r="H174" s="93">
        <v>23317</v>
      </c>
      <c r="I174" s="94">
        <v>1</v>
      </c>
      <c r="J174" s="92">
        <f t="shared" si="4"/>
        <v>23317</v>
      </c>
      <c r="K174" s="92">
        <v>4430.2299999999996</v>
      </c>
      <c r="L174" s="64">
        <v>5</v>
      </c>
      <c r="M174" s="120"/>
    </row>
    <row r="175" spans="2:13" ht="132" x14ac:dyDescent="0.25">
      <c r="B175" s="119">
        <v>162</v>
      </c>
      <c r="C175" s="54" t="s">
        <v>1931</v>
      </c>
      <c r="D175" s="56" t="s">
        <v>1436</v>
      </c>
      <c r="E175" s="56" t="s">
        <v>1585</v>
      </c>
      <c r="F175" s="84" t="s">
        <v>1432</v>
      </c>
      <c r="G175" s="64">
        <v>2014</v>
      </c>
      <c r="H175" s="93">
        <v>23317</v>
      </c>
      <c r="I175" s="94">
        <v>1</v>
      </c>
      <c r="J175" s="92">
        <f t="shared" si="4"/>
        <v>23317</v>
      </c>
      <c r="K175" s="92">
        <v>4430.2299999999996</v>
      </c>
      <c r="L175" s="64">
        <v>5</v>
      </c>
      <c r="M175" s="120"/>
    </row>
    <row r="176" spans="2:13" ht="33" x14ac:dyDescent="0.25">
      <c r="B176" s="119">
        <v>163</v>
      </c>
      <c r="C176" s="54" t="s">
        <v>1955</v>
      </c>
      <c r="D176" s="54"/>
      <c r="E176" s="54" t="s">
        <v>1956</v>
      </c>
      <c r="F176" s="84" t="s">
        <v>463</v>
      </c>
      <c r="G176" s="64">
        <v>2014</v>
      </c>
      <c r="H176" s="93">
        <v>0</v>
      </c>
      <c r="I176" s="64">
        <v>0</v>
      </c>
      <c r="J176" s="92">
        <f t="shared" si="4"/>
        <v>0</v>
      </c>
      <c r="K176" s="92">
        <v>0</v>
      </c>
      <c r="L176" s="64">
        <v>5</v>
      </c>
      <c r="M176" s="120"/>
    </row>
    <row r="177" spans="2:13" ht="132" x14ac:dyDescent="0.25">
      <c r="B177" s="119">
        <v>164</v>
      </c>
      <c r="C177" s="54" t="s">
        <v>1957</v>
      </c>
      <c r="D177" s="56" t="s">
        <v>1436</v>
      </c>
      <c r="E177" s="56" t="s">
        <v>1585</v>
      </c>
      <c r="F177" s="84" t="s">
        <v>463</v>
      </c>
      <c r="G177" s="64">
        <v>2014</v>
      </c>
      <c r="H177" s="93">
        <v>23317</v>
      </c>
      <c r="I177" s="94">
        <v>1</v>
      </c>
      <c r="J177" s="92">
        <f t="shared" si="4"/>
        <v>23317</v>
      </c>
      <c r="K177" s="92">
        <v>4430.2299999999996</v>
      </c>
      <c r="L177" s="64">
        <v>5</v>
      </c>
      <c r="M177" s="120"/>
    </row>
    <row r="178" spans="2:13" ht="48" x14ac:dyDescent="0.25">
      <c r="B178" s="119">
        <v>165</v>
      </c>
      <c r="C178" s="54" t="s">
        <v>1958</v>
      </c>
      <c r="D178" s="56" t="s">
        <v>1959</v>
      </c>
      <c r="E178" s="56" t="s">
        <v>1960</v>
      </c>
      <c r="F178" s="84" t="s">
        <v>463</v>
      </c>
      <c r="G178" s="64">
        <v>2014</v>
      </c>
      <c r="H178" s="93">
        <v>166300</v>
      </c>
      <c r="I178" s="94">
        <v>1</v>
      </c>
      <c r="J178" s="92">
        <f t="shared" si="4"/>
        <v>166300</v>
      </c>
      <c r="K178" s="92">
        <v>31597</v>
      </c>
      <c r="L178" s="64">
        <v>5</v>
      </c>
      <c r="M178" s="120"/>
    </row>
    <row r="179" spans="2:13" ht="72" x14ac:dyDescent="0.25">
      <c r="B179" s="119">
        <v>166</v>
      </c>
      <c r="C179" s="89" t="s">
        <v>1435</v>
      </c>
      <c r="D179" s="54" t="s">
        <v>1436</v>
      </c>
      <c r="E179" s="54" t="s">
        <v>1437</v>
      </c>
      <c r="F179" s="84" t="s">
        <v>439</v>
      </c>
      <c r="G179" s="64">
        <v>2015</v>
      </c>
      <c r="H179" s="93">
        <v>28470</v>
      </c>
      <c r="I179" s="94">
        <v>1</v>
      </c>
      <c r="J179" s="92">
        <f t="shared" si="4"/>
        <v>28470</v>
      </c>
      <c r="K179" s="92">
        <v>5409.3</v>
      </c>
      <c r="L179" s="64">
        <v>5</v>
      </c>
      <c r="M179" s="120"/>
    </row>
    <row r="180" spans="2:13" ht="96" x14ac:dyDescent="0.25">
      <c r="B180" s="119">
        <v>167</v>
      </c>
      <c r="C180" s="89" t="s">
        <v>1438</v>
      </c>
      <c r="D180" s="54" t="s">
        <v>1439</v>
      </c>
      <c r="E180" s="54" t="s">
        <v>1440</v>
      </c>
      <c r="F180" s="84" t="s">
        <v>439</v>
      </c>
      <c r="G180" s="64">
        <v>2015</v>
      </c>
      <c r="H180" s="93">
        <v>34495</v>
      </c>
      <c r="I180" s="94">
        <v>1</v>
      </c>
      <c r="J180" s="92">
        <f t="shared" si="4"/>
        <v>34495</v>
      </c>
      <c r="K180" s="92">
        <v>6554.05</v>
      </c>
      <c r="L180" s="64">
        <v>5</v>
      </c>
      <c r="M180" s="120"/>
    </row>
    <row r="181" spans="2:13" ht="108" x14ac:dyDescent="0.25">
      <c r="B181" s="119">
        <v>168</v>
      </c>
      <c r="C181" s="54" t="s">
        <v>1474</v>
      </c>
      <c r="D181" s="54" t="s">
        <v>1439</v>
      </c>
      <c r="E181" s="54" t="s">
        <v>1475</v>
      </c>
      <c r="F181" s="84" t="s">
        <v>442</v>
      </c>
      <c r="G181" s="64">
        <v>2015</v>
      </c>
      <c r="H181" s="93">
        <v>34495</v>
      </c>
      <c r="I181" s="64">
        <v>1</v>
      </c>
      <c r="J181" s="92">
        <f t="shared" si="4"/>
        <v>34495</v>
      </c>
      <c r="K181" s="92">
        <v>6554.05</v>
      </c>
      <c r="L181" s="64">
        <v>5</v>
      </c>
      <c r="M181" s="120"/>
    </row>
    <row r="182" spans="2:13" ht="72" x14ac:dyDescent="0.25">
      <c r="B182" s="119">
        <v>169</v>
      </c>
      <c r="C182" s="54" t="s">
        <v>1511</v>
      </c>
      <c r="D182" s="54" t="s">
        <v>1512</v>
      </c>
      <c r="E182" s="54" t="s">
        <v>1513</v>
      </c>
      <c r="F182" s="84" t="s">
        <v>443</v>
      </c>
      <c r="G182" s="64">
        <v>2015</v>
      </c>
      <c r="H182" s="86">
        <v>18500</v>
      </c>
      <c r="I182" s="66">
        <v>1</v>
      </c>
      <c r="J182" s="92">
        <f>H182*I182</f>
        <v>18500</v>
      </c>
      <c r="K182" s="92">
        <v>3515</v>
      </c>
      <c r="L182" s="64">
        <v>5</v>
      </c>
      <c r="M182" s="120"/>
    </row>
    <row r="183" spans="2:13" ht="156" x14ac:dyDescent="0.25">
      <c r="B183" s="119">
        <v>170</v>
      </c>
      <c r="C183" s="89" t="s">
        <v>1530</v>
      </c>
      <c r="D183" s="54" t="s">
        <v>1531</v>
      </c>
      <c r="E183" s="54" t="s">
        <v>1532</v>
      </c>
      <c r="F183" s="84" t="s">
        <v>442</v>
      </c>
      <c r="G183" s="64">
        <v>2015</v>
      </c>
      <c r="H183" s="93">
        <v>33995</v>
      </c>
      <c r="I183" s="94">
        <v>1</v>
      </c>
      <c r="J183" s="92">
        <f>I183*H183</f>
        <v>33995</v>
      </c>
      <c r="K183" s="92">
        <v>6459.05</v>
      </c>
      <c r="L183" s="64">
        <v>5</v>
      </c>
      <c r="M183" s="120"/>
    </row>
    <row r="184" spans="2:13" ht="36" x14ac:dyDescent="0.25">
      <c r="B184" s="119">
        <v>171</v>
      </c>
      <c r="C184" s="54" t="s">
        <v>1544</v>
      </c>
      <c r="D184" s="54" t="s">
        <v>1545</v>
      </c>
      <c r="E184" s="54" t="s">
        <v>1546</v>
      </c>
      <c r="F184" s="84" t="s">
        <v>442</v>
      </c>
      <c r="G184" s="64">
        <v>2015</v>
      </c>
      <c r="H184" s="86">
        <v>38800</v>
      </c>
      <c r="I184" s="66">
        <v>1</v>
      </c>
      <c r="J184" s="92">
        <f>H184*I184</f>
        <v>38800</v>
      </c>
      <c r="K184" s="92">
        <v>7372</v>
      </c>
      <c r="L184" s="64">
        <v>5</v>
      </c>
      <c r="M184" s="120"/>
    </row>
    <row r="185" spans="2:13" ht="72" x14ac:dyDescent="0.25">
      <c r="B185" s="119">
        <v>172</v>
      </c>
      <c r="C185" s="89" t="s">
        <v>1550</v>
      </c>
      <c r="D185" s="54" t="s">
        <v>1436</v>
      </c>
      <c r="E185" s="54" t="s">
        <v>1437</v>
      </c>
      <c r="F185" s="84" t="s">
        <v>442</v>
      </c>
      <c r="G185" s="64">
        <v>2015</v>
      </c>
      <c r="H185" s="93">
        <v>28470</v>
      </c>
      <c r="I185" s="94">
        <v>1</v>
      </c>
      <c r="J185" s="92">
        <f t="shared" ref="J185:J192" si="5">I185*H185</f>
        <v>28470</v>
      </c>
      <c r="K185" s="92">
        <v>5409.3</v>
      </c>
      <c r="L185" s="64">
        <v>5</v>
      </c>
      <c r="M185" s="120"/>
    </row>
    <row r="186" spans="2:13" ht="72" x14ac:dyDescent="0.25">
      <c r="B186" s="119">
        <v>173</v>
      </c>
      <c r="C186" s="78" t="s">
        <v>1551</v>
      </c>
      <c r="D186" s="54" t="s">
        <v>1531</v>
      </c>
      <c r="E186" s="54" t="s">
        <v>1552</v>
      </c>
      <c r="F186" s="84" t="s">
        <v>442</v>
      </c>
      <c r="G186" s="64">
        <v>2015</v>
      </c>
      <c r="H186" s="93">
        <v>29500</v>
      </c>
      <c r="I186" s="64">
        <v>1</v>
      </c>
      <c r="J186" s="92">
        <f t="shared" si="5"/>
        <v>29500</v>
      </c>
      <c r="K186" s="92">
        <v>5605</v>
      </c>
      <c r="L186" s="64">
        <v>5</v>
      </c>
      <c r="M186" s="120"/>
    </row>
    <row r="187" spans="2:13" ht="168" x14ac:dyDescent="0.25">
      <c r="B187" s="119">
        <v>174</v>
      </c>
      <c r="C187" s="89" t="s">
        <v>1553</v>
      </c>
      <c r="D187" s="54" t="s">
        <v>1531</v>
      </c>
      <c r="E187" s="54" t="s">
        <v>1554</v>
      </c>
      <c r="F187" s="84" t="s">
        <v>442</v>
      </c>
      <c r="G187" s="64">
        <v>2015</v>
      </c>
      <c r="H187" s="93">
        <v>29000</v>
      </c>
      <c r="I187" s="94">
        <v>1</v>
      </c>
      <c r="J187" s="92">
        <f t="shared" si="5"/>
        <v>29000</v>
      </c>
      <c r="K187" s="92">
        <v>5510</v>
      </c>
      <c r="L187" s="64">
        <v>5</v>
      </c>
      <c r="M187" s="120"/>
    </row>
    <row r="188" spans="2:13" ht="48" x14ac:dyDescent="0.25">
      <c r="B188" s="119">
        <v>175</v>
      </c>
      <c r="C188" s="89" t="s">
        <v>1555</v>
      </c>
      <c r="D188" s="54" t="s">
        <v>1545</v>
      </c>
      <c r="E188" s="54" t="s">
        <v>1556</v>
      </c>
      <c r="F188" s="84" t="s">
        <v>442</v>
      </c>
      <c r="G188" s="64">
        <v>2015</v>
      </c>
      <c r="H188" s="93">
        <v>38800</v>
      </c>
      <c r="I188" s="94">
        <v>1</v>
      </c>
      <c r="J188" s="92">
        <f t="shared" si="5"/>
        <v>38800</v>
      </c>
      <c r="K188" s="92">
        <v>7372</v>
      </c>
      <c r="L188" s="64">
        <v>5</v>
      </c>
      <c r="M188" s="120"/>
    </row>
    <row r="189" spans="2:13" ht="144" x14ac:dyDescent="0.25">
      <c r="B189" s="119">
        <v>176</v>
      </c>
      <c r="C189" s="89" t="s">
        <v>1557</v>
      </c>
      <c r="D189" s="54" t="s">
        <v>1439</v>
      </c>
      <c r="E189" s="54" t="s">
        <v>1558</v>
      </c>
      <c r="F189" s="84" t="s">
        <v>442</v>
      </c>
      <c r="G189" s="64">
        <v>2015</v>
      </c>
      <c r="H189" s="93">
        <v>29000</v>
      </c>
      <c r="I189" s="94">
        <v>1</v>
      </c>
      <c r="J189" s="92">
        <f t="shared" si="5"/>
        <v>29000</v>
      </c>
      <c r="K189" s="92">
        <v>5510</v>
      </c>
      <c r="L189" s="64">
        <v>5</v>
      </c>
      <c r="M189" s="120"/>
    </row>
    <row r="190" spans="2:13" ht="96" x14ac:dyDescent="0.25">
      <c r="B190" s="119">
        <v>177</v>
      </c>
      <c r="C190" s="56" t="s">
        <v>1571</v>
      </c>
      <c r="D190" s="56" t="s">
        <v>1531</v>
      </c>
      <c r="E190" s="56" t="s">
        <v>1572</v>
      </c>
      <c r="F190" s="84" t="s">
        <v>449</v>
      </c>
      <c r="G190" s="64">
        <v>2015</v>
      </c>
      <c r="H190" s="93">
        <v>34495</v>
      </c>
      <c r="I190" s="94">
        <v>1</v>
      </c>
      <c r="J190" s="92">
        <f t="shared" si="5"/>
        <v>34495</v>
      </c>
      <c r="K190" s="92">
        <v>6554.05</v>
      </c>
      <c r="L190" s="64">
        <v>5</v>
      </c>
      <c r="M190" s="120"/>
    </row>
    <row r="191" spans="2:13" ht="72" x14ac:dyDescent="0.25">
      <c r="B191" s="119">
        <v>178</v>
      </c>
      <c r="C191" s="56" t="s">
        <v>1573</v>
      </c>
      <c r="D191" s="56" t="s">
        <v>1455</v>
      </c>
      <c r="E191" s="56" t="s">
        <v>1574</v>
      </c>
      <c r="F191" s="84" t="s">
        <v>449</v>
      </c>
      <c r="G191" s="64">
        <v>2015</v>
      </c>
      <c r="H191" s="93">
        <v>40598</v>
      </c>
      <c r="I191" s="94">
        <v>1</v>
      </c>
      <c r="J191" s="92">
        <f t="shared" si="5"/>
        <v>40598</v>
      </c>
      <c r="K191" s="92">
        <v>7713.62</v>
      </c>
      <c r="L191" s="64">
        <v>5</v>
      </c>
      <c r="M191" s="120"/>
    </row>
    <row r="192" spans="2:13" ht="108" x14ac:dyDescent="0.25">
      <c r="B192" s="119">
        <v>179</v>
      </c>
      <c r="C192" s="54" t="s">
        <v>1617</v>
      </c>
      <c r="D192" s="54" t="s">
        <v>1618</v>
      </c>
      <c r="E192" s="54" t="s">
        <v>1619</v>
      </c>
      <c r="F192" s="84" t="s">
        <v>449</v>
      </c>
      <c r="G192" s="97">
        <v>2015</v>
      </c>
      <c r="H192" s="67">
        <v>2500000</v>
      </c>
      <c r="I192" s="68">
        <v>1</v>
      </c>
      <c r="J192" s="71">
        <f t="shared" si="5"/>
        <v>2500000</v>
      </c>
      <c r="K192" s="71">
        <v>339285.71428571426</v>
      </c>
      <c r="L192" s="97">
        <v>7</v>
      </c>
      <c r="M192" s="120"/>
    </row>
    <row r="193" spans="2:13" ht="33" x14ac:dyDescent="0.25">
      <c r="B193" s="119">
        <v>180</v>
      </c>
      <c r="C193" s="54" t="s">
        <v>1624</v>
      </c>
      <c r="D193" s="54" t="s">
        <v>1625</v>
      </c>
      <c r="E193" s="54" t="s">
        <v>1626</v>
      </c>
      <c r="F193" s="84" t="s">
        <v>450</v>
      </c>
      <c r="G193" s="64">
        <v>2015</v>
      </c>
      <c r="H193" s="86">
        <v>18500</v>
      </c>
      <c r="I193" s="66">
        <v>1</v>
      </c>
      <c r="J193" s="92">
        <f>H193*I193</f>
        <v>18500</v>
      </c>
      <c r="K193" s="92">
        <v>3515</v>
      </c>
      <c r="L193" s="64">
        <v>5</v>
      </c>
      <c r="M193" s="120"/>
    </row>
    <row r="194" spans="2:13" ht="33" x14ac:dyDescent="0.25">
      <c r="B194" s="119">
        <v>181</v>
      </c>
      <c r="C194" s="54" t="s">
        <v>1627</v>
      </c>
      <c r="D194" s="54" t="s">
        <v>1628</v>
      </c>
      <c r="E194" s="54" t="s">
        <v>1629</v>
      </c>
      <c r="F194" s="84" t="s">
        <v>450</v>
      </c>
      <c r="G194" s="64">
        <v>2015</v>
      </c>
      <c r="H194" s="86">
        <v>50950</v>
      </c>
      <c r="I194" s="66">
        <v>1</v>
      </c>
      <c r="J194" s="92">
        <f>H194*I194</f>
        <v>50950</v>
      </c>
      <c r="K194" s="92">
        <v>9680.5</v>
      </c>
      <c r="L194" s="64">
        <v>5</v>
      </c>
      <c r="M194" s="120"/>
    </row>
    <row r="195" spans="2:13" ht="33" x14ac:dyDescent="0.25">
      <c r="B195" s="119">
        <v>182</v>
      </c>
      <c r="C195" s="54" t="s">
        <v>1630</v>
      </c>
      <c r="D195" s="54" t="s">
        <v>1628</v>
      </c>
      <c r="E195" s="54" t="s">
        <v>1631</v>
      </c>
      <c r="F195" s="84" t="s">
        <v>450</v>
      </c>
      <c r="G195" s="64">
        <v>2015</v>
      </c>
      <c r="H195" s="86">
        <v>19950</v>
      </c>
      <c r="I195" s="66">
        <v>1</v>
      </c>
      <c r="J195" s="92">
        <f>H195*I195</f>
        <v>19950</v>
      </c>
      <c r="K195" s="92">
        <v>3790.5</v>
      </c>
      <c r="L195" s="64">
        <v>5</v>
      </c>
      <c r="M195" s="120"/>
    </row>
    <row r="196" spans="2:13" ht="33" x14ac:dyDescent="0.25">
      <c r="B196" s="119">
        <v>183</v>
      </c>
      <c r="C196" s="54" t="s">
        <v>1634</v>
      </c>
      <c r="D196" s="54" t="s">
        <v>1635</v>
      </c>
      <c r="E196" s="54" t="s">
        <v>1636</v>
      </c>
      <c r="F196" s="84" t="s">
        <v>450</v>
      </c>
      <c r="G196" s="66">
        <v>2015</v>
      </c>
      <c r="H196" s="86">
        <v>18500</v>
      </c>
      <c r="I196" s="66">
        <v>1</v>
      </c>
      <c r="J196" s="92">
        <f>I196*H196</f>
        <v>18500</v>
      </c>
      <c r="K196" s="92">
        <v>3515</v>
      </c>
      <c r="L196" s="64">
        <v>5</v>
      </c>
      <c r="M196" s="120"/>
    </row>
    <row r="197" spans="2:13" ht="72" x14ac:dyDescent="0.25">
      <c r="B197" s="119">
        <v>184</v>
      </c>
      <c r="C197" s="89" t="s">
        <v>1641</v>
      </c>
      <c r="D197" s="54" t="s">
        <v>1436</v>
      </c>
      <c r="E197" s="54" t="s">
        <v>1437</v>
      </c>
      <c r="F197" s="84" t="s">
        <v>450</v>
      </c>
      <c r="G197" s="64">
        <v>2015</v>
      </c>
      <c r="H197" s="93">
        <v>28470</v>
      </c>
      <c r="I197" s="94">
        <v>1</v>
      </c>
      <c r="J197" s="92">
        <f>I197*H197</f>
        <v>28470</v>
      </c>
      <c r="K197" s="92">
        <v>5409.3</v>
      </c>
      <c r="L197" s="64">
        <v>5</v>
      </c>
      <c r="M197" s="120"/>
    </row>
    <row r="198" spans="2:13" ht="36" x14ac:dyDescent="0.25">
      <c r="B198" s="119">
        <v>185</v>
      </c>
      <c r="C198" s="60" t="s">
        <v>1658</v>
      </c>
      <c r="D198" s="60" t="s">
        <v>1659</v>
      </c>
      <c r="E198" s="90" t="s">
        <v>1660</v>
      </c>
      <c r="F198" s="84" t="s">
        <v>450</v>
      </c>
      <c r="G198" s="64">
        <v>2015</v>
      </c>
      <c r="H198" s="96">
        <v>19000</v>
      </c>
      <c r="I198" s="64">
        <v>3</v>
      </c>
      <c r="J198" s="96">
        <v>19000</v>
      </c>
      <c r="K198" s="92">
        <v>1805</v>
      </c>
      <c r="L198" s="97">
        <v>10</v>
      </c>
      <c r="M198" s="120"/>
    </row>
    <row r="199" spans="2:13" ht="96" x14ac:dyDescent="0.25">
      <c r="B199" s="119">
        <v>186</v>
      </c>
      <c r="C199" s="60" t="s">
        <v>1661</v>
      </c>
      <c r="D199" s="60" t="s">
        <v>1662</v>
      </c>
      <c r="E199" s="90" t="s">
        <v>1663</v>
      </c>
      <c r="F199" s="84" t="s">
        <v>450</v>
      </c>
      <c r="G199" s="66">
        <v>2015</v>
      </c>
      <c r="H199" s="98">
        <v>22160</v>
      </c>
      <c r="I199" s="66">
        <v>1</v>
      </c>
      <c r="J199" s="98">
        <v>22160</v>
      </c>
      <c r="K199" s="92">
        <v>2105.1999999999998</v>
      </c>
      <c r="L199" s="97">
        <v>10</v>
      </c>
      <c r="M199" s="120"/>
    </row>
    <row r="200" spans="2:13" ht="72" x14ac:dyDescent="0.25">
      <c r="B200" s="119">
        <v>187</v>
      </c>
      <c r="C200" s="54" t="s">
        <v>1665</v>
      </c>
      <c r="D200" s="54" t="s">
        <v>1436</v>
      </c>
      <c r="E200" s="54" t="s">
        <v>1666</v>
      </c>
      <c r="F200" s="84" t="s">
        <v>451</v>
      </c>
      <c r="G200" s="64">
        <v>2015</v>
      </c>
      <c r="H200" s="93">
        <v>26551.94</v>
      </c>
      <c r="I200" s="64">
        <v>1</v>
      </c>
      <c r="J200" s="92">
        <f>I200*H200</f>
        <v>26551.94</v>
      </c>
      <c r="K200" s="92">
        <v>5044.8685999999998</v>
      </c>
      <c r="L200" s="64">
        <v>5</v>
      </c>
      <c r="M200" s="120"/>
    </row>
    <row r="201" spans="2:13" ht="48" x14ac:dyDescent="0.25">
      <c r="B201" s="119">
        <v>188</v>
      </c>
      <c r="C201" s="54" t="s">
        <v>1700</v>
      </c>
      <c r="D201" s="54" t="s">
        <v>1687</v>
      </c>
      <c r="E201" s="54" t="s">
        <v>1701</v>
      </c>
      <c r="F201" s="84" t="s">
        <v>440</v>
      </c>
      <c r="G201" s="64">
        <v>2015</v>
      </c>
      <c r="H201" s="86"/>
      <c r="I201" s="66"/>
      <c r="J201" s="92">
        <f>H201*I201</f>
        <v>0</v>
      </c>
      <c r="K201" s="92">
        <v>0</v>
      </c>
      <c r="L201" s="64">
        <v>5</v>
      </c>
      <c r="M201" s="120"/>
    </row>
    <row r="202" spans="2:13" ht="96" x14ac:dyDescent="0.25">
      <c r="B202" s="119">
        <v>189</v>
      </c>
      <c r="C202" s="54" t="s">
        <v>1704</v>
      </c>
      <c r="D202" s="54" t="s">
        <v>1455</v>
      </c>
      <c r="E202" s="54" t="s">
        <v>1705</v>
      </c>
      <c r="F202" s="84" t="s">
        <v>440</v>
      </c>
      <c r="G202" s="64">
        <v>2015</v>
      </c>
      <c r="H202" s="93"/>
      <c r="I202" s="64">
        <v>1</v>
      </c>
      <c r="J202" s="92">
        <f>I202*H202</f>
        <v>0</v>
      </c>
      <c r="K202" s="92">
        <v>0</v>
      </c>
      <c r="L202" s="64">
        <v>5</v>
      </c>
      <c r="M202" s="120"/>
    </row>
    <row r="203" spans="2:13" ht="96" x14ac:dyDescent="0.25">
      <c r="B203" s="119">
        <v>190</v>
      </c>
      <c r="C203" s="60" t="s">
        <v>1712</v>
      </c>
      <c r="D203" s="60" t="s">
        <v>1662</v>
      </c>
      <c r="E203" s="90" t="s">
        <v>1663</v>
      </c>
      <c r="F203" s="84" t="s">
        <v>440</v>
      </c>
      <c r="G203" s="64">
        <v>2015</v>
      </c>
      <c r="H203" s="98">
        <v>22160</v>
      </c>
      <c r="I203" s="66">
        <v>1</v>
      </c>
      <c r="J203" s="98">
        <v>22160</v>
      </c>
      <c r="K203" s="92">
        <v>2105.1999999999998</v>
      </c>
      <c r="L203" s="97">
        <v>10</v>
      </c>
      <c r="M203" s="120"/>
    </row>
    <row r="204" spans="2:13" ht="168" x14ac:dyDescent="0.25">
      <c r="B204" s="119">
        <v>191</v>
      </c>
      <c r="C204" s="54" t="s">
        <v>1721</v>
      </c>
      <c r="D204" s="54" t="s">
        <v>1531</v>
      </c>
      <c r="E204" s="54" t="s">
        <v>1722</v>
      </c>
      <c r="F204" s="84" t="s">
        <v>452</v>
      </c>
      <c r="G204" s="66">
        <v>2015</v>
      </c>
      <c r="H204" s="86">
        <v>32200</v>
      </c>
      <c r="I204" s="66">
        <v>1</v>
      </c>
      <c r="J204" s="92">
        <f>I204*H204</f>
        <v>32200</v>
      </c>
      <c r="K204" s="92">
        <v>6118</v>
      </c>
      <c r="L204" s="64">
        <v>5</v>
      </c>
      <c r="M204" s="120"/>
    </row>
    <row r="205" spans="2:13" ht="72" x14ac:dyDescent="0.25">
      <c r="B205" s="119">
        <v>192</v>
      </c>
      <c r="C205" s="54" t="s">
        <v>1730</v>
      </c>
      <c r="D205" s="54" t="s">
        <v>1436</v>
      </c>
      <c r="E205" s="54" t="s">
        <v>1731</v>
      </c>
      <c r="F205" s="84" t="s">
        <v>452</v>
      </c>
      <c r="G205" s="64">
        <v>2015</v>
      </c>
      <c r="H205" s="93">
        <v>34495</v>
      </c>
      <c r="I205" s="64">
        <v>1</v>
      </c>
      <c r="J205" s="92">
        <f>I205*H205</f>
        <v>34495</v>
      </c>
      <c r="K205" s="92">
        <v>6554.05</v>
      </c>
      <c r="L205" s="64">
        <v>5</v>
      </c>
      <c r="M205" s="120"/>
    </row>
    <row r="206" spans="2:13" ht="96" x14ac:dyDescent="0.25">
      <c r="B206" s="119">
        <v>193</v>
      </c>
      <c r="C206" s="54" t="s">
        <v>1732</v>
      </c>
      <c r="D206" s="54" t="s">
        <v>1531</v>
      </c>
      <c r="E206" s="54" t="s">
        <v>1733</v>
      </c>
      <c r="F206" s="84" t="s">
        <v>452</v>
      </c>
      <c r="G206" s="64">
        <v>2015</v>
      </c>
      <c r="H206" s="93"/>
      <c r="I206" s="64">
        <v>1</v>
      </c>
      <c r="J206" s="92">
        <f>I206*H206</f>
        <v>0</v>
      </c>
      <c r="K206" s="92">
        <v>0</v>
      </c>
      <c r="L206" s="64">
        <v>5</v>
      </c>
      <c r="M206" s="120"/>
    </row>
    <row r="207" spans="2:13" ht="156" x14ac:dyDescent="0.25">
      <c r="B207" s="119">
        <v>194</v>
      </c>
      <c r="C207" s="89" t="s">
        <v>1737</v>
      </c>
      <c r="D207" s="54" t="s">
        <v>1531</v>
      </c>
      <c r="E207" s="54" t="s">
        <v>1738</v>
      </c>
      <c r="F207" s="84" t="s">
        <v>452</v>
      </c>
      <c r="G207" s="64">
        <v>2015</v>
      </c>
      <c r="H207" s="93">
        <v>33995</v>
      </c>
      <c r="I207" s="94">
        <v>1</v>
      </c>
      <c r="J207" s="92">
        <f>I207*H207</f>
        <v>33995</v>
      </c>
      <c r="K207" s="92">
        <v>6459.05</v>
      </c>
      <c r="L207" s="64">
        <v>5</v>
      </c>
      <c r="M207" s="120"/>
    </row>
    <row r="208" spans="2:13" ht="33" x14ac:dyDescent="0.25">
      <c r="B208" s="119">
        <v>195</v>
      </c>
      <c r="C208" s="54" t="s">
        <v>1745</v>
      </c>
      <c r="D208" s="54" t="s">
        <v>1746</v>
      </c>
      <c r="E208" s="54" t="s">
        <v>1747</v>
      </c>
      <c r="F208" s="84" t="s">
        <v>453</v>
      </c>
      <c r="G208" s="64">
        <v>2015</v>
      </c>
      <c r="H208" s="86"/>
      <c r="I208" s="66">
        <v>1</v>
      </c>
      <c r="J208" s="92">
        <f>H208*I208</f>
        <v>0</v>
      </c>
      <c r="K208" s="92">
        <v>0</v>
      </c>
      <c r="L208" s="64">
        <v>5</v>
      </c>
      <c r="M208" s="120"/>
    </row>
    <row r="209" spans="2:13" ht="72" x14ac:dyDescent="0.25">
      <c r="B209" s="119">
        <v>196</v>
      </c>
      <c r="C209" s="54" t="s">
        <v>1750</v>
      </c>
      <c r="D209" s="54" t="s">
        <v>1455</v>
      </c>
      <c r="E209" s="54" t="s">
        <v>1751</v>
      </c>
      <c r="F209" s="84" t="s">
        <v>453</v>
      </c>
      <c r="G209" s="64">
        <v>2015</v>
      </c>
      <c r="H209" s="93">
        <v>37312</v>
      </c>
      <c r="I209" s="64">
        <v>1</v>
      </c>
      <c r="J209" s="92">
        <f>I209*H209</f>
        <v>37312</v>
      </c>
      <c r="K209" s="92">
        <v>7089.2800000000007</v>
      </c>
      <c r="L209" s="64">
        <v>5</v>
      </c>
      <c r="M209" s="120"/>
    </row>
    <row r="210" spans="2:13" ht="108" x14ac:dyDescent="0.25">
      <c r="B210" s="119">
        <v>197</v>
      </c>
      <c r="C210" s="54" t="s">
        <v>1752</v>
      </c>
      <c r="D210" s="54" t="s">
        <v>1436</v>
      </c>
      <c r="E210" s="54" t="s">
        <v>1753</v>
      </c>
      <c r="F210" s="84" t="s">
        <v>453</v>
      </c>
      <c r="G210" s="64">
        <v>2015</v>
      </c>
      <c r="H210" s="93">
        <v>33527.800000000003</v>
      </c>
      <c r="I210" s="64">
        <v>1</v>
      </c>
      <c r="J210" s="92">
        <f>I210*H210</f>
        <v>33527.800000000003</v>
      </c>
      <c r="K210" s="92">
        <v>6370.2820000000002</v>
      </c>
      <c r="L210" s="64">
        <v>5</v>
      </c>
      <c r="M210" s="120"/>
    </row>
    <row r="211" spans="2:13" ht="108" x14ac:dyDescent="0.25">
      <c r="B211" s="119">
        <v>198</v>
      </c>
      <c r="C211" s="54" t="s">
        <v>1754</v>
      </c>
      <c r="D211" s="54" t="s">
        <v>1436</v>
      </c>
      <c r="E211" s="54" t="s">
        <v>1753</v>
      </c>
      <c r="F211" s="84" t="s">
        <v>453</v>
      </c>
      <c r="G211" s="64">
        <v>2015</v>
      </c>
      <c r="H211" s="93">
        <v>33527.800000000003</v>
      </c>
      <c r="I211" s="64">
        <v>1</v>
      </c>
      <c r="J211" s="92">
        <f>I211*H211</f>
        <v>33527.800000000003</v>
      </c>
      <c r="K211" s="92">
        <v>6370.2820000000002</v>
      </c>
      <c r="L211" s="64">
        <v>5</v>
      </c>
      <c r="M211" s="120"/>
    </row>
    <row r="212" spans="2:13" ht="108" x14ac:dyDescent="0.25">
      <c r="B212" s="119">
        <v>199</v>
      </c>
      <c r="C212" s="54" t="s">
        <v>1755</v>
      </c>
      <c r="D212" s="54" t="s">
        <v>1436</v>
      </c>
      <c r="E212" s="54" t="s">
        <v>1753</v>
      </c>
      <c r="F212" s="84" t="s">
        <v>453</v>
      </c>
      <c r="G212" s="64">
        <v>2015</v>
      </c>
      <c r="H212" s="93">
        <v>33527.800000000003</v>
      </c>
      <c r="I212" s="64">
        <v>1</v>
      </c>
      <c r="J212" s="92">
        <f>I212*H212</f>
        <v>33527.800000000003</v>
      </c>
      <c r="K212" s="92">
        <v>6370.2820000000002</v>
      </c>
      <c r="L212" s="64">
        <v>5</v>
      </c>
      <c r="M212" s="120"/>
    </row>
    <row r="213" spans="2:13" ht="96" x14ac:dyDescent="0.25">
      <c r="B213" s="119">
        <v>200</v>
      </c>
      <c r="C213" s="60" t="s">
        <v>1792</v>
      </c>
      <c r="D213" s="60" t="s">
        <v>1785</v>
      </c>
      <c r="E213" s="90" t="s">
        <v>1793</v>
      </c>
      <c r="F213" s="84" t="s">
        <v>454</v>
      </c>
      <c r="G213" s="64">
        <v>2015</v>
      </c>
      <c r="H213" s="96">
        <v>978000</v>
      </c>
      <c r="I213" s="64">
        <v>1</v>
      </c>
      <c r="J213" s="96">
        <v>978000</v>
      </c>
      <c r="K213" s="92">
        <v>92910</v>
      </c>
      <c r="L213" s="97">
        <v>10</v>
      </c>
      <c r="M213" s="120"/>
    </row>
    <row r="214" spans="2:13" ht="60" x14ac:dyDescent="0.25">
      <c r="B214" s="119">
        <v>201</v>
      </c>
      <c r="C214" s="60" t="s">
        <v>1794</v>
      </c>
      <c r="D214" s="60" t="s">
        <v>1795</v>
      </c>
      <c r="E214" s="90" t="s">
        <v>1796</v>
      </c>
      <c r="F214" s="84" t="s">
        <v>454</v>
      </c>
      <c r="G214" s="64">
        <v>2015</v>
      </c>
      <c r="H214" s="96">
        <v>270000</v>
      </c>
      <c r="I214" s="64">
        <v>1</v>
      </c>
      <c r="J214" s="96">
        <v>270000</v>
      </c>
      <c r="K214" s="92">
        <v>25650</v>
      </c>
      <c r="L214" s="97">
        <v>10</v>
      </c>
      <c r="M214" s="120"/>
    </row>
    <row r="215" spans="2:13" ht="84" x14ac:dyDescent="0.25">
      <c r="B215" s="119">
        <v>202</v>
      </c>
      <c r="C215" s="60" t="s">
        <v>1797</v>
      </c>
      <c r="D215" s="60" t="s">
        <v>1788</v>
      </c>
      <c r="E215" s="90" t="s">
        <v>1798</v>
      </c>
      <c r="F215" s="84" t="s">
        <v>454</v>
      </c>
      <c r="G215" s="64">
        <v>2015</v>
      </c>
      <c r="H215" s="96">
        <v>865000</v>
      </c>
      <c r="I215" s="64">
        <v>1</v>
      </c>
      <c r="J215" s="96">
        <v>865000</v>
      </c>
      <c r="K215" s="92">
        <v>82175</v>
      </c>
      <c r="L215" s="97">
        <v>10</v>
      </c>
      <c r="M215" s="120"/>
    </row>
    <row r="216" spans="2:13" ht="33" x14ac:dyDescent="0.25">
      <c r="B216" s="119">
        <v>203</v>
      </c>
      <c r="C216" s="60" t="s">
        <v>1809</v>
      </c>
      <c r="D216" s="60" t="s">
        <v>1810</v>
      </c>
      <c r="E216" s="90" t="s">
        <v>1811</v>
      </c>
      <c r="F216" s="84" t="s">
        <v>454</v>
      </c>
      <c r="G216" s="64">
        <v>2015</v>
      </c>
      <c r="H216" s="96">
        <v>39000</v>
      </c>
      <c r="I216" s="64">
        <v>1</v>
      </c>
      <c r="J216" s="96">
        <v>39000</v>
      </c>
      <c r="K216" s="92">
        <v>3705</v>
      </c>
      <c r="L216" s="97">
        <v>10</v>
      </c>
      <c r="M216" s="120"/>
    </row>
    <row r="217" spans="2:13" ht="36" x14ac:dyDescent="0.25">
      <c r="B217" s="119">
        <v>204</v>
      </c>
      <c r="C217" s="60" t="s">
        <v>1817</v>
      </c>
      <c r="D217" s="60" t="s">
        <v>1818</v>
      </c>
      <c r="E217" s="90" t="s">
        <v>1819</v>
      </c>
      <c r="F217" s="84" t="s">
        <v>1977</v>
      </c>
      <c r="G217" s="64">
        <v>2015</v>
      </c>
      <c r="H217" s="96">
        <v>40875</v>
      </c>
      <c r="I217" s="64">
        <v>1</v>
      </c>
      <c r="J217" s="96">
        <v>40875</v>
      </c>
      <c r="K217" s="92">
        <v>3883.125</v>
      </c>
      <c r="L217" s="97">
        <v>10</v>
      </c>
      <c r="M217" s="120"/>
    </row>
    <row r="218" spans="2:13" ht="60" x14ac:dyDescent="0.25">
      <c r="B218" s="119">
        <v>205</v>
      </c>
      <c r="C218" s="54" t="s">
        <v>1829</v>
      </c>
      <c r="D218" s="54" t="s">
        <v>1830</v>
      </c>
      <c r="E218" s="54" t="s">
        <v>1831</v>
      </c>
      <c r="F218" s="84" t="s">
        <v>445</v>
      </c>
      <c r="G218" s="64">
        <v>2015</v>
      </c>
      <c r="H218" s="86">
        <v>18500</v>
      </c>
      <c r="I218" s="66">
        <v>1</v>
      </c>
      <c r="J218" s="92">
        <f>H218*I218</f>
        <v>18500</v>
      </c>
      <c r="K218" s="92">
        <v>3515</v>
      </c>
      <c r="L218" s="64">
        <v>5</v>
      </c>
      <c r="M218" s="120"/>
    </row>
    <row r="219" spans="2:13" ht="96" x14ac:dyDescent="0.25">
      <c r="B219" s="119">
        <v>206</v>
      </c>
      <c r="C219" s="91" t="s">
        <v>1835</v>
      </c>
      <c r="D219" s="56" t="s">
        <v>1531</v>
      </c>
      <c r="E219" s="56" t="s">
        <v>1836</v>
      </c>
      <c r="F219" s="84" t="s">
        <v>445</v>
      </c>
      <c r="G219" s="64">
        <v>2015</v>
      </c>
      <c r="H219" s="93">
        <v>29500</v>
      </c>
      <c r="I219" s="99">
        <v>1</v>
      </c>
      <c r="J219" s="92">
        <f>I219*H219</f>
        <v>29500</v>
      </c>
      <c r="K219" s="92">
        <v>5605</v>
      </c>
      <c r="L219" s="64">
        <v>5</v>
      </c>
      <c r="M219" s="120"/>
    </row>
    <row r="220" spans="2:13" ht="60" x14ac:dyDescent="0.25">
      <c r="B220" s="119">
        <v>207</v>
      </c>
      <c r="C220" s="54" t="s">
        <v>1849</v>
      </c>
      <c r="D220" s="54" t="s">
        <v>1830</v>
      </c>
      <c r="E220" s="54" t="s">
        <v>1850</v>
      </c>
      <c r="F220" s="84" t="s">
        <v>456</v>
      </c>
      <c r="G220" s="64">
        <v>2015</v>
      </c>
      <c r="H220" s="86">
        <v>18500</v>
      </c>
      <c r="I220" s="66">
        <v>1</v>
      </c>
      <c r="J220" s="92">
        <f>H220*I220</f>
        <v>18500</v>
      </c>
      <c r="K220" s="92">
        <v>3515</v>
      </c>
      <c r="L220" s="64">
        <v>5</v>
      </c>
      <c r="M220" s="120"/>
    </row>
    <row r="221" spans="2:13" ht="72" x14ac:dyDescent="0.25">
      <c r="B221" s="119">
        <v>208</v>
      </c>
      <c r="C221" s="89" t="s">
        <v>1854</v>
      </c>
      <c r="D221" s="54" t="s">
        <v>1436</v>
      </c>
      <c r="E221" s="54" t="s">
        <v>1437</v>
      </c>
      <c r="F221" s="84" t="s">
        <v>456</v>
      </c>
      <c r="G221" s="64">
        <v>2015</v>
      </c>
      <c r="H221" s="93">
        <v>28470</v>
      </c>
      <c r="I221" s="94">
        <v>1</v>
      </c>
      <c r="J221" s="92">
        <f>I221*H221</f>
        <v>28470</v>
      </c>
      <c r="K221" s="92">
        <v>5409.3</v>
      </c>
      <c r="L221" s="64">
        <v>5</v>
      </c>
      <c r="M221" s="120"/>
    </row>
    <row r="222" spans="2:13" ht="96" x14ac:dyDescent="0.25">
      <c r="B222" s="119">
        <v>209</v>
      </c>
      <c r="C222" s="60" t="s">
        <v>1856</v>
      </c>
      <c r="D222" s="60" t="s">
        <v>1662</v>
      </c>
      <c r="E222" s="90" t="s">
        <v>1663</v>
      </c>
      <c r="F222" s="84" t="s">
        <v>457</v>
      </c>
      <c r="G222" s="64">
        <v>2015</v>
      </c>
      <c r="H222" s="98">
        <v>22160</v>
      </c>
      <c r="I222" s="66">
        <v>1</v>
      </c>
      <c r="J222" s="98">
        <v>22160</v>
      </c>
      <c r="K222" s="92">
        <v>2105.1999999999998</v>
      </c>
      <c r="L222" s="97">
        <v>10</v>
      </c>
      <c r="M222" s="120"/>
    </row>
    <row r="223" spans="2:13" ht="192" x14ac:dyDescent="0.25">
      <c r="B223" s="119">
        <v>210</v>
      </c>
      <c r="C223" s="60" t="s">
        <v>1859</v>
      </c>
      <c r="D223" s="60" t="s">
        <v>860</v>
      </c>
      <c r="E223" s="90" t="s">
        <v>861</v>
      </c>
      <c r="F223" s="84" t="s">
        <v>457</v>
      </c>
      <c r="G223" s="66">
        <v>2015</v>
      </c>
      <c r="H223" s="88">
        <v>199999</v>
      </c>
      <c r="I223" s="68">
        <v>1</v>
      </c>
      <c r="J223" s="88">
        <v>199999</v>
      </c>
      <c r="K223" s="92">
        <v>18999.904999999999</v>
      </c>
      <c r="L223" s="97">
        <v>10</v>
      </c>
      <c r="M223" s="120"/>
    </row>
    <row r="224" spans="2:13" ht="72" x14ac:dyDescent="0.25">
      <c r="B224" s="119">
        <v>211</v>
      </c>
      <c r="C224" s="89" t="s">
        <v>1861</v>
      </c>
      <c r="D224" s="54" t="s">
        <v>1436</v>
      </c>
      <c r="E224" s="54" t="s">
        <v>1437</v>
      </c>
      <c r="F224" s="84" t="s">
        <v>458</v>
      </c>
      <c r="G224" s="64">
        <v>2015</v>
      </c>
      <c r="H224" s="93">
        <v>28470</v>
      </c>
      <c r="I224" s="94">
        <v>1</v>
      </c>
      <c r="J224" s="92">
        <f>I224*H224</f>
        <v>28470</v>
      </c>
      <c r="K224" s="92">
        <v>5409.3</v>
      </c>
      <c r="L224" s="64">
        <v>5</v>
      </c>
      <c r="M224" s="120"/>
    </row>
    <row r="225" spans="2:13" ht="36" x14ac:dyDescent="0.25">
      <c r="B225" s="119">
        <v>212</v>
      </c>
      <c r="C225" s="60" t="s">
        <v>1866</v>
      </c>
      <c r="D225" s="60" t="s">
        <v>1659</v>
      </c>
      <c r="E225" s="90" t="s">
        <v>1660</v>
      </c>
      <c r="F225" s="84" t="s">
        <v>458</v>
      </c>
      <c r="G225" s="64">
        <v>2015</v>
      </c>
      <c r="H225" s="96">
        <v>19000</v>
      </c>
      <c r="I225" s="64">
        <v>3</v>
      </c>
      <c r="J225" s="96">
        <v>19000</v>
      </c>
      <c r="K225" s="92">
        <v>1805</v>
      </c>
      <c r="L225" s="97">
        <v>10</v>
      </c>
      <c r="M225" s="120"/>
    </row>
    <row r="226" spans="2:13" ht="72" x14ac:dyDescent="0.25">
      <c r="B226" s="119">
        <v>213</v>
      </c>
      <c r="C226" s="89" t="s">
        <v>1869</v>
      </c>
      <c r="D226" s="54" t="s">
        <v>1436</v>
      </c>
      <c r="E226" s="54" t="s">
        <v>1437</v>
      </c>
      <c r="F226" s="84" t="s">
        <v>444</v>
      </c>
      <c r="G226" s="64">
        <v>2015</v>
      </c>
      <c r="H226" s="93">
        <v>28470</v>
      </c>
      <c r="I226" s="94">
        <v>1</v>
      </c>
      <c r="J226" s="92">
        <f>I226*H226</f>
        <v>28470</v>
      </c>
      <c r="K226" s="92">
        <v>5409.3</v>
      </c>
      <c r="L226" s="64">
        <v>5</v>
      </c>
      <c r="M226" s="120"/>
    </row>
    <row r="227" spans="2:13" ht="49.5" x14ac:dyDescent="0.25">
      <c r="B227" s="119">
        <v>214</v>
      </c>
      <c r="C227" s="60" t="s">
        <v>1870</v>
      </c>
      <c r="D227" s="60" t="s">
        <v>1628</v>
      </c>
      <c r="E227" s="90" t="s">
        <v>1871</v>
      </c>
      <c r="F227" s="84" t="s">
        <v>441</v>
      </c>
      <c r="G227" s="66">
        <v>2015</v>
      </c>
      <c r="H227" s="98">
        <v>35000</v>
      </c>
      <c r="I227" s="66">
        <v>1</v>
      </c>
      <c r="J227" s="98">
        <v>35000</v>
      </c>
      <c r="K227" s="92">
        <v>3325</v>
      </c>
      <c r="L227" s="97">
        <v>10</v>
      </c>
      <c r="M227" s="120"/>
    </row>
    <row r="228" spans="2:13" ht="108" x14ac:dyDescent="0.25">
      <c r="B228" s="119">
        <v>215</v>
      </c>
      <c r="C228" s="54" t="s">
        <v>1876</v>
      </c>
      <c r="D228" s="54" t="s">
        <v>1436</v>
      </c>
      <c r="E228" s="54" t="s">
        <v>1753</v>
      </c>
      <c r="F228" s="84" t="s">
        <v>459</v>
      </c>
      <c r="G228" s="64">
        <v>2015</v>
      </c>
      <c r="H228" s="93">
        <v>33527.800000000003</v>
      </c>
      <c r="I228" s="64">
        <v>1</v>
      </c>
      <c r="J228" s="92">
        <f>I228*H228</f>
        <v>33527.800000000003</v>
      </c>
      <c r="K228" s="92">
        <v>6370.2820000000002</v>
      </c>
      <c r="L228" s="64">
        <v>5</v>
      </c>
      <c r="M228" s="120"/>
    </row>
    <row r="229" spans="2:13" ht="72" x14ac:dyDescent="0.25">
      <c r="B229" s="119">
        <v>216</v>
      </c>
      <c r="C229" s="54" t="s">
        <v>1879</v>
      </c>
      <c r="D229" s="54" t="s">
        <v>1531</v>
      </c>
      <c r="E229" s="54" t="s">
        <v>1880</v>
      </c>
      <c r="F229" s="84" t="s">
        <v>460</v>
      </c>
      <c r="G229" s="64">
        <v>2015</v>
      </c>
      <c r="H229" s="93">
        <v>34495</v>
      </c>
      <c r="I229" s="64">
        <v>1</v>
      </c>
      <c r="J229" s="92">
        <f>I229*H229</f>
        <v>34495</v>
      </c>
      <c r="K229" s="92">
        <v>6554.05</v>
      </c>
      <c r="L229" s="64">
        <v>5</v>
      </c>
      <c r="M229" s="120"/>
    </row>
    <row r="230" spans="2:13" ht="72" x14ac:dyDescent="0.25">
      <c r="B230" s="119">
        <v>217</v>
      </c>
      <c r="C230" s="89" t="s">
        <v>1888</v>
      </c>
      <c r="D230" s="54" t="s">
        <v>1436</v>
      </c>
      <c r="E230" s="54" t="s">
        <v>1437</v>
      </c>
      <c r="F230" s="84" t="s">
        <v>460</v>
      </c>
      <c r="G230" s="64">
        <v>2015</v>
      </c>
      <c r="H230" s="93">
        <v>28470</v>
      </c>
      <c r="I230" s="94">
        <v>1</v>
      </c>
      <c r="J230" s="92">
        <f>I230*H230</f>
        <v>28470</v>
      </c>
      <c r="K230" s="92">
        <v>5409.3</v>
      </c>
      <c r="L230" s="64">
        <v>5</v>
      </c>
      <c r="M230" s="120"/>
    </row>
    <row r="231" spans="2:13" ht="180" x14ac:dyDescent="0.25">
      <c r="B231" s="119">
        <v>218</v>
      </c>
      <c r="C231" s="89" t="s">
        <v>1889</v>
      </c>
      <c r="D231" s="54" t="s">
        <v>1531</v>
      </c>
      <c r="E231" s="54" t="s">
        <v>1890</v>
      </c>
      <c r="F231" s="84" t="s">
        <v>460</v>
      </c>
      <c r="G231" s="64">
        <v>2015</v>
      </c>
      <c r="H231" s="93">
        <v>33995</v>
      </c>
      <c r="I231" s="94">
        <v>1</v>
      </c>
      <c r="J231" s="92">
        <f>I231*H231</f>
        <v>33995</v>
      </c>
      <c r="K231" s="92">
        <v>6459.05</v>
      </c>
      <c r="L231" s="64">
        <v>5</v>
      </c>
      <c r="M231" s="120"/>
    </row>
    <row r="232" spans="2:13" ht="48" x14ac:dyDescent="0.25">
      <c r="B232" s="119">
        <v>219</v>
      </c>
      <c r="C232" s="60" t="s">
        <v>1899</v>
      </c>
      <c r="D232" s="60" t="s">
        <v>1900</v>
      </c>
      <c r="E232" s="90" t="s">
        <v>1901</v>
      </c>
      <c r="F232" s="84" t="s">
        <v>460</v>
      </c>
      <c r="G232" s="64">
        <v>2015</v>
      </c>
      <c r="H232" s="96">
        <v>78400</v>
      </c>
      <c r="I232" s="64">
        <v>1</v>
      </c>
      <c r="J232" s="96">
        <v>78400</v>
      </c>
      <c r="K232" s="92">
        <v>7448</v>
      </c>
      <c r="L232" s="97">
        <v>10</v>
      </c>
      <c r="M232" s="120"/>
    </row>
    <row r="233" spans="2:13" ht="60" x14ac:dyDescent="0.25">
      <c r="B233" s="119">
        <v>220</v>
      </c>
      <c r="C233" s="60" t="s">
        <v>1902</v>
      </c>
      <c r="D233" s="60" t="s">
        <v>1818</v>
      </c>
      <c r="E233" s="90" t="s">
        <v>1903</v>
      </c>
      <c r="F233" s="84" t="s">
        <v>460</v>
      </c>
      <c r="G233" s="66">
        <v>2015</v>
      </c>
      <c r="H233" s="86">
        <v>78400</v>
      </c>
      <c r="I233" s="66">
        <v>1</v>
      </c>
      <c r="J233" s="86">
        <v>78400</v>
      </c>
      <c r="K233" s="92">
        <v>7448</v>
      </c>
      <c r="L233" s="97">
        <v>10</v>
      </c>
      <c r="M233" s="120"/>
    </row>
    <row r="234" spans="2:13" ht="72" x14ac:dyDescent="0.25">
      <c r="B234" s="119">
        <v>221</v>
      </c>
      <c r="C234" s="54" t="s">
        <v>1933</v>
      </c>
      <c r="D234" s="54" t="s">
        <v>1439</v>
      </c>
      <c r="E234" s="54" t="s">
        <v>1934</v>
      </c>
      <c r="F234" s="84" t="s">
        <v>462</v>
      </c>
      <c r="G234" s="64">
        <v>2015</v>
      </c>
      <c r="H234" s="93">
        <v>33995</v>
      </c>
      <c r="I234" s="64">
        <v>1</v>
      </c>
      <c r="J234" s="92">
        <f>I234*H234</f>
        <v>33995</v>
      </c>
      <c r="K234" s="92">
        <v>6459.05</v>
      </c>
      <c r="L234" s="64">
        <v>5</v>
      </c>
      <c r="M234" s="120"/>
    </row>
    <row r="235" spans="2:13" ht="156" x14ac:dyDescent="0.25">
      <c r="B235" s="119">
        <v>222</v>
      </c>
      <c r="C235" s="89" t="s">
        <v>1949</v>
      </c>
      <c r="D235" s="54" t="s">
        <v>1531</v>
      </c>
      <c r="E235" s="54" t="s">
        <v>1738</v>
      </c>
      <c r="F235" s="84" t="s">
        <v>440</v>
      </c>
      <c r="G235" s="64">
        <v>2015</v>
      </c>
      <c r="H235" s="93">
        <v>33995</v>
      </c>
      <c r="I235" s="94">
        <v>1</v>
      </c>
      <c r="J235" s="92">
        <f>I235*H235</f>
        <v>33995</v>
      </c>
      <c r="K235" s="92">
        <v>6459.05</v>
      </c>
      <c r="L235" s="64">
        <v>5</v>
      </c>
      <c r="M235" s="120"/>
    </row>
    <row r="236" spans="2:13" ht="72" x14ac:dyDescent="0.25">
      <c r="B236" s="119">
        <v>223</v>
      </c>
      <c r="C236" s="60" t="s">
        <v>1961</v>
      </c>
      <c r="D236" s="60" t="s">
        <v>1662</v>
      </c>
      <c r="E236" s="90" t="s">
        <v>1962</v>
      </c>
      <c r="F236" s="84" t="s">
        <v>441</v>
      </c>
      <c r="G236" s="64">
        <v>2015</v>
      </c>
      <c r="H236" s="96">
        <v>22160</v>
      </c>
      <c r="I236" s="64">
        <v>1</v>
      </c>
      <c r="J236" s="96">
        <v>22160</v>
      </c>
      <c r="K236" s="92">
        <v>2105.1999999999998</v>
      </c>
      <c r="L236" s="97">
        <v>10</v>
      </c>
      <c r="M236" s="120"/>
    </row>
    <row r="237" spans="2:13" ht="96" x14ac:dyDescent="0.25">
      <c r="B237" s="119">
        <v>224</v>
      </c>
      <c r="C237" s="60" t="s">
        <v>1963</v>
      </c>
      <c r="D237" s="60" t="s">
        <v>1662</v>
      </c>
      <c r="E237" s="90" t="s">
        <v>1663</v>
      </c>
      <c r="F237" s="84" t="s">
        <v>441</v>
      </c>
      <c r="G237" s="64">
        <v>2015</v>
      </c>
      <c r="H237" s="98">
        <v>22160</v>
      </c>
      <c r="I237" s="66">
        <v>1</v>
      </c>
      <c r="J237" s="98">
        <v>22160</v>
      </c>
      <c r="K237" s="92">
        <v>2105.1999999999998</v>
      </c>
      <c r="L237" s="97">
        <v>10</v>
      </c>
      <c r="M237" s="120"/>
    </row>
    <row r="238" spans="2:13" ht="36" x14ac:dyDescent="0.25">
      <c r="B238" s="119">
        <v>225</v>
      </c>
      <c r="C238" s="60" t="s">
        <v>1968</v>
      </c>
      <c r="D238" s="60" t="s">
        <v>1969</v>
      </c>
      <c r="E238" s="90" t="s">
        <v>1970</v>
      </c>
      <c r="F238" s="84" t="s">
        <v>464</v>
      </c>
      <c r="G238" s="66">
        <v>2015</v>
      </c>
      <c r="H238" s="88">
        <v>38000</v>
      </c>
      <c r="I238" s="68">
        <v>1</v>
      </c>
      <c r="J238" s="88">
        <v>38000</v>
      </c>
      <c r="K238" s="92">
        <v>3610</v>
      </c>
      <c r="L238" s="97">
        <v>10</v>
      </c>
      <c r="M238" s="120"/>
    </row>
    <row r="239" spans="2:13" ht="96" x14ac:dyDescent="0.25">
      <c r="B239" s="119">
        <v>226</v>
      </c>
      <c r="C239" s="54" t="s">
        <v>1541</v>
      </c>
      <c r="D239" s="54" t="s">
        <v>1542</v>
      </c>
      <c r="E239" s="54" t="s">
        <v>1543</v>
      </c>
      <c r="F239" s="84" t="s">
        <v>444</v>
      </c>
      <c r="G239" s="66">
        <v>2016</v>
      </c>
      <c r="H239" s="86">
        <v>34495</v>
      </c>
      <c r="I239" s="68">
        <v>1</v>
      </c>
      <c r="J239" s="92">
        <f>I239*H239</f>
        <v>34495</v>
      </c>
      <c r="K239" s="92">
        <v>6554.05</v>
      </c>
      <c r="L239" s="64">
        <v>5</v>
      </c>
      <c r="M239" s="120"/>
    </row>
    <row r="240" spans="2:13" ht="72" x14ac:dyDescent="0.25">
      <c r="B240" s="119">
        <v>227</v>
      </c>
      <c r="C240" s="54" t="s">
        <v>1564</v>
      </c>
      <c r="D240" s="54" t="s">
        <v>1565</v>
      </c>
      <c r="E240" s="54" t="s">
        <v>1566</v>
      </c>
      <c r="F240" s="84" t="s">
        <v>447</v>
      </c>
      <c r="G240" s="97">
        <v>2016</v>
      </c>
      <c r="H240" s="67">
        <v>3950000</v>
      </c>
      <c r="I240" s="68">
        <v>1</v>
      </c>
      <c r="J240" s="71">
        <f>I240*H240</f>
        <v>3950000</v>
      </c>
      <c r="K240" s="71">
        <v>536071.42857142852</v>
      </c>
      <c r="L240" s="97">
        <v>7</v>
      </c>
      <c r="M240" s="120"/>
    </row>
    <row r="241" spans="1:13" ht="144" x14ac:dyDescent="0.25">
      <c r="B241" s="119">
        <v>228</v>
      </c>
      <c r="C241" s="54" t="s">
        <v>1691</v>
      </c>
      <c r="D241" s="54" t="s">
        <v>1531</v>
      </c>
      <c r="E241" s="54" t="s">
        <v>1692</v>
      </c>
      <c r="F241" s="84" t="s">
        <v>451</v>
      </c>
      <c r="G241" s="66">
        <v>2016</v>
      </c>
      <c r="H241" s="86">
        <v>32200</v>
      </c>
      <c r="I241" s="66">
        <v>1</v>
      </c>
      <c r="J241" s="92">
        <f>I241*H241</f>
        <v>32200</v>
      </c>
      <c r="K241" s="92">
        <v>6118</v>
      </c>
      <c r="L241" s="64">
        <v>5</v>
      </c>
      <c r="M241" s="120"/>
    </row>
    <row r="242" spans="1:13" ht="144" x14ac:dyDescent="0.25">
      <c r="B242" s="119">
        <v>229</v>
      </c>
      <c r="C242" s="54" t="s">
        <v>1693</v>
      </c>
      <c r="D242" s="54" t="s">
        <v>1531</v>
      </c>
      <c r="E242" s="54" t="s">
        <v>1694</v>
      </c>
      <c r="F242" s="84" t="s">
        <v>451</v>
      </c>
      <c r="G242" s="66">
        <v>2016</v>
      </c>
      <c r="H242" s="86">
        <v>32200</v>
      </c>
      <c r="I242" s="66">
        <v>1</v>
      </c>
      <c r="J242" s="92">
        <f>I242*H242</f>
        <v>32200</v>
      </c>
      <c r="K242" s="92">
        <v>6118</v>
      </c>
      <c r="L242" s="64">
        <v>5</v>
      </c>
      <c r="M242" s="120"/>
    </row>
    <row r="243" spans="1:13" ht="144" x14ac:dyDescent="0.25">
      <c r="B243" s="119">
        <v>230</v>
      </c>
      <c r="C243" s="54" t="s">
        <v>1695</v>
      </c>
      <c r="D243" s="54" t="s">
        <v>1531</v>
      </c>
      <c r="E243" s="54" t="s">
        <v>1696</v>
      </c>
      <c r="F243" s="84" t="s">
        <v>451</v>
      </c>
      <c r="G243" s="66">
        <v>2016</v>
      </c>
      <c r="H243" s="86">
        <v>32200</v>
      </c>
      <c r="I243" s="66">
        <v>1</v>
      </c>
      <c r="J243" s="92">
        <f>I243*H243</f>
        <v>32200</v>
      </c>
      <c r="K243" s="92">
        <v>6118</v>
      </c>
      <c r="L243" s="64">
        <v>5</v>
      </c>
      <c r="M243" s="120"/>
    </row>
    <row r="244" spans="1:13" x14ac:dyDescent="0.25">
      <c r="B244" s="119">
        <v>231</v>
      </c>
      <c r="C244" s="60" t="s">
        <v>1708</v>
      </c>
      <c r="D244" s="60" t="s">
        <v>1463</v>
      </c>
      <c r="E244" s="90" t="s">
        <v>1709</v>
      </c>
      <c r="F244" s="84" t="s">
        <v>440</v>
      </c>
      <c r="G244" s="66">
        <v>2016</v>
      </c>
      <c r="H244" s="98">
        <v>20000</v>
      </c>
      <c r="I244" s="66">
        <v>1</v>
      </c>
      <c r="J244" s="98">
        <v>20000</v>
      </c>
      <c r="K244" s="92">
        <v>1900</v>
      </c>
      <c r="L244" s="97">
        <v>10</v>
      </c>
      <c r="M244" s="120"/>
    </row>
    <row r="245" spans="1:13" x14ac:dyDescent="0.25">
      <c r="B245" s="119">
        <v>232</v>
      </c>
      <c r="C245" s="60" t="s">
        <v>1715</v>
      </c>
      <c r="D245" s="60" t="s">
        <v>1463</v>
      </c>
      <c r="E245" s="90" t="s">
        <v>1709</v>
      </c>
      <c r="F245" s="84" t="s">
        <v>440</v>
      </c>
      <c r="G245" s="66">
        <v>2016</v>
      </c>
      <c r="H245" s="98">
        <v>20000</v>
      </c>
      <c r="I245" s="66">
        <v>1</v>
      </c>
      <c r="J245" s="98">
        <v>20000</v>
      </c>
      <c r="K245" s="92">
        <v>1900</v>
      </c>
      <c r="L245" s="97">
        <v>10</v>
      </c>
      <c r="M245" s="120"/>
    </row>
    <row r="246" spans="1:13" ht="144" x14ac:dyDescent="0.25">
      <c r="B246" s="119">
        <v>233</v>
      </c>
      <c r="C246" s="54" t="s">
        <v>1845</v>
      </c>
      <c r="D246" s="54" t="s">
        <v>1531</v>
      </c>
      <c r="E246" s="54" t="s">
        <v>1692</v>
      </c>
      <c r="F246" s="84" t="s">
        <v>455</v>
      </c>
      <c r="G246" s="66">
        <v>2016</v>
      </c>
      <c r="H246" s="86">
        <v>32200</v>
      </c>
      <c r="I246" s="66">
        <v>1</v>
      </c>
      <c r="J246" s="92">
        <f>I246*H246</f>
        <v>32200</v>
      </c>
      <c r="K246" s="92">
        <v>6118</v>
      </c>
      <c r="L246" s="64">
        <v>5</v>
      </c>
      <c r="M246" s="120"/>
    </row>
    <row r="247" spans="1:13" ht="48" x14ac:dyDescent="0.25">
      <c r="B247" s="119">
        <v>234</v>
      </c>
      <c r="C247" s="60" t="s">
        <v>1904</v>
      </c>
      <c r="D247" s="60" t="s">
        <v>1463</v>
      </c>
      <c r="E247" s="90" t="s">
        <v>1905</v>
      </c>
      <c r="F247" s="84" t="s">
        <v>460</v>
      </c>
      <c r="G247" s="66">
        <v>2016</v>
      </c>
      <c r="H247" s="86">
        <v>98995</v>
      </c>
      <c r="I247" s="68">
        <v>1</v>
      </c>
      <c r="J247" s="86">
        <v>98995</v>
      </c>
      <c r="K247" s="92">
        <v>9404.5249999999996</v>
      </c>
      <c r="L247" s="97">
        <v>10</v>
      </c>
      <c r="M247" s="120"/>
    </row>
    <row r="248" spans="1:13" ht="96" x14ac:dyDescent="0.25">
      <c r="B248" s="119">
        <v>235</v>
      </c>
      <c r="C248" s="54" t="s">
        <v>1929</v>
      </c>
      <c r="D248" s="54" t="s">
        <v>1542</v>
      </c>
      <c r="E248" s="54" t="s">
        <v>1930</v>
      </c>
      <c r="F248" s="84" t="s">
        <v>461</v>
      </c>
      <c r="G248" s="66">
        <v>2016</v>
      </c>
      <c r="H248" s="86">
        <v>34495</v>
      </c>
      <c r="I248" s="66">
        <v>1</v>
      </c>
      <c r="J248" s="92">
        <f>I248*H248</f>
        <v>34495</v>
      </c>
      <c r="K248" s="92">
        <v>6554.05</v>
      </c>
      <c r="L248" s="64">
        <v>5</v>
      </c>
      <c r="M248" s="120"/>
    </row>
    <row r="249" spans="1:13" ht="36" x14ac:dyDescent="0.25">
      <c r="B249" s="119">
        <v>236</v>
      </c>
      <c r="C249" s="54" t="s">
        <v>1972</v>
      </c>
      <c r="D249" s="54" t="s">
        <v>1973</v>
      </c>
      <c r="E249" s="54" t="s">
        <v>1974</v>
      </c>
      <c r="F249" s="84" t="s">
        <v>440</v>
      </c>
      <c r="G249" s="66">
        <v>2016</v>
      </c>
      <c r="H249" s="86">
        <v>48000</v>
      </c>
      <c r="I249" s="68">
        <v>1</v>
      </c>
      <c r="J249" s="92">
        <f>H249*I249</f>
        <v>48000</v>
      </c>
      <c r="K249" s="92">
        <v>9120</v>
      </c>
      <c r="L249" s="66">
        <v>5</v>
      </c>
      <c r="M249" s="120"/>
    </row>
    <row r="250" spans="1:13" ht="60" x14ac:dyDescent="0.25">
      <c r="A250" s="122"/>
      <c r="B250" s="119">
        <v>237</v>
      </c>
      <c r="C250" s="54" t="s">
        <v>1975</v>
      </c>
      <c r="D250" s="54" t="s">
        <v>1512</v>
      </c>
      <c r="E250" s="54" t="s">
        <v>1976</v>
      </c>
      <c r="F250" s="84" t="s">
        <v>440</v>
      </c>
      <c r="G250" s="66">
        <v>2016</v>
      </c>
      <c r="H250" s="86">
        <v>19500</v>
      </c>
      <c r="I250" s="66">
        <v>1</v>
      </c>
      <c r="J250" s="92">
        <f t="shared" ref="J250:J261" si="6">I250*H250</f>
        <v>19500</v>
      </c>
      <c r="K250" s="92">
        <v>3705</v>
      </c>
      <c r="L250" s="64">
        <v>5</v>
      </c>
      <c r="M250" s="119"/>
    </row>
    <row r="251" spans="1:13" ht="132" x14ac:dyDescent="0.25">
      <c r="B251" s="119">
        <v>238</v>
      </c>
      <c r="C251" s="54" t="s">
        <v>1502</v>
      </c>
      <c r="D251" s="54" t="s">
        <v>1503</v>
      </c>
      <c r="E251" s="54" t="s">
        <v>1504</v>
      </c>
      <c r="F251" s="84" t="s">
        <v>439</v>
      </c>
      <c r="G251" s="64">
        <v>2017</v>
      </c>
      <c r="H251" s="93">
        <v>36900</v>
      </c>
      <c r="I251" s="64">
        <v>1</v>
      </c>
      <c r="J251" s="92">
        <f t="shared" si="6"/>
        <v>36900</v>
      </c>
      <c r="K251" s="92">
        <v>7011</v>
      </c>
      <c r="L251" s="64">
        <v>5</v>
      </c>
      <c r="M251" s="120"/>
    </row>
    <row r="252" spans="1:13" ht="132" x14ac:dyDescent="0.25">
      <c r="B252" s="119">
        <v>239</v>
      </c>
      <c r="C252" s="54" t="s">
        <v>1521</v>
      </c>
      <c r="D252" s="54" t="s">
        <v>1503</v>
      </c>
      <c r="E252" s="54" t="s">
        <v>1522</v>
      </c>
      <c r="F252" s="84" t="s">
        <v>443</v>
      </c>
      <c r="G252" s="64">
        <v>2017</v>
      </c>
      <c r="H252" s="93">
        <v>36900</v>
      </c>
      <c r="I252" s="64">
        <v>1</v>
      </c>
      <c r="J252" s="92">
        <f t="shared" si="6"/>
        <v>36900</v>
      </c>
      <c r="K252" s="92">
        <v>7011</v>
      </c>
      <c r="L252" s="64">
        <v>5</v>
      </c>
      <c r="M252" s="120"/>
    </row>
    <row r="253" spans="1:13" ht="96" x14ac:dyDescent="0.25">
      <c r="B253" s="119">
        <v>240</v>
      </c>
      <c r="C253" s="89" t="s">
        <v>1575</v>
      </c>
      <c r="D253" s="54" t="s">
        <v>1503</v>
      </c>
      <c r="E253" s="54" t="s">
        <v>1576</v>
      </c>
      <c r="F253" s="84" t="s">
        <v>449</v>
      </c>
      <c r="G253" s="64">
        <v>2017</v>
      </c>
      <c r="H253" s="93">
        <v>36900</v>
      </c>
      <c r="I253" s="94">
        <v>1</v>
      </c>
      <c r="J253" s="92">
        <f t="shared" si="6"/>
        <v>36900</v>
      </c>
      <c r="K253" s="92">
        <v>7011</v>
      </c>
      <c r="L253" s="64">
        <v>5</v>
      </c>
      <c r="M253" s="120"/>
    </row>
    <row r="254" spans="1:13" ht="132" x14ac:dyDescent="0.25">
      <c r="B254" s="119">
        <v>241</v>
      </c>
      <c r="C254" s="54" t="s">
        <v>1579</v>
      </c>
      <c r="D254" s="54" t="s">
        <v>1503</v>
      </c>
      <c r="E254" s="54" t="s">
        <v>1580</v>
      </c>
      <c r="F254" s="84" t="s">
        <v>449</v>
      </c>
      <c r="G254" s="64">
        <v>2017</v>
      </c>
      <c r="H254" s="93">
        <v>36900</v>
      </c>
      <c r="I254" s="64">
        <v>1</v>
      </c>
      <c r="J254" s="92">
        <f t="shared" si="6"/>
        <v>36900</v>
      </c>
      <c r="K254" s="92">
        <v>7011</v>
      </c>
      <c r="L254" s="64">
        <v>5</v>
      </c>
      <c r="M254" s="120"/>
    </row>
    <row r="255" spans="1:13" ht="96" x14ac:dyDescent="0.25">
      <c r="B255" s="119">
        <v>242</v>
      </c>
      <c r="C255" s="89" t="s">
        <v>1620</v>
      </c>
      <c r="D255" s="54" t="s">
        <v>1503</v>
      </c>
      <c r="E255" s="54" t="s">
        <v>1576</v>
      </c>
      <c r="F255" s="84" t="s">
        <v>440</v>
      </c>
      <c r="G255" s="64">
        <v>2017</v>
      </c>
      <c r="H255" s="93">
        <v>36900</v>
      </c>
      <c r="I255" s="94">
        <v>1</v>
      </c>
      <c r="J255" s="92">
        <f t="shared" si="6"/>
        <v>36900</v>
      </c>
      <c r="K255" s="92">
        <v>7011</v>
      </c>
      <c r="L255" s="64">
        <v>5</v>
      </c>
      <c r="M255" s="120"/>
    </row>
    <row r="256" spans="1:13" ht="96" x14ac:dyDescent="0.25">
      <c r="B256" s="119">
        <v>243</v>
      </c>
      <c r="C256" s="89" t="s">
        <v>1642</v>
      </c>
      <c r="D256" s="54" t="s">
        <v>1503</v>
      </c>
      <c r="E256" s="54" t="s">
        <v>1576</v>
      </c>
      <c r="F256" s="84" t="s">
        <v>450</v>
      </c>
      <c r="G256" s="64">
        <v>2017</v>
      </c>
      <c r="H256" s="93">
        <v>36900</v>
      </c>
      <c r="I256" s="94">
        <v>1</v>
      </c>
      <c r="J256" s="92">
        <f t="shared" si="6"/>
        <v>36900</v>
      </c>
      <c r="K256" s="92">
        <v>7011</v>
      </c>
      <c r="L256" s="64">
        <v>5</v>
      </c>
      <c r="M256" s="120"/>
    </row>
    <row r="257" spans="2:13" ht="96" x14ac:dyDescent="0.25">
      <c r="B257" s="119">
        <v>244</v>
      </c>
      <c r="C257" s="89" t="s">
        <v>1664</v>
      </c>
      <c r="D257" s="54" t="s">
        <v>1503</v>
      </c>
      <c r="E257" s="54" t="s">
        <v>1576</v>
      </c>
      <c r="F257" s="84" t="s">
        <v>440</v>
      </c>
      <c r="G257" s="64">
        <v>2017</v>
      </c>
      <c r="H257" s="93">
        <v>36900</v>
      </c>
      <c r="I257" s="94">
        <v>1</v>
      </c>
      <c r="J257" s="92">
        <f t="shared" si="6"/>
        <v>36900</v>
      </c>
      <c r="K257" s="92">
        <v>7011</v>
      </c>
      <c r="L257" s="64">
        <v>5</v>
      </c>
      <c r="M257" s="120"/>
    </row>
    <row r="258" spans="2:13" ht="84" x14ac:dyDescent="0.25">
      <c r="B258" s="119">
        <v>245</v>
      </c>
      <c r="C258" s="54" t="s">
        <v>1677</v>
      </c>
      <c r="D258" s="56" t="s">
        <v>1678</v>
      </c>
      <c r="E258" s="56" t="s">
        <v>1679</v>
      </c>
      <c r="F258" s="84" t="s">
        <v>451</v>
      </c>
      <c r="G258" s="64">
        <v>2017</v>
      </c>
      <c r="H258" s="93">
        <v>35000</v>
      </c>
      <c r="I258" s="94">
        <v>5</v>
      </c>
      <c r="J258" s="92">
        <f t="shared" si="6"/>
        <v>175000</v>
      </c>
      <c r="K258" s="92">
        <v>6650</v>
      </c>
      <c r="L258" s="64">
        <v>5</v>
      </c>
      <c r="M258" s="120"/>
    </row>
    <row r="259" spans="2:13" ht="96" x14ac:dyDescent="0.25">
      <c r="B259" s="119">
        <v>246</v>
      </c>
      <c r="C259" s="54" t="s">
        <v>1680</v>
      </c>
      <c r="D259" s="56" t="s">
        <v>1503</v>
      </c>
      <c r="E259" s="56" t="s">
        <v>1681</v>
      </c>
      <c r="F259" s="84" t="s">
        <v>451</v>
      </c>
      <c r="G259" s="64">
        <v>2017</v>
      </c>
      <c r="H259" s="93">
        <v>34785</v>
      </c>
      <c r="I259" s="94">
        <v>1</v>
      </c>
      <c r="J259" s="92">
        <f t="shared" si="6"/>
        <v>34785</v>
      </c>
      <c r="K259" s="92">
        <v>6609.15</v>
      </c>
      <c r="L259" s="64">
        <v>5</v>
      </c>
      <c r="M259" s="120"/>
    </row>
    <row r="260" spans="2:13" ht="132" x14ac:dyDescent="0.25">
      <c r="B260" s="119">
        <v>247</v>
      </c>
      <c r="C260" s="54" t="s">
        <v>1706</v>
      </c>
      <c r="D260" s="54" t="s">
        <v>1503</v>
      </c>
      <c r="E260" s="54" t="s">
        <v>1707</v>
      </c>
      <c r="F260" s="84" t="s">
        <v>440</v>
      </c>
      <c r="G260" s="64">
        <v>2017</v>
      </c>
      <c r="H260" s="93">
        <v>36900</v>
      </c>
      <c r="I260" s="64">
        <v>1</v>
      </c>
      <c r="J260" s="92">
        <f t="shared" si="6"/>
        <v>36900</v>
      </c>
      <c r="K260" s="92">
        <v>7011</v>
      </c>
      <c r="L260" s="64">
        <v>5</v>
      </c>
      <c r="M260" s="120"/>
    </row>
    <row r="261" spans="2:13" ht="132" x14ac:dyDescent="0.25">
      <c r="B261" s="119">
        <v>248</v>
      </c>
      <c r="C261" s="54" t="s">
        <v>1748</v>
      </c>
      <c r="D261" s="54" t="s">
        <v>1503</v>
      </c>
      <c r="E261" s="54" t="s">
        <v>1749</v>
      </c>
      <c r="F261" s="84" t="s">
        <v>453</v>
      </c>
      <c r="G261" s="64">
        <v>2017</v>
      </c>
      <c r="H261" s="93">
        <v>36900</v>
      </c>
      <c r="I261" s="64">
        <v>1</v>
      </c>
      <c r="J261" s="92">
        <f t="shared" si="6"/>
        <v>36900</v>
      </c>
      <c r="K261" s="92">
        <v>7011</v>
      </c>
      <c r="L261" s="64">
        <v>5</v>
      </c>
      <c r="M261" s="120"/>
    </row>
    <row r="262" spans="2:13" ht="72" x14ac:dyDescent="0.25">
      <c r="B262" s="119">
        <v>249</v>
      </c>
      <c r="C262" s="60" t="s">
        <v>1768</v>
      </c>
      <c r="D262" s="60" t="s">
        <v>1769</v>
      </c>
      <c r="E262" s="90" t="s">
        <v>1770</v>
      </c>
      <c r="F262" s="84" t="s">
        <v>453</v>
      </c>
      <c r="G262" s="64">
        <v>2017</v>
      </c>
      <c r="H262" s="96">
        <v>38600</v>
      </c>
      <c r="I262" s="64">
        <v>2</v>
      </c>
      <c r="J262" s="96">
        <v>38600</v>
      </c>
      <c r="K262" s="92">
        <v>3667</v>
      </c>
      <c r="L262" s="97">
        <v>10</v>
      </c>
      <c r="M262" s="120"/>
    </row>
    <row r="263" spans="2:13" ht="36" x14ac:dyDescent="0.25">
      <c r="B263" s="119">
        <v>250</v>
      </c>
      <c r="C263" s="60" t="s">
        <v>1814</v>
      </c>
      <c r="D263" s="60" t="s">
        <v>1815</v>
      </c>
      <c r="E263" s="90" t="s">
        <v>1816</v>
      </c>
      <c r="F263" s="84" t="s">
        <v>454</v>
      </c>
      <c r="G263" s="64">
        <v>2017</v>
      </c>
      <c r="H263" s="96">
        <v>29990</v>
      </c>
      <c r="I263" s="64">
        <v>1</v>
      </c>
      <c r="J263" s="96">
        <v>29990</v>
      </c>
      <c r="K263" s="92">
        <v>2849.05</v>
      </c>
      <c r="L263" s="97">
        <v>10</v>
      </c>
      <c r="M263" s="120"/>
    </row>
    <row r="264" spans="2:13" ht="60" x14ac:dyDescent="0.25">
      <c r="B264" s="119">
        <v>251</v>
      </c>
      <c r="C264" s="60" t="s">
        <v>1837</v>
      </c>
      <c r="D264" s="60" t="s">
        <v>1838</v>
      </c>
      <c r="E264" s="90" t="s">
        <v>1839</v>
      </c>
      <c r="F264" s="84" t="s">
        <v>445</v>
      </c>
      <c r="G264" s="64">
        <v>2017</v>
      </c>
      <c r="H264" s="96">
        <v>22500</v>
      </c>
      <c r="I264" s="64">
        <v>1</v>
      </c>
      <c r="J264" s="96">
        <v>22500</v>
      </c>
      <c r="K264" s="92">
        <v>2137.5</v>
      </c>
      <c r="L264" s="97">
        <v>10</v>
      </c>
      <c r="M264" s="120"/>
    </row>
    <row r="265" spans="2:13" ht="120" x14ac:dyDescent="0.25">
      <c r="B265" s="119">
        <v>252</v>
      </c>
      <c r="C265" s="89" t="s">
        <v>1872</v>
      </c>
      <c r="D265" s="54" t="s">
        <v>1503</v>
      </c>
      <c r="E265" s="54" t="s">
        <v>1873</v>
      </c>
      <c r="F265" s="84" t="s">
        <v>441</v>
      </c>
      <c r="G265" s="64">
        <v>2017</v>
      </c>
      <c r="H265" s="93">
        <v>34785</v>
      </c>
      <c r="I265" s="94">
        <v>1</v>
      </c>
      <c r="J265" s="92">
        <f>I265*H265</f>
        <v>34785</v>
      </c>
      <c r="K265" s="92">
        <v>6609.15</v>
      </c>
      <c r="L265" s="64">
        <v>5</v>
      </c>
      <c r="M265" s="120"/>
    </row>
    <row r="266" spans="2:13" ht="180" x14ac:dyDescent="0.25">
      <c r="B266" s="119">
        <v>253</v>
      </c>
      <c r="C266" s="54" t="s">
        <v>1935</v>
      </c>
      <c r="D266" s="54" t="s">
        <v>1503</v>
      </c>
      <c r="E266" s="54" t="s">
        <v>1936</v>
      </c>
      <c r="F266" s="84" t="s">
        <v>462</v>
      </c>
      <c r="G266" s="64">
        <v>2017</v>
      </c>
      <c r="H266" s="93">
        <v>36900</v>
      </c>
      <c r="I266" s="64">
        <v>3</v>
      </c>
      <c r="J266" s="92">
        <f>I266*H266</f>
        <v>110700</v>
      </c>
      <c r="K266" s="92">
        <v>7011</v>
      </c>
      <c r="L266" s="64">
        <v>5</v>
      </c>
      <c r="M266" s="120"/>
    </row>
    <row r="267" spans="2:13" ht="49.5" x14ac:dyDescent="0.25">
      <c r="B267" s="119">
        <v>254</v>
      </c>
      <c r="C267" s="54" t="s">
        <v>1937</v>
      </c>
      <c r="D267" s="54" t="s">
        <v>1938</v>
      </c>
      <c r="E267" s="54" t="s">
        <v>1939</v>
      </c>
      <c r="F267" s="84" t="s">
        <v>462</v>
      </c>
      <c r="G267" s="64">
        <v>2017</v>
      </c>
      <c r="H267" s="93">
        <v>25000</v>
      </c>
      <c r="I267" s="64">
        <v>1</v>
      </c>
      <c r="J267" s="92">
        <f>I267*H267</f>
        <v>25000</v>
      </c>
      <c r="K267" s="92">
        <v>4750</v>
      </c>
      <c r="L267" s="64">
        <v>5</v>
      </c>
      <c r="M267" s="120"/>
    </row>
    <row r="268" spans="2:13" ht="96" x14ac:dyDescent="0.25">
      <c r="B268" s="119">
        <v>255</v>
      </c>
      <c r="C268" s="89" t="s">
        <v>1971</v>
      </c>
      <c r="D268" s="54" t="s">
        <v>1503</v>
      </c>
      <c r="E268" s="54" t="s">
        <v>1576</v>
      </c>
      <c r="F268" s="84" t="s">
        <v>440</v>
      </c>
      <c r="G268" s="64">
        <v>2017</v>
      </c>
      <c r="H268" s="93">
        <v>36900</v>
      </c>
      <c r="I268" s="94">
        <v>1</v>
      </c>
      <c r="J268" s="92">
        <f>I268*H268</f>
        <v>36900</v>
      </c>
      <c r="K268" s="92">
        <v>7011</v>
      </c>
      <c r="L268" s="64">
        <v>5</v>
      </c>
      <c r="M268" s="120"/>
    </row>
    <row r="269" spans="2:13" ht="33" x14ac:dyDescent="0.25">
      <c r="B269" s="119">
        <v>256</v>
      </c>
      <c r="C269" s="60" t="s">
        <v>1777</v>
      </c>
      <c r="D269" s="60" t="s">
        <v>1463</v>
      </c>
      <c r="E269" s="90" t="s">
        <v>438</v>
      </c>
      <c r="F269" s="84" t="s">
        <v>453</v>
      </c>
      <c r="G269" s="66">
        <v>2016</v>
      </c>
      <c r="H269" s="98">
        <v>26495</v>
      </c>
      <c r="I269" s="66">
        <v>1</v>
      </c>
      <c r="J269" s="98">
        <v>26495</v>
      </c>
      <c r="K269" s="92">
        <v>2517.0250000000001</v>
      </c>
      <c r="L269" s="97">
        <v>10</v>
      </c>
      <c r="M269" s="120"/>
    </row>
    <row r="270" spans="2:13" ht="33" x14ac:dyDescent="0.25">
      <c r="B270" s="119">
        <v>257</v>
      </c>
      <c r="C270" s="60" t="s">
        <v>1822</v>
      </c>
      <c r="D270" s="60" t="s">
        <v>1463</v>
      </c>
      <c r="E270" s="90" t="s">
        <v>1823</v>
      </c>
      <c r="F270" s="84" t="s">
        <v>1977</v>
      </c>
      <c r="G270" s="64"/>
      <c r="H270" s="96">
        <v>15900</v>
      </c>
      <c r="I270" s="64">
        <v>1</v>
      </c>
      <c r="J270" s="96">
        <v>15900</v>
      </c>
      <c r="K270" s="92">
        <v>1510.5</v>
      </c>
      <c r="L270" s="97">
        <v>10</v>
      </c>
      <c r="M270" s="120"/>
    </row>
    <row r="271" spans="2:13" ht="33" x14ac:dyDescent="0.25">
      <c r="B271" s="119">
        <v>258</v>
      </c>
      <c r="C271" s="54" t="s">
        <v>1846</v>
      </c>
      <c r="D271" s="56" t="s">
        <v>1847</v>
      </c>
      <c r="E271" s="56" t="s">
        <v>1848</v>
      </c>
      <c r="F271" s="84" t="s">
        <v>452</v>
      </c>
      <c r="G271" s="66">
        <v>2016</v>
      </c>
      <c r="H271" s="86">
        <v>79919.69</v>
      </c>
      <c r="I271" s="68">
        <v>127</v>
      </c>
      <c r="J271" s="92">
        <f>I271*H271</f>
        <v>10149800.630000001</v>
      </c>
      <c r="K271" s="92">
        <v>15184.741099999999</v>
      </c>
      <c r="L271" s="64">
        <v>5</v>
      </c>
      <c r="M271" s="120"/>
    </row>
    <row r="272" spans="2:13" ht="33" x14ac:dyDescent="0.25">
      <c r="B272" s="119">
        <v>259</v>
      </c>
      <c r="C272" s="123" t="s">
        <v>1867</v>
      </c>
      <c r="D272" s="123" t="s">
        <v>1868</v>
      </c>
      <c r="E272" s="124"/>
      <c r="F272" s="84" t="s">
        <v>458</v>
      </c>
      <c r="G272" s="66">
        <v>2016</v>
      </c>
      <c r="H272" s="101">
        <v>223660</v>
      </c>
      <c r="I272" s="100">
        <v>1</v>
      </c>
      <c r="J272" s="101">
        <v>223660</v>
      </c>
      <c r="K272" s="102">
        <v>21247.7</v>
      </c>
      <c r="L272" s="125">
        <v>10</v>
      </c>
      <c r="M272" s="121"/>
    </row>
    <row r="273" spans="1:13" ht="36" x14ac:dyDescent="0.25">
      <c r="A273" s="119"/>
      <c r="B273" s="119">
        <v>260</v>
      </c>
      <c r="C273" s="54" t="s">
        <v>1906</v>
      </c>
      <c r="D273" s="56" t="s">
        <v>1472</v>
      </c>
      <c r="E273" s="56" t="s">
        <v>1907</v>
      </c>
      <c r="F273" s="84" t="s">
        <v>461</v>
      </c>
      <c r="G273" s="64">
        <v>2013</v>
      </c>
      <c r="H273" s="86">
        <v>55000</v>
      </c>
      <c r="I273" s="66">
        <v>1</v>
      </c>
      <c r="J273" s="92">
        <f>H273*I273</f>
        <v>55000</v>
      </c>
      <c r="K273" s="92">
        <v>10450</v>
      </c>
      <c r="L273" s="64">
        <v>5</v>
      </c>
      <c r="M273" s="120"/>
    </row>
    <row r="274" spans="1:13" ht="33" x14ac:dyDescent="0.25">
      <c r="A274" s="119"/>
      <c r="B274" s="119">
        <v>261</v>
      </c>
      <c r="C274" s="54"/>
      <c r="D274" s="56" t="s">
        <v>1994</v>
      </c>
      <c r="E274" s="56" t="s">
        <v>1994</v>
      </c>
      <c r="F274" s="84" t="s">
        <v>454</v>
      </c>
      <c r="G274" s="64">
        <v>2017</v>
      </c>
      <c r="H274" s="86">
        <v>940000</v>
      </c>
      <c r="I274" s="66">
        <v>1</v>
      </c>
      <c r="J274" s="92">
        <f>H274*I274</f>
        <v>940000</v>
      </c>
      <c r="K274" s="92">
        <v>178600</v>
      </c>
      <c r="L274" s="64">
        <v>5</v>
      </c>
      <c r="M274" s="120"/>
    </row>
    <row r="275" spans="1:13" ht="49.5" x14ac:dyDescent="0.25">
      <c r="A275" s="119"/>
      <c r="B275" s="119">
        <v>262</v>
      </c>
      <c r="C275" s="54"/>
      <c r="D275" s="56" t="s">
        <v>2142</v>
      </c>
      <c r="E275" s="56" t="s">
        <v>2141</v>
      </c>
      <c r="F275" s="84" t="s">
        <v>462</v>
      </c>
      <c r="G275" s="64">
        <v>2018</v>
      </c>
      <c r="H275" s="86">
        <v>19050</v>
      </c>
      <c r="I275" s="66">
        <v>1</v>
      </c>
      <c r="J275" s="92">
        <f>H275*I275</f>
        <v>19050</v>
      </c>
      <c r="K275" s="92">
        <v>3619.5</v>
      </c>
      <c r="L275" s="64">
        <v>5</v>
      </c>
      <c r="M275" s="120"/>
    </row>
    <row r="277" spans="1:13" x14ac:dyDescent="0.25">
      <c r="K277" s="126"/>
      <c r="L277" s="126"/>
    </row>
  </sheetData>
  <sheetProtection formatColumns="0" formatRows="0" sort="0" autoFilter="0"/>
  <sortState ref="A14:DR273">
    <sortCondition ref="G14:G273"/>
  </sortState>
  <dataValidations count="2">
    <dataValidation type="date" operator="greaterThan" allowBlank="1" showInputMessage="1" showErrorMessage="1" sqref="G14:G272">
      <formula1>1</formula1>
    </dataValidation>
    <dataValidation type="decimal" operator="greaterThanOrEqual" allowBlank="1" showInputMessage="1" showErrorMessage="1" sqref="H14:L272">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NonMeds" altText="Add Drug / Medication / Supply">
                <anchor moveWithCells="1">
                  <from>
                    <xdr:col>1</xdr:col>
                    <xdr:colOff>85725</xdr:colOff>
                    <xdr:row>13</xdr:row>
                    <xdr:rowOff>19050</xdr:rowOff>
                  </from>
                  <to>
                    <xdr:col>1</xdr:col>
                    <xdr:colOff>809625</xdr:colOff>
                    <xdr:row>13</xdr:row>
                    <xdr:rowOff>171450</xdr:rowOff>
                  </to>
                </anchor>
              </controlPr>
            </control>
          </mc:Choice>
        </mc:AlternateContent>
        <mc:AlternateContent xmlns:mc="http://schemas.openxmlformats.org/markup-compatibility/2006">
          <mc:Choice Requires="x14">
            <control shapeId="3074" r:id="rId4" name="Button 2">
              <controlPr defaultSize="0" print="0" autoFill="0" autoPict="0" macro="[0]!Delete_NonMeds" altText="Delete Drug / Medication / Supply">
                <anchor moveWithCells="1">
                  <from>
                    <xdr:col>1</xdr:col>
                    <xdr:colOff>847725</xdr:colOff>
                    <xdr:row>13</xdr:row>
                    <xdr:rowOff>19050</xdr:rowOff>
                  </from>
                  <to>
                    <xdr:col>2</xdr:col>
                    <xdr:colOff>523875</xdr:colOff>
                    <xdr:row>13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F14:F275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RowHeight="15" x14ac:dyDescent="0.25"/>
  <cols>
    <col min="2" max="2" width="58.140625" bestFit="1" customWidth="1"/>
  </cols>
  <sheetData>
    <row r="1" spans="1:2" x14ac:dyDescent="0.25">
      <c r="B1" s="46" t="s">
        <v>109</v>
      </c>
    </row>
    <row r="2" spans="1:2" x14ac:dyDescent="0.25">
      <c r="A2">
        <v>1</v>
      </c>
      <c r="B2" t="str">
        <f>IF('9.1Furnitures&amp;Fixtures'!$C$10="Level I",'Level I_Departments'!C4,'Level IIandIII_Departments'!C4)</f>
        <v>Administrative/Overhead services -&gt; Office of the Medical Center Chief</v>
      </c>
    </row>
    <row r="3" spans="1:2" x14ac:dyDescent="0.25">
      <c r="A3">
        <f>A2+1</f>
        <v>2</v>
      </c>
      <c r="B3" t="str">
        <f>IF('9.1Furnitures&amp;Fixtures'!$C$10="Level I",'Level I_Departments'!C5,'Level IIandIII_Departments'!C5)</f>
        <v>Administrative/Overhead services -&gt; IT Departments</v>
      </c>
    </row>
    <row r="4" spans="1:2" x14ac:dyDescent="0.25">
      <c r="A4">
        <f>A3+1</f>
        <v>3</v>
      </c>
      <c r="B4" t="str">
        <f>IF('9.1Furnitures&amp;Fixtures'!$C$10="Level I",'Level I_Departments'!C6,'Level IIandIII_Departments'!C6)</f>
        <v>Administrative/Overhead services -&gt; Office of the Administrative Officer</v>
      </c>
    </row>
    <row r="5" spans="1:2" x14ac:dyDescent="0.25">
      <c r="A5">
        <f t="shared" ref="A5:A67" si="0">A4+1</f>
        <v>4</v>
      </c>
      <c r="B5" t="str">
        <f>IF('9.1Furnitures&amp;Fixtures'!$C$10="Level I",'Level I_Departments'!C7,'Level IIandIII_Departments'!C7)</f>
        <v>Administrative/Overhead services -&gt; Human Resource Management</v>
      </c>
    </row>
    <row r="6" spans="1:2" x14ac:dyDescent="0.25">
      <c r="A6">
        <f t="shared" si="0"/>
        <v>5</v>
      </c>
      <c r="B6" t="str">
        <f>IF('9.1Furnitures&amp;Fixtures'!$C$10="Level I",'Level I_Departments'!C8,'Level IIandIII_Departments'!C8)</f>
        <v>Administrative/Overhead services -&gt; Procurement</v>
      </c>
    </row>
    <row r="7" spans="1:2" x14ac:dyDescent="0.25">
      <c r="A7">
        <f t="shared" si="0"/>
        <v>6</v>
      </c>
      <c r="B7" t="str">
        <f>IF('9.1Furnitures&amp;Fixtures'!$C$10="Level I",'Level I_Departments'!C9,'Level IIandIII_Departments'!C9)</f>
        <v>Administrative/Overhead services -&gt; Materials Management</v>
      </c>
    </row>
    <row r="8" spans="1:2" x14ac:dyDescent="0.25">
      <c r="A8">
        <f t="shared" si="0"/>
        <v>7</v>
      </c>
      <c r="B8" t="str">
        <f>IF('9.1Furnitures&amp;Fixtures'!$C$10="Level I",'Level I_Departments'!C10,'Level IIandIII_Departments'!C10)</f>
        <v>Administrative/Overhead services -&gt; Engineering and Facilities Management</v>
      </c>
    </row>
    <row r="9" spans="1:2" x14ac:dyDescent="0.25">
      <c r="A9">
        <f t="shared" si="0"/>
        <v>8</v>
      </c>
      <c r="B9" t="str">
        <f>IF('9.1Furnitures&amp;Fixtures'!$C$10="Level I",'Level I_Departments'!C11,'Level IIandIII_Departments'!C11)</f>
        <v>Administrative/Overhead services -&gt; Housekeeping</v>
      </c>
    </row>
    <row r="10" spans="1:2" x14ac:dyDescent="0.25">
      <c r="A10">
        <f t="shared" si="0"/>
        <v>9</v>
      </c>
      <c r="B10" t="str">
        <f>IF('9.1Furnitures&amp;Fixtures'!$C$10="Level I",'Level I_Departments'!C12,'Level IIandIII_Departments'!C12)</f>
        <v>Administrative/Overhead services -&gt; Budget and Accounting</v>
      </c>
    </row>
    <row r="11" spans="1:2" x14ac:dyDescent="0.25">
      <c r="A11">
        <f t="shared" si="0"/>
        <v>10</v>
      </c>
      <c r="B11" t="str">
        <f>IF('9.1Furnitures&amp;Fixtures'!$C$10="Level I",'Level I_Departments'!C13,'Level IIandIII_Departments'!C13)</f>
        <v>Administrative/Overhead services -&gt; Medical Social Work</v>
      </c>
    </row>
    <row r="12" spans="1:2" x14ac:dyDescent="0.25">
      <c r="A12">
        <f t="shared" si="0"/>
        <v>11</v>
      </c>
      <c r="B12" t="str">
        <f>IF('9.1Furnitures&amp;Fixtures'!$C$10="Level I",'Level I_Departments'!C14,'Level IIandIII_Departments'!C14)</f>
        <v>Administrative/Overhead services -&gt; Office of the Chief Nurse</v>
      </c>
    </row>
    <row r="13" spans="1:2" x14ac:dyDescent="0.25">
      <c r="A13">
        <f t="shared" si="0"/>
        <v>12</v>
      </c>
      <c r="B13" t="str">
        <f>IF('9.1Furnitures&amp;Fixtures'!$C$10="Level I",'Level I_Departments'!C15,'Level IIandIII_Departments'!C15)</f>
        <v>Administrative/Overhead services -&gt; Health Info Mgt (Admitting)</v>
      </c>
    </row>
    <row r="14" spans="1:2" x14ac:dyDescent="0.25">
      <c r="A14">
        <f t="shared" si="0"/>
        <v>13</v>
      </c>
      <c r="B14" t="str">
        <f>IF('9.1Furnitures&amp;Fixtures'!$C$10="Level I",'Level I_Departments'!C16,'Level IIandIII_Departments'!C16)</f>
        <v>Administrative/Overhead services -&gt; Central Supply Office</v>
      </c>
    </row>
    <row r="15" spans="1:2" x14ac:dyDescent="0.25">
      <c r="A15">
        <f t="shared" si="0"/>
        <v>14</v>
      </c>
      <c r="B15" t="str">
        <f>IF('9.1Furnitures&amp;Fixtures'!$C$10="Level I",'Level I_Departments'!C17,'Level IIandIII_Departments'!C17)</f>
        <v>Administrative/Overhead services -&gt; Billing and Claims</v>
      </c>
    </row>
    <row r="16" spans="1:2" x14ac:dyDescent="0.25">
      <c r="A16">
        <f t="shared" si="0"/>
        <v>15</v>
      </c>
      <c r="B16" t="str">
        <f>IF('9.1Furnitures&amp;Fixtures'!$C$10="Level I",'Level I_Departments'!C18,'Level IIandIII_Departments'!C18)</f>
        <v>Administrative/Overhead services -&gt; Cash Operations</v>
      </c>
    </row>
    <row r="17" spans="1:2" x14ac:dyDescent="0.25">
      <c r="A17">
        <f t="shared" si="0"/>
        <v>16</v>
      </c>
      <c r="B17" t="str">
        <f>IF('9.1Furnitures&amp;Fixtures'!$C$10="Level I",'Level I_Departments'!C19,'Level IIandIII_Departments'!C19)</f>
        <v>Administrative/Overhead services -&gt; Security</v>
      </c>
    </row>
    <row r="18" spans="1:2" x14ac:dyDescent="0.25">
      <c r="A18">
        <f t="shared" si="0"/>
        <v>17</v>
      </c>
      <c r="B18" t="str">
        <f>IF('9.1Furnitures&amp;Fixtures'!$C$10="Level I",'Level I_Departments'!C20,'Level IIandIII_Departments'!C20)</f>
        <v>Administrative/Overhead services -&gt; Office of the Chief of Medical Professional Staff</v>
      </c>
    </row>
    <row r="19" spans="1:2" x14ac:dyDescent="0.25">
      <c r="A19">
        <f t="shared" si="0"/>
        <v>18</v>
      </c>
      <c r="B19" t="str">
        <f>IF('9.1Furnitures&amp;Fixtures'!$C$10="Level I",'Level I_Departments'!C21,'Level IIandIII_Departments'!C21)</f>
        <v>Administrative/Overhead services -&gt; Others</v>
      </c>
    </row>
    <row r="20" spans="1:2" x14ac:dyDescent="0.25">
      <c r="A20">
        <f t="shared" si="0"/>
        <v>19</v>
      </c>
      <c r="B20" t="str">
        <f>IF('9.1Furnitures&amp;Fixtures'!$C$10="Level I",'Level I_Departments'!C22,'Level IIandIII_Departments'!C22)</f>
        <v>Ancillary services/Support services -&gt; Laundry</v>
      </c>
    </row>
    <row r="21" spans="1:2" x14ac:dyDescent="0.25">
      <c r="A21">
        <f t="shared" si="0"/>
        <v>20</v>
      </c>
      <c r="B21" t="str">
        <f>IF('9.1Furnitures&amp;Fixtures'!$C$10="Level I",'Level I_Departments'!C23,'Level IIandIII_Departments'!C23)</f>
        <v>Ancillary services/Support services -&gt; Nutrition and Dietetics</v>
      </c>
    </row>
    <row r="22" spans="1:2" x14ac:dyDescent="0.25">
      <c r="A22">
        <f t="shared" si="0"/>
        <v>21</v>
      </c>
      <c r="B22" t="str">
        <f>IF('9.1Furnitures&amp;Fixtures'!$C$10="Level I",'Level I_Departments'!C24,'Level IIandIII_Departments'!C24)</f>
        <v>Ancillary services/Support services -&gt; Sterilization</v>
      </c>
    </row>
    <row r="23" spans="1:2" x14ac:dyDescent="0.25">
      <c r="A23">
        <f t="shared" si="0"/>
        <v>22</v>
      </c>
      <c r="B23" t="str">
        <f>IF('9.1Furnitures&amp;Fixtures'!$C$10="Level I",'Level I_Departments'!C25,'Level IIandIII_Departments'!C25)</f>
        <v>Ancillary services/Support services -&gt; Pharmacy</v>
      </c>
    </row>
    <row r="24" spans="1:2" x14ac:dyDescent="0.25">
      <c r="A24">
        <f t="shared" si="0"/>
        <v>23</v>
      </c>
      <c r="B24" t="str">
        <f>IF('9.1Furnitures&amp;Fixtures'!$C$10="Level I",'Level I_Departments'!C26,'Level IIandIII_Departments'!C26)</f>
        <v>Ancillary services/Support services -&gt; Blood Bank</v>
      </c>
    </row>
    <row r="25" spans="1:2" x14ac:dyDescent="0.25">
      <c r="A25">
        <f t="shared" si="0"/>
        <v>24</v>
      </c>
      <c r="B25" t="str">
        <f>IF('9.1Furnitures&amp;Fixtures'!$C$10="Level I",'Level I_Departments'!C27,'Level IIandIII_Departments'!C27)</f>
        <v>Ancillary services/Support services -&gt; Laboratory</v>
      </c>
    </row>
    <row r="26" spans="1:2" x14ac:dyDescent="0.25">
      <c r="A26">
        <f t="shared" si="0"/>
        <v>25</v>
      </c>
      <c r="B26" t="str">
        <f>IF('9.1Furnitures&amp;Fixtures'!$C$10="Level I",'Level I_Departments'!C28,'Level IIandIII_Departments'!C28)</f>
        <v>Ancillary services/Support services -&gt; Radiology / Diagnostic Imaging (CT Scan, MRI, ECG, Mammography, Endoscopy)</v>
      </c>
    </row>
    <row r="27" spans="1:2" x14ac:dyDescent="0.25">
      <c r="A27">
        <f t="shared" si="0"/>
        <v>26</v>
      </c>
      <c r="B27" t="str">
        <f>IF('9.1Furnitures&amp;Fixtures'!$C$10="Level I",'Level I_Departments'!C29,'Level IIandIII_Departments'!C29)</f>
        <v>Ancillary services/Support services -&gt; Physiotherapy / Rehabilitation</v>
      </c>
    </row>
    <row r="28" spans="1:2" x14ac:dyDescent="0.25">
      <c r="A28">
        <f t="shared" si="0"/>
        <v>27</v>
      </c>
      <c r="B28" t="str">
        <f>IF('9.1Furnitures&amp;Fixtures'!$C$10="Level I",'Level I_Departments'!C30,'Level IIandIII_Departments'!C30)</f>
        <v>Ancillary services/Support services -&gt; Delivery Room</v>
      </c>
    </row>
    <row r="29" spans="1:2" x14ac:dyDescent="0.25">
      <c r="A29">
        <f t="shared" si="0"/>
        <v>28</v>
      </c>
      <c r="B29" t="str">
        <f>IF('9.1Furnitures&amp;Fixtures'!$C$10="Level I",'Level I_Departments'!C31,'Level IIandIII_Departments'!C31)</f>
        <v>Ancillary services/Support services -&gt; Operating Room / Aneasthesiology / PACU / Recovery Room</v>
      </c>
    </row>
    <row r="30" spans="1:2" x14ac:dyDescent="0.25">
      <c r="A30">
        <f t="shared" si="0"/>
        <v>29</v>
      </c>
      <c r="B30" t="str">
        <f>IF('9.1Furnitures&amp;Fixtures'!$C$10="Level I",'Level I_Departments'!C32,'Level IIandIII_Departments'!C32)</f>
        <v>Ancillary services/Support services -&gt; Respiratory Unit</v>
      </c>
    </row>
    <row r="31" spans="1:2" x14ac:dyDescent="0.25">
      <c r="A31">
        <f t="shared" si="0"/>
        <v>30</v>
      </c>
      <c r="B31" t="str">
        <f>IF('9.1Furnitures&amp;Fixtures'!$C$10="Level I",'Level I_Departments'!C33,'Level IIandIII_Departments'!C33)</f>
        <v>Ancillary services/Support services -&gt; Medical ICU</v>
      </c>
    </row>
    <row r="32" spans="1:2" x14ac:dyDescent="0.25">
      <c r="A32">
        <f t="shared" si="0"/>
        <v>31</v>
      </c>
      <c r="B32" t="str">
        <f>IF('9.1Furnitures&amp;Fixtures'!$C$10="Level I",'Level I_Departments'!C34,'Level IIandIII_Departments'!C34)</f>
        <v>Ancillary services/Support services -&gt; Neonatal ICU*</v>
      </c>
    </row>
    <row r="33" spans="1:2" x14ac:dyDescent="0.25">
      <c r="A33">
        <f t="shared" si="0"/>
        <v>32</v>
      </c>
      <c r="B33" t="str">
        <f>IF('9.1Furnitures&amp;Fixtures'!$C$10="Level I",'Level I_Departments'!C35,'Level IIandIII_Departments'!C35)</f>
        <v>Ancillary services/Support services -&gt; Surgical ICU*</v>
      </c>
    </row>
    <row r="34" spans="1:2" x14ac:dyDescent="0.25">
      <c r="A34">
        <f t="shared" si="0"/>
        <v>33</v>
      </c>
      <c r="B34" t="str">
        <f>IF('9.1Furnitures&amp;Fixtures'!$C$10="Level I",'Level I_Departments'!C36,'Level IIandIII_Departments'!C36)</f>
        <v>Ancillary services/Support services -&gt; Pediatric ICU*</v>
      </c>
    </row>
    <row r="35" spans="1:2" x14ac:dyDescent="0.25">
      <c r="A35">
        <f t="shared" si="0"/>
        <v>34</v>
      </c>
      <c r="B35" t="str">
        <f>IF('9.1Furnitures&amp;Fixtures'!$C$10="Level I",'Level I_Departments'!C37,'Level IIandIII_Departments'!C37)</f>
        <v>Ancillary services/Support services -&gt; Burn Unit</v>
      </c>
    </row>
    <row r="36" spans="1:2" x14ac:dyDescent="0.25">
      <c r="A36">
        <f t="shared" si="0"/>
        <v>35</v>
      </c>
      <c r="B36" t="str">
        <f>IF('9.1Furnitures&amp;Fixtures'!$C$10="Level I",'Level I_Departments'!C38,'Level IIandIII_Departments'!C38)</f>
        <v>Ancillary services/Support services -&gt; Morgue</v>
      </c>
    </row>
    <row r="37" spans="1:2" x14ac:dyDescent="0.25">
      <c r="A37">
        <f t="shared" si="0"/>
        <v>36</v>
      </c>
      <c r="B37" t="str">
        <f>IF('9.1Furnitures&amp;Fixtures'!$C$10="Level I",'Level I_Departments'!C39,'Level IIandIII_Departments'!C39)</f>
        <v>Ancillary services/Support services -&gt; Others</v>
      </c>
    </row>
    <row r="38" spans="1:2" x14ac:dyDescent="0.25">
      <c r="A38">
        <f t="shared" si="0"/>
        <v>37</v>
      </c>
      <c r="B38" t="str">
        <f>IF('9.1Furnitures&amp;Fixtures'!$C$10="Level I",'Level I_Departments'!C40,'Level IIandIII_Departments'!C40)</f>
        <v>Clinical/Medical services -&gt; Outpatient Department (general)</v>
      </c>
    </row>
    <row r="39" spans="1:2" x14ac:dyDescent="0.25">
      <c r="A39">
        <f t="shared" si="0"/>
        <v>38</v>
      </c>
      <c r="B39" t="str">
        <f>IF('9.1Furnitures&amp;Fixtures'!$C$10="Level I",'Level I_Departments'!C41,'Level IIandIII_Departments'!C41)</f>
        <v>Clinical/Medical services -&gt; Animal Bite Center</v>
      </c>
    </row>
    <row r="40" spans="1:2" x14ac:dyDescent="0.25">
      <c r="A40">
        <f t="shared" si="0"/>
        <v>39</v>
      </c>
      <c r="B40" t="str">
        <f>IF('9.1Furnitures&amp;Fixtures'!$C$10="Level I",'Level I_Departments'!C42,'Level IIandIII_Departments'!C42)</f>
        <v>Clinical/Medical services -&gt; TB Dots</v>
      </c>
    </row>
    <row r="41" spans="1:2" x14ac:dyDescent="0.25">
      <c r="A41">
        <f t="shared" si="0"/>
        <v>40</v>
      </c>
      <c r="B41" t="str">
        <f>IF('9.1Furnitures&amp;Fixtures'!$C$10="Level I",'Level I_Departments'!C43,'Level IIandIII_Departments'!C43)</f>
        <v>Clinical/Medical services -&gt; HIV Aids</v>
      </c>
    </row>
    <row r="42" spans="1:2" x14ac:dyDescent="0.25">
      <c r="A42">
        <f t="shared" si="0"/>
        <v>41</v>
      </c>
      <c r="B42" t="str">
        <f>IF('9.1Furnitures&amp;Fixtures'!$C$10="Level I",'Level I_Departments'!C44,'Level IIandIII_Departments'!C44)</f>
        <v>Clinical/Medical services -&gt; Family Planning Unit</v>
      </c>
    </row>
    <row r="43" spans="1:2" x14ac:dyDescent="0.25">
      <c r="A43">
        <f t="shared" si="0"/>
        <v>42</v>
      </c>
      <c r="B43" t="str">
        <f>IF('9.1Furnitures&amp;Fixtures'!$C$10="Level I",'Level I_Departments'!C45,'Level IIandIII_Departments'!C45)</f>
        <v>Clinical/Medical services -&gt; Smoking Cessation</v>
      </c>
    </row>
    <row r="44" spans="1:2" x14ac:dyDescent="0.25">
      <c r="A44">
        <f t="shared" si="0"/>
        <v>43</v>
      </c>
      <c r="B44" t="str">
        <f>IF('9.1Furnitures&amp;Fixtures'!$C$10="Level I",'Level I_Departments'!C46,'Level IIandIII_Departments'!C46)</f>
        <v>Clinical/Medical services -&gt; Malaria</v>
      </c>
    </row>
    <row r="45" spans="1:2" x14ac:dyDescent="0.25">
      <c r="A45">
        <f t="shared" si="0"/>
        <v>44</v>
      </c>
      <c r="B45" t="str">
        <f>IF('9.1Furnitures&amp;Fixtures'!$C$10="Level I",'Level I_Departments'!C47,'Level IIandIII_Departments'!C47)</f>
        <v xml:space="preserve">Clinical/Medical services -&gt; Diabetes </v>
      </c>
    </row>
    <row r="46" spans="1:2" x14ac:dyDescent="0.25">
      <c r="A46">
        <f t="shared" si="0"/>
        <v>45</v>
      </c>
      <c r="B46" t="str">
        <f>IF('9.1Furnitures&amp;Fixtures'!$C$10="Level I",'Level I_Departments'!C48,'Level IIandIII_Departments'!C48)</f>
        <v>Clinical/Medical services -&gt; Hypertension</v>
      </c>
    </row>
    <row r="47" spans="1:2" x14ac:dyDescent="0.25">
      <c r="A47">
        <f t="shared" si="0"/>
        <v>46</v>
      </c>
      <c r="B47" t="str">
        <f>IF('9.1Furnitures&amp;Fixtures'!$C$10="Level I",'Level I_Departments'!C49,'Level IIandIII_Departments'!C49)</f>
        <v>Clinical/Medical services -&gt; Emergency Medicine Department</v>
      </c>
    </row>
    <row r="48" spans="1:2" x14ac:dyDescent="0.25">
      <c r="A48">
        <f t="shared" si="0"/>
        <v>47</v>
      </c>
      <c r="B48" t="str">
        <f>IF('9.1Furnitures&amp;Fixtures'!$C$10="Level I",'Level I_Departments'!C50,'Level IIandIII_Departments'!C50)</f>
        <v>Clinical/Medical services -&gt; Dialysis Unit</v>
      </c>
    </row>
    <row r="49" spans="1:2" x14ac:dyDescent="0.25">
      <c r="A49">
        <f t="shared" si="0"/>
        <v>48</v>
      </c>
      <c r="B49" t="str">
        <f>IF('9.1Furnitures&amp;Fixtures'!$C$10="Level I",'Level I_Departments'!C51,'Level IIandIII_Departments'!C51)</f>
        <v>Clinical/Medical services -&gt; Radiation Oncology Unit*</v>
      </c>
    </row>
    <row r="50" spans="1:2" x14ac:dyDescent="0.25">
      <c r="A50">
        <f t="shared" si="0"/>
        <v>49</v>
      </c>
      <c r="B50" t="str">
        <f>IF('9.1Furnitures&amp;Fixtures'!$C$10="Level I",'Level I_Departments'!C52,'Level IIandIII_Departments'!C52)</f>
        <v>Clinical/Medical services -&gt; Dental</v>
      </c>
    </row>
    <row r="51" spans="1:2" x14ac:dyDescent="0.25">
      <c r="A51">
        <f t="shared" si="0"/>
        <v>50</v>
      </c>
      <c r="B51" t="str">
        <f>IF('9.1Furnitures&amp;Fixtures'!$C$10="Level I",'Level I_Departments'!C53,'Level IIandIII_Departments'!C53)</f>
        <v>Clinical/Medical services -&gt; Internal Medicine Ward</v>
      </c>
    </row>
    <row r="52" spans="1:2" x14ac:dyDescent="0.25">
      <c r="A52">
        <f t="shared" si="0"/>
        <v>51</v>
      </c>
      <c r="B52" t="str">
        <f>IF('9.1Furnitures&amp;Fixtures'!$C$10="Level I",'Level I_Departments'!C54,'Level IIandIII_Departments'!C54)</f>
        <v>Clinical/Medical services -&gt; Pediatric Ward</v>
      </c>
    </row>
    <row r="53" spans="1:2" x14ac:dyDescent="0.25">
      <c r="A53">
        <f t="shared" si="0"/>
        <v>52</v>
      </c>
      <c r="B53" t="str">
        <f>IF('9.1Furnitures&amp;Fixtures'!$C$10="Level I",'Level I_Departments'!C55,'Level IIandIII_Departments'!C55)</f>
        <v>Clinical/Medical services -&gt; Surgical Ward</v>
      </c>
    </row>
    <row r="54" spans="1:2" x14ac:dyDescent="0.25">
      <c r="A54">
        <f t="shared" si="0"/>
        <v>53</v>
      </c>
      <c r="B54" t="str">
        <f>IF('9.1Furnitures&amp;Fixtures'!$C$10="Level I",'Level I_Departments'!C56,'Level IIandIII_Departments'!C56)</f>
        <v>Clinical/Medical services -&gt; Ob/Gyne Ward</v>
      </c>
    </row>
    <row r="55" spans="1:2" x14ac:dyDescent="0.25">
      <c r="A55">
        <f t="shared" si="0"/>
        <v>54</v>
      </c>
      <c r="B55" t="str">
        <f>IF('9.1Furnitures&amp;Fixtures'!$C$10="Level I",'Level I_Departments'!C57,'Level IIandIII_Departments'!C57)</f>
        <v>Clinical/Medical services -&gt; Private Ward</v>
      </c>
    </row>
    <row r="56" spans="1:2" x14ac:dyDescent="0.25">
      <c r="A56">
        <f t="shared" si="0"/>
        <v>55</v>
      </c>
      <c r="B56">
        <f>IF('9.1Furnitures&amp;Fixtures'!$C$10="Level I",'Level I_Departments'!C58,'Level IIandIII_Departments'!C58)</f>
        <v>0</v>
      </c>
    </row>
    <row r="57" spans="1:2" x14ac:dyDescent="0.25">
      <c r="A57">
        <f t="shared" si="0"/>
        <v>56</v>
      </c>
      <c r="B57">
        <f>IF('9.1Furnitures&amp;Fixtures'!$C$10="Level I",'Level I_Departments'!C59,'Level IIandIII_Departments'!C59)</f>
        <v>0</v>
      </c>
    </row>
    <row r="58" spans="1:2" x14ac:dyDescent="0.25">
      <c r="A58">
        <f t="shared" si="0"/>
        <v>57</v>
      </c>
      <c r="B58">
        <f>IF('9.1Furnitures&amp;Fixtures'!$C$10="Level I",'Level I_Departments'!C60,'Level IIandIII_Departments'!C60)</f>
        <v>0</v>
      </c>
    </row>
    <row r="59" spans="1:2" x14ac:dyDescent="0.25">
      <c r="A59">
        <f t="shared" si="0"/>
        <v>58</v>
      </c>
      <c r="B59">
        <f>IF('9.1Furnitures&amp;Fixtures'!$C$10="Level I",'Level I_Departments'!C61,'Level IIandIII_Departments'!C61)</f>
        <v>0</v>
      </c>
    </row>
    <row r="60" spans="1:2" x14ac:dyDescent="0.25">
      <c r="A60">
        <f t="shared" si="0"/>
        <v>59</v>
      </c>
      <c r="B60">
        <f>IF('9.1Furnitures&amp;Fixtures'!$C$10="Level I",'Level I_Departments'!C62,'Level IIandIII_Departments'!C62)</f>
        <v>0</v>
      </c>
    </row>
    <row r="61" spans="1:2" x14ac:dyDescent="0.25">
      <c r="A61">
        <f t="shared" si="0"/>
        <v>60</v>
      </c>
      <c r="B61">
        <f>IF('9.1Furnitures&amp;Fixtures'!$C$10="Level I",'Level I_Departments'!C63,'Level IIandIII_Departments'!C63)</f>
        <v>0</v>
      </c>
    </row>
    <row r="62" spans="1:2" x14ac:dyDescent="0.25">
      <c r="A62">
        <f t="shared" si="0"/>
        <v>61</v>
      </c>
      <c r="B62">
        <f>IF('9.1Furnitures&amp;Fixtures'!$C$10="Level I",'Level I_Departments'!C64,'Level IIandIII_Departments'!C64)</f>
        <v>0</v>
      </c>
    </row>
    <row r="63" spans="1:2" x14ac:dyDescent="0.25">
      <c r="A63">
        <f t="shared" si="0"/>
        <v>62</v>
      </c>
      <c r="B63">
        <f>IF('9.1Furnitures&amp;Fixtures'!$C$10="Level I",'Level I_Departments'!C65,'Level IIandIII_Departments'!C65)</f>
        <v>0</v>
      </c>
    </row>
    <row r="64" spans="1:2" x14ac:dyDescent="0.25">
      <c r="A64">
        <f t="shared" si="0"/>
        <v>63</v>
      </c>
      <c r="B64">
        <f>IF('9.1Furnitures&amp;Fixtures'!$C$10="Level I",'Level I_Departments'!C66,'Level IIandIII_Departments'!C66)</f>
        <v>0</v>
      </c>
    </row>
    <row r="65" spans="1:2" x14ac:dyDescent="0.25">
      <c r="A65">
        <f t="shared" si="0"/>
        <v>64</v>
      </c>
      <c r="B65">
        <f>IF('9.1Furnitures&amp;Fixtures'!$C$10="Level I",'Level I_Departments'!C67,'Level IIandIII_Departments'!C67)</f>
        <v>0</v>
      </c>
    </row>
    <row r="66" spans="1:2" x14ac:dyDescent="0.25">
      <c r="A66">
        <f t="shared" si="0"/>
        <v>65</v>
      </c>
      <c r="B66">
        <f>IF('9.1Furnitures&amp;Fixtures'!$C$10="Level I",'Level I_Departments'!C68,'Level IIandIII_Departments'!C68)</f>
        <v>0</v>
      </c>
    </row>
    <row r="67" spans="1:2" x14ac:dyDescent="0.2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C4" sqref="C4:C57"/>
    </sheetView>
  </sheetViews>
  <sheetFormatPr defaultColWidth="14.42578125" defaultRowHeight="15" customHeight="1" x14ac:dyDescent="0.25"/>
  <cols>
    <col min="1" max="1" width="39.5703125" style="7" customWidth="1"/>
    <col min="2" max="2" width="65.7109375" style="7" customWidth="1"/>
    <col min="3" max="3" width="86.5703125" style="7" bestFit="1" customWidth="1"/>
    <col min="4" max="16384" width="14.42578125" style="7"/>
  </cols>
  <sheetData>
    <row r="1" spans="1:3" ht="15" customHeight="1" x14ac:dyDescent="0.3">
      <c r="A1" s="23" t="s">
        <v>23</v>
      </c>
      <c r="B1" s="12"/>
    </row>
    <row r="2" spans="1:3" ht="15" customHeight="1" x14ac:dyDescent="0.3">
      <c r="A2" s="12"/>
      <c r="B2" s="12"/>
    </row>
    <row r="3" spans="1:3" ht="15" customHeight="1" x14ac:dyDescent="0.3">
      <c r="A3" s="24" t="s">
        <v>24</v>
      </c>
      <c r="B3" s="25" t="s">
        <v>25</v>
      </c>
    </row>
    <row r="4" spans="1:3" ht="15" customHeight="1" x14ac:dyDescent="0.3">
      <c r="A4" s="27" t="s">
        <v>26</v>
      </c>
      <c r="B4" s="25" t="s">
        <v>27</v>
      </c>
      <c r="C4" s="6" t="str">
        <f>CONCATENATE(A4, " -&gt; ",B4)</f>
        <v>Administrative/Overhead services -&gt; Office of the Medical Center Chief</v>
      </c>
    </row>
    <row r="5" spans="1:3" ht="15" customHeight="1" x14ac:dyDescent="0.3">
      <c r="A5" s="27" t="s">
        <v>26</v>
      </c>
      <c r="B5" s="26" t="s">
        <v>95</v>
      </c>
      <c r="C5" s="6" t="str">
        <f t="shared" ref="C5:C57" si="0">CONCATENATE(A5, " -&gt; ",B5)</f>
        <v>Administrative/Overhead services -&gt; IT Departments</v>
      </c>
    </row>
    <row r="6" spans="1:3" ht="15" customHeight="1" x14ac:dyDescent="0.3">
      <c r="A6" s="27" t="s">
        <v>26</v>
      </c>
      <c r="B6" s="26" t="s">
        <v>28</v>
      </c>
      <c r="C6" s="6" t="str">
        <f t="shared" si="0"/>
        <v>Administrative/Overhead services -&gt; Office of the Administrative Officer</v>
      </c>
    </row>
    <row r="7" spans="1:3" ht="15" customHeight="1" x14ac:dyDescent="0.3">
      <c r="A7" s="27" t="s">
        <v>26</v>
      </c>
      <c r="B7" s="26" t="s">
        <v>29</v>
      </c>
      <c r="C7" s="6" t="str">
        <f t="shared" si="0"/>
        <v>Administrative/Overhead services -&gt; Human Resource Management</v>
      </c>
    </row>
    <row r="8" spans="1:3" ht="15" customHeight="1" x14ac:dyDescent="0.3">
      <c r="A8" s="27" t="s">
        <v>26</v>
      </c>
      <c r="B8" s="26" t="s">
        <v>30</v>
      </c>
      <c r="C8" s="6" t="str">
        <f t="shared" si="0"/>
        <v>Administrative/Overhead services -&gt; Procurement</v>
      </c>
    </row>
    <row r="9" spans="1:3" ht="15" customHeight="1" x14ac:dyDescent="0.3">
      <c r="A9" s="27" t="s">
        <v>26</v>
      </c>
      <c r="B9" s="26" t="s">
        <v>31</v>
      </c>
      <c r="C9" s="6" t="str">
        <f t="shared" si="0"/>
        <v>Administrative/Overhead services -&gt; Materials Management</v>
      </c>
    </row>
    <row r="10" spans="1:3" ht="15" customHeight="1" x14ac:dyDescent="0.3">
      <c r="A10" s="27" t="s">
        <v>26</v>
      </c>
      <c r="B10" s="26" t="s">
        <v>32</v>
      </c>
      <c r="C10" s="6" t="str">
        <f t="shared" si="0"/>
        <v>Administrative/Overhead services -&gt; Engineering and Facilities Management</v>
      </c>
    </row>
    <row r="11" spans="1:3" ht="15" customHeight="1" x14ac:dyDescent="0.3">
      <c r="A11" s="27" t="s">
        <v>26</v>
      </c>
      <c r="B11" s="26" t="s">
        <v>96</v>
      </c>
      <c r="C11" s="6" t="str">
        <f t="shared" si="0"/>
        <v>Administrative/Overhead services -&gt; Housekeeping</v>
      </c>
    </row>
    <row r="12" spans="1:3" ht="15" customHeight="1" x14ac:dyDescent="0.3">
      <c r="A12" s="27" t="s">
        <v>26</v>
      </c>
      <c r="B12" s="26" t="s">
        <v>33</v>
      </c>
      <c r="C12" s="6" t="str">
        <f t="shared" si="0"/>
        <v>Administrative/Overhead services -&gt; Budget and Accounting</v>
      </c>
    </row>
    <row r="13" spans="1:3" ht="15" customHeight="1" x14ac:dyDescent="0.3">
      <c r="A13" s="27" t="s">
        <v>26</v>
      </c>
      <c r="B13" s="26" t="s">
        <v>34</v>
      </c>
      <c r="C13" s="6" t="str">
        <f t="shared" si="0"/>
        <v>Administrative/Overhead services -&gt; Medical Social Work</v>
      </c>
    </row>
    <row r="14" spans="1:3" ht="15" customHeight="1" x14ac:dyDescent="0.3">
      <c r="A14" s="27" t="s">
        <v>26</v>
      </c>
      <c r="B14" s="26" t="s">
        <v>35</v>
      </c>
      <c r="C14" s="6" t="str">
        <f t="shared" si="0"/>
        <v>Administrative/Overhead services -&gt; Office of the Chief Nurse</v>
      </c>
    </row>
    <row r="15" spans="1:3" ht="15" customHeight="1" x14ac:dyDescent="0.3">
      <c r="A15" s="27" t="s">
        <v>26</v>
      </c>
      <c r="B15" s="26" t="s">
        <v>36</v>
      </c>
      <c r="C15" s="6" t="str">
        <f t="shared" si="0"/>
        <v>Administrative/Overhead services -&gt; Health Info Mgt (Admitting)</v>
      </c>
    </row>
    <row r="16" spans="1:3" ht="15" customHeight="1" x14ac:dyDescent="0.3">
      <c r="A16" s="27" t="s">
        <v>26</v>
      </c>
      <c r="B16" s="26" t="s">
        <v>37</v>
      </c>
      <c r="C16" s="6" t="str">
        <f t="shared" si="0"/>
        <v>Administrative/Overhead services -&gt; Central Supply Office</v>
      </c>
    </row>
    <row r="17" spans="1:3" ht="15" customHeight="1" x14ac:dyDescent="0.3">
      <c r="A17" s="27" t="s">
        <v>26</v>
      </c>
      <c r="B17" s="26" t="s">
        <v>38</v>
      </c>
      <c r="C17" s="6" t="str">
        <f t="shared" si="0"/>
        <v>Administrative/Overhead services -&gt; Billing and Claims</v>
      </c>
    </row>
    <row r="18" spans="1:3" ht="15" customHeight="1" x14ac:dyDescent="0.3">
      <c r="A18" s="27" t="s">
        <v>26</v>
      </c>
      <c r="B18" s="26" t="s">
        <v>39</v>
      </c>
      <c r="C18" s="6" t="str">
        <f t="shared" si="0"/>
        <v>Administrative/Overhead services -&gt; Cash Operations</v>
      </c>
    </row>
    <row r="19" spans="1:3" ht="15" customHeight="1" x14ac:dyDescent="0.3">
      <c r="A19" s="27" t="s">
        <v>26</v>
      </c>
      <c r="B19" s="26" t="s">
        <v>40</v>
      </c>
      <c r="C19" s="6" t="str">
        <f t="shared" si="0"/>
        <v>Administrative/Overhead services -&gt; Security</v>
      </c>
    </row>
    <row r="20" spans="1:3" ht="15" customHeight="1" x14ac:dyDescent="0.3">
      <c r="A20" s="27" t="s">
        <v>26</v>
      </c>
      <c r="B20" s="26" t="s">
        <v>41</v>
      </c>
      <c r="C20" s="6" t="str">
        <f t="shared" si="0"/>
        <v>Administrative/Overhead services -&gt; Office of the Chief of Medical Professional Staff</v>
      </c>
    </row>
    <row r="21" spans="1:3" ht="15" customHeight="1" x14ac:dyDescent="0.3">
      <c r="A21" s="27" t="s">
        <v>26</v>
      </c>
      <c r="B21" s="27" t="s">
        <v>76</v>
      </c>
      <c r="C21" s="6" t="str">
        <f t="shared" si="0"/>
        <v>Administrative/Overhead services -&gt; Others</v>
      </c>
    </row>
    <row r="22" spans="1:3" ht="15" customHeight="1" x14ac:dyDescent="0.3">
      <c r="A22" s="28" t="s">
        <v>42</v>
      </c>
      <c r="B22" s="28" t="s">
        <v>43</v>
      </c>
      <c r="C22" s="6" t="str">
        <f t="shared" si="0"/>
        <v>Ancillary services/Support services -&gt; Laundry</v>
      </c>
    </row>
    <row r="23" spans="1:3" ht="15" customHeight="1" x14ac:dyDescent="0.3">
      <c r="A23" s="28" t="s">
        <v>42</v>
      </c>
      <c r="B23" s="28" t="s">
        <v>46</v>
      </c>
      <c r="C23" s="6" t="str">
        <f t="shared" si="0"/>
        <v>Ancillary services/Support services -&gt; Nutrition and Dietetics</v>
      </c>
    </row>
    <row r="24" spans="1:3" ht="15" customHeight="1" x14ac:dyDescent="0.3">
      <c r="A24" s="28" t="s">
        <v>42</v>
      </c>
      <c r="B24" s="29" t="s">
        <v>77</v>
      </c>
      <c r="C24" s="6" t="str">
        <f t="shared" si="0"/>
        <v>Ancillary services/Support services -&gt; Sterilization</v>
      </c>
    </row>
    <row r="25" spans="1:3" ht="15" customHeight="1" x14ac:dyDescent="0.3">
      <c r="A25" s="28" t="s">
        <v>42</v>
      </c>
      <c r="B25" s="28" t="s">
        <v>45</v>
      </c>
      <c r="C25" s="6" t="str">
        <f t="shared" si="0"/>
        <v>Ancillary services/Support services -&gt; Pharmacy</v>
      </c>
    </row>
    <row r="26" spans="1:3" ht="16.5" x14ac:dyDescent="0.3">
      <c r="A26" s="28" t="s">
        <v>42</v>
      </c>
      <c r="B26" s="29" t="s">
        <v>44</v>
      </c>
      <c r="C26" s="6" t="str">
        <f t="shared" si="0"/>
        <v>Ancillary services/Support services -&gt; Blood Bank</v>
      </c>
    </row>
    <row r="27" spans="1:3" ht="16.5" x14ac:dyDescent="0.3">
      <c r="A27" s="28" t="s">
        <v>42</v>
      </c>
      <c r="B27" s="28" t="s">
        <v>78</v>
      </c>
      <c r="C27" s="6" t="str">
        <f t="shared" si="0"/>
        <v>Ancillary services/Support services -&gt; Laboratory</v>
      </c>
    </row>
    <row r="28" spans="1:3" ht="16.5" x14ac:dyDescent="0.3">
      <c r="A28" s="28" t="s">
        <v>42</v>
      </c>
      <c r="B28" s="28" t="s">
        <v>79</v>
      </c>
      <c r="C28" s="6" t="str">
        <f t="shared" si="0"/>
        <v>Ancillary services/Support services -&gt; Radiology / Diagnostic Imaging (CT Scan, MRI, ECG, Mammography, Endoscopy)</v>
      </c>
    </row>
    <row r="29" spans="1:3" ht="16.5" x14ac:dyDescent="0.3">
      <c r="A29" s="28" t="s">
        <v>42</v>
      </c>
      <c r="B29" s="28" t="s">
        <v>81</v>
      </c>
      <c r="C29" s="6" t="str">
        <f t="shared" si="0"/>
        <v>Ancillary services/Support services -&gt; Physiotherapy / Rehabilitation</v>
      </c>
    </row>
    <row r="30" spans="1:3" ht="16.5" x14ac:dyDescent="0.3">
      <c r="A30" s="28" t="s">
        <v>42</v>
      </c>
      <c r="B30" s="28" t="s">
        <v>48</v>
      </c>
      <c r="C30" s="6" t="str">
        <f t="shared" si="0"/>
        <v>Ancillary services/Support services -&gt; Delivery Room</v>
      </c>
    </row>
    <row r="31" spans="1:3" ht="16.5" x14ac:dyDescent="0.3">
      <c r="A31" s="28" t="s">
        <v>42</v>
      </c>
      <c r="B31" s="30" t="s">
        <v>47</v>
      </c>
      <c r="C31" s="6" t="str">
        <f t="shared" si="0"/>
        <v>Ancillary services/Support services -&gt; Operating Room / Aneasthesiology / PACU / Recovery Room</v>
      </c>
    </row>
    <row r="32" spans="1:3" ht="16.5" x14ac:dyDescent="0.3">
      <c r="A32" s="28" t="s">
        <v>42</v>
      </c>
      <c r="B32" s="28" t="s">
        <v>82</v>
      </c>
      <c r="C32" s="6" t="str">
        <f t="shared" si="0"/>
        <v>Ancillary services/Support services -&gt; Respiratory Unit</v>
      </c>
    </row>
    <row r="33" spans="1:3" ht="16.5" x14ac:dyDescent="0.3">
      <c r="A33" s="28" t="s">
        <v>42</v>
      </c>
      <c r="B33" s="30" t="s">
        <v>49</v>
      </c>
      <c r="C33" s="6" t="str">
        <f t="shared" si="0"/>
        <v>Ancillary services/Support services -&gt; Medical ICU</v>
      </c>
    </row>
    <row r="34" spans="1:3" ht="16.5" x14ac:dyDescent="0.3">
      <c r="A34" s="28" t="s">
        <v>42</v>
      </c>
      <c r="B34" s="30" t="s">
        <v>50</v>
      </c>
      <c r="C34" s="6" t="str">
        <f t="shared" si="0"/>
        <v>Ancillary services/Support services -&gt; Neonatal ICU*</v>
      </c>
    </row>
    <row r="35" spans="1:3" ht="16.5" x14ac:dyDescent="0.3">
      <c r="A35" s="28" t="s">
        <v>42</v>
      </c>
      <c r="B35" s="30" t="s">
        <v>51</v>
      </c>
      <c r="C35" s="6" t="str">
        <f t="shared" si="0"/>
        <v>Ancillary services/Support services -&gt; Surgical ICU*</v>
      </c>
    </row>
    <row r="36" spans="1:3" ht="16.5" x14ac:dyDescent="0.3">
      <c r="A36" s="28" t="s">
        <v>42</v>
      </c>
      <c r="B36" s="30" t="s">
        <v>52</v>
      </c>
      <c r="C36" s="6" t="str">
        <f t="shared" si="0"/>
        <v>Ancillary services/Support services -&gt; Pediatric ICU*</v>
      </c>
    </row>
    <row r="37" spans="1:3" ht="16.5" x14ac:dyDescent="0.3">
      <c r="A37" s="28" t="s">
        <v>42</v>
      </c>
      <c r="B37" s="29" t="s">
        <v>83</v>
      </c>
      <c r="C37" s="6" t="str">
        <f t="shared" si="0"/>
        <v>Ancillary services/Support services -&gt; Burn Unit</v>
      </c>
    </row>
    <row r="38" spans="1:3" ht="16.5" x14ac:dyDescent="0.3">
      <c r="A38" s="28" t="s">
        <v>42</v>
      </c>
      <c r="B38" s="29" t="s">
        <v>84</v>
      </c>
      <c r="C38" s="6" t="str">
        <f t="shared" si="0"/>
        <v>Ancillary services/Support services -&gt; Morgue</v>
      </c>
    </row>
    <row r="39" spans="1:3" ht="16.5" x14ac:dyDescent="0.3">
      <c r="A39" s="28" t="s">
        <v>42</v>
      </c>
      <c r="B39" s="31" t="s">
        <v>76</v>
      </c>
      <c r="C39" s="6" t="str">
        <f t="shared" si="0"/>
        <v>Ancillary services/Support services -&gt; Others</v>
      </c>
    </row>
    <row r="40" spans="1:3" ht="16.5" x14ac:dyDescent="0.3">
      <c r="A40" s="47" t="s">
        <v>54</v>
      </c>
      <c r="B40" s="27" t="s">
        <v>97</v>
      </c>
      <c r="C40" s="6" t="str">
        <f t="shared" si="0"/>
        <v>Clinical/Medical services -&gt; Outpatient Department (general)</v>
      </c>
    </row>
    <row r="41" spans="1:3" ht="16.5" x14ac:dyDescent="0.3">
      <c r="A41" s="47" t="s">
        <v>54</v>
      </c>
      <c r="B41" s="28" t="s">
        <v>85</v>
      </c>
      <c r="C41" s="6" t="str">
        <f t="shared" si="0"/>
        <v>Clinical/Medical services -&gt; Animal Bite Center</v>
      </c>
    </row>
    <row r="42" spans="1:3" ht="16.5" x14ac:dyDescent="0.3">
      <c r="A42" s="47" t="s">
        <v>54</v>
      </c>
      <c r="B42" s="28" t="s">
        <v>86</v>
      </c>
      <c r="C42" s="6" t="str">
        <f t="shared" si="0"/>
        <v>Clinical/Medical services -&gt; TB Dots</v>
      </c>
    </row>
    <row r="43" spans="1:3" ht="16.5" x14ac:dyDescent="0.3">
      <c r="A43" s="47" t="s">
        <v>54</v>
      </c>
      <c r="B43" s="28" t="s">
        <v>87</v>
      </c>
      <c r="C43" s="6" t="str">
        <f t="shared" si="0"/>
        <v>Clinical/Medical services -&gt; HIV Aids</v>
      </c>
    </row>
    <row r="44" spans="1:3" ht="16.5" x14ac:dyDescent="0.3">
      <c r="A44" s="47" t="s">
        <v>54</v>
      </c>
      <c r="B44" s="28" t="s">
        <v>88</v>
      </c>
      <c r="C44" s="6" t="str">
        <f t="shared" si="0"/>
        <v>Clinical/Medical services -&gt; Family Planning Unit</v>
      </c>
    </row>
    <row r="45" spans="1:3" ht="16.5" x14ac:dyDescent="0.3">
      <c r="A45" s="47" t="s">
        <v>54</v>
      </c>
      <c r="B45" s="28" t="s">
        <v>89</v>
      </c>
      <c r="C45" s="6" t="str">
        <f t="shared" si="0"/>
        <v>Clinical/Medical services -&gt; Smoking Cessation</v>
      </c>
    </row>
    <row r="46" spans="1:3" ht="16.5" x14ac:dyDescent="0.3">
      <c r="A46" s="47" t="s">
        <v>54</v>
      </c>
      <c r="B46" s="28" t="s">
        <v>90</v>
      </c>
      <c r="C46" s="6" t="str">
        <f t="shared" si="0"/>
        <v>Clinical/Medical services -&gt; Malaria</v>
      </c>
    </row>
    <row r="47" spans="1:3" ht="16.5" x14ac:dyDescent="0.3">
      <c r="A47" s="47" t="s">
        <v>54</v>
      </c>
      <c r="B47" s="29" t="s">
        <v>98</v>
      </c>
      <c r="C47" s="6" t="str">
        <f t="shared" si="0"/>
        <v xml:space="preserve">Clinical/Medical services -&gt; Diabetes </v>
      </c>
    </row>
    <row r="48" spans="1:3" ht="16.5" x14ac:dyDescent="0.3">
      <c r="A48" s="47" t="s">
        <v>54</v>
      </c>
      <c r="B48" s="28" t="s">
        <v>99</v>
      </c>
      <c r="C48" s="6" t="str">
        <f t="shared" si="0"/>
        <v>Clinical/Medical services -&gt; Hypertension</v>
      </c>
    </row>
    <row r="49" spans="1:3" ht="16.5" x14ac:dyDescent="0.3">
      <c r="A49" s="47" t="s">
        <v>54</v>
      </c>
      <c r="B49" s="28" t="s">
        <v>56</v>
      </c>
      <c r="C49" s="6" t="str">
        <f t="shared" si="0"/>
        <v>Clinical/Medical services -&gt; Emergency Medicine Department</v>
      </c>
    </row>
    <row r="50" spans="1:3" ht="16.5" x14ac:dyDescent="0.3">
      <c r="A50" s="47" t="s">
        <v>54</v>
      </c>
      <c r="B50" s="28" t="s">
        <v>57</v>
      </c>
      <c r="C50" s="6" t="str">
        <f t="shared" si="0"/>
        <v>Clinical/Medical services -&gt; Dialysis Unit</v>
      </c>
    </row>
    <row r="51" spans="1:3" ht="16.5" x14ac:dyDescent="0.3">
      <c r="A51" s="47" t="s">
        <v>54</v>
      </c>
      <c r="B51" s="28" t="s">
        <v>53</v>
      </c>
      <c r="C51" s="6" t="str">
        <f t="shared" si="0"/>
        <v>Clinical/Medical services -&gt; Radiation Oncology Unit*</v>
      </c>
    </row>
    <row r="52" spans="1:3" ht="16.5" x14ac:dyDescent="0.3">
      <c r="A52" s="47" t="s">
        <v>54</v>
      </c>
      <c r="B52" s="28" t="s">
        <v>58</v>
      </c>
      <c r="C52" s="6" t="str">
        <f t="shared" si="0"/>
        <v>Clinical/Medical services -&gt; Dental</v>
      </c>
    </row>
    <row r="53" spans="1:3" ht="16.5" x14ac:dyDescent="0.3">
      <c r="A53" s="47" t="s">
        <v>54</v>
      </c>
      <c r="B53" s="28" t="s">
        <v>59</v>
      </c>
      <c r="C53" s="6" t="str">
        <f t="shared" si="0"/>
        <v>Clinical/Medical services -&gt; Internal Medicine Ward</v>
      </c>
    </row>
    <row r="54" spans="1:3" ht="16.5" x14ac:dyDescent="0.3">
      <c r="A54" s="47" t="s">
        <v>54</v>
      </c>
      <c r="B54" s="28" t="s">
        <v>60</v>
      </c>
      <c r="C54" s="6" t="str">
        <f t="shared" si="0"/>
        <v>Clinical/Medical services -&gt; Pediatric Ward</v>
      </c>
    </row>
    <row r="55" spans="1:3" ht="16.5" x14ac:dyDescent="0.3">
      <c r="A55" s="47" t="s">
        <v>54</v>
      </c>
      <c r="B55" s="28" t="s">
        <v>61</v>
      </c>
      <c r="C55" s="6" t="str">
        <f t="shared" si="0"/>
        <v>Clinical/Medical services -&gt; Surgical Ward</v>
      </c>
    </row>
    <row r="56" spans="1:3" ht="16.5" x14ac:dyDescent="0.3">
      <c r="A56" s="47" t="s">
        <v>54</v>
      </c>
      <c r="B56" s="28" t="s">
        <v>62</v>
      </c>
      <c r="C56" s="6" t="str">
        <f t="shared" si="0"/>
        <v>Clinical/Medical services -&gt; Ob/Gyne Ward</v>
      </c>
    </row>
    <row r="57" spans="1:3" ht="16.5" x14ac:dyDescent="0.3">
      <c r="A57" s="47" t="s">
        <v>54</v>
      </c>
      <c r="B57" s="28" t="s">
        <v>63</v>
      </c>
      <c r="C57" s="6" t="str">
        <f t="shared" si="0"/>
        <v>Clinical/Medical services -&gt; Private Ward</v>
      </c>
    </row>
    <row r="58" spans="1:3" ht="16.5" x14ac:dyDescent="0.3">
      <c r="A58" s="12"/>
      <c r="B58" s="12"/>
    </row>
    <row r="59" spans="1:3" ht="16.5" x14ac:dyDescent="0.3">
      <c r="A59" s="12"/>
      <c r="B59" s="12"/>
    </row>
    <row r="60" spans="1:3" ht="16.5" x14ac:dyDescent="0.3">
      <c r="A60" s="12"/>
      <c r="B60" s="12"/>
    </row>
    <row r="61" spans="1:3" ht="16.5" x14ac:dyDescent="0.3">
      <c r="A61" s="12"/>
      <c r="B61" s="12"/>
    </row>
    <row r="62" spans="1:3" ht="16.5" x14ac:dyDescent="0.3">
      <c r="A62" s="12" t="s">
        <v>68</v>
      </c>
      <c r="B62" s="32" t="s">
        <v>69</v>
      </c>
    </row>
    <row r="63" spans="1:3" ht="16.5" x14ac:dyDescent="0.3">
      <c r="A63" s="12"/>
      <c r="B63" s="32" t="s">
        <v>70</v>
      </c>
    </row>
    <row r="64" spans="1:3" ht="16.5" x14ac:dyDescent="0.3">
      <c r="A64" s="17"/>
      <c r="B64" s="17"/>
    </row>
    <row r="65" spans="1:2" ht="16.5" x14ac:dyDescent="0.3">
      <c r="A65" s="17"/>
      <c r="B65" s="17"/>
    </row>
    <row r="66" spans="1:2" ht="16.5" x14ac:dyDescent="0.3">
      <c r="A66" s="17"/>
      <c r="B66" s="17"/>
    </row>
    <row r="67" spans="1:2" ht="16.5" x14ac:dyDescent="0.3">
      <c r="A67" s="17"/>
      <c r="B67" s="17"/>
    </row>
    <row r="68" spans="1:2" ht="16.5" x14ac:dyDescent="0.3">
      <c r="A68" s="17"/>
      <c r="B68" s="17"/>
    </row>
    <row r="69" spans="1:2" ht="16.5" x14ac:dyDescent="0.3">
      <c r="A69" s="17"/>
      <c r="B69" s="17"/>
    </row>
    <row r="70" spans="1:2" ht="16.5" x14ac:dyDescent="0.3">
      <c r="A70" s="17"/>
      <c r="B70" s="17"/>
    </row>
    <row r="71" spans="1:2" ht="16.5" x14ac:dyDescent="0.3">
      <c r="A71" s="17"/>
      <c r="B71" s="17"/>
    </row>
    <row r="72" spans="1:2" ht="16.5" x14ac:dyDescent="0.3">
      <c r="A72" s="17"/>
      <c r="B72" s="17"/>
    </row>
    <row r="73" spans="1:2" ht="16.5" x14ac:dyDescent="0.3">
      <c r="A73" s="17"/>
      <c r="B73" s="17"/>
    </row>
    <row r="74" spans="1:2" ht="16.5" x14ac:dyDescent="0.3">
      <c r="A74" s="17"/>
      <c r="B74" s="17"/>
    </row>
    <row r="75" spans="1:2" ht="16.5" x14ac:dyDescent="0.3">
      <c r="A75" s="17"/>
      <c r="B75" s="17"/>
    </row>
    <row r="76" spans="1:2" ht="16.5" x14ac:dyDescent="0.3">
      <c r="A76" s="17"/>
      <c r="B76" s="17"/>
    </row>
    <row r="77" spans="1:2" ht="16.5" x14ac:dyDescent="0.3">
      <c r="A77" s="17"/>
      <c r="B77" s="17"/>
    </row>
    <row r="78" spans="1:2" ht="16.5" x14ac:dyDescent="0.3">
      <c r="A78" s="17"/>
      <c r="B78" s="17"/>
    </row>
    <row r="79" spans="1:2" ht="16.5" x14ac:dyDescent="0.3">
      <c r="A79" s="17"/>
      <c r="B79" s="17"/>
    </row>
    <row r="80" spans="1:2" ht="16.5" x14ac:dyDescent="0.3">
      <c r="A80" s="17"/>
      <c r="B80" s="17"/>
    </row>
    <row r="81" spans="1:2" ht="16.5" x14ac:dyDescent="0.3">
      <c r="A81" s="17"/>
      <c r="B81" s="17"/>
    </row>
    <row r="82" spans="1:2" ht="16.5" x14ac:dyDescent="0.3">
      <c r="A82" s="17"/>
      <c r="B82" s="17"/>
    </row>
    <row r="83" spans="1:2" ht="16.5" x14ac:dyDescent="0.3">
      <c r="A83" s="17"/>
      <c r="B83" s="17"/>
    </row>
    <row r="84" spans="1:2" ht="16.5" x14ac:dyDescent="0.3">
      <c r="A84" s="17"/>
      <c r="B84" s="17"/>
    </row>
    <row r="85" spans="1:2" ht="16.5" x14ac:dyDescent="0.3">
      <c r="A85" s="17"/>
      <c r="B85" s="17"/>
    </row>
    <row r="86" spans="1:2" ht="16.5" x14ac:dyDescent="0.3">
      <c r="A86" s="17"/>
      <c r="B86" s="17"/>
    </row>
    <row r="87" spans="1:2" ht="16.5" x14ac:dyDescent="0.3">
      <c r="A87" s="17"/>
      <c r="B87" s="17"/>
    </row>
    <row r="88" spans="1:2" ht="16.5" x14ac:dyDescent="0.3">
      <c r="A88" s="17"/>
      <c r="B88" s="17"/>
    </row>
    <row r="89" spans="1:2" ht="16.5" x14ac:dyDescent="0.3">
      <c r="A89" s="17"/>
      <c r="B89" s="17"/>
    </row>
    <row r="90" spans="1:2" ht="16.5" x14ac:dyDescent="0.3">
      <c r="A90" s="17"/>
      <c r="B90" s="17"/>
    </row>
    <row r="91" spans="1:2" ht="16.5" x14ac:dyDescent="0.3">
      <c r="A91" s="17"/>
      <c r="B91" s="17"/>
    </row>
    <row r="92" spans="1:2" ht="16.5" x14ac:dyDescent="0.3">
      <c r="A92" s="17"/>
      <c r="B92" s="17"/>
    </row>
    <row r="93" spans="1:2" ht="16.5" x14ac:dyDescent="0.3">
      <c r="A93" s="17"/>
      <c r="B93" s="17"/>
    </row>
    <row r="94" spans="1:2" ht="16.5" x14ac:dyDescent="0.3">
      <c r="A94" s="17"/>
      <c r="B94" s="17"/>
    </row>
    <row r="95" spans="1:2" ht="16.5" x14ac:dyDescent="0.3">
      <c r="A95" s="17"/>
      <c r="B95" s="17"/>
    </row>
    <row r="96" spans="1:2" ht="16.5" x14ac:dyDescent="0.3">
      <c r="A96" s="17"/>
      <c r="B96" s="17"/>
    </row>
    <row r="97" spans="1:2" ht="16.5" x14ac:dyDescent="0.3">
      <c r="A97" s="17"/>
      <c r="B97" s="17"/>
    </row>
    <row r="98" spans="1:2" ht="16.5" x14ac:dyDescent="0.3">
      <c r="A98" s="17"/>
      <c r="B98" s="17"/>
    </row>
    <row r="99" spans="1:2" ht="16.5" x14ac:dyDescent="0.3">
      <c r="A99" s="17"/>
      <c r="B99" s="17"/>
    </row>
    <row r="100" spans="1:2" ht="16.5" x14ac:dyDescent="0.3">
      <c r="A100" s="17"/>
      <c r="B100" s="17"/>
    </row>
    <row r="101" spans="1:2" ht="16.5" x14ac:dyDescent="0.3">
      <c r="A101" s="17"/>
      <c r="B101" s="17"/>
    </row>
    <row r="102" spans="1:2" ht="16.5" x14ac:dyDescent="0.3">
      <c r="A102" s="17"/>
      <c r="B102" s="17"/>
    </row>
    <row r="103" spans="1:2" ht="16.5" x14ac:dyDescent="0.3">
      <c r="A103" s="17"/>
      <c r="B103" s="17"/>
    </row>
    <row r="104" spans="1:2" ht="16.5" x14ac:dyDescent="0.3">
      <c r="A104" s="17"/>
      <c r="B104" s="17"/>
    </row>
    <row r="105" spans="1:2" ht="16.5" x14ac:dyDescent="0.3">
      <c r="A105" s="17"/>
      <c r="B105" s="17"/>
    </row>
    <row r="106" spans="1:2" ht="16.5" x14ac:dyDescent="0.3">
      <c r="A106" s="17"/>
      <c r="B106" s="17"/>
    </row>
    <row r="107" spans="1:2" ht="16.5" x14ac:dyDescent="0.3">
      <c r="A107" s="17"/>
      <c r="B107" s="17"/>
    </row>
    <row r="108" spans="1:2" ht="16.5" x14ac:dyDescent="0.3">
      <c r="A108" s="17"/>
      <c r="B108" s="17"/>
    </row>
    <row r="109" spans="1:2" ht="16.5" x14ac:dyDescent="0.3">
      <c r="A109" s="17"/>
      <c r="B109" s="17"/>
    </row>
    <row r="110" spans="1:2" ht="16.5" x14ac:dyDescent="0.3">
      <c r="A110" s="17"/>
      <c r="B110" s="17"/>
    </row>
    <row r="111" spans="1:2" ht="16.5" x14ac:dyDescent="0.3">
      <c r="A111" s="17"/>
      <c r="B111" s="17"/>
    </row>
    <row r="112" spans="1:2" ht="16.5" x14ac:dyDescent="0.3">
      <c r="A112" s="17"/>
      <c r="B112" s="17"/>
    </row>
    <row r="113" spans="1:2" ht="16.5" x14ac:dyDescent="0.3">
      <c r="A113" s="17"/>
      <c r="B113" s="17"/>
    </row>
    <row r="114" spans="1:2" ht="16.5" x14ac:dyDescent="0.3">
      <c r="A114" s="17"/>
      <c r="B114" s="17"/>
    </row>
    <row r="115" spans="1:2" ht="16.5" x14ac:dyDescent="0.3">
      <c r="A115" s="17"/>
      <c r="B115" s="17"/>
    </row>
    <row r="116" spans="1:2" ht="16.5" x14ac:dyDescent="0.3">
      <c r="A116" s="17"/>
      <c r="B116" s="17"/>
    </row>
    <row r="117" spans="1:2" ht="16.5" x14ac:dyDescent="0.3">
      <c r="A117" s="17"/>
      <c r="B117" s="17"/>
    </row>
    <row r="118" spans="1:2" ht="16.5" x14ac:dyDescent="0.3">
      <c r="A118" s="17"/>
      <c r="B118" s="17"/>
    </row>
    <row r="119" spans="1:2" ht="16.5" x14ac:dyDescent="0.3">
      <c r="A119" s="17"/>
      <c r="B119" s="17"/>
    </row>
    <row r="120" spans="1:2" ht="16.5" x14ac:dyDescent="0.3">
      <c r="A120" s="17"/>
      <c r="B120" s="17"/>
    </row>
    <row r="121" spans="1:2" ht="16.5" x14ac:dyDescent="0.3">
      <c r="A121" s="17"/>
      <c r="B121" s="17"/>
    </row>
    <row r="122" spans="1:2" ht="16.5" x14ac:dyDescent="0.3">
      <c r="A122" s="17"/>
      <c r="B122" s="17"/>
    </row>
    <row r="123" spans="1:2" ht="16.5" x14ac:dyDescent="0.3">
      <c r="A123" s="17"/>
      <c r="B123" s="17"/>
    </row>
    <row r="124" spans="1:2" ht="16.5" x14ac:dyDescent="0.3">
      <c r="A124" s="17"/>
      <c r="B124" s="17"/>
    </row>
    <row r="125" spans="1:2" ht="16.5" x14ac:dyDescent="0.3">
      <c r="A125" s="17"/>
      <c r="B125" s="17"/>
    </row>
    <row r="126" spans="1:2" ht="16.5" x14ac:dyDescent="0.3">
      <c r="A126" s="17"/>
      <c r="B126" s="17"/>
    </row>
    <row r="127" spans="1:2" ht="16.5" x14ac:dyDescent="0.3">
      <c r="A127" s="17"/>
      <c r="B127" s="17"/>
    </row>
    <row r="128" spans="1:2" ht="16.5" x14ac:dyDescent="0.3">
      <c r="A128" s="17"/>
      <c r="B128" s="17"/>
    </row>
    <row r="129" spans="1:2" ht="16.5" x14ac:dyDescent="0.3">
      <c r="A129" s="17"/>
      <c r="B129" s="17"/>
    </row>
    <row r="130" spans="1:2" ht="16.5" x14ac:dyDescent="0.3">
      <c r="A130" s="17"/>
      <c r="B130" s="17"/>
    </row>
    <row r="131" spans="1:2" ht="16.5" x14ac:dyDescent="0.3">
      <c r="A131" s="17"/>
      <c r="B131" s="17"/>
    </row>
    <row r="132" spans="1:2" ht="16.5" x14ac:dyDescent="0.3">
      <c r="A132" s="17"/>
      <c r="B132" s="17"/>
    </row>
    <row r="133" spans="1:2" ht="16.5" x14ac:dyDescent="0.3">
      <c r="A133" s="17"/>
      <c r="B133" s="17"/>
    </row>
    <row r="134" spans="1:2" ht="16.5" x14ac:dyDescent="0.3">
      <c r="A134" s="17"/>
      <c r="B134" s="17"/>
    </row>
    <row r="135" spans="1:2" ht="16.5" x14ac:dyDescent="0.3">
      <c r="A135" s="17"/>
      <c r="B135" s="17"/>
    </row>
    <row r="136" spans="1:2" ht="16.5" x14ac:dyDescent="0.3">
      <c r="A136" s="17"/>
      <c r="B136" s="17"/>
    </row>
    <row r="137" spans="1:2" ht="16.5" x14ac:dyDescent="0.3">
      <c r="A137" s="17"/>
      <c r="B137" s="17"/>
    </row>
    <row r="138" spans="1:2" ht="16.5" x14ac:dyDescent="0.3">
      <c r="A138" s="17"/>
      <c r="B138" s="17"/>
    </row>
    <row r="139" spans="1:2" ht="16.5" x14ac:dyDescent="0.3">
      <c r="A139" s="17"/>
      <c r="B139" s="17"/>
    </row>
    <row r="140" spans="1:2" ht="16.5" x14ac:dyDescent="0.3">
      <c r="A140" s="17"/>
      <c r="B140" s="17"/>
    </row>
    <row r="141" spans="1:2" ht="16.5" x14ac:dyDescent="0.3">
      <c r="A141" s="17"/>
      <c r="B141" s="17"/>
    </row>
    <row r="142" spans="1:2" ht="16.5" x14ac:dyDescent="0.3">
      <c r="A142" s="17"/>
      <c r="B142" s="17"/>
    </row>
    <row r="143" spans="1:2" ht="16.5" x14ac:dyDescent="0.3">
      <c r="A143" s="17"/>
      <c r="B143" s="17"/>
    </row>
    <row r="144" spans="1:2" ht="16.5" x14ac:dyDescent="0.3">
      <c r="A144" s="17"/>
      <c r="B144" s="17"/>
    </row>
    <row r="145" spans="1:2" ht="16.5" x14ac:dyDescent="0.3">
      <c r="A145" s="17"/>
      <c r="B145" s="17"/>
    </row>
    <row r="146" spans="1:2" ht="16.5" x14ac:dyDescent="0.3">
      <c r="A146" s="17"/>
      <c r="B146" s="17"/>
    </row>
    <row r="147" spans="1:2" ht="16.5" x14ac:dyDescent="0.3">
      <c r="A147" s="17"/>
      <c r="B147" s="17"/>
    </row>
    <row r="148" spans="1:2" ht="16.5" x14ac:dyDescent="0.3">
      <c r="A148" s="17"/>
      <c r="B148" s="17"/>
    </row>
    <row r="149" spans="1:2" ht="16.5" x14ac:dyDescent="0.3">
      <c r="A149" s="17"/>
      <c r="B149" s="17"/>
    </row>
    <row r="150" spans="1:2" ht="16.5" x14ac:dyDescent="0.3">
      <c r="A150" s="17"/>
      <c r="B150" s="17"/>
    </row>
    <row r="151" spans="1:2" ht="16.5" x14ac:dyDescent="0.3">
      <c r="A151" s="17"/>
      <c r="B151" s="17"/>
    </row>
    <row r="152" spans="1:2" ht="16.5" x14ac:dyDescent="0.3">
      <c r="A152" s="17"/>
      <c r="B152" s="17"/>
    </row>
    <row r="153" spans="1:2" ht="16.5" x14ac:dyDescent="0.3">
      <c r="A153" s="17"/>
      <c r="B153" s="17"/>
    </row>
    <row r="154" spans="1:2" ht="16.5" x14ac:dyDescent="0.3">
      <c r="A154" s="17"/>
      <c r="B154" s="17"/>
    </row>
    <row r="155" spans="1:2" ht="16.5" x14ac:dyDescent="0.3">
      <c r="A155" s="17"/>
      <c r="B155" s="17"/>
    </row>
    <row r="156" spans="1:2" ht="16.5" x14ac:dyDescent="0.3">
      <c r="A156" s="17"/>
      <c r="B156" s="17"/>
    </row>
    <row r="157" spans="1:2" ht="16.5" x14ac:dyDescent="0.3">
      <c r="A157" s="17"/>
      <c r="B157" s="17"/>
    </row>
    <row r="158" spans="1:2" ht="16.5" x14ac:dyDescent="0.3">
      <c r="A158" s="17"/>
      <c r="B158" s="17"/>
    </row>
    <row r="159" spans="1:2" ht="16.5" x14ac:dyDescent="0.3">
      <c r="A159" s="17"/>
      <c r="B159" s="17"/>
    </row>
    <row r="160" spans="1:2" ht="16.5" x14ac:dyDescent="0.3">
      <c r="A160" s="17"/>
      <c r="B160" s="17"/>
    </row>
    <row r="161" spans="1:2" ht="16.5" x14ac:dyDescent="0.3">
      <c r="A161" s="17"/>
      <c r="B161" s="17"/>
    </row>
    <row r="162" spans="1:2" ht="16.5" x14ac:dyDescent="0.3">
      <c r="A162" s="17"/>
      <c r="B162" s="17"/>
    </row>
    <row r="163" spans="1:2" ht="16.5" x14ac:dyDescent="0.3">
      <c r="A163" s="17"/>
      <c r="B163" s="17"/>
    </row>
    <row r="164" spans="1:2" ht="16.5" x14ac:dyDescent="0.3">
      <c r="A164" s="17"/>
      <c r="B164" s="17"/>
    </row>
    <row r="165" spans="1:2" ht="16.5" x14ac:dyDescent="0.3">
      <c r="A165" s="17"/>
      <c r="B165" s="17"/>
    </row>
    <row r="166" spans="1:2" ht="16.5" x14ac:dyDescent="0.3">
      <c r="A166" s="17"/>
      <c r="B166" s="17"/>
    </row>
    <row r="167" spans="1:2" ht="16.5" x14ac:dyDescent="0.3">
      <c r="A167" s="17"/>
      <c r="B167" s="17"/>
    </row>
    <row r="168" spans="1:2" ht="16.5" x14ac:dyDescent="0.3">
      <c r="A168" s="17"/>
      <c r="B168" s="17"/>
    </row>
    <row r="169" spans="1:2" ht="16.5" x14ac:dyDescent="0.3">
      <c r="A169" s="17"/>
      <c r="B169" s="17"/>
    </row>
    <row r="170" spans="1:2" ht="16.5" x14ac:dyDescent="0.3">
      <c r="A170" s="17"/>
      <c r="B170" s="17"/>
    </row>
    <row r="171" spans="1:2" ht="16.5" x14ac:dyDescent="0.3">
      <c r="A171" s="17"/>
      <c r="B171" s="17"/>
    </row>
    <row r="172" spans="1:2" ht="16.5" x14ac:dyDescent="0.3">
      <c r="A172" s="17"/>
      <c r="B172" s="17"/>
    </row>
    <row r="173" spans="1:2" ht="16.5" x14ac:dyDescent="0.3">
      <c r="A173" s="17"/>
      <c r="B173" s="17"/>
    </row>
    <row r="174" spans="1:2" ht="16.5" x14ac:dyDescent="0.3">
      <c r="A174" s="17"/>
      <c r="B174" s="17"/>
    </row>
    <row r="175" spans="1:2" ht="16.5" x14ac:dyDescent="0.3">
      <c r="A175" s="17"/>
      <c r="B175" s="17"/>
    </row>
    <row r="176" spans="1:2" ht="16.5" x14ac:dyDescent="0.3">
      <c r="A176" s="17"/>
      <c r="B176" s="17"/>
    </row>
    <row r="177" spans="1:2" ht="16.5" x14ac:dyDescent="0.3">
      <c r="A177" s="17"/>
      <c r="B177" s="17"/>
    </row>
    <row r="178" spans="1:2" ht="16.5" x14ac:dyDescent="0.3">
      <c r="A178" s="17"/>
      <c r="B178" s="17"/>
    </row>
    <row r="179" spans="1:2" ht="16.5" x14ac:dyDescent="0.3">
      <c r="A179" s="17"/>
      <c r="B179" s="17"/>
    </row>
    <row r="180" spans="1:2" ht="16.5" x14ac:dyDescent="0.3">
      <c r="A180" s="17"/>
      <c r="B180" s="17"/>
    </row>
    <row r="181" spans="1:2" ht="16.5" x14ac:dyDescent="0.3">
      <c r="A181" s="17"/>
      <c r="B181" s="17"/>
    </row>
    <row r="182" spans="1:2" ht="16.5" x14ac:dyDescent="0.3">
      <c r="A182" s="17"/>
      <c r="B182" s="17"/>
    </row>
    <row r="183" spans="1:2" ht="16.5" x14ac:dyDescent="0.3">
      <c r="A183" s="17"/>
      <c r="B183" s="17"/>
    </row>
    <row r="184" spans="1:2" ht="16.5" x14ac:dyDescent="0.3">
      <c r="A184" s="17"/>
      <c r="B184" s="17"/>
    </row>
    <row r="185" spans="1:2" ht="16.5" x14ac:dyDescent="0.3">
      <c r="A185" s="17"/>
      <c r="B185" s="17"/>
    </row>
    <row r="186" spans="1:2" ht="16.5" x14ac:dyDescent="0.3">
      <c r="A186" s="17"/>
      <c r="B186" s="17"/>
    </row>
    <row r="187" spans="1:2" ht="16.5" x14ac:dyDescent="0.3">
      <c r="A187" s="17"/>
      <c r="B187" s="17"/>
    </row>
    <row r="188" spans="1:2" ht="16.5" x14ac:dyDescent="0.3">
      <c r="A188" s="17"/>
      <c r="B188" s="17"/>
    </row>
    <row r="189" spans="1:2" ht="16.5" x14ac:dyDescent="0.3">
      <c r="A189" s="17"/>
      <c r="B189" s="17"/>
    </row>
    <row r="190" spans="1:2" ht="16.5" x14ac:dyDescent="0.3">
      <c r="A190" s="17"/>
      <c r="B190" s="17"/>
    </row>
    <row r="191" spans="1:2" ht="16.5" x14ac:dyDescent="0.3">
      <c r="A191" s="17"/>
      <c r="B191" s="17"/>
    </row>
    <row r="192" spans="1:2" ht="16.5" x14ac:dyDescent="0.3">
      <c r="A192" s="17"/>
      <c r="B192" s="17"/>
    </row>
    <row r="193" spans="1:2" ht="16.5" x14ac:dyDescent="0.3">
      <c r="A193" s="17"/>
      <c r="B193" s="17"/>
    </row>
    <row r="194" spans="1:2" ht="16.5" x14ac:dyDescent="0.3">
      <c r="A194" s="17"/>
      <c r="B194" s="17"/>
    </row>
    <row r="195" spans="1:2" ht="16.5" x14ac:dyDescent="0.3">
      <c r="A195" s="17"/>
      <c r="B195" s="17"/>
    </row>
    <row r="196" spans="1:2" ht="16.5" x14ac:dyDescent="0.3">
      <c r="A196" s="17"/>
      <c r="B196" s="17"/>
    </row>
    <row r="197" spans="1:2" ht="16.5" x14ac:dyDescent="0.3">
      <c r="A197" s="17"/>
      <c r="B197" s="17"/>
    </row>
    <row r="198" spans="1:2" ht="16.5" x14ac:dyDescent="0.3">
      <c r="A198" s="17"/>
      <c r="B198" s="17"/>
    </row>
    <row r="199" spans="1:2" ht="16.5" x14ac:dyDescent="0.3">
      <c r="A199" s="17"/>
      <c r="B199" s="17"/>
    </row>
    <row r="200" spans="1:2" ht="16.5" x14ac:dyDescent="0.3">
      <c r="A200" s="17"/>
      <c r="B200" s="17"/>
    </row>
    <row r="201" spans="1:2" ht="16.5" x14ac:dyDescent="0.3">
      <c r="A201" s="17"/>
      <c r="B201" s="17"/>
    </row>
    <row r="202" spans="1:2" ht="16.5" x14ac:dyDescent="0.3">
      <c r="A202" s="17"/>
      <c r="B202" s="17"/>
    </row>
    <row r="203" spans="1:2" ht="16.5" x14ac:dyDescent="0.3">
      <c r="A203" s="17"/>
      <c r="B203" s="17"/>
    </row>
    <row r="204" spans="1:2" ht="16.5" x14ac:dyDescent="0.3">
      <c r="A204" s="17"/>
      <c r="B204" s="17"/>
    </row>
    <row r="205" spans="1:2" ht="16.5" x14ac:dyDescent="0.3">
      <c r="A205" s="17"/>
      <c r="B205" s="17"/>
    </row>
    <row r="206" spans="1:2" ht="16.5" x14ac:dyDescent="0.3">
      <c r="A206" s="17"/>
      <c r="B206" s="17"/>
    </row>
    <row r="207" spans="1:2" ht="16.5" x14ac:dyDescent="0.3">
      <c r="A207" s="17"/>
      <c r="B207" s="17"/>
    </row>
    <row r="208" spans="1:2" ht="16.5" x14ac:dyDescent="0.3">
      <c r="A208" s="17"/>
      <c r="B208" s="17"/>
    </row>
    <row r="209" spans="1:2" ht="16.5" x14ac:dyDescent="0.3">
      <c r="A209" s="17"/>
      <c r="B209" s="17"/>
    </row>
    <row r="210" spans="1:2" ht="16.5" x14ac:dyDescent="0.3">
      <c r="A210" s="17"/>
      <c r="B210" s="17"/>
    </row>
    <row r="211" spans="1:2" ht="16.5" x14ac:dyDescent="0.3">
      <c r="A211" s="17"/>
      <c r="B211" s="17"/>
    </row>
    <row r="212" spans="1:2" ht="16.5" x14ac:dyDescent="0.3">
      <c r="A212" s="17"/>
      <c r="B212" s="17"/>
    </row>
    <row r="213" spans="1:2" ht="16.5" x14ac:dyDescent="0.3">
      <c r="A213" s="17"/>
      <c r="B213" s="17"/>
    </row>
    <row r="214" spans="1:2" ht="16.5" x14ac:dyDescent="0.3">
      <c r="A214" s="17"/>
      <c r="B214" s="17"/>
    </row>
    <row r="215" spans="1:2" ht="16.5" x14ac:dyDescent="0.3">
      <c r="A215" s="17"/>
      <c r="B215" s="17"/>
    </row>
    <row r="216" spans="1:2" ht="16.5" x14ac:dyDescent="0.3">
      <c r="A216" s="17"/>
      <c r="B216" s="17"/>
    </row>
    <row r="217" spans="1:2" ht="16.5" x14ac:dyDescent="0.3">
      <c r="A217" s="17"/>
      <c r="B217" s="17"/>
    </row>
    <row r="218" spans="1:2" ht="16.5" x14ac:dyDescent="0.3">
      <c r="A218" s="17"/>
      <c r="B218" s="17"/>
    </row>
    <row r="219" spans="1:2" ht="16.5" x14ac:dyDescent="0.3">
      <c r="A219" s="17"/>
      <c r="B219" s="17"/>
    </row>
    <row r="220" spans="1:2" ht="16.5" x14ac:dyDescent="0.3">
      <c r="A220" s="17"/>
      <c r="B220" s="17"/>
    </row>
    <row r="221" spans="1:2" ht="16.5" x14ac:dyDescent="0.3">
      <c r="A221" s="17"/>
      <c r="B221" s="17"/>
    </row>
    <row r="222" spans="1:2" ht="16.5" x14ac:dyDescent="0.3">
      <c r="A222" s="17"/>
      <c r="B222" s="17"/>
    </row>
    <row r="223" spans="1:2" ht="16.5" x14ac:dyDescent="0.3">
      <c r="A223" s="17"/>
      <c r="B223" s="17"/>
    </row>
    <row r="224" spans="1:2" ht="16.5" x14ac:dyDescent="0.3">
      <c r="A224" s="17"/>
      <c r="B224" s="17"/>
    </row>
    <row r="225" spans="1:2" ht="16.5" x14ac:dyDescent="0.3">
      <c r="A225" s="17"/>
      <c r="B225" s="17"/>
    </row>
    <row r="226" spans="1:2" ht="16.5" x14ac:dyDescent="0.3">
      <c r="A226" s="17"/>
      <c r="B226" s="17"/>
    </row>
    <row r="227" spans="1:2" ht="16.5" x14ac:dyDescent="0.3">
      <c r="A227" s="17"/>
      <c r="B227" s="17"/>
    </row>
    <row r="228" spans="1:2" ht="16.5" x14ac:dyDescent="0.3">
      <c r="A228" s="17"/>
      <c r="B228" s="17"/>
    </row>
    <row r="229" spans="1:2" ht="16.5" x14ac:dyDescent="0.3">
      <c r="A229" s="17"/>
      <c r="B229" s="17"/>
    </row>
    <row r="230" spans="1:2" ht="16.5" x14ac:dyDescent="0.3">
      <c r="A230" s="17"/>
      <c r="B230" s="17"/>
    </row>
    <row r="231" spans="1:2" ht="16.5" x14ac:dyDescent="0.3">
      <c r="A231" s="17"/>
      <c r="B231" s="17"/>
    </row>
    <row r="232" spans="1:2" ht="16.5" x14ac:dyDescent="0.3">
      <c r="A232" s="17"/>
      <c r="B232" s="17"/>
    </row>
    <row r="233" spans="1:2" ht="16.5" x14ac:dyDescent="0.3">
      <c r="A233" s="17"/>
      <c r="B233" s="17"/>
    </row>
    <row r="234" spans="1:2" ht="16.5" x14ac:dyDescent="0.3">
      <c r="A234" s="17"/>
      <c r="B234" s="17"/>
    </row>
    <row r="235" spans="1:2" ht="16.5" x14ac:dyDescent="0.3">
      <c r="A235" s="17"/>
      <c r="B235" s="17"/>
    </row>
    <row r="236" spans="1:2" ht="16.5" x14ac:dyDescent="0.3">
      <c r="A236" s="17"/>
      <c r="B236" s="17"/>
    </row>
    <row r="237" spans="1:2" ht="16.5" x14ac:dyDescent="0.3">
      <c r="A237" s="17"/>
      <c r="B237" s="17"/>
    </row>
    <row r="238" spans="1:2" ht="16.5" x14ac:dyDescent="0.3">
      <c r="A238" s="17"/>
      <c r="B238" s="17"/>
    </row>
    <row r="239" spans="1:2" ht="16.5" x14ac:dyDescent="0.3">
      <c r="A239" s="17"/>
      <c r="B239" s="17"/>
    </row>
    <row r="240" spans="1:2" ht="16.5" x14ac:dyDescent="0.3">
      <c r="A240" s="17"/>
      <c r="B240" s="17"/>
    </row>
    <row r="241" spans="1:2" ht="16.5" x14ac:dyDescent="0.3">
      <c r="A241" s="17"/>
      <c r="B241" s="17"/>
    </row>
    <row r="242" spans="1:2" ht="16.5" x14ac:dyDescent="0.3">
      <c r="A242" s="17"/>
      <c r="B242" s="17"/>
    </row>
    <row r="243" spans="1:2" ht="16.5" x14ac:dyDescent="0.3">
      <c r="A243" s="17"/>
      <c r="B243" s="17"/>
    </row>
    <row r="244" spans="1:2" ht="16.5" x14ac:dyDescent="0.3">
      <c r="A244" s="17"/>
      <c r="B244" s="17"/>
    </row>
    <row r="245" spans="1:2" ht="16.5" x14ac:dyDescent="0.3">
      <c r="A245" s="17"/>
      <c r="B245" s="17"/>
    </row>
    <row r="246" spans="1:2" ht="16.5" x14ac:dyDescent="0.3">
      <c r="A246" s="17"/>
      <c r="B246" s="17"/>
    </row>
    <row r="247" spans="1:2" ht="16.5" x14ac:dyDescent="0.3">
      <c r="A247" s="17"/>
      <c r="B247" s="17"/>
    </row>
    <row r="248" spans="1:2" ht="16.5" x14ac:dyDescent="0.3">
      <c r="A248" s="17"/>
      <c r="B248" s="17"/>
    </row>
    <row r="249" spans="1:2" ht="16.5" x14ac:dyDescent="0.3">
      <c r="A249" s="17"/>
      <c r="B249" s="17"/>
    </row>
    <row r="250" spans="1:2" ht="16.5" x14ac:dyDescent="0.3">
      <c r="A250" s="17"/>
      <c r="B250" s="17"/>
    </row>
    <row r="251" spans="1:2" ht="16.5" x14ac:dyDescent="0.3">
      <c r="A251" s="17"/>
      <c r="B251" s="17"/>
    </row>
    <row r="252" spans="1:2" ht="16.5" x14ac:dyDescent="0.3">
      <c r="A252" s="17"/>
      <c r="B252" s="17"/>
    </row>
    <row r="253" spans="1:2" ht="16.5" x14ac:dyDescent="0.3">
      <c r="A253" s="17"/>
      <c r="B253" s="17"/>
    </row>
    <row r="254" spans="1:2" ht="16.5" x14ac:dyDescent="0.3">
      <c r="A254" s="17"/>
      <c r="B254" s="17"/>
    </row>
    <row r="255" spans="1:2" ht="16.5" x14ac:dyDescent="0.3">
      <c r="A255" s="17"/>
      <c r="B255" s="17"/>
    </row>
    <row r="256" spans="1:2" ht="16.5" x14ac:dyDescent="0.3">
      <c r="A256" s="17"/>
      <c r="B256" s="17"/>
    </row>
    <row r="257" spans="1:2" ht="16.5" x14ac:dyDescent="0.3">
      <c r="A257" s="17"/>
      <c r="B257" s="17"/>
    </row>
    <row r="258" spans="1:2" ht="16.5" x14ac:dyDescent="0.3">
      <c r="A258" s="17"/>
      <c r="B258" s="17"/>
    </row>
    <row r="259" spans="1:2" ht="16.5" x14ac:dyDescent="0.3">
      <c r="A259" s="17"/>
      <c r="B259" s="17"/>
    </row>
    <row r="260" spans="1:2" ht="16.5" x14ac:dyDescent="0.3">
      <c r="A260" s="17"/>
      <c r="B260" s="17"/>
    </row>
    <row r="261" spans="1:2" ht="16.5" x14ac:dyDescent="0.3">
      <c r="A261" s="17"/>
      <c r="B261" s="17"/>
    </row>
    <row r="262" spans="1:2" ht="16.5" x14ac:dyDescent="0.3">
      <c r="A262" s="17"/>
      <c r="B262" s="17"/>
    </row>
    <row r="263" spans="1:2" ht="16.5" x14ac:dyDescent="0.3">
      <c r="A263" s="17"/>
      <c r="B263" s="17"/>
    </row>
    <row r="264" spans="1:2" ht="16.5" x14ac:dyDescent="0.3">
      <c r="A264" s="17"/>
      <c r="B264" s="17"/>
    </row>
    <row r="265" spans="1:2" ht="16.5" x14ac:dyDescent="0.3">
      <c r="A265" s="17"/>
      <c r="B265" s="17"/>
    </row>
    <row r="266" spans="1:2" ht="16.5" x14ac:dyDescent="0.3">
      <c r="A266" s="17"/>
      <c r="B266" s="17"/>
    </row>
    <row r="267" spans="1:2" ht="16.5" x14ac:dyDescent="0.3">
      <c r="A267" s="17"/>
      <c r="B267" s="17"/>
    </row>
    <row r="268" spans="1:2" ht="16.5" x14ac:dyDescent="0.3">
      <c r="A268" s="17"/>
      <c r="B268" s="17"/>
    </row>
    <row r="269" spans="1:2" ht="16.5" x14ac:dyDescent="0.3">
      <c r="A269" s="17"/>
      <c r="B269" s="17"/>
    </row>
    <row r="270" spans="1:2" ht="16.5" x14ac:dyDescent="0.3">
      <c r="A270" s="17"/>
      <c r="B270" s="17"/>
    </row>
    <row r="271" spans="1:2" ht="16.5" x14ac:dyDescent="0.3">
      <c r="A271" s="17"/>
      <c r="B271" s="17"/>
    </row>
    <row r="272" spans="1:2" ht="16.5" x14ac:dyDescent="0.3">
      <c r="A272" s="17"/>
      <c r="B272" s="17"/>
    </row>
    <row r="273" spans="1:2" ht="16.5" x14ac:dyDescent="0.3">
      <c r="A273" s="17"/>
      <c r="B273" s="17"/>
    </row>
    <row r="274" spans="1:2" ht="16.5" x14ac:dyDescent="0.3">
      <c r="A274" s="17"/>
      <c r="B274" s="17"/>
    </row>
    <row r="275" spans="1:2" ht="16.5" x14ac:dyDescent="0.3">
      <c r="A275" s="17"/>
      <c r="B275" s="17"/>
    </row>
    <row r="276" spans="1:2" ht="16.5" x14ac:dyDescent="0.3">
      <c r="A276" s="17"/>
      <c r="B276" s="17"/>
    </row>
    <row r="277" spans="1:2" ht="16.5" x14ac:dyDescent="0.3">
      <c r="A277" s="17"/>
      <c r="B277" s="17"/>
    </row>
    <row r="278" spans="1:2" ht="16.5" x14ac:dyDescent="0.3">
      <c r="A278" s="17"/>
      <c r="B278" s="17"/>
    </row>
    <row r="279" spans="1:2" ht="16.5" x14ac:dyDescent="0.3">
      <c r="A279" s="17"/>
      <c r="B279" s="17"/>
    </row>
    <row r="280" spans="1:2" ht="16.5" x14ac:dyDescent="0.3">
      <c r="A280" s="17"/>
      <c r="B280" s="17"/>
    </row>
    <row r="281" spans="1:2" ht="16.5" x14ac:dyDescent="0.3">
      <c r="A281" s="17"/>
      <c r="B281" s="17"/>
    </row>
    <row r="282" spans="1:2" ht="16.5" x14ac:dyDescent="0.3">
      <c r="A282" s="17"/>
      <c r="B282" s="17"/>
    </row>
    <row r="283" spans="1:2" ht="16.5" x14ac:dyDescent="0.3">
      <c r="A283" s="17"/>
      <c r="B283" s="17"/>
    </row>
    <row r="284" spans="1:2" ht="16.5" x14ac:dyDescent="0.3">
      <c r="A284" s="17"/>
      <c r="B284" s="17"/>
    </row>
    <row r="285" spans="1:2" ht="16.5" x14ac:dyDescent="0.3">
      <c r="A285" s="17"/>
      <c r="B285" s="17"/>
    </row>
    <row r="286" spans="1:2" ht="16.5" x14ac:dyDescent="0.3">
      <c r="A286" s="17"/>
      <c r="B286" s="17"/>
    </row>
    <row r="287" spans="1:2" ht="16.5" x14ac:dyDescent="0.3">
      <c r="A287" s="17"/>
      <c r="B287" s="17"/>
    </row>
    <row r="288" spans="1:2" ht="16.5" x14ac:dyDescent="0.3">
      <c r="A288" s="17"/>
      <c r="B288" s="17"/>
    </row>
    <row r="289" spans="1:2" ht="16.5" x14ac:dyDescent="0.3">
      <c r="A289" s="17"/>
      <c r="B289" s="17"/>
    </row>
    <row r="290" spans="1:2" ht="16.5" x14ac:dyDescent="0.3">
      <c r="A290" s="17"/>
      <c r="B290" s="17"/>
    </row>
    <row r="291" spans="1:2" ht="16.5" x14ac:dyDescent="0.3">
      <c r="A291" s="17"/>
      <c r="B291" s="17"/>
    </row>
    <row r="292" spans="1:2" ht="16.5" x14ac:dyDescent="0.3">
      <c r="A292" s="17"/>
      <c r="B292" s="17"/>
    </row>
    <row r="293" spans="1:2" ht="16.5" x14ac:dyDescent="0.3">
      <c r="A293" s="17"/>
      <c r="B293" s="17"/>
    </row>
    <row r="294" spans="1:2" ht="16.5" x14ac:dyDescent="0.3">
      <c r="A294" s="17"/>
      <c r="B294" s="17"/>
    </row>
    <row r="295" spans="1:2" ht="16.5" x14ac:dyDescent="0.3">
      <c r="A295" s="17"/>
      <c r="B295" s="17"/>
    </row>
    <row r="296" spans="1:2" ht="16.5" x14ac:dyDescent="0.3">
      <c r="A296" s="17"/>
      <c r="B296" s="17"/>
    </row>
    <row r="297" spans="1:2" ht="16.5" x14ac:dyDescent="0.3">
      <c r="A297" s="17"/>
      <c r="B297" s="17"/>
    </row>
    <row r="298" spans="1:2" ht="16.5" x14ac:dyDescent="0.3">
      <c r="A298" s="17"/>
      <c r="B298" s="17"/>
    </row>
    <row r="299" spans="1:2" ht="16.5" x14ac:dyDescent="0.3">
      <c r="A299" s="17"/>
      <c r="B299" s="17"/>
    </row>
    <row r="300" spans="1:2" ht="16.5" x14ac:dyDescent="0.3">
      <c r="A300" s="17"/>
      <c r="B300" s="17"/>
    </row>
    <row r="301" spans="1:2" ht="16.5" x14ac:dyDescent="0.3">
      <c r="A301" s="17"/>
      <c r="B301" s="17"/>
    </row>
    <row r="302" spans="1:2" ht="16.5" x14ac:dyDescent="0.3">
      <c r="A302" s="17"/>
      <c r="B302" s="17"/>
    </row>
    <row r="303" spans="1:2" ht="16.5" x14ac:dyDescent="0.3">
      <c r="A303" s="17"/>
      <c r="B303" s="17"/>
    </row>
    <row r="304" spans="1:2" ht="16.5" x14ac:dyDescent="0.3">
      <c r="A304" s="17"/>
      <c r="B304" s="17"/>
    </row>
    <row r="305" spans="1:2" ht="16.5" x14ac:dyDescent="0.3">
      <c r="A305" s="17"/>
      <c r="B305" s="17"/>
    </row>
    <row r="306" spans="1:2" ht="16.5" x14ac:dyDescent="0.3">
      <c r="A306" s="17"/>
      <c r="B306" s="17"/>
    </row>
    <row r="307" spans="1:2" ht="16.5" x14ac:dyDescent="0.3">
      <c r="A307" s="17"/>
      <c r="B307" s="17"/>
    </row>
    <row r="308" spans="1:2" ht="16.5" x14ac:dyDescent="0.3">
      <c r="A308" s="17"/>
      <c r="B308" s="17"/>
    </row>
    <row r="309" spans="1:2" ht="16.5" x14ac:dyDescent="0.3">
      <c r="A309" s="17"/>
      <c r="B309" s="17"/>
    </row>
    <row r="310" spans="1:2" ht="16.5" x14ac:dyDescent="0.3">
      <c r="A310" s="17"/>
      <c r="B310" s="17"/>
    </row>
    <row r="311" spans="1:2" ht="16.5" x14ac:dyDescent="0.3">
      <c r="A311" s="17"/>
      <c r="B311" s="17"/>
    </row>
    <row r="312" spans="1:2" ht="16.5" x14ac:dyDescent="0.3">
      <c r="A312" s="17"/>
      <c r="B312" s="17"/>
    </row>
    <row r="313" spans="1:2" ht="16.5" x14ac:dyDescent="0.3">
      <c r="A313" s="17"/>
      <c r="B313" s="17"/>
    </row>
    <row r="314" spans="1:2" ht="16.5" x14ac:dyDescent="0.3">
      <c r="A314" s="17"/>
      <c r="B314" s="17"/>
    </row>
    <row r="315" spans="1:2" ht="16.5" x14ac:dyDescent="0.3">
      <c r="A315" s="17"/>
      <c r="B315" s="17"/>
    </row>
    <row r="316" spans="1:2" ht="16.5" x14ac:dyDescent="0.3">
      <c r="A316" s="17"/>
      <c r="B316" s="17"/>
    </row>
    <row r="317" spans="1:2" ht="16.5" x14ac:dyDescent="0.3">
      <c r="A317" s="17"/>
      <c r="B317" s="17"/>
    </row>
    <row r="318" spans="1:2" ht="16.5" x14ac:dyDescent="0.3">
      <c r="A318" s="17"/>
      <c r="B318" s="17"/>
    </row>
    <row r="319" spans="1:2" ht="16.5" x14ac:dyDescent="0.3">
      <c r="A319" s="17"/>
      <c r="B319" s="17"/>
    </row>
    <row r="320" spans="1:2" ht="16.5" x14ac:dyDescent="0.3">
      <c r="A320" s="17"/>
      <c r="B320" s="17"/>
    </row>
    <row r="321" spans="1:2" ht="16.5" x14ac:dyDescent="0.3">
      <c r="A321" s="17"/>
      <c r="B321" s="17"/>
    </row>
    <row r="322" spans="1:2" ht="16.5" x14ac:dyDescent="0.3">
      <c r="A322" s="17"/>
      <c r="B322" s="17"/>
    </row>
    <row r="323" spans="1:2" ht="16.5" x14ac:dyDescent="0.3">
      <c r="A323" s="17"/>
      <c r="B323" s="17"/>
    </row>
    <row r="324" spans="1:2" ht="16.5" x14ac:dyDescent="0.3">
      <c r="A324" s="17"/>
      <c r="B324" s="17"/>
    </row>
    <row r="325" spans="1:2" ht="16.5" x14ac:dyDescent="0.3">
      <c r="A325" s="17"/>
      <c r="B325" s="17"/>
    </row>
    <row r="326" spans="1:2" ht="16.5" x14ac:dyDescent="0.3">
      <c r="A326" s="17"/>
      <c r="B326" s="17"/>
    </row>
    <row r="327" spans="1:2" ht="16.5" x14ac:dyDescent="0.3">
      <c r="A327" s="17"/>
      <c r="B327" s="17"/>
    </row>
    <row r="328" spans="1:2" ht="16.5" x14ac:dyDescent="0.3">
      <c r="A328" s="17"/>
      <c r="B328" s="17"/>
    </row>
    <row r="329" spans="1:2" ht="16.5" x14ac:dyDescent="0.3">
      <c r="A329" s="17"/>
      <c r="B329" s="17"/>
    </row>
    <row r="330" spans="1:2" ht="16.5" x14ac:dyDescent="0.3">
      <c r="A330" s="17"/>
      <c r="B330" s="17"/>
    </row>
    <row r="331" spans="1:2" ht="16.5" x14ac:dyDescent="0.3">
      <c r="A331" s="17"/>
      <c r="B331" s="17"/>
    </row>
    <row r="332" spans="1:2" ht="16.5" x14ac:dyDescent="0.3">
      <c r="A332" s="17"/>
      <c r="B332" s="17"/>
    </row>
    <row r="333" spans="1:2" ht="16.5" x14ac:dyDescent="0.3">
      <c r="A333" s="17"/>
      <c r="B333" s="17"/>
    </row>
    <row r="334" spans="1:2" ht="16.5" x14ac:dyDescent="0.3">
      <c r="A334" s="17"/>
      <c r="B334" s="17"/>
    </row>
    <row r="335" spans="1:2" ht="16.5" x14ac:dyDescent="0.3">
      <c r="A335" s="17"/>
      <c r="B335" s="17"/>
    </row>
    <row r="336" spans="1:2" ht="16.5" x14ac:dyDescent="0.3">
      <c r="A336" s="17"/>
      <c r="B336" s="17"/>
    </row>
    <row r="337" spans="1:2" ht="16.5" x14ac:dyDescent="0.3">
      <c r="A337" s="17"/>
      <c r="B337" s="17"/>
    </row>
    <row r="338" spans="1:2" ht="16.5" x14ac:dyDescent="0.3">
      <c r="A338" s="17"/>
      <c r="B338" s="17"/>
    </row>
    <row r="339" spans="1:2" ht="16.5" x14ac:dyDescent="0.3">
      <c r="A339" s="17"/>
      <c r="B339" s="17"/>
    </row>
    <row r="340" spans="1:2" ht="16.5" x14ac:dyDescent="0.3">
      <c r="A340" s="17"/>
      <c r="B340" s="17"/>
    </row>
    <row r="341" spans="1:2" ht="16.5" x14ac:dyDescent="0.3">
      <c r="A341" s="17"/>
      <c r="B341" s="17"/>
    </row>
    <row r="342" spans="1:2" ht="16.5" x14ac:dyDescent="0.3">
      <c r="A342" s="17"/>
      <c r="B342" s="17"/>
    </row>
    <row r="343" spans="1:2" ht="16.5" x14ac:dyDescent="0.3">
      <c r="A343" s="17"/>
      <c r="B343" s="17"/>
    </row>
    <row r="344" spans="1:2" ht="16.5" x14ac:dyDescent="0.3">
      <c r="A344" s="17"/>
      <c r="B344" s="17"/>
    </row>
    <row r="345" spans="1:2" ht="16.5" x14ac:dyDescent="0.3">
      <c r="A345" s="17"/>
      <c r="B345" s="17"/>
    </row>
    <row r="346" spans="1:2" ht="16.5" x14ac:dyDescent="0.3">
      <c r="A346" s="17"/>
      <c r="B346" s="17"/>
    </row>
    <row r="347" spans="1:2" ht="16.5" x14ac:dyDescent="0.3">
      <c r="A347" s="17"/>
      <c r="B347" s="17"/>
    </row>
    <row r="348" spans="1:2" ht="16.5" x14ac:dyDescent="0.3">
      <c r="A348" s="17"/>
      <c r="B348" s="17"/>
    </row>
    <row r="349" spans="1:2" ht="16.5" x14ac:dyDescent="0.3">
      <c r="A349" s="17"/>
      <c r="B349" s="17"/>
    </row>
    <row r="350" spans="1:2" ht="16.5" x14ac:dyDescent="0.3">
      <c r="A350" s="17"/>
      <c r="B350" s="17"/>
    </row>
    <row r="351" spans="1:2" ht="16.5" x14ac:dyDescent="0.3">
      <c r="A351" s="17"/>
      <c r="B351" s="17"/>
    </row>
    <row r="352" spans="1:2" ht="16.5" x14ac:dyDescent="0.3">
      <c r="A352" s="17"/>
      <c r="B352" s="17"/>
    </row>
    <row r="353" spans="1:2" ht="16.5" x14ac:dyDescent="0.3">
      <c r="A353" s="17"/>
      <c r="B353" s="17"/>
    </row>
    <row r="354" spans="1:2" ht="16.5" x14ac:dyDescent="0.3">
      <c r="A354" s="17"/>
      <c r="B354" s="17"/>
    </row>
    <row r="355" spans="1:2" ht="16.5" x14ac:dyDescent="0.3">
      <c r="A355" s="17"/>
      <c r="B355" s="17"/>
    </row>
    <row r="356" spans="1:2" ht="16.5" x14ac:dyDescent="0.3">
      <c r="A356" s="17"/>
      <c r="B356" s="17"/>
    </row>
    <row r="357" spans="1:2" ht="16.5" x14ac:dyDescent="0.3">
      <c r="A357" s="17"/>
      <c r="B357" s="17"/>
    </row>
    <row r="358" spans="1:2" ht="16.5" x14ac:dyDescent="0.3">
      <c r="A358" s="17"/>
      <c r="B358" s="17"/>
    </row>
    <row r="359" spans="1:2" ht="16.5" x14ac:dyDescent="0.3">
      <c r="A359" s="17"/>
      <c r="B359" s="17"/>
    </row>
    <row r="360" spans="1:2" ht="16.5" x14ac:dyDescent="0.3">
      <c r="A360" s="17"/>
      <c r="B360" s="17"/>
    </row>
    <row r="361" spans="1:2" ht="16.5" x14ac:dyDescent="0.3">
      <c r="A361" s="17"/>
      <c r="B361" s="17"/>
    </row>
    <row r="362" spans="1:2" ht="16.5" x14ac:dyDescent="0.3">
      <c r="A362" s="17"/>
      <c r="B362" s="17"/>
    </row>
    <row r="363" spans="1:2" ht="16.5" x14ac:dyDescent="0.3">
      <c r="A363" s="17"/>
      <c r="B363" s="17"/>
    </row>
    <row r="364" spans="1:2" ht="16.5" x14ac:dyDescent="0.3">
      <c r="A364" s="17"/>
      <c r="B364" s="17"/>
    </row>
    <row r="365" spans="1:2" ht="16.5" x14ac:dyDescent="0.3">
      <c r="A365" s="17"/>
      <c r="B365" s="17"/>
    </row>
    <row r="366" spans="1:2" ht="16.5" x14ac:dyDescent="0.3">
      <c r="A366" s="17"/>
      <c r="B366" s="17"/>
    </row>
    <row r="367" spans="1:2" ht="16.5" x14ac:dyDescent="0.3">
      <c r="A367" s="17"/>
      <c r="B367" s="17"/>
    </row>
    <row r="368" spans="1:2" ht="16.5" x14ac:dyDescent="0.3">
      <c r="A368" s="17"/>
      <c r="B368" s="17"/>
    </row>
    <row r="369" spans="1:2" ht="16.5" x14ac:dyDescent="0.3">
      <c r="A369" s="17"/>
      <c r="B369" s="17"/>
    </row>
    <row r="370" spans="1:2" ht="16.5" x14ac:dyDescent="0.3">
      <c r="A370" s="17"/>
      <c r="B370" s="17"/>
    </row>
    <row r="371" spans="1:2" ht="16.5" x14ac:dyDescent="0.3">
      <c r="A371" s="17"/>
      <c r="B371" s="17"/>
    </row>
    <row r="372" spans="1:2" ht="16.5" x14ac:dyDescent="0.3">
      <c r="A372" s="17"/>
      <c r="B372" s="17"/>
    </row>
    <row r="373" spans="1:2" ht="16.5" x14ac:dyDescent="0.3">
      <c r="A373" s="17"/>
      <c r="B373" s="17"/>
    </row>
    <row r="374" spans="1:2" ht="16.5" x14ac:dyDescent="0.3">
      <c r="A374" s="17"/>
      <c r="B374" s="17"/>
    </row>
    <row r="375" spans="1:2" ht="16.5" x14ac:dyDescent="0.3">
      <c r="A375" s="17"/>
      <c r="B375" s="17"/>
    </row>
    <row r="376" spans="1:2" ht="16.5" x14ac:dyDescent="0.3">
      <c r="A376" s="17"/>
      <c r="B376" s="17"/>
    </row>
    <row r="377" spans="1:2" ht="16.5" x14ac:dyDescent="0.3">
      <c r="A377" s="17"/>
      <c r="B377" s="17"/>
    </row>
    <row r="378" spans="1:2" ht="16.5" x14ac:dyDescent="0.3">
      <c r="A378" s="17"/>
      <c r="B378" s="17"/>
    </row>
    <row r="379" spans="1:2" ht="16.5" x14ac:dyDescent="0.3">
      <c r="A379" s="17"/>
      <c r="B379" s="17"/>
    </row>
    <row r="380" spans="1:2" ht="16.5" x14ac:dyDescent="0.3">
      <c r="A380" s="17"/>
      <c r="B380" s="17"/>
    </row>
    <row r="381" spans="1:2" ht="16.5" x14ac:dyDescent="0.3">
      <c r="A381" s="17"/>
      <c r="B381" s="17"/>
    </row>
    <row r="382" spans="1:2" ht="16.5" x14ac:dyDescent="0.3">
      <c r="A382" s="17"/>
      <c r="B382" s="17"/>
    </row>
    <row r="383" spans="1:2" ht="16.5" x14ac:dyDescent="0.3">
      <c r="A383" s="17"/>
      <c r="B383" s="17"/>
    </row>
    <row r="384" spans="1:2" ht="16.5" x14ac:dyDescent="0.3">
      <c r="A384" s="17"/>
      <c r="B384" s="17"/>
    </row>
    <row r="385" spans="1:2" ht="16.5" x14ac:dyDescent="0.3">
      <c r="A385" s="17"/>
      <c r="B385" s="17"/>
    </row>
    <row r="386" spans="1:2" ht="16.5" x14ac:dyDescent="0.3">
      <c r="A386" s="17"/>
      <c r="B386" s="17"/>
    </row>
    <row r="387" spans="1:2" ht="16.5" x14ac:dyDescent="0.3">
      <c r="A387" s="17"/>
      <c r="B387" s="17"/>
    </row>
    <row r="388" spans="1:2" ht="16.5" x14ac:dyDescent="0.3">
      <c r="A388" s="17"/>
      <c r="B388" s="17"/>
    </row>
    <row r="389" spans="1:2" ht="16.5" x14ac:dyDescent="0.3">
      <c r="A389" s="17"/>
      <c r="B389" s="17"/>
    </row>
    <row r="390" spans="1:2" ht="16.5" x14ac:dyDescent="0.3">
      <c r="A390" s="17"/>
      <c r="B390" s="17"/>
    </row>
    <row r="391" spans="1:2" ht="16.5" x14ac:dyDescent="0.3">
      <c r="A391" s="17"/>
      <c r="B391" s="17"/>
    </row>
    <row r="392" spans="1:2" ht="16.5" x14ac:dyDescent="0.3">
      <c r="A392" s="17"/>
      <c r="B392" s="17"/>
    </row>
    <row r="393" spans="1:2" ht="16.5" x14ac:dyDescent="0.3">
      <c r="A393" s="17"/>
      <c r="B393" s="17"/>
    </row>
    <row r="394" spans="1:2" ht="16.5" x14ac:dyDescent="0.3">
      <c r="A394" s="17"/>
      <c r="B394" s="17"/>
    </row>
    <row r="395" spans="1:2" ht="16.5" x14ac:dyDescent="0.3">
      <c r="A395" s="17"/>
      <c r="B395" s="17"/>
    </row>
    <row r="396" spans="1:2" ht="16.5" x14ac:dyDescent="0.3">
      <c r="A396" s="17"/>
      <c r="B396" s="17"/>
    </row>
    <row r="397" spans="1:2" ht="16.5" x14ac:dyDescent="0.3">
      <c r="A397" s="17"/>
      <c r="B397" s="17"/>
    </row>
    <row r="398" spans="1:2" ht="16.5" x14ac:dyDescent="0.3">
      <c r="A398" s="17"/>
      <c r="B398" s="17"/>
    </row>
    <row r="399" spans="1:2" ht="16.5" x14ac:dyDescent="0.3">
      <c r="A399" s="17"/>
      <c r="B399" s="17"/>
    </row>
    <row r="400" spans="1:2" ht="16.5" x14ac:dyDescent="0.3">
      <c r="A400" s="17"/>
      <c r="B400" s="17"/>
    </row>
    <row r="401" spans="1:2" ht="16.5" x14ac:dyDescent="0.3">
      <c r="A401" s="17"/>
      <c r="B401" s="17"/>
    </row>
    <row r="402" spans="1:2" ht="16.5" x14ac:dyDescent="0.3">
      <c r="A402" s="17"/>
      <c r="B402" s="17"/>
    </row>
    <row r="403" spans="1:2" ht="16.5" x14ac:dyDescent="0.3">
      <c r="A403" s="17"/>
      <c r="B403" s="17"/>
    </row>
    <row r="404" spans="1:2" ht="16.5" x14ac:dyDescent="0.3">
      <c r="A404" s="17"/>
      <c r="B404" s="17"/>
    </row>
    <row r="405" spans="1:2" ht="16.5" x14ac:dyDescent="0.3">
      <c r="A405" s="17"/>
      <c r="B405" s="17"/>
    </row>
    <row r="406" spans="1:2" ht="16.5" x14ac:dyDescent="0.3">
      <c r="A406" s="17"/>
      <c r="B406" s="17"/>
    </row>
    <row r="407" spans="1:2" ht="16.5" x14ac:dyDescent="0.3">
      <c r="A407" s="17"/>
      <c r="B407" s="17"/>
    </row>
    <row r="408" spans="1:2" ht="16.5" x14ac:dyDescent="0.3">
      <c r="A408" s="17"/>
      <c r="B408" s="17"/>
    </row>
    <row r="409" spans="1:2" ht="16.5" x14ac:dyDescent="0.3">
      <c r="A409" s="17"/>
      <c r="B409" s="17"/>
    </row>
    <row r="410" spans="1:2" ht="16.5" x14ac:dyDescent="0.3">
      <c r="A410" s="17"/>
      <c r="B410" s="17"/>
    </row>
    <row r="411" spans="1:2" ht="16.5" x14ac:dyDescent="0.3">
      <c r="A411" s="17"/>
      <c r="B411" s="17"/>
    </row>
    <row r="412" spans="1:2" ht="16.5" x14ac:dyDescent="0.3">
      <c r="A412" s="17"/>
      <c r="B412" s="17"/>
    </row>
    <row r="413" spans="1:2" ht="16.5" x14ac:dyDescent="0.3">
      <c r="A413" s="17"/>
      <c r="B413" s="17"/>
    </row>
    <row r="414" spans="1:2" ht="16.5" x14ac:dyDescent="0.3">
      <c r="A414" s="17"/>
      <c r="B414" s="17"/>
    </row>
    <row r="415" spans="1:2" ht="16.5" x14ac:dyDescent="0.3">
      <c r="A415" s="17"/>
      <c r="B415" s="17"/>
    </row>
    <row r="416" spans="1:2" ht="16.5" x14ac:dyDescent="0.3">
      <c r="A416" s="17"/>
      <c r="B416" s="17"/>
    </row>
    <row r="417" spans="1:2" ht="16.5" x14ac:dyDescent="0.3">
      <c r="A417" s="17"/>
      <c r="B417" s="17"/>
    </row>
    <row r="418" spans="1:2" ht="16.5" x14ac:dyDescent="0.3">
      <c r="A418" s="17"/>
      <c r="B418" s="17"/>
    </row>
    <row r="419" spans="1:2" ht="16.5" x14ac:dyDescent="0.3">
      <c r="A419" s="17"/>
      <c r="B419" s="17"/>
    </row>
    <row r="420" spans="1:2" ht="16.5" x14ac:dyDescent="0.3">
      <c r="A420" s="17"/>
      <c r="B420" s="17"/>
    </row>
    <row r="421" spans="1:2" ht="16.5" x14ac:dyDescent="0.3">
      <c r="A421" s="17"/>
      <c r="B421" s="17"/>
    </row>
    <row r="422" spans="1:2" ht="16.5" x14ac:dyDescent="0.3">
      <c r="A422" s="17"/>
      <c r="B422" s="17"/>
    </row>
    <row r="423" spans="1:2" ht="16.5" x14ac:dyDescent="0.3">
      <c r="A423" s="17"/>
      <c r="B423" s="17"/>
    </row>
    <row r="424" spans="1:2" ht="16.5" x14ac:dyDescent="0.3">
      <c r="A424" s="17"/>
      <c r="B424" s="17"/>
    </row>
    <row r="425" spans="1:2" ht="16.5" x14ac:dyDescent="0.3">
      <c r="A425" s="17"/>
      <c r="B425" s="17"/>
    </row>
    <row r="426" spans="1:2" ht="16.5" x14ac:dyDescent="0.3">
      <c r="A426" s="17"/>
      <c r="B426" s="17"/>
    </row>
    <row r="427" spans="1:2" ht="16.5" x14ac:dyDescent="0.3">
      <c r="A427" s="17"/>
      <c r="B427" s="17"/>
    </row>
    <row r="428" spans="1:2" ht="16.5" x14ac:dyDescent="0.3">
      <c r="A428" s="17"/>
      <c r="B428" s="17"/>
    </row>
    <row r="429" spans="1:2" ht="16.5" x14ac:dyDescent="0.3">
      <c r="A429" s="17"/>
      <c r="B429" s="17"/>
    </row>
    <row r="430" spans="1:2" ht="16.5" x14ac:dyDescent="0.3">
      <c r="A430" s="17"/>
      <c r="B430" s="17"/>
    </row>
    <row r="431" spans="1:2" ht="16.5" x14ac:dyDescent="0.3">
      <c r="A431" s="17"/>
      <c r="B431" s="17"/>
    </row>
    <row r="432" spans="1:2" ht="16.5" x14ac:dyDescent="0.3">
      <c r="A432" s="17"/>
      <c r="B432" s="17"/>
    </row>
    <row r="433" spans="1:2" ht="16.5" x14ac:dyDescent="0.3">
      <c r="A433" s="17"/>
      <c r="B433" s="17"/>
    </row>
    <row r="434" spans="1:2" ht="16.5" x14ac:dyDescent="0.3">
      <c r="A434" s="17"/>
      <c r="B434" s="17"/>
    </row>
    <row r="435" spans="1:2" ht="16.5" x14ac:dyDescent="0.3">
      <c r="A435" s="17"/>
      <c r="B435" s="17"/>
    </row>
    <row r="436" spans="1:2" ht="16.5" x14ac:dyDescent="0.3">
      <c r="A436" s="17"/>
      <c r="B436" s="17"/>
    </row>
    <row r="437" spans="1:2" ht="16.5" x14ac:dyDescent="0.3">
      <c r="A437" s="17"/>
      <c r="B437" s="17"/>
    </row>
    <row r="438" spans="1:2" ht="16.5" x14ac:dyDescent="0.3">
      <c r="A438" s="17"/>
      <c r="B438" s="17"/>
    </row>
    <row r="439" spans="1:2" ht="16.5" x14ac:dyDescent="0.3">
      <c r="A439" s="17"/>
      <c r="B439" s="17"/>
    </row>
    <row r="440" spans="1:2" ht="16.5" x14ac:dyDescent="0.3">
      <c r="A440" s="17"/>
      <c r="B440" s="17"/>
    </row>
    <row r="441" spans="1:2" ht="16.5" x14ac:dyDescent="0.3">
      <c r="A441" s="17"/>
      <c r="B441" s="17"/>
    </row>
    <row r="442" spans="1:2" ht="16.5" x14ac:dyDescent="0.3">
      <c r="A442" s="17"/>
      <c r="B442" s="17"/>
    </row>
    <row r="443" spans="1:2" ht="16.5" x14ac:dyDescent="0.3">
      <c r="A443" s="17"/>
      <c r="B443" s="17"/>
    </row>
    <row r="444" spans="1:2" ht="16.5" x14ac:dyDescent="0.3">
      <c r="A444" s="17"/>
      <c r="B444" s="17"/>
    </row>
    <row r="445" spans="1:2" ht="16.5" x14ac:dyDescent="0.3">
      <c r="A445" s="17"/>
      <c r="B445" s="17"/>
    </row>
    <row r="446" spans="1:2" ht="16.5" x14ac:dyDescent="0.3">
      <c r="A446" s="17"/>
      <c r="B446" s="17"/>
    </row>
    <row r="447" spans="1:2" ht="16.5" x14ac:dyDescent="0.3">
      <c r="A447" s="17"/>
      <c r="B447" s="17"/>
    </row>
    <row r="448" spans="1:2" ht="16.5" x14ac:dyDescent="0.3">
      <c r="A448" s="17"/>
      <c r="B448" s="17"/>
    </row>
    <row r="449" spans="1:2" ht="16.5" x14ac:dyDescent="0.3">
      <c r="A449" s="17"/>
      <c r="B449" s="17"/>
    </row>
    <row r="450" spans="1:2" ht="16.5" x14ac:dyDescent="0.3">
      <c r="A450" s="17"/>
      <c r="B450" s="17"/>
    </row>
    <row r="451" spans="1:2" ht="16.5" x14ac:dyDescent="0.3">
      <c r="A451" s="17"/>
      <c r="B451" s="17"/>
    </row>
    <row r="452" spans="1:2" ht="16.5" x14ac:dyDescent="0.3">
      <c r="A452" s="17"/>
      <c r="B452" s="17"/>
    </row>
    <row r="453" spans="1:2" ht="16.5" x14ac:dyDescent="0.3">
      <c r="A453" s="17"/>
      <c r="B453" s="17"/>
    </row>
    <row r="454" spans="1:2" ht="16.5" x14ac:dyDescent="0.3">
      <c r="A454" s="17"/>
      <c r="B454" s="17"/>
    </row>
    <row r="455" spans="1:2" ht="16.5" x14ac:dyDescent="0.3">
      <c r="A455" s="17"/>
      <c r="B455" s="17"/>
    </row>
    <row r="456" spans="1:2" ht="16.5" x14ac:dyDescent="0.3">
      <c r="A456" s="17"/>
      <c r="B456" s="17"/>
    </row>
    <row r="457" spans="1:2" ht="16.5" x14ac:dyDescent="0.3">
      <c r="A457" s="17"/>
      <c r="B457" s="17"/>
    </row>
    <row r="458" spans="1:2" ht="16.5" x14ac:dyDescent="0.3">
      <c r="A458" s="17"/>
      <c r="B458" s="17"/>
    </row>
    <row r="459" spans="1:2" ht="16.5" x14ac:dyDescent="0.3">
      <c r="A459" s="17"/>
      <c r="B459" s="17"/>
    </row>
    <row r="460" spans="1:2" ht="16.5" x14ac:dyDescent="0.3">
      <c r="A460" s="17"/>
      <c r="B460" s="17"/>
    </row>
    <row r="461" spans="1:2" ht="16.5" x14ac:dyDescent="0.3">
      <c r="A461" s="17"/>
      <c r="B461" s="17"/>
    </row>
    <row r="462" spans="1:2" ht="16.5" x14ac:dyDescent="0.3">
      <c r="A462" s="17"/>
      <c r="B462" s="17"/>
    </row>
    <row r="463" spans="1:2" ht="16.5" x14ac:dyDescent="0.3">
      <c r="A463" s="17"/>
      <c r="B463" s="17"/>
    </row>
    <row r="464" spans="1:2" ht="16.5" x14ac:dyDescent="0.3">
      <c r="A464" s="17"/>
      <c r="B464" s="17"/>
    </row>
    <row r="465" spans="1:2" ht="16.5" x14ac:dyDescent="0.3">
      <c r="A465" s="17"/>
      <c r="B465" s="17"/>
    </row>
    <row r="466" spans="1:2" ht="16.5" x14ac:dyDescent="0.3">
      <c r="A466" s="17"/>
      <c r="B466" s="17"/>
    </row>
    <row r="467" spans="1:2" ht="16.5" x14ac:dyDescent="0.3">
      <c r="A467" s="17"/>
      <c r="B467" s="17"/>
    </row>
    <row r="468" spans="1:2" ht="16.5" x14ac:dyDescent="0.3">
      <c r="A468" s="17"/>
      <c r="B468" s="17"/>
    </row>
    <row r="469" spans="1:2" ht="16.5" x14ac:dyDescent="0.3">
      <c r="A469" s="17"/>
      <c r="B469" s="17"/>
    </row>
    <row r="470" spans="1:2" ht="16.5" x14ac:dyDescent="0.3">
      <c r="A470" s="17"/>
      <c r="B470" s="17"/>
    </row>
    <row r="471" spans="1:2" ht="16.5" x14ac:dyDescent="0.3">
      <c r="A471" s="17"/>
      <c r="B471" s="17"/>
    </row>
    <row r="472" spans="1:2" ht="16.5" x14ac:dyDescent="0.3">
      <c r="A472" s="17"/>
      <c r="B472" s="17"/>
    </row>
    <row r="473" spans="1:2" ht="16.5" x14ac:dyDescent="0.3">
      <c r="A473" s="17"/>
      <c r="B473" s="17"/>
    </row>
    <row r="474" spans="1:2" ht="16.5" x14ac:dyDescent="0.3">
      <c r="A474" s="17"/>
      <c r="B474" s="17"/>
    </row>
    <row r="475" spans="1:2" ht="16.5" x14ac:dyDescent="0.3">
      <c r="A475" s="17"/>
      <c r="B475" s="17"/>
    </row>
    <row r="476" spans="1:2" ht="16.5" x14ac:dyDescent="0.3">
      <c r="A476" s="17"/>
      <c r="B476" s="17"/>
    </row>
    <row r="477" spans="1:2" ht="16.5" x14ac:dyDescent="0.3">
      <c r="A477" s="17"/>
      <c r="B477" s="17"/>
    </row>
    <row r="478" spans="1:2" ht="16.5" x14ac:dyDescent="0.3">
      <c r="A478" s="17"/>
      <c r="B478" s="17"/>
    </row>
    <row r="479" spans="1:2" ht="16.5" x14ac:dyDescent="0.3">
      <c r="A479" s="17"/>
      <c r="B479" s="17"/>
    </row>
    <row r="480" spans="1:2" ht="16.5" x14ac:dyDescent="0.3">
      <c r="A480" s="17"/>
      <c r="B480" s="17"/>
    </row>
    <row r="481" spans="1:2" ht="16.5" x14ac:dyDescent="0.3">
      <c r="A481" s="17"/>
      <c r="B481" s="17"/>
    </row>
    <row r="482" spans="1:2" ht="16.5" x14ac:dyDescent="0.3">
      <c r="A482" s="17"/>
      <c r="B482" s="17"/>
    </row>
    <row r="483" spans="1:2" ht="16.5" x14ac:dyDescent="0.3">
      <c r="A483" s="17"/>
      <c r="B483" s="17"/>
    </row>
    <row r="484" spans="1:2" ht="16.5" x14ac:dyDescent="0.3">
      <c r="A484" s="17"/>
      <c r="B484" s="17"/>
    </row>
    <row r="485" spans="1:2" ht="16.5" x14ac:dyDescent="0.3">
      <c r="A485" s="17"/>
      <c r="B485" s="17"/>
    </row>
    <row r="486" spans="1:2" ht="16.5" x14ac:dyDescent="0.3">
      <c r="A486" s="17"/>
      <c r="B486" s="17"/>
    </row>
    <row r="487" spans="1:2" ht="16.5" x14ac:dyDescent="0.3">
      <c r="A487" s="17"/>
      <c r="B487" s="17"/>
    </row>
    <row r="488" spans="1:2" ht="16.5" x14ac:dyDescent="0.3">
      <c r="A488" s="17"/>
      <c r="B488" s="17"/>
    </row>
    <row r="489" spans="1:2" ht="16.5" x14ac:dyDescent="0.3">
      <c r="A489" s="17"/>
      <c r="B489" s="17"/>
    </row>
    <row r="490" spans="1:2" ht="16.5" x14ac:dyDescent="0.3">
      <c r="A490" s="17"/>
      <c r="B490" s="17"/>
    </row>
    <row r="491" spans="1:2" ht="16.5" x14ac:dyDescent="0.3">
      <c r="A491" s="17"/>
      <c r="B491" s="17"/>
    </row>
    <row r="492" spans="1:2" ht="16.5" x14ac:dyDescent="0.3">
      <c r="A492" s="17"/>
      <c r="B492" s="17"/>
    </row>
    <row r="493" spans="1:2" ht="16.5" x14ac:dyDescent="0.3">
      <c r="A493" s="17"/>
      <c r="B493" s="17"/>
    </row>
    <row r="494" spans="1:2" ht="16.5" x14ac:dyDescent="0.3">
      <c r="A494" s="17"/>
      <c r="B494" s="17"/>
    </row>
    <row r="495" spans="1:2" ht="16.5" x14ac:dyDescent="0.3">
      <c r="A495" s="17"/>
      <c r="B495" s="17"/>
    </row>
    <row r="496" spans="1:2" ht="16.5" x14ac:dyDescent="0.3">
      <c r="A496" s="17"/>
      <c r="B496" s="17"/>
    </row>
    <row r="497" spans="1:2" ht="16.5" x14ac:dyDescent="0.3">
      <c r="A497" s="17"/>
      <c r="B497" s="17"/>
    </row>
    <row r="498" spans="1:2" ht="16.5" x14ac:dyDescent="0.3">
      <c r="A498" s="17"/>
      <c r="B498" s="17"/>
    </row>
    <row r="499" spans="1:2" ht="16.5" x14ac:dyDescent="0.3">
      <c r="A499" s="17"/>
      <c r="B499" s="17"/>
    </row>
    <row r="500" spans="1:2" ht="16.5" x14ac:dyDescent="0.3">
      <c r="A500" s="17"/>
      <c r="B500" s="17"/>
    </row>
    <row r="501" spans="1:2" ht="16.5" x14ac:dyDescent="0.3">
      <c r="A501" s="17"/>
      <c r="B501" s="17"/>
    </row>
    <row r="502" spans="1:2" ht="16.5" x14ac:dyDescent="0.3">
      <c r="A502" s="17"/>
      <c r="B502" s="17"/>
    </row>
    <row r="503" spans="1:2" ht="16.5" x14ac:dyDescent="0.3">
      <c r="A503" s="17"/>
      <c r="B503" s="17"/>
    </row>
    <row r="504" spans="1:2" ht="16.5" x14ac:dyDescent="0.3">
      <c r="A504" s="17"/>
      <c r="B504" s="17"/>
    </row>
    <row r="505" spans="1:2" ht="16.5" x14ac:dyDescent="0.3">
      <c r="A505" s="17"/>
      <c r="B505" s="17"/>
    </row>
    <row r="506" spans="1:2" ht="16.5" x14ac:dyDescent="0.3">
      <c r="A506" s="17"/>
      <c r="B506" s="17"/>
    </row>
    <row r="507" spans="1:2" ht="16.5" x14ac:dyDescent="0.3">
      <c r="A507" s="17"/>
      <c r="B507" s="17"/>
    </row>
    <row r="508" spans="1:2" ht="16.5" x14ac:dyDescent="0.3">
      <c r="A508" s="17"/>
      <c r="B508" s="17"/>
    </row>
    <row r="509" spans="1:2" ht="16.5" x14ac:dyDescent="0.3">
      <c r="A509" s="17"/>
      <c r="B509" s="17"/>
    </row>
    <row r="510" spans="1:2" ht="16.5" x14ac:dyDescent="0.3">
      <c r="A510" s="17"/>
      <c r="B510" s="17"/>
    </row>
    <row r="511" spans="1:2" ht="16.5" x14ac:dyDescent="0.3">
      <c r="A511" s="17"/>
      <c r="B511" s="17"/>
    </row>
    <row r="512" spans="1:2" ht="16.5" x14ac:dyDescent="0.3">
      <c r="A512" s="17"/>
      <c r="B512" s="17"/>
    </row>
    <row r="513" spans="1:2" ht="16.5" x14ac:dyDescent="0.3">
      <c r="A513" s="17"/>
      <c r="B513" s="17"/>
    </row>
    <row r="514" spans="1:2" ht="16.5" x14ac:dyDescent="0.3">
      <c r="A514" s="17"/>
      <c r="B514" s="17"/>
    </row>
    <row r="515" spans="1:2" ht="16.5" x14ac:dyDescent="0.3">
      <c r="A515" s="17"/>
      <c r="B515" s="17"/>
    </row>
    <row r="516" spans="1:2" ht="16.5" x14ac:dyDescent="0.3">
      <c r="A516" s="17"/>
      <c r="B516" s="17"/>
    </row>
    <row r="517" spans="1:2" ht="16.5" x14ac:dyDescent="0.3">
      <c r="A517" s="17"/>
      <c r="B517" s="17"/>
    </row>
    <row r="518" spans="1:2" ht="16.5" x14ac:dyDescent="0.3">
      <c r="A518" s="17"/>
      <c r="B518" s="17"/>
    </row>
    <row r="519" spans="1:2" ht="16.5" x14ac:dyDescent="0.3">
      <c r="A519" s="17"/>
      <c r="B519" s="17"/>
    </row>
    <row r="520" spans="1:2" ht="16.5" x14ac:dyDescent="0.3">
      <c r="A520" s="17"/>
      <c r="B520" s="17"/>
    </row>
    <row r="521" spans="1:2" ht="16.5" x14ac:dyDescent="0.3">
      <c r="A521" s="17"/>
      <c r="B521" s="17"/>
    </row>
    <row r="522" spans="1:2" ht="16.5" x14ac:dyDescent="0.3">
      <c r="A522" s="17"/>
      <c r="B522" s="17"/>
    </row>
    <row r="523" spans="1:2" ht="16.5" x14ac:dyDescent="0.3">
      <c r="A523" s="17"/>
      <c r="B523" s="17"/>
    </row>
    <row r="524" spans="1:2" ht="16.5" x14ac:dyDescent="0.3">
      <c r="A524" s="17"/>
      <c r="B524" s="17"/>
    </row>
    <row r="525" spans="1:2" ht="16.5" x14ac:dyDescent="0.3">
      <c r="A525" s="17"/>
      <c r="B525" s="17"/>
    </row>
    <row r="526" spans="1:2" ht="16.5" x14ac:dyDescent="0.3">
      <c r="A526" s="17"/>
      <c r="B526" s="17"/>
    </row>
    <row r="527" spans="1:2" ht="16.5" x14ac:dyDescent="0.3">
      <c r="A527" s="17"/>
      <c r="B527" s="17"/>
    </row>
    <row r="528" spans="1:2" ht="16.5" x14ac:dyDescent="0.3">
      <c r="A528" s="17"/>
      <c r="B528" s="17"/>
    </row>
    <row r="529" spans="1:2" ht="16.5" x14ac:dyDescent="0.3">
      <c r="A529" s="17"/>
      <c r="B529" s="17"/>
    </row>
    <row r="530" spans="1:2" ht="16.5" x14ac:dyDescent="0.3">
      <c r="A530" s="17"/>
      <c r="B530" s="17"/>
    </row>
    <row r="531" spans="1:2" ht="16.5" x14ac:dyDescent="0.3">
      <c r="A531" s="17"/>
      <c r="B531" s="17"/>
    </row>
    <row r="532" spans="1:2" ht="16.5" x14ac:dyDescent="0.3">
      <c r="A532" s="17"/>
      <c r="B532" s="17"/>
    </row>
    <row r="533" spans="1:2" ht="16.5" x14ac:dyDescent="0.3">
      <c r="A533" s="17"/>
      <c r="B533" s="17"/>
    </row>
    <row r="534" spans="1:2" ht="16.5" x14ac:dyDescent="0.3">
      <c r="A534" s="17"/>
      <c r="B534" s="17"/>
    </row>
    <row r="535" spans="1:2" ht="16.5" x14ac:dyDescent="0.3">
      <c r="A535" s="17"/>
      <c r="B535" s="17"/>
    </row>
    <row r="536" spans="1:2" ht="16.5" x14ac:dyDescent="0.3">
      <c r="A536" s="17"/>
      <c r="B536" s="17"/>
    </row>
    <row r="537" spans="1:2" ht="16.5" x14ac:dyDescent="0.3">
      <c r="A537" s="17"/>
      <c r="B537" s="17"/>
    </row>
    <row r="538" spans="1:2" ht="16.5" x14ac:dyDescent="0.3">
      <c r="A538" s="17"/>
      <c r="B538" s="17"/>
    </row>
    <row r="539" spans="1:2" ht="16.5" x14ac:dyDescent="0.3">
      <c r="A539" s="17"/>
      <c r="B539" s="17"/>
    </row>
    <row r="540" spans="1:2" ht="16.5" x14ac:dyDescent="0.3">
      <c r="A540" s="17"/>
      <c r="B540" s="17"/>
    </row>
    <row r="541" spans="1:2" ht="16.5" x14ac:dyDescent="0.3">
      <c r="A541" s="17"/>
      <c r="B541" s="17"/>
    </row>
    <row r="542" spans="1:2" ht="16.5" x14ac:dyDescent="0.3">
      <c r="A542" s="17"/>
      <c r="B542" s="17"/>
    </row>
    <row r="543" spans="1:2" ht="16.5" x14ac:dyDescent="0.3">
      <c r="A543" s="17"/>
      <c r="B543" s="17"/>
    </row>
    <row r="544" spans="1:2" ht="16.5" x14ac:dyDescent="0.3">
      <c r="A544" s="17"/>
      <c r="B544" s="17"/>
    </row>
    <row r="545" spans="1:2" ht="16.5" x14ac:dyDescent="0.3">
      <c r="A545" s="17"/>
      <c r="B545" s="17"/>
    </row>
    <row r="546" spans="1:2" ht="16.5" x14ac:dyDescent="0.3">
      <c r="A546" s="17"/>
      <c r="B546" s="17"/>
    </row>
    <row r="547" spans="1:2" ht="16.5" x14ac:dyDescent="0.3">
      <c r="A547" s="17"/>
      <c r="B547" s="17"/>
    </row>
    <row r="548" spans="1:2" ht="16.5" x14ac:dyDescent="0.3">
      <c r="A548" s="17"/>
      <c r="B548" s="17"/>
    </row>
    <row r="549" spans="1:2" ht="16.5" x14ac:dyDescent="0.3">
      <c r="A549" s="17"/>
      <c r="B549" s="17"/>
    </row>
    <row r="550" spans="1:2" ht="16.5" x14ac:dyDescent="0.3">
      <c r="A550" s="17"/>
      <c r="B550" s="17"/>
    </row>
    <row r="551" spans="1:2" ht="16.5" x14ac:dyDescent="0.3">
      <c r="A551" s="17"/>
      <c r="B551" s="17"/>
    </row>
    <row r="552" spans="1:2" ht="16.5" x14ac:dyDescent="0.3">
      <c r="A552" s="17"/>
      <c r="B552" s="17"/>
    </row>
    <row r="553" spans="1:2" ht="16.5" x14ac:dyDescent="0.3">
      <c r="A553" s="17"/>
      <c r="B553" s="17"/>
    </row>
    <row r="554" spans="1:2" ht="16.5" x14ac:dyDescent="0.3">
      <c r="A554" s="17"/>
      <c r="B554" s="17"/>
    </row>
    <row r="555" spans="1:2" ht="16.5" x14ac:dyDescent="0.3">
      <c r="A555" s="17"/>
      <c r="B555" s="17"/>
    </row>
    <row r="556" spans="1:2" ht="16.5" x14ac:dyDescent="0.3">
      <c r="A556" s="17"/>
      <c r="B556" s="17"/>
    </row>
    <row r="557" spans="1:2" ht="16.5" x14ac:dyDescent="0.3">
      <c r="A557" s="17"/>
      <c r="B557" s="17"/>
    </row>
    <row r="558" spans="1:2" ht="16.5" x14ac:dyDescent="0.3">
      <c r="A558" s="17"/>
      <c r="B558" s="17"/>
    </row>
    <row r="559" spans="1:2" ht="16.5" x14ac:dyDescent="0.3">
      <c r="A559" s="17"/>
      <c r="B559" s="17"/>
    </row>
    <row r="560" spans="1:2" ht="16.5" x14ac:dyDescent="0.3">
      <c r="A560" s="17"/>
      <c r="B560" s="17"/>
    </row>
    <row r="561" spans="1:2" ht="16.5" x14ac:dyDescent="0.3">
      <c r="A561" s="17"/>
      <c r="B561" s="17"/>
    </row>
    <row r="562" spans="1:2" ht="16.5" x14ac:dyDescent="0.3">
      <c r="A562" s="17"/>
      <c r="B562" s="17"/>
    </row>
    <row r="563" spans="1:2" ht="16.5" x14ac:dyDescent="0.3">
      <c r="A563" s="17"/>
      <c r="B563" s="17"/>
    </row>
    <row r="564" spans="1:2" ht="16.5" x14ac:dyDescent="0.3">
      <c r="A564" s="17"/>
      <c r="B564" s="17"/>
    </row>
    <row r="565" spans="1:2" ht="16.5" x14ac:dyDescent="0.3">
      <c r="A565" s="17"/>
      <c r="B565" s="17"/>
    </row>
    <row r="566" spans="1:2" ht="16.5" x14ac:dyDescent="0.3">
      <c r="A566" s="17"/>
      <c r="B566" s="17"/>
    </row>
    <row r="567" spans="1:2" ht="16.5" x14ac:dyDescent="0.3">
      <c r="A567" s="17"/>
      <c r="B567" s="17"/>
    </row>
    <row r="568" spans="1:2" ht="16.5" x14ac:dyDescent="0.3">
      <c r="A568" s="17"/>
      <c r="B568" s="17"/>
    </row>
    <row r="569" spans="1:2" ht="16.5" x14ac:dyDescent="0.3">
      <c r="A569" s="17"/>
      <c r="B569" s="17"/>
    </row>
    <row r="570" spans="1:2" ht="16.5" x14ac:dyDescent="0.3">
      <c r="A570" s="17"/>
      <c r="B570" s="17"/>
    </row>
    <row r="571" spans="1:2" ht="16.5" x14ac:dyDescent="0.3">
      <c r="A571" s="17"/>
      <c r="B571" s="17"/>
    </row>
    <row r="572" spans="1:2" ht="16.5" x14ac:dyDescent="0.3">
      <c r="A572" s="17"/>
      <c r="B572" s="17"/>
    </row>
    <row r="573" spans="1:2" ht="16.5" x14ac:dyDescent="0.3">
      <c r="A573" s="17"/>
      <c r="B573" s="17"/>
    </row>
    <row r="574" spans="1:2" ht="16.5" x14ac:dyDescent="0.3">
      <c r="A574" s="17"/>
      <c r="B574" s="17"/>
    </row>
    <row r="575" spans="1:2" ht="16.5" x14ac:dyDescent="0.3">
      <c r="A575" s="17"/>
      <c r="B575" s="17"/>
    </row>
    <row r="576" spans="1:2" ht="16.5" x14ac:dyDescent="0.3">
      <c r="A576" s="17"/>
      <c r="B576" s="17"/>
    </row>
    <row r="577" spans="1:2" ht="16.5" x14ac:dyDescent="0.3">
      <c r="A577" s="17"/>
      <c r="B577" s="17"/>
    </row>
    <row r="578" spans="1:2" ht="16.5" x14ac:dyDescent="0.3">
      <c r="A578" s="17"/>
      <c r="B578" s="17"/>
    </row>
    <row r="579" spans="1:2" ht="16.5" x14ac:dyDescent="0.3">
      <c r="A579" s="17"/>
      <c r="B579" s="17"/>
    </row>
    <row r="580" spans="1:2" ht="16.5" x14ac:dyDescent="0.3">
      <c r="A580" s="17"/>
      <c r="B580" s="17"/>
    </row>
    <row r="581" spans="1:2" ht="16.5" x14ac:dyDescent="0.3">
      <c r="A581" s="17"/>
      <c r="B581" s="17"/>
    </row>
    <row r="582" spans="1:2" ht="16.5" x14ac:dyDescent="0.3">
      <c r="A582" s="17"/>
      <c r="B582" s="17"/>
    </row>
    <row r="583" spans="1:2" ht="16.5" x14ac:dyDescent="0.3">
      <c r="A583" s="17"/>
      <c r="B583" s="17"/>
    </row>
    <row r="584" spans="1:2" ht="16.5" x14ac:dyDescent="0.3">
      <c r="A584" s="17"/>
      <c r="B584" s="17"/>
    </row>
    <row r="585" spans="1:2" ht="16.5" x14ac:dyDescent="0.3">
      <c r="A585" s="17"/>
      <c r="B585" s="17"/>
    </row>
    <row r="586" spans="1:2" ht="16.5" x14ac:dyDescent="0.3">
      <c r="A586" s="17"/>
      <c r="B586" s="17"/>
    </row>
    <row r="587" spans="1:2" ht="16.5" x14ac:dyDescent="0.3">
      <c r="A587" s="17"/>
      <c r="B587" s="17"/>
    </row>
    <row r="588" spans="1:2" ht="16.5" x14ac:dyDescent="0.3">
      <c r="A588" s="17"/>
      <c r="B588" s="17"/>
    </row>
    <row r="589" spans="1:2" ht="16.5" x14ac:dyDescent="0.3">
      <c r="A589" s="17"/>
      <c r="B589" s="17"/>
    </row>
    <row r="590" spans="1:2" ht="16.5" x14ac:dyDescent="0.3">
      <c r="A590" s="17"/>
      <c r="B590" s="17"/>
    </row>
    <row r="591" spans="1:2" ht="16.5" x14ac:dyDescent="0.3">
      <c r="A591" s="17"/>
      <c r="B591" s="17"/>
    </row>
    <row r="592" spans="1:2" ht="16.5" x14ac:dyDescent="0.3">
      <c r="A592" s="17"/>
      <c r="B592" s="17"/>
    </row>
    <row r="593" spans="1:2" ht="16.5" x14ac:dyDescent="0.3">
      <c r="A593" s="17"/>
      <c r="B593" s="17"/>
    </row>
    <row r="594" spans="1:2" ht="16.5" x14ac:dyDescent="0.3">
      <c r="A594" s="17"/>
      <c r="B594" s="17"/>
    </row>
    <row r="595" spans="1:2" ht="16.5" x14ac:dyDescent="0.3">
      <c r="A595" s="17"/>
      <c r="B595" s="17"/>
    </row>
    <row r="596" spans="1:2" ht="16.5" x14ac:dyDescent="0.3">
      <c r="A596" s="17"/>
      <c r="B596" s="17"/>
    </row>
    <row r="597" spans="1:2" ht="16.5" x14ac:dyDescent="0.3">
      <c r="A597" s="17"/>
      <c r="B597" s="17"/>
    </row>
    <row r="598" spans="1:2" ht="16.5" x14ac:dyDescent="0.3">
      <c r="A598" s="17"/>
      <c r="B598" s="17"/>
    </row>
    <row r="599" spans="1:2" ht="16.5" x14ac:dyDescent="0.3">
      <c r="A599" s="17"/>
      <c r="B599" s="17"/>
    </row>
    <row r="600" spans="1:2" ht="16.5" x14ac:dyDescent="0.3">
      <c r="A600" s="17"/>
      <c r="B600" s="17"/>
    </row>
    <row r="601" spans="1:2" ht="16.5" x14ac:dyDescent="0.3">
      <c r="A601" s="17"/>
      <c r="B601" s="17"/>
    </row>
    <row r="602" spans="1:2" ht="16.5" x14ac:dyDescent="0.3">
      <c r="A602" s="17"/>
      <c r="B602" s="17"/>
    </row>
    <row r="603" spans="1:2" ht="16.5" x14ac:dyDescent="0.3">
      <c r="A603" s="17"/>
      <c r="B603" s="17"/>
    </row>
    <row r="604" spans="1:2" ht="16.5" x14ac:dyDescent="0.3">
      <c r="A604" s="17"/>
      <c r="B604" s="17"/>
    </row>
    <row r="605" spans="1:2" ht="16.5" x14ac:dyDescent="0.3">
      <c r="A605" s="17"/>
      <c r="B605" s="17"/>
    </row>
    <row r="606" spans="1:2" ht="16.5" x14ac:dyDescent="0.3">
      <c r="A606" s="17"/>
      <c r="B606" s="17"/>
    </row>
    <row r="607" spans="1:2" ht="16.5" x14ac:dyDescent="0.3">
      <c r="A607" s="17"/>
      <c r="B607" s="17"/>
    </row>
    <row r="608" spans="1:2" ht="16.5" x14ac:dyDescent="0.3">
      <c r="A608" s="17"/>
      <c r="B608" s="17"/>
    </row>
    <row r="609" spans="1:2" ht="16.5" x14ac:dyDescent="0.3">
      <c r="A609" s="17"/>
      <c r="B609" s="17"/>
    </row>
    <row r="610" spans="1:2" ht="16.5" x14ac:dyDescent="0.3">
      <c r="A610" s="17"/>
      <c r="B610" s="17"/>
    </row>
    <row r="611" spans="1:2" ht="16.5" x14ac:dyDescent="0.3">
      <c r="A611" s="17"/>
      <c r="B611" s="17"/>
    </row>
    <row r="612" spans="1:2" ht="16.5" x14ac:dyDescent="0.3">
      <c r="A612" s="17"/>
      <c r="B612" s="17"/>
    </row>
    <row r="613" spans="1:2" ht="16.5" x14ac:dyDescent="0.3">
      <c r="A613" s="17"/>
      <c r="B613" s="17"/>
    </row>
    <row r="614" spans="1:2" ht="16.5" x14ac:dyDescent="0.3">
      <c r="A614" s="17"/>
      <c r="B614" s="17"/>
    </row>
    <row r="615" spans="1:2" ht="16.5" x14ac:dyDescent="0.3">
      <c r="A615" s="17"/>
      <c r="B615" s="17"/>
    </row>
    <row r="616" spans="1:2" ht="16.5" x14ac:dyDescent="0.3">
      <c r="A616" s="17"/>
      <c r="B616" s="17"/>
    </row>
    <row r="617" spans="1:2" ht="16.5" x14ac:dyDescent="0.3">
      <c r="A617" s="17"/>
      <c r="B617" s="17"/>
    </row>
    <row r="618" spans="1:2" ht="16.5" x14ac:dyDescent="0.3">
      <c r="A618" s="17"/>
      <c r="B618" s="17"/>
    </row>
    <row r="619" spans="1:2" ht="16.5" x14ac:dyDescent="0.3">
      <c r="A619" s="17"/>
      <c r="B619" s="17"/>
    </row>
    <row r="620" spans="1:2" ht="16.5" x14ac:dyDescent="0.3">
      <c r="A620" s="17"/>
      <c r="B620" s="17"/>
    </row>
    <row r="621" spans="1:2" ht="16.5" x14ac:dyDescent="0.3">
      <c r="A621" s="17"/>
      <c r="B621" s="17"/>
    </row>
    <row r="622" spans="1:2" ht="16.5" x14ac:dyDescent="0.3">
      <c r="A622" s="17"/>
      <c r="B622" s="17"/>
    </row>
    <row r="623" spans="1:2" ht="16.5" x14ac:dyDescent="0.3">
      <c r="A623" s="17"/>
      <c r="B623" s="17"/>
    </row>
    <row r="624" spans="1:2" ht="16.5" x14ac:dyDescent="0.3">
      <c r="A624" s="17"/>
      <c r="B624" s="17"/>
    </row>
    <row r="625" spans="1:2" ht="16.5" x14ac:dyDescent="0.3">
      <c r="A625" s="17"/>
      <c r="B625" s="17"/>
    </row>
    <row r="626" spans="1:2" ht="16.5" x14ac:dyDescent="0.3">
      <c r="A626" s="17"/>
      <c r="B626" s="17"/>
    </row>
    <row r="627" spans="1:2" ht="16.5" x14ac:dyDescent="0.3">
      <c r="A627" s="17"/>
      <c r="B627" s="17"/>
    </row>
    <row r="628" spans="1:2" ht="16.5" x14ac:dyDescent="0.3">
      <c r="A628" s="17"/>
      <c r="B628" s="17"/>
    </row>
    <row r="629" spans="1:2" ht="16.5" x14ac:dyDescent="0.3">
      <c r="A629" s="17"/>
      <c r="B629" s="17"/>
    </row>
    <row r="630" spans="1:2" ht="16.5" x14ac:dyDescent="0.3">
      <c r="A630" s="17"/>
      <c r="B630" s="17"/>
    </row>
    <row r="631" spans="1:2" ht="16.5" x14ac:dyDescent="0.3">
      <c r="A631" s="17"/>
      <c r="B631" s="17"/>
    </row>
    <row r="632" spans="1:2" ht="16.5" x14ac:dyDescent="0.3">
      <c r="A632" s="17"/>
      <c r="B632" s="17"/>
    </row>
    <row r="633" spans="1:2" ht="16.5" x14ac:dyDescent="0.3">
      <c r="A633" s="17"/>
      <c r="B633" s="17"/>
    </row>
    <row r="634" spans="1:2" ht="16.5" x14ac:dyDescent="0.3">
      <c r="A634" s="17"/>
      <c r="B634" s="17"/>
    </row>
    <row r="635" spans="1:2" ht="16.5" x14ac:dyDescent="0.3">
      <c r="A635" s="17"/>
      <c r="B635" s="17"/>
    </row>
    <row r="636" spans="1:2" ht="16.5" x14ac:dyDescent="0.3">
      <c r="A636" s="17"/>
      <c r="B636" s="17"/>
    </row>
    <row r="637" spans="1:2" ht="16.5" x14ac:dyDescent="0.3">
      <c r="A637" s="17"/>
      <c r="B637" s="17"/>
    </row>
    <row r="638" spans="1:2" ht="16.5" x14ac:dyDescent="0.3">
      <c r="A638" s="17"/>
      <c r="B638" s="17"/>
    </row>
    <row r="639" spans="1:2" ht="16.5" x14ac:dyDescent="0.3">
      <c r="A639" s="17"/>
      <c r="B639" s="17"/>
    </row>
    <row r="640" spans="1:2" ht="16.5" x14ac:dyDescent="0.3">
      <c r="A640" s="17"/>
      <c r="B640" s="17"/>
    </row>
    <row r="641" spans="1:2" ht="16.5" x14ac:dyDescent="0.3">
      <c r="A641" s="17"/>
      <c r="B641" s="17"/>
    </row>
    <row r="642" spans="1:2" ht="16.5" x14ac:dyDescent="0.3">
      <c r="A642" s="17"/>
      <c r="B642" s="17"/>
    </row>
    <row r="643" spans="1:2" ht="16.5" x14ac:dyDescent="0.3">
      <c r="A643" s="17"/>
      <c r="B643" s="17"/>
    </row>
    <row r="644" spans="1:2" ht="16.5" x14ac:dyDescent="0.3">
      <c r="A644" s="17"/>
      <c r="B644" s="17"/>
    </row>
    <row r="645" spans="1:2" ht="16.5" x14ac:dyDescent="0.3">
      <c r="A645" s="17"/>
      <c r="B645" s="17"/>
    </row>
    <row r="646" spans="1:2" ht="16.5" x14ac:dyDescent="0.3">
      <c r="A646" s="17"/>
      <c r="B646" s="17"/>
    </row>
    <row r="647" spans="1:2" ht="16.5" x14ac:dyDescent="0.3">
      <c r="A647" s="17"/>
      <c r="B647" s="17"/>
    </row>
    <row r="648" spans="1:2" ht="16.5" x14ac:dyDescent="0.3">
      <c r="A648" s="17"/>
      <c r="B648" s="17"/>
    </row>
    <row r="649" spans="1:2" ht="16.5" x14ac:dyDescent="0.3">
      <c r="A649" s="17"/>
      <c r="B649" s="17"/>
    </row>
    <row r="650" spans="1:2" ht="16.5" x14ac:dyDescent="0.3">
      <c r="A650" s="17"/>
      <c r="B650" s="17"/>
    </row>
    <row r="651" spans="1:2" ht="16.5" x14ac:dyDescent="0.3">
      <c r="A651" s="17"/>
      <c r="B651" s="17"/>
    </row>
    <row r="652" spans="1:2" ht="16.5" x14ac:dyDescent="0.3">
      <c r="A652" s="17"/>
      <c r="B652" s="17"/>
    </row>
    <row r="653" spans="1:2" ht="16.5" x14ac:dyDescent="0.3">
      <c r="A653" s="17"/>
      <c r="B653" s="17"/>
    </row>
    <row r="654" spans="1:2" ht="16.5" x14ac:dyDescent="0.3">
      <c r="A654" s="17"/>
      <c r="B654" s="17"/>
    </row>
    <row r="655" spans="1:2" ht="16.5" x14ac:dyDescent="0.3">
      <c r="A655" s="17"/>
      <c r="B655" s="17"/>
    </row>
    <row r="656" spans="1:2" ht="16.5" x14ac:dyDescent="0.3">
      <c r="A656" s="17"/>
      <c r="B656" s="17"/>
    </row>
    <row r="657" spans="1:2" ht="16.5" x14ac:dyDescent="0.3">
      <c r="A657" s="17"/>
      <c r="B657" s="17"/>
    </row>
    <row r="658" spans="1:2" ht="16.5" x14ac:dyDescent="0.3">
      <c r="A658" s="17"/>
      <c r="B658" s="17"/>
    </row>
    <row r="659" spans="1:2" ht="16.5" x14ac:dyDescent="0.3">
      <c r="A659" s="17"/>
      <c r="B659" s="17"/>
    </row>
    <row r="660" spans="1:2" ht="16.5" x14ac:dyDescent="0.3">
      <c r="A660" s="17"/>
      <c r="B660" s="17"/>
    </row>
    <row r="661" spans="1:2" ht="16.5" x14ac:dyDescent="0.3">
      <c r="A661" s="17"/>
      <c r="B661" s="17"/>
    </row>
    <row r="662" spans="1:2" ht="16.5" x14ac:dyDescent="0.3">
      <c r="A662" s="17"/>
      <c r="B662" s="17"/>
    </row>
    <row r="663" spans="1:2" ht="16.5" x14ac:dyDescent="0.3">
      <c r="A663" s="17"/>
      <c r="B663" s="17"/>
    </row>
    <row r="664" spans="1:2" ht="16.5" x14ac:dyDescent="0.3">
      <c r="A664" s="17"/>
      <c r="B664" s="17"/>
    </row>
    <row r="665" spans="1:2" ht="16.5" x14ac:dyDescent="0.3">
      <c r="A665" s="17"/>
      <c r="B665" s="17"/>
    </row>
    <row r="666" spans="1:2" ht="16.5" x14ac:dyDescent="0.3">
      <c r="A666" s="17"/>
      <c r="B666" s="17"/>
    </row>
    <row r="667" spans="1:2" ht="16.5" x14ac:dyDescent="0.3">
      <c r="A667" s="17"/>
      <c r="B667" s="17"/>
    </row>
    <row r="668" spans="1:2" ht="16.5" x14ac:dyDescent="0.3">
      <c r="A668" s="17"/>
      <c r="B668" s="17"/>
    </row>
    <row r="669" spans="1:2" ht="16.5" x14ac:dyDescent="0.3">
      <c r="A669" s="17"/>
      <c r="B669" s="17"/>
    </row>
    <row r="670" spans="1:2" ht="16.5" x14ac:dyDescent="0.3">
      <c r="A670" s="17"/>
      <c r="B670" s="17"/>
    </row>
    <row r="671" spans="1:2" ht="16.5" x14ac:dyDescent="0.3">
      <c r="A671" s="17"/>
      <c r="B671" s="17"/>
    </row>
    <row r="672" spans="1:2" ht="16.5" x14ac:dyDescent="0.3">
      <c r="A672" s="17"/>
      <c r="B672" s="17"/>
    </row>
    <row r="673" spans="1:2" ht="16.5" x14ac:dyDescent="0.3">
      <c r="A673" s="17"/>
      <c r="B673" s="17"/>
    </row>
    <row r="674" spans="1:2" ht="16.5" x14ac:dyDescent="0.3">
      <c r="A674" s="17"/>
      <c r="B674" s="17"/>
    </row>
    <row r="675" spans="1:2" ht="16.5" x14ac:dyDescent="0.3">
      <c r="A675" s="17"/>
      <c r="B675" s="17"/>
    </row>
    <row r="676" spans="1:2" ht="16.5" x14ac:dyDescent="0.3">
      <c r="A676" s="17"/>
      <c r="B676" s="17"/>
    </row>
    <row r="677" spans="1:2" ht="16.5" x14ac:dyDescent="0.3">
      <c r="A677" s="17"/>
      <c r="B677" s="17"/>
    </row>
    <row r="678" spans="1:2" ht="16.5" x14ac:dyDescent="0.3">
      <c r="A678" s="17"/>
      <c r="B678" s="17"/>
    </row>
    <row r="679" spans="1:2" ht="16.5" x14ac:dyDescent="0.3">
      <c r="A679" s="17"/>
      <c r="B679" s="17"/>
    </row>
    <row r="680" spans="1:2" ht="16.5" x14ac:dyDescent="0.3">
      <c r="A680" s="17"/>
      <c r="B680" s="17"/>
    </row>
    <row r="681" spans="1:2" ht="16.5" x14ac:dyDescent="0.3">
      <c r="A681" s="17"/>
      <c r="B681" s="17"/>
    </row>
    <row r="682" spans="1:2" ht="16.5" x14ac:dyDescent="0.3">
      <c r="A682" s="17"/>
      <c r="B682" s="17"/>
    </row>
    <row r="683" spans="1:2" ht="16.5" x14ac:dyDescent="0.3">
      <c r="A683" s="17"/>
      <c r="B683" s="17"/>
    </row>
    <row r="684" spans="1:2" ht="16.5" x14ac:dyDescent="0.3">
      <c r="A684" s="17"/>
      <c r="B684" s="17"/>
    </row>
    <row r="685" spans="1:2" ht="16.5" x14ac:dyDescent="0.3">
      <c r="A685" s="17"/>
      <c r="B685" s="17"/>
    </row>
    <row r="686" spans="1:2" ht="16.5" x14ac:dyDescent="0.3">
      <c r="A686" s="17"/>
      <c r="B686" s="17"/>
    </row>
    <row r="687" spans="1:2" ht="16.5" x14ac:dyDescent="0.3">
      <c r="A687" s="17"/>
      <c r="B687" s="17"/>
    </row>
    <row r="688" spans="1:2" ht="16.5" x14ac:dyDescent="0.3">
      <c r="A688" s="17"/>
      <c r="B688" s="17"/>
    </row>
    <row r="689" spans="1:2" ht="16.5" x14ac:dyDescent="0.3">
      <c r="A689" s="17"/>
      <c r="B689" s="17"/>
    </row>
    <row r="690" spans="1:2" ht="16.5" x14ac:dyDescent="0.3">
      <c r="A690" s="17"/>
      <c r="B690" s="17"/>
    </row>
    <row r="691" spans="1:2" ht="16.5" x14ac:dyDescent="0.3">
      <c r="A691" s="17"/>
      <c r="B691" s="17"/>
    </row>
    <row r="692" spans="1:2" ht="16.5" x14ac:dyDescent="0.3">
      <c r="A692" s="17"/>
      <c r="B692" s="17"/>
    </row>
    <row r="693" spans="1:2" ht="16.5" x14ac:dyDescent="0.3">
      <c r="A693" s="17"/>
      <c r="B693" s="17"/>
    </row>
    <row r="694" spans="1:2" ht="16.5" x14ac:dyDescent="0.3">
      <c r="A694" s="17"/>
      <c r="B694" s="17"/>
    </row>
    <row r="695" spans="1:2" ht="16.5" x14ac:dyDescent="0.3">
      <c r="A695" s="17"/>
      <c r="B695" s="17"/>
    </row>
    <row r="696" spans="1:2" ht="16.5" x14ac:dyDescent="0.3">
      <c r="A696" s="17"/>
      <c r="B696" s="17"/>
    </row>
    <row r="697" spans="1:2" ht="16.5" x14ac:dyDescent="0.3">
      <c r="A697" s="17"/>
      <c r="B697" s="17"/>
    </row>
    <row r="698" spans="1:2" ht="16.5" x14ac:dyDescent="0.3">
      <c r="A698" s="17"/>
      <c r="B698" s="17"/>
    </row>
    <row r="699" spans="1:2" ht="16.5" x14ac:dyDescent="0.3">
      <c r="A699" s="17"/>
      <c r="B699" s="17"/>
    </row>
    <row r="700" spans="1:2" ht="16.5" x14ac:dyDescent="0.3">
      <c r="A700" s="17"/>
      <c r="B700" s="17"/>
    </row>
    <row r="701" spans="1:2" ht="16.5" x14ac:dyDescent="0.3">
      <c r="A701" s="17"/>
      <c r="B701" s="17"/>
    </row>
    <row r="702" spans="1:2" ht="16.5" x14ac:dyDescent="0.3">
      <c r="A702" s="17"/>
      <c r="B702" s="17"/>
    </row>
    <row r="703" spans="1:2" ht="16.5" x14ac:dyDescent="0.3">
      <c r="A703" s="17"/>
      <c r="B703" s="17"/>
    </row>
    <row r="704" spans="1:2" ht="16.5" x14ac:dyDescent="0.3">
      <c r="A704" s="17"/>
      <c r="B704" s="17"/>
    </row>
    <row r="705" spans="1:2" ht="16.5" x14ac:dyDescent="0.3">
      <c r="A705" s="17"/>
      <c r="B705" s="17"/>
    </row>
    <row r="706" spans="1:2" ht="16.5" x14ac:dyDescent="0.3">
      <c r="A706" s="17"/>
      <c r="B706" s="17"/>
    </row>
    <row r="707" spans="1:2" ht="16.5" x14ac:dyDescent="0.3">
      <c r="A707" s="17"/>
      <c r="B707" s="17"/>
    </row>
    <row r="708" spans="1:2" ht="16.5" x14ac:dyDescent="0.3">
      <c r="A708" s="17"/>
      <c r="B708" s="17"/>
    </row>
    <row r="709" spans="1:2" ht="16.5" x14ac:dyDescent="0.3">
      <c r="A709" s="17"/>
      <c r="B709" s="17"/>
    </row>
    <row r="710" spans="1:2" ht="16.5" x14ac:dyDescent="0.3">
      <c r="A710" s="17"/>
      <c r="B710" s="17"/>
    </row>
    <row r="711" spans="1:2" ht="16.5" x14ac:dyDescent="0.3">
      <c r="A711" s="17"/>
      <c r="B711" s="17"/>
    </row>
    <row r="712" spans="1:2" ht="16.5" x14ac:dyDescent="0.3">
      <c r="A712" s="17"/>
      <c r="B712" s="17"/>
    </row>
    <row r="713" spans="1:2" ht="16.5" x14ac:dyDescent="0.3">
      <c r="A713" s="17"/>
      <c r="B713" s="17"/>
    </row>
    <row r="714" spans="1:2" ht="16.5" x14ac:dyDescent="0.3">
      <c r="A714" s="17"/>
      <c r="B714" s="17"/>
    </row>
    <row r="715" spans="1:2" ht="16.5" x14ac:dyDescent="0.3">
      <c r="A715" s="17"/>
      <c r="B715" s="17"/>
    </row>
    <row r="716" spans="1:2" ht="16.5" x14ac:dyDescent="0.3">
      <c r="A716" s="17"/>
      <c r="B716" s="17"/>
    </row>
    <row r="717" spans="1:2" ht="16.5" x14ac:dyDescent="0.3">
      <c r="A717" s="17"/>
      <c r="B717" s="17"/>
    </row>
    <row r="718" spans="1:2" ht="16.5" x14ac:dyDescent="0.3">
      <c r="A718" s="17"/>
      <c r="B718" s="17"/>
    </row>
    <row r="719" spans="1:2" ht="16.5" x14ac:dyDescent="0.3">
      <c r="A719" s="17"/>
      <c r="B719" s="17"/>
    </row>
    <row r="720" spans="1:2" ht="16.5" x14ac:dyDescent="0.3">
      <c r="A720" s="17"/>
      <c r="B720" s="17"/>
    </row>
    <row r="721" spans="1:2" ht="16.5" x14ac:dyDescent="0.3">
      <c r="A721" s="17"/>
      <c r="B721" s="17"/>
    </row>
    <row r="722" spans="1:2" ht="16.5" x14ac:dyDescent="0.3">
      <c r="A722" s="17"/>
      <c r="B722" s="17"/>
    </row>
    <row r="723" spans="1:2" ht="16.5" x14ac:dyDescent="0.3">
      <c r="A723" s="17"/>
      <c r="B723" s="17"/>
    </row>
    <row r="724" spans="1:2" ht="16.5" x14ac:dyDescent="0.3">
      <c r="A724" s="17"/>
      <c r="B724" s="17"/>
    </row>
    <row r="725" spans="1:2" ht="16.5" x14ac:dyDescent="0.3">
      <c r="A725" s="17"/>
      <c r="B725" s="17"/>
    </row>
    <row r="726" spans="1:2" ht="16.5" x14ac:dyDescent="0.3">
      <c r="A726" s="17"/>
      <c r="B726" s="17"/>
    </row>
    <row r="727" spans="1:2" ht="16.5" x14ac:dyDescent="0.3">
      <c r="A727" s="17"/>
      <c r="B727" s="17"/>
    </row>
    <row r="728" spans="1:2" ht="16.5" x14ac:dyDescent="0.3">
      <c r="A728" s="17"/>
      <c r="B728" s="17"/>
    </row>
    <row r="729" spans="1:2" ht="16.5" x14ac:dyDescent="0.3">
      <c r="A729" s="17"/>
      <c r="B729" s="17"/>
    </row>
    <row r="730" spans="1:2" ht="16.5" x14ac:dyDescent="0.3">
      <c r="A730" s="17"/>
      <c r="B730" s="17"/>
    </row>
    <row r="731" spans="1:2" ht="16.5" x14ac:dyDescent="0.3">
      <c r="A731" s="17"/>
      <c r="B731" s="17"/>
    </row>
    <row r="732" spans="1:2" ht="16.5" x14ac:dyDescent="0.3">
      <c r="A732" s="17"/>
      <c r="B732" s="17"/>
    </row>
    <row r="733" spans="1:2" ht="16.5" x14ac:dyDescent="0.3">
      <c r="A733" s="17"/>
      <c r="B733" s="17"/>
    </row>
    <row r="734" spans="1:2" ht="16.5" x14ac:dyDescent="0.3">
      <c r="A734" s="17"/>
      <c r="B734" s="17"/>
    </row>
    <row r="735" spans="1:2" ht="16.5" x14ac:dyDescent="0.3">
      <c r="A735" s="17"/>
      <c r="B735" s="17"/>
    </row>
    <row r="736" spans="1:2" ht="16.5" x14ac:dyDescent="0.3">
      <c r="A736" s="17"/>
      <c r="B736" s="17"/>
    </row>
    <row r="737" spans="1:2" ht="16.5" x14ac:dyDescent="0.3">
      <c r="A737" s="17"/>
      <c r="B737" s="17"/>
    </row>
    <row r="738" spans="1:2" ht="16.5" x14ac:dyDescent="0.3">
      <c r="A738" s="17"/>
      <c r="B738" s="17"/>
    </row>
    <row r="739" spans="1:2" ht="16.5" x14ac:dyDescent="0.3">
      <c r="A739" s="17"/>
      <c r="B739" s="17"/>
    </row>
    <row r="740" spans="1:2" ht="16.5" x14ac:dyDescent="0.3">
      <c r="A740" s="17"/>
      <c r="B740" s="17"/>
    </row>
    <row r="741" spans="1:2" ht="16.5" x14ac:dyDescent="0.3">
      <c r="A741" s="17"/>
      <c r="B741" s="17"/>
    </row>
    <row r="742" spans="1:2" ht="16.5" x14ac:dyDescent="0.3">
      <c r="A742" s="17"/>
      <c r="B742" s="17"/>
    </row>
    <row r="743" spans="1:2" ht="16.5" x14ac:dyDescent="0.3">
      <c r="A743" s="17"/>
      <c r="B743" s="17"/>
    </row>
    <row r="744" spans="1:2" ht="16.5" x14ac:dyDescent="0.3">
      <c r="A744" s="17"/>
      <c r="B744" s="17"/>
    </row>
    <row r="745" spans="1:2" ht="16.5" x14ac:dyDescent="0.3">
      <c r="A745" s="17"/>
      <c r="B745" s="17"/>
    </row>
    <row r="746" spans="1:2" ht="16.5" x14ac:dyDescent="0.3">
      <c r="A746" s="17"/>
      <c r="B746" s="17"/>
    </row>
    <row r="747" spans="1:2" ht="16.5" x14ac:dyDescent="0.3">
      <c r="A747" s="17"/>
      <c r="B747" s="17"/>
    </row>
    <row r="748" spans="1:2" ht="16.5" x14ac:dyDescent="0.3">
      <c r="A748" s="17"/>
      <c r="B748" s="17"/>
    </row>
    <row r="749" spans="1:2" ht="16.5" x14ac:dyDescent="0.3">
      <c r="A749" s="17"/>
      <c r="B749" s="17"/>
    </row>
    <row r="750" spans="1:2" ht="16.5" x14ac:dyDescent="0.3">
      <c r="A750" s="17"/>
      <c r="B750" s="17"/>
    </row>
    <row r="751" spans="1:2" ht="16.5" x14ac:dyDescent="0.3">
      <c r="A751" s="17"/>
      <c r="B751" s="17"/>
    </row>
    <row r="752" spans="1:2" ht="16.5" x14ac:dyDescent="0.3">
      <c r="A752" s="17"/>
      <c r="B752" s="17"/>
    </row>
    <row r="753" spans="1:2" ht="16.5" x14ac:dyDescent="0.3">
      <c r="A753" s="17"/>
      <c r="B753" s="17"/>
    </row>
    <row r="754" spans="1:2" ht="16.5" x14ac:dyDescent="0.3">
      <c r="A754" s="17"/>
      <c r="B754" s="17"/>
    </row>
    <row r="755" spans="1:2" ht="16.5" x14ac:dyDescent="0.3">
      <c r="A755" s="17"/>
      <c r="B755" s="17"/>
    </row>
    <row r="756" spans="1:2" ht="16.5" x14ac:dyDescent="0.3">
      <c r="A756" s="17"/>
      <c r="B756" s="17"/>
    </row>
    <row r="757" spans="1:2" ht="16.5" x14ac:dyDescent="0.3">
      <c r="A757" s="17"/>
      <c r="B757" s="17"/>
    </row>
    <row r="758" spans="1:2" ht="16.5" x14ac:dyDescent="0.3">
      <c r="A758" s="17"/>
      <c r="B758" s="17"/>
    </row>
    <row r="759" spans="1:2" ht="16.5" x14ac:dyDescent="0.3">
      <c r="A759" s="17"/>
      <c r="B759" s="17"/>
    </row>
    <row r="760" spans="1:2" ht="16.5" x14ac:dyDescent="0.3">
      <c r="A760" s="17"/>
      <c r="B760" s="17"/>
    </row>
    <row r="761" spans="1:2" ht="16.5" x14ac:dyDescent="0.3">
      <c r="A761" s="17"/>
      <c r="B761" s="17"/>
    </row>
    <row r="762" spans="1:2" ht="16.5" x14ac:dyDescent="0.3">
      <c r="A762" s="17"/>
      <c r="B762" s="17"/>
    </row>
    <row r="763" spans="1:2" ht="16.5" x14ac:dyDescent="0.3">
      <c r="A763" s="17"/>
      <c r="B763" s="17"/>
    </row>
    <row r="764" spans="1:2" ht="16.5" x14ac:dyDescent="0.3">
      <c r="A764" s="17"/>
      <c r="B764" s="17"/>
    </row>
    <row r="765" spans="1:2" ht="16.5" x14ac:dyDescent="0.3">
      <c r="A765" s="17"/>
      <c r="B765" s="17"/>
    </row>
    <row r="766" spans="1:2" ht="16.5" x14ac:dyDescent="0.3">
      <c r="A766" s="17"/>
      <c r="B766" s="17"/>
    </row>
    <row r="767" spans="1:2" ht="16.5" x14ac:dyDescent="0.3">
      <c r="A767" s="17"/>
      <c r="B767" s="17"/>
    </row>
    <row r="768" spans="1:2" ht="16.5" x14ac:dyDescent="0.3">
      <c r="A768" s="17"/>
      <c r="B768" s="17"/>
    </row>
    <row r="769" spans="1:2" ht="16.5" x14ac:dyDescent="0.3">
      <c r="A769" s="17"/>
      <c r="B769" s="17"/>
    </row>
    <row r="770" spans="1:2" ht="16.5" x14ac:dyDescent="0.3">
      <c r="A770" s="17"/>
      <c r="B770" s="17"/>
    </row>
    <row r="771" spans="1:2" ht="16.5" x14ac:dyDescent="0.3">
      <c r="A771" s="17"/>
      <c r="B771" s="17"/>
    </row>
    <row r="772" spans="1:2" ht="16.5" x14ac:dyDescent="0.3">
      <c r="A772" s="17"/>
      <c r="B772" s="17"/>
    </row>
    <row r="773" spans="1:2" ht="16.5" x14ac:dyDescent="0.3">
      <c r="A773" s="17"/>
      <c r="B773" s="17"/>
    </row>
    <row r="774" spans="1:2" ht="16.5" x14ac:dyDescent="0.3">
      <c r="A774" s="17"/>
      <c r="B774" s="17"/>
    </row>
    <row r="775" spans="1:2" ht="16.5" x14ac:dyDescent="0.3">
      <c r="A775" s="17"/>
      <c r="B775" s="17"/>
    </row>
    <row r="776" spans="1:2" ht="16.5" x14ac:dyDescent="0.3">
      <c r="A776" s="17"/>
      <c r="B776" s="17"/>
    </row>
    <row r="777" spans="1:2" ht="16.5" x14ac:dyDescent="0.3">
      <c r="A777" s="17"/>
      <c r="B777" s="17"/>
    </row>
    <row r="778" spans="1:2" ht="16.5" x14ac:dyDescent="0.3">
      <c r="A778" s="17"/>
      <c r="B778" s="17"/>
    </row>
    <row r="779" spans="1:2" ht="16.5" x14ac:dyDescent="0.3">
      <c r="A779" s="17"/>
      <c r="B779" s="17"/>
    </row>
    <row r="780" spans="1:2" ht="16.5" x14ac:dyDescent="0.3">
      <c r="A780" s="17"/>
      <c r="B780" s="17"/>
    </row>
    <row r="781" spans="1:2" ht="16.5" x14ac:dyDescent="0.3">
      <c r="A781" s="17"/>
      <c r="B781" s="17"/>
    </row>
    <row r="782" spans="1:2" ht="16.5" x14ac:dyDescent="0.3">
      <c r="A782" s="17"/>
      <c r="B782" s="17"/>
    </row>
    <row r="783" spans="1:2" ht="16.5" x14ac:dyDescent="0.3">
      <c r="A783" s="17"/>
      <c r="B783" s="17"/>
    </row>
    <row r="784" spans="1:2" ht="16.5" x14ac:dyDescent="0.3">
      <c r="A784" s="17"/>
      <c r="B784" s="17"/>
    </row>
    <row r="785" spans="1:2" ht="16.5" x14ac:dyDescent="0.3">
      <c r="A785" s="17"/>
      <c r="B785" s="17"/>
    </row>
    <row r="786" spans="1:2" ht="16.5" x14ac:dyDescent="0.3">
      <c r="A786" s="17"/>
      <c r="B786" s="17"/>
    </row>
    <row r="787" spans="1:2" ht="16.5" x14ac:dyDescent="0.3">
      <c r="A787" s="17"/>
      <c r="B787" s="17"/>
    </row>
    <row r="788" spans="1:2" ht="16.5" x14ac:dyDescent="0.3">
      <c r="A788" s="17"/>
      <c r="B788" s="17"/>
    </row>
    <row r="789" spans="1:2" ht="16.5" x14ac:dyDescent="0.3">
      <c r="A789" s="17"/>
      <c r="B789" s="17"/>
    </row>
    <row r="790" spans="1:2" ht="16.5" x14ac:dyDescent="0.3">
      <c r="A790" s="17"/>
      <c r="B790" s="17"/>
    </row>
    <row r="791" spans="1:2" ht="16.5" x14ac:dyDescent="0.3">
      <c r="A791" s="17"/>
      <c r="B791" s="17"/>
    </row>
    <row r="792" spans="1:2" ht="16.5" x14ac:dyDescent="0.3">
      <c r="A792" s="17"/>
      <c r="B792" s="17"/>
    </row>
    <row r="793" spans="1:2" ht="16.5" x14ac:dyDescent="0.3">
      <c r="A793" s="17"/>
      <c r="B793" s="17"/>
    </row>
    <row r="794" spans="1:2" ht="16.5" x14ac:dyDescent="0.3">
      <c r="A794" s="17"/>
      <c r="B794" s="17"/>
    </row>
    <row r="795" spans="1:2" ht="16.5" x14ac:dyDescent="0.3">
      <c r="A795" s="17"/>
      <c r="B795" s="17"/>
    </row>
    <row r="796" spans="1:2" ht="16.5" x14ac:dyDescent="0.3">
      <c r="A796" s="17"/>
      <c r="B796" s="17"/>
    </row>
    <row r="797" spans="1:2" ht="16.5" x14ac:dyDescent="0.3">
      <c r="A797" s="17"/>
      <c r="B797" s="17"/>
    </row>
    <row r="798" spans="1:2" ht="16.5" x14ac:dyDescent="0.3">
      <c r="A798" s="17"/>
      <c r="B798" s="17"/>
    </row>
    <row r="799" spans="1:2" ht="16.5" x14ac:dyDescent="0.3">
      <c r="A799" s="17"/>
      <c r="B799" s="17"/>
    </row>
    <row r="800" spans="1:2" ht="16.5" x14ac:dyDescent="0.3">
      <c r="A800" s="17"/>
      <c r="B800" s="17"/>
    </row>
    <row r="801" spans="1:2" ht="16.5" x14ac:dyDescent="0.3">
      <c r="A801" s="17"/>
      <c r="B801" s="17"/>
    </row>
    <row r="802" spans="1:2" ht="16.5" x14ac:dyDescent="0.3">
      <c r="A802" s="17"/>
      <c r="B802" s="17"/>
    </row>
    <row r="803" spans="1:2" ht="16.5" x14ac:dyDescent="0.3">
      <c r="A803" s="17"/>
      <c r="B803" s="17"/>
    </row>
    <row r="804" spans="1:2" ht="16.5" x14ac:dyDescent="0.3">
      <c r="A804" s="17"/>
      <c r="B804" s="17"/>
    </row>
    <row r="805" spans="1:2" ht="16.5" x14ac:dyDescent="0.3">
      <c r="A805" s="17"/>
      <c r="B805" s="17"/>
    </row>
    <row r="806" spans="1:2" ht="16.5" x14ac:dyDescent="0.3">
      <c r="A806" s="17"/>
      <c r="B806" s="17"/>
    </row>
    <row r="807" spans="1:2" ht="16.5" x14ac:dyDescent="0.3">
      <c r="A807" s="17"/>
      <c r="B807" s="17"/>
    </row>
    <row r="808" spans="1:2" ht="16.5" x14ac:dyDescent="0.3">
      <c r="A808" s="17"/>
      <c r="B808" s="17"/>
    </row>
    <row r="809" spans="1:2" ht="16.5" x14ac:dyDescent="0.3">
      <c r="A809" s="17"/>
      <c r="B809" s="17"/>
    </row>
    <row r="810" spans="1:2" ht="16.5" x14ac:dyDescent="0.3">
      <c r="A810" s="17"/>
      <c r="B810" s="17"/>
    </row>
    <row r="811" spans="1:2" ht="16.5" x14ac:dyDescent="0.3">
      <c r="A811" s="17"/>
      <c r="B811" s="17"/>
    </row>
    <row r="812" spans="1:2" ht="16.5" x14ac:dyDescent="0.3">
      <c r="A812" s="17"/>
      <c r="B812" s="17"/>
    </row>
    <row r="813" spans="1:2" ht="16.5" x14ac:dyDescent="0.3">
      <c r="A813" s="17"/>
      <c r="B813" s="17"/>
    </row>
    <row r="814" spans="1:2" ht="16.5" x14ac:dyDescent="0.3">
      <c r="A814" s="17"/>
      <c r="B814" s="17"/>
    </row>
    <row r="815" spans="1:2" ht="16.5" x14ac:dyDescent="0.3">
      <c r="A815" s="17"/>
      <c r="B815" s="17"/>
    </row>
    <row r="816" spans="1:2" ht="16.5" x14ac:dyDescent="0.3">
      <c r="A816" s="17"/>
      <c r="B816" s="17"/>
    </row>
    <row r="817" spans="1:2" ht="16.5" x14ac:dyDescent="0.3">
      <c r="A817" s="17"/>
      <c r="B817" s="17"/>
    </row>
    <row r="818" spans="1:2" ht="16.5" x14ac:dyDescent="0.3">
      <c r="A818" s="17"/>
      <c r="B818" s="17"/>
    </row>
    <row r="819" spans="1:2" ht="16.5" x14ac:dyDescent="0.3">
      <c r="A819" s="17"/>
      <c r="B819" s="17"/>
    </row>
    <row r="820" spans="1:2" ht="16.5" x14ac:dyDescent="0.3">
      <c r="A820" s="17"/>
      <c r="B820" s="17"/>
    </row>
    <row r="821" spans="1:2" ht="16.5" x14ac:dyDescent="0.3">
      <c r="A821" s="17"/>
      <c r="B821" s="17"/>
    </row>
    <row r="822" spans="1:2" ht="16.5" x14ac:dyDescent="0.3">
      <c r="A822" s="17"/>
      <c r="B822" s="17"/>
    </row>
    <row r="823" spans="1:2" ht="16.5" x14ac:dyDescent="0.3">
      <c r="A823" s="17"/>
      <c r="B823" s="17"/>
    </row>
    <row r="824" spans="1:2" ht="16.5" x14ac:dyDescent="0.3">
      <c r="A824" s="17"/>
      <c r="B824" s="17"/>
    </row>
    <row r="825" spans="1:2" ht="16.5" x14ac:dyDescent="0.3">
      <c r="A825" s="17"/>
      <c r="B825" s="17"/>
    </row>
    <row r="826" spans="1:2" ht="16.5" x14ac:dyDescent="0.3">
      <c r="A826" s="17"/>
      <c r="B826" s="17"/>
    </row>
    <row r="827" spans="1:2" ht="16.5" x14ac:dyDescent="0.3">
      <c r="A827" s="17"/>
      <c r="B827" s="17"/>
    </row>
    <row r="828" spans="1:2" ht="16.5" x14ac:dyDescent="0.3">
      <c r="A828" s="17"/>
      <c r="B828" s="17"/>
    </row>
    <row r="829" spans="1:2" ht="16.5" x14ac:dyDescent="0.3">
      <c r="A829" s="17"/>
      <c r="B829" s="17"/>
    </row>
    <row r="830" spans="1:2" ht="16.5" x14ac:dyDescent="0.3">
      <c r="A830" s="17"/>
      <c r="B830" s="17"/>
    </row>
    <row r="831" spans="1:2" ht="16.5" x14ac:dyDescent="0.3">
      <c r="A831" s="17"/>
      <c r="B831" s="17"/>
    </row>
    <row r="832" spans="1:2" ht="16.5" x14ac:dyDescent="0.3">
      <c r="A832" s="17"/>
      <c r="B832" s="17"/>
    </row>
    <row r="833" spans="1:2" ht="16.5" x14ac:dyDescent="0.3">
      <c r="A833" s="17"/>
      <c r="B833" s="17"/>
    </row>
    <row r="834" spans="1:2" ht="16.5" x14ac:dyDescent="0.3">
      <c r="A834" s="17"/>
      <c r="B834" s="17"/>
    </row>
    <row r="835" spans="1:2" ht="16.5" x14ac:dyDescent="0.3">
      <c r="A835" s="17"/>
      <c r="B835" s="17"/>
    </row>
    <row r="836" spans="1:2" ht="16.5" x14ac:dyDescent="0.3">
      <c r="A836" s="17"/>
      <c r="B836" s="17"/>
    </row>
    <row r="837" spans="1:2" ht="16.5" x14ac:dyDescent="0.3">
      <c r="A837" s="17"/>
      <c r="B837" s="17"/>
    </row>
    <row r="838" spans="1:2" ht="16.5" x14ac:dyDescent="0.3">
      <c r="A838" s="17"/>
      <c r="B838" s="17"/>
    </row>
    <row r="839" spans="1:2" ht="16.5" x14ac:dyDescent="0.3">
      <c r="A839" s="17"/>
      <c r="B839" s="17"/>
    </row>
    <row r="840" spans="1:2" ht="16.5" x14ac:dyDescent="0.3">
      <c r="A840" s="17"/>
      <c r="B840" s="17"/>
    </row>
    <row r="841" spans="1:2" ht="16.5" x14ac:dyDescent="0.3">
      <c r="A841" s="17"/>
      <c r="B841" s="17"/>
    </row>
    <row r="842" spans="1:2" ht="16.5" x14ac:dyDescent="0.3">
      <c r="A842" s="17"/>
      <c r="B842" s="17"/>
    </row>
    <row r="843" spans="1:2" ht="16.5" x14ac:dyDescent="0.3">
      <c r="A843" s="17"/>
      <c r="B843" s="17"/>
    </row>
    <row r="844" spans="1:2" ht="16.5" x14ac:dyDescent="0.3">
      <c r="A844" s="17"/>
      <c r="B844" s="17"/>
    </row>
    <row r="845" spans="1:2" ht="16.5" x14ac:dyDescent="0.3">
      <c r="A845" s="17"/>
      <c r="B845" s="17"/>
    </row>
    <row r="846" spans="1:2" ht="16.5" x14ac:dyDescent="0.3">
      <c r="A846" s="17"/>
      <c r="B846" s="17"/>
    </row>
    <row r="847" spans="1:2" ht="16.5" x14ac:dyDescent="0.3">
      <c r="A847" s="17"/>
      <c r="B847" s="17"/>
    </row>
    <row r="848" spans="1:2" ht="16.5" x14ac:dyDescent="0.3">
      <c r="A848" s="17"/>
      <c r="B848" s="17"/>
    </row>
    <row r="849" spans="1:2" ht="16.5" x14ac:dyDescent="0.3">
      <c r="A849" s="17"/>
      <c r="B849" s="17"/>
    </row>
    <row r="850" spans="1:2" ht="16.5" x14ac:dyDescent="0.3">
      <c r="A850" s="17"/>
      <c r="B850" s="17"/>
    </row>
    <row r="851" spans="1:2" ht="16.5" x14ac:dyDescent="0.3">
      <c r="A851" s="17"/>
      <c r="B851" s="17"/>
    </row>
    <row r="852" spans="1:2" ht="16.5" x14ac:dyDescent="0.3">
      <c r="A852" s="17"/>
      <c r="B852" s="17"/>
    </row>
    <row r="853" spans="1:2" ht="16.5" x14ac:dyDescent="0.3">
      <c r="A853" s="17"/>
      <c r="B853" s="17"/>
    </row>
    <row r="854" spans="1:2" ht="16.5" x14ac:dyDescent="0.3">
      <c r="A854" s="17"/>
      <c r="B854" s="17"/>
    </row>
    <row r="855" spans="1:2" ht="16.5" x14ac:dyDescent="0.3">
      <c r="A855" s="17"/>
      <c r="B855" s="17"/>
    </row>
    <row r="856" spans="1:2" ht="16.5" x14ac:dyDescent="0.3">
      <c r="A856" s="17"/>
      <c r="B856" s="17"/>
    </row>
    <row r="857" spans="1:2" ht="16.5" x14ac:dyDescent="0.3">
      <c r="A857" s="17"/>
      <c r="B857" s="17"/>
    </row>
    <row r="858" spans="1:2" ht="16.5" x14ac:dyDescent="0.3">
      <c r="A858" s="17"/>
      <c r="B858" s="17"/>
    </row>
    <row r="859" spans="1:2" ht="16.5" x14ac:dyDescent="0.3">
      <c r="A859" s="17"/>
      <c r="B859" s="17"/>
    </row>
    <row r="860" spans="1:2" ht="16.5" x14ac:dyDescent="0.3">
      <c r="A860" s="17"/>
      <c r="B860" s="17"/>
    </row>
    <row r="861" spans="1:2" ht="16.5" x14ac:dyDescent="0.3">
      <c r="A861" s="17"/>
      <c r="B861" s="17"/>
    </row>
    <row r="862" spans="1:2" ht="16.5" x14ac:dyDescent="0.3">
      <c r="A862" s="17"/>
      <c r="B862" s="17"/>
    </row>
    <row r="863" spans="1:2" ht="16.5" x14ac:dyDescent="0.3">
      <c r="A863" s="17"/>
      <c r="B863" s="17"/>
    </row>
    <row r="864" spans="1:2" ht="16.5" x14ac:dyDescent="0.3">
      <c r="A864" s="17"/>
      <c r="B864" s="17"/>
    </row>
    <row r="865" spans="1:2" ht="16.5" x14ac:dyDescent="0.3">
      <c r="A865" s="17"/>
      <c r="B865" s="17"/>
    </row>
    <row r="866" spans="1:2" ht="16.5" x14ac:dyDescent="0.3">
      <c r="A866" s="17"/>
      <c r="B866" s="17"/>
    </row>
    <row r="867" spans="1:2" ht="16.5" x14ac:dyDescent="0.3">
      <c r="A867" s="17"/>
      <c r="B867" s="17"/>
    </row>
    <row r="868" spans="1:2" ht="16.5" x14ac:dyDescent="0.3">
      <c r="A868" s="17"/>
      <c r="B868" s="17"/>
    </row>
    <row r="869" spans="1:2" ht="16.5" x14ac:dyDescent="0.3">
      <c r="A869" s="17"/>
      <c r="B869" s="17"/>
    </row>
    <row r="870" spans="1:2" ht="16.5" x14ac:dyDescent="0.3">
      <c r="A870" s="17"/>
      <c r="B870" s="17"/>
    </row>
    <row r="871" spans="1:2" ht="16.5" x14ac:dyDescent="0.3">
      <c r="A871" s="17"/>
      <c r="B871" s="17"/>
    </row>
    <row r="872" spans="1:2" ht="16.5" x14ac:dyDescent="0.3">
      <c r="A872" s="17"/>
      <c r="B872" s="17"/>
    </row>
    <row r="873" spans="1:2" ht="16.5" x14ac:dyDescent="0.3">
      <c r="A873" s="17"/>
      <c r="B873" s="17"/>
    </row>
    <row r="874" spans="1:2" ht="16.5" x14ac:dyDescent="0.3">
      <c r="A874" s="17"/>
      <c r="B874" s="17"/>
    </row>
    <row r="875" spans="1:2" ht="16.5" x14ac:dyDescent="0.3">
      <c r="A875" s="17"/>
      <c r="B875" s="17"/>
    </row>
    <row r="876" spans="1:2" ht="16.5" x14ac:dyDescent="0.3">
      <c r="A876" s="17"/>
      <c r="B876" s="17"/>
    </row>
    <row r="877" spans="1:2" ht="16.5" x14ac:dyDescent="0.3">
      <c r="A877" s="17"/>
      <c r="B877" s="17"/>
    </row>
    <row r="878" spans="1:2" ht="16.5" x14ac:dyDescent="0.3">
      <c r="A878" s="17"/>
      <c r="B878" s="17"/>
    </row>
    <row r="879" spans="1:2" ht="16.5" x14ac:dyDescent="0.3">
      <c r="A879" s="17"/>
      <c r="B879" s="17"/>
    </row>
    <row r="880" spans="1:2" ht="16.5" x14ac:dyDescent="0.3">
      <c r="A880" s="17"/>
      <c r="B880" s="17"/>
    </row>
    <row r="881" spans="1:2" ht="16.5" x14ac:dyDescent="0.3">
      <c r="A881" s="17"/>
      <c r="B881" s="17"/>
    </row>
    <row r="882" spans="1:2" ht="16.5" x14ac:dyDescent="0.3">
      <c r="A882" s="17"/>
      <c r="B882" s="17"/>
    </row>
    <row r="883" spans="1:2" ht="16.5" x14ac:dyDescent="0.3">
      <c r="A883" s="17"/>
      <c r="B883" s="17"/>
    </row>
    <row r="884" spans="1:2" ht="16.5" x14ac:dyDescent="0.3">
      <c r="A884" s="17"/>
      <c r="B884" s="17"/>
    </row>
    <row r="885" spans="1:2" ht="16.5" x14ac:dyDescent="0.3">
      <c r="A885" s="17"/>
      <c r="B885" s="17"/>
    </row>
    <row r="886" spans="1:2" ht="16.5" x14ac:dyDescent="0.3">
      <c r="A886" s="17"/>
      <c r="B886" s="17"/>
    </row>
    <row r="887" spans="1:2" ht="16.5" x14ac:dyDescent="0.3">
      <c r="A887" s="17"/>
      <c r="B887" s="17"/>
    </row>
    <row r="888" spans="1:2" ht="16.5" x14ac:dyDescent="0.3">
      <c r="A888" s="17"/>
      <c r="B888" s="17"/>
    </row>
    <row r="889" spans="1:2" ht="16.5" x14ac:dyDescent="0.3">
      <c r="A889" s="17"/>
      <c r="B889" s="17"/>
    </row>
    <row r="890" spans="1:2" ht="16.5" x14ac:dyDescent="0.3">
      <c r="A890" s="17"/>
      <c r="B890" s="17"/>
    </row>
    <row r="891" spans="1:2" ht="16.5" x14ac:dyDescent="0.3">
      <c r="A891" s="17"/>
      <c r="B891" s="17"/>
    </row>
    <row r="892" spans="1:2" ht="16.5" x14ac:dyDescent="0.3">
      <c r="A892" s="17"/>
      <c r="B892" s="17"/>
    </row>
    <row r="893" spans="1:2" ht="16.5" x14ac:dyDescent="0.3">
      <c r="A893" s="17"/>
      <c r="B893" s="17"/>
    </row>
    <row r="894" spans="1:2" ht="16.5" x14ac:dyDescent="0.3">
      <c r="A894" s="17"/>
      <c r="B894" s="17"/>
    </row>
    <row r="895" spans="1:2" ht="16.5" x14ac:dyDescent="0.3">
      <c r="A895" s="17"/>
      <c r="B895" s="17"/>
    </row>
    <row r="896" spans="1:2" ht="16.5" x14ac:dyDescent="0.3">
      <c r="A896" s="17"/>
      <c r="B896" s="17"/>
    </row>
    <row r="897" spans="1:2" ht="16.5" x14ac:dyDescent="0.3">
      <c r="A897" s="17"/>
      <c r="B897" s="17"/>
    </row>
    <row r="898" spans="1:2" ht="16.5" x14ac:dyDescent="0.3">
      <c r="A898" s="17"/>
      <c r="B898" s="17"/>
    </row>
    <row r="899" spans="1:2" ht="16.5" x14ac:dyDescent="0.3">
      <c r="A899" s="17"/>
      <c r="B899" s="17"/>
    </row>
    <row r="900" spans="1:2" ht="16.5" x14ac:dyDescent="0.3">
      <c r="A900" s="17"/>
      <c r="B900" s="17"/>
    </row>
    <row r="901" spans="1:2" ht="16.5" x14ac:dyDescent="0.3">
      <c r="A901" s="17"/>
      <c r="B901" s="17"/>
    </row>
    <row r="902" spans="1:2" ht="16.5" x14ac:dyDescent="0.3">
      <c r="A902" s="17"/>
      <c r="B902" s="17"/>
    </row>
    <row r="903" spans="1:2" ht="16.5" x14ac:dyDescent="0.3">
      <c r="A903" s="17"/>
      <c r="B903" s="17"/>
    </row>
    <row r="904" spans="1:2" ht="16.5" x14ac:dyDescent="0.3">
      <c r="A904" s="17"/>
      <c r="B904" s="17"/>
    </row>
    <row r="905" spans="1:2" ht="16.5" x14ac:dyDescent="0.3">
      <c r="A905" s="17"/>
      <c r="B905" s="17"/>
    </row>
    <row r="906" spans="1:2" ht="16.5" x14ac:dyDescent="0.3">
      <c r="A906" s="17"/>
      <c r="B906" s="17"/>
    </row>
    <row r="907" spans="1:2" ht="16.5" x14ac:dyDescent="0.3">
      <c r="A907" s="17"/>
      <c r="B907" s="17"/>
    </row>
    <row r="908" spans="1:2" ht="16.5" x14ac:dyDescent="0.3">
      <c r="A908" s="17"/>
      <c r="B908" s="17"/>
    </row>
    <row r="909" spans="1:2" ht="16.5" x14ac:dyDescent="0.3">
      <c r="A909" s="17"/>
      <c r="B909" s="17"/>
    </row>
    <row r="910" spans="1:2" ht="16.5" x14ac:dyDescent="0.3">
      <c r="A910" s="17"/>
      <c r="B910" s="17"/>
    </row>
    <row r="911" spans="1:2" ht="16.5" x14ac:dyDescent="0.3">
      <c r="A911" s="17"/>
      <c r="B911" s="17"/>
    </row>
    <row r="912" spans="1:2" ht="16.5" x14ac:dyDescent="0.3">
      <c r="A912" s="17"/>
      <c r="B912" s="17"/>
    </row>
    <row r="913" spans="1:2" ht="16.5" x14ac:dyDescent="0.3">
      <c r="A913" s="17"/>
      <c r="B913" s="17"/>
    </row>
    <row r="914" spans="1:2" ht="16.5" x14ac:dyDescent="0.3">
      <c r="A914" s="17"/>
      <c r="B914" s="17"/>
    </row>
    <row r="915" spans="1:2" ht="16.5" x14ac:dyDescent="0.3">
      <c r="A915" s="17"/>
      <c r="B915" s="17"/>
    </row>
    <row r="916" spans="1:2" ht="16.5" x14ac:dyDescent="0.3">
      <c r="A916" s="17"/>
      <c r="B916" s="17"/>
    </row>
    <row r="917" spans="1:2" ht="16.5" x14ac:dyDescent="0.3">
      <c r="A917" s="17"/>
      <c r="B917" s="17"/>
    </row>
    <row r="918" spans="1:2" ht="16.5" x14ac:dyDescent="0.3">
      <c r="A918" s="17"/>
      <c r="B918" s="17"/>
    </row>
    <row r="919" spans="1:2" ht="16.5" x14ac:dyDescent="0.3">
      <c r="A919" s="17"/>
      <c r="B919" s="17"/>
    </row>
    <row r="920" spans="1:2" ht="16.5" x14ac:dyDescent="0.3">
      <c r="A920" s="17"/>
      <c r="B920" s="17"/>
    </row>
    <row r="921" spans="1:2" ht="16.5" x14ac:dyDescent="0.3">
      <c r="A921" s="17"/>
      <c r="B921" s="17"/>
    </row>
    <row r="922" spans="1:2" ht="16.5" x14ac:dyDescent="0.3">
      <c r="A922" s="17"/>
      <c r="B922" s="17"/>
    </row>
    <row r="923" spans="1:2" ht="16.5" x14ac:dyDescent="0.3">
      <c r="A923" s="17"/>
      <c r="B923" s="17"/>
    </row>
    <row r="924" spans="1:2" ht="16.5" x14ac:dyDescent="0.3">
      <c r="A924" s="17"/>
      <c r="B924" s="17"/>
    </row>
    <row r="925" spans="1:2" ht="16.5" x14ac:dyDescent="0.3">
      <c r="A925" s="17"/>
      <c r="B925" s="17"/>
    </row>
    <row r="926" spans="1:2" ht="16.5" x14ac:dyDescent="0.3">
      <c r="A926" s="17"/>
      <c r="B926" s="17"/>
    </row>
    <row r="927" spans="1:2" ht="16.5" x14ac:dyDescent="0.3">
      <c r="A927" s="17"/>
      <c r="B927" s="17"/>
    </row>
    <row r="928" spans="1:2" ht="16.5" x14ac:dyDescent="0.3">
      <c r="A928" s="17"/>
      <c r="B928" s="17"/>
    </row>
    <row r="929" spans="1:2" ht="16.5" x14ac:dyDescent="0.3">
      <c r="A929" s="17"/>
      <c r="B929" s="17"/>
    </row>
    <row r="930" spans="1:2" ht="16.5" x14ac:dyDescent="0.3">
      <c r="A930" s="17"/>
      <c r="B930" s="17"/>
    </row>
    <row r="931" spans="1:2" ht="16.5" x14ac:dyDescent="0.3">
      <c r="A931" s="17"/>
      <c r="B931" s="17"/>
    </row>
    <row r="932" spans="1:2" ht="16.5" x14ac:dyDescent="0.3">
      <c r="A932" s="17"/>
      <c r="B932" s="17"/>
    </row>
    <row r="933" spans="1:2" ht="16.5" x14ac:dyDescent="0.3">
      <c r="A933" s="17"/>
      <c r="B933" s="17"/>
    </row>
    <row r="934" spans="1:2" ht="16.5" x14ac:dyDescent="0.3">
      <c r="A934" s="17"/>
      <c r="B934" s="17"/>
    </row>
    <row r="935" spans="1:2" ht="16.5" x14ac:dyDescent="0.3">
      <c r="A935" s="17"/>
      <c r="B935" s="17"/>
    </row>
    <row r="936" spans="1:2" ht="16.5" x14ac:dyDescent="0.3">
      <c r="A936" s="17"/>
      <c r="B936" s="17"/>
    </row>
    <row r="937" spans="1:2" ht="16.5" x14ac:dyDescent="0.3">
      <c r="A937" s="17"/>
      <c r="B937" s="17"/>
    </row>
    <row r="938" spans="1:2" ht="16.5" x14ac:dyDescent="0.3">
      <c r="A938" s="17"/>
      <c r="B938" s="17"/>
    </row>
    <row r="939" spans="1:2" ht="16.5" x14ac:dyDescent="0.3">
      <c r="A939" s="17"/>
      <c r="B939" s="17"/>
    </row>
    <row r="940" spans="1:2" ht="16.5" x14ac:dyDescent="0.3">
      <c r="A940" s="17"/>
      <c r="B940" s="17"/>
    </row>
    <row r="941" spans="1:2" ht="16.5" x14ac:dyDescent="0.3">
      <c r="A941" s="17"/>
      <c r="B941" s="17"/>
    </row>
    <row r="942" spans="1:2" ht="16.5" x14ac:dyDescent="0.3">
      <c r="A942" s="17"/>
      <c r="B942" s="17"/>
    </row>
    <row r="943" spans="1:2" ht="16.5" x14ac:dyDescent="0.3">
      <c r="A943" s="17"/>
      <c r="B943" s="17"/>
    </row>
    <row r="944" spans="1:2" ht="16.5" x14ac:dyDescent="0.3">
      <c r="A944" s="17"/>
      <c r="B944" s="17"/>
    </row>
    <row r="945" spans="1:2" ht="16.5" x14ac:dyDescent="0.3">
      <c r="A945" s="17"/>
      <c r="B945" s="17"/>
    </row>
    <row r="946" spans="1:2" ht="16.5" x14ac:dyDescent="0.3">
      <c r="A946" s="17"/>
      <c r="B946" s="17"/>
    </row>
    <row r="947" spans="1:2" ht="16.5" x14ac:dyDescent="0.3">
      <c r="A947" s="17"/>
      <c r="B947" s="17"/>
    </row>
    <row r="948" spans="1:2" ht="16.5" x14ac:dyDescent="0.3">
      <c r="A948" s="17"/>
      <c r="B948" s="17"/>
    </row>
    <row r="949" spans="1:2" ht="16.5" x14ac:dyDescent="0.3">
      <c r="A949" s="17"/>
      <c r="B949" s="17"/>
    </row>
    <row r="950" spans="1:2" ht="16.5" x14ac:dyDescent="0.3">
      <c r="A950" s="17"/>
      <c r="B950" s="17"/>
    </row>
    <row r="951" spans="1:2" ht="16.5" x14ac:dyDescent="0.3">
      <c r="A951" s="17"/>
      <c r="B951" s="17"/>
    </row>
    <row r="952" spans="1:2" ht="16.5" x14ac:dyDescent="0.3">
      <c r="A952" s="17"/>
      <c r="B952" s="17"/>
    </row>
    <row r="953" spans="1:2" ht="16.5" x14ac:dyDescent="0.3">
      <c r="A953" s="17"/>
      <c r="B953" s="17"/>
    </row>
    <row r="954" spans="1:2" ht="16.5" x14ac:dyDescent="0.3">
      <c r="A954" s="17"/>
      <c r="B954" s="17"/>
    </row>
    <row r="955" spans="1:2" ht="16.5" x14ac:dyDescent="0.3">
      <c r="A955" s="17"/>
      <c r="B955" s="17"/>
    </row>
    <row r="956" spans="1:2" ht="16.5" x14ac:dyDescent="0.3">
      <c r="A956" s="17"/>
      <c r="B956" s="17"/>
    </row>
    <row r="957" spans="1:2" ht="16.5" x14ac:dyDescent="0.3">
      <c r="A957" s="17"/>
      <c r="B957" s="17"/>
    </row>
    <row r="958" spans="1:2" ht="16.5" x14ac:dyDescent="0.3">
      <c r="A958" s="17"/>
      <c r="B958" s="17"/>
    </row>
    <row r="959" spans="1:2" ht="16.5" x14ac:dyDescent="0.3">
      <c r="A959" s="17"/>
      <c r="B959" s="17"/>
    </row>
    <row r="960" spans="1:2" ht="16.5" x14ac:dyDescent="0.3">
      <c r="A960" s="17"/>
      <c r="B960" s="17"/>
    </row>
    <row r="961" spans="1:2" ht="16.5" x14ac:dyDescent="0.3">
      <c r="A961" s="17"/>
      <c r="B961" s="17"/>
    </row>
    <row r="962" spans="1:2" ht="16.5" x14ac:dyDescent="0.3">
      <c r="A962" s="17"/>
      <c r="B962" s="17"/>
    </row>
    <row r="963" spans="1:2" ht="16.5" x14ac:dyDescent="0.3">
      <c r="A963" s="17"/>
      <c r="B963" s="17"/>
    </row>
    <row r="964" spans="1:2" ht="16.5" x14ac:dyDescent="0.3">
      <c r="A964" s="17"/>
      <c r="B964" s="17"/>
    </row>
    <row r="965" spans="1:2" ht="16.5" x14ac:dyDescent="0.3">
      <c r="A965" s="17"/>
      <c r="B965" s="17"/>
    </row>
    <row r="966" spans="1:2" ht="16.5" x14ac:dyDescent="0.3">
      <c r="A966" s="17"/>
      <c r="B966" s="17"/>
    </row>
    <row r="967" spans="1:2" ht="16.5" x14ac:dyDescent="0.3">
      <c r="A967" s="17"/>
      <c r="B967" s="17"/>
    </row>
    <row r="968" spans="1:2" ht="16.5" x14ac:dyDescent="0.3">
      <c r="A968" s="17"/>
      <c r="B968" s="17"/>
    </row>
    <row r="969" spans="1:2" ht="16.5" x14ac:dyDescent="0.3">
      <c r="A969" s="17"/>
      <c r="B969" s="17"/>
    </row>
    <row r="970" spans="1:2" ht="16.5" x14ac:dyDescent="0.3">
      <c r="A970" s="17"/>
      <c r="B970" s="17"/>
    </row>
    <row r="971" spans="1:2" ht="16.5" x14ac:dyDescent="0.3">
      <c r="A971" s="17"/>
      <c r="B971" s="17"/>
    </row>
    <row r="972" spans="1:2" ht="16.5" x14ac:dyDescent="0.3">
      <c r="A972" s="17"/>
      <c r="B972" s="17"/>
    </row>
    <row r="973" spans="1:2" ht="16.5" x14ac:dyDescent="0.3">
      <c r="A973" s="17"/>
      <c r="B973" s="17"/>
    </row>
    <row r="974" spans="1:2" ht="16.5" x14ac:dyDescent="0.3">
      <c r="A974" s="17"/>
      <c r="B974" s="17"/>
    </row>
    <row r="975" spans="1:2" ht="16.5" x14ac:dyDescent="0.3">
      <c r="A975" s="17"/>
      <c r="B975" s="17"/>
    </row>
    <row r="976" spans="1:2" ht="16.5" x14ac:dyDescent="0.3">
      <c r="A976" s="17"/>
      <c r="B976" s="17"/>
    </row>
    <row r="977" spans="1:2" ht="16.5" x14ac:dyDescent="0.3">
      <c r="A977" s="17"/>
      <c r="B977" s="17"/>
    </row>
    <row r="978" spans="1:2" ht="16.5" x14ac:dyDescent="0.3">
      <c r="A978" s="17"/>
      <c r="B978" s="17"/>
    </row>
    <row r="979" spans="1:2" ht="16.5" x14ac:dyDescent="0.3">
      <c r="A979" s="17"/>
      <c r="B979" s="17"/>
    </row>
    <row r="980" spans="1:2" ht="16.5" x14ac:dyDescent="0.3">
      <c r="A980" s="17"/>
      <c r="B980" s="17"/>
    </row>
    <row r="981" spans="1:2" ht="16.5" x14ac:dyDescent="0.3">
      <c r="A981" s="17"/>
      <c r="B981" s="17"/>
    </row>
    <row r="982" spans="1:2" ht="16.5" x14ac:dyDescent="0.3">
      <c r="A982" s="17"/>
      <c r="B982" s="17"/>
    </row>
    <row r="983" spans="1:2" ht="16.5" x14ac:dyDescent="0.3">
      <c r="A983" s="17"/>
      <c r="B983" s="17"/>
    </row>
    <row r="984" spans="1:2" ht="16.5" x14ac:dyDescent="0.3">
      <c r="A984" s="17"/>
      <c r="B984" s="17"/>
    </row>
    <row r="985" spans="1:2" ht="16.5" x14ac:dyDescent="0.3">
      <c r="A985" s="17"/>
      <c r="B985" s="17"/>
    </row>
    <row r="986" spans="1:2" ht="16.5" x14ac:dyDescent="0.3">
      <c r="A986" s="17"/>
      <c r="B986" s="17"/>
    </row>
    <row r="987" spans="1:2" ht="16.5" x14ac:dyDescent="0.3">
      <c r="A987" s="17"/>
      <c r="B987" s="17"/>
    </row>
    <row r="988" spans="1:2" ht="16.5" x14ac:dyDescent="0.3">
      <c r="A988" s="17"/>
      <c r="B988" s="17"/>
    </row>
    <row r="989" spans="1:2" ht="16.5" x14ac:dyDescent="0.3">
      <c r="A989" s="17"/>
      <c r="B989" s="17"/>
    </row>
    <row r="990" spans="1:2" ht="16.5" x14ac:dyDescent="0.3">
      <c r="A990" s="17"/>
      <c r="B990" s="17"/>
    </row>
    <row r="991" spans="1:2" ht="16.5" x14ac:dyDescent="0.3">
      <c r="A991" s="17"/>
      <c r="B991" s="17"/>
    </row>
    <row r="992" spans="1:2" ht="16.5" x14ac:dyDescent="0.3">
      <c r="A992" s="17"/>
      <c r="B992" s="17"/>
    </row>
    <row r="993" spans="1:2" ht="16.5" x14ac:dyDescent="0.3">
      <c r="A993" s="17"/>
      <c r="B993" s="17"/>
    </row>
    <row r="994" spans="1:2" ht="16.5" x14ac:dyDescent="0.3">
      <c r="A994" s="17"/>
      <c r="B994" s="17"/>
    </row>
    <row r="995" spans="1:2" ht="16.5" x14ac:dyDescent="0.3">
      <c r="A995" s="17"/>
      <c r="B995" s="17"/>
    </row>
    <row r="996" spans="1:2" ht="16.5" x14ac:dyDescent="0.3">
      <c r="A996" s="17"/>
      <c r="B996" s="17"/>
    </row>
    <row r="997" spans="1:2" ht="16.5" x14ac:dyDescent="0.3">
      <c r="A997" s="17"/>
      <c r="B997" s="17"/>
    </row>
    <row r="998" spans="1:2" ht="16.5" x14ac:dyDescent="0.3">
      <c r="A998" s="17"/>
      <c r="B998" s="17"/>
    </row>
    <row r="999" spans="1:2" ht="16.5" x14ac:dyDescent="0.3">
      <c r="A999" s="17"/>
      <c r="B999" s="17"/>
    </row>
    <row r="1000" spans="1:2" ht="16.5" x14ac:dyDescent="0.3">
      <c r="A1000" s="17"/>
      <c r="B1000" s="17"/>
    </row>
    <row r="1001" spans="1:2" ht="16.5" x14ac:dyDescent="0.3">
      <c r="A1001" s="17"/>
      <c r="B1001" s="17"/>
    </row>
    <row r="1002" spans="1:2" ht="16.5" x14ac:dyDescent="0.3">
      <c r="A1002" s="17"/>
      <c r="B1002" s="17"/>
    </row>
    <row r="1003" spans="1:2" ht="16.5" x14ac:dyDescent="0.3">
      <c r="A1003" s="17"/>
      <c r="B1003" s="17"/>
    </row>
    <row r="1004" spans="1:2" ht="16.5" x14ac:dyDescent="0.3">
      <c r="A1004" s="17"/>
      <c r="B1004" s="17"/>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2"/>
  <sheetViews>
    <sheetView topLeftCell="B2" workbookViewId="0">
      <selection activeCell="C29" sqref="C29"/>
    </sheetView>
  </sheetViews>
  <sheetFormatPr defaultColWidth="14.42578125" defaultRowHeight="15" customHeight="1" x14ac:dyDescent="0.25"/>
  <cols>
    <col min="1" max="1" width="41.42578125" style="7" customWidth="1"/>
    <col min="2" max="2" width="62" style="7" customWidth="1"/>
    <col min="3" max="3" width="78" style="7" customWidth="1"/>
    <col min="4" max="26" width="8.7109375" style="7" customWidth="1"/>
    <col min="27" max="16384" width="14.42578125" style="7"/>
  </cols>
  <sheetData>
    <row r="1" spans="1:26" ht="13.5" customHeight="1" x14ac:dyDescent="0.3">
      <c r="A1" s="5" t="s">
        <v>23</v>
      </c>
      <c r="B1" s="6"/>
      <c r="C1" s="6"/>
      <c r="D1" s="6"/>
      <c r="E1" s="6"/>
      <c r="F1" s="6"/>
      <c r="G1" s="6"/>
      <c r="H1" s="6"/>
      <c r="I1" s="6"/>
      <c r="J1" s="6"/>
      <c r="K1" s="6"/>
      <c r="L1" s="6"/>
      <c r="M1" s="6"/>
      <c r="N1" s="6"/>
      <c r="O1" s="6"/>
      <c r="P1" s="6"/>
      <c r="Q1" s="6"/>
      <c r="R1" s="6"/>
      <c r="S1" s="6"/>
      <c r="T1" s="6"/>
      <c r="U1" s="6"/>
      <c r="V1" s="6"/>
      <c r="W1" s="6"/>
      <c r="X1" s="6"/>
      <c r="Y1" s="6"/>
      <c r="Z1" s="6"/>
    </row>
    <row r="2" spans="1:26" ht="13.5" customHeight="1" thickBot="1" x14ac:dyDescent="0.35">
      <c r="A2" s="6"/>
      <c r="B2" s="6"/>
      <c r="C2" s="6"/>
      <c r="D2" s="6"/>
      <c r="E2" s="6"/>
      <c r="F2" s="6"/>
      <c r="G2" s="6"/>
      <c r="H2" s="6"/>
      <c r="I2" s="6"/>
      <c r="J2" s="6"/>
      <c r="K2" s="6"/>
      <c r="L2" s="6"/>
      <c r="M2" s="6"/>
      <c r="N2" s="6"/>
      <c r="O2" s="6"/>
      <c r="P2" s="6"/>
      <c r="Q2" s="6"/>
      <c r="R2" s="6"/>
      <c r="S2" s="6"/>
      <c r="T2" s="6"/>
      <c r="U2" s="6"/>
      <c r="V2" s="6"/>
      <c r="W2" s="6"/>
      <c r="X2" s="6"/>
      <c r="Y2" s="6"/>
      <c r="Z2" s="6"/>
    </row>
    <row r="3" spans="1:26" ht="13.5" customHeight="1" thickBot="1" x14ac:dyDescent="0.35">
      <c r="A3" s="8" t="s">
        <v>24</v>
      </c>
      <c r="B3" s="9" t="s">
        <v>25</v>
      </c>
      <c r="C3" s="6"/>
      <c r="D3" s="6"/>
      <c r="E3" s="6"/>
      <c r="F3" s="6"/>
      <c r="G3" s="6"/>
      <c r="H3" s="6"/>
      <c r="I3" s="6"/>
      <c r="J3" s="6"/>
      <c r="K3" s="6"/>
      <c r="L3" s="6"/>
      <c r="M3" s="6"/>
      <c r="N3" s="6"/>
      <c r="O3" s="6"/>
      <c r="P3" s="6"/>
      <c r="Q3" s="6"/>
      <c r="R3" s="6"/>
      <c r="S3" s="6"/>
      <c r="T3" s="6"/>
      <c r="U3" s="6"/>
      <c r="V3" s="6"/>
      <c r="W3" s="6"/>
      <c r="X3" s="6"/>
      <c r="Y3" s="6"/>
      <c r="Z3" s="6"/>
    </row>
    <row r="4" spans="1:26" ht="13.5" customHeight="1" thickBot="1" x14ac:dyDescent="0.35">
      <c r="A4" s="35" t="s">
        <v>26</v>
      </c>
      <c r="B4" s="9" t="s">
        <v>27</v>
      </c>
      <c r="C4" s="6" t="str">
        <f>CONCATENATE(A4, " -&gt; ",B4)</f>
        <v>Administrative/Overhead services -&gt; Office of the Medical Center Chief</v>
      </c>
      <c r="D4" s="6"/>
      <c r="E4" s="6"/>
      <c r="F4" s="6"/>
      <c r="G4" s="6"/>
      <c r="H4" s="6"/>
      <c r="I4" s="6"/>
      <c r="J4" s="6"/>
      <c r="K4" s="6"/>
      <c r="L4" s="6"/>
      <c r="M4" s="6"/>
      <c r="N4" s="6"/>
      <c r="O4" s="6"/>
      <c r="P4" s="6"/>
      <c r="Q4" s="6"/>
      <c r="R4" s="6"/>
      <c r="S4" s="6"/>
      <c r="T4" s="6"/>
      <c r="U4" s="6"/>
      <c r="V4" s="6"/>
      <c r="W4" s="6"/>
      <c r="X4" s="6"/>
      <c r="Y4" s="6"/>
      <c r="Z4" s="6"/>
    </row>
    <row r="5" spans="1:26" ht="13.5" customHeight="1" thickBot="1" x14ac:dyDescent="0.35">
      <c r="A5" s="35" t="s">
        <v>26</v>
      </c>
      <c r="B5" s="10" t="s">
        <v>73</v>
      </c>
      <c r="C5" s="6" t="str">
        <f t="shared" ref="C5:C64" si="0">CONCATENATE(A5, " -&gt; ",B5)</f>
        <v>Administrative/Overhead services -&gt; IT Department</v>
      </c>
      <c r="D5" s="6"/>
      <c r="E5" s="6"/>
      <c r="F5" s="6"/>
      <c r="G5" s="6"/>
      <c r="H5" s="6"/>
      <c r="I5" s="6"/>
      <c r="J5" s="6"/>
      <c r="K5" s="6"/>
      <c r="L5" s="6"/>
      <c r="M5" s="6"/>
      <c r="N5" s="6"/>
      <c r="O5" s="6"/>
      <c r="P5" s="6"/>
      <c r="Q5" s="6"/>
      <c r="R5" s="6"/>
      <c r="S5" s="6"/>
      <c r="T5" s="6"/>
      <c r="U5" s="6"/>
      <c r="V5" s="6"/>
      <c r="W5" s="6"/>
      <c r="X5" s="6"/>
      <c r="Y5" s="6"/>
      <c r="Z5" s="6"/>
    </row>
    <row r="6" spans="1:26" ht="13.5" customHeight="1" thickBot="1" x14ac:dyDescent="0.35">
      <c r="A6" s="35" t="s">
        <v>26</v>
      </c>
      <c r="B6" s="11" t="s">
        <v>28</v>
      </c>
      <c r="C6" s="6" t="str">
        <f t="shared" si="0"/>
        <v>Administrative/Overhead services -&gt; Office of the Administrative Officer</v>
      </c>
      <c r="D6" s="6"/>
      <c r="E6" s="6"/>
      <c r="F6" s="6"/>
      <c r="G6" s="6"/>
      <c r="H6" s="6"/>
      <c r="I6" s="6"/>
      <c r="J6" s="6"/>
      <c r="K6" s="6"/>
      <c r="L6" s="6"/>
      <c r="M6" s="6"/>
      <c r="N6" s="6"/>
      <c r="O6" s="6"/>
      <c r="P6" s="6"/>
      <c r="Q6" s="6"/>
      <c r="R6" s="6"/>
      <c r="S6" s="6"/>
      <c r="T6" s="6"/>
      <c r="U6" s="6"/>
      <c r="V6" s="6"/>
      <c r="W6" s="6"/>
      <c r="X6" s="6"/>
      <c r="Y6" s="6"/>
      <c r="Z6" s="6"/>
    </row>
    <row r="7" spans="1:26" ht="13.5" customHeight="1" thickBot="1" x14ac:dyDescent="0.35">
      <c r="A7" s="35" t="s">
        <v>26</v>
      </c>
      <c r="B7" s="11" t="s">
        <v>29</v>
      </c>
      <c r="C7" s="6" t="str">
        <f t="shared" si="0"/>
        <v>Administrative/Overhead services -&gt; Human Resource Management</v>
      </c>
      <c r="D7" s="6"/>
      <c r="E7" s="6"/>
      <c r="F7" s="6"/>
      <c r="G7" s="6"/>
      <c r="H7" s="6"/>
      <c r="I7" s="6"/>
      <c r="J7" s="6"/>
      <c r="K7" s="6"/>
      <c r="L7" s="6"/>
      <c r="M7" s="6"/>
      <c r="N7" s="6"/>
      <c r="O7" s="6"/>
      <c r="P7" s="6"/>
      <c r="Q7" s="6"/>
      <c r="R7" s="6"/>
      <c r="S7" s="6"/>
      <c r="T7" s="6"/>
      <c r="U7" s="6"/>
      <c r="V7" s="6"/>
      <c r="W7" s="6"/>
      <c r="X7" s="6"/>
      <c r="Y7" s="6"/>
      <c r="Z7" s="6"/>
    </row>
    <row r="8" spans="1:26" ht="13.5" customHeight="1" thickBot="1" x14ac:dyDescent="0.35">
      <c r="A8" s="35" t="s">
        <v>26</v>
      </c>
      <c r="B8" s="11" t="s">
        <v>30</v>
      </c>
      <c r="C8" s="6" t="str">
        <f t="shared" si="0"/>
        <v>Administrative/Overhead services -&gt; Procurement</v>
      </c>
      <c r="D8" s="6"/>
      <c r="E8" s="6"/>
      <c r="F8" s="6"/>
      <c r="G8" s="6"/>
      <c r="H8" s="6"/>
      <c r="I8" s="6"/>
      <c r="J8" s="6"/>
      <c r="K8" s="6"/>
      <c r="L8" s="6"/>
      <c r="M8" s="6"/>
      <c r="N8" s="6"/>
      <c r="O8" s="6"/>
      <c r="P8" s="6"/>
      <c r="Q8" s="6"/>
      <c r="R8" s="6"/>
      <c r="S8" s="6"/>
      <c r="T8" s="6"/>
      <c r="U8" s="6"/>
      <c r="V8" s="6"/>
      <c r="W8" s="6"/>
      <c r="X8" s="6"/>
      <c r="Y8" s="6"/>
      <c r="Z8" s="6"/>
    </row>
    <row r="9" spans="1:26" ht="13.5" customHeight="1" thickBot="1" x14ac:dyDescent="0.35">
      <c r="A9" s="35" t="s">
        <v>26</v>
      </c>
      <c r="B9" s="11" t="s">
        <v>31</v>
      </c>
      <c r="C9" s="6" t="str">
        <f t="shared" si="0"/>
        <v>Administrative/Overhead services -&gt; Materials Management</v>
      </c>
      <c r="D9" s="6"/>
      <c r="E9" s="6"/>
      <c r="F9" s="6"/>
      <c r="G9" s="6"/>
      <c r="H9" s="6"/>
      <c r="I9" s="6"/>
      <c r="J9" s="6"/>
      <c r="K9" s="6"/>
      <c r="L9" s="6"/>
      <c r="M9" s="6"/>
      <c r="N9" s="6"/>
      <c r="O9" s="6"/>
      <c r="P9" s="6"/>
      <c r="Q9" s="6"/>
      <c r="R9" s="6"/>
      <c r="S9" s="6"/>
      <c r="T9" s="6"/>
      <c r="U9" s="6"/>
      <c r="V9" s="6"/>
      <c r="W9" s="6"/>
      <c r="X9" s="6"/>
      <c r="Y9" s="6"/>
      <c r="Z9" s="6"/>
    </row>
    <row r="10" spans="1:26" ht="13.5" customHeight="1" thickBot="1" x14ac:dyDescent="0.35">
      <c r="A10" s="35" t="s">
        <v>26</v>
      </c>
      <c r="B10" s="11" t="s">
        <v>32</v>
      </c>
      <c r="C10" s="6" t="str">
        <f t="shared" si="0"/>
        <v>Administrative/Overhead services -&gt; Engineering and Facilities Management</v>
      </c>
      <c r="D10" s="6"/>
      <c r="E10" s="6"/>
      <c r="F10" s="6"/>
      <c r="G10" s="6"/>
      <c r="H10" s="6"/>
      <c r="I10" s="6"/>
      <c r="J10" s="6"/>
      <c r="K10" s="6"/>
      <c r="L10" s="6"/>
      <c r="M10" s="6"/>
      <c r="N10" s="6"/>
      <c r="O10" s="6"/>
      <c r="P10" s="6"/>
      <c r="Q10" s="6"/>
      <c r="R10" s="6"/>
      <c r="S10" s="6"/>
      <c r="T10" s="6"/>
      <c r="U10" s="6"/>
      <c r="V10" s="6"/>
      <c r="W10" s="6"/>
      <c r="X10" s="6"/>
      <c r="Y10" s="6"/>
      <c r="Z10" s="6"/>
    </row>
    <row r="11" spans="1:26" ht="13.5" customHeight="1" thickBot="1" x14ac:dyDescent="0.35">
      <c r="A11" s="35" t="s">
        <v>26</v>
      </c>
      <c r="B11" s="10" t="s">
        <v>74</v>
      </c>
      <c r="C11" s="6" t="str">
        <f t="shared" si="0"/>
        <v xml:space="preserve">Administrative/Overhead services -&gt; Housekeeping </v>
      </c>
      <c r="D11" s="6"/>
      <c r="E11" s="6"/>
      <c r="F11" s="6"/>
      <c r="G11" s="6"/>
      <c r="H11" s="6"/>
      <c r="I11" s="6"/>
      <c r="J11" s="6"/>
      <c r="K11" s="6"/>
      <c r="L11" s="6"/>
      <c r="M11" s="6"/>
      <c r="N11" s="6"/>
      <c r="O11" s="6"/>
      <c r="P11" s="6"/>
      <c r="Q11" s="6"/>
      <c r="R11" s="6"/>
      <c r="S11" s="6"/>
      <c r="T11" s="6"/>
      <c r="U11" s="6"/>
      <c r="V11" s="6"/>
      <c r="W11" s="6"/>
      <c r="X11" s="6"/>
      <c r="Y11" s="6"/>
      <c r="Z11" s="6"/>
    </row>
    <row r="12" spans="1:26" ht="13.5" customHeight="1" thickBot="1" x14ac:dyDescent="0.35">
      <c r="A12" s="35" t="s">
        <v>26</v>
      </c>
      <c r="B12" s="11" t="s">
        <v>33</v>
      </c>
      <c r="C12" s="6" t="str">
        <f t="shared" si="0"/>
        <v>Administrative/Overhead services -&gt; Budget and Accounting</v>
      </c>
      <c r="D12" s="6"/>
      <c r="E12" s="6"/>
      <c r="F12" s="6"/>
      <c r="G12" s="6"/>
      <c r="H12" s="6"/>
      <c r="I12" s="6"/>
      <c r="J12" s="6"/>
      <c r="K12" s="6"/>
      <c r="L12" s="6"/>
      <c r="M12" s="6"/>
      <c r="N12" s="6"/>
      <c r="O12" s="6"/>
      <c r="P12" s="6"/>
      <c r="Q12" s="6"/>
      <c r="R12" s="6"/>
      <c r="S12" s="6"/>
      <c r="T12" s="6"/>
      <c r="U12" s="6"/>
      <c r="V12" s="6"/>
      <c r="W12" s="6"/>
      <c r="X12" s="6"/>
      <c r="Y12" s="6"/>
      <c r="Z12" s="6"/>
    </row>
    <row r="13" spans="1:26" ht="13.5" customHeight="1" thickBot="1" x14ac:dyDescent="0.35">
      <c r="A13" s="35" t="s">
        <v>26</v>
      </c>
      <c r="B13" s="11" t="s">
        <v>34</v>
      </c>
      <c r="C13" s="6" t="str">
        <f t="shared" si="0"/>
        <v>Administrative/Overhead services -&gt; Medical Social Work</v>
      </c>
      <c r="D13" s="6"/>
      <c r="E13" s="6"/>
      <c r="F13" s="6"/>
      <c r="G13" s="6"/>
      <c r="H13" s="6"/>
      <c r="I13" s="6"/>
      <c r="J13" s="6"/>
      <c r="K13" s="6"/>
      <c r="L13" s="6"/>
      <c r="M13" s="6"/>
      <c r="N13" s="6"/>
      <c r="O13" s="6"/>
      <c r="P13" s="6"/>
      <c r="Q13" s="6"/>
      <c r="R13" s="6"/>
      <c r="S13" s="6"/>
      <c r="T13" s="6"/>
      <c r="U13" s="6"/>
      <c r="V13" s="6"/>
      <c r="W13" s="6"/>
      <c r="X13" s="6"/>
      <c r="Y13" s="6"/>
      <c r="Z13" s="6"/>
    </row>
    <row r="14" spans="1:26" ht="13.5" customHeight="1" thickBot="1" x14ac:dyDescent="0.35">
      <c r="A14" s="35" t="s">
        <v>26</v>
      </c>
      <c r="B14" s="11" t="s">
        <v>35</v>
      </c>
      <c r="C14" s="6" t="str">
        <f t="shared" si="0"/>
        <v>Administrative/Overhead services -&gt; Office of the Chief Nurse</v>
      </c>
      <c r="D14" s="6"/>
      <c r="E14" s="6"/>
      <c r="F14" s="6"/>
      <c r="G14" s="6"/>
      <c r="H14" s="6"/>
      <c r="I14" s="6"/>
      <c r="J14" s="6"/>
      <c r="K14" s="6"/>
      <c r="L14" s="6"/>
      <c r="M14" s="6"/>
      <c r="N14" s="6"/>
      <c r="O14" s="6"/>
      <c r="P14" s="6"/>
      <c r="Q14" s="6"/>
      <c r="R14" s="6"/>
      <c r="S14" s="6"/>
      <c r="T14" s="6"/>
      <c r="U14" s="6"/>
      <c r="V14" s="6"/>
      <c r="W14" s="6"/>
      <c r="X14" s="6"/>
      <c r="Y14" s="6"/>
      <c r="Z14" s="6"/>
    </row>
    <row r="15" spans="1:26" ht="13.5" customHeight="1" thickBot="1" x14ac:dyDescent="0.35">
      <c r="A15" s="35" t="s">
        <v>26</v>
      </c>
      <c r="B15" s="11" t="s">
        <v>36</v>
      </c>
      <c r="C15" s="6" t="str">
        <f t="shared" si="0"/>
        <v>Administrative/Overhead services -&gt; Health Info Mgt (Admitting)</v>
      </c>
      <c r="D15" s="6"/>
      <c r="E15" s="6"/>
      <c r="F15" s="6"/>
      <c r="G15" s="6"/>
      <c r="H15" s="6"/>
      <c r="I15" s="6"/>
      <c r="J15" s="6"/>
      <c r="K15" s="6"/>
      <c r="L15" s="6"/>
      <c r="M15" s="6"/>
      <c r="N15" s="6"/>
      <c r="O15" s="6"/>
      <c r="P15" s="6"/>
      <c r="Q15" s="6"/>
      <c r="R15" s="6"/>
      <c r="S15" s="6"/>
      <c r="T15" s="6"/>
      <c r="U15" s="6"/>
      <c r="V15" s="6"/>
      <c r="W15" s="6"/>
      <c r="X15" s="6"/>
      <c r="Y15" s="6"/>
      <c r="Z15" s="6"/>
    </row>
    <row r="16" spans="1:26" ht="13.5" customHeight="1" thickBot="1" x14ac:dyDescent="0.35">
      <c r="A16" s="35" t="s">
        <v>26</v>
      </c>
      <c r="B16" s="11" t="s">
        <v>37</v>
      </c>
      <c r="C16" s="6" t="str">
        <f t="shared" si="0"/>
        <v>Administrative/Overhead services -&gt; Central Supply Office</v>
      </c>
      <c r="D16" s="6"/>
      <c r="E16" s="6"/>
      <c r="F16" s="6"/>
      <c r="G16" s="6"/>
      <c r="H16" s="6"/>
      <c r="I16" s="6"/>
      <c r="J16" s="6"/>
      <c r="K16" s="6"/>
      <c r="L16" s="6"/>
      <c r="M16" s="6"/>
      <c r="N16" s="6"/>
      <c r="O16" s="6"/>
      <c r="P16" s="6"/>
      <c r="Q16" s="6"/>
      <c r="R16" s="6"/>
      <c r="S16" s="6"/>
      <c r="T16" s="6"/>
      <c r="U16" s="6"/>
      <c r="V16" s="6"/>
      <c r="W16" s="6"/>
      <c r="X16" s="6"/>
      <c r="Y16" s="6"/>
      <c r="Z16" s="6"/>
    </row>
    <row r="17" spans="1:26" ht="13.5" customHeight="1" thickBot="1" x14ac:dyDescent="0.35">
      <c r="A17" s="35" t="s">
        <v>26</v>
      </c>
      <c r="B17" s="11" t="s">
        <v>38</v>
      </c>
      <c r="C17" s="6" t="str">
        <f t="shared" si="0"/>
        <v>Administrative/Overhead services -&gt; Billing and Claims</v>
      </c>
      <c r="D17" s="6"/>
      <c r="E17" s="6"/>
      <c r="F17" s="6"/>
      <c r="G17" s="6"/>
      <c r="H17" s="6"/>
      <c r="I17" s="6"/>
      <c r="J17" s="6"/>
      <c r="K17" s="6"/>
      <c r="L17" s="6"/>
      <c r="M17" s="6"/>
      <c r="N17" s="6"/>
      <c r="O17" s="6"/>
      <c r="P17" s="6"/>
      <c r="Q17" s="6"/>
      <c r="R17" s="6"/>
      <c r="S17" s="6"/>
      <c r="T17" s="6"/>
      <c r="U17" s="6"/>
      <c r="V17" s="6"/>
      <c r="W17" s="6"/>
      <c r="X17" s="6"/>
      <c r="Y17" s="6"/>
      <c r="Z17" s="6"/>
    </row>
    <row r="18" spans="1:26" ht="13.5" customHeight="1" thickBot="1" x14ac:dyDescent="0.35">
      <c r="A18" s="35" t="s">
        <v>26</v>
      </c>
      <c r="B18" s="11" t="s">
        <v>39</v>
      </c>
      <c r="C18" s="6" t="str">
        <f t="shared" si="0"/>
        <v>Administrative/Overhead services -&gt; Cash Operations</v>
      </c>
      <c r="D18" s="6"/>
      <c r="E18" s="6"/>
      <c r="F18" s="6"/>
      <c r="G18" s="6"/>
      <c r="H18" s="6"/>
      <c r="I18" s="6"/>
      <c r="J18" s="6"/>
      <c r="K18" s="6"/>
      <c r="L18" s="6"/>
      <c r="M18" s="6"/>
      <c r="N18" s="6"/>
      <c r="O18" s="6"/>
      <c r="P18" s="6"/>
      <c r="Q18" s="6"/>
      <c r="R18" s="6"/>
      <c r="S18" s="6"/>
      <c r="T18" s="6"/>
      <c r="U18" s="6"/>
      <c r="V18" s="6"/>
      <c r="W18" s="6"/>
      <c r="X18" s="6"/>
      <c r="Y18" s="6"/>
      <c r="Z18" s="6"/>
    </row>
    <row r="19" spans="1:26" ht="13.5" customHeight="1" thickBot="1" x14ac:dyDescent="0.35">
      <c r="A19" s="35" t="s">
        <v>26</v>
      </c>
      <c r="B19" s="11" t="s">
        <v>40</v>
      </c>
      <c r="C19" s="6" t="str">
        <f t="shared" si="0"/>
        <v>Administrative/Overhead services -&gt; Security</v>
      </c>
      <c r="D19" s="6"/>
      <c r="E19" s="6"/>
      <c r="F19" s="6"/>
      <c r="G19" s="6"/>
      <c r="H19" s="6"/>
      <c r="I19" s="6"/>
      <c r="J19" s="6"/>
      <c r="K19" s="6"/>
      <c r="L19" s="6"/>
      <c r="M19" s="6"/>
      <c r="N19" s="6"/>
      <c r="O19" s="6"/>
      <c r="P19" s="6"/>
      <c r="Q19" s="6"/>
      <c r="R19" s="6"/>
      <c r="S19" s="6"/>
      <c r="T19" s="6"/>
      <c r="U19" s="6"/>
      <c r="V19" s="6"/>
      <c r="W19" s="6"/>
      <c r="X19" s="6"/>
      <c r="Y19" s="6"/>
      <c r="Z19" s="6"/>
    </row>
    <row r="20" spans="1:26" ht="13.5" customHeight="1" thickBot="1" x14ac:dyDescent="0.35">
      <c r="A20" s="35" t="s">
        <v>26</v>
      </c>
      <c r="B20" s="10" t="s">
        <v>75</v>
      </c>
      <c r="C20" s="6" t="str">
        <f t="shared" si="0"/>
        <v>Administrative/Overhead services -&gt; Office of the Chief of Medical Professional Staff / Chief of Clinics</v>
      </c>
      <c r="D20" s="6"/>
      <c r="E20" s="6"/>
      <c r="F20" s="6"/>
      <c r="G20" s="6"/>
      <c r="H20" s="6"/>
      <c r="I20" s="6"/>
      <c r="J20" s="6"/>
      <c r="K20" s="6"/>
      <c r="L20" s="6"/>
      <c r="M20" s="6"/>
      <c r="N20" s="6"/>
      <c r="O20" s="6"/>
      <c r="P20" s="6"/>
      <c r="Q20" s="6"/>
      <c r="R20" s="6"/>
      <c r="S20" s="6"/>
      <c r="T20" s="6"/>
      <c r="U20" s="6"/>
      <c r="V20" s="6"/>
      <c r="W20" s="6"/>
      <c r="X20" s="6"/>
      <c r="Y20" s="6"/>
      <c r="Z20" s="6"/>
    </row>
    <row r="21" spans="1:26" ht="13.5" customHeight="1" thickBot="1" x14ac:dyDescent="0.35">
      <c r="A21" s="35" t="s">
        <v>26</v>
      </c>
      <c r="B21" s="10" t="s">
        <v>76</v>
      </c>
      <c r="C21" s="6" t="str">
        <f t="shared" si="0"/>
        <v>Administrative/Overhead services -&gt; Others</v>
      </c>
      <c r="D21" s="6"/>
      <c r="E21" s="6"/>
      <c r="F21" s="6"/>
      <c r="G21" s="6"/>
      <c r="H21" s="6"/>
      <c r="I21" s="6"/>
      <c r="J21" s="6"/>
      <c r="K21" s="6"/>
      <c r="L21" s="6"/>
      <c r="M21" s="6"/>
      <c r="N21" s="6"/>
      <c r="O21" s="6"/>
      <c r="P21" s="6"/>
      <c r="Q21" s="6"/>
      <c r="R21" s="6"/>
      <c r="S21" s="6"/>
      <c r="T21" s="6"/>
      <c r="U21" s="6"/>
      <c r="V21" s="6"/>
      <c r="W21" s="6"/>
      <c r="X21" s="6"/>
      <c r="Y21" s="6"/>
      <c r="Z21" s="6"/>
    </row>
    <row r="22" spans="1:26" ht="13.5" customHeight="1" thickBot="1" x14ac:dyDescent="0.35">
      <c r="A22" s="36" t="s">
        <v>42</v>
      </c>
      <c r="B22" s="13" t="s">
        <v>43</v>
      </c>
      <c r="C22" s="6" t="str">
        <f t="shared" si="0"/>
        <v>Ancillary services/Support services -&gt; Laundry</v>
      </c>
      <c r="D22" s="6"/>
      <c r="E22" s="6"/>
      <c r="F22" s="6"/>
      <c r="G22" s="6"/>
      <c r="H22" s="6"/>
      <c r="I22" s="6"/>
      <c r="J22" s="6"/>
      <c r="K22" s="6"/>
      <c r="L22" s="6"/>
      <c r="M22" s="6"/>
      <c r="N22" s="6"/>
      <c r="O22" s="6"/>
      <c r="P22" s="6"/>
      <c r="Q22" s="6"/>
      <c r="R22" s="6"/>
      <c r="S22" s="6"/>
      <c r="T22" s="6"/>
      <c r="U22" s="6"/>
      <c r="V22" s="6"/>
      <c r="W22" s="6"/>
      <c r="X22" s="6"/>
      <c r="Y22" s="6"/>
      <c r="Z22" s="6"/>
    </row>
    <row r="23" spans="1:26" ht="14.25" customHeight="1" thickBot="1" x14ac:dyDescent="0.35">
      <c r="A23" s="36" t="s">
        <v>42</v>
      </c>
      <c r="B23" s="14" t="s">
        <v>46</v>
      </c>
      <c r="C23" s="6" t="str">
        <f t="shared" si="0"/>
        <v>Ancillary services/Support services -&gt; Nutrition and Dietetics</v>
      </c>
      <c r="D23" s="6"/>
      <c r="E23" s="6"/>
      <c r="F23" s="6"/>
      <c r="G23" s="6"/>
      <c r="H23" s="6"/>
      <c r="I23" s="6"/>
      <c r="J23" s="6"/>
      <c r="K23" s="6"/>
      <c r="L23" s="6"/>
      <c r="M23" s="6"/>
      <c r="N23" s="6"/>
      <c r="O23" s="6"/>
      <c r="P23" s="6"/>
      <c r="Q23" s="6"/>
      <c r="R23" s="6"/>
      <c r="S23" s="6"/>
      <c r="T23" s="6"/>
      <c r="U23" s="6"/>
      <c r="V23" s="6"/>
      <c r="W23" s="6"/>
      <c r="X23" s="6"/>
      <c r="Y23" s="6"/>
      <c r="Z23" s="6"/>
    </row>
    <row r="24" spans="1:26" ht="14.25" customHeight="1" thickBot="1" x14ac:dyDescent="0.35">
      <c r="A24" s="36" t="s">
        <v>42</v>
      </c>
      <c r="B24" s="14" t="s">
        <v>77</v>
      </c>
      <c r="C24" s="6" t="str">
        <f t="shared" si="0"/>
        <v>Ancillary services/Support services -&gt; Sterilization</v>
      </c>
      <c r="D24" s="6"/>
      <c r="E24" s="6"/>
      <c r="F24" s="6"/>
      <c r="G24" s="6"/>
      <c r="H24" s="6"/>
      <c r="I24" s="6"/>
      <c r="J24" s="6"/>
      <c r="K24" s="6"/>
      <c r="L24" s="6"/>
      <c r="M24" s="6"/>
      <c r="N24" s="6"/>
      <c r="O24" s="6"/>
      <c r="P24" s="6"/>
      <c r="Q24" s="6"/>
      <c r="R24" s="6"/>
      <c r="S24" s="6"/>
      <c r="T24" s="6"/>
      <c r="U24" s="6"/>
      <c r="V24" s="6"/>
      <c r="W24" s="6"/>
      <c r="X24" s="6"/>
      <c r="Y24" s="6"/>
      <c r="Z24" s="6"/>
    </row>
    <row r="25" spans="1:26" ht="14.25" customHeight="1" thickBot="1" x14ac:dyDescent="0.35">
      <c r="A25" s="36" t="s">
        <v>42</v>
      </c>
      <c r="B25" s="14" t="s">
        <v>45</v>
      </c>
      <c r="C25" s="6" t="str">
        <f t="shared" si="0"/>
        <v>Ancillary services/Support services -&gt; Pharmacy</v>
      </c>
      <c r="D25" s="6"/>
      <c r="E25" s="6"/>
      <c r="F25" s="6"/>
      <c r="G25" s="6"/>
      <c r="H25" s="6"/>
      <c r="I25" s="6"/>
      <c r="J25" s="6"/>
      <c r="K25" s="6"/>
      <c r="L25" s="6"/>
      <c r="M25" s="6"/>
      <c r="N25" s="6"/>
      <c r="O25" s="6"/>
      <c r="P25" s="6"/>
      <c r="Q25" s="6"/>
      <c r="R25" s="6"/>
      <c r="S25" s="6"/>
      <c r="T25" s="6"/>
      <c r="U25" s="6"/>
      <c r="V25" s="6"/>
      <c r="W25" s="6"/>
      <c r="X25" s="6"/>
      <c r="Y25" s="6"/>
      <c r="Z25" s="6"/>
    </row>
    <row r="26" spans="1:26" ht="14.25" customHeight="1" thickBot="1" x14ac:dyDescent="0.35">
      <c r="A26" s="36" t="s">
        <v>42</v>
      </c>
      <c r="B26" s="14" t="s">
        <v>44</v>
      </c>
      <c r="C26" s="6" t="str">
        <f t="shared" si="0"/>
        <v>Ancillary services/Support services -&gt; Blood Bank</v>
      </c>
      <c r="D26" s="6"/>
      <c r="E26" s="6"/>
      <c r="F26" s="6"/>
      <c r="G26" s="6"/>
      <c r="H26" s="6"/>
      <c r="I26" s="6"/>
      <c r="J26" s="6"/>
      <c r="K26" s="6"/>
      <c r="L26" s="6"/>
      <c r="M26" s="6"/>
      <c r="N26" s="6"/>
      <c r="O26" s="6"/>
      <c r="P26" s="6"/>
      <c r="Q26" s="6"/>
      <c r="R26" s="6"/>
      <c r="S26" s="6"/>
      <c r="T26" s="6"/>
      <c r="U26" s="6"/>
      <c r="V26" s="6"/>
      <c r="W26" s="6"/>
      <c r="X26" s="6"/>
      <c r="Y26" s="6"/>
      <c r="Z26" s="6"/>
    </row>
    <row r="27" spans="1:26" ht="14.25" customHeight="1" thickBot="1" x14ac:dyDescent="0.35">
      <c r="A27" s="36" t="s">
        <v>42</v>
      </c>
      <c r="B27" s="14" t="s">
        <v>78</v>
      </c>
      <c r="C27" s="6" t="str">
        <f t="shared" si="0"/>
        <v>Ancillary services/Support services -&gt; Laboratory</v>
      </c>
      <c r="D27" s="6"/>
      <c r="E27" s="6"/>
      <c r="F27" s="6"/>
      <c r="G27" s="6"/>
      <c r="H27" s="6"/>
      <c r="I27" s="6"/>
      <c r="J27" s="6"/>
      <c r="K27" s="6"/>
      <c r="L27" s="6"/>
      <c r="M27" s="6"/>
      <c r="N27" s="6"/>
      <c r="O27" s="6"/>
      <c r="P27" s="6"/>
      <c r="Q27" s="6"/>
      <c r="R27" s="6"/>
      <c r="S27" s="6"/>
      <c r="T27" s="6"/>
      <c r="U27" s="6"/>
      <c r="V27" s="6"/>
      <c r="W27" s="6"/>
      <c r="X27" s="6"/>
      <c r="Y27" s="6"/>
      <c r="Z27" s="6"/>
    </row>
    <row r="28" spans="1:26" ht="14.25" customHeight="1" thickBot="1" x14ac:dyDescent="0.35">
      <c r="A28" s="36" t="s">
        <v>42</v>
      </c>
      <c r="B28" s="14" t="s">
        <v>79</v>
      </c>
      <c r="C28" s="6" t="str">
        <f t="shared" si="0"/>
        <v>Ancillary services/Support services -&gt; Radiology / Diagnostic Imaging (CT Scan, MRI, ECG, Mammography, Endoscopy)</v>
      </c>
      <c r="D28" s="6"/>
      <c r="E28" s="6"/>
      <c r="F28" s="6"/>
      <c r="G28" s="6"/>
      <c r="H28" s="6"/>
      <c r="I28" s="6"/>
      <c r="J28" s="6"/>
      <c r="K28" s="6"/>
      <c r="L28" s="6"/>
      <c r="M28" s="6"/>
      <c r="N28" s="6"/>
      <c r="O28" s="6"/>
      <c r="P28" s="6"/>
      <c r="Q28" s="6"/>
      <c r="R28" s="6"/>
      <c r="S28" s="6"/>
      <c r="T28" s="6"/>
      <c r="U28" s="6"/>
      <c r="V28" s="6"/>
      <c r="W28" s="6"/>
      <c r="X28" s="6"/>
      <c r="Y28" s="6"/>
      <c r="Z28" s="6"/>
    </row>
    <row r="29" spans="1:26" ht="14.25" customHeight="1" thickBot="1" x14ac:dyDescent="0.35">
      <c r="A29" s="36" t="s">
        <v>42</v>
      </c>
      <c r="B29" s="14" t="s">
        <v>80</v>
      </c>
      <c r="C29" s="6" t="str">
        <f t="shared" si="0"/>
        <v>Ancillary services/Support services -&gt; Heart Station</v>
      </c>
      <c r="D29" s="6"/>
      <c r="E29" s="6"/>
      <c r="F29" s="6"/>
      <c r="G29" s="6"/>
      <c r="H29" s="6"/>
      <c r="I29" s="6"/>
      <c r="J29" s="6"/>
      <c r="K29" s="6"/>
      <c r="L29" s="6"/>
      <c r="M29" s="6"/>
      <c r="N29" s="6"/>
      <c r="O29" s="6"/>
      <c r="P29" s="6"/>
      <c r="Q29" s="6"/>
      <c r="R29" s="6"/>
      <c r="S29" s="6"/>
      <c r="T29" s="6"/>
      <c r="U29" s="6"/>
      <c r="V29" s="6"/>
      <c r="W29" s="6"/>
      <c r="X29" s="6"/>
      <c r="Y29" s="6"/>
      <c r="Z29" s="6"/>
    </row>
    <row r="30" spans="1:26" ht="14.25" customHeight="1" thickBot="1" x14ac:dyDescent="0.35">
      <c r="A30" s="36" t="s">
        <v>42</v>
      </c>
      <c r="B30" s="14" t="s">
        <v>81</v>
      </c>
      <c r="C30" s="6" t="str">
        <f t="shared" si="0"/>
        <v>Ancillary services/Support services -&gt; Physiotherapy / Rehabilitation</v>
      </c>
      <c r="D30" s="6"/>
      <c r="E30" s="6"/>
      <c r="F30" s="6"/>
      <c r="G30" s="6"/>
      <c r="H30" s="6"/>
      <c r="I30" s="6"/>
      <c r="J30" s="6"/>
      <c r="K30" s="6"/>
      <c r="L30" s="6"/>
      <c r="M30" s="6"/>
      <c r="N30" s="6"/>
      <c r="O30" s="6"/>
      <c r="P30" s="6"/>
      <c r="Q30" s="6"/>
      <c r="R30" s="6"/>
      <c r="S30" s="6"/>
      <c r="T30" s="6"/>
      <c r="U30" s="6"/>
      <c r="V30" s="6"/>
      <c r="W30" s="6"/>
      <c r="X30" s="6"/>
      <c r="Y30" s="6"/>
      <c r="Z30" s="6"/>
    </row>
    <row r="31" spans="1:26" ht="14.25" customHeight="1" thickBot="1" x14ac:dyDescent="0.35">
      <c r="A31" s="36" t="s">
        <v>42</v>
      </c>
      <c r="B31" s="14" t="s">
        <v>48</v>
      </c>
      <c r="C31" s="6" t="str">
        <f t="shared" si="0"/>
        <v>Ancillary services/Support services -&gt; Delivery Room</v>
      </c>
      <c r="D31" s="6"/>
      <c r="E31" s="6"/>
      <c r="F31" s="6"/>
      <c r="G31" s="6"/>
      <c r="H31" s="6"/>
      <c r="I31" s="6"/>
      <c r="J31" s="6"/>
      <c r="K31" s="6"/>
      <c r="L31" s="6"/>
      <c r="M31" s="6"/>
      <c r="N31" s="6"/>
      <c r="O31" s="6"/>
      <c r="P31" s="6"/>
      <c r="Q31" s="6"/>
      <c r="R31" s="6"/>
      <c r="S31" s="6"/>
      <c r="T31" s="6"/>
      <c r="U31" s="6"/>
      <c r="V31" s="6"/>
      <c r="W31" s="6"/>
      <c r="X31" s="6"/>
      <c r="Y31" s="6"/>
      <c r="Z31" s="6"/>
    </row>
    <row r="32" spans="1:26" ht="14.25" customHeight="1" thickBot="1" x14ac:dyDescent="0.35">
      <c r="A32" s="36" t="s">
        <v>42</v>
      </c>
      <c r="B32" s="15" t="s">
        <v>47</v>
      </c>
      <c r="C32" s="6" t="str">
        <f t="shared" si="0"/>
        <v>Ancillary services/Support services -&gt; Operating Room / Aneasthesiology / PACU / Recovery Room</v>
      </c>
      <c r="D32" s="6"/>
      <c r="E32" s="6"/>
      <c r="F32" s="6"/>
      <c r="G32" s="6"/>
      <c r="H32" s="6"/>
      <c r="I32" s="6"/>
      <c r="J32" s="6"/>
      <c r="K32" s="6"/>
      <c r="L32" s="6"/>
      <c r="M32" s="6"/>
      <c r="N32" s="6"/>
      <c r="O32" s="6"/>
      <c r="P32" s="6"/>
      <c r="Q32" s="6"/>
      <c r="R32" s="6"/>
      <c r="S32" s="6"/>
      <c r="T32" s="6"/>
      <c r="U32" s="6"/>
      <c r="V32" s="6"/>
      <c r="W32" s="6"/>
      <c r="X32" s="6"/>
      <c r="Y32" s="6"/>
      <c r="Z32" s="6"/>
    </row>
    <row r="33" spans="1:26" ht="14.25" customHeight="1" thickBot="1" x14ac:dyDescent="0.35">
      <c r="A33" s="36" t="s">
        <v>42</v>
      </c>
      <c r="B33" s="14" t="s">
        <v>82</v>
      </c>
      <c r="C33" s="6" t="str">
        <f t="shared" si="0"/>
        <v>Ancillary services/Support services -&gt; Respiratory Unit</v>
      </c>
      <c r="D33" s="6"/>
      <c r="E33" s="6"/>
      <c r="F33" s="6"/>
      <c r="G33" s="6"/>
      <c r="H33" s="6"/>
      <c r="I33" s="6"/>
      <c r="J33" s="6"/>
      <c r="K33" s="6"/>
      <c r="L33" s="6"/>
      <c r="M33" s="6"/>
      <c r="N33" s="6"/>
      <c r="O33" s="6"/>
      <c r="P33" s="6"/>
      <c r="Q33" s="6"/>
      <c r="R33" s="6"/>
      <c r="S33" s="6"/>
      <c r="T33" s="6"/>
      <c r="U33" s="6"/>
      <c r="V33" s="6"/>
      <c r="W33" s="6"/>
      <c r="X33" s="6"/>
      <c r="Y33" s="6"/>
      <c r="Z33" s="6"/>
    </row>
    <row r="34" spans="1:26" ht="14.25" customHeight="1" thickBot="1" x14ac:dyDescent="0.35">
      <c r="A34" s="36" t="s">
        <v>42</v>
      </c>
      <c r="B34" s="15" t="s">
        <v>49</v>
      </c>
      <c r="C34" s="6" t="str">
        <f t="shared" si="0"/>
        <v>Ancillary services/Support services -&gt; Medical ICU</v>
      </c>
      <c r="D34" s="6"/>
      <c r="E34" s="6"/>
      <c r="F34" s="6"/>
      <c r="G34" s="6"/>
      <c r="H34" s="6"/>
      <c r="I34" s="6"/>
      <c r="J34" s="6"/>
      <c r="K34" s="6"/>
      <c r="L34" s="6"/>
      <c r="M34" s="6"/>
      <c r="N34" s="6"/>
      <c r="O34" s="6"/>
      <c r="P34" s="6"/>
      <c r="Q34" s="6"/>
      <c r="R34" s="6"/>
      <c r="S34" s="6"/>
      <c r="T34" s="6"/>
      <c r="U34" s="6"/>
      <c r="V34" s="6"/>
      <c r="W34" s="6"/>
      <c r="X34" s="6"/>
      <c r="Y34" s="6"/>
      <c r="Z34" s="6"/>
    </row>
    <row r="35" spans="1:26" ht="14.25" customHeight="1" thickBot="1" x14ac:dyDescent="0.35">
      <c r="A35" s="36" t="s">
        <v>42</v>
      </c>
      <c r="B35" s="15" t="s">
        <v>50</v>
      </c>
      <c r="C35" s="6" t="str">
        <f t="shared" si="0"/>
        <v>Ancillary services/Support services -&gt; Neonatal ICU*</v>
      </c>
      <c r="D35" s="6"/>
      <c r="E35" s="6"/>
      <c r="F35" s="6"/>
      <c r="G35" s="6"/>
      <c r="H35" s="6"/>
      <c r="I35" s="6"/>
      <c r="J35" s="6"/>
      <c r="K35" s="6"/>
      <c r="L35" s="6"/>
      <c r="M35" s="6"/>
      <c r="N35" s="6"/>
      <c r="O35" s="6"/>
      <c r="P35" s="6"/>
      <c r="Q35" s="6"/>
      <c r="R35" s="6"/>
      <c r="S35" s="6"/>
      <c r="T35" s="6"/>
      <c r="U35" s="6"/>
      <c r="V35" s="6"/>
      <c r="W35" s="6"/>
      <c r="X35" s="6"/>
      <c r="Y35" s="6"/>
      <c r="Z35" s="6"/>
    </row>
    <row r="36" spans="1:26" ht="14.25" customHeight="1" thickBot="1" x14ac:dyDescent="0.35">
      <c r="A36" s="36" t="s">
        <v>42</v>
      </c>
      <c r="B36" s="15" t="s">
        <v>51</v>
      </c>
      <c r="C36" s="6" t="str">
        <f t="shared" si="0"/>
        <v>Ancillary services/Support services -&gt; Surgical ICU*</v>
      </c>
      <c r="D36" s="6"/>
      <c r="E36" s="6"/>
      <c r="F36" s="6"/>
      <c r="G36" s="6"/>
      <c r="H36" s="6"/>
      <c r="I36" s="6"/>
      <c r="J36" s="6"/>
      <c r="K36" s="6"/>
      <c r="L36" s="6"/>
      <c r="M36" s="6"/>
      <c r="N36" s="6"/>
      <c r="O36" s="6"/>
      <c r="P36" s="6"/>
      <c r="Q36" s="6"/>
      <c r="R36" s="6"/>
      <c r="S36" s="6"/>
      <c r="T36" s="6"/>
      <c r="U36" s="6"/>
      <c r="V36" s="6"/>
      <c r="W36" s="6"/>
      <c r="X36" s="6"/>
      <c r="Y36" s="6"/>
      <c r="Z36" s="6"/>
    </row>
    <row r="37" spans="1:26" ht="14.25" customHeight="1" thickBot="1" x14ac:dyDescent="0.35">
      <c r="A37" s="36" t="s">
        <v>42</v>
      </c>
      <c r="B37" s="15" t="s">
        <v>52</v>
      </c>
      <c r="C37" s="6" t="str">
        <f t="shared" si="0"/>
        <v>Ancillary services/Support services -&gt; Pediatric ICU*</v>
      </c>
      <c r="D37" s="6"/>
      <c r="E37" s="6"/>
      <c r="F37" s="6"/>
      <c r="G37" s="6"/>
      <c r="H37" s="6"/>
      <c r="I37" s="6"/>
      <c r="J37" s="6"/>
      <c r="K37" s="6"/>
      <c r="L37" s="6"/>
      <c r="M37" s="6"/>
      <c r="N37" s="6"/>
      <c r="O37" s="6"/>
      <c r="P37" s="6"/>
      <c r="Q37" s="6"/>
      <c r="R37" s="6"/>
      <c r="S37" s="6"/>
      <c r="T37" s="6"/>
      <c r="U37" s="6"/>
      <c r="V37" s="6"/>
      <c r="W37" s="6"/>
      <c r="X37" s="6"/>
      <c r="Y37" s="6"/>
      <c r="Z37" s="6"/>
    </row>
    <row r="38" spans="1:26" ht="14.25" customHeight="1" thickBot="1" x14ac:dyDescent="0.35">
      <c r="A38" s="36" t="s">
        <v>42</v>
      </c>
      <c r="B38" s="15" t="s">
        <v>83</v>
      </c>
      <c r="C38" s="6" t="str">
        <f t="shared" si="0"/>
        <v>Ancillary services/Support services -&gt; Burn Unit</v>
      </c>
      <c r="D38" s="6"/>
      <c r="E38" s="6"/>
      <c r="F38" s="6"/>
      <c r="G38" s="6"/>
      <c r="H38" s="6"/>
      <c r="I38" s="6"/>
      <c r="J38" s="6"/>
      <c r="K38" s="6"/>
      <c r="L38" s="6"/>
      <c r="M38" s="6"/>
      <c r="N38" s="6"/>
      <c r="O38" s="6"/>
      <c r="P38" s="6"/>
      <c r="Q38" s="6"/>
      <c r="R38" s="6"/>
      <c r="S38" s="6"/>
      <c r="T38" s="6"/>
      <c r="U38" s="6"/>
      <c r="V38" s="6"/>
      <c r="W38" s="6"/>
      <c r="X38" s="6"/>
      <c r="Y38" s="6"/>
      <c r="Z38" s="6"/>
    </row>
    <row r="39" spans="1:26" ht="17.25" thickBot="1" x14ac:dyDescent="0.35">
      <c r="A39" s="36" t="s">
        <v>42</v>
      </c>
      <c r="B39" s="14" t="s">
        <v>84</v>
      </c>
      <c r="C39" s="6" t="str">
        <f t="shared" si="0"/>
        <v>Ancillary services/Support services -&gt; Morgue</v>
      </c>
      <c r="D39" s="6"/>
      <c r="E39" s="6"/>
      <c r="F39" s="6"/>
      <c r="G39" s="6"/>
      <c r="H39" s="6"/>
      <c r="I39" s="6"/>
      <c r="J39" s="6"/>
      <c r="K39" s="6"/>
      <c r="L39" s="6"/>
      <c r="M39" s="6"/>
      <c r="N39" s="6"/>
      <c r="O39" s="6"/>
      <c r="P39" s="6"/>
      <c r="Q39" s="6"/>
      <c r="R39" s="6"/>
      <c r="S39" s="6"/>
      <c r="T39" s="6"/>
      <c r="U39" s="6"/>
      <c r="V39" s="6"/>
      <c r="W39" s="6"/>
      <c r="X39" s="6"/>
      <c r="Y39" s="6"/>
      <c r="Z39" s="6"/>
    </row>
    <row r="40" spans="1:26" ht="17.25" thickBot="1" x14ac:dyDescent="0.35">
      <c r="A40" s="36" t="s">
        <v>42</v>
      </c>
      <c r="B40" s="16" t="s">
        <v>76</v>
      </c>
      <c r="C40" s="6" t="str">
        <f t="shared" si="0"/>
        <v>Ancillary services/Support services -&gt; Others</v>
      </c>
      <c r="D40" s="6"/>
      <c r="E40" s="6"/>
      <c r="F40" s="6"/>
      <c r="G40" s="6"/>
      <c r="H40" s="6"/>
      <c r="I40" s="6"/>
      <c r="J40" s="6"/>
      <c r="K40" s="6"/>
      <c r="L40" s="6"/>
      <c r="M40" s="6"/>
      <c r="N40" s="6"/>
      <c r="O40" s="6"/>
      <c r="P40" s="6"/>
      <c r="Q40" s="6"/>
      <c r="R40" s="6"/>
      <c r="S40" s="6"/>
      <c r="T40" s="6"/>
      <c r="U40" s="6"/>
      <c r="V40" s="6"/>
      <c r="W40" s="6"/>
      <c r="X40" s="6"/>
      <c r="Y40" s="6"/>
      <c r="Z40" s="6"/>
    </row>
    <row r="41" spans="1:26" ht="13.5" customHeight="1" thickBot="1" x14ac:dyDescent="0.35">
      <c r="A41" s="36" t="s">
        <v>54</v>
      </c>
      <c r="B41" s="18" t="s">
        <v>55</v>
      </c>
      <c r="C41" s="6" t="str">
        <f t="shared" si="0"/>
        <v>Clinical/Medical services -&gt; Outpatient Department</v>
      </c>
      <c r="D41" s="6"/>
      <c r="E41" s="6"/>
      <c r="F41" s="6"/>
      <c r="G41" s="6"/>
      <c r="H41" s="6"/>
      <c r="I41" s="6"/>
      <c r="J41" s="6"/>
      <c r="K41" s="6"/>
      <c r="L41" s="6"/>
      <c r="M41" s="6"/>
      <c r="N41" s="6"/>
      <c r="O41" s="6"/>
      <c r="P41" s="6"/>
      <c r="Q41" s="6"/>
      <c r="R41" s="6"/>
      <c r="S41" s="6"/>
      <c r="T41" s="6"/>
      <c r="U41" s="6"/>
      <c r="V41" s="6"/>
      <c r="W41" s="6"/>
      <c r="X41" s="6"/>
      <c r="Y41" s="6"/>
      <c r="Z41" s="6"/>
    </row>
    <row r="42" spans="1:26" ht="13.5" customHeight="1" thickBot="1" x14ac:dyDescent="0.35">
      <c r="A42" s="36" t="s">
        <v>54</v>
      </c>
      <c r="B42" s="14" t="s">
        <v>85</v>
      </c>
      <c r="C42" s="6" t="str">
        <f t="shared" si="0"/>
        <v>Clinical/Medical services -&gt; Animal Bite Center</v>
      </c>
      <c r="D42" s="6"/>
      <c r="E42" s="6"/>
      <c r="F42" s="6"/>
      <c r="G42" s="6"/>
      <c r="H42" s="6"/>
      <c r="I42" s="6"/>
      <c r="J42" s="6"/>
      <c r="K42" s="6"/>
      <c r="L42" s="6"/>
      <c r="M42" s="6"/>
      <c r="N42" s="6"/>
      <c r="O42" s="6"/>
      <c r="P42" s="6"/>
      <c r="Q42" s="6"/>
      <c r="R42" s="6"/>
      <c r="S42" s="6"/>
      <c r="T42" s="6"/>
      <c r="U42" s="6"/>
      <c r="V42" s="6"/>
      <c r="W42" s="6"/>
      <c r="X42" s="6"/>
      <c r="Y42" s="6"/>
      <c r="Z42" s="6"/>
    </row>
    <row r="43" spans="1:26" ht="13.5" customHeight="1" thickBot="1" x14ac:dyDescent="0.35">
      <c r="A43" s="36" t="s">
        <v>54</v>
      </c>
      <c r="B43" s="14" t="s">
        <v>86</v>
      </c>
      <c r="C43" s="6" t="str">
        <f t="shared" si="0"/>
        <v>Clinical/Medical services -&gt; TB Dots</v>
      </c>
      <c r="D43" s="6"/>
      <c r="E43" s="6"/>
      <c r="F43" s="6"/>
      <c r="G43" s="6"/>
      <c r="H43" s="6"/>
      <c r="I43" s="6"/>
      <c r="J43" s="6"/>
      <c r="K43" s="6"/>
      <c r="L43" s="6"/>
      <c r="M43" s="6"/>
      <c r="N43" s="6"/>
      <c r="O43" s="6"/>
      <c r="P43" s="6"/>
      <c r="Q43" s="6"/>
      <c r="R43" s="6"/>
      <c r="S43" s="6"/>
      <c r="T43" s="6"/>
      <c r="U43" s="6"/>
      <c r="V43" s="6"/>
      <c r="W43" s="6"/>
      <c r="X43" s="6"/>
      <c r="Y43" s="6"/>
      <c r="Z43" s="6"/>
    </row>
    <row r="44" spans="1:26" ht="13.5" customHeight="1" thickBot="1" x14ac:dyDescent="0.35">
      <c r="A44" s="36" t="s">
        <v>54</v>
      </c>
      <c r="B44" s="14" t="s">
        <v>87</v>
      </c>
      <c r="C44" s="6" t="str">
        <f t="shared" si="0"/>
        <v>Clinical/Medical services -&gt; HIV Aids</v>
      </c>
      <c r="D44" s="6"/>
      <c r="E44" s="6"/>
      <c r="F44" s="6"/>
      <c r="G44" s="6"/>
      <c r="H44" s="6"/>
      <c r="I44" s="6"/>
      <c r="J44" s="6"/>
      <c r="K44" s="6"/>
      <c r="L44" s="6"/>
      <c r="M44" s="6"/>
      <c r="N44" s="6"/>
      <c r="O44" s="6"/>
      <c r="P44" s="6"/>
      <c r="Q44" s="6"/>
      <c r="R44" s="6"/>
      <c r="S44" s="6"/>
      <c r="T44" s="6"/>
      <c r="U44" s="6"/>
      <c r="V44" s="6"/>
      <c r="W44" s="6"/>
      <c r="X44" s="6"/>
      <c r="Y44" s="6"/>
      <c r="Z44" s="6"/>
    </row>
    <row r="45" spans="1:26" ht="13.5" customHeight="1" thickBot="1" x14ac:dyDescent="0.35">
      <c r="A45" s="36" t="s">
        <v>54</v>
      </c>
      <c r="B45" s="14" t="s">
        <v>88</v>
      </c>
      <c r="C45" s="6" t="str">
        <f t="shared" si="0"/>
        <v>Clinical/Medical services -&gt; Family Planning Unit</v>
      </c>
      <c r="D45" s="6"/>
      <c r="E45" s="6"/>
      <c r="F45" s="6"/>
      <c r="G45" s="6"/>
      <c r="H45" s="6"/>
      <c r="I45" s="6"/>
      <c r="J45" s="6"/>
      <c r="K45" s="6"/>
      <c r="L45" s="6"/>
      <c r="M45" s="6"/>
      <c r="N45" s="6"/>
      <c r="O45" s="6"/>
      <c r="P45" s="6"/>
      <c r="Q45" s="6"/>
      <c r="R45" s="6"/>
      <c r="S45" s="6"/>
      <c r="T45" s="6"/>
      <c r="U45" s="6"/>
      <c r="V45" s="6"/>
      <c r="W45" s="6"/>
      <c r="X45" s="6"/>
      <c r="Y45" s="6"/>
      <c r="Z45" s="6"/>
    </row>
    <row r="46" spans="1:26" ht="13.5" customHeight="1" thickBot="1" x14ac:dyDescent="0.35">
      <c r="A46" s="36" t="s">
        <v>54</v>
      </c>
      <c r="B46" s="14" t="s">
        <v>89</v>
      </c>
      <c r="C46" s="6" t="str">
        <f t="shared" si="0"/>
        <v>Clinical/Medical services -&gt; Smoking Cessation</v>
      </c>
      <c r="D46" s="6"/>
      <c r="E46" s="6"/>
      <c r="F46" s="6"/>
      <c r="G46" s="6"/>
      <c r="H46" s="6"/>
      <c r="I46" s="6"/>
      <c r="J46" s="6"/>
      <c r="K46" s="6"/>
      <c r="L46" s="6"/>
      <c r="M46" s="6"/>
      <c r="N46" s="6"/>
      <c r="O46" s="6"/>
      <c r="P46" s="6"/>
      <c r="Q46" s="6"/>
      <c r="R46" s="6"/>
      <c r="S46" s="6"/>
      <c r="T46" s="6"/>
      <c r="U46" s="6"/>
      <c r="V46" s="6"/>
      <c r="W46" s="6"/>
      <c r="X46" s="6"/>
      <c r="Y46" s="6"/>
      <c r="Z46" s="6"/>
    </row>
    <row r="47" spans="1:26" ht="13.5" customHeight="1" thickBot="1" x14ac:dyDescent="0.35">
      <c r="A47" s="36" t="s">
        <v>54</v>
      </c>
      <c r="B47" s="14" t="s">
        <v>90</v>
      </c>
      <c r="C47" s="6" t="str">
        <f t="shared" si="0"/>
        <v>Clinical/Medical services -&gt; Malaria</v>
      </c>
      <c r="D47" s="6"/>
      <c r="E47" s="6"/>
      <c r="F47" s="6"/>
      <c r="G47" s="6"/>
      <c r="H47" s="6"/>
      <c r="I47" s="6"/>
      <c r="J47" s="6"/>
      <c r="K47" s="6"/>
      <c r="L47" s="6"/>
      <c r="M47" s="6"/>
      <c r="N47" s="6"/>
      <c r="O47" s="6"/>
      <c r="P47" s="6"/>
      <c r="Q47" s="6"/>
      <c r="R47" s="6"/>
      <c r="S47" s="6"/>
      <c r="T47" s="6"/>
      <c r="U47" s="6"/>
      <c r="V47" s="6"/>
      <c r="W47" s="6"/>
      <c r="X47" s="6"/>
      <c r="Y47" s="6"/>
      <c r="Z47" s="6"/>
    </row>
    <row r="48" spans="1:26" ht="13.5" customHeight="1" thickBot="1" x14ac:dyDescent="0.35">
      <c r="A48" s="36" t="s">
        <v>54</v>
      </c>
      <c r="B48" s="19" t="s">
        <v>91</v>
      </c>
      <c r="C48" s="6" t="str">
        <f t="shared" si="0"/>
        <v>Clinical/Medical services -&gt; Diabetes MAP</v>
      </c>
      <c r="D48" s="6"/>
      <c r="E48" s="6"/>
      <c r="F48" s="6"/>
      <c r="G48" s="6"/>
      <c r="H48" s="6"/>
      <c r="I48" s="6"/>
      <c r="J48" s="6"/>
      <c r="K48" s="6"/>
      <c r="L48" s="6"/>
      <c r="M48" s="6"/>
      <c r="N48" s="6"/>
      <c r="O48" s="6"/>
      <c r="P48" s="6"/>
      <c r="Q48" s="6"/>
      <c r="R48" s="6"/>
      <c r="S48" s="6"/>
      <c r="T48" s="6"/>
      <c r="U48" s="6"/>
      <c r="V48" s="6"/>
      <c r="W48" s="6"/>
      <c r="X48" s="6"/>
      <c r="Y48" s="6"/>
      <c r="Z48" s="6"/>
    </row>
    <row r="49" spans="1:26" ht="13.5" customHeight="1" thickBot="1" x14ac:dyDescent="0.35">
      <c r="A49" s="36" t="s">
        <v>54</v>
      </c>
      <c r="B49" s="14" t="s">
        <v>92</v>
      </c>
      <c r="C49" s="6" t="str">
        <f t="shared" si="0"/>
        <v>Clinical/Medical services -&gt; Hypertension MAP</v>
      </c>
      <c r="D49" s="6"/>
      <c r="E49" s="6"/>
      <c r="F49" s="6"/>
      <c r="G49" s="6"/>
      <c r="H49" s="6"/>
      <c r="I49" s="6"/>
      <c r="J49" s="6"/>
      <c r="K49" s="6"/>
      <c r="L49" s="6"/>
      <c r="M49" s="6"/>
      <c r="N49" s="6"/>
      <c r="O49" s="6"/>
      <c r="P49" s="6"/>
      <c r="Q49" s="6"/>
      <c r="R49" s="6"/>
      <c r="S49" s="6"/>
      <c r="T49" s="6"/>
      <c r="U49" s="6"/>
      <c r="V49" s="6"/>
      <c r="W49" s="6"/>
      <c r="X49" s="6"/>
      <c r="Y49" s="6"/>
      <c r="Z49" s="6"/>
    </row>
    <row r="50" spans="1:26" ht="14.25" customHeight="1" thickBot="1" x14ac:dyDescent="0.35">
      <c r="A50" s="36" t="s">
        <v>54</v>
      </c>
      <c r="B50" s="15" t="s">
        <v>56</v>
      </c>
      <c r="C50" s="6" t="str">
        <f t="shared" si="0"/>
        <v>Clinical/Medical services -&gt; Emergency Medicine Department</v>
      </c>
      <c r="D50" s="6"/>
      <c r="E50" s="6"/>
      <c r="F50" s="6"/>
      <c r="G50" s="6"/>
      <c r="H50" s="6"/>
      <c r="I50" s="6"/>
      <c r="J50" s="6"/>
      <c r="K50" s="6"/>
      <c r="L50" s="6"/>
      <c r="M50" s="6"/>
      <c r="N50" s="6"/>
      <c r="O50" s="6"/>
      <c r="P50" s="6"/>
      <c r="Q50" s="6"/>
      <c r="R50" s="6"/>
      <c r="S50" s="6"/>
      <c r="T50" s="6"/>
      <c r="U50" s="6"/>
      <c r="V50" s="6"/>
      <c r="W50" s="6"/>
      <c r="X50" s="6"/>
      <c r="Y50" s="6"/>
      <c r="Z50" s="6"/>
    </row>
    <row r="51" spans="1:26" ht="14.25" customHeight="1" thickBot="1" x14ac:dyDescent="0.35">
      <c r="A51" s="36" t="s">
        <v>54</v>
      </c>
      <c r="B51" s="15" t="s">
        <v>57</v>
      </c>
      <c r="C51" s="6" t="str">
        <f t="shared" si="0"/>
        <v>Clinical/Medical services -&gt; Dialysis Unit</v>
      </c>
      <c r="D51" s="6"/>
      <c r="E51" s="6"/>
      <c r="F51" s="6"/>
      <c r="G51" s="6"/>
      <c r="H51" s="6"/>
      <c r="I51" s="6"/>
      <c r="J51" s="6"/>
      <c r="K51" s="6"/>
      <c r="L51" s="6"/>
      <c r="M51" s="6"/>
      <c r="N51" s="6"/>
      <c r="O51" s="6"/>
      <c r="P51" s="6"/>
      <c r="Q51" s="6"/>
      <c r="R51" s="6"/>
      <c r="S51" s="6"/>
      <c r="T51" s="6"/>
      <c r="U51" s="6"/>
      <c r="V51" s="6"/>
      <c r="W51" s="6"/>
      <c r="X51" s="6"/>
      <c r="Y51" s="6"/>
      <c r="Z51" s="6"/>
    </row>
    <row r="52" spans="1:26" ht="14.25" customHeight="1" thickBot="1" x14ac:dyDescent="0.35">
      <c r="A52" s="36" t="s">
        <v>54</v>
      </c>
      <c r="B52" s="14" t="s">
        <v>93</v>
      </c>
      <c r="C52" s="6" t="str">
        <f t="shared" si="0"/>
        <v>Clinical/Medical services -&gt; Nuclear Medicine</v>
      </c>
      <c r="D52" s="6"/>
      <c r="E52" s="6"/>
      <c r="F52" s="6"/>
      <c r="G52" s="6"/>
      <c r="H52" s="6"/>
      <c r="I52" s="6"/>
      <c r="J52" s="6"/>
      <c r="K52" s="6"/>
      <c r="L52" s="6"/>
      <c r="M52" s="6"/>
      <c r="N52" s="6"/>
      <c r="O52" s="6"/>
      <c r="P52" s="6"/>
      <c r="Q52" s="6"/>
      <c r="R52" s="6"/>
      <c r="S52" s="6"/>
      <c r="T52" s="6"/>
      <c r="U52" s="6"/>
      <c r="V52" s="6"/>
      <c r="W52" s="6"/>
      <c r="X52" s="6"/>
      <c r="Y52" s="6"/>
      <c r="Z52" s="6"/>
    </row>
    <row r="53" spans="1:26" ht="14.25" customHeight="1" thickBot="1" x14ac:dyDescent="0.35">
      <c r="A53" s="36" t="s">
        <v>54</v>
      </c>
      <c r="B53" s="15" t="s">
        <v>53</v>
      </c>
      <c r="C53" s="6" t="str">
        <f t="shared" si="0"/>
        <v>Clinical/Medical services -&gt; Radiation Oncology Unit*</v>
      </c>
      <c r="D53" s="6"/>
      <c r="E53" s="6"/>
      <c r="F53" s="6"/>
      <c r="G53" s="6"/>
      <c r="H53" s="6"/>
      <c r="I53" s="6"/>
      <c r="J53" s="6"/>
      <c r="K53" s="6"/>
      <c r="L53" s="6"/>
      <c r="M53" s="6"/>
      <c r="N53" s="6"/>
      <c r="O53" s="6"/>
      <c r="P53" s="6"/>
      <c r="Q53" s="6"/>
      <c r="R53" s="6"/>
      <c r="S53" s="6"/>
      <c r="T53" s="6"/>
      <c r="U53" s="6"/>
      <c r="V53" s="6"/>
      <c r="W53" s="6"/>
      <c r="X53" s="6"/>
      <c r="Y53" s="6"/>
      <c r="Z53" s="6"/>
    </row>
    <row r="54" spans="1:26" ht="14.25" customHeight="1" thickBot="1" x14ac:dyDescent="0.35">
      <c r="A54" s="36" t="s">
        <v>54</v>
      </c>
      <c r="B54" s="14" t="s">
        <v>94</v>
      </c>
      <c r="C54" s="6" t="str">
        <f t="shared" si="0"/>
        <v>Clinical/Medical services -&gt; Endoscopy Unit</v>
      </c>
      <c r="D54" s="6"/>
      <c r="E54" s="6"/>
      <c r="F54" s="6"/>
      <c r="G54" s="6"/>
      <c r="H54" s="6"/>
      <c r="I54" s="6"/>
      <c r="J54" s="6"/>
      <c r="K54" s="6"/>
      <c r="L54" s="6"/>
      <c r="M54" s="6"/>
      <c r="N54" s="6"/>
      <c r="O54" s="6"/>
      <c r="P54" s="6"/>
      <c r="Q54" s="6"/>
      <c r="R54" s="6"/>
      <c r="S54" s="6"/>
      <c r="T54" s="6"/>
      <c r="U54" s="6"/>
      <c r="V54" s="6"/>
      <c r="W54" s="6"/>
      <c r="X54" s="6"/>
      <c r="Y54" s="6"/>
      <c r="Z54" s="6"/>
    </row>
    <row r="55" spans="1:26" ht="14.25" customHeight="1" thickBot="1" x14ac:dyDescent="0.35">
      <c r="A55" s="36" t="s">
        <v>54</v>
      </c>
      <c r="B55" s="15" t="s">
        <v>58</v>
      </c>
      <c r="C55" s="6" t="str">
        <f t="shared" si="0"/>
        <v>Clinical/Medical services -&gt; Dental</v>
      </c>
      <c r="D55" s="6"/>
      <c r="E55" s="6"/>
      <c r="F55" s="6"/>
      <c r="G55" s="6"/>
      <c r="H55" s="6"/>
      <c r="I55" s="6"/>
      <c r="J55" s="6"/>
      <c r="K55" s="6"/>
      <c r="L55" s="6"/>
      <c r="M55" s="6"/>
      <c r="N55" s="6"/>
      <c r="O55" s="6"/>
      <c r="P55" s="6"/>
      <c r="Q55" s="6"/>
      <c r="R55" s="6"/>
      <c r="S55" s="6"/>
      <c r="T55" s="6"/>
      <c r="U55" s="6"/>
      <c r="V55" s="6"/>
      <c r="W55" s="6"/>
      <c r="X55" s="6"/>
      <c r="Y55" s="6"/>
      <c r="Z55" s="6"/>
    </row>
    <row r="56" spans="1:26" ht="14.25" customHeight="1" thickBot="1" x14ac:dyDescent="0.35">
      <c r="A56" s="36" t="s">
        <v>54</v>
      </c>
      <c r="B56" s="15" t="s">
        <v>59</v>
      </c>
      <c r="C56" s="6" t="str">
        <f t="shared" si="0"/>
        <v>Clinical/Medical services -&gt; Internal Medicine Ward</v>
      </c>
      <c r="D56" s="6"/>
      <c r="E56" s="6"/>
      <c r="F56" s="6"/>
      <c r="G56" s="6"/>
      <c r="H56" s="6"/>
      <c r="I56" s="6"/>
      <c r="J56" s="6"/>
      <c r="K56" s="6"/>
      <c r="L56" s="6"/>
      <c r="M56" s="6"/>
      <c r="N56" s="6"/>
      <c r="O56" s="6"/>
      <c r="P56" s="6"/>
      <c r="Q56" s="6"/>
      <c r="R56" s="6"/>
      <c r="S56" s="6"/>
      <c r="T56" s="6"/>
      <c r="U56" s="6"/>
      <c r="V56" s="6"/>
      <c r="W56" s="6"/>
      <c r="X56" s="6"/>
      <c r="Y56" s="6"/>
      <c r="Z56" s="6"/>
    </row>
    <row r="57" spans="1:26" ht="14.25" customHeight="1" thickBot="1" x14ac:dyDescent="0.35">
      <c r="A57" s="36" t="s">
        <v>54</v>
      </c>
      <c r="B57" s="15" t="s">
        <v>60</v>
      </c>
      <c r="C57" s="6" t="str">
        <f t="shared" si="0"/>
        <v>Clinical/Medical services -&gt; Pediatric Ward</v>
      </c>
      <c r="D57" s="6"/>
      <c r="E57" s="6"/>
      <c r="F57" s="6"/>
      <c r="G57" s="6"/>
      <c r="H57" s="6"/>
      <c r="I57" s="6"/>
      <c r="J57" s="6"/>
      <c r="K57" s="6"/>
      <c r="L57" s="6"/>
      <c r="M57" s="6"/>
      <c r="N57" s="6"/>
      <c r="O57" s="6"/>
      <c r="P57" s="6"/>
      <c r="Q57" s="6"/>
      <c r="R57" s="6"/>
      <c r="S57" s="6"/>
      <c r="T57" s="6"/>
      <c r="U57" s="6"/>
      <c r="V57" s="6"/>
      <c r="W57" s="6"/>
      <c r="X57" s="6"/>
      <c r="Y57" s="6"/>
      <c r="Z57" s="6"/>
    </row>
    <row r="58" spans="1:26" ht="14.25" customHeight="1" thickBot="1" x14ac:dyDescent="0.35">
      <c r="A58" s="36" t="s">
        <v>54</v>
      </c>
      <c r="B58" s="15" t="s">
        <v>61</v>
      </c>
      <c r="C58" s="6" t="str">
        <f t="shared" si="0"/>
        <v>Clinical/Medical services -&gt; Surgical Ward</v>
      </c>
      <c r="D58" s="6"/>
      <c r="E58" s="6"/>
      <c r="F58" s="6"/>
      <c r="G58" s="6"/>
      <c r="H58" s="6"/>
      <c r="I58" s="6"/>
      <c r="J58" s="6"/>
      <c r="K58" s="6"/>
      <c r="L58" s="6"/>
      <c r="M58" s="6"/>
      <c r="N58" s="6"/>
      <c r="O58" s="6"/>
      <c r="P58" s="6"/>
      <c r="Q58" s="6"/>
      <c r="R58" s="6"/>
      <c r="S58" s="6"/>
      <c r="T58" s="6"/>
      <c r="U58" s="6"/>
      <c r="V58" s="6"/>
      <c r="W58" s="6"/>
      <c r="X58" s="6"/>
      <c r="Y58" s="6"/>
      <c r="Z58" s="6"/>
    </row>
    <row r="59" spans="1:26" ht="14.25" customHeight="1" thickBot="1" x14ac:dyDescent="0.35">
      <c r="A59" s="36" t="s">
        <v>54</v>
      </c>
      <c r="B59" s="15" t="s">
        <v>62</v>
      </c>
      <c r="C59" s="6" t="str">
        <f t="shared" si="0"/>
        <v>Clinical/Medical services -&gt; Ob/Gyne Ward</v>
      </c>
      <c r="D59" s="6"/>
      <c r="E59" s="6"/>
      <c r="F59" s="6"/>
      <c r="G59" s="6"/>
      <c r="H59" s="6"/>
      <c r="I59" s="6"/>
      <c r="J59" s="6"/>
      <c r="K59" s="6"/>
      <c r="L59" s="6"/>
      <c r="M59" s="6"/>
      <c r="N59" s="6"/>
      <c r="O59" s="6"/>
      <c r="P59" s="6"/>
      <c r="Q59" s="6"/>
      <c r="R59" s="6"/>
      <c r="S59" s="6"/>
      <c r="T59" s="6"/>
      <c r="U59" s="6"/>
      <c r="V59" s="6"/>
      <c r="W59" s="6"/>
      <c r="X59" s="6"/>
      <c r="Y59" s="6"/>
      <c r="Z59" s="6"/>
    </row>
    <row r="60" spans="1:26" ht="14.25" customHeight="1" thickBot="1" x14ac:dyDescent="0.35">
      <c r="A60" s="36" t="s">
        <v>54</v>
      </c>
      <c r="B60" s="15" t="s">
        <v>63</v>
      </c>
      <c r="C60" s="6" t="str">
        <f t="shared" si="0"/>
        <v>Clinical/Medical services -&gt; Private Ward</v>
      </c>
      <c r="D60" s="6"/>
      <c r="E60" s="6"/>
      <c r="F60" s="6"/>
      <c r="G60" s="6"/>
      <c r="H60" s="6"/>
      <c r="I60" s="6"/>
      <c r="J60" s="6"/>
      <c r="K60" s="6"/>
      <c r="L60" s="6"/>
      <c r="M60" s="6"/>
      <c r="N60" s="6"/>
      <c r="O60" s="6"/>
      <c r="P60" s="6"/>
      <c r="Q60" s="6"/>
      <c r="R60" s="6"/>
      <c r="S60" s="6"/>
      <c r="T60" s="6"/>
      <c r="U60" s="6"/>
      <c r="V60" s="6"/>
      <c r="W60" s="6"/>
      <c r="X60" s="6"/>
      <c r="Y60" s="6"/>
      <c r="Z60" s="6"/>
    </row>
    <row r="61" spans="1:26" ht="14.25" customHeight="1" thickBot="1" x14ac:dyDescent="0.35">
      <c r="A61" s="36" t="s">
        <v>54</v>
      </c>
      <c r="B61" s="15" t="s">
        <v>64</v>
      </c>
      <c r="C61" s="6" t="str">
        <f t="shared" si="0"/>
        <v>Clinical/Medical services -&gt; Neurosurgery Ward*</v>
      </c>
      <c r="D61" s="6"/>
      <c r="E61" s="6"/>
      <c r="F61" s="6"/>
      <c r="G61" s="6"/>
      <c r="H61" s="6"/>
      <c r="I61" s="6"/>
      <c r="J61" s="6"/>
      <c r="K61" s="6"/>
      <c r="L61" s="6"/>
      <c r="M61" s="6"/>
      <c r="N61" s="6"/>
      <c r="O61" s="6"/>
      <c r="P61" s="6"/>
      <c r="Q61" s="6"/>
      <c r="R61" s="6"/>
      <c r="S61" s="6"/>
      <c r="T61" s="6"/>
      <c r="U61" s="6"/>
      <c r="V61" s="6"/>
      <c r="W61" s="6"/>
      <c r="X61" s="6"/>
      <c r="Y61" s="6"/>
      <c r="Z61" s="6"/>
    </row>
    <row r="62" spans="1:26" ht="14.25" customHeight="1" thickBot="1" x14ac:dyDescent="0.35">
      <c r="A62" s="36" t="s">
        <v>54</v>
      </c>
      <c r="B62" s="15" t="s">
        <v>65</v>
      </c>
      <c r="C62" s="6" t="str">
        <f t="shared" si="0"/>
        <v>Clinical/Medical services -&gt; Orthopedic Ward*</v>
      </c>
      <c r="D62" s="6"/>
      <c r="E62" s="6"/>
      <c r="F62" s="6"/>
      <c r="G62" s="6"/>
      <c r="H62" s="6"/>
      <c r="I62" s="6"/>
      <c r="J62" s="6"/>
      <c r="K62" s="6"/>
      <c r="L62" s="6"/>
      <c r="M62" s="6"/>
      <c r="N62" s="6"/>
      <c r="O62" s="6"/>
      <c r="P62" s="6"/>
      <c r="Q62" s="6"/>
      <c r="R62" s="6"/>
      <c r="S62" s="6"/>
      <c r="T62" s="6"/>
      <c r="U62" s="6"/>
      <c r="V62" s="6"/>
      <c r="W62" s="6"/>
      <c r="X62" s="6"/>
      <c r="Y62" s="6"/>
      <c r="Z62" s="6"/>
    </row>
    <row r="63" spans="1:26" ht="17.25" thickBot="1" x14ac:dyDescent="0.35">
      <c r="A63" s="36" t="s">
        <v>54</v>
      </c>
      <c r="B63" s="15" t="s">
        <v>66</v>
      </c>
      <c r="C63" s="6" t="str">
        <f t="shared" si="0"/>
        <v>Clinical/Medical services -&gt; Psychiatric Ward*</v>
      </c>
      <c r="D63" s="6"/>
      <c r="E63" s="6"/>
      <c r="F63" s="6"/>
      <c r="G63" s="6"/>
      <c r="H63" s="6"/>
      <c r="I63" s="6"/>
      <c r="J63" s="6"/>
      <c r="K63" s="6"/>
      <c r="L63" s="6"/>
      <c r="M63" s="6"/>
      <c r="N63" s="6"/>
      <c r="O63" s="6"/>
      <c r="P63" s="6"/>
      <c r="Q63" s="6"/>
      <c r="R63" s="6"/>
      <c r="S63" s="6"/>
      <c r="T63" s="6"/>
      <c r="U63" s="6"/>
      <c r="V63" s="6"/>
      <c r="W63" s="6"/>
      <c r="X63" s="6"/>
      <c r="Y63" s="6"/>
      <c r="Z63" s="6"/>
    </row>
    <row r="64" spans="1:26" ht="13.5" customHeight="1" thickBot="1" x14ac:dyDescent="0.35">
      <c r="A64" s="36" t="s">
        <v>54</v>
      </c>
      <c r="B64" s="20" t="s">
        <v>67</v>
      </c>
      <c r="C64" s="6" t="str">
        <f t="shared" si="0"/>
        <v>Clinical/Medical services -&gt; ENT Ward*</v>
      </c>
      <c r="D64" s="6"/>
      <c r="E64" s="6"/>
      <c r="F64" s="6"/>
      <c r="G64" s="6"/>
      <c r="H64" s="6"/>
      <c r="I64" s="6"/>
      <c r="J64" s="6"/>
      <c r="K64" s="6"/>
      <c r="L64" s="6"/>
      <c r="M64" s="6"/>
      <c r="N64" s="6"/>
      <c r="O64" s="6"/>
      <c r="P64" s="6"/>
      <c r="Q64" s="6"/>
      <c r="R64" s="6"/>
      <c r="S64" s="6"/>
      <c r="T64" s="6"/>
      <c r="U64" s="6"/>
      <c r="V64" s="6"/>
      <c r="W64" s="6"/>
      <c r="X64" s="6"/>
      <c r="Y64" s="6"/>
      <c r="Z64" s="6"/>
    </row>
    <row r="65" spans="1:26" ht="13.5" customHeight="1" x14ac:dyDescent="0.3">
      <c r="A65" s="21"/>
      <c r="B65" s="6"/>
      <c r="C65" s="6"/>
      <c r="D65" s="6"/>
      <c r="E65" s="6"/>
      <c r="F65" s="6"/>
      <c r="G65" s="6"/>
      <c r="H65" s="6"/>
      <c r="I65" s="6"/>
      <c r="J65" s="6"/>
      <c r="K65" s="6"/>
      <c r="L65" s="6"/>
      <c r="M65" s="6"/>
      <c r="N65" s="6"/>
      <c r="O65" s="6"/>
      <c r="P65" s="6"/>
      <c r="Q65" s="6"/>
      <c r="R65" s="6"/>
      <c r="S65" s="6"/>
      <c r="T65" s="6"/>
      <c r="U65" s="6"/>
      <c r="V65" s="6"/>
      <c r="W65" s="6"/>
      <c r="X65" s="6"/>
      <c r="Y65" s="6"/>
      <c r="Z65" s="6"/>
    </row>
    <row r="66" spans="1:26" ht="13.5" customHeight="1" x14ac:dyDescent="0.3">
      <c r="A66" s="6"/>
      <c r="B66" s="12"/>
      <c r="C66" s="6"/>
      <c r="D66" s="6"/>
      <c r="E66" s="6"/>
      <c r="F66" s="6"/>
      <c r="G66" s="6"/>
      <c r="H66" s="6"/>
      <c r="I66" s="6"/>
      <c r="J66" s="6"/>
      <c r="K66" s="6"/>
      <c r="L66" s="6"/>
      <c r="M66" s="6"/>
      <c r="N66" s="6"/>
      <c r="O66" s="6"/>
      <c r="P66" s="6"/>
      <c r="Q66" s="6"/>
      <c r="R66" s="6"/>
      <c r="S66" s="6"/>
      <c r="T66" s="6"/>
      <c r="U66" s="6"/>
      <c r="V66" s="6"/>
      <c r="W66" s="6"/>
      <c r="X66" s="6"/>
      <c r="Y66" s="6"/>
      <c r="Z66" s="6"/>
    </row>
    <row r="67" spans="1:26" ht="13.5" customHeight="1" x14ac:dyDescent="0.3">
      <c r="A67" s="6"/>
      <c r="B67" s="6"/>
      <c r="C67" s="6"/>
      <c r="D67" s="6"/>
      <c r="E67" s="6"/>
      <c r="F67" s="6"/>
      <c r="G67" s="6"/>
      <c r="H67" s="6"/>
      <c r="I67" s="6"/>
      <c r="J67" s="6"/>
      <c r="K67" s="6"/>
      <c r="L67" s="6"/>
      <c r="M67" s="6"/>
      <c r="N67" s="6"/>
      <c r="O67" s="6"/>
      <c r="P67" s="6"/>
      <c r="Q67" s="6"/>
      <c r="R67" s="6"/>
      <c r="S67" s="6"/>
      <c r="T67" s="6"/>
      <c r="U67" s="6"/>
      <c r="V67" s="6"/>
      <c r="W67" s="6"/>
      <c r="X67" s="6"/>
      <c r="Y67" s="6"/>
      <c r="Z67" s="6"/>
    </row>
    <row r="68" spans="1:26" ht="13.5" customHeight="1" x14ac:dyDescent="0.3">
      <c r="A68" s="6"/>
      <c r="B68" s="6"/>
      <c r="C68" s="6"/>
      <c r="D68" s="6"/>
      <c r="E68" s="6"/>
      <c r="F68" s="6"/>
      <c r="G68" s="6"/>
      <c r="H68" s="6"/>
      <c r="I68" s="6"/>
      <c r="J68" s="6"/>
      <c r="K68" s="6"/>
      <c r="L68" s="6"/>
      <c r="M68" s="6"/>
      <c r="N68" s="6"/>
      <c r="O68" s="6"/>
      <c r="P68" s="6"/>
      <c r="Q68" s="6"/>
      <c r="R68" s="6"/>
      <c r="S68" s="6"/>
      <c r="T68" s="6"/>
      <c r="U68" s="6"/>
      <c r="V68" s="6"/>
      <c r="W68" s="6"/>
      <c r="X68" s="6"/>
      <c r="Y68" s="6"/>
      <c r="Z68" s="6"/>
    </row>
    <row r="69" spans="1:26" ht="13.5" customHeight="1" x14ac:dyDescent="0.3">
      <c r="A69" s="6"/>
      <c r="B69" s="6"/>
      <c r="C69" s="6"/>
      <c r="D69" s="6"/>
      <c r="E69" s="6"/>
      <c r="F69" s="6"/>
      <c r="G69" s="6"/>
      <c r="H69" s="6"/>
      <c r="I69" s="6"/>
      <c r="J69" s="6"/>
      <c r="K69" s="6"/>
      <c r="L69" s="6"/>
      <c r="M69" s="6"/>
      <c r="N69" s="6"/>
      <c r="O69" s="6"/>
      <c r="P69" s="6"/>
      <c r="Q69" s="6"/>
      <c r="R69" s="6"/>
      <c r="S69" s="6"/>
      <c r="T69" s="6"/>
      <c r="U69" s="6"/>
      <c r="V69" s="6"/>
      <c r="W69" s="6"/>
      <c r="X69" s="6"/>
      <c r="Y69" s="6"/>
      <c r="Z69" s="6"/>
    </row>
    <row r="70" spans="1:26" ht="13.5" customHeight="1" x14ac:dyDescent="0.3">
      <c r="A70" s="6" t="s">
        <v>68</v>
      </c>
      <c r="B70" s="22" t="s">
        <v>69</v>
      </c>
      <c r="C70" s="6"/>
      <c r="D70" s="6"/>
      <c r="E70" s="6"/>
      <c r="F70" s="6"/>
      <c r="G70" s="6"/>
      <c r="H70" s="6"/>
      <c r="I70" s="6"/>
      <c r="J70" s="6"/>
      <c r="K70" s="6"/>
      <c r="L70" s="6"/>
      <c r="M70" s="6"/>
      <c r="N70" s="6"/>
      <c r="O70" s="6"/>
      <c r="P70" s="6"/>
      <c r="Q70" s="6"/>
      <c r="R70" s="6"/>
      <c r="S70" s="6"/>
      <c r="T70" s="6"/>
      <c r="U70" s="6"/>
      <c r="V70" s="6"/>
      <c r="W70" s="6"/>
      <c r="X70" s="6"/>
      <c r="Y70" s="6"/>
      <c r="Z70" s="6"/>
    </row>
    <row r="71" spans="1:26" ht="13.5" customHeight="1" x14ac:dyDescent="0.3">
      <c r="A71" s="6"/>
      <c r="B71" s="22" t="s">
        <v>70</v>
      </c>
      <c r="C71" s="6"/>
      <c r="D71" s="6"/>
      <c r="E71" s="6"/>
      <c r="F71" s="6"/>
      <c r="G71" s="6"/>
      <c r="H71" s="6"/>
      <c r="I71" s="6"/>
      <c r="J71" s="6"/>
      <c r="K71" s="6"/>
      <c r="L71" s="6"/>
      <c r="M71" s="6"/>
      <c r="N71" s="6"/>
      <c r="O71" s="6"/>
      <c r="P71" s="6"/>
      <c r="Q71" s="6"/>
      <c r="R71" s="6"/>
      <c r="S71" s="6"/>
      <c r="T71" s="6"/>
      <c r="U71" s="6"/>
      <c r="V71" s="6"/>
      <c r="W71" s="6"/>
      <c r="X71" s="6"/>
      <c r="Y71" s="6"/>
      <c r="Z71" s="6"/>
    </row>
    <row r="72" spans="1:26" ht="13.5" customHeight="1" x14ac:dyDescent="0.3">
      <c r="A72" s="6"/>
      <c r="B72" s="6"/>
      <c r="C72" s="6"/>
      <c r="D72" s="6"/>
      <c r="E72" s="6"/>
      <c r="F72" s="6"/>
      <c r="G72" s="6"/>
      <c r="H72" s="6"/>
      <c r="I72" s="6"/>
      <c r="J72" s="6"/>
      <c r="K72" s="6"/>
      <c r="L72" s="6"/>
      <c r="M72" s="6"/>
      <c r="N72" s="6"/>
      <c r="O72" s="6"/>
      <c r="P72" s="6"/>
      <c r="Q72" s="6"/>
      <c r="R72" s="6"/>
      <c r="S72" s="6"/>
      <c r="T72" s="6"/>
      <c r="U72" s="6"/>
      <c r="V72" s="6"/>
      <c r="W72" s="6"/>
      <c r="X72" s="6"/>
      <c r="Y72" s="6"/>
      <c r="Z72" s="6"/>
    </row>
    <row r="73" spans="1:26" ht="13.5" customHeight="1" x14ac:dyDescent="0.3">
      <c r="A73" s="6"/>
      <c r="B73" s="6"/>
      <c r="C73" s="6"/>
      <c r="D73" s="6"/>
      <c r="E73" s="6"/>
      <c r="F73" s="6"/>
      <c r="G73" s="6"/>
      <c r="H73" s="6"/>
      <c r="I73" s="6"/>
      <c r="J73" s="6"/>
      <c r="K73" s="6"/>
      <c r="L73" s="6"/>
      <c r="M73" s="6"/>
      <c r="N73" s="6"/>
      <c r="O73" s="6"/>
      <c r="P73" s="6"/>
      <c r="Q73" s="6"/>
      <c r="R73" s="6"/>
      <c r="S73" s="6"/>
      <c r="T73" s="6"/>
      <c r="U73" s="6"/>
      <c r="V73" s="6"/>
      <c r="W73" s="6"/>
      <c r="X73" s="6"/>
      <c r="Y73" s="6"/>
      <c r="Z73" s="6"/>
    </row>
    <row r="74" spans="1:26" ht="13.5" customHeight="1" x14ac:dyDescent="0.3">
      <c r="A74" s="6"/>
      <c r="B74" s="6"/>
      <c r="C74" s="6"/>
      <c r="D74" s="6"/>
      <c r="E74" s="6"/>
      <c r="F74" s="6"/>
      <c r="G74" s="6"/>
      <c r="H74" s="6"/>
      <c r="I74" s="6"/>
      <c r="J74" s="6"/>
      <c r="K74" s="6"/>
      <c r="L74" s="6"/>
      <c r="M74" s="6"/>
      <c r="N74" s="6"/>
      <c r="O74" s="6"/>
      <c r="P74" s="6"/>
      <c r="Q74" s="6"/>
      <c r="R74" s="6"/>
      <c r="S74" s="6"/>
      <c r="T74" s="6"/>
      <c r="U74" s="6"/>
      <c r="V74" s="6"/>
      <c r="W74" s="6"/>
      <c r="X74" s="6"/>
      <c r="Y74" s="6"/>
      <c r="Z74" s="6"/>
    </row>
    <row r="75" spans="1:26" ht="13.5" customHeight="1" x14ac:dyDescent="0.3">
      <c r="A75" s="6"/>
      <c r="B75" s="6"/>
      <c r="C75" s="6"/>
      <c r="D75" s="6"/>
      <c r="E75" s="6"/>
      <c r="F75" s="6"/>
      <c r="G75" s="6"/>
      <c r="H75" s="6"/>
      <c r="I75" s="6"/>
      <c r="J75" s="6"/>
      <c r="K75" s="6"/>
      <c r="L75" s="6"/>
      <c r="M75" s="6"/>
      <c r="N75" s="6"/>
      <c r="O75" s="6"/>
      <c r="P75" s="6"/>
      <c r="Q75" s="6"/>
      <c r="R75" s="6"/>
      <c r="S75" s="6"/>
      <c r="T75" s="6"/>
      <c r="U75" s="6"/>
      <c r="V75" s="6"/>
      <c r="W75" s="6"/>
      <c r="X75" s="6"/>
      <c r="Y75" s="6"/>
      <c r="Z75" s="6"/>
    </row>
    <row r="76" spans="1:26" ht="13.5" customHeight="1" x14ac:dyDescent="0.3">
      <c r="A76" s="6"/>
      <c r="B76" s="6"/>
      <c r="C76" s="6"/>
      <c r="D76" s="6"/>
      <c r="E76" s="6"/>
      <c r="F76" s="6"/>
      <c r="G76" s="6"/>
      <c r="H76" s="6"/>
      <c r="I76" s="6"/>
      <c r="J76" s="6"/>
      <c r="K76" s="6"/>
      <c r="L76" s="6"/>
      <c r="M76" s="6"/>
      <c r="N76" s="6"/>
      <c r="O76" s="6"/>
      <c r="P76" s="6"/>
      <c r="Q76" s="6"/>
      <c r="R76" s="6"/>
      <c r="S76" s="6"/>
      <c r="T76" s="6"/>
      <c r="U76" s="6"/>
      <c r="V76" s="6"/>
      <c r="W76" s="6"/>
      <c r="X76" s="6"/>
      <c r="Y76" s="6"/>
      <c r="Z76" s="6"/>
    </row>
    <row r="77" spans="1:26" ht="13.5" customHeight="1" x14ac:dyDescent="0.3">
      <c r="A77" s="6"/>
      <c r="B77" s="6"/>
      <c r="C77" s="6"/>
      <c r="D77" s="6"/>
      <c r="E77" s="6"/>
      <c r="F77" s="6"/>
      <c r="G77" s="6"/>
      <c r="H77" s="6"/>
      <c r="I77" s="6"/>
      <c r="J77" s="6"/>
      <c r="K77" s="6"/>
      <c r="L77" s="6"/>
      <c r="M77" s="6"/>
      <c r="N77" s="6"/>
      <c r="O77" s="6"/>
      <c r="P77" s="6"/>
      <c r="Q77" s="6"/>
      <c r="R77" s="6"/>
      <c r="S77" s="6"/>
      <c r="T77" s="6"/>
      <c r="U77" s="6"/>
      <c r="V77" s="6"/>
      <c r="W77" s="6"/>
      <c r="X77" s="6"/>
      <c r="Y77" s="6"/>
      <c r="Z77" s="6"/>
    </row>
    <row r="78" spans="1:26" ht="13.5" customHeight="1" x14ac:dyDescent="0.3">
      <c r="A78" s="6"/>
      <c r="B78" s="6"/>
      <c r="C78" s="6"/>
      <c r="D78" s="6"/>
      <c r="E78" s="6"/>
      <c r="F78" s="6"/>
      <c r="G78" s="6"/>
      <c r="H78" s="6"/>
      <c r="I78" s="6"/>
      <c r="J78" s="6"/>
      <c r="K78" s="6"/>
      <c r="L78" s="6"/>
      <c r="M78" s="6"/>
      <c r="N78" s="6"/>
      <c r="O78" s="6"/>
      <c r="P78" s="6"/>
      <c r="Q78" s="6"/>
      <c r="R78" s="6"/>
      <c r="S78" s="6"/>
      <c r="T78" s="6"/>
      <c r="U78" s="6"/>
      <c r="V78" s="6"/>
      <c r="W78" s="6"/>
      <c r="X78" s="6"/>
      <c r="Y78" s="6"/>
      <c r="Z78" s="6"/>
    </row>
    <row r="79" spans="1:26" ht="13.5" customHeight="1" x14ac:dyDescent="0.3">
      <c r="A79" s="6"/>
      <c r="B79" s="6"/>
      <c r="C79" s="6"/>
      <c r="D79" s="6"/>
      <c r="E79" s="6"/>
      <c r="F79" s="6"/>
      <c r="G79" s="6"/>
      <c r="H79" s="6"/>
      <c r="I79" s="6"/>
      <c r="J79" s="6"/>
      <c r="K79" s="6"/>
      <c r="L79" s="6"/>
      <c r="M79" s="6"/>
      <c r="N79" s="6"/>
      <c r="O79" s="6"/>
      <c r="P79" s="6"/>
      <c r="Q79" s="6"/>
      <c r="R79" s="6"/>
      <c r="S79" s="6"/>
      <c r="T79" s="6"/>
      <c r="U79" s="6"/>
      <c r="V79" s="6"/>
      <c r="W79" s="6"/>
      <c r="X79" s="6"/>
      <c r="Y79" s="6"/>
      <c r="Z79" s="6"/>
    </row>
    <row r="80" spans="1:26" ht="13.5" customHeight="1" x14ac:dyDescent="0.3">
      <c r="A80" s="6"/>
      <c r="B80" s="6"/>
      <c r="C80" s="6"/>
      <c r="D80" s="6"/>
      <c r="E80" s="6"/>
      <c r="F80" s="6"/>
      <c r="G80" s="6"/>
      <c r="H80" s="6"/>
      <c r="I80" s="6"/>
      <c r="J80" s="6"/>
      <c r="K80" s="6"/>
      <c r="L80" s="6"/>
      <c r="M80" s="6"/>
      <c r="N80" s="6"/>
      <c r="O80" s="6"/>
      <c r="P80" s="6"/>
      <c r="Q80" s="6"/>
      <c r="R80" s="6"/>
      <c r="S80" s="6"/>
      <c r="T80" s="6"/>
      <c r="U80" s="6"/>
      <c r="V80" s="6"/>
      <c r="W80" s="6"/>
      <c r="X80" s="6"/>
      <c r="Y80" s="6"/>
      <c r="Z80" s="6"/>
    </row>
    <row r="81" spans="1:26" ht="13.5" customHeight="1" x14ac:dyDescent="0.3">
      <c r="A81" s="6"/>
      <c r="B81" s="6"/>
      <c r="C81" s="6"/>
      <c r="D81" s="6"/>
      <c r="E81" s="6"/>
      <c r="F81" s="6"/>
      <c r="G81" s="6"/>
      <c r="H81" s="6"/>
      <c r="I81" s="6"/>
      <c r="J81" s="6"/>
      <c r="K81" s="6"/>
      <c r="L81" s="6"/>
      <c r="M81" s="6"/>
      <c r="N81" s="6"/>
      <c r="O81" s="6"/>
      <c r="P81" s="6"/>
      <c r="Q81" s="6"/>
      <c r="R81" s="6"/>
      <c r="S81" s="6"/>
      <c r="T81" s="6"/>
      <c r="U81" s="6"/>
      <c r="V81" s="6"/>
      <c r="W81" s="6"/>
      <c r="X81" s="6"/>
      <c r="Y81" s="6"/>
      <c r="Z81" s="6"/>
    </row>
    <row r="82" spans="1:26" ht="13.5" customHeight="1" x14ac:dyDescent="0.3">
      <c r="A82" s="6"/>
      <c r="B82" s="6"/>
      <c r="C82" s="6"/>
      <c r="D82" s="6"/>
      <c r="E82" s="6"/>
      <c r="F82" s="6"/>
      <c r="G82" s="6"/>
      <c r="H82" s="6"/>
      <c r="I82" s="6"/>
      <c r="J82" s="6"/>
      <c r="K82" s="6"/>
      <c r="L82" s="6"/>
      <c r="M82" s="6"/>
      <c r="N82" s="6"/>
      <c r="O82" s="6"/>
      <c r="P82" s="6"/>
      <c r="Q82" s="6"/>
      <c r="R82" s="6"/>
      <c r="S82" s="6"/>
      <c r="T82" s="6"/>
      <c r="U82" s="6"/>
      <c r="V82" s="6"/>
      <c r="W82" s="6"/>
      <c r="X82" s="6"/>
      <c r="Y82" s="6"/>
      <c r="Z82" s="6"/>
    </row>
    <row r="83" spans="1:26" ht="13.5" customHeight="1" x14ac:dyDescent="0.3">
      <c r="A83" s="6"/>
      <c r="B83" s="6"/>
      <c r="C83" s="6"/>
      <c r="D83" s="6"/>
      <c r="E83" s="6"/>
      <c r="F83" s="6"/>
      <c r="G83" s="6"/>
      <c r="H83" s="6"/>
      <c r="I83" s="6"/>
      <c r="J83" s="6"/>
      <c r="K83" s="6"/>
      <c r="L83" s="6"/>
      <c r="M83" s="6"/>
      <c r="N83" s="6"/>
      <c r="O83" s="6"/>
      <c r="P83" s="6"/>
      <c r="Q83" s="6"/>
      <c r="R83" s="6"/>
      <c r="S83" s="6"/>
      <c r="T83" s="6"/>
      <c r="U83" s="6"/>
      <c r="V83" s="6"/>
      <c r="W83" s="6"/>
      <c r="X83" s="6"/>
      <c r="Y83" s="6"/>
      <c r="Z83" s="6"/>
    </row>
    <row r="84" spans="1:26" ht="13.5" customHeight="1" x14ac:dyDescent="0.3">
      <c r="A84" s="6"/>
      <c r="B84" s="6"/>
      <c r="C84" s="6"/>
      <c r="D84" s="6"/>
      <c r="E84" s="6"/>
      <c r="F84" s="6"/>
      <c r="G84" s="6"/>
      <c r="H84" s="6"/>
      <c r="I84" s="6"/>
      <c r="J84" s="6"/>
      <c r="K84" s="6"/>
      <c r="L84" s="6"/>
      <c r="M84" s="6"/>
      <c r="N84" s="6"/>
      <c r="O84" s="6"/>
      <c r="P84" s="6"/>
      <c r="Q84" s="6"/>
      <c r="R84" s="6"/>
      <c r="S84" s="6"/>
      <c r="T84" s="6"/>
      <c r="U84" s="6"/>
      <c r="V84" s="6"/>
      <c r="W84" s="6"/>
      <c r="X84" s="6"/>
      <c r="Y84" s="6"/>
      <c r="Z84" s="6"/>
    </row>
    <row r="85" spans="1:26" ht="13.5" customHeight="1" x14ac:dyDescent="0.3">
      <c r="A85" s="6"/>
      <c r="B85" s="6"/>
      <c r="C85" s="6"/>
      <c r="D85" s="6"/>
      <c r="E85" s="6"/>
      <c r="F85" s="6"/>
      <c r="G85" s="6"/>
      <c r="H85" s="6"/>
      <c r="I85" s="6"/>
      <c r="J85" s="6"/>
      <c r="K85" s="6"/>
      <c r="L85" s="6"/>
      <c r="M85" s="6"/>
      <c r="N85" s="6"/>
      <c r="O85" s="6"/>
      <c r="P85" s="6"/>
      <c r="Q85" s="6"/>
      <c r="R85" s="6"/>
      <c r="S85" s="6"/>
      <c r="T85" s="6"/>
      <c r="U85" s="6"/>
      <c r="V85" s="6"/>
      <c r="W85" s="6"/>
      <c r="X85" s="6"/>
      <c r="Y85" s="6"/>
      <c r="Z85" s="6"/>
    </row>
    <row r="86" spans="1:26" ht="13.5" customHeight="1" x14ac:dyDescent="0.3">
      <c r="A86" s="6"/>
      <c r="B86" s="6"/>
      <c r="C86" s="6"/>
      <c r="D86" s="6"/>
      <c r="E86" s="6"/>
      <c r="F86" s="6"/>
      <c r="G86" s="6"/>
      <c r="H86" s="6"/>
      <c r="I86" s="6"/>
      <c r="J86" s="6"/>
      <c r="K86" s="6"/>
      <c r="L86" s="6"/>
      <c r="M86" s="6"/>
      <c r="N86" s="6"/>
      <c r="O86" s="6"/>
      <c r="P86" s="6"/>
      <c r="Q86" s="6"/>
      <c r="R86" s="6"/>
      <c r="S86" s="6"/>
      <c r="T86" s="6"/>
      <c r="U86" s="6"/>
      <c r="V86" s="6"/>
      <c r="W86" s="6"/>
      <c r="X86" s="6"/>
      <c r="Y86" s="6"/>
      <c r="Z86" s="6"/>
    </row>
    <row r="87" spans="1:26" ht="13.5" customHeight="1" x14ac:dyDescent="0.3">
      <c r="A87" s="6"/>
      <c r="B87" s="6"/>
      <c r="C87" s="6"/>
      <c r="D87" s="6"/>
      <c r="E87" s="6"/>
      <c r="F87" s="6"/>
      <c r="G87" s="6"/>
      <c r="H87" s="6"/>
      <c r="I87" s="6"/>
      <c r="J87" s="6"/>
      <c r="K87" s="6"/>
      <c r="L87" s="6"/>
      <c r="M87" s="6"/>
      <c r="N87" s="6"/>
      <c r="O87" s="6"/>
      <c r="P87" s="6"/>
      <c r="Q87" s="6"/>
      <c r="R87" s="6"/>
      <c r="S87" s="6"/>
      <c r="T87" s="6"/>
      <c r="U87" s="6"/>
      <c r="V87" s="6"/>
      <c r="W87" s="6"/>
      <c r="X87" s="6"/>
      <c r="Y87" s="6"/>
      <c r="Z87" s="6"/>
    </row>
    <row r="88" spans="1:26" ht="13.5" customHeight="1" x14ac:dyDescent="0.3">
      <c r="A88" s="6"/>
      <c r="B88" s="6"/>
      <c r="C88" s="6"/>
      <c r="D88" s="6"/>
      <c r="E88" s="6"/>
      <c r="F88" s="6"/>
      <c r="G88" s="6"/>
      <c r="H88" s="6"/>
      <c r="I88" s="6"/>
      <c r="J88" s="6"/>
      <c r="K88" s="6"/>
      <c r="L88" s="6"/>
      <c r="M88" s="6"/>
      <c r="N88" s="6"/>
      <c r="O88" s="6"/>
      <c r="P88" s="6"/>
      <c r="Q88" s="6"/>
      <c r="R88" s="6"/>
      <c r="S88" s="6"/>
      <c r="T88" s="6"/>
      <c r="U88" s="6"/>
      <c r="V88" s="6"/>
      <c r="W88" s="6"/>
      <c r="X88" s="6"/>
      <c r="Y88" s="6"/>
      <c r="Z88" s="6"/>
    </row>
    <row r="89" spans="1:26" ht="13.5" customHeight="1" x14ac:dyDescent="0.3">
      <c r="A89" s="6"/>
      <c r="B89" s="6"/>
      <c r="C89" s="6"/>
      <c r="D89" s="6"/>
      <c r="E89" s="6"/>
      <c r="F89" s="6"/>
      <c r="G89" s="6"/>
      <c r="H89" s="6"/>
      <c r="I89" s="6"/>
      <c r="J89" s="6"/>
      <c r="K89" s="6"/>
      <c r="L89" s="6"/>
      <c r="M89" s="6"/>
      <c r="N89" s="6"/>
      <c r="O89" s="6"/>
      <c r="P89" s="6"/>
      <c r="Q89" s="6"/>
      <c r="R89" s="6"/>
      <c r="S89" s="6"/>
      <c r="T89" s="6"/>
      <c r="U89" s="6"/>
      <c r="V89" s="6"/>
      <c r="W89" s="6"/>
      <c r="X89" s="6"/>
      <c r="Y89" s="6"/>
      <c r="Z89" s="6"/>
    </row>
    <row r="90" spans="1:26" ht="13.5" customHeight="1" x14ac:dyDescent="0.3">
      <c r="A90" s="6"/>
      <c r="B90" s="6"/>
      <c r="C90" s="6"/>
      <c r="D90" s="6"/>
      <c r="E90" s="6"/>
      <c r="F90" s="6"/>
      <c r="G90" s="6"/>
      <c r="H90" s="6"/>
      <c r="I90" s="6"/>
      <c r="J90" s="6"/>
      <c r="K90" s="6"/>
      <c r="L90" s="6"/>
      <c r="M90" s="6"/>
      <c r="N90" s="6"/>
      <c r="O90" s="6"/>
      <c r="P90" s="6"/>
      <c r="Q90" s="6"/>
      <c r="R90" s="6"/>
      <c r="S90" s="6"/>
      <c r="T90" s="6"/>
      <c r="U90" s="6"/>
      <c r="V90" s="6"/>
      <c r="W90" s="6"/>
      <c r="X90" s="6"/>
      <c r="Y90" s="6"/>
      <c r="Z90" s="6"/>
    </row>
    <row r="91" spans="1:26" ht="13.5" customHeight="1" x14ac:dyDescent="0.3">
      <c r="A91" s="6"/>
      <c r="B91" s="6"/>
      <c r="C91" s="6"/>
      <c r="D91" s="6"/>
      <c r="E91" s="6"/>
      <c r="F91" s="6"/>
      <c r="G91" s="6"/>
      <c r="H91" s="6"/>
      <c r="I91" s="6"/>
      <c r="J91" s="6"/>
      <c r="K91" s="6"/>
      <c r="L91" s="6"/>
      <c r="M91" s="6"/>
      <c r="N91" s="6"/>
      <c r="O91" s="6"/>
      <c r="P91" s="6"/>
      <c r="Q91" s="6"/>
      <c r="R91" s="6"/>
      <c r="S91" s="6"/>
      <c r="T91" s="6"/>
      <c r="U91" s="6"/>
      <c r="V91" s="6"/>
      <c r="W91" s="6"/>
      <c r="X91" s="6"/>
      <c r="Y91" s="6"/>
      <c r="Z91" s="6"/>
    </row>
    <row r="92" spans="1:26" ht="13.5" customHeight="1" x14ac:dyDescent="0.3">
      <c r="A92" s="6"/>
      <c r="B92" s="6"/>
      <c r="C92" s="6"/>
      <c r="D92" s="6"/>
      <c r="E92" s="6"/>
      <c r="F92" s="6"/>
      <c r="G92" s="6"/>
      <c r="H92" s="6"/>
      <c r="I92" s="6"/>
      <c r="J92" s="6"/>
      <c r="K92" s="6"/>
      <c r="L92" s="6"/>
      <c r="M92" s="6"/>
      <c r="N92" s="6"/>
      <c r="O92" s="6"/>
      <c r="P92" s="6"/>
      <c r="Q92" s="6"/>
      <c r="R92" s="6"/>
      <c r="S92" s="6"/>
      <c r="T92" s="6"/>
      <c r="U92" s="6"/>
      <c r="V92" s="6"/>
      <c r="W92" s="6"/>
      <c r="X92" s="6"/>
      <c r="Y92" s="6"/>
      <c r="Z92" s="6"/>
    </row>
    <row r="93" spans="1:26" ht="13.5" customHeight="1" x14ac:dyDescent="0.3">
      <c r="A93" s="6"/>
      <c r="B93" s="6"/>
      <c r="C93" s="6"/>
      <c r="D93" s="6"/>
      <c r="E93" s="6"/>
      <c r="F93" s="6"/>
      <c r="G93" s="6"/>
      <c r="H93" s="6"/>
      <c r="I93" s="6"/>
      <c r="J93" s="6"/>
      <c r="K93" s="6"/>
      <c r="L93" s="6"/>
      <c r="M93" s="6"/>
      <c r="N93" s="6"/>
      <c r="O93" s="6"/>
      <c r="P93" s="6"/>
      <c r="Q93" s="6"/>
      <c r="R93" s="6"/>
      <c r="S93" s="6"/>
      <c r="T93" s="6"/>
      <c r="U93" s="6"/>
      <c r="V93" s="6"/>
      <c r="W93" s="6"/>
      <c r="X93" s="6"/>
      <c r="Y93" s="6"/>
      <c r="Z93" s="6"/>
    </row>
    <row r="94" spans="1:26" ht="13.5" customHeight="1" x14ac:dyDescent="0.3">
      <c r="A94" s="6"/>
      <c r="B94" s="6"/>
      <c r="C94" s="6"/>
      <c r="D94" s="6"/>
      <c r="E94" s="6"/>
      <c r="F94" s="6"/>
      <c r="G94" s="6"/>
      <c r="H94" s="6"/>
      <c r="I94" s="6"/>
      <c r="J94" s="6"/>
      <c r="K94" s="6"/>
      <c r="L94" s="6"/>
      <c r="M94" s="6"/>
      <c r="N94" s="6"/>
      <c r="O94" s="6"/>
      <c r="P94" s="6"/>
      <c r="Q94" s="6"/>
      <c r="R94" s="6"/>
      <c r="S94" s="6"/>
      <c r="T94" s="6"/>
      <c r="U94" s="6"/>
      <c r="V94" s="6"/>
      <c r="W94" s="6"/>
      <c r="X94" s="6"/>
      <c r="Y94" s="6"/>
      <c r="Z94" s="6"/>
    </row>
    <row r="95" spans="1:26" ht="13.5" customHeight="1" x14ac:dyDescent="0.3">
      <c r="A95" s="6"/>
      <c r="B95" s="6"/>
      <c r="C95" s="6"/>
      <c r="D95" s="6"/>
      <c r="E95" s="6"/>
      <c r="F95" s="6"/>
      <c r="G95" s="6"/>
      <c r="H95" s="6"/>
      <c r="I95" s="6"/>
      <c r="J95" s="6"/>
      <c r="K95" s="6"/>
      <c r="L95" s="6"/>
      <c r="M95" s="6"/>
      <c r="N95" s="6"/>
      <c r="O95" s="6"/>
      <c r="P95" s="6"/>
      <c r="Q95" s="6"/>
      <c r="R95" s="6"/>
      <c r="S95" s="6"/>
      <c r="T95" s="6"/>
      <c r="U95" s="6"/>
      <c r="V95" s="6"/>
      <c r="W95" s="6"/>
      <c r="X95" s="6"/>
      <c r="Y95" s="6"/>
      <c r="Z95" s="6"/>
    </row>
    <row r="96" spans="1:26" ht="13.5" customHeight="1" x14ac:dyDescent="0.3">
      <c r="A96" s="6"/>
      <c r="B96" s="6"/>
      <c r="C96" s="6"/>
      <c r="D96" s="6"/>
      <c r="E96" s="6"/>
      <c r="F96" s="6"/>
      <c r="G96" s="6"/>
      <c r="H96" s="6"/>
      <c r="I96" s="6"/>
      <c r="J96" s="6"/>
      <c r="K96" s="6"/>
      <c r="L96" s="6"/>
      <c r="M96" s="6"/>
      <c r="N96" s="6"/>
      <c r="O96" s="6"/>
      <c r="P96" s="6"/>
      <c r="Q96" s="6"/>
      <c r="R96" s="6"/>
      <c r="S96" s="6"/>
      <c r="T96" s="6"/>
      <c r="U96" s="6"/>
      <c r="V96" s="6"/>
      <c r="W96" s="6"/>
      <c r="X96" s="6"/>
      <c r="Y96" s="6"/>
      <c r="Z96" s="6"/>
    </row>
    <row r="97" spans="1:26" ht="13.5" customHeight="1" x14ac:dyDescent="0.3">
      <c r="A97" s="6"/>
      <c r="B97" s="6"/>
      <c r="C97" s="6"/>
      <c r="D97" s="6"/>
      <c r="E97" s="6"/>
      <c r="F97" s="6"/>
      <c r="G97" s="6"/>
      <c r="H97" s="6"/>
      <c r="I97" s="6"/>
      <c r="J97" s="6"/>
      <c r="K97" s="6"/>
      <c r="L97" s="6"/>
      <c r="M97" s="6"/>
      <c r="N97" s="6"/>
      <c r="O97" s="6"/>
      <c r="P97" s="6"/>
      <c r="Q97" s="6"/>
      <c r="R97" s="6"/>
      <c r="S97" s="6"/>
      <c r="T97" s="6"/>
      <c r="U97" s="6"/>
      <c r="V97" s="6"/>
      <c r="W97" s="6"/>
      <c r="X97" s="6"/>
      <c r="Y97" s="6"/>
      <c r="Z97" s="6"/>
    </row>
    <row r="98" spans="1:26" ht="13.5" customHeight="1" x14ac:dyDescent="0.3">
      <c r="A98" s="6"/>
      <c r="B98" s="6"/>
      <c r="C98" s="6"/>
      <c r="D98" s="6"/>
      <c r="E98" s="6"/>
      <c r="F98" s="6"/>
      <c r="G98" s="6"/>
      <c r="H98" s="6"/>
      <c r="I98" s="6"/>
      <c r="J98" s="6"/>
      <c r="K98" s="6"/>
      <c r="L98" s="6"/>
      <c r="M98" s="6"/>
      <c r="N98" s="6"/>
      <c r="O98" s="6"/>
      <c r="P98" s="6"/>
      <c r="Q98" s="6"/>
      <c r="R98" s="6"/>
      <c r="S98" s="6"/>
      <c r="T98" s="6"/>
      <c r="U98" s="6"/>
      <c r="V98" s="6"/>
      <c r="W98" s="6"/>
      <c r="X98" s="6"/>
      <c r="Y98" s="6"/>
      <c r="Z98" s="6"/>
    </row>
    <row r="99" spans="1:26" ht="13.5" customHeight="1" x14ac:dyDescent="0.3">
      <c r="A99" s="6"/>
      <c r="B99" s="6"/>
      <c r="C99" s="6"/>
      <c r="D99" s="6"/>
      <c r="E99" s="6"/>
      <c r="F99" s="6"/>
      <c r="G99" s="6"/>
      <c r="H99" s="6"/>
      <c r="I99" s="6"/>
      <c r="J99" s="6"/>
      <c r="K99" s="6"/>
      <c r="L99" s="6"/>
      <c r="M99" s="6"/>
      <c r="N99" s="6"/>
      <c r="O99" s="6"/>
      <c r="P99" s="6"/>
      <c r="Q99" s="6"/>
      <c r="R99" s="6"/>
      <c r="S99" s="6"/>
      <c r="T99" s="6"/>
      <c r="U99" s="6"/>
      <c r="V99" s="6"/>
      <c r="W99" s="6"/>
      <c r="X99" s="6"/>
      <c r="Y99" s="6"/>
      <c r="Z99" s="6"/>
    </row>
    <row r="100" spans="1:26" ht="13.5" customHeight="1" x14ac:dyDescent="0.3">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spans="1:26" ht="13.5" customHeight="1" x14ac:dyDescent="0.3">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spans="1:26" ht="13.5" customHeight="1" x14ac:dyDescent="0.3">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spans="1:26" ht="13.5" customHeight="1" x14ac:dyDescent="0.3">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spans="1:26" ht="13.5" customHeight="1" x14ac:dyDescent="0.3">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spans="1:26" ht="13.5" customHeight="1" x14ac:dyDescent="0.3">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spans="1:26" ht="13.5" customHeight="1" x14ac:dyDescent="0.3">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spans="1:26" ht="13.5" customHeight="1" x14ac:dyDescent="0.3">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spans="1:26" ht="13.5" customHeight="1" x14ac:dyDescent="0.3">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spans="1:26" ht="13.5" customHeight="1" x14ac:dyDescent="0.3">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spans="1:26" ht="13.5" customHeight="1" x14ac:dyDescent="0.3">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spans="1:26" ht="13.5" customHeight="1" x14ac:dyDescent="0.3">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spans="1:26" ht="13.5" customHeight="1" x14ac:dyDescent="0.3">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spans="1:26" ht="13.5" customHeight="1" x14ac:dyDescent="0.3">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spans="1:26" ht="13.5" customHeight="1" x14ac:dyDescent="0.3">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spans="1:26" ht="13.5" customHeight="1" x14ac:dyDescent="0.3">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spans="1:26" ht="13.5" customHeight="1" x14ac:dyDescent="0.3">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spans="1:26" ht="13.5" customHeight="1" x14ac:dyDescent="0.3">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spans="1:26" ht="13.5" customHeight="1" x14ac:dyDescent="0.3">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spans="1:26" ht="13.5" customHeight="1" x14ac:dyDescent="0.3">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spans="1:26" ht="13.5" customHeight="1" x14ac:dyDescent="0.3">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spans="1:26" ht="13.5" customHeight="1" x14ac:dyDescent="0.3">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spans="1:26" ht="13.5" customHeight="1" x14ac:dyDescent="0.3">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spans="1:26" ht="13.5" customHeight="1" x14ac:dyDescent="0.3">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spans="1:26" ht="13.5" customHeight="1" x14ac:dyDescent="0.3">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spans="1:26" ht="13.5" customHeight="1" x14ac:dyDescent="0.3">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spans="1:26" ht="13.5" customHeight="1" x14ac:dyDescent="0.3">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spans="1:26" ht="13.5" customHeight="1" x14ac:dyDescent="0.3">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spans="1:26" ht="13.5" customHeight="1" x14ac:dyDescent="0.3">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spans="1:26" ht="13.5" customHeight="1" x14ac:dyDescent="0.3">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spans="1:26" ht="13.5" customHeight="1" x14ac:dyDescent="0.3">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spans="1:26" ht="13.5" customHeight="1" x14ac:dyDescent="0.3">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spans="1:26" ht="13.5" customHeight="1" x14ac:dyDescent="0.3">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spans="1:26" ht="13.5" customHeight="1" x14ac:dyDescent="0.3">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spans="1:26" ht="13.5" customHeight="1" x14ac:dyDescent="0.3">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spans="1:26" ht="13.5" customHeight="1" x14ac:dyDescent="0.3">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spans="1:26" ht="13.5" customHeight="1" x14ac:dyDescent="0.3">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spans="1:26" ht="13.5" customHeight="1" x14ac:dyDescent="0.3">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spans="1:26" ht="13.5" customHeight="1" x14ac:dyDescent="0.3">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spans="1:26" ht="13.5" customHeight="1" x14ac:dyDescent="0.3">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spans="1:26" ht="13.5" customHeight="1" x14ac:dyDescent="0.3">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spans="1:26" ht="13.5" customHeight="1" x14ac:dyDescent="0.3">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spans="1:26" ht="13.5" customHeight="1" x14ac:dyDescent="0.3">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spans="1:26" ht="13.5" customHeight="1" x14ac:dyDescent="0.3">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spans="1:26" ht="13.5" customHeight="1" x14ac:dyDescent="0.3">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spans="1:26" ht="13.5" customHeight="1" x14ac:dyDescent="0.3">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spans="1:26" ht="13.5" customHeight="1" x14ac:dyDescent="0.3">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spans="1:26" ht="13.5" customHeight="1" x14ac:dyDescent="0.3">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spans="1:26" ht="13.5" customHeight="1" x14ac:dyDescent="0.3">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spans="1:26" ht="13.5" customHeight="1" x14ac:dyDescent="0.3">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spans="1:26" ht="13.5" customHeight="1" x14ac:dyDescent="0.3">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spans="1:26" ht="13.5" customHeight="1" x14ac:dyDescent="0.3">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spans="1:26" ht="13.5" customHeight="1" x14ac:dyDescent="0.3">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spans="1:26" ht="13.5" customHeight="1" x14ac:dyDescent="0.3">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spans="1:26" ht="13.5" customHeight="1" x14ac:dyDescent="0.3">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spans="1:26" ht="13.5" customHeight="1" x14ac:dyDescent="0.3">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spans="1:26" ht="13.5" customHeight="1" x14ac:dyDescent="0.3">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spans="1:26" ht="13.5" customHeight="1" x14ac:dyDescent="0.3">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spans="1:26" ht="13.5" customHeight="1" x14ac:dyDescent="0.3">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spans="1:26" ht="13.5" customHeight="1" x14ac:dyDescent="0.3">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spans="1:26" ht="13.5" customHeight="1" x14ac:dyDescent="0.3">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spans="1:26" ht="13.5" customHeight="1" x14ac:dyDescent="0.3">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spans="1:26" ht="13.5" customHeight="1" x14ac:dyDescent="0.3">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spans="1:26" ht="13.5" customHeight="1" x14ac:dyDescent="0.3">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spans="1:26" ht="13.5" customHeight="1" x14ac:dyDescent="0.3">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spans="1:26" ht="13.5" customHeight="1" x14ac:dyDescent="0.3">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spans="1:26" ht="13.5" customHeight="1" x14ac:dyDescent="0.3">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spans="1:26" ht="13.5" customHeight="1" x14ac:dyDescent="0.3">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spans="1:26" ht="13.5" customHeight="1" x14ac:dyDescent="0.3">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spans="1:26" ht="13.5" customHeight="1" x14ac:dyDescent="0.3">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spans="1:26" ht="13.5" customHeight="1" x14ac:dyDescent="0.3">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spans="1:26" ht="13.5" customHeight="1" x14ac:dyDescent="0.3">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spans="1:26" ht="13.5" customHeight="1" x14ac:dyDescent="0.3">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spans="1:26" ht="13.5" customHeight="1" x14ac:dyDescent="0.3">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spans="1:26" ht="13.5" customHeight="1" x14ac:dyDescent="0.3">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spans="1:26" ht="13.5" customHeight="1" x14ac:dyDescent="0.3">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spans="1:26" ht="13.5" customHeight="1" x14ac:dyDescent="0.3">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spans="1:26" ht="13.5" customHeight="1" x14ac:dyDescent="0.3">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spans="1:26" ht="13.5" customHeight="1" x14ac:dyDescent="0.3">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spans="1:26" ht="13.5" customHeight="1" x14ac:dyDescent="0.3">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spans="1:26" ht="13.5" customHeight="1" x14ac:dyDescent="0.3">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spans="1:26" ht="13.5" customHeight="1" x14ac:dyDescent="0.3">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spans="1:26" ht="13.5" customHeight="1" x14ac:dyDescent="0.3">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spans="1:26" ht="13.5" customHeight="1" x14ac:dyDescent="0.3">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spans="1:26" ht="13.5" customHeight="1" x14ac:dyDescent="0.3">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spans="1:26" ht="13.5" customHeight="1" x14ac:dyDescent="0.3">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spans="1:26" ht="13.5" customHeight="1" x14ac:dyDescent="0.3">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spans="1:26" ht="13.5" customHeight="1" x14ac:dyDescent="0.3">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spans="1:26" ht="13.5" customHeight="1" x14ac:dyDescent="0.3">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spans="1:26" ht="13.5" customHeight="1" x14ac:dyDescent="0.3">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spans="1:26" ht="13.5" customHeight="1" x14ac:dyDescent="0.3">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spans="1:26" ht="13.5" customHeight="1" x14ac:dyDescent="0.3">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spans="1:26" ht="13.5" customHeight="1" x14ac:dyDescent="0.3">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spans="1:26" ht="13.5" customHeight="1" x14ac:dyDescent="0.3">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spans="1:26" ht="13.5" customHeight="1" x14ac:dyDescent="0.3">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spans="1:26" ht="13.5" customHeight="1" x14ac:dyDescent="0.3">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spans="1:26" ht="13.5" customHeight="1" x14ac:dyDescent="0.3">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spans="1:26" ht="13.5" customHeight="1" x14ac:dyDescent="0.3">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spans="1:26" ht="13.5" customHeight="1" x14ac:dyDescent="0.3">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spans="1:26" ht="13.5" customHeight="1" x14ac:dyDescent="0.3">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spans="1:26" ht="13.5" customHeight="1" x14ac:dyDescent="0.3">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spans="1:26" ht="13.5" customHeight="1" x14ac:dyDescent="0.3">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spans="1:26" ht="13.5" customHeight="1" x14ac:dyDescent="0.3">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spans="1:26" ht="13.5" customHeight="1" x14ac:dyDescent="0.3">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spans="1:26" ht="13.5" customHeight="1" x14ac:dyDescent="0.3">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spans="1:26" ht="13.5" customHeight="1" x14ac:dyDescent="0.3">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spans="1:26" ht="13.5" customHeight="1" x14ac:dyDescent="0.3">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spans="1:26" ht="13.5" customHeight="1" x14ac:dyDescent="0.3">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spans="1:26" ht="13.5" customHeight="1" x14ac:dyDescent="0.3">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spans="1:26" ht="13.5" customHeight="1" x14ac:dyDescent="0.3">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spans="1:26" ht="13.5" customHeight="1" x14ac:dyDescent="0.3">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spans="1:26" ht="13.5" customHeight="1" x14ac:dyDescent="0.3">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spans="1:26" ht="13.5" customHeight="1" x14ac:dyDescent="0.3">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spans="1:26" ht="13.5" customHeight="1" x14ac:dyDescent="0.3">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spans="1:26" ht="13.5" customHeight="1" x14ac:dyDescent="0.3">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spans="1:26" ht="13.5" customHeight="1" x14ac:dyDescent="0.3">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spans="1:26" ht="13.5" customHeight="1" x14ac:dyDescent="0.3">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spans="1:26" ht="13.5" customHeight="1" x14ac:dyDescent="0.3">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spans="1:26" ht="13.5" customHeight="1" x14ac:dyDescent="0.3">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spans="1:26" ht="13.5" customHeight="1" x14ac:dyDescent="0.3">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spans="1:26" ht="13.5" customHeight="1" x14ac:dyDescent="0.3">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spans="1:26" ht="13.5" customHeight="1" x14ac:dyDescent="0.3">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spans="1:26" ht="13.5" customHeight="1" x14ac:dyDescent="0.3">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spans="1:26" ht="13.5" customHeight="1" x14ac:dyDescent="0.3">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spans="1:26" ht="13.5" customHeight="1" x14ac:dyDescent="0.3">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spans="1:26" ht="13.5" customHeight="1" x14ac:dyDescent="0.3">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spans="1:26" ht="13.5" customHeight="1" x14ac:dyDescent="0.3">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spans="1:26" ht="13.5" customHeight="1" x14ac:dyDescent="0.3">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spans="1:26" ht="13.5" customHeight="1" x14ac:dyDescent="0.3">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spans="1:26" ht="13.5" customHeight="1" x14ac:dyDescent="0.3">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spans="1:26" ht="13.5" customHeight="1" x14ac:dyDescent="0.3">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spans="1:26" ht="13.5" customHeight="1" x14ac:dyDescent="0.3">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spans="1:26" ht="13.5" customHeight="1" x14ac:dyDescent="0.3">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spans="1:26" ht="13.5" customHeight="1" x14ac:dyDescent="0.3">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spans="1:26" ht="13.5" customHeight="1" x14ac:dyDescent="0.3">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spans="1:26" ht="13.5" customHeight="1" x14ac:dyDescent="0.3">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spans="1:26" ht="13.5" customHeight="1" x14ac:dyDescent="0.3">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spans="1:26" ht="13.5" customHeight="1" x14ac:dyDescent="0.3">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spans="1:26" ht="13.5" customHeight="1" x14ac:dyDescent="0.3">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spans="1:26" ht="13.5" customHeight="1" x14ac:dyDescent="0.3">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spans="1:26" ht="13.5" customHeight="1" x14ac:dyDescent="0.3">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spans="1:26" ht="13.5" customHeight="1" x14ac:dyDescent="0.3">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spans="1:26" ht="13.5" customHeight="1" x14ac:dyDescent="0.3">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spans="1:26" ht="13.5" customHeight="1" x14ac:dyDescent="0.3">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spans="1:26" ht="13.5" customHeight="1" x14ac:dyDescent="0.3">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spans="1:26" ht="13.5" customHeight="1" x14ac:dyDescent="0.3">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spans="1:26" ht="13.5" customHeight="1" x14ac:dyDescent="0.3">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spans="1:26" ht="13.5" customHeight="1" x14ac:dyDescent="0.3">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spans="1:26" ht="13.5" customHeight="1" x14ac:dyDescent="0.3">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spans="1:26" ht="13.5" customHeight="1" x14ac:dyDescent="0.3">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spans="1:26" ht="13.5" customHeight="1" x14ac:dyDescent="0.3">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spans="1:26" ht="13.5" customHeight="1" x14ac:dyDescent="0.3">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spans="1:26" ht="13.5" customHeight="1" x14ac:dyDescent="0.3">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spans="1:26" ht="13.5" customHeight="1" x14ac:dyDescent="0.3">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spans="1:26" ht="13.5" customHeight="1" x14ac:dyDescent="0.3">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spans="1:26" ht="13.5" customHeight="1" x14ac:dyDescent="0.3">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spans="1:26" ht="13.5" customHeight="1" x14ac:dyDescent="0.3">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spans="1:26" ht="13.5" customHeight="1" x14ac:dyDescent="0.3">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spans="1:26" ht="13.5" customHeight="1" x14ac:dyDescent="0.3">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spans="1:26" ht="13.5" customHeight="1" x14ac:dyDescent="0.3">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spans="1:26" ht="13.5" customHeight="1" x14ac:dyDescent="0.3">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spans="1:26" ht="13.5" customHeight="1" x14ac:dyDescent="0.3">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spans="1:26" ht="13.5" customHeight="1" x14ac:dyDescent="0.3">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spans="1:26" ht="13.5" customHeight="1" x14ac:dyDescent="0.3">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spans="1:26" ht="13.5" customHeight="1" x14ac:dyDescent="0.3">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spans="1:26" ht="13.5" customHeight="1" x14ac:dyDescent="0.3">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spans="1:26" ht="13.5" customHeight="1" x14ac:dyDescent="0.3">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spans="1:26" ht="13.5" customHeight="1" x14ac:dyDescent="0.3">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spans="1:26" ht="13.5" customHeight="1" x14ac:dyDescent="0.3">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spans="1:26" ht="13.5" customHeight="1" x14ac:dyDescent="0.3">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spans="1:26" ht="13.5" customHeight="1" x14ac:dyDescent="0.3">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spans="1:26" ht="13.5" customHeight="1" x14ac:dyDescent="0.3">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spans="1:26" ht="13.5" customHeight="1" x14ac:dyDescent="0.3">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spans="1:26" ht="13.5" customHeight="1" x14ac:dyDescent="0.3">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spans="1:26" ht="13.5" customHeight="1" x14ac:dyDescent="0.3">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spans="1:26" ht="13.5" customHeight="1" x14ac:dyDescent="0.3">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spans="1:26" ht="13.5" customHeight="1" x14ac:dyDescent="0.3">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spans="1:26" ht="13.5" customHeight="1" x14ac:dyDescent="0.3">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spans="1:26" ht="13.5" customHeight="1" x14ac:dyDescent="0.3">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spans="1:26" ht="13.5" customHeight="1" x14ac:dyDescent="0.3">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spans="1:26" ht="13.5" customHeight="1" x14ac:dyDescent="0.3">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spans="1:26" ht="13.5" customHeight="1" x14ac:dyDescent="0.3">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spans="1:26" ht="13.5" customHeight="1" x14ac:dyDescent="0.3">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spans="1:26" ht="13.5" customHeight="1" x14ac:dyDescent="0.3">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spans="1:26" ht="13.5" customHeight="1" x14ac:dyDescent="0.3">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spans="1:26" ht="13.5" customHeight="1" x14ac:dyDescent="0.3">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spans="1:26" ht="13.5" customHeight="1" x14ac:dyDescent="0.3">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spans="1:26" ht="13.5" customHeight="1" x14ac:dyDescent="0.3">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spans="1:26" ht="13.5" customHeight="1" x14ac:dyDescent="0.3">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spans="1:26" ht="13.5" customHeight="1" x14ac:dyDescent="0.3">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spans="1:26" ht="13.5" customHeight="1" x14ac:dyDescent="0.3">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spans="1:26" ht="13.5" customHeight="1" x14ac:dyDescent="0.3">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spans="1:26" ht="13.5" customHeight="1" x14ac:dyDescent="0.3">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spans="1:26" ht="13.5" customHeight="1" x14ac:dyDescent="0.3">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spans="1:26" ht="13.5" customHeight="1" x14ac:dyDescent="0.3">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spans="1:26" ht="13.5" customHeight="1" x14ac:dyDescent="0.3">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spans="1:26" ht="13.5" customHeight="1" x14ac:dyDescent="0.3">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spans="1:26" ht="13.5" customHeight="1" x14ac:dyDescent="0.3">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spans="1:26" ht="13.5" customHeight="1" x14ac:dyDescent="0.3">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spans="1:26" ht="13.5" customHeight="1" x14ac:dyDescent="0.3">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spans="1:26" ht="13.5" customHeight="1" x14ac:dyDescent="0.3">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spans="1:26" ht="13.5" customHeight="1" x14ac:dyDescent="0.3">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spans="1:26" ht="13.5" customHeight="1" x14ac:dyDescent="0.3">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spans="1:26" ht="13.5" customHeight="1" x14ac:dyDescent="0.3">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spans="1:26" ht="13.5" customHeight="1" x14ac:dyDescent="0.3">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spans="1:26" ht="13.5" customHeight="1" x14ac:dyDescent="0.3">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spans="1:26" ht="13.5" customHeight="1" x14ac:dyDescent="0.3">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spans="1:26" ht="13.5" customHeight="1" x14ac:dyDescent="0.3">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spans="1:26" ht="13.5" customHeight="1" x14ac:dyDescent="0.3">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spans="1:26" ht="13.5" customHeight="1" x14ac:dyDescent="0.3">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spans="1:26" ht="13.5" customHeight="1" x14ac:dyDescent="0.3">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spans="1:26" ht="13.5" customHeight="1" x14ac:dyDescent="0.3">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spans="1:26" ht="13.5" customHeight="1" x14ac:dyDescent="0.3">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spans="1:26" ht="13.5" customHeight="1" x14ac:dyDescent="0.3">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spans="1:26" ht="13.5" customHeight="1" x14ac:dyDescent="0.3">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spans="1:26" ht="13.5" customHeight="1" x14ac:dyDescent="0.3">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spans="1:26" ht="13.5" customHeight="1" x14ac:dyDescent="0.3">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spans="1:26" ht="13.5" customHeight="1" x14ac:dyDescent="0.3">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spans="1:26" ht="13.5" customHeight="1" x14ac:dyDescent="0.3">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spans="1:26" ht="13.5" customHeight="1" x14ac:dyDescent="0.3">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spans="1:26" ht="13.5" customHeight="1" x14ac:dyDescent="0.3">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spans="1:26" ht="13.5" customHeight="1" x14ac:dyDescent="0.3">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spans="1:26" ht="13.5" customHeight="1" x14ac:dyDescent="0.3">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spans="1:26" ht="13.5" customHeight="1" x14ac:dyDescent="0.3">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spans="1:26" ht="13.5" customHeight="1" x14ac:dyDescent="0.3">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spans="1:26" ht="13.5" customHeight="1" x14ac:dyDescent="0.3">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spans="1:26" ht="13.5" customHeight="1" x14ac:dyDescent="0.3">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spans="1:26" ht="13.5" customHeight="1" x14ac:dyDescent="0.3">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spans="1:26" ht="13.5" customHeight="1" x14ac:dyDescent="0.3">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spans="1:26" ht="13.5" customHeight="1" x14ac:dyDescent="0.3">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spans="1:26" ht="13.5" customHeight="1" x14ac:dyDescent="0.3">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spans="1:26" ht="13.5" customHeight="1" x14ac:dyDescent="0.3">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spans="1:26" ht="13.5" customHeight="1" x14ac:dyDescent="0.3">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spans="1:26" ht="13.5" customHeight="1" x14ac:dyDescent="0.3">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spans="1:26" ht="13.5" customHeight="1" x14ac:dyDescent="0.3">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spans="1:26" ht="13.5" customHeight="1" x14ac:dyDescent="0.3">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spans="1:26" ht="13.5" customHeight="1" x14ac:dyDescent="0.3">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spans="1:26" ht="13.5" customHeight="1" x14ac:dyDescent="0.3">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spans="1:26" ht="13.5" customHeight="1" x14ac:dyDescent="0.3">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spans="1:26" ht="13.5" customHeight="1" x14ac:dyDescent="0.3">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spans="1:26" ht="13.5" customHeight="1" x14ac:dyDescent="0.3">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spans="1:26" ht="13.5" customHeight="1" x14ac:dyDescent="0.3">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spans="1:26" ht="13.5" customHeight="1" x14ac:dyDescent="0.3">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spans="1:26" ht="13.5" customHeight="1" x14ac:dyDescent="0.3">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spans="1:26" ht="13.5" customHeight="1" x14ac:dyDescent="0.3">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spans="1:26" ht="13.5" customHeight="1" x14ac:dyDescent="0.3">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spans="1:26" ht="13.5" customHeight="1" x14ac:dyDescent="0.3">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spans="1:26" ht="13.5" customHeight="1" x14ac:dyDescent="0.3">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spans="1:26" ht="13.5" customHeight="1" x14ac:dyDescent="0.3">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spans="1:26" ht="13.5" customHeight="1" x14ac:dyDescent="0.3">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spans="1:26" ht="13.5" customHeight="1" x14ac:dyDescent="0.3">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spans="1:26" ht="13.5" customHeight="1" x14ac:dyDescent="0.3">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spans="1:26" ht="13.5" customHeight="1" x14ac:dyDescent="0.3">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spans="1:26" ht="13.5" customHeight="1" x14ac:dyDescent="0.3">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spans="1:26" ht="13.5" customHeight="1" x14ac:dyDescent="0.3">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spans="1:26" ht="13.5" customHeight="1" x14ac:dyDescent="0.3">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spans="1:26" ht="13.5" customHeight="1" x14ac:dyDescent="0.3">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spans="1:26" ht="13.5" customHeight="1" x14ac:dyDescent="0.3">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spans="1:26" ht="13.5" customHeight="1" x14ac:dyDescent="0.3">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spans="1:26" ht="13.5" customHeight="1" x14ac:dyDescent="0.3">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spans="1:26" ht="13.5" customHeight="1" x14ac:dyDescent="0.3">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spans="1:26" ht="13.5" customHeight="1" x14ac:dyDescent="0.3">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spans="1:26" ht="13.5" customHeight="1" x14ac:dyDescent="0.3">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spans="1:26" ht="13.5" customHeight="1" x14ac:dyDescent="0.3">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spans="1:26" ht="13.5" customHeight="1" x14ac:dyDescent="0.3">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spans="1:26" ht="13.5" customHeight="1" x14ac:dyDescent="0.3">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spans="1:26" ht="13.5" customHeight="1" x14ac:dyDescent="0.3">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spans="1:26" ht="13.5" customHeight="1" x14ac:dyDescent="0.3">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spans="1:26" ht="13.5" customHeight="1" x14ac:dyDescent="0.3">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spans="1:26" ht="13.5" customHeight="1" x14ac:dyDescent="0.3">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spans="1:26" ht="13.5" customHeight="1" x14ac:dyDescent="0.3">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spans="1:26" ht="13.5" customHeight="1" x14ac:dyDescent="0.3">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spans="1:26" ht="13.5" customHeight="1" x14ac:dyDescent="0.3">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spans="1:26" ht="13.5" customHeight="1" x14ac:dyDescent="0.3">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spans="1:26" ht="13.5" customHeight="1" x14ac:dyDescent="0.3">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spans="1:26" ht="13.5" customHeight="1" x14ac:dyDescent="0.3">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spans="1:26" ht="13.5" customHeight="1" x14ac:dyDescent="0.3">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spans="1:26" ht="13.5" customHeight="1" x14ac:dyDescent="0.3">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spans="1:26" ht="13.5" customHeight="1" x14ac:dyDescent="0.3">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spans="1:26" ht="13.5" customHeight="1" x14ac:dyDescent="0.3">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spans="1:26" ht="13.5" customHeight="1" x14ac:dyDescent="0.3">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spans="1:26" ht="13.5" customHeight="1" x14ac:dyDescent="0.3">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spans="1:26" ht="13.5" customHeight="1" x14ac:dyDescent="0.3">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spans="1:26" ht="13.5" customHeight="1" x14ac:dyDescent="0.3">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spans="1:26" ht="13.5" customHeight="1" x14ac:dyDescent="0.3">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spans="1:26" ht="13.5" customHeight="1" x14ac:dyDescent="0.3">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spans="1:26" ht="13.5" customHeight="1" x14ac:dyDescent="0.3">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spans="1:26" ht="13.5" customHeight="1" x14ac:dyDescent="0.3">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spans="1:26" ht="13.5" customHeight="1" x14ac:dyDescent="0.3">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spans="1:26" ht="13.5" customHeight="1" x14ac:dyDescent="0.3">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spans="1:26" ht="13.5" customHeight="1" x14ac:dyDescent="0.3">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spans="1:26" ht="13.5" customHeight="1" x14ac:dyDescent="0.3">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spans="1:26" ht="13.5" customHeight="1" x14ac:dyDescent="0.3">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spans="1:26" ht="13.5" customHeight="1" x14ac:dyDescent="0.3">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spans="1:26" ht="13.5" customHeight="1" x14ac:dyDescent="0.3">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spans="1:26" ht="13.5" customHeight="1" x14ac:dyDescent="0.3">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spans="1:26" ht="13.5" customHeight="1" x14ac:dyDescent="0.3">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spans="1:26" ht="13.5" customHeight="1" x14ac:dyDescent="0.3">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spans="1:26" ht="13.5" customHeight="1" x14ac:dyDescent="0.3">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spans="1:26" ht="13.5" customHeight="1" x14ac:dyDescent="0.3">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spans="1:26" ht="13.5" customHeight="1" x14ac:dyDescent="0.3">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spans="1:26" ht="13.5" customHeight="1" x14ac:dyDescent="0.3">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spans="1:26" ht="13.5" customHeight="1" x14ac:dyDescent="0.3">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spans="1:26" ht="13.5" customHeight="1" x14ac:dyDescent="0.3">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spans="1:26" ht="13.5" customHeight="1" x14ac:dyDescent="0.3">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spans="1:26" ht="13.5" customHeight="1" x14ac:dyDescent="0.3">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spans="1:26" ht="13.5" customHeight="1" x14ac:dyDescent="0.3">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spans="1:26" ht="13.5" customHeight="1" x14ac:dyDescent="0.3">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spans="1:26" ht="13.5" customHeight="1" x14ac:dyDescent="0.3">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spans="1:26" ht="13.5" customHeight="1" x14ac:dyDescent="0.3">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spans="1:26" ht="13.5" customHeight="1" x14ac:dyDescent="0.3">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spans="1:26" ht="13.5" customHeight="1" x14ac:dyDescent="0.3">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spans="1:26" ht="13.5" customHeight="1" x14ac:dyDescent="0.3">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spans="1:26" ht="13.5" customHeight="1" x14ac:dyDescent="0.3">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spans="1:26" ht="13.5" customHeight="1" x14ac:dyDescent="0.3">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spans="1:26" ht="13.5" customHeight="1" x14ac:dyDescent="0.3">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spans="1:26" ht="13.5" customHeight="1" x14ac:dyDescent="0.3">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spans="1:26" ht="13.5" customHeight="1" x14ac:dyDescent="0.3">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spans="1:26" ht="13.5" customHeight="1" x14ac:dyDescent="0.3">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spans="1:26" ht="13.5" customHeight="1" x14ac:dyDescent="0.3">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spans="1:26" ht="13.5" customHeight="1" x14ac:dyDescent="0.3">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spans="1:26" ht="13.5" customHeight="1" x14ac:dyDescent="0.3">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spans="1:26" ht="13.5" customHeight="1" x14ac:dyDescent="0.3">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spans="1:26" ht="13.5" customHeight="1" x14ac:dyDescent="0.3">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spans="1:26" ht="13.5" customHeight="1" x14ac:dyDescent="0.3">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spans="1:26" ht="13.5" customHeight="1" x14ac:dyDescent="0.3">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spans="1:26" ht="13.5" customHeight="1" x14ac:dyDescent="0.3">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spans="1:26" ht="13.5" customHeight="1" x14ac:dyDescent="0.3">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spans="1:26" ht="13.5" customHeight="1" x14ac:dyDescent="0.3">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spans="1:26" ht="13.5" customHeight="1" x14ac:dyDescent="0.3">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spans="1:26" ht="13.5" customHeight="1" x14ac:dyDescent="0.3">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spans="1:26" ht="13.5" customHeight="1" x14ac:dyDescent="0.3">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spans="1:26" ht="13.5" customHeight="1" x14ac:dyDescent="0.3">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spans="1:26" ht="13.5" customHeight="1" x14ac:dyDescent="0.3">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spans="1:26" ht="13.5" customHeight="1" x14ac:dyDescent="0.3">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spans="1:26" ht="13.5" customHeight="1" x14ac:dyDescent="0.3">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spans="1:26" ht="13.5" customHeight="1" x14ac:dyDescent="0.3">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spans="1:26" ht="13.5" customHeight="1" x14ac:dyDescent="0.3">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spans="1:26" ht="13.5" customHeight="1" x14ac:dyDescent="0.3">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spans="1:26" ht="13.5" customHeight="1" x14ac:dyDescent="0.3">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spans="1:26" ht="13.5" customHeight="1" x14ac:dyDescent="0.3">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spans="1:26" ht="13.5" customHeight="1" x14ac:dyDescent="0.3">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spans="1:26" ht="13.5" customHeight="1" x14ac:dyDescent="0.3">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spans="1:26" ht="13.5" customHeight="1" x14ac:dyDescent="0.3">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spans="1:26" ht="13.5" customHeight="1" x14ac:dyDescent="0.3">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spans="1:26" ht="13.5" customHeight="1" x14ac:dyDescent="0.3">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spans="1:26" ht="13.5" customHeight="1" x14ac:dyDescent="0.3">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spans="1:26" ht="13.5" customHeight="1" x14ac:dyDescent="0.3">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spans="1:26" ht="13.5" customHeight="1" x14ac:dyDescent="0.3">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spans="1:26" ht="13.5" customHeight="1" x14ac:dyDescent="0.3">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spans="1:26" ht="13.5" customHeight="1" x14ac:dyDescent="0.3">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spans="1:26" ht="13.5" customHeight="1" x14ac:dyDescent="0.3">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spans="1:26" ht="13.5" customHeight="1" x14ac:dyDescent="0.3">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spans="1:26" ht="13.5" customHeight="1" x14ac:dyDescent="0.3">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spans="1:26" ht="13.5" customHeight="1" x14ac:dyDescent="0.3">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spans="1:26" ht="13.5" customHeight="1" x14ac:dyDescent="0.3">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spans="1:26" ht="13.5" customHeight="1" x14ac:dyDescent="0.3">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spans="1:26" ht="13.5" customHeight="1" x14ac:dyDescent="0.3">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spans="1:26" ht="13.5" customHeight="1" x14ac:dyDescent="0.3">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spans="1:26" ht="13.5" customHeight="1" x14ac:dyDescent="0.3">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spans="1:26" ht="13.5" customHeight="1" x14ac:dyDescent="0.3">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spans="1:26" ht="13.5" customHeight="1" x14ac:dyDescent="0.3">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spans="1:26" ht="13.5" customHeight="1" x14ac:dyDescent="0.3">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spans="1:26" ht="13.5" customHeight="1" x14ac:dyDescent="0.3">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spans="1:26" ht="13.5" customHeight="1" x14ac:dyDescent="0.3">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spans="1:26" ht="13.5" customHeight="1" x14ac:dyDescent="0.3">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spans="1:26" ht="13.5" customHeight="1" x14ac:dyDescent="0.3">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spans="1:26" ht="13.5" customHeight="1" x14ac:dyDescent="0.3">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spans="1:26" ht="13.5" customHeight="1" x14ac:dyDescent="0.3">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spans="1:26" ht="13.5" customHeight="1" x14ac:dyDescent="0.3">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spans="1:26" ht="13.5" customHeight="1" x14ac:dyDescent="0.3">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spans="1:26" ht="13.5" customHeight="1" x14ac:dyDescent="0.3">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spans="1:26" ht="13.5" customHeight="1" x14ac:dyDescent="0.3">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spans="1:26" ht="13.5" customHeight="1" x14ac:dyDescent="0.3">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spans="1:26" ht="13.5" customHeight="1" x14ac:dyDescent="0.3">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spans="1:26" ht="13.5" customHeight="1" x14ac:dyDescent="0.3">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spans="1:26" ht="13.5" customHeight="1" x14ac:dyDescent="0.3">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spans="1:26" ht="13.5" customHeight="1" x14ac:dyDescent="0.3">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spans="1:26" ht="13.5" customHeight="1" x14ac:dyDescent="0.3">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spans="1:26" ht="13.5" customHeight="1" x14ac:dyDescent="0.3">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spans="1:26" ht="13.5" customHeight="1" x14ac:dyDescent="0.3">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spans="1:26" ht="13.5" customHeight="1" x14ac:dyDescent="0.3">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spans="1:26" ht="13.5" customHeight="1" x14ac:dyDescent="0.3">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spans="1:26" ht="13.5" customHeight="1" x14ac:dyDescent="0.3">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spans="1:26" ht="13.5" customHeight="1" x14ac:dyDescent="0.3">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spans="1:26" ht="13.5" customHeight="1" x14ac:dyDescent="0.3">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spans="1:26" ht="13.5" customHeight="1" x14ac:dyDescent="0.3">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spans="1:26" ht="13.5" customHeight="1" x14ac:dyDescent="0.3">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spans="1:26" ht="13.5" customHeight="1" x14ac:dyDescent="0.3">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spans="1:26" ht="13.5" customHeight="1" x14ac:dyDescent="0.3">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spans="1:26" ht="13.5" customHeight="1" x14ac:dyDescent="0.3">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spans="1:26" ht="13.5" customHeight="1" x14ac:dyDescent="0.3">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spans="1:26" ht="13.5" customHeight="1" x14ac:dyDescent="0.3">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spans="1:26" ht="13.5" customHeight="1" x14ac:dyDescent="0.3">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spans="1:26" ht="13.5" customHeight="1" x14ac:dyDescent="0.3">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spans="1:26" ht="13.5" customHeight="1" x14ac:dyDescent="0.3">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spans="1:26" ht="13.5" customHeight="1" x14ac:dyDescent="0.3">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spans="1:26" ht="13.5" customHeight="1" x14ac:dyDescent="0.3">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spans="1:26" ht="13.5" customHeight="1" x14ac:dyDescent="0.3">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spans="1:26" ht="13.5" customHeight="1" x14ac:dyDescent="0.3">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spans="1:26" ht="13.5" customHeight="1" x14ac:dyDescent="0.3">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spans="1:26" ht="13.5" customHeight="1" x14ac:dyDescent="0.3">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spans="1:26" ht="13.5" customHeight="1" x14ac:dyDescent="0.3">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spans="1:26" ht="13.5" customHeight="1" x14ac:dyDescent="0.3">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spans="1:26" ht="13.5" customHeight="1" x14ac:dyDescent="0.3">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spans="1:26" ht="13.5" customHeight="1" x14ac:dyDescent="0.3">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spans="1:26" ht="13.5" customHeight="1" x14ac:dyDescent="0.3">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spans="1:26" ht="13.5" customHeight="1" x14ac:dyDescent="0.3">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spans="1:26" ht="13.5" customHeight="1" x14ac:dyDescent="0.3">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spans="1:26" ht="13.5" customHeight="1" x14ac:dyDescent="0.3">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spans="1:26" ht="13.5" customHeight="1" x14ac:dyDescent="0.3">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spans="1:26" ht="13.5" customHeight="1" x14ac:dyDescent="0.3">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spans="1:26" ht="13.5" customHeight="1" x14ac:dyDescent="0.3">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spans="1:26" ht="13.5" customHeight="1" x14ac:dyDescent="0.3">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spans="1:26" ht="13.5" customHeight="1" x14ac:dyDescent="0.3">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spans="1:26" ht="13.5" customHeight="1" x14ac:dyDescent="0.3">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spans="1:26" ht="13.5" customHeight="1" x14ac:dyDescent="0.3">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spans="1:26" ht="13.5" customHeight="1" x14ac:dyDescent="0.3">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spans="1:26" ht="13.5" customHeight="1" x14ac:dyDescent="0.3">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spans="1:26" ht="13.5" customHeight="1" x14ac:dyDescent="0.3">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spans="1:26" ht="13.5" customHeight="1" x14ac:dyDescent="0.3">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spans="1:26" ht="13.5" customHeight="1" x14ac:dyDescent="0.3">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spans="1:26" ht="13.5" customHeight="1" x14ac:dyDescent="0.3">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spans="1:26" ht="13.5" customHeight="1" x14ac:dyDescent="0.3">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spans="1:26" ht="13.5" customHeight="1" x14ac:dyDescent="0.3">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spans="1:26" ht="13.5" customHeight="1" x14ac:dyDescent="0.3">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spans="1:26" ht="13.5" customHeight="1" x14ac:dyDescent="0.3">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spans="1:26" ht="13.5" customHeight="1" x14ac:dyDescent="0.3">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spans="1:26" ht="13.5" customHeight="1" x14ac:dyDescent="0.3">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spans="1:26" ht="13.5" customHeight="1" x14ac:dyDescent="0.3">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spans="1:26" ht="13.5" customHeight="1" x14ac:dyDescent="0.3">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spans="1:26" ht="13.5" customHeight="1" x14ac:dyDescent="0.3">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spans="1:26" ht="13.5" customHeight="1" x14ac:dyDescent="0.3">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spans="1:26" ht="13.5" customHeight="1" x14ac:dyDescent="0.3">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spans="1:26" ht="13.5" customHeight="1" x14ac:dyDescent="0.3">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spans="1:26" ht="13.5" customHeight="1" x14ac:dyDescent="0.3">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spans="1:26" ht="13.5" customHeight="1" x14ac:dyDescent="0.3">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spans="1:26" ht="13.5" customHeight="1" x14ac:dyDescent="0.3">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spans="1:26" ht="13.5" customHeight="1" x14ac:dyDescent="0.3">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spans="1:26" ht="13.5" customHeight="1" x14ac:dyDescent="0.3">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spans="1:26" ht="13.5" customHeight="1" x14ac:dyDescent="0.3">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spans="1:26" ht="13.5" customHeight="1" x14ac:dyDescent="0.3">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spans="1:26" ht="13.5" customHeight="1" x14ac:dyDescent="0.3">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spans="1:26" ht="13.5" customHeight="1" x14ac:dyDescent="0.3">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spans="1:26" ht="13.5" customHeight="1" x14ac:dyDescent="0.3">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spans="1:26" ht="13.5" customHeight="1" x14ac:dyDescent="0.3">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ht="13.5" customHeight="1" x14ac:dyDescent="0.3">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ht="13.5" customHeight="1" x14ac:dyDescent="0.3">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ht="13.5" customHeight="1" x14ac:dyDescent="0.3">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ht="13.5" customHeight="1" x14ac:dyDescent="0.3">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ht="13.5" customHeight="1" x14ac:dyDescent="0.3">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ht="13.5" customHeight="1" x14ac:dyDescent="0.3">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ht="13.5" customHeight="1" x14ac:dyDescent="0.3">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ht="13.5" customHeight="1" x14ac:dyDescent="0.3">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ht="13.5" customHeight="1" x14ac:dyDescent="0.3">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ht="13.5" customHeight="1" x14ac:dyDescent="0.3">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ht="13.5" customHeight="1" x14ac:dyDescent="0.3">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ht="13.5" customHeight="1" x14ac:dyDescent="0.3">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ht="13.5" customHeight="1" x14ac:dyDescent="0.3">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ht="13.5" customHeight="1" x14ac:dyDescent="0.3">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ht="13.5" customHeight="1" x14ac:dyDescent="0.3">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ht="13.5" customHeight="1" x14ac:dyDescent="0.3">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ht="13.5" customHeight="1" x14ac:dyDescent="0.3">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ht="13.5" customHeight="1" x14ac:dyDescent="0.3">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ht="13.5" customHeight="1" x14ac:dyDescent="0.3">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ht="13.5" customHeight="1" x14ac:dyDescent="0.3">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ht="13.5" customHeight="1" x14ac:dyDescent="0.3">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ht="13.5" customHeight="1" x14ac:dyDescent="0.3">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ht="13.5" customHeight="1" x14ac:dyDescent="0.3">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ht="13.5" customHeight="1" x14ac:dyDescent="0.3">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ht="13.5" customHeight="1" x14ac:dyDescent="0.3">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ht="13.5" customHeight="1" x14ac:dyDescent="0.3">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ht="13.5" customHeight="1" x14ac:dyDescent="0.3">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ht="13.5" customHeight="1" x14ac:dyDescent="0.3">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ht="13.5" customHeight="1" x14ac:dyDescent="0.3">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ht="13.5" customHeight="1" x14ac:dyDescent="0.3">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ht="13.5" customHeight="1" x14ac:dyDescent="0.3">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ht="13.5" customHeight="1" x14ac:dyDescent="0.3">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ht="13.5" customHeight="1" x14ac:dyDescent="0.3">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ht="13.5" customHeight="1" x14ac:dyDescent="0.3">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ht="13.5" customHeight="1" x14ac:dyDescent="0.3">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ht="13.5" customHeight="1" x14ac:dyDescent="0.3">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ht="13.5" customHeight="1" x14ac:dyDescent="0.3">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ht="13.5" customHeight="1" x14ac:dyDescent="0.3">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ht="13.5" customHeight="1" x14ac:dyDescent="0.3">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ht="13.5" customHeight="1" x14ac:dyDescent="0.3">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ht="13.5" customHeight="1" x14ac:dyDescent="0.3">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ht="13.5" customHeight="1" x14ac:dyDescent="0.3">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ht="13.5" customHeight="1" x14ac:dyDescent="0.3">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ht="13.5" customHeight="1" x14ac:dyDescent="0.3">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ht="13.5" customHeight="1" x14ac:dyDescent="0.3">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ht="13.5" customHeight="1" x14ac:dyDescent="0.3">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ht="13.5" customHeight="1" x14ac:dyDescent="0.3">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ht="13.5" customHeight="1" x14ac:dyDescent="0.3">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ht="13.5" customHeight="1" x14ac:dyDescent="0.3">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ht="13.5" customHeight="1" x14ac:dyDescent="0.3">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ht="13.5" customHeight="1" x14ac:dyDescent="0.3">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ht="13.5" customHeight="1" x14ac:dyDescent="0.3">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ht="13.5" customHeight="1" x14ac:dyDescent="0.3">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ht="13.5" customHeight="1" x14ac:dyDescent="0.3">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ht="13.5" customHeight="1" x14ac:dyDescent="0.3">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ht="13.5" customHeight="1" x14ac:dyDescent="0.3">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ht="13.5" customHeight="1" x14ac:dyDescent="0.3">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ht="13.5" customHeight="1" x14ac:dyDescent="0.3">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ht="13.5" customHeight="1" x14ac:dyDescent="0.3">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ht="13.5" customHeight="1" x14ac:dyDescent="0.3">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ht="13.5" customHeight="1" x14ac:dyDescent="0.3">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ht="13.5" customHeight="1" x14ac:dyDescent="0.3">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ht="13.5" customHeight="1" x14ac:dyDescent="0.3">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ht="13.5" customHeight="1" x14ac:dyDescent="0.3">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ht="13.5" customHeight="1" x14ac:dyDescent="0.3">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ht="13.5" customHeight="1" x14ac:dyDescent="0.3">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ht="13.5" customHeight="1" x14ac:dyDescent="0.3">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ht="13.5" customHeight="1" x14ac:dyDescent="0.3">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ht="13.5" customHeight="1" x14ac:dyDescent="0.3">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ht="13.5" customHeight="1" x14ac:dyDescent="0.3">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ht="13.5" customHeight="1" x14ac:dyDescent="0.3">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ht="13.5" customHeight="1" x14ac:dyDescent="0.3">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ht="13.5" customHeight="1" x14ac:dyDescent="0.3">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ht="13.5" customHeight="1" x14ac:dyDescent="0.3">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ht="13.5" customHeight="1" x14ac:dyDescent="0.3">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ht="13.5" customHeight="1" x14ac:dyDescent="0.3">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ht="13.5" customHeight="1" x14ac:dyDescent="0.3">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ht="13.5" customHeight="1" x14ac:dyDescent="0.3">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ht="13.5" customHeight="1" x14ac:dyDescent="0.3">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ht="13.5" customHeight="1" x14ac:dyDescent="0.3">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ht="13.5" customHeight="1" x14ac:dyDescent="0.3">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ht="13.5" customHeight="1" x14ac:dyDescent="0.3">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ht="13.5" customHeight="1" x14ac:dyDescent="0.3">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ht="13.5" customHeight="1" x14ac:dyDescent="0.3">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ht="13.5" customHeight="1" x14ac:dyDescent="0.3">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ht="13.5" customHeight="1" x14ac:dyDescent="0.3">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ht="13.5" customHeight="1" x14ac:dyDescent="0.3">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ht="13.5" customHeight="1" x14ac:dyDescent="0.3">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ht="13.5" customHeight="1" x14ac:dyDescent="0.3">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ht="13.5" customHeight="1" x14ac:dyDescent="0.3">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ht="13.5" customHeight="1" x14ac:dyDescent="0.3">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ht="13.5" customHeight="1" x14ac:dyDescent="0.3">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ht="13.5" customHeight="1" x14ac:dyDescent="0.3">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ht="13.5" customHeight="1" x14ac:dyDescent="0.3">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ht="13.5" customHeight="1" x14ac:dyDescent="0.3">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ht="13.5" customHeight="1" x14ac:dyDescent="0.3">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ht="13.5" customHeight="1" x14ac:dyDescent="0.3">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ht="13.5" customHeight="1" x14ac:dyDescent="0.3">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ht="13.5" customHeight="1" x14ac:dyDescent="0.3">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ht="13.5" customHeight="1" x14ac:dyDescent="0.3">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ht="13.5" customHeight="1" x14ac:dyDescent="0.3">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ht="13.5" customHeight="1" x14ac:dyDescent="0.3">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ht="13.5" customHeight="1" x14ac:dyDescent="0.3">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ht="13.5" customHeight="1" x14ac:dyDescent="0.3">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ht="13.5" customHeight="1" x14ac:dyDescent="0.3">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ht="13.5" customHeight="1" x14ac:dyDescent="0.3">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ht="13.5" customHeight="1" x14ac:dyDescent="0.3">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ht="13.5" customHeight="1" x14ac:dyDescent="0.3">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ht="13.5" customHeight="1" x14ac:dyDescent="0.3">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ht="13.5" customHeight="1" x14ac:dyDescent="0.3">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ht="13.5" customHeight="1" x14ac:dyDescent="0.3">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ht="13.5" customHeight="1" x14ac:dyDescent="0.3">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ht="13.5" customHeight="1" x14ac:dyDescent="0.3">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ht="13.5" customHeight="1" x14ac:dyDescent="0.3">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ht="13.5" customHeight="1" x14ac:dyDescent="0.3">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ht="13.5" customHeight="1" x14ac:dyDescent="0.3">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ht="13.5" customHeight="1" x14ac:dyDescent="0.3">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ht="13.5" customHeight="1" x14ac:dyDescent="0.3">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ht="13.5" customHeight="1" x14ac:dyDescent="0.3">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ht="13.5" customHeight="1" x14ac:dyDescent="0.3">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ht="13.5" customHeight="1" x14ac:dyDescent="0.3">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ht="13.5" customHeight="1" x14ac:dyDescent="0.3">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ht="13.5" customHeight="1" x14ac:dyDescent="0.3">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ht="13.5" customHeight="1" x14ac:dyDescent="0.3">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ht="13.5" customHeight="1" x14ac:dyDescent="0.3">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ht="13.5" customHeight="1" x14ac:dyDescent="0.3">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ht="13.5" customHeight="1" x14ac:dyDescent="0.3">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ht="13.5" customHeight="1" x14ac:dyDescent="0.3">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ht="13.5" customHeight="1" x14ac:dyDescent="0.3">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ht="13.5" customHeight="1" x14ac:dyDescent="0.3">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ht="13.5" customHeight="1" x14ac:dyDescent="0.3">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ht="13.5" customHeight="1" x14ac:dyDescent="0.3">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ht="13.5" customHeight="1" x14ac:dyDescent="0.3">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ht="13.5" customHeight="1" x14ac:dyDescent="0.3">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ht="13.5" customHeight="1" x14ac:dyDescent="0.3">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ht="13.5" customHeight="1" x14ac:dyDescent="0.3">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ht="13.5" customHeight="1" x14ac:dyDescent="0.3">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ht="13.5" customHeight="1" x14ac:dyDescent="0.3">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ht="13.5" customHeight="1" x14ac:dyDescent="0.3">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ht="13.5" customHeight="1" x14ac:dyDescent="0.3">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ht="13.5" customHeight="1" x14ac:dyDescent="0.3">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ht="13.5" customHeight="1" x14ac:dyDescent="0.3">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ht="13.5" customHeight="1" x14ac:dyDescent="0.3">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ht="13.5" customHeight="1" x14ac:dyDescent="0.3">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ht="13.5" customHeight="1" x14ac:dyDescent="0.3">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ht="13.5" customHeight="1" x14ac:dyDescent="0.3">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ht="13.5" customHeight="1" x14ac:dyDescent="0.3">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ht="13.5" customHeight="1" x14ac:dyDescent="0.3">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ht="13.5" customHeight="1" x14ac:dyDescent="0.3">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ht="13.5" customHeight="1" x14ac:dyDescent="0.3">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ht="13.5" customHeight="1" x14ac:dyDescent="0.3">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ht="13.5" customHeight="1" x14ac:dyDescent="0.3">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ht="13.5" customHeight="1" x14ac:dyDescent="0.3">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ht="13.5" customHeight="1" x14ac:dyDescent="0.3">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ht="13.5" customHeight="1" x14ac:dyDescent="0.3">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ht="13.5" customHeight="1" x14ac:dyDescent="0.3">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ht="13.5" customHeight="1" x14ac:dyDescent="0.3">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ht="13.5" customHeight="1" x14ac:dyDescent="0.3">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ht="13.5" customHeight="1" x14ac:dyDescent="0.3">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ht="13.5" customHeight="1" x14ac:dyDescent="0.3">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ht="13.5" customHeight="1" x14ac:dyDescent="0.3">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ht="13.5" customHeight="1" x14ac:dyDescent="0.3">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ht="13.5" customHeight="1" x14ac:dyDescent="0.3">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ht="13.5" customHeight="1" x14ac:dyDescent="0.3">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ht="13.5" customHeight="1" x14ac:dyDescent="0.3">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ht="13.5" customHeight="1" x14ac:dyDescent="0.3">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ht="13.5" customHeight="1" x14ac:dyDescent="0.3">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ht="13.5" customHeight="1" x14ac:dyDescent="0.3">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ht="13.5" customHeight="1" x14ac:dyDescent="0.3">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ht="13.5" customHeight="1" x14ac:dyDescent="0.3">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ht="13.5" customHeight="1" x14ac:dyDescent="0.3">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ht="13.5" customHeight="1" x14ac:dyDescent="0.3">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ht="13.5" customHeight="1" x14ac:dyDescent="0.3">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ht="13.5" customHeight="1" x14ac:dyDescent="0.3">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ht="13.5" customHeight="1" x14ac:dyDescent="0.3">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ht="13.5" customHeight="1" x14ac:dyDescent="0.3">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ht="13.5" customHeight="1" x14ac:dyDescent="0.3">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ht="13.5" customHeight="1" x14ac:dyDescent="0.3">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ht="13.5" customHeight="1" x14ac:dyDescent="0.3">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ht="13.5" customHeight="1" x14ac:dyDescent="0.3">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ht="13.5" customHeight="1" x14ac:dyDescent="0.3">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ht="13.5" customHeight="1" x14ac:dyDescent="0.3">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ht="13.5" customHeight="1" x14ac:dyDescent="0.3">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ht="13.5" customHeight="1" x14ac:dyDescent="0.3">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ht="13.5" customHeight="1" x14ac:dyDescent="0.3">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ht="13.5" customHeight="1" x14ac:dyDescent="0.3">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ht="13.5" customHeight="1" x14ac:dyDescent="0.3">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ht="13.5" customHeight="1" x14ac:dyDescent="0.3">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ht="13.5" customHeight="1" x14ac:dyDescent="0.3">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ht="13.5" customHeight="1" x14ac:dyDescent="0.3">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ht="13.5" customHeight="1" x14ac:dyDescent="0.3">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ht="13.5" customHeight="1" x14ac:dyDescent="0.3">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ht="13.5" customHeight="1" x14ac:dyDescent="0.3">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ht="13.5" customHeight="1" x14ac:dyDescent="0.3">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ht="13.5" customHeight="1" x14ac:dyDescent="0.3">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ht="13.5" customHeight="1" x14ac:dyDescent="0.3">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ht="13.5" customHeight="1" x14ac:dyDescent="0.3">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ht="13.5" customHeight="1" x14ac:dyDescent="0.3">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ht="13.5" customHeight="1" x14ac:dyDescent="0.3">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ht="13.5" customHeight="1" x14ac:dyDescent="0.3">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ht="13.5" customHeight="1" x14ac:dyDescent="0.3">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ht="13.5" customHeight="1" x14ac:dyDescent="0.3">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ht="13.5" customHeight="1" x14ac:dyDescent="0.3">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ht="13.5" customHeight="1" x14ac:dyDescent="0.3">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ht="13.5" customHeight="1" x14ac:dyDescent="0.3">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ht="13.5" customHeight="1" x14ac:dyDescent="0.3">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ht="13.5" customHeight="1" x14ac:dyDescent="0.3">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ht="13.5" customHeight="1" x14ac:dyDescent="0.3">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ht="13.5" customHeight="1" x14ac:dyDescent="0.3">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ht="13.5" customHeight="1" x14ac:dyDescent="0.3">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ht="13.5" customHeight="1" x14ac:dyDescent="0.3">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ht="13.5" customHeight="1" x14ac:dyDescent="0.3">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ht="13.5" customHeight="1" x14ac:dyDescent="0.3">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ht="13.5" customHeight="1" x14ac:dyDescent="0.3">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ht="13.5" customHeight="1" x14ac:dyDescent="0.3">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ht="13.5" customHeight="1" x14ac:dyDescent="0.3">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ht="13.5" customHeight="1" x14ac:dyDescent="0.3">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ht="13.5" customHeight="1" x14ac:dyDescent="0.3">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ht="13.5" customHeight="1" x14ac:dyDescent="0.3">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ht="13.5" customHeight="1" x14ac:dyDescent="0.3">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ht="13.5" customHeight="1" x14ac:dyDescent="0.3">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ht="13.5" customHeight="1" x14ac:dyDescent="0.3">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ht="13.5" customHeight="1" x14ac:dyDescent="0.3">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ht="13.5" customHeight="1" x14ac:dyDescent="0.3">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ht="13.5" customHeight="1" x14ac:dyDescent="0.3">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ht="13.5" customHeight="1" x14ac:dyDescent="0.3">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ht="13.5" customHeight="1" x14ac:dyDescent="0.3">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ht="13.5" customHeight="1" x14ac:dyDescent="0.3">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ht="13.5" customHeight="1" x14ac:dyDescent="0.3">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ht="13.5" customHeight="1" x14ac:dyDescent="0.3">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ht="13.5" customHeight="1" x14ac:dyDescent="0.3">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ht="13.5" customHeight="1" x14ac:dyDescent="0.3">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ht="13.5" customHeight="1" x14ac:dyDescent="0.3">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ht="13.5" customHeight="1" x14ac:dyDescent="0.3">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ht="13.5" customHeight="1" x14ac:dyDescent="0.3">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ht="13.5" customHeight="1" x14ac:dyDescent="0.3">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ht="13.5" customHeight="1" x14ac:dyDescent="0.3">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ht="13.5" customHeight="1" x14ac:dyDescent="0.3">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ht="13.5" customHeight="1" x14ac:dyDescent="0.3">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ht="13.5" customHeight="1" x14ac:dyDescent="0.3">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ht="13.5" customHeight="1" x14ac:dyDescent="0.3">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ht="13.5" customHeight="1" x14ac:dyDescent="0.3">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ht="13.5" customHeight="1" x14ac:dyDescent="0.3">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ht="13.5" customHeight="1" x14ac:dyDescent="0.3">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ht="13.5" customHeight="1" x14ac:dyDescent="0.3">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ht="13.5" customHeight="1" x14ac:dyDescent="0.3">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ht="13.5" customHeight="1" x14ac:dyDescent="0.3">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ht="13.5" customHeight="1" x14ac:dyDescent="0.3">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ht="13.5" customHeight="1" x14ac:dyDescent="0.3">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ht="13.5" customHeight="1" x14ac:dyDescent="0.3">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ht="13.5" customHeight="1" x14ac:dyDescent="0.3">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ht="13.5" customHeight="1" x14ac:dyDescent="0.3">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ht="13.5" customHeight="1" x14ac:dyDescent="0.3">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ht="13.5" customHeight="1" x14ac:dyDescent="0.3">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ht="13.5" customHeight="1" x14ac:dyDescent="0.3">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ht="13.5" customHeight="1" x14ac:dyDescent="0.3">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ht="13.5" customHeight="1" x14ac:dyDescent="0.3">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ht="13.5" customHeight="1" x14ac:dyDescent="0.3">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ht="13.5" customHeight="1" x14ac:dyDescent="0.3">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ht="13.5" customHeight="1" x14ac:dyDescent="0.3">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ht="13.5" customHeight="1" x14ac:dyDescent="0.3">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ht="13.5" customHeight="1" x14ac:dyDescent="0.3">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ht="13.5" customHeight="1" x14ac:dyDescent="0.3">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ht="13.5" customHeight="1" x14ac:dyDescent="0.3">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ht="13.5" customHeight="1" x14ac:dyDescent="0.3">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ht="13.5" customHeight="1" x14ac:dyDescent="0.3">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ht="13.5" customHeight="1" x14ac:dyDescent="0.3">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ht="13.5" customHeight="1" x14ac:dyDescent="0.3">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ht="13.5" customHeight="1" x14ac:dyDescent="0.3">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ht="13.5" customHeight="1" x14ac:dyDescent="0.3">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ht="13.5" customHeight="1" x14ac:dyDescent="0.3">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ht="13.5" customHeight="1" x14ac:dyDescent="0.3">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ht="13.5" customHeight="1" x14ac:dyDescent="0.3">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ht="13.5" customHeight="1" x14ac:dyDescent="0.3">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ht="13.5" customHeight="1" x14ac:dyDescent="0.3">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ht="13.5" customHeight="1" x14ac:dyDescent="0.3">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ht="13.5" customHeight="1" x14ac:dyDescent="0.3">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ht="13.5" customHeight="1" x14ac:dyDescent="0.3">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ht="13.5" customHeight="1" x14ac:dyDescent="0.3">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ht="13.5" customHeight="1" x14ac:dyDescent="0.3">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ht="13.5" customHeight="1" x14ac:dyDescent="0.3">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ht="13.5" customHeight="1" x14ac:dyDescent="0.3">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ht="13.5" customHeight="1" x14ac:dyDescent="0.3">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ht="13.5" customHeight="1" x14ac:dyDescent="0.3">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ht="13.5" customHeight="1" x14ac:dyDescent="0.3">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ht="13.5" customHeight="1" x14ac:dyDescent="0.3">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ht="13.5" customHeight="1" x14ac:dyDescent="0.3">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ht="13.5" customHeight="1" x14ac:dyDescent="0.3">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ht="13.5" customHeight="1" x14ac:dyDescent="0.3">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ht="13.5" customHeight="1" x14ac:dyDescent="0.3">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ht="13.5" customHeight="1" x14ac:dyDescent="0.3">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ht="13.5" customHeight="1" x14ac:dyDescent="0.3">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ht="13.5" customHeight="1" x14ac:dyDescent="0.3">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ht="13.5" customHeight="1" x14ac:dyDescent="0.3">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ht="13.5" customHeight="1" x14ac:dyDescent="0.3">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ht="13.5" customHeight="1" x14ac:dyDescent="0.3">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ht="13.5" customHeight="1" x14ac:dyDescent="0.3">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ht="13.5" customHeight="1" x14ac:dyDescent="0.3">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ht="13.5" customHeight="1" x14ac:dyDescent="0.3">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ht="13.5" customHeight="1" x14ac:dyDescent="0.3">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ht="13.5" customHeight="1" x14ac:dyDescent="0.3">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ht="13.5" customHeight="1" x14ac:dyDescent="0.3">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ht="13.5" customHeight="1" x14ac:dyDescent="0.3">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ht="13.5" customHeight="1" x14ac:dyDescent="0.3">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ht="13.5" customHeight="1" x14ac:dyDescent="0.3">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ht="13.5" customHeight="1" x14ac:dyDescent="0.3">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ht="13.5" customHeight="1" x14ac:dyDescent="0.3">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ht="13.5" customHeight="1" x14ac:dyDescent="0.3">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ht="13.5" customHeight="1" x14ac:dyDescent="0.3">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ht="13.5" customHeight="1" x14ac:dyDescent="0.3">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ht="13.5" customHeight="1" x14ac:dyDescent="0.3">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ht="13.5" customHeight="1" x14ac:dyDescent="0.3">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ht="13.5" customHeight="1" x14ac:dyDescent="0.3">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ht="13.5" customHeight="1" x14ac:dyDescent="0.3">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ht="13.5" customHeight="1" x14ac:dyDescent="0.3">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ht="13.5" customHeight="1" x14ac:dyDescent="0.3">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ht="13.5" customHeight="1" x14ac:dyDescent="0.3">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ht="13.5" customHeight="1" x14ac:dyDescent="0.3">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ht="13.5" customHeight="1" x14ac:dyDescent="0.3">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ht="13.5" customHeight="1" x14ac:dyDescent="0.3">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ht="13.5" customHeight="1" x14ac:dyDescent="0.3">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ht="13.5" customHeight="1" x14ac:dyDescent="0.3">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ht="13.5" customHeight="1" x14ac:dyDescent="0.3">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ht="13.5" customHeight="1" x14ac:dyDescent="0.3">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ht="13.5" customHeight="1" x14ac:dyDescent="0.3">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ht="13.5" customHeight="1" x14ac:dyDescent="0.3">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ht="13.5" customHeight="1" x14ac:dyDescent="0.3">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ht="13.5" customHeight="1" x14ac:dyDescent="0.3">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ht="13.5" customHeight="1" x14ac:dyDescent="0.3">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ht="13.5" customHeight="1" x14ac:dyDescent="0.3">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ht="13.5" customHeight="1" x14ac:dyDescent="0.3">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ht="13.5" customHeight="1" x14ac:dyDescent="0.3">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ht="13.5" customHeight="1" x14ac:dyDescent="0.3">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ht="13.5" customHeight="1" x14ac:dyDescent="0.3">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ht="13.5" customHeight="1" x14ac:dyDescent="0.3">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ht="13.5" customHeight="1" x14ac:dyDescent="0.3">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ht="13.5" customHeight="1" x14ac:dyDescent="0.3">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ht="13.5" customHeight="1" x14ac:dyDescent="0.3">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ht="13.5" customHeight="1" x14ac:dyDescent="0.3">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ht="13.5" customHeight="1" x14ac:dyDescent="0.3">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ht="13.5" customHeight="1" x14ac:dyDescent="0.3">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ht="13.5" customHeight="1" x14ac:dyDescent="0.3">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ht="13.5" customHeight="1" x14ac:dyDescent="0.3">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ht="13.5" customHeight="1" x14ac:dyDescent="0.3">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ht="13.5" customHeight="1" x14ac:dyDescent="0.3">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ht="13.5" customHeight="1" x14ac:dyDescent="0.3">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ht="13.5" customHeight="1" x14ac:dyDescent="0.3">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ht="13.5" customHeight="1" x14ac:dyDescent="0.3">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ht="13.5" customHeight="1" x14ac:dyDescent="0.3">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ht="13.5" customHeight="1" x14ac:dyDescent="0.3">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ht="13.5" customHeight="1" x14ac:dyDescent="0.3">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ht="13.5" customHeight="1" x14ac:dyDescent="0.3">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ht="13.5" customHeight="1" x14ac:dyDescent="0.3">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ht="13.5" customHeight="1" x14ac:dyDescent="0.3">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ht="13.5" customHeight="1" x14ac:dyDescent="0.3">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ht="13.5" customHeight="1" x14ac:dyDescent="0.3">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ht="13.5" customHeight="1" x14ac:dyDescent="0.3">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ht="13.5" customHeight="1" x14ac:dyDescent="0.3">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ht="13.5" customHeight="1" x14ac:dyDescent="0.3">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ht="13.5" customHeight="1" x14ac:dyDescent="0.3">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ht="13.5" customHeight="1" x14ac:dyDescent="0.3">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ht="13.5" customHeight="1" x14ac:dyDescent="0.3">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ht="13.5" customHeight="1" x14ac:dyDescent="0.3">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ht="13.5" customHeight="1" x14ac:dyDescent="0.3">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ht="13.5" customHeight="1" x14ac:dyDescent="0.3">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ht="13.5" customHeight="1" x14ac:dyDescent="0.3">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ht="13.5" customHeight="1" x14ac:dyDescent="0.3">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ht="13.5" customHeight="1" x14ac:dyDescent="0.3">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ht="13.5" customHeight="1" x14ac:dyDescent="0.3">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ht="13.5" customHeight="1" x14ac:dyDescent="0.3">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ht="13.5" customHeight="1" x14ac:dyDescent="0.3">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ht="13.5" customHeight="1" x14ac:dyDescent="0.3">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ht="13.5" customHeight="1" x14ac:dyDescent="0.3">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ht="13.5" customHeight="1" x14ac:dyDescent="0.3">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ht="13.5" customHeight="1" x14ac:dyDescent="0.3">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ht="13.5" customHeight="1" x14ac:dyDescent="0.3">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ht="13.5" customHeight="1" x14ac:dyDescent="0.3">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ht="13.5" customHeight="1" x14ac:dyDescent="0.3">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ht="13.5" customHeight="1" x14ac:dyDescent="0.3">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ht="13.5" customHeight="1" x14ac:dyDescent="0.3">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ht="13.5" customHeight="1" x14ac:dyDescent="0.3">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ht="13.5" customHeight="1" x14ac:dyDescent="0.3">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ht="13.5" customHeight="1" x14ac:dyDescent="0.3">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ht="13.5" customHeight="1" x14ac:dyDescent="0.3">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ht="13.5" customHeight="1" x14ac:dyDescent="0.3">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ht="13.5" customHeight="1" x14ac:dyDescent="0.3">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ht="13.5" customHeight="1" x14ac:dyDescent="0.3">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ht="13.5" customHeight="1" x14ac:dyDescent="0.3">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ht="13.5" customHeight="1" x14ac:dyDescent="0.3">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ht="13.5" customHeight="1" x14ac:dyDescent="0.3">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ht="13.5" customHeight="1" x14ac:dyDescent="0.3">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ht="13.5" customHeight="1" x14ac:dyDescent="0.3">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ht="13.5" customHeight="1" x14ac:dyDescent="0.3">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ht="13.5" customHeight="1" x14ac:dyDescent="0.3">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ht="13.5" customHeight="1" x14ac:dyDescent="0.3">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ht="13.5" customHeight="1" x14ac:dyDescent="0.3">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ht="13.5" customHeight="1" x14ac:dyDescent="0.3">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ht="13.5" customHeight="1" x14ac:dyDescent="0.3">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ht="13.5" customHeight="1" x14ac:dyDescent="0.3">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ht="13.5" customHeight="1" x14ac:dyDescent="0.3">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ht="13.5" customHeight="1" x14ac:dyDescent="0.3">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ht="13.5" customHeight="1" x14ac:dyDescent="0.3">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ht="13.5" customHeight="1" x14ac:dyDescent="0.3">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ht="13.5" customHeight="1" x14ac:dyDescent="0.3">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ht="13.5" customHeight="1" x14ac:dyDescent="0.3">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ht="13.5" customHeight="1" x14ac:dyDescent="0.3">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ht="13.5" customHeight="1" x14ac:dyDescent="0.3">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ht="13.5" customHeight="1" x14ac:dyDescent="0.3">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ht="13.5" customHeight="1" x14ac:dyDescent="0.3">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ht="13.5" customHeight="1" x14ac:dyDescent="0.3">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ht="13.5" customHeight="1" x14ac:dyDescent="0.3">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ht="13.5" customHeight="1" x14ac:dyDescent="0.3">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ht="13.5" customHeight="1" x14ac:dyDescent="0.3">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ht="13.5" customHeight="1" x14ac:dyDescent="0.3">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ht="13.5" customHeight="1" x14ac:dyDescent="0.3">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ht="13.5" customHeight="1" x14ac:dyDescent="0.3">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ht="13.5" customHeight="1" x14ac:dyDescent="0.3">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ht="13.5" customHeight="1" x14ac:dyDescent="0.3">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ht="13.5" customHeight="1" x14ac:dyDescent="0.3">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ht="13.5" customHeight="1" x14ac:dyDescent="0.3">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ht="13.5" customHeight="1" x14ac:dyDescent="0.3">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ht="13.5" customHeight="1" x14ac:dyDescent="0.3">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ht="13.5" customHeight="1" x14ac:dyDescent="0.3">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ht="13.5" customHeight="1" x14ac:dyDescent="0.3">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ht="13.5" customHeight="1" x14ac:dyDescent="0.3">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ht="13.5" customHeight="1" x14ac:dyDescent="0.3">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ht="13.5" customHeight="1" x14ac:dyDescent="0.3">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ht="13.5" customHeight="1" x14ac:dyDescent="0.3">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ht="13.5" customHeight="1" x14ac:dyDescent="0.3">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ht="13.5" customHeight="1" x14ac:dyDescent="0.3">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ht="13.5" customHeight="1" x14ac:dyDescent="0.3">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ht="13.5" customHeight="1" x14ac:dyDescent="0.3">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ht="13.5" customHeight="1" x14ac:dyDescent="0.3">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ht="13.5" customHeight="1" x14ac:dyDescent="0.3">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ht="13.5" customHeight="1" x14ac:dyDescent="0.3">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ht="13.5" customHeight="1" x14ac:dyDescent="0.3">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ht="13.5" customHeight="1" x14ac:dyDescent="0.3">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ht="13.5" customHeight="1" x14ac:dyDescent="0.3">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ht="13.5" customHeight="1" x14ac:dyDescent="0.3">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ht="13.5" customHeight="1" x14ac:dyDescent="0.3">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ht="13.5" customHeight="1" x14ac:dyDescent="0.3">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ht="13.5" customHeight="1" x14ac:dyDescent="0.3">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ht="13.5" customHeight="1" x14ac:dyDescent="0.3">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ht="13.5" customHeight="1" x14ac:dyDescent="0.3">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ht="13.5" customHeight="1" x14ac:dyDescent="0.3">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ht="13.5" customHeight="1" x14ac:dyDescent="0.3">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ht="13.5" customHeight="1" x14ac:dyDescent="0.3">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ht="13.5" customHeight="1" x14ac:dyDescent="0.3">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ht="13.5" customHeight="1" x14ac:dyDescent="0.3">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ht="13.5" customHeight="1" x14ac:dyDescent="0.3">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ht="13.5" customHeight="1" x14ac:dyDescent="0.3">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ht="13.5" customHeight="1" x14ac:dyDescent="0.3">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ht="13.5" customHeight="1" x14ac:dyDescent="0.3">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ht="13.5" customHeight="1" x14ac:dyDescent="0.3">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ht="13.5" customHeight="1" x14ac:dyDescent="0.3">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ht="13.5" customHeight="1" x14ac:dyDescent="0.3">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ht="13.5" customHeight="1" x14ac:dyDescent="0.3">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ht="13.5" customHeight="1" x14ac:dyDescent="0.3">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ht="13.5" customHeight="1" x14ac:dyDescent="0.3">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ht="13.5" customHeight="1" x14ac:dyDescent="0.3">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ht="13.5" customHeight="1" x14ac:dyDescent="0.3">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ht="13.5" customHeight="1" x14ac:dyDescent="0.3">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ht="13.5" customHeight="1" x14ac:dyDescent="0.3">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ht="13.5" customHeight="1" x14ac:dyDescent="0.3">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ht="13.5" customHeight="1" x14ac:dyDescent="0.3">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ht="13.5" customHeight="1" x14ac:dyDescent="0.3">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ht="13.5" customHeight="1" x14ac:dyDescent="0.3">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LYN</cp:lastModifiedBy>
  <dcterms:created xsi:type="dcterms:W3CDTF">2018-04-04T07:33:21Z</dcterms:created>
  <dcterms:modified xsi:type="dcterms:W3CDTF">2018-06-01T08:47:34Z</dcterms:modified>
</cp:coreProperties>
</file>